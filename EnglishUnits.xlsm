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vbaProject.bin" ContentType="application/vnd.ms-office.vbaProject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3"/>
  </bookViews>
  <sheets>
    <sheet name="Properties" sheetId="1" state="visible" r:id="rId3"/>
    <sheet name="Functions" sheetId="2" state="visible" r:id="rId4"/>
    <sheet name="Variables" sheetId="3" state="visible" r:id="rId5"/>
    <sheet name="w_ph" sheetId="4" state="visible" r:id="rId6"/>
  </sheets>
  <definedNames>
    <definedName function="true" hidden="false" name="PSAT_T" vbProcedure="true"/>
    <definedName function="true" hidden="false" name="TSAT_P" vbProcedure="true"/>
    <definedName function="true" hidden="false" name="HL_T" vbProcedure="true"/>
    <definedName function="true" hidden="false" name="HL_P" vbProcedure="true"/>
    <definedName function="true" hidden="false" name="RHOL_T" vbProcedure="true"/>
    <definedName function="true" hidden="false" name="RHOL_P" vbProcedure="true"/>
    <definedName function="true" hidden="false" name="SL_T" vbProcedure="true"/>
    <definedName function="true" hidden="false" name="SL_P" vbProcedure="true"/>
    <definedName function="true" hidden="false" name="HV_T" vbProcedure="true"/>
    <definedName function="true" hidden="false" name="HV_P" vbProcedure="true"/>
    <definedName function="true" hidden="false" name="RHOV_T" vbProcedure="true"/>
    <definedName function="true" hidden="false" name="RHOV_P" vbProcedure="true"/>
    <definedName function="true" hidden="false" name="SV_T" vbProcedure="true"/>
    <definedName function="true" hidden="false" name="SV_P" vbProcedure="true"/>
    <definedName function="true" hidden="false" name="H_PT" vbProcedure="true"/>
    <definedName function="true" hidden="false" name="T_PH" vbProcedure="true"/>
    <definedName function="true" hidden="false" name="RHO_PT" vbProcedure="true"/>
    <definedName function="true" hidden="false" name="RHO_PH" vbProcedure="true"/>
    <definedName function="true" hidden="false" name="S_PT" vbProcedure="true"/>
    <definedName function="true" hidden="false" name="S_PH" vbProcedure="true"/>
    <definedName function="true" hidden="false" name="X_PH" vbProcedure="true"/>
    <definedName function="true" hidden="false" name="REGION_PT" vbProcedure="true"/>
    <definedName function="true" hidden="false" name="REGION_PH" vbProcedure="true"/>
    <definedName function="true" hidden="false" name="CP_PT" vbProcedure="true"/>
    <definedName function="true" hidden="false" name="CP_PH" vbProcedure="true"/>
    <definedName function="true" hidden="false" name="W_PT" vbProcedure="true"/>
    <definedName function="true" hidden="false" name="W_PH" vbProcedure="true"/>
    <definedName function="true" hidden="false" name="T_PS" vbProcedure="true"/>
    <definedName function="true" hidden="false" name="T_HS" vbProcedure="true"/>
    <definedName function="true" hidden="false" name="P_HS" vbProcedure="true"/>
    <definedName function="true" hidden="false" name="P_HRHO" vbProcedure="true"/>
    <definedName function="true" hidden="false" name="H_PS" vbProcedure="true"/>
    <definedName function="true" hidden="false" name="H_PX" vbProcedure="true"/>
    <definedName function="true" hidden="false" name="H_TX" vbProcedure="true"/>
    <definedName function="true" hidden="false" name="H_PRHO" vbProcedure="true"/>
    <definedName function="true" hidden="false" name="VV_P" vbProcedure="true"/>
    <definedName function="true" hidden="false" name="VL_P" vbProcedure="true"/>
    <definedName function="true" hidden="false" name="VV_T" vbProcedure="true"/>
    <definedName function="true" hidden="false" name="VL_T" vbProcedure="true"/>
    <definedName function="true" hidden="false" name="V_PT" vbProcedure="true"/>
    <definedName function="true" hidden="false" name="V_PH" vbProcedure="true"/>
    <definedName function="true" hidden="false" name="V_PS" vbProcedure="true"/>
    <definedName function="true" hidden="false" name="RHO_PS" vbProcedure="true"/>
    <definedName function="true" hidden="false" name="UV_P" vbProcedure="true"/>
    <definedName function="true" hidden="false" name="UL_P" vbProcedure="true"/>
    <definedName function="true" hidden="false" name="UV_T" vbProcedure="true"/>
    <definedName function="true" hidden="false" name="UL_T" vbProcedure="true"/>
    <definedName function="true" hidden="false" name="U_PT" vbProcedure="true"/>
    <definedName function="true" hidden="false" name="U_PH" vbProcedure="true"/>
    <definedName function="true" hidden="false" name="U_PS" vbProcedure="true"/>
    <definedName function="true" hidden="false" name="CPV_P" vbProcedure="true"/>
    <definedName function="true" hidden="false" name="CPL_P" vbProcedure="true"/>
    <definedName function="true" hidden="false" name="CPV_T" vbProcedure="true"/>
    <definedName function="true" hidden="false" name="CPL_T" vbProcedure="true"/>
    <definedName function="true" hidden="false" name="CP_PS" vbProcedure="true"/>
    <definedName function="true" hidden="false" name="CVV_P" vbProcedure="true"/>
    <definedName function="true" hidden="false" name="CVL_P" vbProcedure="true"/>
    <definedName function="true" hidden="false" name="CVV_T" vbProcedure="true"/>
    <definedName function="true" hidden="false" name="CVL_T" vbProcedure="true"/>
    <definedName function="true" hidden="false" name="CV_PT" vbProcedure="true"/>
    <definedName function="true" hidden="false" name="CV_PH" vbProcedure="true"/>
    <definedName function="true" hidden="false" name="CV_PS" vbProcedure="true"/>
    <definedName function="true" hidden="false" name="WV_P" vbProcedure="true"/>
    <definedName function="true" hidden="false" name="WL_P" vbProcedure="true"/>
    <definedName function="true" hidden="false" name="WV_T" vbProcedure="true"/>
    <definedName function="true" hidden="false" name="WL_T" vbProcedure="true"/>
    <definedName function="true" hidden="false" name="W_PS" vbProcedure="true"/>
    <definedName function="true" hidden="false" name="MY_PT" vbProcedure="true"/>
    <definedName function="true" hidden="false" name="MY_PH" vbProcedure="true"/>
    <definedName function="true" hidden="false" name="MY_PS" vbProcedure="true"/>
    <definedName function="true" hidden="false" name="PR_PT" vbProcedure="true"/>
    <definedName function="true" hidden="false" name="PR_PH" vbProcedure="true"/>
    <definedName function="true" hidden="false" name="TCL_P" vbProcedure="true"/>
    <definedName function="true" hidden="false" name="TCV_P" vbProcedure="true"/>
    <definedName function="true" hidden="false" name="TCL_T" vbProcedure="true"/>
    <definedName function="true" hidden="false" name="TCV_T" vbProcedure="true"/>
    <definedName function="true" hidden="false" name="TC_PT" vbProcedure="true"/>
    <definedName function="true" hidden="false" name="TC_PH" vbProcedure="true"/>
    <definedName function="true" hidden="false" name="TC_HS" vbProcedure="true"/>
    <definedName function="true" hidden="false" name="ST_T" vbProcedure="true"/>
    <definedName function="true" hidden="false" name="ST_P" vbProcedure="true"/>
    <definedName function="true" hidden="false" name="X_PS" vbProcedure="true"/>
    <definedName function="true" hidden="false" name="VX_PH" vbProcedure="true"/>
    <definedName function="true" hidden="false" name="VX_PS" vbProcedure="true"/>
    <definedName function="true" hidden="false" name="FROMSIUNIT_T" vbProcedure="true"/>
  </definedName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<sst xmlns="http://schemas.openxmlformats.org/spreadsheetml/2006/main" count="529" uniqueCount="255">
  <si>
    <t xml:space="preserve">X Steam Tables  (English Units)</t>
  </si>
  <si>
    <t xml:space="preserve">Excel macros, IF-97 Steam tables. </t>
  </si>
  <si>
    <t xml:space="preserve">The excel scripts are stored inside this workbook. A complete list of functions for use is available on the "Calling functions" worksheet</t>
  </si>
  <si>
    <t xml:space="preserve">By: Magnus Holmgren</t>
  </si>
  <si>
    <t xml:space="preserve">The steam tables are free and provided as is. We take no responsibilities for any errors in the code or damage thereby.</t>
  </si>
  <si>
    <t xml:space="preserve">www.x-eng.com</t>
  </si>
  <si>
    <t xml:space="preserve">OBS: This workbook uses macros. Set security options in Tools:Macro:Security… to enable macros.</t>
  </si>
  <si>
    <t xml:space="preserve">Saturation properties given temperature</t>
  </si>
  <si>
    <t xml:space="preserve">Saturation properties given pressure</t>
  </si>
  <si>
    <t xml:space="preserve">Temperature</t>
  </si>
  <si>
    <t xml:space="preserve">degF</t>
  </si>
  <si>
    <t xml:space="preserve">Pressure</t>
  </si>
  <si>
    <t xml:space="preserve">psi (a)</t>
  </si>
  <si>
    <t xml:space="preserve">Saturation pressure</t>
  </si>
  <si>
    <t xml:space="preserve">Saturation temperature</t>
  </si>
  <si>
    <t xml:space="preserve">Liquid</t>
  </si>
  <si>
    <t xml:space="preserve">Enthalpy</t>
  </si>
  <si>
    <t xml:space="preserve">btu/lb</t>
  </si>
  <si>
    <t xml:space="preserve">Density</t>
  </si>
  <si>
    <t xml:space="preserve">lb /ft3</t>
  </si>
  <si>
    <t xml:space="preserve">Entropy</t>
  </si>
  <si>
    <t xml:space="preserve">btu/(lb F)</t>
  </si>
  <si>
    <t xml:space="preserve">Vapour</t>
  </si>
  <si>
    <t xml:space="preserve">Vapour enthalpy</t>
  </si>
  <si>
    <t xml:space="preserve">Vapour density</t>
  </si>
  <si>
    <t xml:space="preserve">Vapour Entropy</t>
  </si>
  <si>
    <t xml:space="preserve">vapour Entropy</t>
  </si>
  <si>
    <t xml:space="preserve">Evaporation energy</t>
  </si>
  <si>
    <t xml:space="preserve">Properties given pressure and temperature</t>
  </si>
  <si>
    <t xml:space="preserve">Properties given pressure and enthalpy</t>
  </si>
  <si>
    <t xml:space="preserve">Vapour fraction</t>
  </si>
  <si>
    <t xml:space="preserve">%</t>
  </si>
  <si>
    <t xml:space="preserve">IF97 Region</t>
  </si>
  <si>
    <t xml:space="preserve">Phase</t>
  </si>
  <si>
    <t xml:space="preserve">Isobaric heat capacity </t>
  </si>
  <si>
    <t xml:space="preserve">Speed of sound</t>
  </si>
  <si>
    <t xml:space="preserve">ft/s</t>
  </si>
  <si>
    <t xml:space="preserve">X Steam Tables</t>
  </si>
  <si>
    <t xml:space="preserve">v2.6</t>
  </si>
  <si>
    <t xml:space="preserve">http://www.x-eng.com</t>
  </si>
  <si>
    <t xml:space="preserve">Steam tables by Magnus Holmgren according to IAPWS IF-97 </t>
  </si>
  <si>
    <t xml:space="preserve">The excel scripts are stored inside this workbook. (No extra files are needed. Start from a copy of this workbook. This page can be removed)</t>
  </si>
  <si>
    <t xml:space="preserve">For error-reporting, feedback, other units etc. contact:</t>
  </si>
  <si>
    <t xml:space="preserve">magnus@x-eng.com</t>
  </si>
  <si>
    <t xml:space="preserve"> Tsat_p</t>
  </si>
  <si>
    <t xml:space="preserve">psi</t>
  </si>
  <si>
    <t xml:space="preserve">deg F</t>
  </si>
  <si>
    <t xml:space="preserve"> T_ph</t>
  </si>
  <si>
    <t xml:space="preserve">Temperture as a function of pressure and enthalpy</t>
  </si>
  <si>
    <t xml:space="preserve"> T_ps</t>
  </si>
  <si>
    <t xml:space="preserve">Temperture as a function of pressure and entropy</t>
  </si>
  <si>
    <t xml:space="preserve"> T_hs</t>
  </si>
  <si>
    <t xml:space="preserve">Temperture as a function of enthalpy and entropy</t>
  </si>
  <si>
    <t xml:space="preserve"> psat_T</t>
  </si>
  <si>
    <t xml:space="preserve"> p_hs</t>
  </si>
  <si>
    <t xml:space="preserve">Pressure as a function of h and s. </t>
  </si>
  <si>
    <t xml:space="preserve"> p_hrho</t>
  </si>
  <si>
    <t xml:space="preserve">lb/ft3</t>
  </si>
  <si>
    <t xml:space="preserve">Pressure as a function of h and rho (density). Very unaccurate for solid water region since it's almost incompressible!</t>
  </si>
  <si>
    <t xml:space="preserve"> hV_p</t>
  </si>
  <si>
    <t xml:space="preserve">Saturated vapour enthalpy</t>
  </si>
  <si>
    <t xml:space="preserve"> hL_p</t>
  </si>
  <si>
    <t xml:space="preserve">Saturated liquid enthalpy</t>
  </si>
  <si>
    <t xml:space="preserve"> hV_T</t>
  </si>
  <si>
    <t xml:space="preserve"> hL_T</t>
  </si>
  <si>
    <t xml:space="preserve"> h_pT</t>
  </si>
  <si>
    <t xml:space="preserve">Entalpy as a function of pressure and temperature.</t>
  </si>
  <si>
    <t xml:space="preserve"> h_ps</t>
  </si>
  <si>
    <t xml:space="preserve">Entalpy as a function of pressure and entropy.</t>
  </si>
  <si>
    <t xml:space="preserve"> h_px</t>
  </si>
  <si>
    <t xml:space="preserve">Entalpy as a function of pressure and vapour fraction</t>
  </si>
  <si>
    <t xml:space="preserve"> h_Tx</t>
  </si>
  <si>
    <t xml:space="preserve">Entalpy as a function of temperature and vapour fraction</t>
  </si>
  <si>
    <t xml:space="preserve"> h_prho</t>
  </si>
  <si>
    <t xml:space="preserve">Entalpy as a function of pressure and density. Observe for low temperatures (liquid) this equation has 2 solutions. (Not valid!!)</t>
  </si>
  <si>
    <t xml:space="preserve">Specific volume</t>
  </si>
  <si>
    <t xml:space="preserve"> vV_p</t>
  </si>
  <si>
    <t xml:space="preserve">ft3/lb</t>
  </si>
  <si>
    <t xml:space="preserve">Saturated vapour volume</t>
  </si>
  <si>
    <t xml:space="preserve"> vL_p</t>
  </si>
  <si>
    <t xml:space="preserve">Saturated liquid volume</t>
  </si>
  <si>
    <t xml:space="preserve"> vV_T</t>
  </si>
  <si>
    <t xml:space="preserve"> vL_T</t>
  </si>
  <si>
    <t xml:space="preserve"> v_pT</t>
  </si>
  <si>
    <t xml:space="preserve">Specific volume as a function of pressure and temperature.</t>
  </si>
  <si>
    <t xml:space="preserve"> v_ph</t>
  </si>
  <si>
    <t xml:space="preserve">Specific volume as a function of pressure and enthalpy</t>
  </si>
  <si>
    <t xml:space="preserve"> v_ps</t>
  </si>
  <si>
    <t xml:space="preserve">Specific volume as a function of pressure and entropy.</t>
  </si>
  <si>
    <t xml:space="preserve"> rhoV_p</t>
  </si>
  <si>
    <t xml:space="preserve">Saturated vapour density</t>
  </si>
  <si>
    <t xml:space="preserve"> rhoL_p</t>
  </si>
  <si>
    <t xml:space="preserve">Saturated liquid density</t>
  </si>
  <si>
    <t xml:space="preserve"> rhoV_T</t>
  </si>
  <si>
    <t xml:space="preserve"> rhoL_T</t>
  </si>
  <si>
    <t xml:space="preserve"> rho_pT</t>
  </si>
  <si>
    <t xml:space="preserve">Density as a function of pressure and temperature.</t>
  </si>
  <si>
    <t xml:space="preserve"> rho_ph</t>
  </si>
  <si>
    <t xml:space="preserve">Density as a function of pressure and enthalpy</t>
  </si>
  <si>
    <t xml:space="preserve"> rho_ps</t>
  </si>
  <si>
    <t xml:space="preserve">Density as a function of pressure and entropy.</t>
  </si>
  <si>
    <t xml:space="preserve">Specific entropy </t>
  </si>
  <si>
    <t xml:space="preserve"> sV_p</t>
  </si>
  <si>
    <t xml:space="preserve">Saturated vapour entropy</t>
  </si>
  <si>
    <t xml:space="preserve"> sL_p</t>
  </si>
  <si>
    <t xml:space="preserve">Saturated liquid entropy</t>
  </si>
  <si>
    <t xml:space="preserve"> sV_T</t>
  </si>
  <si>
    <t xml:space="preserve"> sL_T</t>
  </si>
  <si>
    <t xml:space="preserve"> s_pT</t>
  </si>
  <si>
    <t xml:space="preserve">Specific entropy as a function of pressure and temperature (Returns saturated vapour entalpy if mixture.)</t>
  </si>
  <si>
    <t xml:space="preserve"> s_ph</t>
  </si>
  <si>
    <t xml:space="preserve">Specific entropy as a function of pressure and enthalpy</t>
  </si>
  <si>
    <t xml:space="preserve">Specific internal energy </t>
  </si>
  <si>
    <t xml:space="preserve"> uV_p</t>
  </si>
  <si>
    <t xml:space="preserve">Saturated vapour internal energy</t>
  </si>
  <si>
    <t xml:space="preserve"> uL_p</t>
  </si>
  <si>
    <t xml:space="preserve">Saturated liquid internal energy</t>
  </si>
  <si>
    <t xml:space="preserve"> uV_T</t>
  </si>
  <si>
    <t xml:space="preserve"> uL_T</t>
  </si>
  <si>
    <t xml:space="preserve"> u_pT</t>
  </si>
  <si>
    <t xml:space="preserve">Specific internal energy as a function of pressure and temperature.</t>
  </si>
  <si>
    <t xml:space="preserve"> u_ph</t>
  </si>
  <si>
    <t xml:space="preserve">Specific internal energy as a function of pressure and enthalpy</t>
  </si>
  <si>
    <t xml:space="preserve"> u_ps</t>
  </si>
  <si>
    <t xml:space="preserve">Specific internal energy as a function of pressure and entropy.</t>
  </si>
  <si>
    <t xml:space="preserve">Specific isobaric heat capacity </t>
  </si>
  <si>
    <t xml:space="preserve"> CpV_p</t>
  </si>
  <si>
    <t xml:space="preserve">Saturated vapour heat capacity </t>
  </si>
  <si>
    <t xml:space="preserve"> CpL_p</t>
  </si>
  <si>
    <t xml:space="preserve">Saturated liquid heat capacity </t>
  </si>
  <si>
    <t xml:space="preserve"> CpV_T</t>
  </si>
  <si>
    <t xml:space="preserve"> CpL_T</t>
  </si>
  <si>
    <t xml:space="preserve"> Cp_pT</t>
  </si>
  <si>
    <t xml:space="preserve">Specific isobaric heat capacity as a function of pressure and temperature.</t>
  </si>
  <si>
    <t xml:space="preserve"> Cp_ph</t>
  </si>
  <si>
    <t xml:space="preserve">Specific isobaric heat capacity as a function of pressure and enthalpy</t>
  </si>
  <si>
    <t xml:space="preserve"> Cp_ps</t>
  </si>
  <si>
    <t xml:space="preserve">Specific isobaric heat capacity as a function of pressure and entropy.</t>
  </si>
  <si>
    <t xml:space="preserve">Specific isochoric heat capacity </t>
  </si>
  <si>
    <t xml:space="preserve"> CvV_p</t>
  </si>
  <si>
    <t xml:space="preserve">Saturated vapour isochoric heat capacity</t>
  </si>
  <si>
    <t xml:space="preserve"> CvL_p</t>
  </si>
  <si>
    <t xml:space="preserve">Saturated liquid isochoric heat capacity</t>
  </si>
  <si>
    <t xml:space="preserve"> CvV_T</t>
  </si>
  <si>
    <t xml:space="preserve"> CvL_T</t>
  </si>
  <si>
    <t xml:space="preserve"> Cv_pT</t>
  </si>
  <si>
    <t xml:space="preserve">Specific isochoric heat capacity as a function of pressure and temperature.</t>
  </si>
  <si>
    <t xml:space="preserve"> Cv_ph</t>
  </si>
  <si>
    <t xml:space="preserve">Specific isochoric heat capacity as a function of pressure and enthalpy</t>
  </si>
  <si>
    <t xml:space="preserve"> Cv_ps</t>
  </si>
  <si>
    <t xml:space="preserve">Specific isochoric heat capacity as a function of pressure and entropy.</t>
  </si>
  <si>
    <t xml:space="preserve">Speed of sound </t>
  </si>
  <si>
    <t xml:space="preserve"> wV_p</t>
  </si>
  <si>
    <t xml:space="preserve">Saturated vapour speed of sound</t>
  </si>
  <si>
    <t xml:space="preserve"> wL_p</t>
  </si>
  <si>
    <t xml:space="preserve">Saturated liquid speed of sound</t>
  </si>
  <si>
    <t xml:space="preserve"> wV_T</t>
  </si>
  <si>
    <t xml:space="preserve"> wL_T</t>
  </si>
  <si>
    <t xml:space="preserve"> w_pT</t>
  </si>
  <si>
    <t xml:space="preserve">Speed of sound as a function of pressure and temperature.</t>
  </si>
  <si>
    <t xml:space="preserve"> w_ph</t>
  </si>
  <si>
    <t xml:space="preserve">Speed of sound as a function of pressure and enthalpy</t>
  </si>
  <si>
    <t xml:space="preserve"> w_ps</t>
  </si>
  <si>
    <t xml:space="preserve">Speed of sound as a function of pressure and entropy.</t>
  </si>
  <si>
    <t xml:space="preserve">Dynamic Viscosity</t>
  </si>
  <si>
    <t xml:space="preserve">Viscosity is not part of IAPWS Steam IF97. Equations from ""Revised Release on the IAPWS Formulation 1985 for the Viscosity of Ordinary Water Substance"", 2003 are used.</t>
  </si>
  <si>
    <t xml:space="preserve">Viscosity in the mixed region (4) is interpolated according to the density. This is not true since it will be two fases.</t>
  </si>
  <si>
    <t xml:space="preserve"> my_pT</t>
  </si>
  <si>
    <t xml:space="preserve">lb/ft/hr</t>
  </si>
  <si>
    <t xml:space="preserve">Viscosity as a function of pressure and temperature.</t>
  </si>
  <si>
    <t xml:space="preserve"> my_ph</t>
  </si>
  <si>
    <t xml:space="preserve">Viscosity as a function of pressure and enthalpy</t>
  </si>
  <si>
    <t xml:space="preserve"> my_ps</t>
  </si>
  <si>
    <t xml:space="preserve">Viscosity as a function of pressure and entropy.</t>
  </si>
  <si>
    <t xml:space="preserve">Prandtl</t>
  </si>
  <si>
    <t xml:space="preserve">Calcualted as Cp*my/tc</t>
  </si>
  <si>
    <t xml:space="preserve"> pr_pT</t>
  </si>
  <si>
    <t xml:space="preserve">-</t>
  </si>
  <si>
    <t xml:space="preserve"> pr_ph</t>
  </si>
  <si>
    <t xml:space="preserve">Thermal Conductivity</t>
  </si>
  <si>
    <t xml:space="preserve">Revised release on the IAPS Formulation 1985 for the Thermal Conductivity of ordinary water substance (IAPWS 1998)</t>
  </si>
  <si>
    <t xml:space="preserve"> tcL_p</t>
  </si>
  <si>
    <t xml:space="preserve">btu/(h*ft*F)</t>
  </si>
  <si>
    <t xml:space="preserve">Saturated vapour thermal conductivity</t>
  </si>
  <si>
    <t xml:space="preserve"> tcV_p</t>
  </si>
  <si>
    <t xml:space="preserve">Saturated liquid thermal conductivity</t>
  </si>
  <si>
    <t xml:space="preserve"> tcL_T</t>
  </si>
  <si>
    <t xml:space="preserve"> tcV_T</t>
  </si>
  <si>
    <t xml:space="preserve"> tc_pT</t>
  </si>
  <si>
    <t xml:space="preserve">Thermal conductivity as a function of pressure and temperature.</t>
  </si>
  <si>
    <t xml:space="preserve"> tc_ph</t>
  </si>
  <si>
    <t xml:space="preserve">Thermal conductivity as a function of pressure and enthalpy</t>
  </si>
  <si>
    <t xml:space="preserve"> tc_hs</t>
  </si>
  <si>
    <t xml:space="preserve">Thermal conductivity as a function of enthalpy and entropy</t>
  </si>
  <si>
    <t xml:space="preserve">Surface Tension</t>
  </si>
  <si>
    <t xml:space="preserve">IAPWS Release on Surface Tension of Ordinary Water Substance, September 1994</t>
  </si>
  <si>
    <t xml:space="preserve"> st_T</t>
  </si>
  <si>
    <t xml:space="preserve">lb/ft</t>
  </si>
  <si>
    <t xml:space="preserve">Surface tension for two phase water/steam as a function of T</t>
  </si>
  <si>
    <t xml:space="preserve"> st_p</t>
  </si>
  <si>
    <t xml:space="preserve"> x_ph</t>
  </si>
  <si>
    <t xml:space="preserve">Vapour fraction as a function of pressure and enthalpy</t>
  </si>
  <si>
    <t xml:space="preserve"> x_ps</t>
  </si>
  <si>
    <t xml:space="preserve">Vapour fraction as a function of pressure and entropy.</t>
  </si>
  <si>
    <t xml:space="preserve">Vapour Volume Fraction</t>
  </si>
  <si>
    <t xml:space="preserve">Observe that vapour volume fraction is very sensitive. Vapour volume is about 1000 times greater than liquid volume and therfore vapour volume fraction</t>
  </si>
  <si>
    <t xml:space="preserve">gets close to the accurancy of steam IF-97</t>
  </si>
  <si>
    <t xml:space="preserve"> vx_ph</t>
  </si>
  <si>
    <t xml:space="preserve">Vapour volume fraction as a function of pressure and enthalpy</t>
  </si>
  <si>
    <t xml:space="preserve"> vx_ps</t>
  </si>
  <si>
    <t xml:space="preserve">Vapour volume fraction as a function of pressure and entropy.</t>
  </si>
  <si>
    <t xml:space="preserve">Version history</t>
  </si>
  <si>
    <t xml:space="preserve">News in V2.6</t>
  </si>
  <si>
    <t xml:space="preserve">* Error in valid region for function tc_ptrho</t>
  </si>
  <si>
    <t xml:space="preserve">* Error in function h3_pt for temperatures near the saturation point.</t>
  </si>
  <si>
    <t xml:space="preserve">News in V2.5</t>
  </si>
  <si>
    <t xml:space="preserve">* DLL distrubution for use in other applications</t>
  </si>
  <si>
    <t xml:space="preserve">* Freebasic translation</t>
  </si>
  <si>
    <t xml:space="preserve">* Fixed small error in Cv Region 5 p&gt;1000bar</t>
  </si>
  <si>
    <t xml:space="preserve">News in V2.4a</t>
  </si>
  <si>
    <t xml:space="preserve">Fixed unit conversion in T_ps region4 (No effekt for SI units.)</t>
  </si>
  <si>
    <t xml:space="preserve">News in V2.4</t>
  </si>
  <si>
    <t xml:space="preserve">* TODO!!! Check Cv in region 5</t>
  </si>
  <si>
    <t xml:space="preserve">* ToDO!!! Tc och my not def. In region 4</t>
  </si>
  <si>
    <t xml:space="preserve">* OpenOffice version introduced. (Fixed calculation differences in open office and excel)</t>
  </si>
  <si>
    <t xml:space="preserve">* Matlab error giving varaible undefined in some backwards solutions fixed.</t>
  </si>
  <si>
    <t xml:space="preserve">News in V2.3</t>
  </si>
  <si>
    <t xml:space="preserve">* Option Explicit, gives more efficient calculations.</t>
  </si>
  <si>
    <t xml:space="preserve">* Extensive testing</t>
  </si>
  <si>
    <t xml:space="preserve">* my_ph not defined in region 4.</t>
  </si>
  <si>
    <t xml:space="preserve">* Problems at region border for h4V_p to adress solver problems at the exact border.</t>
  </si>
  <si>
    <t xml:space="preserve">* Problem at fast border check in region_ph fixed.</t>
  </si>
  <si>
    <t xml:space="preserve">News in V2.2</t>
  </si>
  <si>
    <t xml:space="preserve">* Fixed error in Cp_ph</t>
  </si>
  <si>
    <t xml:space="preserve">* Function p_hrho added. (Very good for calcualting pressure when heating a volume with water/steam mixture.)</t>
  </si>
  <si>
    <t xml:space="preserve">* Fixed error in T_hs return no value for vet region bellow the water saturation line.</t>
  </si>
  <si>
    <t xml:space="preserve">* Prandtl number added</t>
  </si>
  <si>
    <t xml:space="preserve">News in V2.1</t>
  </si>
  <si>
    <t xml:space="preserve">* Calling function h_prho</t>
  </si>
  <si>
    <t xml:space="preserve">* Fixed problem with Cv reporting NaN in region 5.</t>
  </si>
  <si>
    <t xml:space="preserve">* Equivivalent to the Matlab version. (Downloadable from www.x-eng.com)</t>
  </si>
  <si>
    <t xml:space="preserve">News in V2</t>
  </si>
  <si>
    <t xml:space="preserve">* Calling functions of h and s added.</t>
  </si>
  <si>
    <t xml:space="preserve">* Thermal conductivity, Surface tension added</t>
  </si>
  <si>
    <t xml:space="preserve">* Calling functions h_px and h_tx added.</t>
  </si>
  <si>
    <t xml:space="preserve">* Cp, Cv and w undefined in the mixed region. (Before interpolation with the vapor fraction was used.)</t>
  </si>
  <si>
    <t xml:space="preserve">* A work sheet ""Properties"" for simple lookups added.</t>
  </si>
  <si>
    <t xml:space="preserve">* A work sheet "Properties" for simple lookups added.</t>
  </si>
  <si>
    <t xml:space="preserve">p</t>
  </si>
  <si>
    <t xml:space="preserve">s</t>
  </si>
  <si>
    <t xml:space="preserve">T</t>
  </si>
  <si>
    <t xml:space="preserve">h</t>
  </si>
  <si>
    <t xml:space="preserve">rho</t>
  </si>
  <si>
    <t xml:space="preserve">x</t>
  </si>
  <si>
    <t xml:space="preserve">w(p,t)</t>
  </si>
</sst>
</file>

<file path=xl/styles.xml><?xml version="1.0" encoding="utf-8"?>
<styleSheet xmlns="http://schemas.openxmlformats.org/spreadsheetml/2006/main">
  <numFmts count="7">
    <numFmt numFmtId="164" formatCode="General"/>
    <numFmt numFmtId="165" formatCode="0.00"/>
    <numFmt numFmtId="166" formatCode="0.000"/>
    <numFmt numFmtId="167" formatCode="0.0"/>
    <numFmt numFmtId="168" formatCode="0.0000E+00"/>
    <numFmt numFmtId="169" formatCode="0.0000"/>
    <numFmt numFmtId="170" formatCode="0.00E+00"/>
  </numFmts>
  <fonts count="17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4"/>
      <name val="Arial"/>
      <family val="2"/>
      <charset val="1"/>
    </font>
    <font>
      <sz val="10"/>
      <name val="Arial"/>
      <family val="2"/>
      <charset val="1"/>
    </font>
    <font>
      <sz val="8"/>
      <name val="Arial"/>
      <family val="2"/>
      <charset val="1"/>
    </font>
    <font>
      <b val="true"/>
      <sz val="10"/>
      <name val="Arial"/>
      <family val="2"/>
      <charset val="1"/>
    </font>
    <font>
      <u val="single"/>
      <sz val="8"/>
      <color rgb="FF0000FF"/>
      <name val="Arial"/>
      <family val="2"/>
      <charset val="1"/>
    </font>
    <font>
      <u val="single"/>
      <sz val="10"/>
      <color rgb="FF0000FF"/>
      <name val="Arial"/>
      <family val="0"/>
      <charset val="1"/>
    </font>
    <font>
      <sz val="14"/>
      <name val="Arial"/>
      <family val="2"/>
      <charset val="1"/>
    </font>
    <font>
      <b val="true"/>
      <u val="single"/>
      <sz val="8"/>
      <color rgb="FF0000FF"/>
      <name val="Arial"/>
      <family val="2"/>
      <charset val="1"/>
    </font>
    <font>
      <b val="true"/>
      <sz val="8"/>
      <name val="Arial"/>
      <family val="2"/>
      <charset val="1"/>
    </font>
    <font>
      <u val="single"/>
      <sz val="8"/>
      <color rgb="FF0000FF"/>
      <name val="Arial"/>
      <family val="0"/>
      <charset val="1"/>
    </font>
    <font>
      <b val="true"/>
      <i val="true"/>
      <sz val="12"/>
      <name val="Arial"/>
      <family val="2"/>
      <charset val="1"/>
    </font>
    <font>
      <i val="true"/>
      <sz val="10"/>
      <name val="Arial"/>
      <family val="2"/>
      <charset val="1"/>
    </font>
    <font>
      <b val="true"/>
      <i val="true"/>
      <sz val="10"/>
      <name val="Arial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CCFFFF"/>
        <bgColor rgb="FFD9FFFF"/>
      </patternFill>
    </fill>
    <fill>
      <patternFill patternType="solid">
        <fgColor rgb="FFD9FFFF"/>
        <bgColor rgb="FFCCFFFF"/>
      </patternFill>
    </fill>
  </fills>
  <borders count="9">
    <border diagonalUp="false" diagonalDown="false">
      <left/>
      <right/>
      <top/>
      <bottom/>
      <diagonal/>
    </border>
    <border diagonalUp="false" diagonalDown="false">
      <left style="thin">
        <color rgb="FF667384"/>
      </left>
      <right/>
      <top style="thin">
        <color rgb="FF667384"/>
      </top>
      <bottom/>
      <diagonal/>
    </border>
    <border diagonalUp="false" diagonalDown="false">
      <left/>
      <right/>
      <top style="thin">
        <color rgb="FF667384"/>
      </top>
      <bottom/>
      <diagonal/>
    </border>
    <border diagonalUp="false" diagonalDown="false">
      <left/>
      <right style="thin">
        <color rgb="FF667384"/>
      </right>
      <top style="thin">
        <color rgb="FF667384"/>
      </top>
      <bottom/>
      <diagonal/>
    </border>
    <border diagonalUp="false" diagonalDown="false">
      <left style="thin">
        <color rgb="FF667384"/>
      </left>
      <right/>
      <top/>
      <bottom/>
      <diagonal/>
    </border>
    <border diagonalUp="false" diagonalDown="false">
      <left/>
      <right style="thin">
        <color rgb="FF667384"/>
      </right>
      <top/>
      <bottom/>
      <diagonal/>
    </border>
    <border diagonalUp="false" diagonalDown="false">
      <left style="thin">
        <color rgb="FF667384"/>
      </left>
      <right/>
      <top/>
      <bottom style="thin">
        <color rgb="FF667384"/>
      </bottom>
      <diagonal/>
    </border>
    <border diagonalUp="false" diagonalDown="false">
      <left/>
      <right/>
      <top/>
      <bottom style="thin">
        <color rgb="FF667384"/>
      </bottom>
      <diagonal/>
    </border>
    <border diagonalUp="false" diagonalDown="false">
      <left/>
      <right style="thin">
        <color rgb="FF667384"/>
      </right>
      <top/>
      <bottom style="thin">
        <color rgb="FF667384"/>
      </bottom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9" fillId="0" borderId="0" applyFont="true" applyBorder="false" applyAlignment="true" applyProtection="false">
      <alignment horizontal="general" vertical="bottom" textRotation="0" wrapText="false" indent="0" shrinkToFit="false"/>
    </xf>
  </cellStyleXfs>
  <cellXfs count="3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0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7" fillId="3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*unknown*" xfId="20" builtinId="8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9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7384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sharedStrings" Target="sharedStrings.xml"/>
</Relationships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<Relationship Id="rId2" Type="http://schemas.openxmlformats.org/officeDocument/2006/relationships/hyperlink" Target="mailto:magnus@x-eng.com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2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8" activeCellId="0" sqref="C8"/>
    </sheetView>
  </sheetViews>
  <sheetFormatPr defaultRowHeight="12.75" zeroHeight="false" outlineLevelRow="0" outlineLevelCol="0"/>
  <cols>
    <col collapsed="false" customWidth="true" hidden="false" outlineLevel="0" max="1" min="1" style="0" width="2.57"/>
    <col collapsed="false" customWidth="true" hidden="false" outlineLevel="0" max="2" min="2" style="0" width="20.97"/>
    <col collapsed="false" customWidth="true" hidden="false" outlineLevel="0" max="4" min="3" style="0" width="9.05"/>
    <col collapsed="false" customWidth="true" hidden="false" outlineLevel="0" max="5" min="5" style="0" width="4.7"/>
    <col collapsed="false" customWidth="true" hidden="false" outlineLevel="0" max="6" min="6" style="0" width="20.68"/>
    <col collapsed="false" customWidth="true" hidden="false" outlineLevel="0" max="1025" min="7" style="0" width="9.05"/>
  </cols>
  <sheetData>
    <row r="1" customFormat="false" ht="18" hidden="false" customHeight="false" outlineLevel="0" collapsed="false">
      <c r="B1" s="1" t="s">
        <v>0</v>
      </c>
    </row>
    <row r="2" s="2" customFormat="true" ht="12.75" hidden="false" customHeight="false" outlineLevel="0" collapsed="false">
      <c r="B2" s="3" t="s">
        <v>1</v>
      </c>
      <c r="D2" s="3" t="s">
        <v>2</v>
      </c>
    </row>
    <row r="3" s="2" customFormat="true" ht="12.75" hidden="false" customHeight="false" outlineLevel="0" collapsed="false">
      <c r="B3" s="3" t="s">
        <v>3</v>
      </c>
      <c r="D3" s="3" t="s">
        <v>4</v>
      </c>
      <c r="H3" s="4"/>
      <c r="I3" s="4"/>
    </row>
    <row r="4" customFormat="false" ht="12.75" hidden="false" customHeight="false" outlineLevel="0" collapsed="false">
      <c r="B4" s="5" t="s">
        <v>5</v>
      </c>
      <c r="D4" s="3" t="s">
        <v>6</v>
      </c>
      <c r="H4" s="4"/>
      <c r="I4" s="4"/>
      <c r="J4" s="2"/>
    </row>
    <row r="5" customFormat="false" ht="12.75" hidden="false" customHeight="false" outlineLevel="0" collapsed="false">
      <c r="B5" s="6"/>
      <c r="H5" s="4"/>
      <c r="I5" s="4"/>
      <c r="J5" s="2"/>
    </row>
    <row r="6" customFormat="false" ht="12.75" hidden="false" customHeight="false" outlineLevel="0" collapsed="false">
      <c r="B6" s="7" t="s">
        <v>7</v>
      </c>
      <c r="C6" s="8"/>
      <c r="D6" s="8"/>
      <c r="E6" s="8"/>
      <c r="F6" s="7" t="s">
        <v>8</v>
      </c>
      <c r="G6" s="8"/>
      <c r="H6" s="8"/>
    </row>
    <row r="7" customFormat="false" ht="12.75" hidden="false" customHeight="false" outlineLevel="0" collapsed="false">
      <c r="A7" s="8"/>
      <c r="B7" s="9" t="s">
        <v>9</v>
      </c>
      <c r="C7" s="10" t="n">
        <v>50</v>
      </c>
      <c r="D7" s="11" t="s">
        <v>10</v>
      </c>
      <c r="E7" s="8"/>
      <c r="F7" s="9" t="s">
        <v>11</v>
      </c>
      <c r="G7" s="12" t="n">
        <v>12.57</v>
      </c>
      <c r="H7" s="11" t="s">
        <v>12</v>
      </c>
      <c r="I7" s="8"/>
    </row>
    <row r="8" customFormat="false" ht="12.75" hidden="false" customHeight="false" outlineLevel="0" collapsed="false">
      <c r="A8" s="8"/>
      <c r="B8" s="13" t="s">
        <v>13</v>
      </c>
      <c r="C8" s="14" t="n">
        <f aca="false">PSAT_T(C7)</f>
        <v>0.178133010007699</v>
      </c>
      <c r="D8" s="15" t="s">
        <v>12</v>
      </c>
      <c r="E8" s="8"/>
      <c r="F8" s="13" t="s">
        <v>14</v>
      </c>
      <c r="G8" s="16" t="n">
        <f aca="false">TSAT_P(G7)</f>
        <v>204.177777919275</v>
      </c>
      <c r="H8" s="15" t="s">
        <v>10</v>
      </c>
      <c r="I8" s="8"/>
    </row>
    <row r="9" customFormat="false" ht="12.75" hidden="false" customHeight="false" outlineLevel="0" collapsed="false">
      <c r="A9" s="8"/>
      <c r="B9" s="17" t="s">
        <v>15</v>
      </c>
      <c r="C9" s="8"/>
      <c r="D9" s="15"/>
      <c r="F9" s="17" t="s">
        <v>15</v>
      </c>
      <c r="G9" s="8"/>
      <c r="H9" s="15"/>
      <c r="I9" s="8"/>
    </row>
    <row r="10" customFormat="false" ht="12.75" hidden="false" customHeight="false" outlineLevel="0" collapsed="false">
      <c r="A10" s="8"/>
      <c r="B10" s="13" t="s">
        <v>16</v>
      </c>
      <c r="C10" s="18" t="n">
        <f aca="false">HL_T(C7)</f>
        <v>18.0658162719191</v>
      </c>
      <c r="D10" s="15" t="s">
        <v>17</v>
      </c>
      <c r="E10" s="8"/>
      <c r="F10" s="13" t="s">
        <v>16</v>
      </c>
      <c r="G10" s="18" t="n">
        <f aca="false">HL_P(G7)</f>
        <v>172.30242549738</v>
      </c>
      <c r="H10" s="15" t="s">
        <v>17</v>
      </c>
      <c r="I10" s="8"/>
    </row>
    <row r="11" customFormat="false" ht="12.75" hidden="false" customHeight="false" outlineLevel="0" collapsed="false">
      <c r="A11" s="8"/>
      <c r="B11" s="13" t="s">
        <v>18</v>
      </c>
      <c r="C11" s="16" t="n">
        <f aca="false">RHOL_T(C7)</f>
        <v>62.4063426187782</v>
      </c>
      <c r="D11" s="15" t="s">
        <v>19</v>
      </c>
      <c r="E11" s="8"/>
      <c r="F11" s="13" t="s">
        <v>18</v>
      </c>
      <c r="G11" s="16" t="n">
        <f aca="false">RHOL_P(G7)</f>
        <v>60.0202091370881</v>
      </c>
      <c r="H11" s="15" t="s">
        <v>19</v>
      </c>
      <c r="I11" s="8"/>
    </row>
    <row r="12" customFormat="false" ht="12.75" hidden="false" customHeight="false" outlineLevel="0" collapsed="false">
      <c r="A12" s="8"/>
      <c r="B12" s="13" t="s">
        <v>20</v>
      </c>
      <c r="C12" s="16" t="n">
        <f aca="false">SL_T(C7)</f>
        <v>0.0360860529032756</v>
      </c>
      <c r="D12" s="15" t="s">
        <v>21</v>
      </c>
      <c r="E12" s="8"/>
      <c r="F12" s="13" t="s">
        <v>20</v>
      </c>
      <c r="G12" s="16" t="n">
        <f aca="false">SL_P(G7)</f>
        <v>0.300387442243574</v>
      </c>
      <c r="H12" s="15" t="s">
        <v>21</v>
      </c>
      <c r="I12" s="8"/>
    </row>
    <row r="13" customFormat="false" ht="12.75" hidden="false" customHeight="false" outlineLevel="0" collapsed="false">
      <c r="A13" s="8"/>
      <c r="B13" s="17" t="s">
        <v>22</v>
      </c>
      <c r="C13" s="8"/>
      <c r="D13" s="15"/>
      <c r="F13" s="17" t="s">
        <v>22</v>
      </c>
      <c r="G13" s="8"/>
      <c r="H13" s="15"/>
      <c r="I13" s="8"/>
    </row>
    <row r="14" customFormat="false" ht="12.75" hidden="false" customHeight="false" outlineLevel="0" collapsed="false">
      <c r="A14" s="8"/>
      <c r="B14" s="13" t="s">
        <v>23</v>
      </c>
      <c r="C14" s="18" t="n">
        <f aca="false">HV_T(C7)</f>
        <v>1083.07387744644</v>
      </c>
      <c r="D14" s="15" t="s">
        <v>17</v>
      </c>
      <c r="E14" s="8"/>
      <c r="F14" s="13" t="s">
        <v>23</v>
      </c>
      <c r="G14" s="18" t="n">
        <f aca="false">HV_P(G7)</f>
        <v>1147.3184908806</v>
      </c>
      <c r="H14" s="15" t="s">
        <v>17</v>
      </c>
      <c r="I14" s="8"/>
    </row>
    <row r="15" customFormat="false" ht="12.75" hidden="false" customHeight="false" outlineLevel="0" collapsed="false">
      <c r="A15" s="8"/>
      <c r="B15" s="13" t="s">
        <v>24</v>
      </c>
      <c r="C15" s="16" t="n">
        <f aca="false">RHOV_T(C7)</f>
        <v>0.000587232864567547</v>
      </c>
      <c r="D15" s="15" t="s">
        <v>19</v>
      </c>
      <c r="E15" s="8"/>
      <c r="F15" s="13" t="s">
        <v>24</v>
      </c>
      <c r="G15" s="16" t="n">
        <f aca="false">RHOV_P(G7)</f>
        <v>0.0322355421635255</v>
      </c>
      <c r="H15" s="15" t="s">
        <v>19</v>
      </c>
      <c r="I15" s="8"/>
    </row>
    <row r="16" customFormat="false" ht="12.75" hidden="false" customHeight="false" outlineLevel="0" collapsed="false">
      <c r="A16" s="8"/>
      <c r="B16" s="13" t="s">
        <v>25</v>
      </c>
      <c r="C16" s="16" t="n">
        <f aca="false">SV_T(C7)</f>
        <v>2.12569167873906</v>
      </c>
      <c r="D16" s="15" t="s">
        <v>21</v>
      </c>
      <c r="E16" s="8"/>
      <c r="F16" s="13" t="s">
        <v>26</v>
      </c>
      <c r="G16" s="16" t="n">
        <f aca="false">SV_P(G7)</f>
        <v>1.76911437146751</v>
      </c>
      <c r="H16" s="15" t="s">
        <v>21</v>
      </c>
      <c r="I16" s="8"/>
    </row>
    <row r="17" customFormat="false" ht="12.75" hidden="false" customHeight="false" outlineLevel="0" collapsed="false">
      <c r="A17" s="8"/>
      <c r="B17" s="19" t="s">
        <v>27</v>
      </c>
      <c r="C17" s="20" t="n">
        <f aca="false">C14-C10</f>
        <v>1065.00806117452</v>
      </c>
      <c r="D17" s="21" t="s">
        <v>17</v>
      </c>
      <c r="E17" s="8"/>
      <c r="F17" s="19" t="s">
        <v>27</v>
      </c>
      <c r="G17" s="20" t="n">
        <f aca="false">G14-G10</f>
        <v>975.016065383219</v>
      </c>
      <c r="H17" s="21" t="s">
        <v>17</v>
      </c>
      <c r="I17" s="8"/>
    </row>
    <row r="18" customFormat="false" ht="12.75" hidden="false" customHeight="false" outlineLevel="0" collapsed="false">
      <c r="A18" s="8"/>
      <c r="I18" s="8"/>
    </row>
    <row r="19" customFormat="false" ht="12.75" hidden="false" customHeight="false" outlineLevel="0" collapsed="false">
      <c r="A19" s="8"/>
      <c r="B19" s="7" t="s">
        <v>28</v>
      </c>
      <c r="C19" s="8"/>
      <c r="D19" s="8"/>
      <c r="E19" s="8"/>
      <c r="F19" s="7" t="s">
        <v>29</v>
      </c>
      <c r="G19" s="8"/>
      <c r="H19" s="8"/>
      <c r="I19" s="8"/>
    </row>
    <row r="20" customFormat="false" ht="12.75" hidden="false" customHeight="false" outlineLevel="0" collapsed="false">
      <c r="A20" s="8"/>
      <c r="B20" s="9" t="s">
        <v>11</v>
      </c>
      <c r="C20" s="10" t="n">
        <v>100</v>
      </c>
      <c r="D20" s="11" t="s">
        <v>12</v>
      </c>
      <c r="E20" s="8"/>
      <c r="F20" s="9" t="s">
        <v>11</v>
      </c>
      <c r="G20" s="10" t="n">
        <v>12.57</v>
      </c>
      <c r="H20" s="11" t="s">
        <v>12</v>
      </c>
      <c r="I20" s="8"/>
    </row>
    <row r="21" customFormat="false" ht="12.75" hidden="false" customHeight="false" outlineLevel="0" collapsed="false">
      <c r="A21" s="8"/>
      <c r="B21" s="22" t="s">
        <v>9</v>
      </c>
      <c r="C21" s="23" t="n">
        <v>50</v>
      </c>
      <c r="D21" s="24" t="s">
        <v>10</v>
      </c>
      <c r="E21" s="8"/>
      <c r="F21" s="22" t="s">
        <v>16</v>
      </c>
      <c r="G21" s="23" t="n">
        <v>2788</v>
      </c>
      <c r="H21" s="24" t="s">
        <v>17</v>
      </c>
      <c r="I21" s="8"/>
    </row>
    <row r="22" customFormat="false" ht="12.75" hidden="false" customHeight="false" outlineLevel="0" collapsed="false">
      <c r="A22" s="8"/>
      <c r="B22" s="13" t="s">
        <v>16</v>
      </c>
      <c r="C22" s="18" t="n">
        <f aca="false">H_PT(C20,C21)</f>
        <v>18.3543276008491</v>
      </c>
      <c r="D22" s="15" t="s">
        <v>17</v>
      </c>
      <c r="E22" s="8"/>
      <c r="F22" s="13" t="s">
        <v>9</v>
      </c>
      <c r="G22" s="18" t="n">
        <f aca="false">T_PH(G20,G21)</f>
        <v>3074.57074832916</v>
      </c>
      <c r="H22" s="15" t="s">
        <v>10</v>
      </c>
      <c r="I22" s="8"/>
    </row>
    <row r="23" customFormat="false" ht="12.75" hidden="false" customHeight="false" outlineLevel="0" collapsed="false">
      <c r="A23" s="8"/>
      <c r="B23" s="13" t="s">
        <v>18</v>
      </c>
      <c r="C23" s="16" t="n">
        <f aca="false">RHO_PT(C20,C21)</f>
        <v>62.4268592811154</v>
      </c>
      <c r="D23" s="15" t="s">
        <v>19</v>
      </c>
      <c r="E23" s="8"/>
      <c r="F23" s="13" t="s">
        <v>18</v>
      </c>
      <c r="G23" s="16" t="n">
        <f aca="false">RHO_PH(G20,G21)</f>
        <v>0.00597034521663359</v>
      </c>
      <c r="H23" s="15" t="s">
        <v>19</v>
      </c>
      <c r="I23" s="8"/>
    </row>
    <row r="24" customFormat="false" ht="12.75" hidden="false" customHeight="false" outlineLevel="0" collapsed="false">
      <c r="A24" s="8"/>
      <c r="B24" s="13" t="s">
        <v>20</v>
      </c>
      <c r="C24" s="16" t="n">
        <f aca="false">S_PT(C20,C21)</f>
        <v>0.0360714636645231</v>
      </c>
      <c r="D24" s="15" t="s">
        <v>21</v>
      </c>
      <c r="E24" s="8"/>
      <c r="F24" s="13" t="s">
        <v>20</v>
      </c>
      <c r="G24" s="16" t="n">
        <f aca="false">S_PH(G20,G21)</f>
        <v>2.67427631424998</v>
      </c>
      <c r="H24" s="15" t="s">
        <v>21</v>
      </c>
      <c r="I24" s="8"/>
    </row>
    <row r="25" customFormat="false" ht="12.75" hidden="false" customHeight="false" outlineLevel="0" collapsed="false">
      <c r="A25" s="8"/>
      <c r="B25" s="13" t="s">
        <v>30</v>
      </c>
      <c r="C25" s="0" t="n">
        <f aca="false">X_PH(C20,C22)*100</f>
        <v>0</v>
      </c>
      <c r="D25" s="15" t="s">
        <v>31</v>
      </c>
      <c r="F25" s="13" t="s">
        <v>30</v>
      </c>
      <c r="G25" s="0" t="n">
        <f aca="false">X_PH(G20,G21)*100</f>
        <v>100</v>
      </c>
      <c r="H25" s="15" t="s">
        <v>31</v>
      </c>
      <c r="I25" s="8"/>
    </row>
    <row r="26" customFormat="false" ht="12.75" hidden="false" customHeight="false" outlineLevel="0" collapsed="false">
      <c r="A26" s="8"/>
      <c r="B26" s="13" t="s">
        <v>32</v>
      </c>
      <c r="C26" s="8" t="n">
        <f aca="false">REGION_PT(C20/10,C21+273.15)</f>
        <v>1</v>
      </c>
      <c r="D26" s="15"/>
      <c r="E26" s="8"/>
      <c r="F26" s="13" t="s">
        <v>32</v>
      </c>
      <c r="G26" s="8" t="n">
        <f aca="false">REGION_PH(G20/10,G21)</f>
        <v>2</v>
      </c>
      <c r="H26" s="15"/>
      <c r="I26" s="8"/>
    </row>
    <row r="27" customFormat="false" ht="12.75" hidden="false" customHeight="false" outlineLevel="0" collapsed="false">
      <c r="A27" s="8"/>
      <c r="B27" s="13" t="s">
        <v>33</v>
      </c>
      <c r="C27" s="25" t="str">
        <f aca="false">IF(C26=2,"Steam",IF(C26=1,"Liquid",IF(C26=4,"Mixture","")))</f>
        <v>Liquid</v>
      </c>
      <c r="D27" s="15"/>
      <c r="E27" s="8"/>
      <c r="F27" s="13" t="s">
        <v>33</v>
      </c>
      <c r="G27" s="25" t="str">
        <f aca="false">IF(G26=2,"Steam",IF(G26=1,"Liquid",IF(G26=4,"Mixture","")))</f>
        <v>Steam</v>
      </c>
      <c r="H27" s="15"/>
      <c r="I27" s="8"/>
    </row>
    <row r="28" customFormat="false" ht="12.75" hidden="false" customHeight="false" outlineLevel="0" collapsed="false">
      <c r="B28" s="13" t="s">
        <v>34</v>
      </c>
      <c r="C28" s="8" t="n">
        <f aca="false">CP_PT(C20,C21)</f>
        <v>1.00153403274248</v>
      </c>
      <c r="D28" s="15" t="s">
        <v>21</v>
      </c>
      <c r="F28" s="13" t="s">
        <v>34</v>
      </c>
      <c r="G28" s="8" t="n">
        <f aca="false">CP_PH(G20,G21)</f>
        <v>0.675241793358235</v>
      </c>
      <c r="H28" s="15" t="s">
        <v>21</v>
      </c>
    </row>
    <row r="29" customFormat="false" ht="12.75" hidden="false" customHeight="false" outlineLevel="0" collapsed="false">
      <c r="B29" s="19" t="s">
        <v>35</v>
      </c>
      <c r="C29" s="26" t="n">
        <f aca="false">W_PT(C20,C21)</f>
        <v>4752.24019778972</v>
      </c>
      <c r="D29" s="21" t="s">
        <v>36</v>
      </c>
      <c r="F29" s="19" t="s">
        <v>35</v>
      </c>
      <c r="G29" s="26" t="n">
        <f aca="false">W_PH(G20,G21)</f>
        <v>3414.43914364174</v>
      </c>
      <c r="H29" s="21" t="s">
        <v>36</v>
      </c>
    </row>
  </sheetData>
  <hyperlinks>
    <hyperlink ref="B4" r:id="rId1" display="www.x-eng.com"/>
  </hyperlinks>
  <printOptions headings="false" gridLines="false" gridLinesSet="true" horizontalCentered="false" verticalCentered="false"/>
  <pageMargins left="0.747916666666667" right="0.747916666666667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M152"/>
  <sheetViews>
    <sheetView showFormulas="false" showGridLines="true" showRowColHeaders="true" showZeros="true" rightToLeft="false" tabSelected="false" showOutlineSymbols="true" defaultGridColor="true" view="normal" topLeftCell="A7" colorId="64" zoomScale="100" zoomScaleNormal="100" zoomScalePageLayoutView="100" workbookViewId="0">
      <selection pane="topLeft" activeCell="C51" activeCellId="0" sqref="C51"/>
    </sheetView>
  </sheetViews>
  <sheetFormatPr defaultRowHeight="12.75" zeroHeight="false" outlineLevelRow="1" outlineLevelCol="0"/>
  <cols>
    <col collapsed="false" customWidth="true" hidden="false" outlineLevel="0" max="1" min="1" style="0" width="11.69"/>
    <col collapsed="false" customWidth="true" hidden="false" outlineLevel="0" max="2" min="2" style="0" width="4.7"/>
    <col collapsed="false" customWidth="true" hidden="false" outlineLevel="0" max="3" min="3" style="0" width="7.68"/>
    <col collapsed="false" customWidth="true" hidden="false" outlineLevel="0" max="4" min="4" style="0" width="4.7"/>
    <col collapsed="false" customWidth="true" hidden="false" outlineLevel="0" max="5" min="5" style="0" width="8.27"/>
    <col collapsed="false" customWidth="true" hidden="false" outlineLevel="0" max="6" min="6" style="4" width="9.98"/>
    <col collapsed="false" customWidth="true" hidden="false" outlineLevel="0" max="7" min="7" style="4" width="10.27"/>
    <col collapsed="false" customWidth="true" hidden="false" outlineLevel="0" max="8" min="8" style="2" width="7.55"/>
    <col collapsed="false" customWidth="true" hidden="false" outlineLevel="0" max="1025" min="9" style="0" width="9.05"/>
  </cols>
  <sheetData>
    <row r="1" s="27" customFormat="true" ht="18" hidden="false" customHeight="false" outlineLevel="0" collapsed="false">
      <c r="A1" s="1" t="s">
        <v>37</v>
      </c>
      <c r="D1" s="2" t="s">
        <v>38</v>
      </c>
      <c r="E1" s="28" t="s">
        <v>39</v>
      </c>
      <c r="F1" s="1"/>
      <c r="G1" s="1"/>
    </row>
    <row r="2" s="29" customFormat="true" ht="11.25" hidden="false" customHeight="false" outlineLevel="0" collapsed="false">
      <c r="A2" s="29" t="s">
        <v>40</v>
      </c>
    </row>
    <row r="3" s="3" customFormat="true" ht="11.25" hidden="false" customHeight="false" outlineLevel="0" collapsed="false">
      <c r="A3" s="3" t="s">
        <v>41</v>
      </c>
    </row>
    <row r="4" s="3" customFormat="true" ht="11.25" hidden="false" customHeight="false" outlineLevel="0" collapsed="false">
      <c r="A4" s="3" t="s">
        <v>42</v>
      </c>
      <c r="F4" s="30" t="s">
        <v>43</v>
      </c>
    </row>
    <row r="5" s="3" customFormat="true" ht="11.25" hidden="false" customHeight="false" outlineLevel="0" collapsed="false">
      <c r="A5" s="3" t="s">
        <v>4</v>
      </c>
    </row>
    <row r="6" customFormat="false" ht="12.75" hidden="false" customHeight="false" outlineLevel="0" collapsed="false">
      <c r="A6" s="29" t="s">
        <v>6</v>
      </c>
      <c r="B6" s="2"/>
      <c r="C6" s="2"/>
      <c r="D6" s="2"/>
      <c r="E6" s="2"/>
      <c r="F6" s="2"/>
      <c r="G6" s="2"/>
    </row>
    <row r="7" customFormat="false" ht="12.75" hidden="false" customHeight="false" outlineLevel="0" collapsed="false">
      <c r="A7" s="29"/>
      <c r="B7" s="2"/>
      <c r="C7" s="2"/>
      <c r="D7" s="2"/>
      <c r="E7" s="2"/>
      <c r="F7" s="2"/>
      <c r="G7" s="2"/>
    </row>
    <row r="8" s="32" customFormat="true" ht="15" hidden="false" customHeight="false" outlineLevel="0" collapsed="false">
      <c r="A8" s="31" t="s">
        <v>9</v>
      </c>
      <c r="F8" s="33"/>
      <c r="G8" s="33"/>
    </row>
    <row r="9" s="3" customFormat="true" ht="12.75" hidden="false" customHeight="false" outlineLevel="1" collapsed="false">
      <c r="A9" s="4" t="s">
        <v>44</v>
      </c>
      <c r="B9" s="2" t="n">
        <v>14.5037738</v>
      </c>
      <c r="C9" s="2" t="s">
        <v>45</v>
      </c>
      <c r="D9" s="2"/>
      <c r="E9" s="2"/>
      <c r="F9" s="4" t="n">
        <f aca="false">TSAT_P(B9)</f>
        <v>211.290653570884</v>
      </c>
      <c r="G9" s="4" t="s">
        <v>46</v>
      </c>
      <c r="H9" s="2" t="s">
        <v>14</v>
      </c>
    </row>
    <row r="10" s="3" customFormat="true" ht="12.75" hidden="false" customHeight="false" outlineLevel="1" collapsed="false">
      <c r="A10" s="4" t="s">
        <v>47</v>
      </c>
      <c r="B10" s="2" t="n">
        <v>1</v>
      </c>
      <c r="C10" s="2" t="s">
        <v>45</v>
      </c>
      <c r="D10" s="2" t="n">
        <v>100</v>
      </c>
      <c r="E10" s="2" t="s">
        <v>17</v>
      </c>
      <c r="F10" s="4" t="n">
        <f aca="false">T_PH(B10,D10)</f>
        <v>101.694337223529</v>
      </c>
      <c r="G10" s="4" t="s">
        <v>46</v>
      </c>
      <c r="H10" s="2" t="s">
        <v>48</v>
      </c>
    </row>
    <row r="11" s="3" customFormat="true" ht="12.75" hidden="false" customHeight="false" outlineLevel="1" collapsed="false">
      <c r="A11" s="4" t="s">
        <v>49</v>
      </c>
      <c r="B11" s="2" t="n">
        <v>1</v>
      </c>
      <c r="C11" s="2" t="s">
        <v>45</v>
      </c>
      <c r="D11" s="2" t="n">
        <v>1</v>
      </c>
      <c r="E11" s="2" t="s">
        <v>21</v>
      </c>
      <c r="F11" s="4" t="n">
        <f aca="false">T_PS(B11,D11)</f>
        <v>101.694337223529</v>
      </c>
      <c r="G11" s="4" t="s">
        <v>46</v>
      </c>
      <c r="H11" s="2" t="s">
        <v>50</v>
      </c>
    </row>
    <row r="12" s="3" customFormat="true" ht="12.75" hidden="false" customHeight="false" outlineLevel="1" collapsed="false">
      <c r="A12" s="4" t="s">
        <v>51</v>
      </c>
      <c r="B12" s="2" t="n">
        <v>100</v>
      </c>
      <c r="C12" s="2" t="s">
        <v>17</v>
      </c>
      <c r="D12" s="2" t="n">
        <v>0.2</v>
      </c>
      <c r="E12" s="2" t="s">
        <v>21</v>
      </c>
      <c r="F12" s="4" t="n">
        <f aca="false">T_HS(B12,D12)</f>
        <v>40.7127087611784</v>
      </c>
      <c r="G12" s="4" t="s">
        <v>46</v>
      </c>
      <c r="H12" s="2" t="s">
        <v>52</v>
      </c>
    </row>
    <row r="13" s="32" customFormat="true" ht="15" hidden="false" customHeight="false" outlineLevel="0" collapsed="false">
      <c r="A13" s="31" t="s">
        <v>11</v>
      </c>
      <c r="F13" s="33"/>
      <c r="G13" s="33"/>
    </row>
    <row r="14" s="3" customFormat="true" ht="12.75" hidden="false" customHeight="false" outlineLevel="1" collapsed="false">
      <c r="A14" s="4" t="s">
        <v>53</v>
      </c>
      <c r="B14" s="2" t="n">
        <v>100</v>
      </c>
      <c r="C14" s="2" t="s">
        <v>46</v>
      </c>
      <c r="D14" s="2"/>
      <c r="E14" s="2"/>
      <c r="F14" s="4" t="n">
        <f aca="false">PSAT_T(B14)</f>
        <v>0.950439330778813</v>
      </c>
      <c r="G14" s="4" t="s">
        <v>12</v>
      </c>
      <c r="H14" s="2" t="s">
        <v>13</v>
      </c>
    </row>
    <row r="15" s="3" customFormat="true" ht="12.75" hidden="false" customHeight="false" outlineLevel="1" collapsed="false">
      <c r="A15" s="4" t="s">
        <v>54</v>
      </c>
      <c r="B15" s="2" t="n">
        <v>100</v>
      </c>
      <c r="C15" s="2" t="s">
        <v>17</v>
      </c>
      <c r="D15" s="2" t="n">
        <f aca="false">F49</f>
        <v>0.185125247601107</v>
      </c>
      <c r="E15" s="2" t="s">
        <v>21</v>
      </c>
      <c r="F15" s="4" t="n">
        <f aca="false">P_HS(B15,D15)</f>
        <v>5.98829190742783</v>
      </c>
      <c r="G15" s="4" t="s">
        <v>12</v>
      </c>
      <c r="H15" s="2" t="s">
        <v>55</v>
      </c>
    </row>
    <row r="16" s="3" customFormat="true" ht="12.75" hidden="false" customHeight="false" outlineLevel="1" collapsed="false">
      <c r="A16" s="4" t="s">
        <v>56</v>
      </c>
      <c r="B16" s="2" t="n">
        <v>100</v>
      </c>
      <c r="C16" s="2" t="s">
        <v>17</v>
      </c>
      <c r="D16" s="2" t="n">
        <v>5</v>
      </c>
      <c r="E16" s="2" t="s">
        <v>57</v>
      </c>
      <c r="F16" s="4" t="n">
        <f aca="false">P_HRHO(B16,D16)</f>
        <v>2.27373191827474</v>
      </c>
      <c r="G16" s="4" t="s">
        <v>12</v>
      </c>
      <c r="H16" s="2" t="s">
        <v>58</v>
      </c>
    </row>
    <row r="17" s="32" customFormat="true" ht="15" hidden="false" customHeight="false" outlineLevel="0" collapsed="false">
      <c r="A17" s="31" t="s">
        <v>16</v>
      </c>
      <c r="F17" s="33"/>
      <c r="G17" s="33"/>
    </row>
    <row r="18" s="3" customFormat="true" ht="12.75" hidden="false" customHeight="false" outlineLevel="1" collapsed="false">
      <c r="A18" s="4" t="s">
        <v>59</v>
      </c>
      <c r="B18" s="2" t="n">
        <v>1</v>
      </c>
      <c r="C18" s="2" t="s">
        <v>45</v>
      </c>
      <c r="D18" s="2"/>
      <c r="E18" s="2"/>
      <c r="F18" s="4" t="n">
        <f aca="false">HV_P(B18)</f>
        <v>1105.439338664</v>
      </c>
      <c r="G18" s="4" t="s">
        <v>17</v>
      </c>
      <c r="H18" s="2" t="s">
        <v>60</v>
      </c>
    </row>
    <row r="19" s="3" customFormat="true" ht="12.75" hidden="false" customHeight="false" outlineLevel="1" collapsed="false">
      <c r="A19" s="4" t="s">
        <v>61</v>
      </c>
      <c r="B19" s="2" t="n">
        <v>1</v>
      </c>
      <c r="C19" s="2" t="s">
        <v>45</v>
      </c>
      <c r="D19" s="2"/>
      <c r="E19" s="2"/>
      <c r="F19" s="4" t="n">
        <f aca="false">HL_P(B19)</f>
        <v>69.7282390493548</v>
      </c>
      <c r="G19" s="4" t="s">
        <v>17</v>
      </c>
      <c r="H19" s="2" t="s">
        <v>62</v>
      </c>
    </row>
    <row r="20" s="3" customFormat="true" ht="12.75" hidden="false" customHeight="false" outlineLevel="1" collapsed="false">
      <c r="A20" s="4" t="s">
        <v>63</v>
      </c>
      <c r="B20" s="2" t="n">
        <v>100</v>
      </c>
      <c r="C20" s="2" t="s">
        <v>46</v>
      </c>
      <c r="D20" s="2"/>
      <c r="E20" s="2"/>
      <c r="F20" s="4" t="n">
        <f aca="false">HV_T(B20)</f>
        <v>1104.7148547166</v>
      </c>
      <c r="G20" s="4" t="s">
        <v>17</v>
      </c>
      <c r="H20" s="2" t="s">
        <v>60</v>
      </c>
    </row>
    <row r="21" s="3" customFormat="true" ht="12.75" hidden="false" customHeight="false" outlineLevel="1" collapsed="false">
      <c r="A21" s="4" t="s">
        <v>64</v>
      </c>
      <c r="B21" s="2" t="n">
        <v>100</v>
      </c>
      <c r="C21" s="2" t="s">
        <v>46</v>
      </c>
      <c r="D21" s="2"/>
      <c r="E21" s="2"/>
      <c r="F21" s="4" t="n">
        <f aca="false">HL_T(B21)</f>
        <v>68.0369856399939</v>
      </c>
      <c r="G21" s="4" t="s">
        <v>17</v>
      </c>
      <c r="H21" s="2" t="s">
        <v>62</v>
      </c>
    </row>
    <row r="22" s="3" customFormat="true" ht="12.75" hidden="false" customHeight="false" outlineLevel="1" collapsed="false">
      <c r="A22" s="4" t="s">
        <v>65</v>
      </c>
      <c r="B22" s="2" t="n">
        <v>14.5037738</v>
      </c>
      <c r="C22" s="2" t="s">
        <v>45</v>
      </c>
      <c r="D22" s="2" t="n">
        <v>68</v>
      </c>
      <c r="E22" s="2" t="s">
        <v>46</v>
      </c>
      <c r="F22" s="4" t="n">
        <f aca="false">H_PT(B22,D22)</f>
        <v>36.1185774579829</v>
      </c>
      <c r="G22" s="4" t="s">
        <v>17</v>
      </c>
      <c r="H22" s="2" t="s">
        <v>66</v>
      </c>
    </row>
    <row r="23" s="3" customFormat="true" ht="12.75" hidden="false" customHeight="false" outlineLevel="1" collapsed="false">
      <c r="A23" s="4" t="s">
        <v>67</v>
      </c>
      <c r="B23" s="2" t="n">
        <v>1</v>
      </c>
      <c r="C23" s="2" t="s">
        <v>45</v>
      </c>
      <c r="D23" s="2" t="n">
        <v>1</v>
      </c>
      <c r="E23" s="2" t="s">
        <v>21</v>
      </c>
      <c r="F23" s="4" t="n">
        <f aca="false">H_PS(B23,D23)</f>
        <v>556.636913648199</v>
      </c>
      <c r="G23" s="4" t="s">
        <v>17</v>
      </c>
      <c r="H23" s="2" t="s">
        <v>68</v>
      </c>
    </row>
    <row r="24" s="3" customFormat="true" ht="12.75" hidden="false" customHeight="false" outlineLevel="1" collapsed="false">
      <c r="A24" s="4" t="s">
        <v>69</v>
      </c>
      <c r="B24" s="2" t="n">
        <v>1</v>
      </c>
      <c r="C24" s="2" t="s">
        <v>45</v>
      </c>
      <c r="D24" s="2" t="n">
        <v>0.5</v>
      </c>
      <c r="E24" s="2"/>
      <c r="F24" s="4" t="n">
        <f aca="false">H_PX(B24,D24)</f>
        <v>587.583788856678</v>
      </c>
      <c r="G24" s="4" t="s">
        <v>17</v>
      </c>
      <c r="H24" s="2" t="s">
        <v>70</v>
      </c>
    </row>
    <row r="25" s="3" customFormat="true" ht="12.75" hidden="false" customHeight="false" outlineLevel="1" collapsed="false">
      <c r="A25" s="4" t="s">
        <v>71</v>
      </c>
      <c r="B25" s="2" t="n">
        <v>100</v>
      </c>
      <c r="C25" s="2" t="s">
        <v>46</v>
      </c>
      <c r="D25" s="2" t="n">
        <v>0.5</v>
      </c>
      <c r="E25" s="2"/>
      <c r="F25" s="4" t="n">
        <f aca="false">H_TX(B25,D25)</f>
        <v>586.375920178298</v>
      </c>
      <c r="G25" s="4" t="s">
        <v>17</v>
      </c>
      <c r="H25" s="2" t="s">
        <v>72</v>
      </c>
    </row>
    <row r="26" s="3" customFormat="true" ht="12.75" hidden="false" customHeight="false" outlineLevel="1" collapsed="false">
      <c r="A26" s="4" t="s">
        <v>73</v>
      </c>
      <c r="B26" s="2" t="n">
        <v>1</v>
      </c>
      <c r="C26" s="2" t="s">
        <v>45</v>
      </c>
      <c r="D26" s="2" t="n">
        <v>2</v>
      </c>
      <c r="E26" s="2" t="s">
        <v>57</v>
      </c>
      <c r="F26" s="4" t="n">
        <f aca="false">H_PRHO(B26,D26)</f>
        <v>71.2309539685793</v>
      </c>
      <c r="G26" s="4" t="s">
        <v>17</v>
      </c>
      <c r="H26" s="2" t="s">
        <v>74</v>
      </c>
    </row>
    <row r="27" s="32" customFormat="true" ht="15" hidden="false" customHeight="false" outlineLevel="0" collapsed="false">
      <c r="A27" s="31" t="s">
        <v>75</v>
      </c>
      <c r="F27" s="33"/>
      <c r="G27" s="33"/>
    </row>
    <row r="28" s="3" customFormat="true" ht="12.75" hidden="false" customHeight="false" outlineLevel="1" collapsed="false">
      <c r="A28" s="4" t="s">
        <v>76</v>
      </c>
      <c r="B28" s="2" t="n">
        <v>1</v>
      </c>
      <c r="C28" s="2" t="s">
        <v>45</v>
      </c>
      <c r="D28" s="2"/>
      <c r="E28" s="2"/>
      <c r="F28" s="4" t="n">
        <f aca="false">VV_P(B28)</f>
        <v>333.507518919018</v>
      </c>
      <c r="G28" s="4" t="s">
        <v>77</v>
      </c>
      <c r="H28" s="2" t="s">
        <v>78</v>
      </c>
    </row>
    <row r="29" s="3" customFormat="true" ht="12.75" hidden="false" customHeight="false" outlineLevel="1" collapsed="false">
      <c r="A29" s="4" t="s">
        <v>79</v>
      </c>
      <c r="B29" s="2" t="n">
        <v>1</v>
      </c>
      <c r="C29" s="2" t="s">
        <v>45</v>
      </c>
      <c r="D29" s="2"/>
      <c r="E29" s="2"/>
      <c r="F29" s="4" t="n">
        <f aca="false">VL_P(B29)</f>
        <v>0.0161368112086034</v>
      </c>
      <c r="G29" s="4" t="s">
        <v>77</v>
      </c>
      <c r="H29" s="2" t="s">
        <v>80</v>
      </c>
    </row>
    <row r="30" s="3" customFormat="true" ht="12.75" hidden="false" customHeight="false" outlineLevel="1" collapsed="false">
      <c r="A30" s="4" t="s">
        <v>81</v>
      </c>
      <c r="B30" s="2" t="n">
        <v>100</v>
      </c>
      <c r="C30" s="2" t="s">
        <v>46</v>
      </c>
      <c r="D30" s="2"/>
      <c r="E30" s="2"/>
      <c r="F30" s="4" t="n">
        <f aca="false">VV_T(B30)</f>
        <v>349.86959989747</v>
      </c>
      <c r="G30" s="4" t="s">
        <v>77</v>
      </c>
      <c r="H30" s="2" t="s">
        <v>78</v>
      </c>
    </row>
    <row r="31" s="3" customFormat="true" ht="12.75" hidden="false" customHeight="false" outlineLevel="1" collapsed="false">
      <c r="A31" s="4" t="s">
        <v>82</v>
      </c>
      <c r="B31" s="2" t="n">
        <v>100</v>
      </c>
      <c r="C31" s="2" t="s">
        <v>46</v>
      </c>
      <c r="D31" s="2"/>
      <c r="E31" s="2"/>
      <c r="F31" s="4" t="n">
        <f aca="false">VL_T(B31)</f>
        <v>0.0161311743270031</v>
      </c>
      <c r="G31" s="4" t="s">
        <v>77</v>
      </c>
      <c r="H31" s="2" t="s">
        <v>80</v>
      </c>
    </row>
    <row r="32" s="3" customFormat="true" ht="12.75" hidden="false" customHeight="false" outlineLevel="1" collapsed="false">
      <c r="A32" s="4" t="s">
        <v>83</v>
      </c>
      <c r="B32" s="2" t="n">
        <v>1</v>
      </c>
      <c r="C32" s="2" t="s">
        <v>45</v>
      </c>
      <c r="D32" s="2" t="n">
        <v>100</v>
      </c>
      <c r="E32" s="2" t="s">
        <v>46</v>
      </c>
      <c r="F32" s="4" t="n">
        <f aca="false">V_PT(B32,D32)</f>
        <v>0.0161311718912175</v>
      </c>
      <c r="G32" s="4" t="s">
        <v>77</v>
      </c>
      <c r="H32" s="2" t="s">
        <v>84</v>
      </c>
    </row>
    <row r="33" s="3" customFormat="true" ht="12.75" hidden="false" customHeight="false" outlineLevel="1" collapsed="false">
      <c r="A33" s="4" t="s">
        <v>85</v>
      </c>
      <c r="B33" s="2" t="n">
        <v>1</v>
      </c>
      <c r="C33" s="2" t="s">
        <v>45</v>
      </c>
      <c r="D33" s="2" t="n">
        <v>1000</v>
      </c>
      <c r="E33" s="2" t="s">
        <v>17</v>
      </c>
      <c r="F33" s="4" t="n">
        <f aca="false">V_PH(B33,D33)</f>
        <v>299.556824760508</v>
      </c>
      <c r="G33" s="4" t="s">
        <v>77</v>
      </c>
      <c r="H33" s="2" t="s">
        <v>86</v>
      </c>
    </row>
    <row r="34" s="3" customFormat="true" ht="12.75" hidden="false" customHeight="false" outlineLevel="1" collapsed="false">
      <c r="A34" s="4" t="s">
        <v>87</v>
      </c>
      <c r="B34" s="2" t="n">
        <v>10</v>
      </c>
      <c r="C34" s="2" t="s">
        <v>45</v>
      </c>
      <c r="D34" s="2" t="n">
        <f aca="false">F49</f>
        <v>0.185125247601107</v>
      </c>
      <c r="E34" s="2" t="s">
        <v>21</v>
      </c>
      <c r="F34" s="4" t="n">
        <f aca="false">V_PS(B34,D34)</f>
        <v>0.016255423844856</v>
      </c>
      <c r="G34" s="4" t="s">
        <v>77</v>
      </c>
      <c r="H34" s="2" t="s">
        <v>88</v>
      </c>
    </row>
    <row r="35" s="32" customFormat="true" ht="15" hidden="false" customHeight="false" outlineLevel="0" collapsed="false">
      <c r="A35" s="31" t="s">
        <v>18</v>
      </c>
      <c r="F35" s="33"/>
      <c r="G35" s="33"/>
    </row>
    <row r="36" s="3" customFormat="true" ht="12.75" hidden="false" customHeight="false" outlineLevel="1" collapsed="false">
      <c r="A36" s="4" t="s">
        <v>89</v>
      </c>
      <c r="B36" s="2" t="n">
        <v>1</v>
      </c>
      <c r="C36" s="2" t="s">
        <v>45</v>
      </c>
      <c r="D36" s="2"/>
      <c r="E36" s="2"/>
      <c r="F36" s="4" t="n">
        <f aca="false">RHOV_P(B36)</f>
        <v>0.00299843314849768</v>
      </c>
      <c r="G36" s="4" t="s">
        <v>57</v>
      </c>
      <c r="H36" s="2" t="s">
        <v>90</v>
      </c>
    </row>
    <row r="37" s="3" customFormat="true" ht="12.75" hidden="false" customHeight="false" outlineLevel="1" collapsed="false">
      <c r="A37" s="4" t="s">
        <v>91</v>
      </c>
      <c r="B37" s="2" t="n">
        <v>1</v>
      </c>
      <c r="C37" s="2" t="s">
        <v>45</v>
      </c>
      <c r="D37" s="2"/>
      <c r="E37" s="2"/>
      <c r="F37" s="4" t="n">
        <f aca="false">RHOL_P(B37)</f>
        <v>61.9701121288973</v>
      </c>
      <c r="G37" s="4" t="s">
        <v>57</v>
      </c>
      <c r="H37" s="2" t="s">
        <v>92</v>
      </c>
    </row>
    <row r="38" s="3" customFormat="true" ht="12.75" hidden="false" customHeight="false" outlineLevel="1" collapsed="false">
      <c r="A38" s="4" t="s">
        <v>93</v>
      </c>
      <c r="B38" s="2" t="n">
        <v>100</v>
      </c>
      <c r="C38" s="2" t="s">
        <v>46</v>
      </c>
      <c r="D38" s="2"/>
      <c r="E38" s="2"/>
      <c r="F38" s="4" t="n">
        <f aca="false">RHOV_T(B38)</f>
        <v>0.00285820774452268</v>
      </c>
      <c r="G38" s="4" t="s">
        <v>57</v>
      </c>
      <c r="H38" s="2" t="s">
        <v>90</v>
      </c>
    </row>
    <row r="39" s="3" customFormat="true" ht="12.75" hidden="false" customHeight="false" outlineLevel="1" collapsed="false">
      <c r="A39" s="4" t="s">
        <v>94</v>
      </c>
      <c r="B39" s="2" t="n">
        <v>100</v>
      </c>
      <c r="C39" s="2" t="s">
        <v>46</v>
      </c>
      <c r="D39" s="2"/>
      <c r="E39" s="2"/>
      <c r="F39" s="4" t="n">
        <f aca="false">RHOL_T(B39)</f>
        <v>61.9917669804131</v>
      </c>
      <c r="G39" s="4" t="s">
        <v>57</v>
      </c>
      <c r="H39" s="2" t="s">
        <v>92</v>
      </c>
    </row>
    <row r="40" s="3" customFormat="true" ht="12.75" hidden="false" customHeight="false" outlineLevel="1" collapsed="false">
      <c r="A40" s="4" t="s">
        <v>95</v>
      </c>
      <c r="B40" s="2" t="n">
        <v>1</v>
      </c>
      <c r="C40" s="2" t="s">
        <v>45</v>
      </c>
      <c r="D40" s="2" t="n">
        <v>100</v>
      </c>
      <c r="E40" s="2" t="s">
        <v>46</v>
      </c>
      <c r="F40" s="4" t="n">
        <f aca="false">RHO_PT(B40,D40)</f>
        <v>61.9917763410879</v>
      </c>
      <c r="G40" s="4" t="s">
        <v>57</v>
      </c>
      <c r="H40" s="2" t="s">
        <v>96</v>
      </c>
    </row>
    <row r="41" s="3" customFormat="true" ht="12.75" hidden="false" customHeight="false" outlineLevel="1" collapsed="false">
      <c r="A41" s="4" t="s">
        <v>97</v>
      </c>
      <c r="B41" s="2" t="n">
        <v>1</v>
      </c>
      <c r="C41" s="2" t="s">
        <v>45</v>
      </c>
      <c r="D41" s="2" t="n">
        <v>1000</v>
      </c>
      <c r="E41" s="2" t="s">
        <v>17</v>
      </c>
      <c r="F41" s="4" t="n">
        <f aca="false">RHO_PH(B41,D41)</f>
        <v>0.00333826478765586</v>
      </c>
      <c r="G41" s="4" t="s">
        <v>57</v>
      </c>
      <c r="H41" s="2" t="s">
        <v>98</v>
      </c>
    </row>
    <row r="42" s="3" customFormat="true" ht="12.75" hidden="false" customHeight="false" outlineLevel="1" collapsed="false">
      <c r="A42" s="4" t="s">
        <v>99</v>
      </c>
      <c r="B42" s="2" t="n">
        <v>1</v>
      </c>
      <c r="C42" s="2" t="s">
        <v>45</v>
      </c>
      <c r="D42" s="2" t="n">
        <v>1</v>
      </c>
      <c r="E42" s="2" t="s">
        <v>21</v>
      </c>
      <c r="F42" s="4" t="n">
        <f aca="false">RHO_PS(B42,D42)</f>
        <v>0.00637766649787366</v>
      </c>
      <c r="G42" s="4" t="s">
        <v>57</v>
      </c>
      <c r="H42" s="2" t="s">
        <v>100</v>
      </c>
    </row>
    <row r="43" s="32" customFormat="true" ht="15" hidden="false" customHeight="false" outlineLevel="0" collapsed="false">
      <c r="A43" s="31" t="s">
        <v>101</v>
      </c>
      <c r="F43" s="33"/>
      <c r="G43" s="33"/>
    </row>
    <row r="44" s="3" customFormat="true" ht="12.75" hidden="false" customHeight="false" outlineLevel="1" collapsed="false">
      <c r="A44" s="4" t="s">
        <v>102</v>
      </c>
      <c r="B44" s="2" t="n">
        <v>1</v>
      </c>
      <c r="C44" s="2" t="s">
        <v>45</v>
      </c>
      <c r="D44" s="2"/>
      <c r="E44" s="2"/>
      <c r="F44" s="4" t="n">
        <f aca="false">SV_P(B44)</f>
        <v>1.97762467964452</v>
      </c>
      <c r="G44" s="4" t="s">
        <v>21</v>
      </c>
      <c r="H44" s="2" t="s">
        <v>103</v>
      </c>
    </row>
    <row r="45" s="3" customFormat="true" ht="12.75" hidden="false" customHeight="false" outlineLevel="1" collapsed="false">
      <c r="A45" s="4" t="s">
        <v>104</v>
      </c>
      <c r="B45" s="2" t="n">
        <v>1</v>
      </c>
      <c r="C45" s="2" t="s">
        <v>45</v>
      </c>
      <c r="D45" s="2"/>
      <c r="E45" s="2"/>
      <c r="F45" s="4" t="n">
        <f aca="false">SL_P(B45)</f>
        <v>0.132631498472098</v>
      </c>
      <c r="G45" s="4" t="s">
        <v>21</v>
      </c>
      <c r="H45" s="2" t="s">
        <v>105</v>
      </c>
    </row>
    <row r="46" s="3" customFormat="true" ht="12.75" hidden="false" customHeight="false" outlineLevel="1" collapsed="false">
      <c r="A46" s="4" t="s">
        <v>106</v>
      </c>
      <c r="B46" s="2" t="n">
        <v>50</v>
      </c>
      <c r="C46" s="2" t="s">
        <v>46</v>
      </c>
      <c r="D46" s="2"/>
      <c r="E46" s="2"/>
      <c r="F46" s="4" t="n">
        <f aca="false">SV_T(B46)</f>
        <v>2.12569167873906</v>
      </c>
      <c r="G46" s="4" t="s">
        <v>21</v>
      </c>
      <c r="H46" s="2" t="s">
        <v>103</v>
      </c>
    </row>
    <row r="47" s="3" customFormat="true" ht="12.75" hidden="false" customHeight="false" outlineLevel="1" collapsed="false">
      <c r="A47" s="4" t="s">
        <v>107</v>
      </c>
      <c r="B47" s="2" t="n">
        <v>100</v>
      </c>
      <c r="C47" s="2" t="s">
        <v>46</v>
      </c>
      <c r="D47" s="2"/>
      <c r="E47" s="2"/>
      <c r="F47" s="4" t="n">
        <f aca="false">SL_T(B47)</f>
        <v>0.129614451305585</v>
      </c>
      <c r="G47" s="4" t="s">
        <v>21</v>
      </c>
      <c r="H47" s="2" t="s">
        <v>105</v>
      </c>
    </row>
    <row r="48" s="3" customFormat="true" ht="12.75" hidden="false" customHeight="false" outlineLevel="1" collapsed="false">
      <c r="A48" s="4" t="s">
        <v>108</v>
      </c>
      <c r="B48" s="2" t="n">
        <v>1</v>
      </c>
      <c r="C48" s="2" t="s">
        <v>45</v>
      </c>
      <c r="D48" s="2" t="n">
        <v>50</v>
      </c>
      <c r="E48" s="2" t="s">
        <v>46</v>
      </c>
      <c r="F48" s="4" t="n">
        <f aca="false">S_PT(B48,D48)</f>
        <v>0.0360859339008569</v>
      </c>
      <c r="G48" s="4" t="s">
        <v>21</v>
      </c>
      <c r="H48" s="2" t="s">
        <v>109</v>
      </c>
    </row>
    <row r="49" s="3" customFormat="true" ht="12.75" hidden="false" customHeight="false" outlineLevel="1" collapsed="false">
      <c r="A49" s="4" t="s">
        <v>110</v>
      </c>
      <c r="B49" s="2" t="n">
        <v>10</v>
      </c>
      <c r="C49" s="2" t="s">
        <v>45</v>
      </c>
      <c r="D49" s="2" t="n">
        <v>100</v>
      </c>
      <c r="E49" s="2" t="s">
        <v>17</v>
      </c>
      <c r="F49" s="4" t="n">
        <f aca="false">S_PH(B49,D49)</f>
        <v>0.185125247601107</v>
      </c>
      <c r="G49" s="4" t="s">
        <v>21</v>
      </c>
      <c r="H49" s="2" t="s">
        <v>111</v>
      </c>
    </row>
    <row r="50" s="32" customFormat="true" ht="15" hidden="false" customHeight="false" outlineLevel="0" collapsed="false">
      <c r="A50" s="31" t="s">
        <v>112</v>
      </c>
      <c r="F50" s="33"/>
      <c r="G50" s="33"/>
    </row>
    <row r="51" s="3" customFormat="true" ht="12.75" hidden="false" customHeight="false" outlineLevel="1" collapsed="false">
      <c r="A51" s="4" t="s">
        <v>113</v>
      </c>
      <c r="B51" s="2" t="n">
        <v>1</v>
      </c>
      <c r="C51" s="2" t="s">
        <v>45</v>
      </c>
      <c r="D51" s="2"/>
      <c r="E51" s="2"/>
      <c r="F51" s="4" t="n">
        <f aca="false">UV_P(B51)</f>
        <v>1043.72386742992</v>
      </c>
      <c r="G51" s="4" t="s">
        <v>17</v>
      </c>
      <c r="H51" s="2" t="s">
        <v>114</v>
      </c>
    </row>
    <row r="52" s="3" customFormat="true" ht="12.75" hidden="false" customHeight="false" outlineLevel="1" collapsed="false">
      <c r="A52" s="4" t="s">
        <v>115</v>
      </c>
      <c r="B52" s="2" t="n">
        <v>1</v>
      </c>
      <c r="C52" s="2" t="s">
        <v>45</v>
      </c>
      <c r="D52" s="2"/>
      <c r="E52" s="2"/>
      <c r="F52" s="4" t="n">
        <f aca="false">UL_P(B52)</f>
        <v>69.7252529370441</v>
      </c>
      <c r="G52" s="4" t="s">
        <v>17</v>
      </c>
      <c r="H52" s="2" t="s">
        <v>116</v>
      </c>
    </row>
    <row r="53" s="3" customFormat="true" ht="12.75" hidden="false" customHeight="false" outlineLevel="1" collapsed="false">
      <c r="A53" s="4" t="s">
        <v>117</v>
      </c>
      <c r="B53" s="2" t="n">
        <v>100</v>
      </c>
      <c r="C53" s="2" t="s">
        <v>46</v>
      </c>
      <c r="D53" s="2"/>
      <c r="E53" s="2"/>
      <c r="F53" s="4" t="n">
        <f aca="false">UV_T(B53)</f>
        <v>1043.18030483667</v>
      </c>
      <c r="G53" s="4" t="s">
        <v>17</v>
      </c>
      <c r="H53" s="2" t="s">
        <v>114</v>
      </c>
    </row>
    <row r="54" s="3" customFormat="true" ht="12.75" hidden="false" customHeight="false" outlineLevel="1" collapsed="false">
      <c r="A54" s="4" t="s">
        <v>118</v>
      </c>
      <c r="B54" s="2" t="n">
        <v>100</v>
      </c>
      <c r="C54" s="2" t="s">
        <v>46</v>
      </c>
      <c r="D54" s="2"/>
      <c r="E54" s="2"/>
      <c r="F54" s="4" t="n">
        <f aca="false">UL_T(B54)</f>
        <v>68.0341485128142</v>
      </c>
      <c r="G54" s="4" t="s">
        <v>17</v>
      </c>
      <c r="H54" s="2" t="s">
        <v>116</v>
      </c>
    </row>
    <row r="55" s="3" customFormat="true" ht="12.75" hidden="false" customHeight="false" outlineLevel="1" collapsed="false">
      <c r="A55" s="4" t="s">
        <v>119</v>
      </c>
      <c r="B55" s="2" t="n">
        <v>1</v>
      </c>
      <c r="C55" s="2" t="s">
        <v>45</v>
      </c>
      <c r="D55" s="2" t="n">
        <v>100</v>
      </c>
      <c r="E55" s="2" t="s">
        <v>46</v>
      </c>
      <c r="F55" s="4" t="n">
        <f aca="false">U_PT(B55,D55)</f>
        <v>68.0341316026102</v>
      </c>
      <c r="G55" s="4" t="s">
        <v>17</v>
      </c>
      <c r="H55" s="2" t="s">
        <v>120</v>
      </c>
    </row>
    <row r="56" s="3" customFormat="true" ht="12.75" hidden="false" customHeight="false" outlineLevel="1" collapsed="false">
      <c r="A56" s="4" t="s">
        <v>121</v>
      </c>
      <c r="B56" s="2" t="n">
        <v>1</v>
      </c>
      <c r="C56" s="2" t="s">
        <v>45</v>
      </c>
      <c r="D56" s="2" t="n">
        <v>1000</v>
      </c>
      <c r="E56" s="2" t="s">
        <v>17</v>
      </c>
      <c r="F56" s="4" t="n">
        <f aca="false">U_PH(B56,D56)</f>
        <v>944.567095034614</v>
      </c>
      <c r="G56" s="4" t="s">
        <v>17</v>
      </c>
      <c r="H56" s="2" t="s">
        <v>122</v>
      </c>
    </row>
    <row r="57" s="3" customFormat="true" ht="12.75" hidden="false" customHeight="false" outlineLevel="1" collapsed="false">
      <c r="A57" s="4" t="s">
        <v>123</v>
      </c>
      <c r="B57" s="2" t="n">
        <v>1</v>
      </c>
      <c r="C57" s="2" t="s">
        <v>45</v>
      </c>
      <c r="D57" s="2" t="n">
        <v>1</v>
      </c>
      <c r="E57" s="2" t="s">
        <v>21</v>
      </c>
      <c r="F57" s="4" t="n">
        <f aca="false">U_PS(B57,D57)</f>
        <v>527.621643755187</v>
      </c>
      <c r="G57" s="4" t="s">
        <v>17</v>
      </c>
      <c r="H57" s="2" t="s">
        <v>124</v>
      </c>
    </row>
    <row r="58" s="32" customFormat="true" ht="15" hidden="false" customHeight="false" outlineLevel="0" collapsed="false">
      <c r="A58" s="31" t="s">
        <v>125</v>
      </c>
      <c r="F58" s="33"/>
      <c r="G58" s="33"/>
    </row>
    <row r="59" s="3" customFormat="true" ht="12.75" hidden="false" customHeight="false" outlineLevel="1" collapsed="false">
      <c r="A59" s="4" t="s">
        <v>126</v>
      </c>
      <c r="B59" s="2" t="n">
        <v>1</v>
      </c>
      <c r="C59" s="2" t="s">
        <v>45</v>
      </c>
      <c r="D59" s="2"/>
      <c r="E59" s="2"/>
      <c r="F59" s="4" t="n">
        <f aca="false">CPV_P(B59)</f>
        <v>0.461046617631938</v>
      </c>
      <c r="G59" s="4" t="s">
        <v>21</v>
      </c>
      <c r="H59" s="2" t="s">
        <v>127</v>
      </c>
    </row>
    <row r="60" s="3" customFormat="true" ht="12.75" hidden="false" customHeight="false" outlineLevel="1" collapsed="false">
      <c r="A60" s="4" t="s">
        <v>128</v>
      </c>
      <c r="B60" s="2" t="n">
        <v>1</v>
      </c>
      <c r="C60" s="2" t="s">
        <v>45</v>
      </c>
      <c r="D60" s="2"/>
      <c r="E60" s="2"/>
      <c r="F60" s="4" t="n">
        <f aca="false">CPL_P(B60)</f>
        <v>0.99809613194003</v>
      </c>
      <c r="G60" s="4" t="s">
        <v>21</v>
      </c>
      <c r="H60" s="2" t="s">
        <v>129</v>
      </c>
    </row>
    <row r="61" s="3" customFormat="true" ht="12.75" hidden="false" customHeight="false" outlineLevel="1" collapsed="false">
      <c r="A61" s="4" t="s">
        <v>130</v>
      </c>
      <c r="B61" s="2" t="n">
        <v>100</v>
      </c>
      <c r="C61" s="2" t="s">
        <v>46</v>
      </c>
      <c r="D61" s="2"/>
      <c r="E61" s="2"/>
      <c r="F61" s="4" t="n">
        <f aca="false">CPV_T(B61)</f>
        <v>0.460714135219902</v>
      </c>
      <c r="G61" s="4" t="s">
        <v>21</v>
      </c>
      <c r="H61" s="2" t="s">
        <v>127</v>
      </c>
    </row>
    <row r="62" s="3" customFormat="true" ht="12.75" hidden="false" customHeight="false" outlineLevel="1" collapsed="false">
      <c r="A62" s="4" t="s">
        <v>131</v>
      </c>
      <c r="B62" s="2" t="n">
        <v>100</v>
      </c>
      <c r="C62" s="2" t="s">
        <v>46</v>
      </c>
      <c r="D62" s="2"/>
      <c r="E62" s="2"/>
      <c r="F62" s="4" t="n">
        <f aca="false">CPL_T(B62)</f>
        <v>0.998110148248171</v>
      </c>
      <c r="G62" s="4" t="s">
        <v>21</v>
      </c>
      <c r="H62" s="2" t="s">
        <v>129</v>
      </c>
    </row>
    <row r="63" s="3" customFormat="true" ht="12.75" hidden="false" customHeight="false" outlineLevel="1" collapsed="false">
      <c r="A63" s="4" t="s">
        <v>132</v>
      </c>
      <c r="B63" s="2" t="n">
        <v>1</v>
      </c>
      <c r="C63" s="2" t="s">
        <v>45</v>
      </c>
      <c r="D63" s="2" t="n">
        <v>100</v>
      </c>
      <c r="E63" s="2" t="s">
        <v>46</v>
      </c>
      <c r="F63" s="4" t="n">
        <f aca="false">CP_PT(B63,D63)</f>
        <v>0.998109943116514</v>
      </c>
      <c r="G63" s="4" t="s">
        <v>21</v>
      </c>
      <c r="H63" s="2" t="s">
        <v>133</v>
      </c>
    </row>
    <row r="64" s="3" customFormat="true" ht="12.75" hidden="false" customHeight="false" outlineLevel="1" collapsed="false">
      <c r="A64" s="4" t="s">
        <v>134</v>
      </c>
      <c r="B64" s="2" t="n">
        <v>100</v>
      </c>
      <c r="C64" s="2" t="s">
        <v>45</v>
      </c>
      <c r="D64" s="2" t="n">
        <v>200</v>
      </c>
      <c r="E64" s="2" t="s">
        <v>17</v>
      </c>
      <c r="F64" s="4" t="n">
        <f aca="false">CP_PH(B64,D64)</f>
        <v>1.0103835151868</v>
      </c>
      <c r="G64" s="4" t="s">
        <v>21</v>
      </c>
      <c r="H64" s="2" t="s">
        <v>135</v>
      </c>
    </row>
    <row r="65" s="3" customFormat="true" ht="12.75" hidden="false" customHeight="false" outlineLevel="1" collapsed="false">
      <c r="A65" s="4" t="s">
        <v>136</v>
      </c>
      <c r="B65" s="2" t="n">
        <v>100</v>
      </c>
      <c r="C65" s="2" t="s">
        <v>45</v>
      </c>
      <c r="D65" s="2" t="n">
        <f aca="false">F49</f>
        <v>0.185125247601107</v>
      </c>
      <c r="E65" s="2" t="s">
        <v>21</v>
      </c>
      <c r="F65" s="4" t="n">
        <f aca="false">CP_PS(B65,D65)</f>
        <v>0.998316850851669</v>
      </c>
      <c r="G65" s="4" t="s">
        <v>21</v>
      </c>
      <c r="H65" s="2" t="s">
        <v>137</v>
      </c>
    </row>
    <row r="66" s="32" customFormat="true" ht="15" hidden="false" customHeight="false" outlineLevel="0" collapsed="false">
      <c r="A66" s="31" t="s">
        <v>138</v>
      </c>
      <c r="F66" s="33"/>
      <c r="G66" s="33"/>
    </row>
    <row r="67" s="3" customFormat="true" ht="12.75" hidden="false" customHeight="false" outlineLevel="1" collapsed="false">
      <c r="A67" s="4" t="s">
        <v>139</v>
      </c>
      <c r="B67" s="2" t="n">
        <v>1</v>
      </c>
      <c r="C67" s="2" t="s">
        <v>45</v>
      </c>
      <c r="D67" s="2"/>
      <c r="E67" s="2"/>
      <c r="F67" s="4" t="n">
        <f aca="false">CVV_P(B67)</f>
        <v>0.347381511839727</v>
      </c>
      <c r="G67" s="4" t="s">
        <v>21</v>
      </c>
      <c r="H67" s="2" t="s">
        <v>140</v>
      </c>
    </row>
    <row r="68" s="3" customFormat="true" ht="12.75" hidden="false" customHeight="false" outlineLevel="1" collapsed="false">
      <c r="A68" s="4" t="s">
        <v>141</v>
      </c>
      <c r="B68" s="2" t="n">
        <v>1</v>
      </c>
      <c r="C68" s="2" t="s">
        <v>45</v>
      </c>
      <c r="D68" s="2"/>
      <c r="E68" s="2"/>
      <c r="F68" s="4" t="n">
        <f aca="false">CVL_P(B68)</f>
        <v>0.974194870722723</v>
      </c>
      <c r="G68" s="4" t="s">
        <v>21</v>
      </c>
      <c r="H68" s="2" t="s">
        <v>142</v>
      </c>
    </row>
    <row r="69" s="3" customFormat="true" ht="12.75" hidden="false" customHeight="false" outlineLevel="1" collapsed="false">
      <c r="A69" s="4" t="s">
        <v>143</v>
      </c>
      <c r="B69" s="2" t="n">
        <v>100</v>
      </c>
      <c r="C69" s="2" t="s">
        <v>46</v>
      </c>
      <c r="D69" s="2"/>
      <c r="E69" s="2"/>
      <c r="F69" s="4" t="n">
        <f aca="false">CVV_T(B69)</f>
        <v>0.347134975679568</v>
      </c>
      <c r="G69" s="4" t="s">
        <v>21</v>
      </c>
      <c r="H69" s="2" t="s">
        <v>140</v>
      </c>
    </row>
    <row r="70" s="3" customFormat="true" ht="12.75" hidden="false" customHeight="false" outlineLevel="1" collapsed="false">
      <c r="A70" s="4" t="s">
        <v>144</v>
      </c>
      <c r="B70" s="2" t="n">
        <v>100</v>
      </c>
      <c r="C70" s="2" t="s">
        <v>46</v>
      </c>
      <c r="D70" s="2"/>
      <c r="E70" s="2"/>
      <c r="F70" s="4" t="n">
        <f aca="false">CVL_T(B70)</f>
        <v>0.97523713984846</v>
      </c>
      <c r="G70" s="4" t="s">
        <v>21</v>
      </c>
      <c r="H70" s="2" t="s">
        <v>142</v>
      </c>
    </row>
    <row r="71" s="3" customFormat="true" ht="12.75" hidden="false" customHeight="false" outlineLevel="1" collapsed="false">
      <c r="A71" s="4" t="s">
        <v>145</v>
      </c>
      <c r="B71" s="2" t="n">
        <v>1</v>
      </c>
      <c r="C71" s="2" t="s">
        <v>45</v>
      </c>
      <c r="D71" s="2" t="n">
        <v>100</v>
      </c>
      <c r="E71" s="2" t="s">
        <v>46</v>
      </c>
      <c r="F71" s="4" t="n">
        <f aca="false">CV_PT(B71,D71)</f>
        <v>0.975236901555231</v>
      </c>
      <c r="G71" s="4" t="s">
        <v>21</v>
      </c>
      <c r="H71" s="2" t="s">
        <v>146</v>
      </c>
    </row>
    <row r="72" s="3" customFormat="true" ht="12.75" hidden="false" customHeight="false" outlineLevel="1" collapsed="false">
      <c r="A72" s="4" t="s">
        <v>147</v>
      </c>
      <c r="B72" s="2" t="n">
        <v>0.00475376780880081</v>
      </c>
      <c r="C72" s="2" t="s">
        <v>45</v>
      </c>
      <c r="D72" s="2" t="n">
        <v>1082.0552</v>
      </c>
      <c r="E72" s="2" t="s">
        <v>17</v>
      </c>
      <c r="F72" s="4" t="n">
        <f aca="false">CV_PH(B72,D72)</f>
        <v>2015</v>
      </c>
      <c r="G72" s="4" t="s">
        <v>21</v>
      </c>
      <c r="H72" s="2" t="s">
        <v>148</v>
      </c>
    </row>
    <row r="73" s="3" customFormat="true" ht="12.75" hidden="false" customHeight="false" outlineLevel="1" collapsed="false">
      <c r="A73" s="4" t="s">
        <v>149</v>
      </c>
      <c r="B73" s="2" t="n">
        <v>100</v>
      </c>
      <c r="C73" s="2" t="s">
        <v>45</v>
      </c>
      <c r="D73" s="2" t="n">
        <f aca="false">D65</f>
        <v>0.185125247601107</v>
      </c>
      <c r="E73" s="2" t="s">
        <v>21</v>
      </c>
      <c r="F73" s="4" t="n">
        <f aca="false">CV_PS(B73,D73)</f>
        <v>0.95412073194367</v>
      </c>
      <c r="G73" s="4" t="s">
        <v>21</v>
      </c>
      <c r="H73" s="2" t="s">
        <v>150</v>
      </c>
    </row>
    <row r="74" s="32" customFormat="true" ht="15" hidden="false" customHeight="false" outlineLevel="0" collapsed="false">
      <c r="A74" s="31" t="s">
        <v>151</v>
      </c>
      <c r="F74" s="33"/>
      <c r="G74" s="33"/>
    </row>
    <row r="75" s="3" customFormat="true" ht="12.75" hidden="false" customHeight="false" outlineLevel="1" collapsed="false">
      <c r="A75" s="4" t="s">
        <v>152</v>
      </c>
      <c r="B75" s="2" t="n">
        <v>1</v>
      </c>
      <c r="C75" s="2" t="s">
        <v>45</v>
      </c>
      <c r="D75" s="2"/>
      <c r="E75" s="2"/>
      <c r="F75" s="4" t="n">
        <f aca="false">WV_P(B75)</f>
        <v>1430.02334433871</v>
      </c>
      <c r="G75" s="4" t="s">
        <v>36</v>
      </c>
      <c r="H75" s="2" t="s">
        <v>153</v>
      </c>
    </row>
    <row r="76" s="3" customFormat="true" ht="12.75" hidden="false" customHeight="false" outlineLevel="1" collapsed="false">
      <c r="A76" s="4" t="s">
        <v>154</v>
      </c>
      <c r="B76" s="2" t="n">
        <v>1</v>
      </c>
      <c r="C76" s="2" t="s">
        <v>45</v>
      </c>
      <c r="D76" s="2"/>
      <c r="E76" s="2"/>
      <c r="F76" s="4" t="n">
        <f aca="false">WL_P(B76)</f>
        <v>5016.12659055008</v>
      </c>
      <c r="G76" s="4" t="s">
        <v>36</v>
      </c>
      <c r="H76" s="2" t="s">
        <v>155</v>
      </c>
    </row>
    <row r="77" s="3" customFormat="true" ht="12.75" hidden="false" customHeight="false" outlineLevel="1" collapsed="false">
      <c r="A77" s="4" t="s">
        <v>156</v>
      </c>
      <c r="B77" s="2" t="n">
        <v>100</v>
      </c>
      <c r="C77" s="2" t="s">
        <v>46</v>
      </c>
      <c r="D77" s="2"/>
      <c r="E77" s="2"/>
      <c r="F77" s="4" t="n">
        <f aca="false">WV_T(B77)</f>
        <v>1427.98073239907</v>
      </c>
      <c r="G77" s="4" t="s">
        <v>36</v>
      </c>
      <c r="H77" s="2" t="s">
        <v>153</v>
      </c>
    </row>
    <row r="78" s="3" customFormat="true" ht="12.75" hidden="false" customHeight="false" outlineLevel="1" collapsed="false">
      <c r="A78" s="4" t="s">
        <v>157</v>
      </c>
      <c r="B78" s="2" t="n">
        <v>100</v>
      </c>
      <c r="C78" s="2" t="s">
        <v>46</v>
      </c>
      <c r="D78" s="2"/>
      <c r="E78" s="2"/>
      <c r="F78" s="4" t="n">
        <f aca="false">WL_T(B78)</f>
        <v>5010.52406566996</v>
      </c>
      <c r="G78" s="4" t="s">
        <v>36</v>
      </c>
      <c r="H78" s="2" t="s">
        <v>155</v>
      </c>
    </row>
    <row r="79" s="3" customFormat="true" ht="12.75" hidden="false" customHeight="false" outlineLevel="1" collapsed="false">
      <c r="A79" s="4" t="s">
        <v>158</v>
      </c>
      <c r="B79" s="2" t="n">
        <v>1</v>
      </c>
      <c r="C79" s="2" t="s">
        <v>45</v>
      </c>
      <c r="D79" s="2" t="n">
        <v>100</v>
      </c>
      <c r="E79" s="2" t="s">
        <v>46</v>
      </c>
      <c r="F79" s="4" t="n">
        <f aca="false">W_PT(B79,D79)</f>
        <v>5010.52587328115</v>
      </c>
      <c r="G79" s="4" t="s">
        <v>36</v>
      </c>
      <c r="H79" s="2" t="s">
        <v>159</v>
      </c>
    </row>
    <row r="80" s="3" customFormat="true" ht="12.75" hidden="false" customHeight="false" outlineLevel="1" collapsed="false">
      <c r="A80" s="4" t="s">
        <v>160</v>
      </c>
      <c r="B80" s="2" t="n">
        <v>100</v>
      </c>
      <c r="C80" s="2" t="s">
        <v>45</v>
      </c>
      <c r="D80" s="2" t="n">
        <v>100</v>
      </c>
      <c r="E80" s="2" t="s">
        <v>17</v>
      </c>
      <c r="F80" s="4" t="n">
        <f aca="false">W_PH(B80,D80)</f>
        <v>5090.51779660552</v>
      </c>
      <c r="G80" s="4" t="s">
        <v>36</v>
      </c>
      <c r="H80" s="2" t="s">
        <v>161</v>
      </c>
    </row>
    <row r="81" s="3" customFormat="true" ht="12.75" hidden="false" customHeight="false" outlineLevel="1" collapsed="false">
      <c r="A81" s="4" t="s">
        <v>162</v>
      </c>
      <c r="B81" s="2" t="n">
        <v>100</v>
      </c>
      <c r="C81" s="2" t="s">
        <v>45</v>
      </c>
      <c r="D81" s="2" t="n">
        <f aca="false">D73</f>
        <v>0.185125247601107</v>
      </c>
      <c r="E81" s="2" t="s">
        <v>21</v>
      </c>
      <c r="F81" s="4" t="n">
        <f aca="false">W_PS(B81,D81)</f>
        <v>5090.91936567224</v>
      </c>
      <c r="G81" s="4" t="s">
        <v>36</v>
      </c>
      <c r="H81" s="2" t="s">
        <v>163</v>
      </c>
    </row>
    <row r="82" s="32" customFormat="true" ht="15" hidden="false" customHeight="false" outlineLevel="0" collapsed="false">
      <c r="A82" s="31" t="s">
        <v>164</v>
      </c>
      <c r="F82" s="33"/>
      <c r="G82" s="33"/>
    </row>
    <row r="83" s="3" customFormat="true" ht="11.25" hidden="false" customHeight="false" outlineLevel="1" collapsed="false">
      <c r="A83" s="3" t="s">
        <v>165</v>
      </c>
      <c r="F83" s="29"/>
      <c r="G83" s="29"/>
    </row>
    <row r="84" s="3" customFormat="true" ht="11.25" hidden="false" customHeight="false" outlineLevel="1" collapsed="false">
      <c r="A84" s="3" t="s">
        <v>166</v>
      </c>
      <c r="F84" s="29"/>
      <c r="G84" s="29"/>
    </row>
    <row r="85" s="3" customFormat="true" ht="12.75" hidden="false" customHeight="false" outlineLevel="1" collapsed="false">
      <c r="A85" s="4" t="s">
        <v>167</v>
      </c>
      <c r="B85" s="2" t="n">
        <v>1</v>
      </c>
      <c r="C85" s="2" t="s">
        <v>45</v>
      </c>
      <c r="D85" s="2" t="n">
        <v>100</v>
      </c>
      <c r="E85" s="2" t="s">
        <v>46</v>
      </c>
      <c r="F85" s="4" t="n">
        <f aca="false">MY_PT(B85,D85)</f>
        <v>1.64781781075289</v>
      </c>
      <c r="G85" s="4" t="s">
        <v>168</v>
      </c>
      <c r="H85" s="2" t="s">
        <v>169</v>
      </c>
    </row>
    <row r="86" s="3" customFormat="true" ht="12.75" hidden="false" customHeight="false" outlineLevel="1" collapsed="false">
      <c r="A86" s="4" t="s">
        <v>170</v>
      </c>
      <c r="B86" s="2" t="n">
        <v>100</v>
      </c>
      <c r="C86" s="2" t="s">
        <v>45</v>
      </c>
      <c r="D86" s="2" t="n">
        <v>100</v>
      </c>
      <c r="E86" s="2" t="s">
        <v>17</v>
      </c>
      <c r="F86" s="4" t="n">
        <f aca="false">MY_PH(B86,D86)</f>
        <v>1.21111887340758</v>
      </c>
      <c r="G86" s="4" t="s">
        <v>168</v>
      </c>
      <c r="H86" s="2" t="s">
        <v>171</v>
      </c>
    </row>
    <row r="87" s="3" customFormat="true" ht="12.75" hidden="false" customHeight="false" outlineLevel="1" collapsed="false">
      <c r="A87" s="4" t="s">
        <v>172</v>
      </c>
      <c r="B87" s="2" t="n">
        <v>100</v>
      </c>
      <c r="C87" s="2" t="s">
        <v>45</v>
      </c>
      <c r="D87" s="2" t="n">
        <f aca="false">D81</f>
        <v>0.185125247601107</v>
      </c>
      <c r="E87" s="2" t="s">
        <v>21</v>
      </c>
      <c r="F87" s="4" t="n">
        <f aca="false">MY_PS(B87,D87)</f>
        <v>1.20817957121741</v>
      </c>
      <c r="G87" s="4" t="s">
        <v>168</v>
      </c>
      <c r="H87" s="2" t="s">
        <v>173</v>
      </c>
    </row>
    <row r="88" customFormat="false" ht="18" hidden="false" customHeight="false" outlineLevel="0" collapsed="false">
      <c r="A88" s="1" t="s">
        <v>174</v>
      </c>
      <c r="F88" s="34"/>
      <c r="H88" s="35"/>
      <c r="I88" s="8"/>
      <c r="J88" s="8"/>
      <c r="K88" s="8"/>
      <c r="L88" s="8"/>
      <c r="M88" s="8"/>
    </row>
    <row r="89" customFormat="false" ht="12.75" hidden="false" customHeight="false" outlineLevel="1" collapsed="false">
      <c r="A89" s="3" t="s">
        <v>175</v>
      </c>
      <c r="F89" s="34"/>
      <c r="H89" s="35"/>
      <c r="I89" s="8"/>
      <c r="J89" s="8"/>
      <c r="K89" s="8"/>
      <c r="L89" s="8"/>
      <c r="M89" s="8"/>
    </row>
    <row r="90" customFormat="false" ht="12.75" hidden="false" customHeight="false" outlineLevel="1" collapsed="false">
      <c r="A90" s="4" t="s">
        <v>176</v>
      </c>
      <c r="B90" s="0" t="n">
        <v>1</v>
      </c>
      <c r="C90" s="0" t="s">
        <v>45</v>
      </c>
      <c r="D90" s="0" t="n">
        <v>200</v>
      </c>
      <c r="E90" s="0" t="s">
        <v>46</v>
      </c>
      <c r="F90" s="34" t="n">
        <f aca="false">PR_PT(B90,D90)</f>
        <v>0.970120243805412</v>
      </c>
      <c r="G90" s="4" t="s">
        <v>177</v>
      </c>
      <c r="H90" s="35"/>
      <c r="I90" s="8"/>
      <c r="J90" s="8"/>
      <c r="K90" s="8"/>
      <c r="L90" s="8"/>
      <c r="M90" s="8"/>
    </row>
    <row r="91" customFormat="false" ht="12.75" hidden="false" customHeight="false" outlineLevel="1" collapsed="false">
      <c r="A91" s="4" t="s">
        <v>178</v>
      </c>
      <c r="B91" s="0" t="n">
        <v>1</v>
      </c>
      <c r="C91" s="0" t="s">
        <v>45</v>
      </c>
      <c r="D91" s="0" t="n">
        <v>0.19</v>
      </c>
      <c r="E91" s="0" t="s">
        <v>17</v>
      </c>
      <c r="F91" s="34" t="n">
        <f aca="false">PR_PH(B91,D91)</f>
        <v>13.4056293767476</v>
      </c>
      <c r="G91" s="4" t="s">
        <v>177</v>
      </c>
      <c r="H91" s="35"/>
      <c r="I91" s="8"/>
      <c r="J91" s="8"/>
      <c r="K91" s="8"/>
      <c r="L91" s="8"/>
      <c r="M91" s="8"/>
    </row>
    <row r="92" s="32" customFormat="true" ht="15" hidden="false" customHeight="false" outlineLevel="0" collapsed="false">
      <c r="A92" s="31" t="s">
        <v>179</v>
      </c>
      <c r="F92" s="33"/>
      <c r="G92" s="33"/>
      <c r="H92" s="36"/>
      <c r="I92" s="36"/>
      <c r="J92" s="36"/>
      <c r="K92" s="36"/>
      <c r="L92" s="36"/>
      <c r="M92" s="36"/>
    </row>
    <row r="93" s="3" customFormat="true" ht="11.25" hidden="false" customHeight="false" outlineLevel="1" collapsed="false">
      <c r="A93" s="3" t="s">
        <v>180</v>
      </c>
      <c r="F93" s="29"/>
      <c r="G93" s="29"/>
    </row>
    <row r="94" s="3" customFormat="true" ht="12.75" hidden="false" customHeight="false" outlineLevel="1" collapsed="false">
      <c r="A94" s="4" t="s">
        <v>181</v>
      </c>
      <c r="B94" s="2" t="n">
        <v>1</v>
      </c>
      <c r="C94" s="2" t="s">
        <v>45</v>
      </c>
      <c r="D94" s="2"/>
      <c r="E94" s="2"/>
      <c r="F94" s="4" t="n">
        <f aca="false">TCL_P(B94)</f>
        <v>0.3622261386837</v>
      </c>
      <c r="G94" s="4" t="s">
        <v>182</v>
      </c>
      <c r="H94" s="2" t="s">
        <v>183</v>
      </c>
    </row>
    <row r="95" s="3" customFormat="true" ht="12.75" hidden="false" customHeight="false" outlineLevel="1" collapsed="false">
      <c r="A95" s="4" t="s">
        <v>184</v>
      </c>
      <c r="B95" s="2" t="n">
        <v>1</v>
      </c>
      <c r="C95" s="2" t="s">
        <v>45</v>
      </c>
      <c r="D95" s="2"/>
      <c r="E95" s="2"/>
      <c r="F95" s="4" t="n">
        <f aca="false">TCV_P(B95)</f>
        <v>0.011197748930408</v>
      </c>
      <c r="G95" s="4" t="s">
        <v>182</v>
      </c>
      <c r="H95" s="2" t="s">
        <v>185</v>
      </c>
    </row>
    <row r="96" s="3" customFormat="true" ht="12.75" hidden="false" customHeight="false" outlineLevel="1" collapsed="false">
      <c r="A96" s="4" t="s">
        <v>186</v>
      </c>
      <c r="B96" s="2" t="n">
        <v>50</v>
      </c>
      <c r="C96" s="2" t="s">
        <v>46</v>
      </c>
      <c r="D96" s="2"/>
      <c r="E96" s="2"/>
      <c r="F96" s="4" t="n">
        <f aca="false">TCL_T(B96)</f>
        <v>0.336226682080524</v>
      </c>
      <c r="G96" s="4" t="s">
        <v>182</v>
      </c>
      <c r="H96" s="2" t="s">
        <v>183</v>
      </c>
    </row>
    <row r="97" s="3" customFormat="true" ht="12.75" hidden="false" customHeight="false" outlineLevel="1" collapsed="false">
      <c r="A97" s="4" t="s">
        <v>187</v>
      </c>
      <c r="B97" s="2" t="n">
        <v>50</v>
      </c>
      <c r="C97" s="2" t="s">
        <v>46</v>
      </c>
      <c r="D97" s="2"/>
      <c r="E97" s="2"/>
      <c r="F97" s="4" t="n">
        <f aca="false">TCV_T(B97)</f>
        <v>0.00994637655473676</v>
      </c>
      <c r="G97" s="4" t="s">
        <v>182</v>
      </c>
      <c r="H97" s="2" t="s">
        <v>185</v>
      </c>
    </row>
    <row r="98" s="3" customFormat="true" ht="12.75" hidden="false" customHeight="false" outlineLevel="1" collapsed="false">
      <c r="A98" s="4" t="s">
        <v>188</v>
      </c>
      <c r="B98" s="2" t="n">
        <v>1</v>
      </c>
      <c r="C98" s="2" t="s">
        <v>45</v>
      </c>
      <c r="D98" s="2" t="n">
        <v>50</v>
      </c>
      <c r="E98" s="2" t="s">
        <v>46</v>
      </c>
      <c r="F98" s="4" t="n">
        <f aca="false">TC_PT(B98,D98)</f>
        <v>0.336228521154035</v>
      </c>
      <c r="G98" s="4" t="s">
        <v>182</v>
      </c>
      <c r="H98" s="2" t="s">
        <v>189</v>
      </c>
    </row>
    <row r="99" s="3" customFormat="true" ht="12.75" hidden="false" customHeight="false" outlineLevel="1" collapsed="false">
      <c r="A99" s="4" t="s">
        <v>190</v>
      </c>
      <c r="B99" s="2" t="n">
        <v>1</v>
      </c>
      <c r="C99" s="2" t="s">
        <v>45</v>
      </c>
      <c r="D99" s="2" t="n">
        <v>100</v>
      </c>
      <c r="E99" s="2" t="s">
        <v>21</v>
      </c>
      <c r="F99" s="4" t="n">
        <f aca="false">TC_PH(B99,D99)</f>
        <v>0.0201367520009703</v>
      </c>
      <c r="G99" s="4" t="s">
        <v>182</v>
      </c>
      <c r="H99" s="2" t="s">
        <v>191</v>
      </c>
    </row>
    <row r="100" s="3" customFormat="true" ht="12.75" hidden="false" customHeight="false" outlineLevel="1" collapsed="false">
      <c r="A100" s="4" t="s">
        <v>192</v>
      </c>
      <c r="B100" s="2" t="n">
        <v>100</v>
      </c>
      <c r="C100" s="2" t="s">
        <v>17</v>
      </c>
      <c r="D100" s="2" t="n">
        <f aca="false">D73</f>
        <v>0.185125247601107</v>
      </c>
      <c r="E100" s="2" t="s">
        <v>21</v>
      </c>
      <c r="F100" s="4" t="n">
        <f aca="false">TC_HS(B100,D100)</f>
        <v>0.373481961027135</v>
      </c>
      <c r="G100" s="4" t="s">
        <v>182</v>
      </c>
      <c r="H100" s="2" t="s">
        <v>193</v>
      </c>
    </row>
    <row r="101" s="3" customFormat="true" ht="15" hidden="false" customHeight="false" outlineLevel="0" collapsed="false">
      <c r="A101" s="31" t="s">
        <v>194</v>
      </c>
      <c r="B101" s="2"/>
      <c r="C101" s="2"/>
      <c r="D101" s="2"/>
      <c r="E101" s="2"/>
      <c r="F101" s="4"/>
      <c r="G101" s="4"/>
      <c r="H101" s="2"/>
    </row>
    <row r="102" s="3" customFormat="true" ht="11.25" hidden="false" customHeight="false" outlineLevel="1" collapsed="false">
      <c r="A102" s="3" t="s">
        <v>195</v>
      </c>
      <c r="F102" s="29"/>
      <c r="G102" s="29"/>
    </row>
    <row r="103" s="3" customFormat="true" ht="12.75" hidden="false" customHeight="false" outlineLevel="1" collapsed="false">
      <c r="A103" s="4" t="s">
        <v>196</v>
      </c>
      <c r="B103" s="2" t="n">
        <v>100</v>
      </c>
      <c r="C103" s="2" t="s">
        <v>46</v>
      </c>
      <c r="D103" s="2"/>
      <c r="E103" s="2"/>
      <c r="F103" s="4" t="n">
        <f aca="false">ST_T(B104)</f>
        <v>0.00534227753051554</v>
      </c>
      <c r="G103" s="4" t="s">
        <v>197</v>
      </c>
      <c r="H103" s="2" t="s">
        <v>198</v>
      </c>
    </row>
    <row r="104" s="3" customFormat="true" ht="12.75" hidden="false" customHeight="false" outlineLevel="1" collapsed="false">
      <c r="A104" s="4" t="s">
        <v>199</v>
      </c>
      <c r="B104" s="2" t="n">
        <v>1</v>
      </c>
      <c r="C104" s="2" t="s">
        <v>45</v>
      </c>
      <c r="D104" s="2"/>
      <c r="E104" s="2"/>
      <c r="F104" s="4" t="n">
        <f aca="false">ST_P(B104)</f>
        <v>0.00478309732010988</v>
      </c>
      <c r="G104" s="4" t="s">
        <v>197</v>
      </c>
      <c r="H104" s="2" t="s">
        <v>198</v>
      </c>
    </row>
    <row r="105" s="32" customFormat="true" ht="15" hidden="false" customHeight="false" outlineLevel="0" collapsed="false">
      <c r="A105" s="31" t="s">
        <v>30</v>
      </c>
      <c r="F105" s="33"/>
      <c r="G105" s="33"/>
    </row>
    <row r="106" s="3" customFormat="true" ht="12.75" hidden="false" customHeight="false" outlineLevel="1" collapsed="false">
      <c r="A106" s="4" t="s">
        <v>200</v>
      </c>
      <c r="B106" s="2" t="n">
        <v>1</v>
      </c>
      <c r="C106" s="2" t="s">
        <v>45</v>
      </c>
      <c r="D106" s="2" t="n">
        <v>1000</v>
      </c>
      <c r="E106" s="2" t="s">
        <v>17</v>
      </c>
      <c r="F106" s="4" t="n">
        <f aca="false">X_PH(B106,D106)</f>
        <v>0.898196187427912</v>
      </c>
      <c r="G106" s="4"/>
      <c r="H106" s="2" t="s">
        <v>201</v>
      </c>
    </row>
    <row r="107" s="3" customFormat="true" ht="12.75" hidden="false" customHeight="false" outlineLevel="1" collapsed="false">
      <c r="A107" s="4" t="s">
        <v>202</v>
      </c>
      <c r="B107" s="2" t="n">
        <v>1</v>
      </c>
      <c r="C107" s="2" t="s">
        <v>45</v>
      </c>
      <c r="D107" s="2" t="n">
        <v>4</v>
      </c>
      <c r="E107" s="2" t="s">
        <v>21</v>
      </c>
      <c r="F107" s="4" t="n">
        <f aca="false">X_PS(B107,D107)</f>
        <v>1</v>
      </c>
      <c r="G107" s="4"/>
      <c r="H107" s="2" t="s">
        <v>203</v>
      </c>
    </row>
    <row r="108" s="32" customFormat="true" ht="15" hidden="false" customHeight="false" outlineLevel="0" collapsed="false">
      <c r="A108" s="31" t="s">
        <v>204</v>
      </c>
      <c r="F108" s="33"/>
      <c r="G108" s="33"/>
    </row>
    <row r="109" s="3" customFormat="true" ht="11.25" hidden="false" customHeight="false" outlineLevel="1" collapsed="false">
      <c r="A109" s="3" t="s">
        <v>205</v>
      </c>
      <c r="F109" s="29"/>
      <c r="G109" s="29"/>
    </row>
    <row r="110" s="3" customFormat="true" ht="11.25" hidden="false" customHeight="false" outlineLevel="1" collapsed="false">
      <c r="A110" s="3" t="s">
        <v>206</v>
      </c>
      <c r="F110" s="29"/>
      <c r="G110" s="29"/>
    </row>
    <row r="111" s="3" customFormat="true" ht="12.75" hidden="false" customHeight="false" outlineLevel="1" collapsed="false">
      <c r="A111" s="4" t="s">
        <v>207</v>
      </c>
      <c r="B111" s="2" t="n">
        <v>1</v>
      </c>
      <c r="C111" s="2" t="s">
        <v>45</v>
      </c>
      <c r="D111" s="2" t="n">
        <v>418</v>
      </c>
      <c r="E111" s="2" t="s">
        <v>17</v>
      </c>
      <c r="F111" s="37" t="n">
        <f aca="false">VX_PH(B111,D111)</f>
        <v>0.999904503658888</v>
      </c>
      <c r="G111" s="4"/>
      <c r="H111" s="2" t="s">
        <v>208</v>
      </c>
    </row>
    <row r="112" s="3" customFormat="true" ht="12.75" hidden="false" customHeight="false" outlineLevel="1" collapsed="false">
      <c r="A112" s="4" t="s">
        <v>209</v>
      </c>
      <c r="B112" s="2" t="n">
        <v>1</v>
      </c>
      <c r="C112" s="2" t="s">
        <v>45</v>
      </c>
      <c r="D112" s="2" t="n">
        <v>4</v>
      </c>
      <c r="E112" s="2" t="s">
        <v>21</v>
      </c>
      <c r="F112" s="37" t="n">
        <f aca="false">VX_PS(B112,D112)</f>
        <v>1</v>
      </c>
      <c r="G112" s="4"/>
      <c r="H112" s="2" t="s">
        <v>210</v>
      </c>
    </row>
    <row r="113" s="3" customFormat="true" ht="11.25" hidden="false" customHeight="false" outlineLevel="0" collapsed="false">
      <c r="F113" s="29"/>
      <c r="G113" s="29"/>
    </row>
    <row r="114" customFormat="false" ht="15" hidden="false" customHeight="false" outlineLevel="0" collapsed="false">
      <c r="A114" s="31" t="s">
        <v>211</v>
      </c>
    </row>
    <row r="115" customFormat="false" ht="12.75" hidden="false" customHeight="false" outlineLevel="0" collapsed="false">
      <c r="A115" s="29" t="s">
        <v>212</v>
      </c>
    </row>
    <row r="116" customFormat="false" ht="12.75" hidden="false" customHeight="false" outlineLevel="0" collapsed="false">
      <c r="A116" s="3" t="s">
        <v>213</v>
      </c>
    </row>
    <row r="117" customFormat="false" ht="12.75" hidden="false" customHeight="false" outlineLevel="0" collapsed="false">
      <c r="A117" s="3" t="s">
        <v>214</v>
      </c>
    </row>
    <row r="118" customFormat="false" ht="12.75" hidden="false" customHeight="false" outlineLevel="0" collapsed="false">
      <c r="A118" s="29" t="s">
        <v>215</v>
      </c>
    </row>
    <row r="119" customFormat="false" ht="12.75" hidden="false" customHeight="false" outlineLevel="0" collapsed="false">
      <c r="A119" s="3" t="s">
        <v>216</v>
      </c>
    </row>
    <row r="120" customFormat="false" ht="12.75" hidden="false" customHeight="false" outlineLevel="0" collapsed="false">
      <c r="A120" s="3" t="s">
        <v>217</v>
      </c>
    </row>
    <row r="121" customFormat="false" ht="12.75" hidden="false" customHeight="false" outlineLevel="0" collapsed="false">
      <c r="A121" s="3" t="s">
        <v>218</v>
      </c>
    </row>
    <row r="122" customFormat="false" ht="12.75" hidden="false" customHeight="false" outlineLevel="0" collapsed="false">
      <c r="A122" s="29" t="s">
        <v>219</v>
      </c>
    </row>
    <row r="123" customFormat="false" ht="12.75" hidden="false" customHeight="false" outlineLevel="0" collapsed="false">
      <c r="A123" s="3" t="s">
        <v>220</v>
      </c>
    </row>
    <row r="124" customFormat="false" ht="12.75" hidden="false" customHeight="false" outlineLevel="0" collapsed="false">
      <c r="A124" s="3" t="s">
        <v>221</v>
      </c>
    </row>
    <row r="125" customFormat="false" ht="12.75" hidden="false" customHeight="false" outlineLevel="0" collapsed="false">
      <c r="A125" s="3" t="s">
        <v>222</v>
      </c>
      <c r="G125" s="29"/>
    </row>
    <row r="126" customFormat="false" ht="12.75" hidden="false" customHeight="false" outlineLevel="0" collapsed="false">
      <c r="A126" s="29" t="s">
        <v>223</v>
      </c>
      <c r="G126" s="3"/>
    </row>
    <row r="127" customFormat="false" ht="12.75" hidden="false" customHeight="false" outlineLevel="0" collapsed="false">
      <c r="A127" s="3" t="s">
        <v>224</v>
      </c>
      <c r="G127" s="3"/>
    </row>
    <row r="128" customFormat="false" ht="12" hidden="false" customHeight="true" outlineLevel="0" collapsed="false">
      <c r="A128" s="3" t="s">
        <v>225</v>
      </c>
      <c r="G128" s="3"/>
      <c r="K128" s="3"/>
    </row>
    <row r="129" customFormat="false" ht="11.45" hidden="false" customHeight="true" outlineLevel="0" collapsed="false">
      <c r="A129" s="3" t="s">
        <v>226</v>
      </c>
    </row>
    <row r="130" customFormat="false" ht="11.45" hidden="false" customHeight="true" outlineLevel="0" collapsed="false">
      <c r="A130" s="3" t="s">
        <v>227</v>
      </c>
    </row>
    <row r="131" customFormat="false" ht="12.75" hidden="false" customHeight="false" outlineLevel="0" collapsed="false">
      <c r="A131" s="29" t="s">
        <v>228</v>
      </c>
    </row>
    <row r="132" customFormat="false" ht="12.75" hidden="false" customHeight="false" outlineLevel="0" collapsed="false">
      <c r="A132" s="3" t="s">
        <v>229</v>
      </c>
    </row>
    <row r="133" customFormat="false" ht="12.75" hidden="false" customHeight="false" outlineLevel="0" collapsed="false">
      <c r="A133" s="3" t="s">
        <v>230</v>
      </c>
    </row>
    <row r="134" customFormat="false" ht="12.75" hidden="false" customHeight="false" outlineLevel="0" collapsed="false">
      <c r="A134" s="3" t="s">
        <v>231</v>
      </c>
    </row>
    <row r="135" customFormat="false" ht="12.75" hidden="false" customHeight="false" outlineLevel="0" collapsed="false">
      <c r="A135" s="3" t="s">
        <v>232</v>
      </c>
    </row>
    <row r="136" customFormat="false" ht="12.75" hidden="false" customHeight="false" outlineLevel="0" collapsed="false">
      <c r="A136" s="3" t="s">
        <v>228</v>
      </c>
    </row>
    <row r="137" customFormat="false" ht="12.75" hidden="false" customHeight="false" outlineLevel="0" collapsed="false">
      <c r="A137" s="29" t="s">
        <v>233</v>
      </c>
    </row>
    <row r="138" customFormat="false" ht="12.75" hidden="false" customHeight="false" outlineLevel="0" collapsed="false">
      <c r="A138" s="3" t="s">
        <v>234</v>
      </c>
    </row>
    <row r="139" customFormat="false" ht="12.75" hidden="false" customHeight="false" outlineLevel="0" collapsed="false">
      <c r="A139" s="3" t="s">
        <v>235</v>
      </c>
    </row>
    <row r="140" customFormat="false" ht="12.75" hidden="false" customHeight="false" outlineLevel="0" collapsed="false">
      <c r="A140" s="3" t="s">
        <v>236</v>
      </c>
    </row>
    <row r="141" customFormat="false" ht="12.75" hidden="false" customHeight="false" outlineLevel="0" collapsed="false">
      <c r="A141" s="3" t="s">
        <v>237</v>
      </c>
    </row>
    <row r="142" customFormat="false" ht="12.75" hidden="false" customHeight="false" outlineLevel="0" collapsed="false">
      <c r="A142" s="3" t="s">
        <v>238</v>
      </c>
    </row>
    <row r="143" customFormat="false" ht="12.75" hidden="false" customHeight="false" outlineLevel="0" collapsed="false">
      <c r="A143" s="29" t="s">
        <v>239</v>
      </c>
    </row>
    <row r="144" customFormat="false" ht="12.75" hidden="false" customHeight="false" outlineLevel="0" collapsed="false">
      <c r="A144" s="3" t="s">
        <v>240</v>
      </c>
    </row>
    <row r="145" customFormat="false" ht="12.75" hidden="false" customHeight="false" outlineLevel="0" collapsed="false">
      <c r="A145" s="3" t="s">
        <v>241</v>
      </c>
    </row>
    <row r="146" customFormat="false" ht="12.75" hidden="false" customHeight="false" outlineLevel="0" collapsed="false">
      <c r="A146" s="3" t="s">
        <v>242</v>
      </c>
    </row>
    <row r="147" customFormat="false" ht="12.75" hidden="false" customHeight="false" outlineLevel="0" collapsed="false">
      <c r="A147" s="29" t="s">
        <v>243</v>
      </c>
    </row>
    <row r="148" customFormat="false" ht="12.75" hidden="false" customHeight="false" outlineLevel="0" collapsed="false">
      <c r="A148" s="3" t="s">
        <v>244</v>
      </c>
    </row>
    <row r="149" customFormat="false" ht="12.75" hidden="false" customHeight="false" outlineLevel="0" collapsed="false">
      <c r="A149" s="3" t="s">
        <v>245</v>
      </c>
    </row>
    <row r="150" customFormat="false" ht="12.75" hidden="false" customHeight="false" outlineLevel="0" collapsed="false">
      <c r="A150" s="3" t="s">
        <v>246</v>
      </c>
    </row>
    <row r="151" customFormat="false" ht="12.75" hidden="false" customHeight="false" outlineLevel="0" collapsed="false">
      <c r="A151" s="3" t="s">
        <v>245</v>
      </c>
    </row>
    <row r="152" customFormat="false" ht="12.75" hidden="false" customHeight="false" outlineLevel="0" collapsed="false">
      <c r="A152" s="3" t="s">
        <v>247</v>
      </c>
    </row>
  </sheetData>
  <hyperlinks>
    <hyperlink ref="E1" r:id="rId1" display="http://www.x-eng.com"/>
    <hyperlink ref="F4" r:id="rId2" display="magnus@x-eng.com"/>
  </hyperlinks>
  <printOptions headings="false" gridLines="false" gridLinesSet="true" horizontalCentered="false" verticalCentered="false"/>
  <pageMargins left="0.747916666666667" right="0.747916666666667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650"/>
  <sheetViews>
    <sheetView showFormulas="false" showGridLines="true" showRowColHeaders="true" showZeros="true" rightToLeft="false" tabSelected="false" showOutlineSymbols="true" defaultGridColor="true" view="normal" topLeftCell="A616" colorId="64" zoomScale="100" zoomScaleNormal="100" zoomScalePageLayoutView="100" workbookViewId="0">
      <selection pane="topLeft" activeCell="A11" activeCellId="0" sqref="A11"/>
    </sheetView>
  </sheetViews>
  <sheetFormatPr defaultRowHeight="12.8" zeroHeight="false" outlineLevelRow="0" outlineLevelCol="0"/>
  <cols>
    <col collapsed="false" customWidth="false" hidden="false" outlineLevel="0" max="1025" min="1" style="0" width="11.52"/>
  </cols>
  <sheetData>
    <row r="1" customFormat="false" ht="14.65" hidden="false" customHeight="false" outlineLevel="0" collapsed="false"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4.65" hidden="false" customHeight="false" outlineLevel="0" collapsed="false">
      <c r="A2" s="0" t="s">
        <v>248</v>
      </c>
      <c r="B2" s="0" t="n">
        <v>0.0887133475876132</v>
      </c>
      <c r="C2" s="0" t="n">
        <v>0.103217121367299</v>
      </c>
      <c r="D2" s="0" t="n">
        <v>0.117720895146985</v>
      </c>
      <c r="E2" s="0" t="n">
        <v>0.132224668926671</v>
      </c>
      <c r="F2" s="0" t="n">
        <v>0.146728442706357</v>
      </c>
      <c r="G2" s="0" t="n">
        <v>0.291766180503215</v>
      </c>
      <c r="H2" s="0" t="n">
        <v>0.436803918300074</v>
      </c>
      <c r="I2" s="0" t="n">
        <v>0.581841656096933</v>
      </c>
      <c r="J2" s="0" t="n">
        <v>0.726879393893791</v>
      </c>
      <c r="K2" s="0" t="n">
        <v>0.87191713169065</v>
      </c>
      <c r="L2" s="0" t="n">
        <v>1.01695486948751</v>
      </c>
      <c r="M2" s="0" t="n">
        <v>1.16199260728437</v>
      </c>
      <c r="N2" s="0" t="n">
        <v>1.30703034508123</v>
      </c>
      <c r="O2" s="0" t="n">
        <v>1.45206808287809</v>
      </c>
      <c r="P2" s="0" t="n">
        <v>2.90244546084667</v>
      </c>
      <c r="Q2" s="0" t="n">
        <v>4.35282283881526</v>
      </c>
      <c r="R2" s="0" t="n">
        <v>5.80320021678385</v>
      </c>
      <c r="S2" s="0" t="n">
        <v>7.25357759475243</v>
      </c>
      <c r="T2" s="0" t="n">
        <v>8.70395497272102</v>
      </c>
      <c r="U2" s="0" t="n">
        <v>10.1543323506896</v>
      </c>
      <c r="V2" s="0" t="n">
        <v>11.6047097286582</v>
      </c>
      <c r="W2" s="0" t="n">
        <v>13.0550871066268</v>
      </c>
      <c r="X2" s="0" t="n">
        <v>14.5054644845954</v>
      </c>
      <c r="Y2" s="0" t="n">
        <v>29.0092382642812</v>
      </c>
      <c r="Z2" s="0" t="n">
        <v>43.5130120439671</v>
      </c>
      <c r="AA2" s="0" t="n">
        <v>58.016785823653</v>
      </c>
      <c r="AB2" s="0" t="n">
        <v>72.5205596033389</v>
      </c>
      <c r="AC2" s="0" t="n">
        <v>87.0243333830247</v>
      </c>
      <c r="AD2" s="0" t="n">
        <v>101.528107162711</v>
      </c>
      <c r="AE2" s="0" t="n">
        <v>116.031880942396</v>
      </c>
      <c r="AF2" s="0" t="n">
        <v>130.535654722082</v>
      </c>
      <c r="AG2" s="0" t="n">
        <v>145.039428501768</v>
      </c>
      <c r="AH2" s="0" t="n">
        <v>290.077166298627</v>
      </c>
      <c r="AI2" s="0" t="n">
        <v>435.114904095486</v>
      </c>
      <c r="AJ2" s="0" t="n">
        <v>580.152641892344</v>
      </c>
      <c r="AK2" s="0" t="n">
        <v>725.190379689203</v>
      </c>
      <c r="AL2" s="0" t="n">
        <v>870.228117486062</v>
      </c>
      <c r="AM2" s="0" t="n">
        <v>1015.26585528292</v>
      </c>
      <c r="AN2" s="0" t="n">
        <v>1160.30359307978</v>
      </c>
      <c r="AO2" s="0" t="n">
        <v>1305.34133087664</v>
      </c>
      <c r="AP2" s="0" t="n">
        <v>1450.3790686735</v>
      </c>
      <c r="AQ2" s="0" t="n">
        <v>2900.75644664208</v>
      </c>
      <c r="AR2" s="0" t="n">
        <v>3200.105394863</v>
      </c>
      <c r="AS2" s="0" t="n">
        <v>3300</v>
      </c>
    </row>
    <row r="3" customFormat="false" ht="14.65" hidden="false" customHeight="false" outlineLevel="0" collapsed="false">
      <c r="A3" s="0" t="s">
        <v>249</v>
      </c>
      <c r="B3" s="38" t="n">
        <v>-3.6E-005</v>
      </c>
      <c r="C3" s="0" t="n">
        <v>0</v>
      </c>
      <c r="D3" s="0" t="n">
        <v>0.000238845896627</v>
      </c>
      <c r="E3" s="0" t="n">
        <v>0.000477691793254</v>
      </c>
      <c r="F3" s="0" t="n">
        <v>0.000716537689881</v>
      </c>
      <c r="G3" s="0" t="n">
        <v>0.000955383586508</v>
      </c>
      <c r="H3" s="0" t="n">
        <v>0.001194229483135</v>
      </c>
      <c r="I3" s="0" t="n">
        <v>0.001433075379762</v>
      </c>
      <c r="J3" s="0" t="n">
        <v>0.001671921276389</v>
      </c>
      <c r="K3" s="0" t="n">
        <v>0.001910767173016</v>
      </c>
      <c r="L3" s="0" t="n">
        <v>0.002149613069643</v>
      </c>
      <c r="M3" s="0" t="n">
        <v>0.00238845896627</v>
      </c>
      <c r="N3" s="0" t="n">
        <v>0.00477691793254</v>
      </c>
      <c r="O3" s="0" t="n">
        <v>0.00716537689881</v>
      </c>
      <c r="P3" s="0" t="n">
        <v>0.00955383586508</v>
      </c>
      <c r="Q3" s="0" t="n">
        <v>0.01194229483135</v>
      </c>
      <c r="R3" s="0" t="n">
        <v>0.01433075379762</v>
      </c>
      <c r="S3" s="0" t="n">
        <v>0.01671921276389</v>
      </c>
      <c r="T3" s="0" t="n">
        <v>0.01910767173016</v>
      </c>
      <c r="U3" s="0" t="n">
        <v>0.02149613069643</v>
      </c>
      <c r="V3" s="0" t="n">
        <v>0.0238845896627</v>
      </c>
      <c r="W3" s="0" t="n">
        <v>0.0477691793254</v>
      </c>
      <c r="X3" s="0" t="n">
        <v>0.0716537689881</v>
      </c>
      <c r="Y3" s="0" t="n">
        <v>0.0955383586508</v>
      </c>
      <c r="Z3" s="0" t="n">
        <v>0.1194229483135</v>
      </c>
      <c r="AA3" s="0" t="n">
        <v>0.1433075379762</v>
      </c>
      <c r="AB3" s="0" t="n">
        <v>0.1671921276389</v>
      </c>
      <c r="AC3" s="0" t="n">
        <v>0.1910767173016</v>
      </c>
      <c r="AD3" s="0" t="n">
        <v>0.2149613069643</v>
      </c>
      <c r="AE3" s="0" t="n">
        <v>0.238845896627</v>
      </c>
      <c r="AF3" s="0" t="n">
        <v>0.477691793254</v>
      </c>
      <c r="AG3" s="0" t="n">
        <v>0.716537689881</v>
      </c>
      <c r="AH3" s="0" t="n">
        <v>0.955383586508</v>
      </c>
      <c r="AI3" s="0" t="n">
        <v>1.194229483135</v>
      </c>
      <c r="AJ3" s="0" t="n">
        <v>1.433075379762</v>
      </c>
      <c r="AK3" s="0" t="n">
        <v>1.671921276389</v>
      </c>
      <c r="AL3" s="0" t="n">
        <v>1.910767173016</v>
      </c>
      <c r="AM3" s="0" t="n">
        <v>2.149613069643</v>
      </c>
      <c r="AN3" s="0" t="n">
        <v>2.185</v>
      </c>
      <c r="AO3" s="0" t="n">
        <v>2.2</v>
      </c>
    </row>
    <row r="4" customFormat="false" ht="12.8" hidden="false" customHeight="false" outlineLevel="0" collapsed="false">
      <c r="A4" s="0" t="s">
        <v>250</v>
      </c>
      <c r="B4" s="0" t="n">
        <v>32</v>
      </c>
      <c r="C4" s="0" t="n">
        <v>32.18</v>
      </c>
      <c r="D4" s="0" t="n">
        <v>32.36</v>
      </c>
      <c r="E4" s="0" t="n">
        <v>32.54</v>
      </c>
      <c r="F4" s="0" t="n">
        <v>32.72</v>
      </c>
      <c r="G4" s="0" t="n">
        <v>32.9</v>
      </c>
      <c r="H4" s="0" t="n">
        <v>33.08</v>
      </c>
      <c r="I4" s="0" t="n">
        <v>33.26</v>
      </c>
      <c r="J4" s="0" t="n">
        <v>33.44</v>
      </c>
      <c r="K4" s="0" t="n">
        <v>33.62</v>
      </c>
      <c r="L4" s="0" t="n">
        <v>33.8</v>
      </c>
      <c r="M4" s="0" t="n">
        <v>35.6</v>
      </c>
      <c r="N4" s="0" t="n">
        <v>37.4</v>
      </c>
      <c r="O4" s="0" t="n">
        <v>39.2</v>
      </c>
      <c r="P4" s="0" t="n">
        <v>41</v>
      </c>
      <c r="Q4" s="0" t="n">
        <v>42.8</v>
      </c>
      <c r="R4" s="0" t="n">
        <v>44.6</v>
      </c>
      <c r="S4" s="0" t="n">
        <v>46.4</v>
      </c>
      <c r="T4" s="0" t="n">
        <v>48.2</v>
      </c>
      <c r="U4" s="0" t="n">
        <v>50</v>
      </c>
      <c r="V4" s="0" t="n">
        <v>68</v>
      </c>
      <c r="W4" s="0" t="n">
        <v>86</v>
      </c>
      <c r="X4" s="0" t="n">
        <v>104</v>
      </c>
      <c r="Y4" s="0" t="n">
        <v>122</v>
      </c>
      <c r="Z4" s="0" t="n">
        <v>140</v>
      </c>
      <c r="AA4" s="0" t="n">
        <v>158</v>
      </c>
      <c r="AB4" s="0" t="n">
        <v>176</v>
      </c>
      <c r="AC4" s="0" t="n">
        <v>194</v>
      </c>
      <c r="AD4" s="0" t="n">
        <v>212</v>
      </c>
      <c r="AE4" s="0" t="n">
        <v>392</v>
      </c>
      <c r="AF4" s="0" t="n">
        <v>572</v>
      </c>
      <c r="AG4" s="0" t="n">
        <v>752</v>
      </c>
    </row>
    <row r="5" customFormat="false" ht="12.8" hidden="false" customHeight="false" outlineLevel="0" collapsed="false">
      <c r="A5" s="0" t="s">
        <v>250</v>
      </c>
      <c r="B5" s="0" t="n">
        <v>32</v>
      </c>
      <c r="C5" s="0" t="n">
        <v>32.18</v>
      </c>
      <c r="D5" s="0" t="n">
        <v>32.36</v>
      </c>
      <c r="E5" s="0" t="n">
        <v>32.54</v>
      </c>
      <c r="F5" s="0" t="n">
        <v>32.72</v>
      </c>
      <c r="G5" s="0" t="n">
        <v>32.9</v>
      </c>
      <c r="H5" s="0" t="n">
        <v>33.08</v>
      </c>
      <c r="I5" s="0" t="n">
        <v>33.26</v>
      </c>
      <c r="J5" s="0" t="n">
        <v>33.44</v>
      </c>
      <c r="K5" s="0" t="n">
        <v>33.62</v>
      </c>
      <c r="L5" s="0" t="n">
        <v>33.8</v>
      </c>
      <c r="M5" s="0" t="n">
        <v>35.6</v>
      </c>
      <c r="N5" s="0" t="n">
        <v>37.4</v>
      </c>
      <c r="O5" s="0" t="n">
        <v>39.2</v>
      </c>
      <c r="P5" s="0" t="n">
        <v>41</v>
      </c>
      <c r="Q5" s="0" t="n">
        <v>42.8</v>
      </c>
      <c r="R5" s="0" t="n">
        <v>44.6</v>
      </c>
      <c r="S5" s="0" t="n">
        <v>46.4</v>
      </c>
      <c r="T5" s="0" t="n">
        <v>48.2</v>
      </c>
      <c r="U5" s="0" t="n">
        <v>50</v>
      </c>
      <c r="V5" s="0" t="n">
        <v>68</v>
      </c>
      <c r="W5" s="0" t="n">
        <v>86</v>
      </c>
      <c r="X5" s="0" t="n">
        <v>104</v>
      </c>
      <c r="Y5" s="0" t="n">
        <v>122</v>
      </c>
      <c r="Z5" s="0" t="n">
        <v>140</v>
      </c>
      <c r="AA5" s="0" t="n">
        <v>158</v>
      </c>
      <c r="AB5" s="0" t="n">
        <v>176</v>
      </c>
      <c r="AC5" s="0" t="n">
        <v>194</v>
      </c>
      <c r="AD5" s="0" t="n">
        <v>212</v>
      </c>
      <c r="AE5" s="0" t="n">
        <v>392</v>
      </c>
      <c r="AF5" s="0" t="n">
        <v>572</v>
      </c>
      <c r="AG5" s="0" t="n">
        <v>752</v>
      </c>
      <c r="AH5" s="0" t="n">
        <f aca="false">FROMSIUNIT_T(500+273.15)</f>
        <v>932</v>
      </c>
      <c r="AI5" s="0" t="n">
        <f aca="false">FROMSIUNIT_T(600+273.15)</f>
        <v>1112</v>
      </c>
      <c r="AJ5" s="0" t="n">
        <f aca="false">FROMSIUNIT_T(700+273.15)</f>
        <v>1292</v>
      </c>
      <c r="AK5" s="0" t="n">
        <f aca="false">FROMSIUNIT_T(800+273.15)</f>
        <v>1472</v>
      </c>
      <c r="AL5" s="0" t="n">
        <f aca="false">FROMSIUNIT_T(900+273.15)</f>
        <v>1652</v>
      </c>
      <c r="AM5" s="0" t="n">
        <f aca="false">FROMSIUNIT_T(1000+273.15)</f>
        <v>1832</v>
      </c>
    </row>
    <row r="9" customFormat="false" ht="14.65" hidden="false" customHeight="false" outlineLevel="0" collapsed="false">
      <c r="A9" s="0" t="s">
        <v>251</v>
      </c>
      <c r="B9" s="0" t="s">
        <v>252</v>
      </c>
      <c r="C9" s="0" t="s">
        <v>253</v>
      </c>
    </row>
    <row r="10" customFormat="false" ht="14.65" hidden="false" customHeight="false" outlineLevel="0" collapsed="false">
      <c r="A10" s="0" t="n">
        <v>0</v>
      </c>
      <c r="B10" s="0" t="n">
        <v>0.000624279606</v>
      </c>
      <c r="C10" s="0" t="n">
        <v>0</v>
      </c>
    </row>
    <row r="11" customFormat="false" ht="14.65" hidden="false" customHeight="false" outlineLevel="0" collapsed="false">
      <c r="A11" s="0" t="n">
        <v>0.0429922613929493</v>
      </c>
      <c r="B11" s="0" t="n">
        <v>0.001248559212</v>
      </c>
      <c r="C11" s="0" t="n">
        <v>0.001</v>
      </c>
    </row>
    <row r="12" customFormat="false" ht="14.65" hidden="false" customHeight="false" outlineLevel="0" collapsed="false">
      <c r="A12" s="0" t="n">
        <v>0.0859845227858985</v>
      </c>
      <c r="B12" s="0" t="n">
        <v>0.001872838818</v>
      </c>
      <c r="C12" s="0" t="n">
        <f aca="false">C11+0.001</f>
        <v>0.002</v>
      </c>
    </row>
    <row r="13" customFormat="false" ht="14.65" hidden="false" customHeight="false" outlineLevel="0" collapsed="false">
      <c r="A13" s="0" t="n">
        <v>0.128976784178848</v>
      </c>
      <c r="B13" s="0" t="n">
        <v>0.002497118424</v>
      </c>
      <c r="C13" s="0" t="n">
        <f aca="false">C12+0.001</f>
        <v>0.003</v>
      </c>
    </row>
    <row r="14" customFormat="false" ht="14.65" hidden="false" customHeight="false" outlineLevel="0" collapsed="false">
      <c r="A14" s="0" t="n">
        <v>0.171969045571797</v>
      </c>
      <c r="B14" s="0" t="n">
        <v>0.00312139803</v>
      </c>
      <c r="C14" s="0" t="n">
        <f aca="false">C13+0.001</f>
        <v>0.004</v>
      </c>
    </row>
    <row r="15" customFormat="false" ht="14.65" hidden="false" customHeight="false" outlineLevel="0" collapsed="false">
      <c r="A15" s="0" t="n">
        <v>0.214961306964746</v>
      </c>
      <c r="B15" s="0" t="n">
        <v>0.003745677636</v>
      </c>
      <c r="C15" s="0" t="n">
        <f aca="false">C14+0.001</f>
        <v>0.005</v>
      </c>
    </row>
    <row r="16" customFormat="false" ht="14.65" hidden="false" customHeight="false" outlineLevel="0" collapsed="false">
      <c r="A16" s="0" t="n">
        <v>0.257953568357696</v>
      </c>
      <c r="B16" s="0" t="n">
        <v>0.004369957242</v>
      </c>
      <c r="C16" s="0" t="n">
        <f aca="false">C15+0.001</f>
        <v>0.006</v>
      </c>
    </row>
    <row r="17" customFormat="false" ht="14.65" hidden="false" customHeight="false" outlineLevel="0" collapsed="false">
      <c r="A17" s="0" t="n">
        <v>0.300945829750645</v>
      </c>
      <c r="B17" s="0" t="n">
        <v>0.004994236848</v>
      </c>
      <c r="C17" s="0" t="n">
        <f aca="false">C16+0.001</f>
        <v>0.007</v>
      </c>
    </row>
    <row r="18" customFormat="false" ht="14.65" hidden="false" customHeight="false" outlineLevel="0" collapsed="false">
      <c r="A18" s="0" t="n">
        <v>0.343938091143594</v>
      </c>
      <c r="B18" s="0" t="n">
        <v>0.005618516454</v>
      </c>
      <c r="C18" s="0" t="n">
        <f aca="false">C17+0.001</f>
        <v>0.008</v>
      </c>
    </row>
    <row r="19" customFormat="false" ht="14.65" hidden="false" customHeight="false" outlineLevel="0" collapsed="false">
      <c r="A19" s="0" t="n">
        <v>0.386930352536543</v>
      </c>
      <c r="B19" s="0" t="n">
        <v>0.00624279606</v>
      </c>
      <c r="C19" s="0" t="n">
        <f aca="false">C18+0.001</f>
        <v>0.009</v>
      </c>
    </row>
    <row r="20" customFormat="false" ht="14.65" hidden="false" customHeight="false" outlineLevel="0" collapsed="false">
      <c r="A20" s="0" t="n">
        <v>0.429922613929493</v>
      </c>
      <c r="B20" s="0" t="n">
        <v>0.01248559212</v>
      </c>
      <c r="C20" s="0" t="n">
        <f aca="false">C19+0.001</f>
        <v>0.01</v>
      </c>
    </row>
    <row r="21" customFormat="false" ht="14.65" hidden="false" customHeight="false" outlineLevel="0" collapsed="false">
      <c r="A21" s="0" t="n">
        <v>0.859845227858985</v>
      </c>
      <c r="B21" s="0" t="n">
        <v>0.01872838818</v>
      </c>
      <c r="C21" s="0" t="n">
        <f aca="false">C20+0.01</f>
        <v>0.02</v>
      </c>
    </row>
    <row r="22" customFormat="false" ht="14.65" hidden="false" customHeight="false" outlineLevel="0" collapsed="false">
      <c r="A22" s="0" t="n">
        <v>1.28976784178848</v>
      </c>
      <c r="B22" s="0" t="n">
        <v>0.02497118424</v>
      </c>
      <c r="C22" s="0" t="n">
        <f aca="false">C21+0.01</f>
        <v>0.03</v>
      </c>
    </row>
    <row r="23" customFormat="false" ht="14.65" hidden="false" customHeight="false" outlineLevel="0" collapsed="false">
      <c r="A23" s="0" t="n">
        <v>1.71969045571797</v>
      </c>
      <c r="B23" s="0" t="n">
        <v>0.0312139803</v>
      </c>
      <c r="C23" s="0" t="n">
        <f aca="false">C22+0.01</f>
        <v>0.04</v>
      </c>
    </row>
    <row r="24" customFormat="false" ht="14.65" hidden="false" customHeight="false" outlineLevel="0" collapsed="false">
      <c r="A24" s="0" t="n">
        <v>2.14961306964746</v>
      </c>
      <c r="B24" s="0" t="n">
        <v>0.03745677636</v>
      </c>
      <c r="C24" s="0" t="n">
        <f aca="false">C23+0.01</f>
        <v>0.05</v>
      </c>
    </row>
    <row r="25" customFormat="false" ht="14.65" hidden="false" customHeight="false" outlineLevel="0" collapsed="false">
      <c r="A25" s="0" t="n">
        <v>2.57953568357696</v>
      </c>
      <c r="B25" s="0" t="n">
        <v>0.04369957242</v>
      </c>
      <c r="C25" s="0" t="n">
        <f aca="false">C24+0.01</f>
        <v>0.06</v>
      </c>
    </row>
    <row r="26" customFormat="false" ht="14.65" hidden="false" customHeight="false" outlineLevel="0" collapsed="false">
      <c r="A26" s="0" t="n">
        <v>3.00945829750645</v>
      </c>
      <c r="B26" s="0" t="n">
        <v>0.04994236848</v>
      </c>
      <c r="C26" s="0" t="n">
        <f aca="false">C25+0.01</f>
        <v>0.07</v>
      </c>
    </row>
    <row r="27" customFormat="false" ht="14.65" hidden="false" customHeight="false" outlineLevel="0" collapsed="false">
      <c r="A27" s="0" t="n">
        <v>3.43938091143594</v>
      </c>
      <c r="B27" s="0" t="n">
        <v>0.05618516454</v>
      </c>
      <c r="C27" s="0" t="n">
        <f aca="false">C26+0.01</f>
        <v>0.08</v>
      </c>
    </row>
    <row r="28" customFormat="false" ht="14.65" hidden="false" customHeight="false" outlineLevel="0" collapsed="false">
      <c r="A28" s="0" t="n">
        <v>3.86930352536543</v>
      </c>
      <c r="B28" s="0" t="n">
        <v>0.0624279606</v>
      </c>
      <c r="C28" s="0" t="n">
        <f aca="false">C27+0.01</f>
        <v>0.09</v>
      </c>
    </row>
    <row r="29" customFormat="false" ht="14.65" hidden="false" customHeight="false" outlineLevel="0" collapsed="false">
      <c r="A29" s="0" t="n">
        <v>4.29922613929493</v>
      </c>
      <c r="B29" s="0" t="n">
        <v>0.1248559212</v>
      </c>
      <c r="C29" s="0" t="n">
        <f aca="false">C28+0.01</f>
        <v>0.1</v>
      </c>
    </row>
    <row r="30" customFormat="false" ht="14.65" hidden="false" customHeight="false" outlineLevel="0" collapsed="false">
      <c r="A30" s="0" t="n">
        <v>8.59845227858985</v>
      </c>
      <c r="B30" s="0" t="n">
        <v>0.1872838818</v>
      </c>
      <c r="C30" s="0" t="n">
        <f aca="false">C29+0.1</f>
        <v>0.2</v>
      </c>
    </row>
    <row r="31" customFormat="false" ht="14.65" hidden="false" customHeight="false" outlineLevel="0" collapsed="false">
      <c r="A31" s="0" t="n">
        <v>12.8976784178848</v>
      </c>
      <c r="B31" s="0" t="n">
        <v>0.2497118424</v>
      </c>
      <c r="C31" s="0" t="n">
        <f aca="false">C30+0.1</f>
        <v>0.3</v>
      </c>
    </row>
    <row r="32" customFormat="false" ht="14.65" hidden="false" customHeight="false" outlineLevel="0" collapsed="false">
      <c r="A32" s="0" t="n">
        <v>17.1969045571797</v>
      </c>
      <c r="B32" s="0" t="n">
        <v>0.312139803</v>
      </c>
      <c r="C32" s="0" t="n">
        <f aca="false">C31+0.1</f>
        <v>0.4</v>
      </c>
    </row>
    <row r="33" customFormat="false" ht="14.65" hidden="false" customHeight="false" outlineLevel="0" collapsed="false">
      <c r="A33" s="0" t="n">
        <v>21.4961306964746</v>
      </c>
      <c r="B33" s="0" t="n">
        <v>0.3745677636</v>
      </c>
      <c r="C33" s="0" t="n">
        <f aca="false">C32+0.1</f>
        <v>0.5</v>
      </c>
    </row>
    <row r="34" customFormat="false" ht="14.65" hidden="false" customHeight="false" outlineLevel="0" collapsed="false">
      <c r="A34" s="0" t="n">
        <v>25.7953568357696</v>
      </c>
      <c r="B34" s="0" t="n">
        <v>0.4369957242</v>
      </c>
      <c r="C34" s="0" t="n">
        <f aca="false">C33+0.1</f>
        <v>0.6</v>
      </c>
    </row>
    <row r="35" customFormat="false" ht="14.65" hidden="false" customHeight="false" outlineLevel="0" collapsed="false">
      <c r="A35" s="0" t="n">
        <v>30.0945829750645</v>
      </c>
      <c r="B35" s="0" t="n">
        <v>0.4994236848</v>
      </c>
      <c r="C35" s="0" t="n">
        <f aca="false">C34+0.1</f>
        <v>0.7</v>
      </c>
    </row>
    <row r="36" customFormat="false" ht="14.65" hidden="false" customHeight="false" outlineLevel="0" collapsed="false">
      <c r="A36" s="0" t="n">
        <v>34.3938091143594</v>
      </c>
      <c r="B36" s="0" t="n">
        <v>0.5618516454</v>
      </c>
      <c r="C36" s="0" t="n">
        <f aca="false">C35+0.1</f>
        <v>0.8</v>
      </c>
    </row>
    <row r="37" customFormat="false" ht="14.65" hidden="false" customHeight="false" outlineLevel="0" collapsed="false">
      <c r="A37" s="0" t="n">
        <v>38.6930352536543</v>
      </c>
      <c r="B37" s="0" t="n">
        <v>0.624279606</v>
      </c>
      <c r="C37" s="0" t="n">
        <f aca="false">C36+0.1</f>
        <v>0.9</v>
      </c>
    </row>
    <row r="38" customFormat="false" ht="14.65" hidden="false" customHeight="false" outlineLevel="0" collapsed="false">
      <c r="A38" s="0" t="n">
        <v>42.9922613929493</v>
      </c>
      <c r="B38" s="0" t="n">
        <v>1.248559212</v>
      </c>
      <c r="C38" s="0" t="n">
        <f aca="false">C37+0.1</f>
        <v>1</v>
      </c>
    </row>
    <row r="39" customFormat="false" ht="14.65" hidden="false" customHeight="false" outlineLevel="0" collapsed="false">
      <c r="A39" s="0" t="n">
        <v>85.9845227858985</v>
      </c>
      <c r="B39" s="0" t="n">
        <v>1.872838818</v>
      </c>
    </row>
    <row r="40" customFormat="false" ht="14.65" hidden="false" customHeight="false" outlineLevel="0" collapsed="false">
      <c r="A40" s="0" t="n">
        <v>128.976784178848</v>
      </c>
      <c r="B40" s="0" t="n">
        <v>2.497118424</v>
      </c>
    </row>
    <row r="41" customFormat="false" ht="14.65" hidden="false" customHeight="false" outlineLevel="0" collapsed="false">
      <c r="A41" s="0" t="n">
        <v>171.969045571797</v>
      </c>
      <c r="B41" s="0" t="n">
        <v>3.12139803</v>
      </c>
    </row>
    <row r="42" customFormat="false" ht="14.65" hidden="false" customHeight="false" outlineLevel="0" collapsed="false">
      <c r="A42" s="0" t="n">
        <v>214.961306964746</v>
      </c>
      <c r="B42" s="0" t="n">
        <v>3.745677636</v>
      </c>
    </row>
    <row r="43" customFormat="false" ht="14.65" hidden="false" customHeight="false" outlineLevel="0" collapsed="false">
      <c r="A43" s="0" t="n">
        <v>257.953568357696</v>
      </c>
      <c r="B43" s="0" t="n">
        <v>4.369957242</v>
      </c>
    </row>
    <row r="44" customFormat="false" ht="14.65" hidden="false" customHeight="false" outlineLevel="0" collapsed="false">
      <c r="A44" s="0" t="n">
        <v>300.945829750645</v>
      </c>
      <c r="B44" s="0" t="n">
        <v>4.994236848</v>
      </c>
    </row>
    <row r="45" customFormat="false" ht="14.65" hidden="false" customHeight="false" outlineLevel="0" collapsed="false">
      <c r="A45" s="0" t="n">
        <v>343.938091143594</v>
      </c>
      <c r="B45" s="0" t="n">
        <v>5.618516454</v>
      </c>
    </row>
    <row r="46" customFormat="false" ht="14.65" hidden="false" customHeight="false" outlineLevel="0" collapsed="false">
      <c r="A46" s="0" t="n">
        <v>386.930352536543</v>
      </c>
      <c r="B46" s="0" t="n">
        <v>6.24279606</v>
      </c>
    </row>
    <row r="47" customFormat="false" ht="14.65" hidden="false" customHeight="false" outlineLevel="0" collapsed="false">
      <c r="A47" s="0" t="n">
        <v>429.922613929493</v>
      </c>
      <c r="B47" s="0" t="n">
        <v>12.48559212</v>
      </c>
    </row>
    <row r="48" customFormat="false" ht="14.65" hidden="false" customHeight="false" outlineLevel="0" collapsed="false">
      <c r="A48" s="0" t="n">
        <v>859.845227858985</v>
      </c>
      <c r="B48" s="0" t="n">
        <v>18.72838818</v>
      </c>
    </row>
    <row r="49" customFormat="false" ht="14.65" hidden="false" customHeight="false" outlineLevel="0" collapsed="false">
      <c r="A49" s="0" t="n">
        <v>864.14445399828</v>
      </c>
      <c r="B49" s="0" t="n">
        <v>24.97118424</v>
      </c>
    </row>
    <row r="50" customFormat="false" ht="14.65" hidden="false" customHeight="false" outlineLevel="0" collapsed="false">
      <c r="A50" s="0" t="n">
        <v>868.443680137575</v>
      </c>
      <c r="B50" s="0" t="n">
        <v>31.2139803</v>
      </c>
    </row>
    <row r="51" customFormat="false" ht="14.65" hidden="false" customHeight="false" outlineLevel="0" collapsed="false">
      <c r="A51" s="0" t="n">
        <v>872.74290627687</v>
      </c>
      <c r="B51" s="0" t="n">
        <v>37.45677636</v>
      </c>
    </row>
    <row r="52" customFormat="false" ht="14.65" hidden="false" customHeight="false" outlineLevel="0" collapsed="false">
      <c r="A52" s="0" t="n">
        <v>877.042132416165</v>
      </c>
      <c r="B52" s="0" t="n">
        <v>43.69957242</v>
      </c>
    </row>
    <row r="53" customFormat="false" ht="14.65" hidden="false" customHeight="false" outlineLevel="0" collapsed="false">
      <c r="A53" s="0" t="n">
        <v>881.34135855546</v>
      </c>
      <c r="B53" s="0" t="n">
        <v>49.94236848</v>
      </c>
    </row>
    <row r="54" customFormat="false" ht="14.65" hidden="false" customHeight="false" outlineLevel="0" collapsed="false">
      <c r="A54" s="0" t="n">
        <v>885.640584694755</v>
      </c>
      <c r="B54" s="0" t="n">
        <v>56.18516454</v>
      </c>
    </row>
    <row r="55" customFormat="false" ht="14.65" hidden="false" customHeight="false" outlineLevel="0" collapsed="false">
      <c r="A55" s="0" t="n">
        <v>889.93981083405</v>
      </c>
      <c r="B55" s="0" t="n">
        <v>62.4279606</v>
      </c>
    </row>
    <row r="56" customFormat="false" ht="14.65" hidden="false" customHeight="false" outlineLevel="0" collapsed="false">
      <c r="A56" s="0" t="n">
        <v>894.239036973345</v>
      </c>
    </row>
    <row r="57" customFormat="false" ht="14.65" hidden="false" customHeight="false" outlineLevel="0" collapsed="false">
      <c r="A57" s="0" t="n">
        <v>898.53826311264</v>
      </c>
    </row>
    <row r="58" customFormat="false" ht="14.65" hidden="false" customHeight="false" outlineLevel="0" collapsed="false">
      <c r="A58" s="0" t="n">
        <v>902.837489251935</v>
      </c>
    </row>
    <row r="59" customFormat="false" ht="14.65" hidden="false" customHeight="false" outlineLevel="0" collapsed="false">
      <c r="A59" s="0" t="n">
        <v>907.13671539123</v>
      </c>
    </row>
    <row r="60" customFormat="false" ht="14.65" hidden="false" customHeight="false" outlineLevel="0" collapsed="false">
      <c r="A60" s="0" t="n">
        <v>911.435941530525</v>
      </c>
    </row>
    <row r="61" customFormat="false" ht="14.65" hidden="false" customHeight="false" outlineLevel="0" collapsed="false">
      <c r="A61" s="0" t="n">
        <v>915.735167669819</v>
      </c>
    </row>
    <row r="62" customFormat="false" ht="14.65" hidden="false" customHeight="false" outlineLevel="0" collapsed="false">
      <c r="A62" s="0" t="n">
        <v>920.034393809114</v>
      </c>
    </row>
    <row r="63" customFormat="false" ht="14.65" hidden="false" customHeight="false" outlineLevel="0" collapsed="false">
      <c r="A63" s="0" t="n">
        <v>924.333619948409</v>
      </c>
    </row>
    <row r="64" customFormat="false" ht="14.65" hidden="false" customHeight="false" outlineLevel="0" collapsed="false">
      <c r="A64" s="0" t="n">
        <v>928.632846087704</v>
      </c>
    </row>
    <row r="65" customFormat="false" ht="14.65" hidden="false" customHeight="false" outlineLevel="0" collapsed="false">
      <c r="A65" s="0" t="n">
        <v>932.932072226999</v>
      </c>
    </row>
    <row r="66" customFormat="false" ht="14.65" hidden="false" customHeight="false" outlineLevel="0" collapsed="false">
      <c r="A66" s="0" t="n">
        <v>937.231298366294</v>
      </c>
    </row>
    <row r="67" customFormat="false" ht="14.65" hidden="false" customHeight="false" outlineLevel="0" collapsed="false">
      <c r="A67" s="0" t="n">
        <v>941.530524505589</v>
      </c>
    </row>
    <row r="68" customFormat="false" ht="14.65" hidden="false" customHeight="false" outlineLevel="0" collapsed="false">
      <c r="A68" s="0" t="n">
        <v>945.829750644884</v>
      </c>
    </row>
    <row r="69" customFormat="false" ht="14.65" hidden="false" customHeight="false" outlineLevel="0" collapsed="false">
      <c r="A69" s="0" t="n">
        <v>950.128976784179</v>
      </c>
    </row>
    <row r="70" customFormat="false" ht="14.65" hidden="false" customHeight="false" outlineLevel="0" collapsed="false">
      <c r="A70" s="0" t="n">
        <v>954.428202923474</v>
      </c>
    </row>
    <row r="71" customFormat="false" ht="14.65" hidden="false" customHeight="false" outlineLevel="0" collapsed="false">
      <c r="A71" s="0" t="n">
        <v>958.727429062769</v>
      </c>
    </row>
    <row r="72" customFormat="false" ht="14.65" hidden="false" customHeight="false" outlineLevel="0" collapsed="false">
      <c r="A72" s="0" t="n">
        <v>963.026655202064</v>
      </c>
    </row>
    <row r="73" customFormat="false" ht="14.65" hidden="false" customHeight="false" outlineLevel="0" collapsed="false">
      <c r="A73" s="0" t="n">
        <v>967.325881341359</v>
      </c>
    </row>
    <row r="74" customFormat="false" ht="14.65" hidden="false" customHeight="false" outlineLevel="0" collapsed="false">
      <c r="A74" s="0" t="n">
        <v>971.625107480653</v>
      </c>
    </row>
    <row r="75" customFormat="false" ht="14.65" hidden="false" customHeight="false" outlineLevel="0" collapsed="false">
      <c r="A75" s="0" t="n">
        <v>975.924333619948</v>
      </c>
    </row>
    <row r="76" customFormat="false" ht="14.65" hidden="false" customHeight="false" outlineLevel="0" collapsed="false">
      <c r="A76" s="0" t="n">
        <v>980.223559759243</v>
      </c>
    </row>
    <row r="77" customFormat="false" ht="14.65" hidden="false" customHeight="false" outlineLevel="0" collapsed="false">
      <c r="A77" s="0" t="n">
        <v>984.522785898538</v>
      </c>
    </row>
    <row r="78" customFormat="false" ht="14.65" hidden="false" customHeight="false" outlineLevel="0" collapsed="false">
      <c r="A78" s="0" t="n">
        <v>988.822012037833</v>
      </c>
    </row>
    <row r="79" customFormat="false" ht="14.65" hidden="false" customHeight="false" outlineLevel="0" collapsed="false">
      <c r="A79" s="0" t="n">
        <v>993.121238177128</v>
      </c>
    </row>
    <row r="80" customFormat="false" ht="14.65" hidden="false" customHeight="false" outlineLevel="0" collapsed="false">
      <c r="A80" s="0" t="n">
        <v>997.420464316423</v>
      </c>
    </row>
    <row r="81" customFormat="false" ht="14.65" hidden="false" customHeight="false" outlineLevel="0" collapsed="false">
      <c r="A81" s="0" t="n">
        <v>1001.71969045572</v>
      </c>
    </row>
    <row r="82" customFormat="false" ht="14.65" hidden="false" customHeight="false" outlineLevel="0" collapsed="false">
      <c r="A82" s="0" t="n">
        <v>1006.01891659501</v>
      </c>
    </row>
    <row r="83" customFormat="false" ht="14.65" hidden="false" customHeight="false" outlineLevel="0" collapsed="false">
      <c r="A83" s="0" t="n">
        <v>1010.31814273431</v>
      </c>
    </row>
    <row r="84" customFormat="false" ht="14.65" hidden="false" customHeight="false" outlineLevel="0" collapsed="false">
      <c r="A84" s="0" t="n">
        <v>1014.6173688736</v>
      </c>
    </row>
    <row r="85" customFormat="false" ht="14.65" hidden="false" customHeight="false" outlineLevel="0" collapsed="false">
      <c r="A85" s="0" t="n">
        <v>1018.9165950129</v>
      </c>
    </row>
    <row r="86" customFormat="false" ht="14.65" hidden="false" customHeight="false" outlineLevel="0" collapsed="false">
      <c r="A86" s="0" t="n">
        <v>1023.21582115219</v>
      </c>
    </row>
    <row r="87" customFormat="false" ht="14.65" hidden="false" customHeight="false" outlineLevel="0" collapsed="false">
      <c r="A87" s="0" t="n">
        <v>1027.51504729149</v>
      </c>
    </row>
    <row r="88" customFormat="false" ht="14.65" hidden="false" customHeight="false" outlineLevel="0" collapsed="false">
      <c r="A88" s="0" t="n">
        <v>1031.81427343078</v>
      </c>
    </row>
    <row r="89" customFormat="false" ht="14.65" hidden="false" customHeight="false" outlineLevel="0" collapsed="false">
      <c r="A89" s="0" t="n">
        <v>1036.11349957008</v>
      </c>
    </row>
    <row r="90" customFormat="false" ht="14.65" hidden="false" customHeight="false" outlineLevel="0" collapsed="false">
      <c r="A90" s="0" t="n">
        <v>1040.41272570937</v>
      </c>
    </row>
    <row r="91" customFormat="false" ht="14.65" hidden="false" customHeight="false" outlineLevel="0" collapsed="false">
      <c r="A91" s="0" t="n">
        <v>1044.71195184867</v>
      </c>
    </row>
    <row r="92" customFormat="false" ht="14.65" hidden="false" customHeight="false" outlineLevel="0" collapsed="false">
      <c r="A92" s="0" t="n">
        <v>1049.01117798796</v>
      </c>
    </row>
    <row r="93" customFormat="false" ht="14.65" hidden="false" customHeight="false" outlineLevel="0" collapsed="false">
      <c r="A93" s="0" t="n">
        <v>1053.31040412726</v>
      </c>
    </row>
    <row r="94" customFormat="false" ht="14.65" hidden="false" customHeight="false" outlineLevel="0" collapsed="false">
      <c r="A94" s="0" t="n">
        <v>1057.60963026655</v>
      </c>
    </row>
    <row r="95" customFormat="false" ht="14.65" hidden="false" customHeight="false" outlineLevel="0" collapsed="false">
      <c r="A95" s="0" t="n">
        <v>1061.90885640585</v>
      </c>
    </row>
    <row r="96" customFormat="false" ht="14.65" hidden="false" customHeight="false" outlineLevel="0" collapsed="false">
      <c r="A96" s="0" t="n">
        <v>1066.20808254514</v>
      </c>
    </row>
    <row r="97" customFormat="false" ht="14.65" hidden="false" customHeight="false" outlineLevel="0" collapsed="false">
      <c r="A97" s="0" t="n">
        <v>1070.50730868444</v>
      </c>
    </row>
    <row r="98" customFormat="false" ht="14.65" hidden="false" customHeight="false" outlineLevel="0" collapsed="false">
      <c r="A98" s="0" t="n">
        <v>1074.80653482373</v>
      </c>
    </row>
    <row r="99" customFormat="false" ht="14.65" hidden="false" customHeight="false" outlineLevel="0" collapsed="false">
      <c r="A99" s="0" t="n">
        <v>1079.10576096303</v>
      </c>
    </row>
    <row r="100" customFormat="false" ht="14.65" hidden="false" customHeight="false" outlineLevel="0" collapsed="false">
      <c r="A100" s="0" t="n">
        <v>1083.40498710232</v>
      </c>
    </row>
    <row r="101" customFormat="false" ht="14.65" hidden="false" customHeight="false" outlineLevel="0" collapsed="false">
      <c r="A101" s="0" t="n">
        <v>1087.70421324162</v>
      </c>
    </row>
    <row r="102" customFormat="false" ht="14.65" hidden="false" customHeight="false" outlineLevel="0" collapsed="false">
      <c r="A102" s="0" t="n">
        <v>1092.00343938091</v>
      </c>
    </row>
    <row r="103" customFormat="false" ht="14.65" hidden="false" customHeight="false" outlineLevel="0" collapsed="false">
      <c r="A103" s="0" t="n">
        <v>1096.30266552021</v>
      </c>
    </row>
    <row r="104" customFormat="false" ht="14.65" hidden="false" customHeight="false" outlineLevel="0" collapsed="false">
      <c r="A104" s="0" t="n">
        <v>1100.6018916595</v>
      </c>
    </row>
    <row r="105" customFormat="false" ht="14.65" hidden="false" customHeight="false" outlineLevel="0" collapsed="false">
      <c r="A105" s="0" t="n">
        <v>1104.9011177988</v>
      </c>
    </row>
    <row r="106" customFormat="false" ht="12.8" hidden="false" customHeight="false" outlineLevel="0" collapsed="false">
      <c r="A106" s="0" t="n">
        <v>1109.20034393809</v>
      </c>
    </row>
    <row r="107" customFormat="false" ht="12.8" hidden="false" customHeight="false" outlineLevel="0" collapsed="false">
      <c r="A107" s="0" t="n">
        <v>1113.49957007739</v>
      </c>
    </row>
    <row r="108" customFormat="false" ht="12.8" hidden="false" customHeight="false" outlineLevel="0" collapsed="false">
      <c r="A108" s="0" t="n">
        <v>1117.79879621668</v>
      </c>
    </row>
    <row r="109" customFormat="false" ht="12.8" hidden="false" customHeight="false" outlineLevel="0" collapsed="false">
      <c r="A109" s="0" t="n">
        <v>1122.09802235598</v>
      </c>
    </row>
    <row r="110" customFormat="false" ht="12.8" hidden="false" customHeight="false" outlineLevel="0" collapsed="false">
      <c r="A110" s="0" t="n">
        <v>1126.39724849527</v>
      </c>
    </row>
    <row r="111" customFormat="false" ht="12.8" hidden="false" customHeight="false" outlineLevel="0" collapsed="false">
      <c r="A111" s="0" t="n">
        <v>1130.69647463457</v>
      </c>
    </row>
    <row r="112" customFormat="false" ht="12.8" hidden="false" customHeight="false" outlineLevel="0" collapsed="false">
      <c r="A112" s="0" t="n">
        <v>1134.99570077386</v>
      </c>
    </row>
    <row r="113" customFormat="false" ht="12.8" hidden="false" customHeight="false" outlineLevel="0" collapsed="false">
      <c r="A113" s="0" t="n">
        <v>1139.29492691316</v>
      </c>
    </row>
    <row r="114" customFormat="false" ht="12.8" hidden="false" customHeight="false" outlineLevel="0" collapsed="false">
      <c r="A114" s="0" t="n">
        <v>1143.59415305245</v>
      </c>
    </row>
    <row r="115" customFormat="false" ht="12.8" hidden="false" customHeight="false" outlineLevel="0" collapsed="false">
      <c r="A115" s="0" t="n">
        <v>1147.89337919175</v>
      </c>
    </row>
    <row r="116" customFormat="false" ht="12.8" hidden="false" customHeight="false" outlineLevel="0" collapsed="false">
      <c r="A116" s="0" t="n">
        <v>1152.19260533104</v>
      </c>
    </row>
    <row r="117" customFormat="false" ht="12.8" hidden="false" customHeight="false" outlineLevel="0" collapsed="false">
      <c r="A117" s="0" t="n">
        <v>1156.49183147034</v>
      </c>
    </row>
    <row r="118" customFormat="false" ht="12.8" hidden="false" customHeight="false" outlineLevel="0" collapsed="false">
      <c r="A118" s="0" t="n">
        <v>1160.79105760963</v>
      </c>
    </row>
    <row r="119" customFormat="false" ht="12.8" hidden="false" customHeight="false" outlineLevel="0" collapsed="false">
      <c r="A119" s="0" t="n">
        <v>1165.09028374893</v>
      </c>
    </row>
    <row r="120" customFormat="false" ht="12.8" hidden="false" customHeight="false" outlineLevel="0" collapsed="false">
      <c r="A120" s="0" t="n">
        <v>1169.38950988822</v>
      </c>
    </row>
    <row r="121" customFormat="false" ht="12.8" hidden="false" customHeight="false" outlineLevel="0" collapsed="false">
      <c r="A121" s="0" t="n">
        <v>1173.68873602752</v>
      </c>
    </row>
    <row r="122" customFormat="false" ht="12.8" hidden="false" customHeight="false" outlineLevel="0" collapsed="false">
      <c r="A122" s="0" t="n">
        <v>1177.98796216681</v>
      </c>
    </row>
    <row r="123" customFormat="false" ht="12.8" hidden="false" customHeight="false" outlineLevel="0" collapsed="false">
      <c r="A123" s="0" t="n">
        <v>1182.2871883061</v>
      </c>
    </row>
    <row r="124" customFormat="false" ht="12.8" hidden="false" customHeight="false" outlineLevel="0" collapsed="false">
      <c r="A124" s="0" t="n">
        <v>1186.5864144454</v>
      </c>
    </row>
    <row r="125" customFormat="false" ht="12.8" hidden="false" customHeight="false" outlineLevel="0" collapsed="false">
      <c r="A125" s="0" t="n">
        <v>1190.88564058469</v>
      </c>
    </row>
    <row r="126" customFormat="false" ht="12.8" hidden="false" customHeight="false" outlineLevel="0" collapsed="false">
      <c r="A126" s="0" t="n">
        <v>1195.18486672399</v>
      </c>
    </row>
    <row r="127" customFormat="false" ht="12.8" hidden="false" customHeight="false" outlineLevel="0" collapsed="false">
      <c r="A127" s="0" t="n">
        <v>1199.48409286328</v>
      </c>
    </row>
    <row r="128" customFormat="false" ht="12.8" hidden="false" customHeight="false" outlineLevel="0" collapsed="false">
      <c r="A128" s="0" t="n">
        <v>1203.78331900258</v>
      </c>
    </row>
    <row r="129" customFormat="false" ht="12.8" hidden="false" customHeight="false" outlineLevel="0" collapsed="false">
      <c r="A129" s="0" t="n">
        <v>1208.08254514187</v>
      </c>
    </row>
    <row r="130" customFormat="false" ht="12.8" hidden="false" customHeight="false" outlineLevel="0" collapsed="false">
      <c r="A130" s="0" t="n">
        <v>1212.38177128117</v>
      </c>
    </row>
    <row r="131" customFormat="false" ht="12.8" hidden="false" customHeight="false" outlineLevel="0" collapsed="false">
      <c r="A131" s="0" t="n">
        <v>1216.68099742046</v>
      </c>
    </row>
    <row r="132" customFormat="false" ht="12.8" hidden="false" customHeight="false" outlineLevel="0" collapsed="false">
      <c r="A132" s="0" t="n">
        <v>1220.98022355976</v>
      </c>
    </row>
    <row r="133" customFormat="false" ht="12.8" hidden="false" customHeight="false" outlineLevel="0" collapsed="false">
      <c r="A133" s="0" t="n">
        <v>1225.27944969905</v>
      </c>
    </row>
    <row r="134" customFormat="false" ht="12.8" hidden="false" customHeight="false" outlineLevel="0" collapsed="false">
      <c r="A134" s="0" t="n">
        <v>1229.57867583835</v>
      </c>
    </row>
    <row r="135" customFormat="false" ht="12.8" hidden="false" customHeight="false" outlineLevel="0" collapsed="false">
      <c r="A135" s="0" t="n">
        <v>1233.87790197764</v>
      </c>
    </row>
    <row r="136" customFormat="false" ht="12.8" hidden="false" customHeight="false" outlineLevel="0" collapsed="false">
      <c r="A136" s="0" t="n">
        <v>1238.17712811694</v>
      </c>
    </row>
    <row r="137" customFormat="false" ht="12.8" hidden="false" customHeight="false" outlineLevel="0" collapsed="false">
      <c r="A137" s="0" t="n">
        <v>1242.47635425623</v>
      </c>
    </row>
    <row r="138" customFormat="false" ht="12.8" hidden="false" customHeight="false" outlineLevel="0" collapsed="false">
      <c r="A138" s="0" t="n">
        <v>1246.77558039553</v>
      </c>
    </row>
    <row r="139" customFormat="false" ht="12.8" hidden="false" customHeight="false" outlineLevel="0" collapsed="false">
      <c r="A139" s="0" t="n">
        <v>1251.07480653482</v>
      </c>
    </row>
    <row r="140" customFormat="false" ht="12.8" hidden="false" customHeight="false" outlineLevel="0" collapsed="false">
      <c r="A140" s="0" t="n">
        <v>1255.37403267412</v>
      </c>
    </row>
    <row r="141" customFormat="false" ht="12.8" hidden="false" customHeight="false" outlineLevel="0" collapsed="false">
      <c r="A141" s="0" t="n">
        <v>1259.67325881341</v>
      </c>
    </row>
    <row r="142" customFormat="false" ht="12.8" hidden="false" customHeight="false" outlineLevel="0" collapsed="false">
      <c r="A142" s="0" t="n">
        <v>1263.97248495271</v>
      </c>
    </row>
    <row r="143" customFormat="false" ht="12.8" hidden="false" customHeight="false" outlineLevel="0" collapsed="false">
      <c r="A143" s="0" t="n">
        <v>1268.271711092</v>
      </c>
    </row>
    <row r="144" customFormat="false" ht="12.8" hidden="false" customHeight="false" outlineLevel="0" collapsed="false">
      <c r="A144" s="0" t="n">
        <v>1272.5709372313</v>
      </c>
    </row>
    <row r="145" customFormat="false" ht="12.8" hidden="false" customHeight="false" outlineLevel="0" collapsed="false">
      <c r="A145" s="0" t="n">
        <v>1276.87016337059</v>
      </c>
    </row>
    <row r="146" customFormat="false" ht="12.8" hidden="false" customHeight="false" outlineLevel="0" collapsed="false">
      <c r="A146" s="0" t="n">
        <v>1281.16938950989</v>
      </c>
    </row>
    <row r="147" customFormat="false" ht="12.8" hidden="false" customHeight="false" outlineLevel="0" collapsed="false">
      <c r="A147" s="0" t="n">
        <v>1285.46861564918</v>
      </c>
    </row>
    <row r="148" customFormat="false" ht="12.8" hidden="false" customHeight="false" outlineLevel="0" collapsed="false">
      <c r="A148" s="0" t="n">
        <v>1289.76784178848</v>
      </c>
    </row>
    <row r="149" customFormat="false" ht="12.8" hidden="false" customHeight="false" outlineLevel="0" collapsed="false">
      <c r="A149" s="0" t="n">
        <v>1294.06706792777</v>
      </c>
    </row>
    <row r="150" customFormat="false" ht="12.8" hidden="false" customHeight="false" outlineLevel="0" collapsed="false">
      <c r="A150" s="0" t="n">
        <v>1298.36629406707</v>
      </c>
    </row>
    <row r="151" customFormat="false" ht="12.8" hidden="false" customHeight="false" outlineLevel="0" collapsed="false">
      <c r="A151" s="0" t="n">
        <v>1302.66552020636</v>
      </c>
    </row>
    <row r="152" customFormat="false" ht="12.8" hidden="false" customHeight="false" outlineLevel="0" collapsed="false">
      <c r="A152" s="0" t="n">
        <v>1306.96474634566</v>
      </c>
    </row>
    <row r="153" customFormat="false" ht="12.8" hidden="false" customHeight="false" outlineLevel="0" collapsed="false">
      <c r="A153" s="0" t="n">
        <v>1311.26397248495</v>
      </c>
    </row>
    <row r="154" customFormat="false" ht="12.8" hidden="false" customHeight="false" outlineLevel="0" collapsed="false">
      <c r="A154" s="0" t="n">
        <v>1315.56319862425</v>
      </c>
    </row>
    <row r="155" customFormat="false" ht="12.8" hidden="false" customHeight="false" outlineLevel="0" collapsed="false">
      <c r="A155" s="0" t="n">
        <v>1319.86242476354</v>
      </c>
    </row>
    <row r="156" customFormat="false" ht="12.8" hidden="false" customHeight="false" outlineLevel="0" collapsed="false">
      <c r="A156" s="0" t="n">
        <v>1324.16165090284</v>
      </c>
    </row>
    <row r="157" customFormat="false" ht="12.8" hidden="false" customHeight="false" outlineLevel="0" collapsed="false">
      <c r="A157" s="0" t="n">
        <v>1328.46087704213</v>
      </c>
    </row>
    <row r="158" customFormat="false" ht="12.8" hidden="false" customHeight="false" outlineLevel="0" collapsed="false">
      <c r="A158" s="0" t="n">
        <v>1332.76010318143</v>
      </c>
    </row>
    <row r="159" customFormat="false" ht="12.8" hidden="false" customHeight="false" outlineLevel="0" collapsed="false">
      <c r="A159" s="0" t="n">
        <v>1337.05932932072</v>
      </c>
    </row>
    <row r="160" customFormat="false" ht="12.8" hidden="false" customHeight="false" outlineLevel="0" collapsed="false">
      <c r="A160" s="0" t="n">
        <v>1341.35855546002</v>
      </c>
    </row>
    <row r="161" customFormat="false" ht="12.8" hidden="false" customHeight="false" outlineLevel="0" collapsed="false">
      <c r="A161" s="0" t="n">
        <v>1345.65778159931</v>
      </c>
    </row>
    <row r="162" customFormat="false" ht="12.8" hidden="false" customHeight="false" outlineLevel="0" collapsed="false">
      <c r="A162" s="0" t="n">
        <v>1349.95700773861</v>
      </c>
    </row>
    <row r="163" customFormat="false" ht="12.8" hidden="false" customHeight="false" outlineLevel="0" collapsed="false">
      <c r="A163" s="0" t="n">
        <v>1354.2562338779</v>
      </c>
    </row>
    <row r="164" customFormat="false" ht="12.8" hidden="false" customHeight="false" outlineLevel="0" collapsed="false">
      <c r="A164" s="0" t="n">
        <v>1358.5554600172</v>
      </c>
    </row>
    <row r="165" customFormat="false" ht="12.8" hidden="false" customHeight="false" outlineLevel="0" collapsed="false">
      <c r="A165" s="0" t="n">
        <v>1362.85468615649</v>
      </c>
    </row>
    <row r="166" customFormat="false" ht="12.8" hidden="false" customHeight="false" outlineLevel="0" collapsed="false">
      <c r="A166" s="0" t="n">
        <v>1367.15391229579</v>
      </c>
    </row>
    <row r="167" customFormat="false" ht="12.8" hidden="false" customHeight="false" outlineLevel="0" collapsed="false">
      <c r="A167" s="0" t="n">
        <v>1371.45313843508</v>
      </c>
    </row>
    <row r="168" customFormat="false" ht="12.8" hidden="false" customHeight="false" outlineLevel="0" collapsed="false">
      <c r="A168" s="0" t="n">
        <v>1375.75236457438</v>
      </c>
    </row>
    <row r="169" customFormat="false" ht="12.8" hidden="false" customHeight="false" outlineLevel="0" collapsed="false">
      <c r="A169" s="0" t="n">
        <v>1380.05159071367</v>
      </c>
    </row>
    <row r="170" customFormat="false" ht="12.8" hidden="false" customHeight="false" outlineLevel="0" collapsed="false">
      <c r="A170" s="0" t="n">
        <v>1384.35081685297</v>
      </c>
    </row>
    <row r="171" customFormat="false" ht="12.8" hidden="false" customHeight="false" outlineLevel="0" collapsed="false">
      <c r="A171" s="0" t="n">
        <v>1388.65004299226</v>
      </c>
    </row>
    <row r="172" customFormat="false" ht="12.8" hidden="false" customHeight="false" outlineLevel="0" collapsed="false">
      <c r="A172" s="0" t="n">
        <v>1392.94926913156</v>
      </c>
    </row>
    <row r="173" customFormat="false" ht="12.8" hidden="false" customHeight="false" outlineLevel="0" collapsed="false">
      <c r="A173" s="0" t="n">
        <v>1397.24849527085</v>
      </c>
    </row>
    <row r="174" customFormat="false" ht="12.8" hidden="false" customHeight="false" outlineLevel="0" collapsed="false">
      <c r="A174" s="0" t="n">
        <v>1401.54772141015</v>
      </c>
    </row>
    <row r="175" customFormat="false" ht="12.8" hidden="false" customHeight="false" outlineLevel="0" collapsed="false">
      <c r="A175" s="0" t="n">
        <v>1405.84694754944</v>
      </c>
    </row>
    <row r="176" customFormat="false" ht="12.8" hidden="false" customHeight="false" outlineLevel="0" collapsed="false">
      <c r="A176" s="0" t="n">
        <v>1410.14617368874</v>
      </c>
    </row>
    <row r="177" customFormat="false" ht="12.8" hidden="false" customHeight="false" outlineLevel="0" collapsed="false">
      <c r="A177" s="0" t="n">
        <v>1414.44539982803</v>
      </c>
    </row>
    <row r="178" customFormat="false" ht="12.8" hidden="false" customHeight="false" outlineLevel="0" collapsed="false">
      <c r="A178" s="0" t="n">
        <v>1418.74462596733</v>
      </c>
    </row>
    <row r="179" customFormat="false" ht="12.8" hidden="false" customHeight="false" outlineLevel="0" collapsed="false">
      <c r="A179" s="0" t="n">
        <v>1423.04385210662</v>
      </c>
    </row>
    <row r="180" customFormat="false" ht="12.8" hidden="false" customHeight="false" outlineLevel="0" collapsed="false">
      <c r="A180" s="0" t="n">
        <v>1427.34307824592</v>
      </c>
    </row>
    <row r="181" customFormat="false" ht="12.8" hidden="false" customHeight="false" outlineLevel="0" collapsed="false">
      <c r="A181" s="0" t="n">
        <v>1431.64230438521</v>
      </c>
    </row>
    <row r="182" customFormat="false" ht="12.8" hidden="false" customHeight="false" outlineLevel="0" collapsed="false">
      <c r="A182" s="0" t="n">
        <v>1435.94153052451</v>
      </c>
    </row>
    <row r="183" customFormat="false" ht="12.8" hidden="false" customHeight="false" outlineLevel="0" collapsed="false">
      <c r="A183" s="0" t="n">
        <v>1440.2407566638</v>
      </c>
    </row>
    <row r="184" customFormat="false" ht="12.8" hidden="false" customHeight="false" outlineLevel="0" collapsed="false">
      <c r="A184" s="0" t="n">
        <v>1444.5399828031</v>
      </c>
    </row>
    <row r="185" customFormat="false" ht="12.8" hidden="false" customHeight="false" outlineLevel="0" collapsed="false">
      <c r="A185" s="0" t="n">
        <v>1448.83920894239</v>
      </c>
    </row>
    <row r="186" customFormat="false" ht="12.8" hidden="false" customHeight="false" outlineLevel="0" collapsed="false">
      <c r="A186" s="0" t="n">
        <v>1453.13843508169</v>
      </c>
    </row>
    <row r="187" customFormat="false" ht="12.8" hidden="false" customHeight="false" outlineLevel="0" collapsed="false">
      <c r="A187" s="0" t="n">
        <v>1457.43766122098</v>
      </c>
    </row>
    <row r="188" customFormat="false" ht="12.8" hidden="false" customHeight="false" outlineLevel="0" collapsed="false">
      <c r="A188" s="0" t="n">
        <v>1461.73688736028</v>
      </c>
    </row>
    <row r="189" customFormat="false" ht="12.8" hidden="false" customHeight="false" outlineLevel="0" collapsed="false">
      <c r="A189" s="0" t="n">
        <v>1466.03611349957</v>
      </c>
    </row>
    <row r="190" customFormat="false" ht="12.8" hidden="false" customHeight="false" outlineLevel="0" collapsed="false">
      <c r="A190" s="0" t="n">
        <v>1470.33533963887</v>
      </c>
    </row>
    <row r="191" customFormat="false" ht="12.8" hidden="false" customHeight="false" outlineLevel="0" collapsed="false">
      <c r="A191" s="0" t="n">
        <v>1474.63456577816</v>
      </c>
    </row>
    <row r="192" customFormat="false" ht="12.8" hidden="false" customHeight="false" outlineLevel="0" collapsed="false">
      <c r="A192" s="0" t="n">
        <v>1478.93379191745</v>
      </c>
    </row>
    <row r="193" customFormat="false" ht="12.8" hidden="false" customHeight="false" outlineLevel="0" collapsed="false">
      <c r="A193" s="0" t="n">
        <v>1483.23301805675</v>
      </c>
    </row>
    <row r="194" customFormat="false" ht="12.8" hidden="false" customHeight="false" outlineLevel="0" collapsed="false">
      <c r="A194" s="0" t="n">
        <v>1487.53224419604</v>
      </c>
    </row>
    <row r="195" customFormat="false" ht="12.8" hidden="false" customHeight="false" outlineLevel="0" collapsed="false">
      <c r="A195" s="0" t="n">
        <v>1491.83147033534</v>
      </c>
    </row>
    <row r="196" customFormat="false" ht="12.8" hidden="false" customHeight="false" outlineLevel="0" collapsed="false">
      <c r="A196" s="0" t="n">
        <v>1496.13069647463</v>
      </c>
    </row>
    <row r="197" customFormat="false" ht="12.8" hidden="false" customHeight="false" outlineLevel="0" collapsed="false">
      <c r="A197" s="0" t="n">
        <v>1500.42992261393</v>
      </c>
    </row>
    <row r="198" customFormat="false" ht="12.8" hidden="false" customHeight="false" outlineLevel="0" collapsed="false">
      <c r="A198" s="0" t="n">
        <v>1504.72914875322</v>
      </c>
    </row>
    <row r="199" customFormat="false" ht="12.8" hidden="false" customHeight="false" outlineLevel="0" collapsed="false">
      <c r="A199" s="0" t="n">
        <v>1509.02837489252</v>
      </c>
    </row>
    <row r="200" customFormat="false" ht="12.8" hidden="false" customHeight="false" outlineLevel="0" collapsed="false">
      <c r="A200" s="0" t="n">
        <v>1513.32760103181</v>
      </c>
    </row>
    <row r="201" customFormat="false" ht="12.8" hidden="false" customHeight="false" outlineLevel="0" collapsed="false">
      <c r="A201" s="0" t="n">
        <v>1517.62682717111</v>
      </c>
    </row>
    <row r="202" customFormat="false" ht="12.8" hidden="false" customHeight="false" outlineLevel="0" collapsed="false">
      <c r="A202" s="0" t="n">
        <v>1521.9260533104</v>
      </c>
    </row>
    <row r="203" customFormat="false" ht="12.8" hidden="false" customHeight="false" outlineLevel="0" collapsed="false">
      <c r="A203" s="0" t="n">
        <v>1526.2252794497</v>
      </c>
    </row>
    <row r="204" customFormat="false" ht="12.8" hidden="false" customHeight="false" outlineLevel="0" collapsed="false">
      <c r="A204" s="0" t="n">
        <v>1530.52450558899</v>
      </c>
    </row>
    <row r="205" customFormat="false" ht="12.8" hidden="false" customHeight="false" outlineLevel="0" collapsed="false">
      <c r="A205" s="0" t="n">
        <v>1534.82373172829</v>
      </c>
    </row>
    <row r="206" customFormat="false" ht="12.8" hidden="false" customHeight="false" outlineLevel="0" collapsed="false">
      <c r="A206" s="0" t="n">
        <v>1539.12295786758</v>
      </c>
    </row>
    <row r="207" customFormat="false" ht="12.8" hidden="false" customHeight="false" outlineLevel="0" collapsed="false">
      <c r="A207" s="0" t="n">
        <v>1543.42218400688</v>
      </c>
    </row>
    <row r="208" customFormat="false" ht="12.8" hidden="false" customHeight="false" outlineLevel="0" collapsed="false">
      <c r="A208" s="0" t="n">
        <v>1547.72141014617</v>
      </c>
    </row>
    <row r="209" customFormat="false" ht="12.8" hidden="false" customHeight="false" outlineLevel="0" collapsed="false">
      <c r="A209" s="0" t="n">
        <v>1552.02063628547</v>
      </c>
    </row>
    <row r="210" customFormat="false" ht="12.8" hidden="false" customHeight="false" outlineLevel="0" collapsed="false">
      <c r="A210" s="0" t="n">
        <v>1556.31986242476</v>
      </c>
    </row>
    <row r="211" customFormat="false" ht="12.8" hidden="false" customHeight="false" outlineLevel="0" collapsed="false">
      <c r="A211" s="0" t="n">
        <v>1560.61908856406</v>
      </c>
    </row>
    <row r="212" customFormat="false" ht="12.8" hidden="false" customHeight="false" outlineLevel="0" collapsed="false">
      <c r="A212" s="0" t="n">
        <v>1564.91831470335</v>
      </c>
    </row>
    <row r="213" customFormat="false" ht="12.8" hidden="false" customHeight="false" outlineLevel="0" collapsed="false">
      <c r="A213" s="0" t="n">
        <v>1569.21754084265</v>
      </c>
    </row>
    <row r="214" customFormat="false" ht="12.8" hidden="false" customHeight="false" outlineLevel="0" collapsed="false">
      <c r="A214" s="0" t="n">
        <v>1573.51676698194</v>
      </c>
    </row>
    <row r="215" customFormat="false" ht="12.8" hidden="false" customHeight="false" outlineLevel="0" collapsed="false">
      <c r="A215" s="0" t="n">
        <v>1577.81599312124</v>
      </c>
    </row>
    <row r="216" customFormat="false" ht="12.8" hidden="false" customHeight="false" outlineLevel="0" collapsed="false">
      <c r="A216" s="0" t="n">
        <v>1582.11521926053</v>
      </c>
    </row>
    <row r="217" customFormat="false" ht="12.8" hidden="false" customHeight="false" outlineLevel="0" collapsed="false">
      <c r="A217" s="0" t="n">
        <v>1586.41444539983</v>
      </c>
    </row>
    <row r="218" customFormat="false" ht="12.8" hidden="false" customHeight="false" outlineLevel="0" collapsed="false">
      <c r="A218" s="0" t="n">
        <v>1590.71367153912</v>
      </c>
    </row>
    <row r="219" customFormat="false" ht="12.8" hidden="false" customHeight="false" outlineLevel="0" collapsed="false">
      <c r="A219" s="0" t="n">
        <v>1595.01289767842</v>
      </c>
    </row>
    <row r="220" customFormat="false" ht="12.8" hidden="false" customHeight="false" outlineLevel="0" collapsed="false">
      <c r="A220" s="0" t="n">
        <v>1599.31212381771</v>
      </c>
    </row>
    <row r="221" customFormat="false" ht="12.8" hidden="false" customHeight="false" outlineLevel="0" collapsed="false">
      <c r="A221" s="0" t="n">
        <v>1603.61134995701</v>
      </c>
    </row>
    <row r="222" customFormat="false" ht="12.8" hidden="false" customHeight="false" outlineLevel="0" collapsed="false">
      <c r="A222" s="0" t="n">
        <v>1607.9105760963</v>
      </c>
    </row>
    <row r="223" customFormat="false" ht="12.8" hidden="false" customHeight="false" outlineLevel="0" collapsed="false">
      <c r="A223" s="0" t="n">
        <v>1612.2098022356</v>
      </c>
    </row>
    <row r="224" customFormat="false" ht="12.8" hidden="false" customHeight="false" outlineLevel="0" collapsed="false">
      <c r="A224" s="0" t="n">
        <v>1616.50902837489</v>
      </c>
    </row>
    <row r="225" customFormat="false" ht="12.8" hidden="false" customHeight="false" outlineLevel="0" collapsed="false">
      <c r="A225" s="0" t="n">
        <v>1620.80825451419</v>
      </c>
    </row>
    <row r="226" customFormat="false" ht="12.8" hidden="false" customHeight="false" outlineLevel="0" collapsed="false">
      <c r="A226" s="0" t="n">
        <v>1625.10748065348</v>
      </c>
    </row>
    <row r="227" customFormat="false" ht="12.8" hidden="false" customHeight="false" outlineLevel="0" collapsed="false">
      <c r="A227" s="0" t="n">
        <v>1629.40670679278</v>
      </c>
    </row>
    <row r="228" customFormat="false" ht="12.8" hidden="false" customHeight="false" outlineLevel="0" collapsed="false">
      <c r="A228" s="0" t="n">
        <v>1633.70593293207</v>
      </c>
    </row>
    <row r="229" customFormat="false" ht="12.8" hidden="false" customHeight="false" outlineLevel="0" collapsed="false">
      <c r="A229" s="0" t="n">
        <v>1638.00515907137</v>
      </c>
    </row>
    <row r="230" customFormat="false" ht="12.8" hidden="false" customHeight="false" outlineLevel="0" collapsed="false">
      <c r="A230" s="0" t="n">
        <v>1642.30438521066</v>
      </c>
    </row>
    <row r="231" customFormat="false" ht="12.8" hidden="false" customHeight="false" outlineLevel="0" collapsed="false">
      <c r="A231" s="0" t="n">
        <v>1646.60361134996</v>
      </c>
    </row>
    <row r="232" customFormat="false" ht="12.8" hidden="false" customHeight="false" outlineLevel="0" collapsed="false">
      <c r="A232" s="0" t="n">
        <v>1650.90283748925</v>
      </c>
    </row>
    <row r="233" customFormat="false" ht="12.8" hidden="false" customHeight="false" outlineLevel="0" collapsed="false">
      <c r="A233" s="0" t="n">
        <v>1655.20206362855</v>
      </c>
    </row>
    <row r="234" customFormat="false" ht="12.8" hidden="false" customHeight="false" outlineLevel="0" collapsed="false">
      <c r="A234" s="0" t="n">
        <v>1659.50128976784</v>
      </c>
    </row>
    <row r="235" customFormat="false" ht="12.8" hidden="false" customHeight="false" outlineLevel="0" collapsed="false">
      <c r="A235" s="0" t="n">
        <v>1663.80051590714</v>
      </c>
    </row>
    <row r="236" customFormat="false" ht="12.8" hidden="false" customHeight="false" outlineLevel="0" collapsed="false">
      <c r="A236" s="0" t="n">
        <v>1668.09974204643</v>
      </c>
    </row>
    <row r="237" customFormat="false" ht="12.8" hidden="false" customHeight="false" outlineLevel="0" collapsed="false">
      <c r="A237" s="0" t="n">
        <v>1672.39896818573</v>
      </c>
    </row>
    <row r="238" customFormat="false" ht="12.8" hidden="false" customHeight="false" outlineLevel="0" collapsed="false">
      <c r="A238" s="0" t="n">
        <v>1676.69819432502</v>
      </c>
    </row>
    <row r="239" customFormat="false" ht="12.8" hidden="false" customHeight="false" outlineLevel="0" collapsed="false">
      <c r="A239" s="0" t="n">
        <v>1680.99742046432</v>
      </c>
    </row>
    <row r="240" customFormat="false" ht="12.8" hidden="false" customHeight="false" outlineLevel="0" collapsed="false">
      <c r="A240" s="0" t="n">
        <v>1685.29664660361</v>
      </c>
    </row>
    <row r="241" customFormat="false" ht="12.8" hidden="false" customHeight="false" outlineLevel="0" collapsed="false">
      <c r="A241" s="0" t="n">
        <v>1689.59587274291</v>
      </c>
    </row>
    <row r="242" customFormat="false" ht="12.8" hidden="false" customHeight="false" outlineLevel="0" collapsed="false">
      <c r="A242" s="0" t="n">
        <v>1693.8950988822</v>
      </c>
    </row>
    <row r="243" customFormat="false" ht="12.8" hidden="false" customHeight="false" outlineLevel="0" collapsed="false">
      <c r="A243" s="0" t="n">
        <v>1698.1943250215</v>
      </c>
    </row>
    <row r="244" customFormat="false" ht="12.8" hidden="false" customHeight="false" outlineLevel="0" collapsed="false">
      <c r="A244" s="0" t="n">
        <v>1702.49355116079</v>
      </c>
    </row>
    <row r="245" customFormat="false" ht="12.8" hidden="false" customHeight="false" outlineLevel="0" collapsed="false">
      <c r="A245" s="0" t="n">
        <v>1706.79277730009</v>
      </c>
    </row>
    <row r="246" customFormat="false" ht="12.8" hidden="false" customHeight="false" outlineLevel="0" collapsed="false">
      <c r="A246" s="0" t="n">
        <v>1711.09200343938</v>
      </c>
    </row>
    <row r="247" customFormat="false" ht="12.8" hidden="false" customHeight="false" outlineLevel="0" collapsed="false">
      <c r="A247" s="0" t="n">
        <v>1715.39122957868</v>
      </c>
    </row>
    <row r="248" customFormat="false" ht="12.8" hidden="false" customHeight="false" outlineLevel="0" collapsed="false">
      <c r="A248" s="0" t="n">
        <v>1719.69045571797</v>
      </c>
    </row>
    <row r="249" customFormat="false" ht="12.8" hidden="false" customHeight="false" outlineLevel="0" collapsed="false">
      <c r="A249" s="0" t="n">
        <v>1723.98968185727</v>
      </c>
    </row>
    <row r="250" customFormat="false" ht="12.8" hidden="false" customHeight="false" outlineLevel="0" collapsed="false">
      <c r="A250" s="0" t="n">
        <v>1728.28890799656</v>
      </c>
    </row>
    <row r="251" customFormat="false" ht="12.8" hidden="false" customHeight="false" outlineLevel="0" collapsed="false">
      <c r="A251" s="0" t="n">
        <v>1732.58813413586</v>
      </c>
    </row>
    <row r="252" customFormat="false" ht="12.8" hidden="false" customHeight="false" outlineLevel="0" collapsed="false">
      <c r="A252" s="0" t="n">
        <v>1736.88736027515</v>
      </c>
    </row>
    <row r="253" customFormat="false" ht="12.8" hidden="false" customHeight="false" outlineLevel="0" collapsed="false">
      <c r="A253" s="0" t="n">
        <v>1741.18658641445</v>
      </c>
    </row>
    <row r="254" customFormat="false" ht="12.8" hidden="false" customHeight="false" outlineLevel="0" collapsed="false">
      <c r="A254" s="0" t="n">
        <v>1745.48581255374</v>
      </c>
    </row>
    <row r="255" customFormat="false" ht="12.8" hidden="false" customHeight="false" outlineLevel="0" collapsed="false">
      <c r="A255" s="0" t="n">
        <v>1749.78503869304</v>
      </c>
    </row>
    <row r="256" customFormat="false" ht="12.8" hidden="false" customHeight="false" outlineLevel="0" collapsed="false">
      <c r="A256" s="0" t="n">
        <v>1754.08426483233</v>
      </c>
    </row>
    <row r="257" customFormat="false" ht="12.8" hidden="false" customHeight="false" outlineLevel="0" collapsed="false">
      <c r="A257" s="0" t="n">
        <v>1758.38349097163</v>
      </c>
    </row>
    <row r="258" customFormat="false" ht="12.8" hidden="false" customHeight="false" outlineLevel="0" collapsed="false">
      <c r="A258" s="0" t="n">
        <v>1762.68271711092</v>
      </c>
    </row>
    <row r="259" customFormat="false" ht="12.8" hidden="false" customHeight="false" outlineLevel="0" collapsed="false">
      <c r="A259" s="0" t="n">
        <v>1766.98194325022</v>
      </c>
    </row>
    <row r="260" customFormat="false" ht="12.8" hidden="false" customHeight="false" outlineLevel="0" collapsed="false">
      <c r="A260" s="0" t="n">
        <v>1771.28116938951</v>
      </c>
    </row>
    <row r="261" customFormat="false" ht="12.8" hidden="false" customHeight="false" outlineLevel="0" collapsed="false">
      <c r="A261" s="0" t="n">
        <v>1775.5803955288</v>
      </c>
    </row>
    <row r="262" customFormat="false" ht="12.8" hidden="false" customHeight="false" outlineLevel="0" collapsed="false">
      <c r="A262" s="0" t="n">
        <v>1779.8796216681</v>
      </c>
    </row>
    <row r="263" customFormat="false" ht="12.8" hidden="false" customHeight="false" outlineLevel="0" collapsed="false">
      <c r="A263" s="0" t="n">
        <v>1784.17884780739</v>
      </c>
    </row>
    <row r="264" customFormat="false" ht="12.8" hidden="false" customHeight="false" outlineLevel="0" collapsed="false">
      <c r="A264" s="0" t="n">
        <v>1788.47807394669</v>
      </c>
    </row>
    <row r="265" customFormat="false" ht="12.8" hidden="false" customHeight="false" outlineLevel="0" collapsed="false">
      <c r="A265" s="0" t="n">
        <v>1792.77730008598</v>
      </c>
    </row>
    <row r="266" customFormat="false" ht="12.8" hidden="false" customHeight="false" outlineLevel="0" collapsed="false">
      <c r="A266" s="0" t="n">
        <v>1797.07652622528</v>
      </c>
    </row>
    <row r="267" customFormat="false" ht="12.8" hidden="false" customHeight="false" outlineLevel="0" collapsed="false">
      <c r="A267" s="0" t="n">
        <v>1801.37575236457</v>
      </c>
    </row>
    <row r="268" customFormat="false" ht="12.8" hidden="false" customHeight="false" outlineLevel="0" collapsed="false">
      <c r="A268" s="0" t="n">
        <v>1805.67497850387</v>
      </c>
    </row>
    <row r="269" customFormat="false" ht="12.8" hidden="false" customHeight="false" outlineLevel="0" collapsed="false">
      <c r="A269" s="0" t="n">
        <v>1809.97420464316</v>
      </c>
    </row>
    <row r="270" customFormat="false" ht="12.8" hidden="false" customHeight="false" outlineLevel="0" collapsed="false">
      <c r="A270" s="0" t="n">
        <v>1814.27343078246</v>
      </c>
    </row>
    <row r="271" customFormat="false" ht="12.8" hidden="false" customHeight="false" outlineLevel="0" collapsed="false">
      <c r="A271" s="0" t="n">
        <v>1818.57265692175</v>
      </c>
    </row>
    <row r="272" customFormat="false" ht="12.8" hidden="false" customHeight="false" outlineLevel="0" collapsed="false">
      <c r="A272" s="0" t="n">
        <v>1822.87188306105</v>
      </c>
    </row>
    <row r="273" customFormat="false" ht="12.8" hidden="false" customHeight="false" outlineLevel="0" collapsed="false">
      <c r="A273" s="0" t="n">
        <v>1827.17110920034</v>
      </c>
    </row>
    <row r="274" customFormat="false" ht="12.8" hidden="false" customHeight="false" outlineLevel="0" collapsed="false">
      <c r="A274" s="0" t="n">
        <v>1831.47033533964</v>
      </c>
    </row>
    <row r="275" customFormat="false" ht="12.8" hidden="false" customHeight="false" outlineLevel="0" collapsed="false">
      <c r="A275" s="0" t="n">
        <v>1835.76956147893</v>
      </c>
    </row>
    <row r="276" customFormat="false" ht="12.8" hidden="false" customHeight="false" outlineLevel="0" collapsed="false">
      <c r="A276" s="0" t="n">
        <v>1840.06878761823</v>
      </c>
    </row>
    <row r="277" customFormat="false" ht="12.8" hidden="false" customHeight="false" outlineLevel="0" collapsed="false">
      <c r="A277" s="0" t="n">
        <v>1844.36801375752</v>
      </c>
    </row>
    <row r="278" customFormat="false" ht="12.8" hidden="false" customHeight="false" outlineLevel="0" collapsed="false">
      <c r="A278" s="0" t="n">
        <v>1848.66723989682</v>
      </c>
    </row>
    <row r="279" customFormat="false" ht="12.8" hidden="false" customHeight="false" outlineLevel="0" collapsed="false">
      <c r="A279" s="0" t="n">
        <v>1852.96646603611</v>
      </c>
    </row>
    <row r="280" customFormat="false" ht="12.8" hidden="false" customHeight="false" outlineLevel="0" collapsed="false">
      <c r="A280" s="0" t="n">
        <v>1857.26569217541</v>
      </c>
    </row>
    <row r="281" customFormat="false" ht="12.8" hidden="false" customHeight="false" outlineLevel="0" collapsed="false">
      <c r="A281" s="0" t="n">
        <v>1861.5649183147</v>
      </c>
    </row>
    <row r="282" customFormat="false" ht="12.8" hidden="false" customHeight="false" outlineLevel="0" collapsed="false">
      <c r="A282" s="0" t="n">
        <v>1865.864144454</v>
      </c>
    </row>
    <row r="283" customFormat="false" ht="12.8" hidden="false" customHeight="false" outlineLevel="0" collapsed="false">
      <c r="A283" s="0" t="n">
        <v>1870.16337059329</v>
      </c>
    </row>
    <row r="284" customFormat="false" ht="12.8" hidden="false" customHeight="false" outlineLevel="0" collapsed="false">
      <c r="A284" s="0" t="n">
        <v>1874.46259673259</v>
      </c>
    </row>
    <row r="285" customFormat="false" ht="12.8" hidden="false" customHeight="false" outlineLevel="0" collapsed="false">
      <c r="A285" s="0" t="n">
        <v>1878.76182287188</v>
      </c>
    </row>
    <row r="286" customFormat="false" ht="12.8" hidden="false" customHeight="false" outlineLevel="0" collapsed="false">
      <c r="A286" s="0" t="n">
        <v>1883.06104901118</v>
      </c>
    </row>
    <row r="287" customFormat="false" ht="12.8" hidden="false" customHeight="false" outlineLevel="0" collapsed="false">
      <c r="A287" s="0" t="n">
        <v>1887.36027515047</v>
      </c>
    </row>
    <row r="288" customFormat="false" ht="12.8" hidden="false" customHeight="false" outlineLevel="0" collapsed="false">
      <c r="A288" s="0" t="n">
        <v>1891.65950128977</v>
      </c>
    </row>
    <row r="289" customFormat="false" ht="12.8" hidden="false" customHeight="false" outlineLevel="0" collapsed="false">
      <c r="A289" s="0" t="n">
        <v>1895.95872742906</v>
      </c>
    </row>
    <row r="290" customFormat="false" ht="12.8" hidden="false" customHeight="false" outlineLevel="0" collapsed="false">
      <c r="A290" s="0" t="n">
        <v>1900.25795356836</v>
      </c>
    </row>
    <row r="291" customFormat="false" ht="12.8" hidden="false" customHeight="false" outlineLevel="0" collapsed="false">
      <c r="A291" s="0" t="n">
        <v>1904.55717970765</v>
      </c>
    </row>
    <row r="292" customFormat="false" ht="12.8" hidden="false" customHeight="false" outlineLevel="0" collapsed="false">
      <c r="A292" s="0" t="n">
        <v>1908.85640584695</v>
      </c>
    </row>
    <row r="293" customFormat="false" ht="12.8" hidden="false" customHeight="false" outlineLevel="0" collapsed="false">
      <c r="A293" s="0" t="n">
        <v>1913.15563198624</v>
      </c>
    </row>
    <row r="294" customFormat="false" ht="12.8" hidden="false" customHeight="false" outlineLevel="0" collapsed="false">
      <c r="A294" s="0" t="n">
        <v>1917.45485812554</v>
      </c>
    </row>
    <row r="295" customFormat="false" ht="12.8" hidden="false" customHeight="false" outlineLevel="0" collapsed="false">
      <c r="A295" s="0" t="n">
        <v>1921.75408426483</v>
      </c>
    </row>
    <row r="296" customFormat="false" ht="12.8" hidden="false" customHeight="false" outlineLevel="0" collapsed="false">
      <c r="A296" s="0" t="n">
        <v>1926.05331040413</v>
      </c>
    </row>
    <row r="297" customFormat="false" ht="12.8" hidden="false" customHeight="false" outlineLevel="0" collapsed="false">
      <c r="A297" s="0" t="n">
        <v>1930.35253654342</v>
      </c>
    </row>
    <row r="298" customFormat="false" ht="12.8" hidden="false" customHeight="false" outlineLevel="0" collapsed="false">
      <c r="A298" s="0" t="n">
        <v>1934.65176268272</v>
      </c>
    </row>
    <row r="299" customFormat="false" ht="12.8" hidden="false" customHeight="false" outlineLevel="0" collapsed="false">
      <c r="A299" s="0" t="n">
        <v>1938.95098882201</v>
      </c>
    </row>
    <row r="300" customFormat="false" ht="12.8" hidden="false" customHeight="false" outlineLevel="0" collapsed="false">
      <c r="A300" s="0" t="n">
        <v>1943.25021496131</v>
      </c>
    </row>
    <row r="301" customFormat="false" ht="12.8" hidden="false" customHeight="false" outlineLevel="0" collapsed="false">
      <c r="A301" s="0" t="n">
        <v>1947.5494411006</v>
      </c>
    </row>
    <row r="302" customFormat="false" ht="12.8" hidden="false" customHeight="false" outlineLevel="0" collapsed="false">
      <c r="A302" s="0" t="n">
        <v>1951.8486672399</v>
      </c>
    </row>
    <row r="303" customFormat="false" ht="12.8" hidden="false" customHeight="false" outlineLevel="0" collapsed="false">
      <c r="A303" s="0" t="n">
        <v>1956.14789337919</v>
      </c>
    </row>
    <row r="304" customFormat="false" ht="12.8" hidden="false" customHeight="false" outlineLevel="0" collapsed="false">
      <c r="A304" s="0" t="n">
        <v>1960.44711951849</v>
      </c>
    </row>
    <row r="305" customFormat="false" ht="12.8" hidden="false" customHeight="false" outlineLevel="0" collapsed="false">
      <c r="A305" s="0" t="n">
        <v>1964.74634565778</v>
      </c>
    </row>
    <row r="306" customFormat="false" ht="12.8" hidden="false" customHeight="false" outlineLevel="0" collapsed="false">
      <c r="A306" s="0" t="n">
        <v>1969.04557179708</v>
      </c>
    </row>
    <row r="307" customFormat="false" ht="12.8" hidden="false" customHeight="false" outlineLevel="0" collapsed="false">
      <c r="A307" s="0" t="n">
        <v>1973.34479793637</v>
      </c>
    </row>
    <row r="308" customFormat="false" ht="12.8" hidden="false" customHeight="false" outlineLevel="0" collapsed="false">
      <c r="A308" s="0" t="n">
        <v>1977.64402407567</v>
      </c>
    </row>
    <row r="309" customFormat="false" ht="12.8" hidden="false" customHeight="false" outlineLevel="0" collapsed="false">
      <c r="A309" s="0" t="n">
        <v>1981.94325021496</v>
      </c>
    </row>
    <row r="310" customFormat="false" ht="12.8" hidden="false" customHeight="false" outlineLevel="0" collapsed="false">
      <c r="A310" s="0" t="n">
        <v>1986.24247635426</v>
      </c>
    </row>
    <row r="311" customFormat="false" ht="12.8" hidden="false" customHeight="false" outlineLevel="0" collapsed="false">
      <c r="A311" s="0" t="n">
        <v>1990.54170249355</v>
      </c>
    </row>
    <row r="312" customFormat="false" ht="12.8" hidden="false" customHeight="false" outlineLevel="0" collapsed="false">
      <c r="A312" s="0" t="n">
        <v>1994.84092863285</v>
      </c>
    </row>
    <row r="313" customFormat="false" ht="12.8" hidden="false" customHeight="false" outlineLevel="0" collapsed="false">
      <c r="A313" s="0" t="n">
        <v>1999.14015477214</v>
      </c>
    </row>
    <row r="314" customFormat="false" ht="12.8" hidden="false" customHeight="false" outlineLevel="0" collapsed="false">
      <c r="A314" s="0" t="n">
        <v>2003.43938091144</v>
      </c>
    </row>
    <row r="315" customFormat="false" ht="12.8" hidden="false" customHeight="false" outlineLevel="0" collapsed="false">
      <c r="A315" s="0" t="n">
        <v>2007.73860705073</v>
      </c>
    </row>
    <row r="316" customFormat="false" ht="12.8" hidden="false" customHeight="false" outlineLevel="0" collapsed="false">
      <c r="A316" s="0" t="n">
        <v>2012.03783319003</v>
      </c>
    </row>
    <row r="317" customFormat="false" ht="12.8" hidden="false" customHeight="false" outlineLevel="0" collapsed="false">
      <c r="A317" s="0" t="n">
        <v>2016.33705932932</v>
      </c>
    </row>
    <row r="318" customFormat="false" ht="12.8" hidden="false" customHeight="false" outlineLevel="0" collapsed="false">
      <c r="A318" s="0" t="n">
        <v>2020.63628546862</v>
      </c>
    </row>
    <row r="319" customFormat="false" ht="12.8" hidden="false" customHeight="false" outlineLevel="0" collapsed="false">
      <c r="A319" s="0" t="n">
        <v>2024.93551160791</v>
      </c>
    </row>
    <row r="320" customFormat="false" ht="12.8" hidden="false" customHeight="false" outlineLevel="0" collapsed="false">
      <c r="A320" s="0" t="n">
        <v>2029.23473774721</v>
      </c>
    </row>
    <row r="321" customFormat="false" ht="12.8" hidden="false" customHeight="false" outlineLevel="0" collapsed="false">
      <c r="A321" s="0" t="n">
        <v>2033.5339638865</v>
      </c>
    </row>
    <row r="322" customFormat="false" ht="12.8" hidden="false" customHeight="false" outlineLevel="0" collapsed="false">
      <c r="A322" s="0" t="n">
        <v>2037.8331900258</v>
      </c>
    </row>
    <row r="323" customFormat="false" ht="12.8" hidden="false" customHeight="false" outlineLevel="0" collapsed="false">
      <c r="A323" s="0" t="n">
        <v>2042.13241616509</v>
      </c>
    </row>
    <row r="324" customFormat="false" ht="12.8" hidden="false" customHeight="false" outlineLevel="0" collapsed="false">
      <c r="A324" s="0" t="n">
        <v>2046.43164230439</v>
      </c>
    </row>
    <row r="325" customFormat="false" ht="12.8" hidden="false" customHeight="false" outlineLevel="0" collapsed="false">
      <c r="A325" s="0" t="n">
        <v>2050.73086844368</v>
      </c>
    </row>
    <row r="326" customFormat="false" ht="12.8" hidden="false" customHeight="false" outlineLevel="0" collapsed="false">
      <c r="A326" s="0" t="n">
        <v>2055.03009458298</v>
      </c>
    </row>
    <row r="327" customFormat="false" ht="12.8" hidden="false" customHeight="false" outlineLevel="0" collapsed="false">
      <c r="A327" s="0" t="n">
        <v>2059.32932072227</v>
      </c>
    </row>
    <row r="328" customFormat="false" ht="12.8" hidden="false" customHeight="false" outlineLevel="0" collapsed="false">
      <c r="A328" s="0" t="n">
        <v>2063.62854686156</v>
      </c>
    </row>
    <row r="329" customFormat="false" ht="12.8" hidden="false" customHeight="false" outlineLevel="0" collapsed="false">
      <c r="A329" s="0" t="n">
        <v>2067.92777300086</v>
      </c>
    </row>
    <row r="330" customFormat="false" ht="12.8" hidden="false" customHeight="false" outlineLevel="0" collapsed="false">
      <c r="A330" s="0" t="n">
        <v>2072.22699914015</v>
      </c>
    </row>
    <row r="331" customFormat="false" ht="12.8" hidden="false" customHeight="false" outlineLevel="0" collapsed="false">
      <c r="A331" s="0" t="n">
        <v>2076.52622527945</v>
      </c>
    </row>
    <row r="332" customFormat="false" ht="12.8" hidden="false" customHeight="false" outlineLevel="0" collapsed="false">
      <c r="A332" s="0" t="n">
        <v>2080.82545141874</v>
      </c>
    </row>
    <row r="333" customFormat="false" ht="12.8" hidden="false" customHeight="false" outlineLevel="0" collapsed="false">
      <c r="A333" s="0" t="n">
        <v>2085.12467755804</v>
      </c>
    </row>
    <row r="334" customFormat="false" ht="12.8" hidden="false" customHeight="false" outlineLevel="0" collapsed="false">
      <c r="A334" s="0" t="n">
        <v>2089.42390369733</v>
      </c>
    </row>
    <row r="335" customFormat="false" ht="12.8" hidden="false" customHeight="false" outlineLevel="0" collapsed="false">
      <c r="A335" s="0" t="n">
        <v>2093.72312983663</v>
      </c>
    </row>
    <row r="336" customFormat="false" ht="12.8" hidden="false" customHeight="false" outlineLevel="0" collapsed="false">
      <c r="A336" s="0" t="n">
        <v>2098.02235597592</v>
      </c>
    </row>
    <row r="337" customFormat="false" ht="12.8" hidden="false" customHeight="false" outlineLevel="0" collapsed="false">
      <c r="A337" s="0" t="n">
        <v>2102.32158211522</v>
      </c>
    </row>
    <row r="338" customFormat="false" ht="12.8" hidden="false" customHeight="false" outlineLevel="0" collapsed="false">
      <c r="A338" s="0" t="n">
        <v>2106.62080825451</v>
      </c>
    </row>
    <row r="339" customFormat="false" ht="12.8" hidden="false" customHeight="false" outlineLevel="0" collapsed="false">
      <c r="A339" s="0" t="n">
        <v>2110.92003439381</v>
      </c>
    </row>
    <row r="340" customFormat="false" ht="12.8" hidden="false" customHeight="false" outlineLevel="0" collapsed="false">
      <c r="A340" s="0" t="n">
        <v>2115.2192605331</v>
      </c>
    </row>
    <row r="341" customFormat="false" ht="12.8" hidden="false" customHeight="false" outlineLevel="0" collapsed="false">
      <c r="A341" s="0" t="n">
        <v>2119.5184866724</v>
      </c>
    </row>
    <row r="342" customFormat="false" ht="12.8" hidden="false" customHeight="false" outlineLevel="0" collapsed="false">
      <c r="A342" s="0" t="n">
        <v>2123.81771281169</v>
      </c>
    </row>
    <row r="343" customFormat="false" ht="12.8" hidden="false" customHeight="false" outlineLevel="0" collapsed="false">
      <c r="A343" s="0" t="n">
        <v>2128.11693895099</v>
      </c>
    </row>
    <row r="344" customFormat="false" ht="12.8" hidden="false" customHeight="false" outlineLevel="0" collapsed="false">
      <c r="A344" s="0" t="n">
        <v>2132.41616509028</v>
      </c>
    </row>
    <row r="345" customFormat="false" ht="12.8" hidden="false" customHeight="false" outlineLevel="0" collapsed="false">
      <c r="A345" s="0" t="n">
        <v>2136.71539122958</v>
      </c>
    </row>
    <row r="346" customFormat="false" ht="12.8" hidden="false" customHeight="false" outlineLevel="0" collapsed="false">
      <c r="A346" s="0" t="n">
        <v>2141.01461736887</v>
      </c>
    </row>
    <row r="347" customFormat="false" ht="12.8" hidden="false" customHeight="false" outlineLevel="0" collapsed="false">
      <c r="A347" s="0" t="n">
        <v>2145.31384350817</v>
      </c>
    </row>
    <row r="348" customFormat="false" ht="12.8" hidden="false" customHeight="false" outlineLevel="0" collapsed="false">
      <c r="A348" s="0" t="n">
        <v>2149.61306964746</v>
      </c>
    </row>
    <row r="349" customFormat="false" ht="12.8" hidden="false" customHeight="false" outlineLevel="0" collapsed="false">
      <c r="A349" s="0" t="n">
        <v>2153.91229578676</v>
      </c>
    </row>
    <row r="350" customFormat="false" ht="12.8" hidden="false" customHeight="false" outlineLevel="0" collapsed="false">
      <c r="A350" s="0" t="n">
        <v>2158.21152192605</v>
      </c>
    </row>
    <row r="351" customFormat="false" ht="12.8" hidden="false" customHeight="false" outlineLevel="0" collapsed="false">
      <c r="A351" s="0" t="n">
        <v>2162.51074806535</v>
      </c>
    </row>
    <row r="352" customFormat="false" ht="12.8" hidden="false" customHeight="false" outlineLevel="0" collapsed="false">
      <c r="A352" s="0" t="n">
        <v>2166.80997420464</v>
      </c>
    </row>
    <row r="353" customFormat="false" ht="12.8" hidden="false" customHeight="false" outlineLevel="0" collapsed="false">
      <c r="A353" s="0" t="n">
        <v>2171.10920034394</v>
      </c>
    </row>
    <row r="354" customFormat="false" ht="12.8" hidden="false" customHeight="false" outlineLevel="0" collapsed="false">
      <c r="A354" s="0" t="n">
        <v>2175.40842648323</v>
      </c>
    </row>
    <row r="355" customFormat="false" ht="12.8" hidden="false" customHeight="false" outlineLevel="0" collapsed="false">
      <c r="A355" s="0" t="n">
        <v>2179.70765262253</v>
      </c>
    </row>
    <row r="356" customFormat="false" ht="12.8" hidden="false" customHeight="false" outlineLevel="0" collapsed="false">
      <c r="A356" s="0" t="n">
        <v>2184.00687876182</v>
      </c>
    </row>
    <row r="357" customFormat="false" ht="12.8" hidden="false" customHeight="false" outlineLevel="0" collapsed="false">
      <c r="A357" s="0" t="n">
        <v>2188.30610490112</v>
      </c>
    </row>
    <row r="358" customFormat="false" ht="12.8" hidden="false" customHeight="false" outlineLevel="0" collapsed="false">
      <c r="A358" s="0" t="n">
        <v>2192.60533104041</v>
      </c>
    </row>
    <row r="359" customFormat="false" ht="12.8" hidden="false" customHeight="false" outlineLevel="0" collapsed="false">
      <c r="A359" s="0" t="n">
        <v>2196.90455717971</v>
      </c>
    </row>
    <row r="360" customFormat="false" ht="12.8" hidden="false" customHeight="false" outlineLevel="0" collapsed="false">
      <c r="A360" s="0" t="n">
        <v>2201.203783319</v>
      </c>
    </row>
    <row r="361" customFormat="false" ht="12.8" hidden="false" customHeight="false" outlineLevel="0" collapsed="false">
      <c r="A361" s="0" t="n">
        <v>2205.5030094583</v>
      </c>
    </row>
    <row r="362" customFormat="false" ht="12.8" hidden="false" customHeight="false" outlineLevel="0" collapsed="false">
      <c r="A362" s="0" t="n">
        <v>2209.80223559759</v>
      </c>
    </row>
    <row r="363" customFormat="false" ht="12.8" hidden="false" customHeight="false" outlineLevel="0" collapsed="false">
      <c r="A363" s="0" t="n">
        <v>2214.10146173689</v>
      </c>
    </row>
    <row r="364" customFormat="false" ht="12.8" hidden="false" customHeight="false" outlineLevel="0" collapsed="false">
      <c r="A364" s="0" t="n">
        <v>2218.40068787618</v>
      </c>
    </row>
    <row r="365" customFormat="false" ht="12.8" hidden="false" customHeight="false" outlineLevel="0" collapsed="false">
      <c r="A365" s="0" t="n">
        <v>2222.69991401548</v>
      </c>
    </row>
    <row r="366" customFormat="false" ht="12.8" hidden="false" customHeight="false" outlineLevel="0" collapsed="false">
      <c r="A366" s="0" t="n">
        <v>2226.99914015477</v>
      </c>
    </row>
    <row r="367" customFormat="false" ht="12.8" hidden="false" customHeight="false" outlineLevel="0" collapsed="false">
      <c r="A367" s="0" t="n">
        <v>2231.29836629407</v>
      </c>
    </row>
    <row r="368" customFormat="false" ht="12.8" hidden="false" customHeight="false" outlineLevel="0" collapsed="false">
      <c r="A368" s="0" t="n">
        <v>2235.59759243336</v>
      </c>
    </row>
    <row r="369" customFormat="false" ht="12.8" hidden="false" customHeight="false" outlineLevel="0" collapsed="false">
      <c r="A369" s="0" t="n">
        <v>2239.89681857266</v>
      </c>
    </row>
    <row r="370" customFormat="false" ht="12.8" hidden="false" customHeight="false" outlineLevel="0" collapsed="false">
      <c r="A370" s="0" t="n">
        <v>2244.19604471195</v>
      </c>
    </row>
    <row r="371" customFormat="false" ht="12.8" hidden="false" customHeight="false" outlineLevel="0" collapsed="false">
      <c r="A371" s="0" t="n">
        <v>2248.49527085125</v>
      </c>
    </row>
    <row r="372" customFormat="false" ht="12.8" hidden="false" customHeight="false" outlineLevel="0" collapsed="false">
      <c r="A372" s="0" t="n">
        <v>2252.79449699054</v>
      </c>
    </row>
    <row r="373" customFormat="false" ht="12.8" hidden="false" customHeight="false" outlineLevel="0" collapsed="false">
      <c r="A373" s="0" t="n">
        <v>2257.09372312984</v>
      </c>
    </row>
    <row r="374" customFormat="false" ht="12.8" hidden="false" customHeight="false" outlineLevel="0" collapsed="false">
      <c r="A374" s="0" t="n">
        <v>2261.39294926913</v>
      </c>
    </row>
    <row r="375" customFormat="false" ht="12.8" hidden="false" customHeight="false" outlineLevel="0" collapsed="false">
      <c r="A375" s="0" t="n">
        <v>2265.69217540843</v>
      </c>
    </row>
    <row r="376" customFormat="false" ht="12.8" hidden="false" customHeight="false" outlineLevel="0" collapsed="false">
      <c r="A376" s="0" t="n">
        <v>2269.99140154772</v>
      </c>
    </row>
    <row r="377" customFormat="false" ht="12.8" hidden="false" customHeight="false" outlineLevel="0" collapsed="false">
      <c r="A377" s="0" t="n">
        <v>2274.29062768702</v>
      </c>
    </row>
    <row r="378" customFormat="false" ht="12.8" hidden="false" customHeight="false" outlineLevel="0" collapsed="false">
      <c r="A378" s="0" t="n">
        <v>2278.58985382631</v>
      </c>
    </row>
    <row r="379" customFormat="false" ht="12.8" hidden="false" customHeight="false" outlineLevel="0" collapsed="false">
      <c r="A379" s="0" t="n">
        <v>2282.88907996561</v>
      </c>
    </row>
    <row r="380" customFormat="false" ht="12.8" hidden="false" customHeight="false" outlineLevel="0" collapsed="false">
      <c r="A380" s="0" t="n">
        <v>2287.1883061049</v>
      </c>
    </row>
    <row r="381" customFormat="false" ht="12.8" hidden="false" customHeight="false" outlineLevel="0" collapsed="false">
      <c r="A381" s="0" t="n">
        <v>2291.4875322442</v>
      </c>
    </row>
    <row r="382" customFormat="false" ht="12.8" hidden="false" customHeight="false" outlineLevel="0" collapsed="false">
      <c r="A382" s="0" t="n">
        <v>2295.78675838349</v>
      </c>
    </row>
    <row r="383" customFormat="false" ht="12.8" hidden="false" customHeight="false" outlineLevel="0" collapsed="false">
      <c r="A383" s="0" t="n">
        <v>2300.08598452279</v>
      </c>
    </row>
    <row r="384" customFormat="false" ht="12.8" hidden="false" customHeight="false" outlineLevel="0" collapsed="false">
      <c r="A384" s="0" t="n">
        <v>2304.38521066208</v>
      </c>
    </row>
    <row r="385" customFormat="false" ht="12.8" hidden="false" customHeight="false" outlineLevel="0" collapsed="false">
      <c r="A385" s="0" t="n">
        <v>2308.68443680138</v>
      </c>
    </row>
    <row r="386" customFormat="false" ht="12.8" hidden="false" customHeight="false" outlineLevel="0" collapsed="false">
      <c r="A386" s="0" t="n">
        <v>2312.98366294067</v>
      </c>
    </row>
    <row r="387" customFormat="false" ht="12.8" hidden="false" customHeight="false" outlineLevel="0" collapsed="false">
      <c r="A387" s="0" t="n">
        <v>2317.28288907997</v>
      </c>
    </row>
    <row r="388" customFormat="false" ht="12.8" hidden="false" customHeight="false" outlineLevel="0" collapsed="false">
      <c r="A388" s="0" t="n">
        <v>2321.58211521926</v>
      </c>
    </row>
    <row r="389" customFormat="false" ht="12.8" hidden="false" customHeight="false" outlineLevel="0" collapsed="false">
      <c r="A389" s="0" t="n">
        <v>2325.88134135856</v>
      </c>
    </row>
    <row r="390" customFormat="false" ht="12.8" hidden="false" customHeight="false" outlineLevel="0" collapsed="false">
      <c r="A390" s="0" t="n">
        <v>2330.18056749785</v>
      </c>
    </row>
    <row r="391" customFormat="false" ht="12.8" hidden="false" customHeight="false" outlineLevel="0" collapsed="false">
      <c r="A391" s="0" t="n">
        <v>2334.47979363715</v>
      </c>
    </row>
    <row r="392" customFormat="false" ht="12.8" hidden="false" customHeight="false" outlineLevel="0" collapsed="false">
      <c r="A392" s="0" t="n">
        <v>2338.77901977644</v>
      </c>
    </row>
    <row r="393" customFormat="false" ht="12.8" hidden="false" customHeight="false" outlineLevel="0" collapsed="false">
      <c r="A393" s="0" t="n">
        <v>2343.07824591573</v>
      </c>
    </row>
    <row r="394" customFormat="false" ht="12.8" hidden="false" customHeight="false" outlineLevel="0" collapsed="false">
      <c r="A394" s="0" t="n">
        <v>2347.37747205503</v>
      </c>
    </row>
    <row r="395" customFormat="false" ht="12.8" hidden="false" customHeight="false" outlineLevel="0" collapsed="false">
      <c r="A395" s="0" t="n">
        <v>2351.67669819433</v>
      </c>
    </row>
    <row r="396" customFormat="false" ht="12.8" hidden="false" customHeight="false" outlineLevel="0" collapsed="false">
      <c r="A396" s="0" t="n">
        <v>2355.97592433362</v>
      </c>
    </row>
    <row r="397" customFormat="false" ht="12.8" hidden="false" customHeight="false" outlineLevel="0" collapsed="false">
      <c r="A397" s="0" t="n">
        <v>2360.27515047291</v>
      </c>
    </row>
    <row r="398" customFormat="false" ht="12.8" hidden="false" customHeight="false" outlineLevel="0" collapsed="false">
      <c r="A398" s="0" t="n">
        <v>2364.57437661221</v>
      </c>
    </row>
    <row r="399" customFormat="false" ht="12.8" hidden="false" customHeight="false" outlineLevel="0" collapsed="false">
      <c r="A399" s="0" t="n">
        <v>2368.8736027515</v>
      </c>
    </row>
    <row r="400" customFormat="false" ht="12.8" hidden="false" customHeight="false" outlineLevel="0" collapsed="false">
      <c r="A400" s="0" t="n">
        <v>2373.1728288908</v>
      </c>
    </row>
    <row r="401" customFormat="false" ht="12.8" hidden="false" customHeight="false" outlineLevel="0" collapsed="false">
      <c r="A401" s="0" t="n">
        <v>2377.47205503009</v>
      </c>
    </row>
    <row r="402" customFormat="false" ht="12.8" hidden="false" customHeight="false" outlineLevel="0" collapsed="false">
      <c r="A402" s="0" t="n">
        <v>2381.77128116939</v>
      </c>
    </row>
    <row r="403" customFormat="false" ht="12.8" hidden="false" customHeight="false" outlineLevel="0" collapsed="false">
      <c r="A403" s="0" t="n">
        <v>2386.07050730868</v>
      </c>
    </row>
    <row r="404" customFormat="false" ht="12.8" hidden="false" customHeight="false" outlineLevel="0" collapsed="false">
      <c r="A404" s="0" t="n">
        <v>2390.36973344798</v>
      </c>
    </row>
    <row r="405" customFormat="false" ht="12.8" hidden="false" customHeight="false" outlineLevel="0" collapsed="false">
      <c r="A405" s="0" t="n">
        <v>2394.66895958727</v>
      </c>
    </row>
    <row r="406" customFormat="false" ht="12.8" hidden="false" customHeight="false" outlineLevel="0" collapsed="false">
      <c r="A406" s="0" t="n">
        <v>2398.96818572657</v>
      </c>
    </row>
    <row r="407" customFormat="false" ht="12.8" hidden="false" customHeight="false" outlineLevel="0" collapsed="false">
      <c r="A407" s="0" t="n">
        <v>2403.26741186586</v>
      </c>
    </row>
    <row r="408" customFormat="false" ht="12.8" hidden="false" customHeight="false" outlineLevel="0" collapsed="false">
      <c r="A408" s="0" t="n">
        <v>2407.56663800516</v>
      </c>
    </row>
    <row r="409" customFormat="false" ht="12.8" hidden="false" customHeight="false" outlineLevel="0" collapsed="false">
      <c r="A409" s="0" t="n">
        <v>2411.86586414445</v>
      </c>
    </row>
    <row r="410" customFormat="false" ht="12.8" hidden="false" customHeight="false" outlineLevel="0" collapsed="false">
      <c r="A410" s="0" t="n">
        <v>2416.16509028375</v>
      </c>
    </row>
    <row r="411" customFormat="false" ht="12.8" hidden="false" customHeight="false" outlineLevel="0" collapsed="false">
      <c r="A411" s="0" t="n">
        <v>2420.46431642304</v>
      </c>
    </row>
    <row r="412" customFormat="false" ht="12.8" hidden="false" customHeight="false" outlineLevel="0" collapsed="false">
      <c r="A412" s="0" t="n">
        <v>2424.76354256234</v>
      </c>
    </row>
    <row r="413" customFormat="false" ht="12.8" hidden="false" customHeight="false" outlineLevel="0" collapsed="false">
      <c r="A413" s="0" t="n">
        <v>2429.06276870163</v>
      </c>
    </row>
    <row r="414" customFormat="false" ht="12.8" hidden="false" customHeight="false" outlineLevel="0" collapsed="false">
      <c r="A414" s="0" t="n">
        <v>2433.36199484093</v>
      </c>
    </row>
    <row r="415" customFormat="false" ht="12.8" hidden="false" customHeight="false" outlineLevel="0" collapsed="false">
      <c r="A415" s="0" t="n">
        <v>2437.66122098022</v>
      </c>
    </row>
    <row r="416" customFormat="false" ht="12.8" hidden="false" customHeight="false" outlineLevel="0" collapsed="false">
      <c r="A416" s="0" t="n">
        <v>2441.96044711952</v>
      </c>
    </row>
    <row r="417" customFormat="false" ht="12.8" hidden="false" customHeight="false" outlineLevel="0" collapsed="false">
      <c r="A417" s="0" t="n">
        <v>2446.25967325881</v>
      </c>
    </row>
    <row r="418" customFormat="false" ht="12.8" hidden="false" customHeight="false" outlineLevel="0" collapsed="false">
      <c r="A418" s="0" t="n">
        <v>2450.55889939811</v>
      </c>
    </row>
    <row r="419" customFormat="false" ht="12.8" hidden="false" customHeight="false" outlineLevel="0" collapsed="false">
      <c r="A419" s="0" t="n">
        <v>2454.8581255374</v>
      </c>
    </row>
    <row r="420" customFormat="false" ht="12.8" hidden="false" customHeight="false" outlineLevel="0" collapsed="false">
      <c r="A420" s="0" t="n">
        <v>2459.1573516767</v>
      </c>
    </row>
    <row r="421" customFormat="false" ht="12.8" hidden="false" customHeight="false" outlineLevel="0" collapsed="false">
      <c r="A421" s="0" t="n">
        <v>2463.45657781599</v>
      </c>
    </row>
    <row r="422" customFormat="false" ht="12.8" hidden="false" customHeight="false" outlineLevel="0" collapsed="false">
      <c r="A422" s="0" t="n">
        <v>2467.75580395529</v>
      </c>
    </row>
    <row r="423" customFormat="false" ht="12.8" hidden="false" customHeight="false" outlineLevel="0" collapsed="false">
      <c r="A423" s="0" t="n">
        <v>2472.05503009458</v>
      </c>
    </row>
    <row r="424" customFormat="false" ht="12.8" hidden="false" customHeight="false" outlineLevel="0" collapsed="false">
      <c r="A424" s="0" t="n">
        <v>2476.35425623388</v>
      </c>
    </row>
    <row r="425" customFormat="false" ht="12.8" hidden="false" customHeight="false" outlineLevel="0" collapsed="false">
      <c r="A425" s="0" t="n">
        <v>2480.65348237317</v>
      </c>
    </row>
    <row r="426" customFormat="false" ht="12.8" hidden="false" customHeight="false" outlineLevel="0" collapsed="false">
      <c r="A426" s="0" t="n">
        <v>2484.95270851247</v>
      </c>
    </row>
    <row r="427" customFormat="false" ht="12.8" hidden="false" customHeight="false" outlineLevel="0" collapsed="false">
      <c r="A427" s="0" t="n">
        <v>2489.25193465176</v>
      </c>
    </row>
    <row r="428" customFormat="false" ht="12.8" hidden="false" customHeight="false" outlineLevel="0" collapsed="false">
      <c r="A428" s="0" t="n">
        <v>2493.55116079106</v>
      </c>
    </row>
    <row r="429" customFormat="false" ht="12.8" hidden="false" customHeight="false" outlineLevel="0" collapsed="false">
      <c r="A429" s="0" t="n">
        <v>2497.85038693035</v>
      </c>
    </row>
    <row r="430" customFormat="false" ht="12.8" hidden="false" customHeight="false" outlineLevel="0" collapsed="false">
      <c r="A430" s="0" t="n">
        <v>2502.14961306965</v>
      </c>
    </row>
    <row r="431" customFormat="false" ht="12.8" hidden="false" customHeight="false" outlineLevel="0" collapsed="false">
      <c r="A431" s="0" t="n">
        <v>2506.44883920894</v>
      </c>
    </row>
    <row r="432" customFormat="false" ht="12.8" hidden="false" customHeight="false" outlineLevel="0" collapsed="false">
      <c r="A432" s="0" t="n">
        <v>2510.74806534824</v>
      </c>
    </row>
    <row r="433" customFormat="false" ht="12.8" hidden="false" customHeight="false" outlineLevel="0" collapsed="false">
      <c r="A433" s="0" t="n">
        <v>2515.04729148753</v>
      </c>
    </row>
    <row r="434" customFormat="false" ht="12.8" hidden="false" customHeight="false" outlineLevel="0" collapsed="false">
      <c r="A434" s="0" t="n">
        <v>2519.34651762683</v>
      </c>
    </row>
    <row r="435" customFormat="false" ht="12.8" hidden="false" customHeight="false" outlineLevel="0" collapsed="false">
      <c r="A435" s="0" t="n">
        <v>2523.64574376612</v>
      </c>
    </row>
    <row r="436" customFormat="false" ht="12.8" hidden="false" customHeight="false" outlineLevel="0" collapsed="false">
      <c r="A436" s="0" t="n">
        <v>2527.94496990542</v>
      </c>
    </row>
    <row r="437" customFormat="false" ht="12.8" hidden="false" customHeight="false" outlineLevel="0" collapsed="false">
      <c r="A437" s="0" t="n">
        <v>2532.24419604471</v>
      </c>
    </row>
    <row r="438" customFormat="false" ht="12.8" hidden="false" customHeight="false" outlineLevel="0" collapsed="false">
      <c r="A438" s="0" t="n">
        <v>2536.54342218401</v>
      </c>
    </row>
    <row r="439" customFormat="false" ht="12.8" hidden="false" customHeight="false" outlineLevel="0" collapsed="false">
      <c r="A439" s="0" t="n">
        <v>2540.8426483233</v>
      </c>
    </row>
    <row r="440" customFormat="false" ht="12.8" hidden="false" customHeight="false" outlineLevel="0" collapsed="false">
      <c r="A440" s="0" t="n">
        <v>2545.1418744626</v>
      </c>
    </row>
    <row r="441" customFormat="false" ht="12.8" hidden="false" customHeight="false" outlineLevel="0" collapsed="false">
      <c r="A441" s="0" t="n">
        <v>2549.44110060189</v>
      </c>
    </row>
    <row r="442" customFormat="false" ht="12.8" hidden="false" customHeight="false" outlineLevel="0" collapsed="false">
      <c r="A442" s="0" t="n">
        <v>2553.74032674119</v>
      </c>
    </row>
    <row r="443" customFormat="false" ht="12.8" hidden="false" customHeight="false" outlineLevel="0" collapsed="false">
      <c r="A443" s="0" t="n">
        <v>2558.03955288048</v>
      </c>
    </row>
    <row r="444" customFormat="false" ht="12.8" hidden="false" customHeight="false" outlineLevel="0" collapsed="false">
      <c r="A444" s="0" t="n">
        <v>2562.33877901978</v>
      </c>
    </row>
    <row r="445" customFormat="false" ht="12.8" hidden="false" customHeight="false" outlineLevel="0" collapsed="false">
      <c r="A445" s="0" t="n">
        <v>2566.63800515907</v>
      </c>
    </row>
    <row r="446" customFormat="false" ht="12.8" hidden="false" customHeight="false" outlineLevel="0" collapsed="false">
      <c r="A446" s="0" t="n">
        <v>2570.93723129837</v>
      </c>
    </row>
    <row r="447" customFormat="false" ht="12.8" hidden="false" customHeight="false" outlineLevel="0" collapsed="false">
      <c r="A447" s="0" t="n">
        <v>2575.23645743766</v>
      </c>
    </row>
    <row r="448" customFormat="false" ht="12.8" hidden="false" customHeight="false" outlineLevel="0" collapsed="false">
      <c r="A448" s="0" t="n">
        <v>2579.53568357696</v>
      </c>
    </row>
    <row r="449" customFormat="false" ht="12.8" hidden="false" customHeight="false" outlineLevel="0" collapsed="false">
      <c r="A449" s="0" t="n">
        <v>2583.83490971625</v>
      </c>
    </row>
    <row r="450" customFormat="false" ht="12.8" hidden="false" customHeight="false" outlineLevel="0" collapsed="false">
      <c r="A450" s="0" t="n">
        <v>2588.13413585555</v>
      </c>
    </row>
    <row r="451" customFormat="false" ht="12.8" hidden="false" customHeight="false" outlineLevel="0" collapsed="false">
      <c r="A451" s="0" t="n">
        <v>2592.43336199484</v>
      </c>
    </row>
    <row r="452" customFormat="false" ht="12.8" hidden="false" customHeight="false" outlineLevel="0" collapsed="false">
      <c r="A452" s="0" t="n">
        <v>2596.73258813414</v>
      </c>
    </row>
    <row r="453" customFormat="false" ht="12.8" hidden="false" customHeight="false" outlineLevel="0" collapsed="false">
      <c r="A453" s="0" t="n">
        <v>2601.03181427343</v>
      </c>
    </row>
    <row r="454" customFormat="false" ht="12.8" hidden="false" customHeight="false" outlineLevel="0" collapsed="false">
      <c r="A454" s="0" t="n">
        <v>2605.33104041273</v>
      </c>
    </row>
    <row r="455" customFormat="false" ht="12.8" hidden="false" customHeight="false" outlineLevel="0" collapsed="false">
      <c r="A455" s="0" t="n">
        <v>2609.63026655202</v>
      </c>
    </row>
    <row r="456" customFormat="false" ht="12.8" hidden="false" customHeight="false" outlineLevel="0" collapsed="false">
      <c r="A456" s="0" t="n">
        <v>2613.92949269132</v>
      </c>
    </row>
    <row r="457" customFormat="false" ht="12.8" hidden="false" customHeight="false" outlineLevel="0" collapsed="false">
      <c r="A457" s="0" t="n">
        <v>2618.22871883061</v>
      </c>
    </row>
    <row r="458" customFormat="false" ht="12.8" hidden="false" customHeight="false" outlineLevel="0" collapsed="false">
      <c r="A458" s="0" t="n">
        <v>2622.52794496991</v>
      </c>
    </row>
    <row r="459" customFormat="false" ht="12.8" hidden="false" customHeight="false" outlineLevel="0" collapsed="false">
      <c r="A459" s="0" t="n">
        <v>2626.8271711092</v>
      </c>
    </row>
    <row r="460" customFormat="false" ht="12.8" hidden="false" customHeight="false" outlineLevel="0" collapsed="false">
      <c r="A460" s="0" t="n">
        <v>2631.1263972485</v>
      </c>
    </row>
    <row r="461" customFormat="false" ht="12.8" hidden="false" customHeight="false" outlineLevel="0" collapsed="false">
      <c r="A461" s="0" t="n">
        <v>2635.42562338779</v>
      </c>
    </row>
    <row r="462" customFormat="false" ht="12.8" hidden="false" customHeight="false" outlineLevel="0" collapsed="false">
      <c r="A462" s="0" t="n">
        <v>2639.72484952709</v>
      </c>
    </row>
    <row r="463" customFormat="false" ht="12.8" hidden="false" customHeight="false" outlineLevel="0" collapsed="false">
      <c r="A463" s="0" t="n">
        <v>2644.02407566638</v>
      </c>
    </row>
    <row r="464" customFormat="false" ht="12.8" hidden="false" customHeight="false" outlineLevel="0" collapsed="false">
      <c r="A464" s="0" t="n">
        <v>2648.32330180567</v>
      </c>
    </row>
    <row r="465" customFormat="false" ht="12.8" hidden="false" customHeight="false" outlineLevel="0" collapsed="false">
      <c r="A465" s="0" t="n">
        <v>2652.62252794497</v>
      </c>
    </row>
    <row r="466" customFormat="false" ht="12.8" hidden="false" customHeight="false" outlineLevel="0" collapsed="false">
      <c r="A466" s="0" t="n">
        <v>2656.92175408426</v>
      </c>
    </row>
    <row r="467" customFormat="false" ht="12.8" hidden="false" customHeight="false" outlineLevel="0" collapsed="false">
      <c r="A467" s="0" t="n">
        <v>2661.22098022356</v>
      </c>
    </row>
    <row r="468" customFormat="false" ht="12.8" hidden="false" customHeight="false" outlineLevel="0" collapsed="false">
      <c r="A468" s="0" t="n">
        <v>2665.52020636285</v>
      </c>
    </row>
    <row r="469" customFormat="false" ht="12.8" hidden="false" customHeight="false" outlineLevel="0" collapsed="false">
      <c r="A469" s="0" t="n">
        <v>2669.81943250215</v>
      </c>
    </row>
    <row r="470" customFormat="false" ht="12.8" hidden="false" customHeight="false" outlineLevel="0" collapsed="false">
      <c r="A470" s="0" t="n">
        <v>2674.11865864144</v>
      </c>
    </row>
    <row r="471" customFormat="false" ht="12.8" hidden="false" customHeight="false" outlineLevel="0" collapsed="false">
      <c r="A471" s="0" t="n">
        <v>2678.41788478074</v>
      </c>
    </row>
    <row r="472" customFormat="false" ht="12.8" hidden="false" customHeight="false" outlineLevel="0" collapsed="false">
      <c r="A472" s="0" t="n">
        <v>2682.71711092003</v>
      </c>
    </row>
    <row r="473" customFormat="false" ht="12.8" hidden="false" customHeight="false" outlineLevel="0" collapsed="false">
      <c r="A473" s="0" t="n">
        <v>2687.01633705933</v>
      </c>
    </row>
    <row r="474" customFormat="false" ht="12.8" hidden="false" customHeight="false" outlineLevel="0" collapsed="false">
      <c r="A474" s="0" t="n">
        <v>2691.31556319862</v>
      </c>
    </row>
    <row r="475" customFormat="false" ht="12.8" hidden="false" customHeight="false" outlineLevel="0" collapsed="false">
      <c r="A475" s="0" t="n">
        <v>2695.61478933792</v>
      </c>
    </row>
    <row r="476" customFormat="false" ht="12.8" hidden="false" customHeight="false" outlineLevel="0" collapsed="false">
      <c r="A476" s="0" t="n">
        <v>2699.91401547721</v>
      </c>
    </row>
    <row r="477" customFormat="false" ht="12.8" hidden="false" customHeight="false" outlineLevel="0" collapsed="false">
      <c r="A477" s="0" t="n">
        <v>2704.21324161651</v>
      </c>
    </row>
    <row r="478" customFormat="false" ht="12.8" hidden="false" customHeight="false" outlineLevel="0" collapsed="false">
      <c r="A478" s="0" t="n">
        <v>2708.5124677558</v>
      </c>
    </row>
    <row r="479" customFormat="false" ht="12.8" hidden="false" customHeight="false" outlineLevel="0" collapsed="false">
      <c r="A479" s="0" t="n">
        <v>2712.8116938951</v>
      </c>
    </row>
    <row r="480" customFormat="false" ht="12.8" hidden="false" customHeight="false" outlineLevel="0" collapsed="false">
      <c r="A480" s="0" t="n">
        <v>2717.11092003439</v>
      </c>
    </row>
    <row r="481" customFormat="false" ht="12.8" hidden="false" customHeight="false" outlineLevel="0" collapsed="false">
      <c r="A481" s="0" t="n">
        <v>2721.41014617369</v>
      </c>
    </row>
    <row r="482" customFormat="false" ht="12.8" hidden="false" customHeight="false" outlineLevel="0" collapsed="false">
      <c r="A482" s="0" t="n">
        <v>2725.70937231298</v>
      </c>
    </row>
    <row r="483" customFormat="false" ht="12.8" hidden="false" customHeight="false" outlineLevel="0" collapsed="false">
      <c r="A483" s="0" t="n">
        <v>2730.00859845228</v>
      </c>
    </row>
    <row r="484" customFormat="false" ht="12.8" hidden="false" customHeight="false" outlineLevel="0" collapsed="false">
      <c r="A484" s="0" t="n">
        <v>2734.30782459157</v>
      </c>
    </row>
    <row r="485" customFormat="false" ht="12.8" hidden="false" customHeight="false" outlineLevel="0" collapsed="false">
      <c r="A485" s="0" t="n">
        <v>2738.60705073087</v>
      </c>
    </row>
    <row r="486" customFormat="false" ht="12.8" hidden="false" customHeight="false" outlineLevel="0" collapsed="false">
      <c r="A486" s="0" t="n">
        <v>2742.90627687016</v>
      </c>
    </row>
    <row r="487" customFormat="false" ht="12.8" hidden="false" customHeight="false" outlineLevel="0" collapsed="false">
      <c r="A487" s="0" t="n">
        <v>2747.20550300946</v>
      </c>
    </row>
    <row r="488" customFormat="false" ht="12.8" hidden="false" customHeight="false" outlineLevel="0" collapsed="false">
      <c r="A488" s="0" t="n">
        <v>2751.50472914875</v>
      </c>
    </row>
    <row r="489" customFormat="false" ht="12.8" hidden="false" customHeight="false" outlineLevel="0" collapsed="false">
      <c r="A489" s="0" t="n">
        <v>2755.80395528805</v>
      </c>
    </row>
    <row r="490" customFormat="false" ht="12.8" hidden="false" customHeight="false" outlineLevel="0" collapsed="false">
      <c r="A490" s="0" t="n">
        <v>2760.10318142734</v>
      </c>
    </row>
    <row r="491" customFormat="false" ht="12.8" hidden="false" customHeight="false" outlineLevel="0" collapsed="false">
      <c r="A491" s="0" t="n">
        <v>2764.40240756664</v>
      </c>
    </row>
    <row r="492" customFormat="false" ht="12.8" hidden="false" customHeight="false" outlineLevel="0" collapsed="false">
      <c r="A492" s="0" t="n">
        <v>2768.70163370593</v>
      </c>
    </row>
    <row r="493" customFormat="false" ht="12.8" hidden="false" customHeight="false" outlineLevel="0" collapsed="false">
      <c r="A493" s="0" t="n">
        <v>2773.00085984523</v>
      </c>
    </row>
    <row r="494" customFormat="false" ht="12.8" hidden="false" customHeight="false" outlineLevel="0" collapsed="false">
      <c r="A494" s="0" t="n">
        <v>2777.30008598452</v>
      </c>
    </row>
    <row r="495" customFormat="false" ht="12.8" hidden="false" customHeight="false" outlineLevel="0" collapsed="false">
      <c r="A495" s="0" t="n">
        <v>2781.59931212382</v>
      </c>
    </row>
    <row r="496" customFormat="false" ht="12.8" hidden="false" customHeight="false" outlineLevel="0" collapsed="false">
      <c r="A496" s="0" t="n">
        <v>2785.89853826311</v>
      </c>
    </row>
    <row r="497" customFormat="false" ht="12.8" hidden="false" customHeight="false" outlineLevel="0" collapsed="false">
      <c r="A497" s="0" t="n">
        <v>2790.19776440241</v>
      </c>
    </row>
    <row r="498" customFormat="false" ht="12.8" hidden="false" customHeight="false" outlineLevel="0" collapsed="false">
      <c r="A498" s="0" t="n">
        <v>2794.4969905417</v>
      </c>
    </row>
    <row r="499" customFormat="false" ht="12.8" hidden="false" customHeight="false" outlineLevel="0" collapsed="false">
      <c r="A499" s="0" t="n">
        <v>2798.796216681</v>
      </c>
    </row>
    <row r="500" customFormat="false" ht="12.8" hidden="false" customHeight="false" outlineLevel="0" collapsed="false">
      <c r="A500" s="0" t="n">
        <v>2803.09544282029</v>
      </c>
    </row>
    <row r="501" customFormat="false" ht="12.8" hidden="false" customHeight="false" outlineLevel="0" collapsed="false">
      <c r="A501" s="0" t="n">
        <v>2807.39466895959</v>
      </c>
    </row>
    <row r="502" customFormat="false" ht="12.8" hidden="false" customHeight="false" outlineLevel="0" collapsed="false">
      <c r="A502" s="0" t="n">
        <v>2811.69389509888</v>
      </c>
    </row>
    <row r="503" customFormat="false" ht="12.8" hidden="false" customHeight="false" outlineLevel="0" collapsed="false">
      <c r="A503" s="0" t="n">
        <v>2815.99312123818</v>
      </c>
    </row>
    <row r="504" customFormat="false" ht="12.8" hidden="false" customHeight="false" outlineLevel="0" collapsed="false">
      <c r="A504" s="0" t="n">
        <v>2820.29234737747</v>
      </c>
    </row>
    <row r="505" customFormat="false" ht="12.8" hidden="false" customHeight="false" outlineLevel="0" collapsed="false">
      <c r="A505" s="0" t="n">
        <v>2824.59157351677</v>
      </c>
    </row>
    <row r="506" customFormat="false" ht="12.8" hidden="false" customHeight="false" outlineLevel="0" collapsed="false">
      <c r="A506" s="0" t="n">
        <v>2828.89079965606</v>
      </c>
    </row>
    <row r="507" customFormat="false" ht="12.8" hidden="false" customHeight="false" outlineLevel="0" collapsed="false">
      <c r="A507" s="0" t="n">
        <v>2833.19002579536</v>
      </c>
    </row>
    <row r="508" customFormat="false" ht="12.8" hidden="false" customHeight="false" outlineLevel="0" collapsed="false">
      <c r="A508" s="0" t="n">
        <v>2837.48925193465</v>
      </c>
    </row>
    <row r="509" customFormat="false" ht="12.8" hidden="false" customHeight="false" outlineLevel="0" collapsed="false">
      <c r="A509" s="0" t="n">
        <v>2841.78847807395</v>
      </c>
    </row>
    <row r="510" customFormat="false" ht="12.8" hidden="false" customHeight="false" outlineLevel="0" collapsed="false">
      <c r="A510" s="0" t="n">
        <v>2846.08770421324</v>
      </c>
    </row>
    <row r="511" customFormat="false" ht="12.8" hidden="false" customHeight="false" outlineLevel="0" collapsed="false">
      <c r="A511" s="0" t="n">
        <v>2850.38693035254</v>
      </c>
    </row>
    <row r="512" customFormat="false" ht="12.8" hidden="false" customHeight="false" outlineLevel="0" collapsed="false">
      <c r="A512" s="0" t="n">
        <v>2854.68615649183</v>
      </c>
    </row>
    <row r="513" customFormat="false" ht="12.8" hidden="false" customHeight="false" outlineLevel="0" collapsed="false">
      <c r="A513" s="0" t="n">
        <v>2858.98538263113</v>
      </c>
    </row>
    <row r="514" customFormat="false" ht="12.8" hidden="false" customHeight="false" outlineLevel="0" collapsed="false">
      <c r="A514" s="0" t="n">
        <v>2863.28460877042</v>
      </c>
    </row>
    <row r="515" customFormat="false" ht="12.8" hidden="false" customHeight="false" outlineLevel="0" collapsed="false">
      <c r="A515" s="0" t="n">
        <v>2867.58383490972</v>
      </c>
    </row>
    <row r="516" customFormat="false" ht="12.8" hidden="false" customHeight="false" outlineLevel="0" collapsed="false">
      <c r="A516" s="0" t="n">
        <v>2871.88306104901</v>
      </c>
    </row>
    <row r="517" customFormat="false" ht="12.8" hidden="false" customHeight="false" outlineLevel="0" collapsed="false">
      <c r="A517" s="0" t="n">
        <v>2876.18228718831</v>
      </c>
    </row>
    <row r="518" customFormat="false" ht="12.8" hidden="false" customHeight="false" outlineLevel="0" collapsed="false">
      <c r="A518" s="0" t="n">
        <v>2880.4815133276</v>
      </c>
    </row>
    <row r="519" customFormat="false" ht="12.8" hidden="false" customHeight="false" outlineLevel="0" collapsed="false">
      <c r="A519" s="0" t="n">
        <v>2884.7807394669</v>
      </c>
    </row>
    <row r="520" customFormat="false" ht="12.8" hidden="false" customHeight="false" outlineLevel="0" collapsed="false">
      <c r="A520" s="0" t="n">
        <v>2889.07996560619</v>
      </c>
    </row>
    <row r="521" customFormat="false" ht="12.8" hidden="false" customHeight="false" outlineLevel="0" collapsed="false">
      <c r="A521" s="0" t="n">
        <v>2893.37919174549</v>
      </c>
    </row>
    <row r="522" customFormat="false" ht="12.8" hidden="false" customHeight="false" outlineLevel="0" collapsed="false">
      <c r="A522" s="0" t="n">
        <v>2897.67841788478</v>
      </c>
    </row>
    <row r="523" customFormat="false" ht="12.8" hidden="false" customHeight="false" outlineLevel="0" collapsed="false">
      <c r="A523" s="0" t="n">
        <v>2901.97764402408</v>
      </c>
    </row>
    <row r="524" customFormat="false" ht="12.8" hidden="false" customHeight="false" outlineLevel="0" collapsed="false">
      <c r="A524" s="0" t="n">
        <v>2906.27687016337</v>
      </c>
    </row>
    <row r="525" customFormat="false" ht="12.8" hidden="false" customHeight="false" outlineLevel="0" collapsed="false">
      <c r="A525" s="0" t="n">
        <v>2910.57609630267</v>
      </c>
    </row>
    <row r="526" customFormat="false" ht="12.8" hidden="false" customHeight="false" outlineLevel="0" collapsed="false">
      <c r="A526" s="0" t="n">
        <v>2914.87532244196</v>
      </c>
    </row>
    <row r="527" customFormat="false" ht="12.8" hidden="false" customHeight="false" outlineLevel="0" collapsed="false">
      <c r="A527" s="0" t="n">
        <v>2919.17454858126</v>
      </c>
    </row>
    <row r="528" customFormat="false" ht="12.8" hidden="false" customHeight="false" outlineLevel="0" collapsed="false">
      <c r="A528" s="0" t="n">
        <v>2923.47377472055</v>
      </c>
    </row>
    <row r="529" customFormat="false" ht="12.8" hidden="false" customHeight="false" outlineLevel="0" collapsed="false">
      <c r="A529" s="0" t="n">
        <v>2927.77300085985</v>
      </c>
    </row>
    <row r="530" customFormat="false" ht="12.8" hidden="false" customHeight="false" outlineLevel="0" collapsed="false">
      <c r="A530" s="0" t="n">
        <v>2932.07222699914</v>
      </c>
    </row>
    <row r="531" customFormat="false" ht="12.8" hidden="false" customHeight="false" outlineLevel="0" collapsed="false">
      <c r="A531" s="0" t="n">
        <v>2936.37145313843</v>
      </c>
    </row>
    <row r="532" customFormat="false" ht="12.8" hidden="false" customHeight="false" outlineLevel="0" collapsed="false">
      <c r="A532" s="0" t="n">
        <v>2940.67067927773</v>
      </c>
    </row>
    <row r="533" customFormat="false" ht="12.8" hidden="false" customHeight="false" outlineLevel="0" collapsed="false">
      <c r="A533" s="0" t="n">
        <v>2944.96990541702</v>
      </c>
    </row>
    <row r="534" customFormat="false" ht="12.8" hidden="false" customHeight="false" outlineLevel="0" collapsed="false">
      <c r="A534" s="0" t="n">
        <v>2949.26913155632</v>
      </c>
    </row>
    <row r="535" customFormat="false" ht="12.8" hidden="false" customHeight="false" outlineLevel="0" collapsed="false">
      <c r="A535" s="0" t="n">
        <v>2953.56835769561</v>
      </c>
    </row>
    <row r="536" customFormat="false" ht="12.8" hidden="false" customHeight="false" outlineLevel="0" collapsed="false">
      <c r="A536" s="0" t="n">
        <v>2957.86758383491</v>
      </c>
    </row>
    <row r="537" customFormat="false" ht="12.8" hidden="false" customHeight="false" outlineLevel="0" collapsed="false">
      <c r="A537" s="0" t="n">
        <v>2962.1668099742</v>
      </c>
    </row>
    <row r="538" customFormat="false" ht="12.8" hidden="false" customHeight="false" outlineLevel="0" collapsed="false">
      <c r="A538" s="0" t="n">
        <v>2966.4660361135</v>
      </c>
    </row>
    <row r="539" customFormat="false" ht="12.8" hidden="false" customHeight="false" outlineLevel="0" collapsed="false">
      <c r="A539" s="0" t="n">
        <v>2970.76526225279</v>
      </c>
    </row>
    <row r="540" customFormat="false" ht="12.8" hidden="false" customHeight="false" outlineLevel="0" collapsed="false">
      <c r="A540" s="0" t="n">
        <v>2975.06448839209</v>
      </c>
    </row>
    <row r="541" customFormat="false" ht="12.8" hidden="false" customHeight="false" outlineLevel="0" collapsed="false">
      <c r="A541" s="0" t="n">
        <v>2979.36371453138</v>
      </c>
    </row>
    <row r="542" customFormat="false" ht="12.8" hidden="false" customHeight="false" outlineLevel="0" collapsed="false">
      <c r="A542" s="0" t="n">
        <v>2983.66294067068</v>
      </c>
    </row>
    <row r="543" customFormat="false" ht="12.8" hidden="false" customHeight="false" outlineLevel="0" collapsed="false">
      <c r="A543" s="0" t="n">
        <v>2987.96216680997</v>
      </c>
    </row>
    <row r="544" customFormat="false" ht="12.8" hidden="false" customHeight="false" outlineLevel="0" collapsed="false">
      <c r="A544" s="0" t="n">
        <v>2992.26139294927</v>
      </c>
    </row>
    <row r="545" customFormat="false" ht="12.8" hidden="false" customHeight="false" outlineLevel="0" collapsed="false">
      <c r="A545" s="0" t="n">
        <v>2996.56061908856</v>
      </c>
    </row>
    <row r="546" customFormat="false" ht="12.8" hidden="false" customHeight="false" outlineLevel="0" collapsed="false">
      <c r="A546" s="0" t="n">
        <v>3000.85984522786</v>
      </c>
    </row>
    <row r="547" customFormat="false" ht="12.8" hidden="false" customHeight="false" outlineLevel="0" collapsed="false">
      <c r="A547" s="0" t="n">
        <v>3005.15907136715</v>
      </c>
    </row>
    <row r="548" customFormat="false" ht="12.8" hidden="false" customHeight="false" outlineLevel="0" collapsed="false">
      <c r="A548" s="0" t="n">
        <v>3009.45829750645</v>
      </c>
    </row>
    <row r="549" customFormat="false" ht="12.8" hidden="false" customHeight="false" outlineLevel="0" collapsed="false">
      <c r="A549" s="0" t="n">
        <v>3013.75752364574</v>
      </c>
    </row>
    <row r="550" customFormat="false" ht="12.8" hidden="false" customHeight="false" outlineLevel="0" collapsed="false">
      <c r="A550" s="0" t="n">
        <v>3018.05674978504</v>
      </c>
    </row>
    <row r="551" customFormat="false" ht="12.8" hidden="false" customHeight="false" outlineLevel="0" collapsed="false">
      <c r="A551" s="0" t="n">
        <v>3022.35597592433</v>
      </c>
    </row>
    <row r="552" customFormat="false" ht="12.8" hidden="false" customHeight="false" outlineLevel="0" collapsed="false">
      <c r="A552" s="0" t="n">
        <v>3026.65520206363</v>
      </c>
    </row>
    <row r="553" customFormat="false" ht="12.8" hidden="false" customHeight="false" outlineLevel="0" collapsed="false">
      <c r="A553" s="0" t="n">
        <v>3030.95442820292</v>
      </c>
    </row>
    <row r="554" customFormat="false" ht="12.8" hidden="false" customHeight="false" outlineLevel="0" collapsed="false">
      <c r="A554" s="0" t="n">
        <v>3035.25365434222</v>
      </c>
    </row>
    <row r="555" customFormat="false" ht="12.8" hidden="false" customHeight="false" outlineLevel="0" collapsed="false">
      <c r="A555" s="0" t="n">
        <v>3039.55288048151</v>
      </c>
    </row>
    <row r="556" customFormat="false" ht="12.8" hidden="false" customHeight="false" outlineLevel="0" collapsed="false">
      <c r="A556" s="0" t="n">
        <v>3043.85210662081</v>
      </c>
    </row>
    <row r="557" customFormat="false" ht="12.8" hidden="false" customHeight="false" outlineLevel="0" collapsed="false">
      <c r="A557" s="0" t="n">
        <v>3048.1513327601</v>
      </c>
    </row>
    <row r="558" customFormat="false" ht="12.8" hidden="false" customHeight="false" outlineLevel="0" collapsed="false">
      <c r="A558" s="0" t="n">
        <v>3052.4505588994</v>
      </c>
    </row>
    <row r="559" customFormat="false" ht="12.8" hidden="false" customHeight="false" outlineLevel="0" collapsed="false">
      <c r="A559" s="0" t="n">
        <v>3056.74978503869</v>
      </c>
    </row>
    <row r="560" customFormat="false" ht="12.8" hidden="false" customHeight="false" outlineLevel="0" collapsed="false">
      <c r="A560" s="0" t="n">
        <v>3061.04901117799</v>
      </c>
    </row>
    <row r="561" customFormat="false" ht="12.8" hidden="false" customHeight="false" outlineLevel="0" collapsed="false">
      <c r="A561" s="0" t="n">
        <v>3065.34823731728</v>
      </c>
    </row>
    <row r="562" customFormat="false" ht="12.8" hidden="false" customHeight="false" outlineLevel="0" collapsed="false">
      <c r="A562" s="0" t="n">
        <v>3069.64746345658</v>
      </c>
    </row>
    <row r="563" customFormat="false" ht="12.8" hidden="false" customHeight="false" outlineLevel="0" collapsed="false">
      <c r="A563" s="0" t="n">
        <v>3073.94668959587</v>
      </c>
    </row>
    <row r="564" customFormat="false" ht="12.8" hidden="false" customHeight="false" outlineLevel="0" collapsed="false">
      <c r="A564" s="0" t="n">
        <v>3078.24591573517</v>
      </c>
    </row>
    <row r="565" customFormat="false" ht="12.8" hidden="false" customHeight="false" outlineLevel="0" collapsed="false">
      <c r="A565" s="0" t="n">
        <v>3082.54514187446</v>
      </c>
    </row>
    <row r="566" customFormat="false" ht="12.8" hidden="false" customHeight="false" outlineLevel="0" collapsed="false">
      <c r="A566" s="0" t="n">
        <v>3086.84436801376</v>
      </c>
    </row>
    <row r="567" customFormat="false" ht="12.8" hidden="false" customHeight="false" outlineLevel="0" collapsed="false">
      <c r="A567" s="0" t="n">
        <v>3091.14359415305</v>
      </c>
    </row>
    <row r="568" customFormat="false" ht="12.8" hidden="false" customHeight="false" outlineLevel="0" collapsed="false">
      <c r="A568" s="0" t="n">
        <v>3095.44282029235</v>
      </c>
    </row>
    <row r="569" customFormat="false" ht="12.8" hidden="false" customHeight="false" outlineLevel="0" collapsed="false">
      <c r="A569" s="0" t="n">
        <v>3099.74204643164</v>
      </c>
    </row>
    <row r="570" customFormat="false" ht="12.8" hidden="false" customHeight="false" outlineLevel="0" collapsed="false">
      <c r="A570" s="0" t="n">
        <v>3104.04127257094</v>
      </c>
    </row>
    <row r="571" customFormat="false" ht="12.8" hidden="false" customHeight="false" outlineLevel="0" collapsed="false">
      <c r="A571" s="0" t="n">
        <v>3108.34049871023</v>
      </c>
    </row>
    <row r="572" customFormat="false" ht="12.8" hidden="false" customHeight="false" outlineLevel="0" collapsed="false">
      <c r="A572" s="0" t="n">
        <v>3112.63972484953</v>
      </c>
    </row>
    <row r="573" customFormat="false" ht="12.8" hidden="false" customHeight="false" outlineLevel="0" collapsed="false">
      <c r="A573" s="0" t="n">
        <v>3116.93895098882</v>
      </c>
    </row>
    <row r="574" customFormat="false" ht="12.8" hidden="false" customHeight="false" outlineLevel="0" collapsed="false">
      <c r="A574" s="0" t="n">
        <v>3121.23817712812</v>
      </c>
    </row>
    <row r="575" customFormat="false" ht="12.8" hidden="false" customHeight="false" outlineLevel="0" collapsed="false">
      <c r="A575" s="0" t="n">
        <v>3125.53740326741</v>
      </c>
    </row>
    <row r="576" customFormat="false" ht="12.8" hidden="false" customHeight="false" outlineLevel="0" collapsed="false">
      <c r="A576" s="0" t="n">
        <v>3129.83662940671</v>
      </c>
    </row>
    <row r="577" customFormat="false" ht="12.8" hidden="false" customHeight="false" outlineLevel="0" collapsed="false">
      <c r="A577" s="0" t="n">
        <v>3134.135855546</v>
      </c>
    </row>
    <row r="578" customFormat="false" ht="12.8" hidden="false" customHeight="false" outlineLevel="0" collapsed="false">
      <c r="A578" s="0" t="n">
        <v>3138.4350816853</v>
      </c>
    </row>
    <row r="579" customFormat="false" ht="12.8" hidden="false" customHeight="false" outlineLevel="0" collapsed="false">
      <c r="A579" s="0" t="n">
        <v>3142.73430782459</v>
      </c>
    </row>
    <row r="580" customFormat="false" ht="12.8" hidden="false" customHeight="false" outlineLevel="0" collapsed="false">
      <c r="A580" s="0" t="n">
        <v>3147.03353396389</v>
      </c>
    </row>
    <row r="581" customFormat="false" ht="12.8" hidden="false" customHeight="false" outlineLevel="0" collapsed="false">
      <c r="A581" s="0" t="n">
        <v>3151.33276010318</v>
      </c>
    </row>
    <row r="582" customFormat="false" ht="12.8" hidden="false" customHeight="false" outlineLevel="0" collapsed="false">
      <c r="A582" s="0" t="n">
        <v>3155.63198624248</v>
      </c>
    </row>
    <row r="583" customFormat="false" ht="12.8" hidden="false" customHeight="false" outlineLevel="0" collapsed="false">
      <c r="A583" s="0" t="n">
        <v>3159.93121238177</v>
      </c>
    </row>
    <row r="584" customFormat="false" ht="12.8" hidden="false" customHeight="false" outlineLevel="0" collapsed="false">
      <c r="A584" s="0" t="n">
        <v>3164.23043852107</v>
      </c>
    </row>
    <row r="585" customFormat="false" ht="12.8" hidden="false" customHeight="false" outlineLevel="0" collapsed="false">
      <c r="A585" s="0" t="n">
        <v>3168.52966466036</v>
      </c>
    </row>
    <row r="586" customFormat="false" ht="12.8" hidden="false" customHeight="false" outlineLevel="0" collapsed="false">
      <c r="A586" s="0" t="n">
        <v>3172.82889079966</v>
      </c>
    </row>
    <row r="587" customFormat="false" ht="12.8" hidden="false" customHeight="false" outlineLevel="0" collapsed="false">
      <c r="A587" s="0" t="n">
        <v>3177.12811693895</v>
      </c>
    </row>
    <row r="588" customFormat="false" ht="12.8" hidden="false" customHeight="false" outlineLevel="0" collapsed="false">
      <c r="A588" s="0" t="n">
        <v>3181.42734307825</v>
      </c>
    </row>
    <row r="589" customFormat="false" ht="12.8" hidden="false" customHeight="false" outlineLevel="0" collapsed="false">
      <c r="A589" s="0" t="n">
        <v>3185.72656921754</v>
      </c>
    </row>
    <row r="590" customFormat="false" ht="12.8" hidden="false" customHeight="false" outlineLevel="0" collapsed="false">
      <c r="A590" s="0" t="n">
        <v>3190.02579535684</v>
      </c>
    </row>
    <row r="591" customFormat="false" ht="12.8" hidden="false" customHeight="false" outlineLevel="0" collapsed="false">
      <c r="A591" s="0" t="n">
        <v>3194.32502149613</v>
      </c>
    </row>
    <row r="592" customFormat="false" ht="12.8" hidden="false" customHeight="false" outlineLevel="0" collapsed="false">
      <c r="A592" s="0" t="n">
        <v>3198.62424763543</v>
      </c>
    </row>
    <row r="593" customFormat="false" ht="12.8" hidden="false" customHeight="false" outlineLevel="0" collapsed="false">
      <c r="A593" s="0" t="n">
        <v>3202.92347377472</v>
      </c>
    </row>
    <row r="594" customFormat="false" ht="12.8" hidden="false" customHeight="false" outlineLevel="0" collapsed="false">
      <c r="A594" s="0" t="n">
        <v>3207.22269991402</v>
      </c>
    </row>
    <row r="595" customFormat="false" ht="12.8" hidden="false" customHeight="false" outlineLevel="0" collapsed="false">
      <c r="A595" s="0" t="n">
        <v>3211.52192605331</v>
      </c>
    </row>
    <row r="596" customFormat="false" ht="12.8" hidden="false" customHeight="false" outlineLevel="0" collapsed="false">
      <c r="A596" s="0" t="n">
        <v>3215.82115219261</v>
      </c>
    </row>
    <row r="597" customFormat="false" ht="12.8" hidden="false" customHeight="false" outlineLevel="0" collapsed="false">
      <c r="A597" s="0" t="n">
        <v>3220.1203783319</v>
      </c>
    </row>
    <row r="598" customFormat="false" ht="12.8" hidden="false" customHeight="false" outlineLevel="0" collapsed="false">
      <c r="A598" s="0" t="n">
        <v>3224.4196044712</v>
      </c>
    </row>
    <row r="599" customFormat="false" ht="12.8" hidden="false" customHeight="false" outlineLevel="0" collapsed="false">
      <c r="A599" s="0" t="n">
        <v>3228.71883061049</v>
      </c>
    </row>
    <row r="600" customFormat="false" ht="12.8" hidden="false" customHeight="false" outlineLevel="0" collapsed="false">
      <c r="A600" s="0" t="n">
        <v>3233.01805674979</v>
      </c>
    </row>
    <row r="601" customFormat="false" ht="12.8" hidden="false" customHeight="false" outlineLevel="0" collapsed="false">
      <c r="A601" s="0" t="n">
        <v>3237.31728288908</v>
      </c>
    </row>
    <row r="602" customFormat="false" ht="12.8" hidden="false" customHeight="false" outlineLevel="0" collapsed="false">
      <c r="A602" s="0" t="n">
        <v>3241.61650902837</v>
      </c>
    </row>
    <row r="603" customFormat="false" ht="12.8" hidden="false" customHeight="false" outlineLevel="0" collapsed="false">
      <c r="A603" s="0" t="n">
        <v>3245.91573516767</v>
      </c>
    </row>
    <row r="604" customFormat="false" ht="12.8" hidden="false" customHeight="false" outlineLevel="0" collapsed="false">
      <c r="A604" s="0" t="n">
        <v>3250.21496130696</v>
      </c>
    </row>
    <row r="605" customFormat="false" ht="12.8" hidden="false" customHeight="false" outlineLevel="0" collapsed="false">
      <c r="A605" s="0" t="n">
        <v>3254.51418744626</v>
      </c>
    </row>
    <row r="606" customFormat="false" ht="12.8" hidden="false" customHeight="false" outlineLevel="0" collapsed="false">
      <c r="A606" s="0" t="n">
        <v>3258.81341358555</v>
      </c>
    </row>
    <row r="607" customFormat="false" ht="12.8" hidden="false" customHeight="false" outlineLevel="0" collapsed="false">
      <c r="A607" s="0" t="n">
        <v>3263.11263972485</v>
      </c>
    </row>
    <row r="608" customFormat="false" ht="12.8" hidden="false" customHeight="false" outlineLevel="0" collapsed="false">
      <c r="A608" s="0" t="n">
        <v>3267.41186586414</v>
      </c>
    </row>
    <row r="609" customFormat="false" ht="12.8" hidden="false" customHeight="false" outlineLevel="0" collapsed="false">
      <c r="A609" s="0" t="n">
        <v>3271.71109200344</v>
      </c>
    </row>
    <row r="610" customFormat="false" ht="12.8" hidden="false" customHeight="false" outlineLevel="0" collapsed="false">
      <c r="A610" s="0" t="n">
        <v>3276.01031814273</v>
      </c>
    </row>
    <row r="611" customFormat="false" ht="12.8" hidden="false" customHeight="false" outlineLevel="0" collapsed="false">
      <c r="A611" s="0" t="n">
        <v>3280.30954428203</v>
      </c>
    </row>
    <row r="612" customFormat="false" ht="12.8" hidden="false" customHeight="false" outlineLevel="0" collapsed="false">
      <c r="A612" s="0" t="n">
        <v>3284.60877042132</v>
      </c>
    </row>
    <row r="613" customFormat="false" ht="12.8" hidden="false" customHeight="false" outlineLevel="0" collapsed="false">
      <c r="A613" s="0" t="n">
        <v>3288.90799656062</v>
      </c>
    </row>
    <row r="614" customFormat="false" ht="12.8" hidden="false" customHeight="false" outlineLevel="0" collapsed="false">
      <c r="A614" s="0" t="n">
        <v>3293.20722269991</v>
      </c>
    </row>
    <row r="615" customFormat="false" ht="12.8" hidden="false" customHeight="false" outlineLevel="0" collapsed="false">
      <c r="A615" s="0" t="n">
        <v>3297.50644883921</v>
      </c>
    </row>
    <row r="616" customFormat="false" ht="12.8" hidden="false" customHeight="false" outlineLevel="0" collapsed="false">
      <c r="A616" s="0" t="n">
        <v>3301.8056749785</v>
      </c>
    </row>
    <row r="617" customFormat="false" ht="12.8" hidden="false" customHeight="false" outlineLevel="0" collapsed="false">
      <c r="A617" s="0" t="n">
        <v>3306.1049011178</v>
      </c>
    </row>
    <row r="618" customFormat="false" ht="12.8" hidden="false" customHeight="false" outlineLevel="0" collapsed="false">
      <c r="A618" s="0" t="n">
        <v>3310.40412725709</v>
      </c>
    </row>
    <row r="619" customFormat="false" ht="12.8" hidden="false" customHeight="false" outlineLevel="0" collapsed="false">
      <c r="A619" s="0" t="n">
        <v>3314.70335339639</v>
      </c>
    </row>
    <row r="620" customFormat="false" ht="12.8" hidden="false" customHeight="false" outlineLevel="0" collapsed="false">
      <c r="A620" s="0" t="n">
        <v>3319.00257953568</v>
      </c>
    </row>
    <row r="621" customFormat="false" ht="12.8" hidden="false" customHeight="false" outlineLevel="0" collapsed="false">
      <c r="A621" s="0" t="n">
        <v>3323.30180567498</v>
      </c>
    </row>
    <row r="622" customFormat="false" ht="12.8" hidden="false" customHeight="false" outlineLevel="0" collapsed="false">
      <c r="A622" s="0" t="n">
        <v>3327.60103181427</v>
      </c>
    </row>
    <row r="623" customFormat="false" ht="12.8" hidden="false" customHeight="false" outlineLevel="0" collapsed="false">
      <c r="A623" s="0" t="n">
        <v>3331.90025795357</v>
      </c>
    </row>
    <row r="624" customFormat="false" ht="12.8" hidden="false" customHeight="false" outlineLevel="0" collapsed="false">
      <c r="A624" s="0" t="n">
        <v>3336.19948409286</v>
      </c>
    </row>
    <row r="625" customFormat="false" ht="12.8" hidden="false" customHeight="false" outlineLevel="0" collapsed="false">
      <c r="A625" s="0" t="n">
        <v>3340.49871023216</v>
      </c>
    </row>
    <row r="626" customFormat="false" ht="12.8" hidden="false" customHeight="false" outlineLevel="0" collapsed="false">
      <c r="A626" s="0" t="n">
        <v>3344.79793637145</v>
      </c>
    </row>
    <row r="627" customFormat="false" ht="12.8" hidden="false" customHeight="false" outlineLevel="0" collapsed="false">
      <c r="A627" s="0" t="n">
        <v>3349.09716251075</v>
      </c>
    </row>
    <row r="628" customFormat="false" ht="12.8" hidden="false" customHeight="false" outlineLevel="0" collapsed="false">
      <c r="A628" s="0" t="n">
        <v>3353.39638865004</v>
      </c>
    </row>
    <row r="629" customFormat="false" ht="12.8" hidden="false" customHeight="false" outlineLevel="0" collapsed="false">
      <c r="A629" s="0" t="n">
        <v>3357.69561478934</v>
      </c>
    </row>
    <row r="630" customFormat="false" ht="12.8" hidden="false" customHeight="false" outlineLevel="0" collapsed="false">
      <c r="A630" s="0" t="n">
        <v>3361.99484092863</v>
      </c>
    </row>
    <row r="631" customFormat="false" ht="12.8" hidden="false" customHeight="false" outlineLevel="0" collapsed="false">
      <c r="A631" s="0" t="n">
        <v>3366.29406706793</v>
      </c>
    </row>
    <row r="632" customFormat="false" ht="12.8" hidden="false" customHeight="false" outlineLevel="0" collapsed="false">
      <c r="A632" s="0" t="n">
        <v>3370.59329320722</v>
      </c>
    </row>
    <row r="633" customFormat="false" ht="12.8" hidden="false" customHeight="false" outlineLevel="0" collapsed="false">
      <c r="A633" s="0" t="n">
        <v>3374.89251934652</v>
      </c>
    </row>
    <row r="634" customFormat="false" ht="12.8" hidden="false" customHeight="false" outlineLevel="0" collapsed="false">
      <c r="A634" s="0" t="n">
        <v>3379.19174548581</v>
      </c>
    </row>
    <row r="635" customFormat="false" ht="12.8" hidden="false" customHeight="false" outlineLevel="0" collapsed="false">
      <c r="A635" s="0" t="n">
        <v>3383.49097162511</v>
      </c>
    </row>
    <row r="636" customFormat="false" ht="12.8" hidden="false" customHeight="false" outlineLevel="0" collapsed="false">
      <c r="A636" s="0" t="n">
        <v>3387.7901977644</v>
      </c>
    </row>
    <row r="637" customFormat="false" ht="12.8" hidden="false" customHeight="false" outlineLevel="0" collapsed="false">
      <c r="A637" s="0" t="n">
        <v>3392.0894239037</v>
      </c>
    </row>
    <row r="638" customFormat="false" ht="12.8" hidden="false" customHeight="false" outlineLevel="0" collapsed="false">
      <c r="A638" s="0" t="n">
        <v>3396.38865004299</v>
      </c>
    </row>
    <row r="639" customFormat="false" ht="12.8" hidden="false" customHeight="false" outlineLevel="0" collapsed="false">
      <c r="A639" s="0" t="n">
        <v>3400.68787618229</v>
      </c>
    </row>
    <row r="640" customFormat="false" ht="12.8" hidden="false" customHeight="false" outlineLevel="0" collapsed="false">
      <c r="A640" s="0" t="n">
        <v>3404.98710232158</v>
      </c>
    </row>
    <row r="641" customFormat="false" ht="12.8" hidden="false" customHeight="false" outlineLevel="0" collapsed="false">
      <c r="A641" s="0" t="n">
        <v>3409.28632846088</v>
      </c>
    </row>
    <row r="642" customFormat="false" ht="12.8" hidden="false" customHeight="false" outlineLevel="0" collapsed="false">
      <c r="A642" s="0" t="n">
        <v>3413.58555460017</v>
      </c>
    </row>
    <row r="643" customFormat="false" ht="12.8" hidden="false" customHeight="false" outlineLevel="0" collapsed="false">
      <c r="A643" s="0" t="n">
        <v>3417.88478073947</v>
      </c>
    </row>
    <row r="644" customFormat="false" ht="12.8" hidden="false" customHeight="false" outlineLevel="0" collapsed="false">
      <c r="A644" s="0" t="n">
        <v>3422.18400687876</v>
      </c>
    </row>
    <row r="645" customFormat="false" ht="12.8" hidden="false" customHeight="false" outlineLevel="0" collapsed="false">
      <c r="A645" s="0" t="n">
        <v>3426.48323301806</v>
      </c>
    </row>
    <row r="646" customFormat="false" ht="12.8" hidden="false" customHeight="false" outlineLevel="0" collapsed="false">
      <c r="A646" s="0" t="n">
        <v>3430.78245915735</v>
      </c>
    </row>
    <row r="647" customFormat="false" ht="12.8" hidden="false" customHeight="false" outlineLevel="0" collapsed="false">
      <c r="A647" s="0" t="n">
        <v>3435.08168529665</v>
      </c>
    </row>
    <row r="648" customFormat="false" ht="12.8" hidden="false" customHeight="false" outlineLevel="0" collapsed="false">
      <c r="A648" s="0" t="n">
        <v>3439.38091143594</v>
      </c>
    </row>
    <row r="649" customFormat="false" ht="12.8" hidden="false" customHeight="false" outlineLevel="0" collapsed="false">
      <c r="A649" s="0" t="n">
        <v>3869.30352536543</v>
      </c>
    </row>
    <row r="650" customFormat="false" ht="12.8" hidden="false" customHeight="false" outlineLevel="0" collapsed="false">
      <c r="A650" s="0" t="n">
        <v>4299.22613929493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642"/>
  <sheetViews>
    <sheetView showFormulas="false" showGridLines="true" showRowColHeaders="true" showZeros="true" rightToLeft="false" tabSelected="true" showOutlineSymbols="true" defaultGridColor="true" view="normal" topLeftCell="AL1" colorId="64" zoomScale="100" zoomScaleNormal="100" zoomScalePageLayoutView="100" workbookViewId="0">
      <selection pane="topLeft" activeCell="AS1" activeCellId="0" sqref="AS1"/>
    </sheetView>
  </sheetViews>
  <sheetFormatPr defaultRowHeight="12.8" zeroHeight="false" outlineLevelRow="0" outlineLevelCol="0"/>
  <cols>
    <col collapsed="false" customWidth="false" hidden="false" outlineLevel="0" max="1025" min="1" style="0" width="11.52"/>
  </cols>
  <sheetData>
    <row r="1" customFormat="false" ht="12.8" hidden="false" customHeight="false" outlineLevel="0" collapsed="false">
      <c r="A1" s="0" t="s">
        <v>254</v>
      </c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2.8" hidden="false" customHeight="false" outlineLevel="0" collapsed="false">
      <c r="A2" s="0" t="s">
        <v>248</v>
      </c>
      <c r="B2" s="0" t="n">
        <v>0.088</v>
      </c>
      <c r="C2" s="0" t="n">
        <v>0.103217121367299</v>
      </c>
      <c r="D2" s="0" t="n">
        <v>0.117720895146985</v>
      </c>
      <c r="E2" s="0" t="n">
        <v>0.132224668926671</v>
      </c>
      <c r="F2" s="0" t="n">
        <v>0.146728442706357</v>
      </c>
      <c r="G2" s="0" t="n">
        <v>0.291766180503215</v>
      </c>
      <c r="H2" s="0" t="n">
        <v>0.436803918300074</v>
      </c>
      <c r="I2" s="0" t="n">
        <v>0.581841656096933</v>
      </c>
      <c r="J2" s="0" t="n">
        <v>0.726879393893791</v>
      </c>
      <c r="K2" s="0" t="n">
        <v>0.87191713169065</v>
      </c>
      <c r="L2" s="0" t="n">
        <v>1.01695486948751</v>
      </c>
      <c r="M2" s="0" t="n">
        <v>1.16199260728437</v>
      </c>
      <c r="N2" s="0" t="n">
        <v>1.30703034508123</v>
      </c>
      <c r="O2" s="0" t="n">
        <v>1.45206808287809</v>
      </c>
      <c r="P2" s="0" t="n">
        <v>2.90244546084667</v>
      </c>
      <c r="Q2" s="0" t="n">
        <v>4.35282283881526</v>
      </c>
      <c r="R2" s="0" t="n">
        <v>5.80320021678385</v>
      </c>
      <c r="S2" s="0" t="n">
        <v>7.25357759475243</v>
      </c>
      <c r="T2" s="0" t="n">
        <v>8.70395497272102</v>
      </c>
      <c r="U2" s="0" t="n">
        <v>10.1543323506896</v>
      </c>
      <c r="V2" s="0" t="n">
        <v>11.6047097286582</v>
      </c>
      <c r="W2" s="0" t="n">
        <v>13.0550871066268</v>
      </c>
      <c r="X2" s="0" t="n">
        <v>14.5054644845954</v>
      </c>
      <c r="Y2" s="0" t="n">
        <v>29.0092382642812</v>
      </c>
      <c r="Z2" s="0" t="n">
        <v>43.5130120439671</v>
      </c>
      <c r="AA2" s="0" t="n">
        <v>58.016785823653</v>
      </c>
      <c r="AB2" s="0" t="n">
        <v>72.5205596033389</v>
      </c>
      <c r="AC2" s="0" t="n">
        <v>87.0243333830247</v>
      </c>
      <c r="AD2" s="0" t="n">
        <v>101.528107162711</v>
      </c>
      <c r="AE2" s="0" t="n">
        <v>116.031880942396</v>
      </c>
      <c r="AF2" s="0" t="n">
        <v>130.535654722082</v>
      </c>
      <c r="AG2" s="0" t="n">
        <v>145.039428501768</v>
      </c>
      <c r="AH2" s="0" t="n">
        <v>290.077166298627</v>
      </c>
      <c r="AI2" s="0" t="n">
        <v>435.114904095486</v>
      </c>
      <c r="AJ2" s="0" t="n">
        <v>580.152641892344</v>
      </c>
      <c r="AK2" s="0" t="n">
        <v>725.190379689203</v>
      </c>
      <c r="AL2" s="0" t="n">
        <v>870.228117486062</v>
      </c>
      <c r="AM2" s="0" t="n">
        <v>1015.26585528292</v>
      </c>
      <c r="AN2" s="0" t="n">
        <v>1160.30359307978</v>
      </c>
      <c r="AO2" s="0" t="n">
        <v>1305.34133087664</v>
      </c>
      <c r="AP2" s="0" t="n">
        <v>1450.3790686735</v>
      </c>
      <c r="AQ2" s="0" t="n">
        <v>2900.75644664208</v>
      </c>
      <c r="AR2" s="0" t="n">
        <v>3200.105394863</v>
      </c>
      <c r="AS2" s="0" t="n">
        <v>3300</v>
      </c>
    </row>
    <row r="3" customFormat="false" ht="12.8" hidden="false" customHeight="false" outlineLevel="0" collapsed="false">
      <c r="A3" s="0" t="n">
        <v>0.0429922613929493</v>
      </c>
      <c r="B3" s="0" t="n">
        <f aca="false">W_PH(B$2,$A3)</f>
        <v>2015</v>
      </c>
      <c r="C3" s="0" t="n">
        <f aca="false">W_PH(C$2,$A3)</f>
        <v>4600.86425974525</v>
      </c>
      <c r="D3" s="0" t="n">
        <f aca="false">W_PH(D$2,$A3)</f>
        <v>4600.86437658065</v>
      </c>
      <c r="E3" s="0" t="n">
        <f aca="false">W_PH(E$2,$A3)</f>
        <v>4600.86449341598</v>
      </c>
      <c r="F3" s="0" t="n">
        <f aca="false">W_PH(F$2,$A3)</f>
        <v>4600.86461025122</v>
      </c>
      <c r="G3" s="0" t="n">
        <f aca="false">W_PH(G$2,$A3)</f>
        <v>4600.86577859955</v>
      </c>
      <c r="H3" s="0" t="n">
        <f aca="false">W_PH(H$2,$A3)</f>
        <v>4600.86694694035</v>
      </c>
      <c r="I3" s="0" t="n">
        <f aca="false">W_PH(I$2,$A3)</f>
        <v>4600.86811527364</v>
      </c>
      <c r="J3" s="0" t="n">
        <f aca="false">W_PH(J$2,$A3)</f>
        <v>4600.86928359941</v>
      </c>
      <c r="K3" s="0" t="n">
        <f aca="false">W_PH(K$2,$A3)</f>
        <v>4600.87045191765</v>
      </c>
      <c r="L3" s="0" t="n">
        <f aca="false">W_PH(L$2,$A3)</f>
        <v>4600.87162022836</v>
      </c>
      <c r="M3" s="0" t="n">
        <f aca="false">W_PH(M$2,$A3)</f>
        <v>4600.87278853157</v>
      </c>
      <c r="N3" s="0" t="n">
        <f aca="false">W_PH(N$2,$A3)</f>
        <v>4600.87395682724</v>
      </c>
      <c r="O3" s="0" t="n">
        <f aca="false">W_PH(O$2,$A3)</f>
        <v>4600.87512511539</v>
      </c>
      <c r="P3" s="0" t="n">
        <f aca="false">W_PH(P$2,$A3)</f>
        <v>4600.88680758327</v>
      </c>
      <c r="Q3" s="0" t="n">
        <f aca="false">W_PH(Q$2,$A3)</f>
        <v>4600.89848929909</v>
      </c>
      <c r="R3" s="0" t="n">
        <f aca="false">W_PH(R$2,$A3)</f>
        <v>4600.91017026294</v>
      </c>
      <c r="S3" s="0" t="n">
        <f aca="false">W_PH(S$2,$A3)</f>
        <v>4600.92185047493</v>
      </c>
      <c r="T3" s="0" t="n">
        <f aca="false">W_PH(T$2,$A3)</f>
        <v>4600.93352993514</v>
      </c>
      <c r="U3" s="0" t="n">
        <f aca="false">W_PH(U$2,$A3)</f>
        <v>4600.94520864367</v>
      </c>
      <c r="V3" s="0" t="n">
        <f aca="false">W_PH(V$2,$A3)</f>
        <v>4600.95688660063</v>
      </c>
      <c r="W3" s="0" t="n">
        <f aca="false">W_PH(W$2,$A3)</f>
        <v>4600.96856380609</v>
      </c>
      <c r="X3" s="0" t="n">
        <f aca="false">W_PH(X$2,$A3)</f>
        <v>4600.98024026015</v>
      </c>
      <c r="Y3" s="0" t="n">
        <f aca="false">W_PH(Y$2,$A3)</f>
        <v>2015</v>
      </c>
      <c r="Z3" s="0" t="n">
        <f aca="false">W_PH(Z$2,$A3)</f>
        <v>2015</v>
      </c>
      <c r="AA3" s="0" t="n">
        <f aca="false">W_PH(AA$2,$A3)</f>
        <v>2015</v>
      </c>
      <c r="AB3" s="0" t="n">
        <f aca="false">W_PH(AB$2,$A3)</f>
        <v>2015</v>
      </c>
      <c r="AC3" s="0" t="n">
        <f aca="false">W_PH(AC$2,$A3)</f>
        <v>2015</v>
      </c>
      <c r="AD3" s="0" t="n">
        <f aca="false">W_PH(AD$2,$A3)</f>
        <v>2015</v>
      </c>
      <c r="AE3" s="0" t="n">
        <f aca="false">W_PH(AE$2,$A3)</f>
        <v>2015</v>
      </c>
      <c r="AF3" s="0" t="n">
        <f aca="false">W_PH(AF$2,$A3)</f>
        <v>2015</v>
      </c>
      <c r="AG3" s="0" t="n">
        <f aca="false">W_PH(AG$2,$A3)</f>
        <v>2015</v>
      </c>
      <c r="AH3" s="0" t="n">
        <f aca="false">W_PH(AH$2,$A3)</f>
        <v>2015</v>
      </c>
      <c r="AI3" s="0" t="n">
        <f aca="false">W_PH(AI$2,$A3)</f>
        <v>2015</v>
      </c>
      <c r="AJ3" s="0" t="n">
        <f aca="false">W_PH(AJ$2,$A3)</f>
        <v>2015</v>
      </c>
      <c r="AK3" s="0" t="n">
        <f aca="false">W_PH(AK$2,$A3)</f>
        <v>2015</v>
      </c>
      <c r="AL3" s="0" t="n">
        <f aca="false">W_PH(AL$2,$A3)</f>
        <v>2015</v>
      </c>
      <c r="AM3" s="0" t="n">
        <f aca="false">W_PH(AM$2,$A3)</f>
        <v>2015</v>
      </c>
      <c r="AN3" s="0" t="n">
        <f aca="false">W_PH(AN$2,$A3)</f>
        <v>2015</v>
      </c>
      <c r="AO3" s="0" t="n">
        <f aca="false">W_PH(AO$2,$A3)</f>
        <v>2015</v>
      </c>
      <c r="AP3" s="0" t="n">
        <f aca="false">W_PH(AP$2,$A3)</f>
        <v>2015</v>
      </c>
      <c r="AQ3" s="0" t="n">
        <f aca="false">W_PH(AQ$2,$A3)</f>
        <v>2015</v>
      </c>
      <c r="AR3" s="0" t="n">
        <f aca="false">W_PH(AR$2,$A3)</f>
        <v>2015</v>
      </c>
      <c r="AS3" s="0" t="n">
        <f aca="false">W_PH(AS$2,$A3)</f>
        <v>2015</v>
      </c>
    </row>
    <row r="4" customFormat="false" ht="12.8" hidden="false" customHeight="false" outlineLevel="0" collapsed="false">
      <c r="A4" s="0" t="n">
        <v>0.0859845227858985</v>
      </c>
      <c r="B4" s="0" t="n">
        <f aca="false">W_PH(B$2,$A4)</f>
        <v>2015</v>
      </c>
      <c r="C4" s="0" t="n">
        <f aca="false">W_PH(C$2,$A4)</f>
        <v>4601.25453201326</v>
      </c>
      <c r="D4" s="0" t="n">
        <f aca="false">W_PH(D$2,$A4)</f>
        <v>4601.25464908733</v>
      </c>
      <c r="E4" s="0" t="n">
        <f aca="false">W_PH(E$2,$A4)</f>
        <v>4601.25476616133</v>
      </c>
      <c r="F4" s="0" t="n">
        <f aca="false">W_PH(F$2,$A4)</f>
        <v>4601.25488323525</v>
      </c>
      <c r="G4" s="0" t="n">
        <f aca="false">W_PH(G$2,$A4)</f>
        <v>4601.25605397032</v>
      </c>
      <c r="H4" s="0" t="n">
        <f aca="false">W_PH(H$2,$A4)</f>
        <v>4601.25722469788</v>
      </c>
      <c r="I4" s="0" t="n">
        <f aca="false">W_PH(I$2,$A4)</f>
        <v>4601.25839541792</v>
      </c>
      <c r="J4" s="0" t="n">
        <f aca="false">W_PH(J$2,$A4)</f>
        <v>4601.25956613044</v>
      </c>
      <c r="K4" s="0" t="n">
        <f aca="false">W_PH(K$2,$A4)</f>
        <v>4601.26073683545</v>
      </c>
      <c r="L4" s="0" t="n">
        <f aca="false">W_PH(L$2,$A4)</f>
        <v>4601.26190753294</v>
      </c>
      <c r="M4" s="0" t="n">
        <f aca="false">W_PH(M$2,$A4)</f>
        <v>4601.26307822292</v>
      </c>
      <c r="N4" s="0" t="n">
        <f aca="false">W_PH(N$2,$A4)</f>
        <v>4601.26424890537</v>
      </c>
      <c r="O4" s="0" t="n">
        <f aca="false">W_PH(O$2,$A4)</f>
        <v>4601.26541958032</v>
      </c>
      <c r="P4" s="0" t="n">
        <f aca="false">W_PH(P$2,$A4)</f>
        <v>4601.27712591634</v>
      </c>
      <c r="Q4" s="0" t="n">
        <f aca="false">W_PH(Q$2,$A4)</f>
        <v>4601.28883150081</v>
      </c>
      <c r="R4" s="0" t="n">
        <f aca="false">W_PH(R$2,$A4)</f>
        <v>4601.30053633384</v>
      </c>
      <c r="S4" s="0" t="n">
        <f aca="false">W_PH(S$2,$A4)</f>
        <v>4601.31224041552</v>
      </c>
      <c r="T4" s="0" t="n">
        <f aca="false">W_PH(T$2,$A4)</f>
        <v>4601.32394374593</v>
      </c>
      <c r="U4" s="0" t="n">
        <f aca="false">W_PH(U$2,$A4)</f>
        <v>4601.33564632518</v>
      </c>
      <c r="V4" s="0" t="n">
        <f aca="false">W_PH(V$2,$A4)</f>
        <v>4601.34734815337</v>
      </c>
      <c r="W4" s="0" t="n">
        <f aca="false">W_PH(W$2,$A4)</f>
        <v>4601.35904923057</v>
      </c>
      <c r="X4" s="0" t="n">
        <f aca="false">W_PH(X$2,$A4)</f>
        <v>4601.3707495569</v>
      </c>
      <c r="Y4" s="0" t="n">
        <f aca="false">W_PH(Y$2,$A4)</f>
        <v>4601.48771154245</v>
      </c>
      <c r="Z4" s="0" t="n">
        <f aca="false">W_PH(Z$2,$A4)</f>
        <v>2015</v>
      </c>
      <c r="AA4" s="0" t="n">
        <f aca="false">W_PH(AA$2,$A4)</f>
        <v>2015</v>
      </c>
      <c r="AB4" s="0" t="n">
        <f aca="false">W_PH(AB$2,$A4)</f>
        <v>2015</v>
      </c>
      <c r="AC4" s="0" t="n">
        <f aca="false">W_PH(AC$2,$A4)</f>
        <v>2015</v>
      </c>
      <c r="AD4" s="0" t="n">
        <f aca="false">W_PH(AD$2,$A4)</f>
        <v>2015</v>
      </c>
      <c r="AE4" s="0" t="n">
        <f aca="false">W_PH(AE$2,$A4)</f>
        <v>2015</v>
      </c>
      <c r="AF4" s="0" t="n">
        <f aca="false">W_PH(AF$2,$A4)</f>
        <v>2015</v>
      </c>
      <c r="AG4" s="0" t="n">
        <f aca="false">W_PH(AG$2,$A4)</f>
        <v>2015</v>
      </c>
      <c r="AH4" s="0" t="n">
        <f aca="false">W_PH(AH$2,$A4)</f>
        <v>2015</v>
      </c>
      <c r="AI4" s="0" t="n">
        <f aca="false">W_PH(AI$2,$A4)</f>
        <v>2015</v>
      </c>
      <c r="AJ4" s="0" t="n">
        <f aca="false">W_PH(AJ$2,$A4)</f>
        <v>2015</v>
      </c>
      <c r="AK4" s="0" t="n">
        <f aca="false">W_PH(AK$2,$A4)</f>
        <v>2015</v>
      </c>
      <c r="AL4" s="0" t="n">
        <f aca="false">W_PH(AL$2,$A4)</f>
        <v>2015</v>
      </c>
      <c r="AM4" s="0" t="n">
        <f aca="false">W_PH(AM$2,$A4)</f>
        <v>2015</v>
      </c>
      <c r="AN4" s="0" t="n">
        <f aca="false">W_PH(AN$2,$A4)</f>
        <v>2015</v>
      </c>
      <c r="AO4" s="0" t="n">
        <f aca="false">W_PH(AO$2,$A4)</f>
        <v>2015</v>
      </c>
      <c r="AP4" s="0" t="n">
        <f aca="false">W_PH(AP$2,$A4)</f>
        <v>2015</v>
      </c>
      <c r="AQ4" s="0" t="n">
        <f aca="false">W_PH(AQ$2,$A4)</f>
        <v>2015</v>
      </c>
      <c r="AR4" s="0" t="n">
        <f aca="false">W_PH(AR$2,$A4)</f>
        <v>2015</v>
      </c>
      <c r="AS4" s="0" t="n">
        <f aca="false">W_PH(AS$2,$A4)</f>
        <v>2015</v>
      </c>
    </row>
    <row r="5" customFormat="false" ht="12.8" hidden="false" customHeight="false" outlineLevel="0" collapsed="false">
      <c r="A5" s="0" t="n">
        <v>0.128976784178848</v>
      </c>
      <c r="B5" s="0" t="n">
        <f aca="false">W_PH(B$2,$A5)</f>
        <v>2015</v>
      </c>
      <c r="C5" s="0" t="n">
        <f aca="false">W_PH(C$2,$A5)</f>
        <v>4601.64462749247</v>
      </c>
      <c r="D5" s="0" t="n">
        <f aca="false">W_PH(D$2,$A5)</f>
        <v>4601.64474480511</v>
      </c>
      <c r="E5" s="0" t="n">
        <f aca="false">W_PH(E$2,$A5)</f>
        <v>4601.64486211766</v>
      </c>
      <c r="F5" s="0" t="n">
        <f aca="false">W_PH(F$2,$A5)</f>
        <v>4601.64497943015</v>
      </c>
      <c r="G5" s="0" t="n">
        <f aca="false">W_PH(G$2,$A5)</f>
        <v>4601.64615255086</v>
      </c>
      <c r="H5" s="0" t="n">
        <f aca="false">W_PH(H$2,$A5)</f>
        <v>4601.64732566405</v>
      </c>
      <c r="I5" s="0" t="n">
        <f aca="false">W_PH(I$2,$A5)</f>
        <v>4601.64849876974</v>
      </c>
      <c r="J5" s="0" t="n">
        <f aca="false">W_PH(J$2,$A5)</f>
        <v>4601.64967186791</v>
      </c>
      <c r="K5" s="0" t="n">
        <f aca="false">W_PH(K$2,$A5)</f>
        <v>4601.65084495857</v>
      </c>
      <c r="L5" s="0" t="n">
        <f aca="false">W_PH(L$2,$A5)</f>
        <v>4601.65201804172</v>
      </c>
      <c r="M5" s="0" t="n">
        <f aca="false">W_PH(M$2,$A5)</f>
        <v>4601.65319111736</v>
      </c>
      <c r="N5" s="0" t="n">
        <f aca="false">W_PH(N$2,$A5)</f>
        <v>4601.65436418549</v>
      </c>
      <c r="O5" s="0" t="n">
        <f aca="false">W_PH(O$2,$A5)</f>
        <v>4601.6555372461</v>
      </c>
      <c r="P5" s="0" t="n">
        <f aca="false">W_PH(P$2,$A5)</f>
        <v>4601.66726743915</v>
      </c>
      <c r="Q5" s="0" t="n">
        <f aca="false">W_PH(Q$2,$A5)</f>
        <v>4601.67899688117</v>
      </c>
      <c r="R5" s="0" t="n">
        <f aca="false">W_PH(R$2,$A5)</f>
        <v>4601.69072557224</v>
      </c>
      <c r="S5" s="0" t="n">
        <f aca="false">W_PH(S$2,$A5)</f>
        <v>4601.70245351248</v>
      </c>
      <c r="T5" s="0" t="n">
        <f aca="false">W_PH(T$2,$A5)</f>
        <v>4601.71418070197</v>
      </c>
      <c r="U5" s="0" t="n">
        <f aca="false">W_PH(U$2,$A5)</f>
        <v>4601.72590714081</v>
      </c>
      <c r="V5" s="0" t="n">
        <f aca="false">W_PH(V$2,$A5)</f>
        <v>4601.73763282909</v>
      </c>
      <c r="W5" s="0" t="n">
        <f aca="false">W_PH(W$2,$A5)</f>
        <v>4601.74935776691</v>
      </c>
      <c r="X5" s="0" t="n">
        <f aca="false">W_PH(X$2,$A5)</f>
        <v>4601.76108195436</v>
      </c>
      <c r="Y5" s="0" t="n">
        <f aca="false">W_PH(Y$2,$A5)</f>
        <v>4601.8782825795</v>
      </c>
      <c r="Z5" s="0" t="n">
        <f aca="false">W_PH(Z$2,$A5)</f>
        <v>4601.99540827157</v>
      </c>
      <c r="AA5" s="0" t="n">
        <f aca="false">W_PH(AA$2,$A5)</f>
        <v>2015</v>
      </c>
      <c r="AB5" s="0" t="n">
        <f aca="false">W_PH(AB$2,$A5)</f>
        <v>2015</v>
      </c>
      <c r="AC5" s="0" t="n">
        <f aca="false">W_PH(AC$2,$A5)</f>
        <v>2015</v>
      </c>
      <c r="AD5" s="0" t="n">
        <f aca="false">W_PH(AD$2,$A5)</f>
        <v>2015</v>
      </c>
      <c r="AE5" s="0" t="n">
        <f aca="false">W_PH(AE$2,$A5)</f>
        <v>2015</v>
      </c>
      <c r="AF5" s="0" t="n">
        <f aca="false">W_PH(AF$2,$A5)</f>
        <v>2015</v>
      </c>
      <c r="AG5" s="0" t="n">
        <f aca="false">W_PH(AG$2,$A5)</f>
        <v>2015</v>
      </c>
      <c r="AH5" s="0" t="n">
        <f aca="false">W_PH(AH$2,$A5)</f>
        <v>2015</v>
      </c>
      <c r="AI5" s="0" t="n">
        <f aca="false">W_PH(AI$2,$A5)</f>
        <v>2015</v>
      </c>
      <c r="AJ5" s="0" t="n">
        <f aca="false">W_PH(AJ$2,$A5)</f>
        <v>2015</v>
      </c>
      <c r="AK5" s="0" t="n">
        <f aca="false">W_PH(AK$2,$A5)</f>
        <v>2015</v>
      </c>
      <c r="AL5" s="0" t="n">
        <f aca="false">W_PH(AL$2,$A5)</f>
        <v>2015</v>
      </c>
      <c r="AM5" s="0" t="n">
        <f aca="false">W_PH(AM$2,$A5)</f>
        <v>2015</v>
      </c>
      <c r="AN5" s="0" t="n">
        <f aca="false">W_PH(AN$2,$A5)</f>
        <v>2015</v>
      </c>
      <c r="AO5" s="0" t="n">
        <f aca="false">W_PH(AO$2,$A5)</f>
        <v>2015</v>
      </c>
      <c r="AP5" s="0" t="n">
        <f aca="false">W_PH(AP$2,$A5)</f>
        <v>2015</v>
      </c>
      <c r="AQ5" s="0" t="n">
        <f aca="false">W_PH(AQ$2,$A5)</f>
        <v>2015</v>
      </c>
      <c r="AR5" s="0" t="n">
        <f aca="false">W_PH(AR$2,$A5)</f>
        <v>2015</v>
      </c>
      <c r="AS5" s="0" t="n">
        <f aca="false">W_PH(AS$2,$A5)</f>
        <v>2015</v>
      </c>
    </row>
    <row r="6" customFormat="false" ht="12.8" hidden="false" customHeight="false" outlineLevel="0" collapsed="false">
      <c r="A6" s="0" t="n">
        <v>0.171969045571797</v>
      </c>
      <c r="B6" s="0" t="n">
        <f aca="false">W_PH(B$2,$A6)</f>
        <v>2015</v>
      </c>
      <c r="C6" s="0" t="n">
        <f aca="false">W_PH(C$2,$A6)</f>
        <v>4602.03454615154</v>
      </c>
      <c r="D6" s="0" t="n">
        <f aca="false">W_PH(D$2,$A6)</f>
        <v>4602.03466370263</v>
      </c>
      <c r="E6" s="0" t="n">
        <f aca="false">W_PH(E$2,$A6)</f>
        <v>4602.03478125364</v>
      </c>
      <c r="F6" s="0" t="n">
        <f aca="false">W_PH(F$2,$A6)</f>
        <v>4602.03489880457</v>
      </c>
      <c r="G6" s="0" t="n">
        <f aca="false">W_PH(G$2,$A6)</f>
        <v>4602.03607430981</v>
      </c>
      <c r="H6" s="0" t="n">
        <f aca="false">W_PH(H$2,$A6)</f>
        <v>4602.03724980753</v>
      </c>
      <c r="I6" s="0" t="n">
        <f aca="false">W_PH(I$2,$A6)</f>
        <v>4602.03842529775</v>
      </c>
      <c r="J6" s="0" t="n">
        <f aca="false">W_PH(J$2,$A6)</f>
        <v>4602.03960078046</v>
      </c>
      <c r="K6" s="0" t="n">
        <f aca="false">W_PH(K$2,$A6)</f>
        <v>4602.04077625566</v>
      </c>
      <c r="L6" s="0" t="n">
        <f aca="false">W_PH(L$2,$A6)</f>
        <v>4602.04195172336</v>
      </c>
      <c r="M6" s="0" t="n">
        <f aca="false">W_PH(M$2,$A6)</f>
        <v>4602.04312718355</v>
      </c>
      <c r="N6" s="0" t="n">
        <f aca="false">W_PH(N$2,$A6)</f>
        <v>4602.04430263623</v>
      </c>
      <c r="O6" s="0" t="n">
        <f aca="false">W_PH(O$2,$A6)</f>
        <v>4602.04547808141</v>
      </c>
      <c r="P6" s="0" t="n">
        <f aca="false">W_PH(P$2,$A6)</f>
        <v>4602.05723212037</v>
      </c>
      <c r="Q6" s="0" t="n">
        <f aca="false">W_PH(Q$2,$A6)</f>
        <v>4602.06898540881</v>
      </c>
      <c r="R6" s="0" t="n">
        <f aca="false">W_PH(R$2,$A6)</f>
        <v>4602.08073794681</v>
      </c>
      <c r="S6" s="0" t="n">
        <f aca="false">W_PH(S$2,$A6)</f>
        <v>4602.09248973449</v>
      </c>
      <c r="T6" s="0" t="n">
        <f aca="false">W_PH(T$2,$A6)</f>
        <v>4602.10424077192</v>
      </c>
      <c r="U6" s="0" t="n">
        <f aca="false">W_PH(U$2,$A6)</f>
        <v>4602.11599105922</v>
      </c>
      <c r="V6" s="0" t="n">
        <f aca="false">W_PH(V$2,$A6)</f>
        <v>4602.12774059648</v>
      </c>
      <c r="W6" s="0" t="n">
        <f aca="false">W_PH(W$2,$A6)</f>
        <v>4602.13948938378</v>
      </c>
      <c r="X6" s="0" t="n">
        <f aca="false">W_PH(X$2,$A6)</f>
        <v>4602.15123742122</v>
      </c>
      <c r="Y6" s="0" t="n">
        <f aca="false">W_PH(Y$2,$A6)</f>
        <v>4602.26867657449</v>
      </c>
      <c r="Z6" s="0" t="n">
        <f aca="false">W_PH(Z$2,$A6)</f>
        <v>4602.3860408462</v>
      </c>
      <c r="AA6" s="0" t="n">
        <f aca="false">W_PH(AA$2,$A6)</f>
        <v>4602.50333033005</v>
      </c>
      <c r="AB6" s="0" t="n">
        <f aca="false">W_PH(AB$2,$A6)</f>
        <v>2015</v>
      </c>
      <c r="AC6" s="0" t="n">
        <f aca="false">W_PH(AC$2,$A6)</f>
        <v>2015</v>
      </c>
      <c r="AD6" s="0" t="n">
        <f aca="false">W_PH(AD$2,$A6)</f>
        <v>2015</v>
      </c>
      <c r="AE6" s="0" t="n">
        <f aca="false">W_PH(AE$2,$A6)</f>
        <v>2015</v>
      </c>
      <c r="AF6" s="0" t="n">
        <f aca="false">W_PH(AF$2,$A6)</f>
        <v>2015</v>
      </c>
      <c r="AG6" s="0" t="n">
        <f aca="false">W_PH(AG$2,$A6)</f>
        <v>2015</v>
      </c>
      <c r="AH6" s="0" t="n">
        <f aca="false">W_PH(AH$2,$A6)</f>
        <v>2015</v>
      </c>
      <c r="AI6" s="0" t="n">
        <f aca="false">W_PH(AI$2,$A6)</f>
        <v>2015</v>
      </c>
      <c r="AJ6" s="0" t="n">
        <f aca="false">W_PH(AJ$2,$A6)</f>
        <v>2015</v>
      </c>
      <c r="AK6" s="0" t="n">
        <f aca="false">W_PH(AK$2,$A6)</f>
        <v>2015</v>
      </c>
      <c r="AL6" s="0" t="n">
        <f aca="false">W_PH(AL$2,$A6)</f>
        <v>2015</v>
      </c>
      <c r="AM6" s="0" t="n">
        <f aca="false">W_PH(AM$2,$A6)</f>
        <v>2015</v>
      </c>
      <c r="AN6" s="0" t="n">
        <f aca="false">W_PH(AN$2,$A6)</f>
        <v>2015</v>
      </c>
      <c r="AO6" s="0" t="n">
        <f aca="false">W_PH(AO$2,$A6)</f>
        <v>2015</v>
      </c>
      <c r="AP6" s="0" t="n">
        <f aca="false">W_PH(AP$2,$A6)</f>
        <v>2015</v>
      </c>
      <c r="AQ6" s="0" t="n">
        <f aca="false">W_PH(AQ$2,$A6)</f>
        <v>2015</v>
      </c>
      <c r="AR6" s="0" t="n">
        <f aca="false">W_PH(AR$2,$A6)</f>
        <v>2015</v>
      </c>
      <c r="AS6" s="0" t="n">
        <f aca="false">W_PH(AS$2,$A6)</f>
        <v>2015</v>
      </c>
    </row>
    <row r="7" customFormat="false" ht="12.8" hidden="false" customHeight="false" outlineLevel="0" collapsed="false">
      <c r="A7" s="0" t="n">
        <v>0.214961306964746</v>
      </c>
      <c r="B7" s="0" t="n">
        <f aca="false">W_PH(B$2,$A7)</f>
        <v>2015</v>
      </c>
      <c r="C7" s="0" t="n">
        <f aca="false">W_PH(C$2,$A7)</f>
        <v>4602.42428795938</v>
      </c>
      <c r="D7" s="0" t="n">
        <f aca="false">W_PH(D$2,$A7)</f>
        <v>4602.42440574881</v>
      </c>
      <c r="E7" s="0" t="n">
        <f aca="false">W_PH(E$2,$A7)</f>
        <v>4602.42452353817</v>
      </c>
      <c r="F7" s="0" t="n">
        <f aca="false">W_PH(F$2,$A7)</f>
        <v>4602.42464132744</v>
      </c>
      <c r="G7" s="0" t="n">
        <f aca="false">W_PH(G$2,$A7)</f>
        <v>4602.42581921608</v>
      </c>
      <c r="H7" s="0" t="n">
        <f aca="false">W_PH(H$2,$A7)</f>
        <v>4602.42699709722</v>
      </c>
      <c r="I7" s="0" t="n">
        <f aca="false">W_PH(I$2,$A7)</f>
        <v>4602.42817497086</v>
      </c>
      <c r="J7" s="0" t="n">
        <f aca="false">W_PH(J$2,$A7)</f>
        <v>4602.429352837</v>
      </c>
      <c r="K7" s="0" t="n">
        <f aca="false">W_PH(K$2,$A7)</f>
        <v>4602.43053069564</v>
      </c>
      <c r="L7" s="0" t="n">
        <f aca="false">W_PH(L$2,$A7)</f>
        <v>4602.43170854677</v>
      </c>
      <c r="M7" s="0" t="n">
        <f aca="false">W_PH(M$2,$A7)</f>
        <v>4602.43288639041</v>
      </c>
      <c r="N7" s="0" t="n">
        <f aca="false">W_PH(N$2,$A7)</f>
        <v>4602.43406422653</v>
      </c>
      <c r="O7" s="0" t="n">
        <f aca="false">W_PH(O$2,$A7)</f>
        <v>4602.43524205517</v>
      </c>
      <c r="P7" s="0" t="n">
        <f aca="false">W_PH(P$2,$A7)</f>
        <v>4602.44701992892</v>
      </c>
      <c r="Q7" s="0" t="n">
        <f aca="false">W_PH(Q$2,$A7)</f>
        <v>4602.45879705266</v>
      </c>
      <c r="R7" s="0" t="n">
        <f aca="false">W_PH(R$2,$A7)</f>
        <v>4602.47057342648</v>
      </c>
      <c r="S7" s="0" t="n">
        <f aca="false">W_PH(S$2,$A7)</f>
        <v>4602.48234905047</v>
      </c>
      <c r="T7" s="0" t="n">
        <f aca="false">W_PH(T$2,$A7)</f>
        <v>4602.49412392474</v>
      </c>
      <c r="U7" s="0" t="n">
        <f aca="false">W_PH(U$2,$A7)</f>
        <v>4602.50589804937</v>
      </c>
      <c r="V7" s="0" t="n">
        <f aca="false">W_PH(V$2,$A7)</f>
        <v>4602.51767142447</v>
      </c>
      <c r="W7" s="0" t="n">
        <f aca="false">W_PH(W$2,$A7)</f>
        <v>4602.52944405012</v>
      </c>
      <c r="X7" s="0" t="n">
        <f aca="false">W_PH(X$2,$A7)</f>
        <v>4602.54121592643</v>
      </c>
      <c r="Y7" s="0" t="n">
        <f aca="false">W_PH(Y$2,$A7)</f>
        <v>4602.65889349641</v>
      </c>
      <c r="Z7" s="0" t="n">
        <f aca="false">W_PH(Z$2,$A7)</f>
        <v>4602.77649623612</v>
      </c>
      <c r="AA7" s="0" t="n">
        <f aca="false">W_PH(AA$2,$A7)</f>
        <v>4602.89402423958</v>
      </c>
      <c r="AB7" s="0" t="n">
        <f aca="false">W_PH(AB$2,$A7)</f>
        <v>4603.01147760001</v>
      </c>
      <c r="AC7" s="0" t="n">
        <f aca="false">W_PH(AC$2,$A7)</f>
        <v>2015</v>
      </c>
      <c r="AD7" s="0" t="n">
        <f aca="false">W_PH(AD$2,$A7)</f>
        <v>2015</v>
      </c>
      <c r="AE7" s="0" t="n">
        <f aca="false">W_PH(AE$2,$A7)</f>
        <v>2015</v>
      </c>
      <c r="AF7" s="0" t="n">
        <f aca="false">W_PH(AF$2,$A7)</f>
        <v>2015</v>
      </c>
      <c r="AG7" s="0" t="n">
        <f aca="false">W_PH(AG$2,$A7)</f>
        <v>2015</v>
      </c>
      <c r="AH7" s="0" t="n">
        <f aca="false">W_PH(AH$2,$A7)</f>
        <v>2015</v>
      </c>
      <c r="AI7" s="0" t="n">
        <f aca="false">W_PH(AI$2,$A7)</f>
        <v>2015</v>
      </c>
      <c r="AJ7" s="0" t="n">
        <f aca="false">W_PH(AJ$2,$A7)</f>
        <v>2015</v>
      </c>
      <c r="AK7" s="0" t="n">
        <f aca="false">W_PH(AK$2,$A7)</f>
        <v>2015</v>
      </c>
      <c r="AL7" s="0" t="n">
        <f aca="false">W_PH(AL$2,$A7)</f>
        <v>2015</v>
      </c>
      <c r="AM7" s="0" t="n">
        <f aca="false">W_PH(AM$2,$A7)</f>
        <v>2015</v>
      </c>
      <c r="AN7" s="0" t="n">
        <f aca="false">W_PH(AN$2,$A7)</f>
        <v>2015</v>
      </c>
      <c r="AO7" s="0" t="n">
        <f aca="false">W_PH(AO$2,$A7)</f>
        <v>2015</v>
      </c>
      <c r="AP7" s="0" t="n">
        <f aca="false">W_PH(AP$2,$A7)</f>
        <v>2015</v>
      </c>
      <c r="AQ7" s="0" t="n">
        <f aca="false">W_PH(AQ$2,$A7)</f>
        <v>2015</v>
      </c>
      <c r="AR7" s="0" t="n">
        <f aca="false">W_PH(AR$2,$A7)</f>
        <v>2015</v>
      </c>
      <c r="AS7" s="0" t="n">
        <f aca="false">W_PH(AS$2,$A7)</f>
        <v>2015</v>
      </c>
    </row>
    <row r="8" customFormat="false" ht="12.8" hidden="false" customHeight="false" outlineLevel="0" collapsed="false">
      <c r="A8" s="0" t="n">
        <v>0.257953568357696</v>
      </c>
      <c r="B8" s="0" t="n">
        <f aca="false">W_PH(B$2,$A8)</f>
        <v>2015</v>
      </c>
      <c r="C8" s="0" t="n">
        <f aca="false">W_PH(C$2,$A8)</f>
        <v>4602.81385288521</v>
      </c>
      <c r="D8" s="0" t="n">
        <f aca="false">W_PH(D$2,$A8)</f>
        <v>4602.81397091286</v>
      </c>
      <c r="E8" s="0" t="n">
        <f aca="false">W_PH(E$2,$A8)</f>
        <v>4602.81408894045</v>
      </c>
      <c r="F8" s="0" t="n">
        <f aca="false">W_PH(F$2,$A8)</f>
        <v>4602.81420696795</v>
      </c>
      <c r="G8" s="0" t="n">
        <f aca="false">W_PH(G$2,$A8)</f>
        <v>4602.8153872389</v>
      </c>
      <c r="H8" s="0" t="n">
        <f aca="false">W_PH(H$2,$A8)</f>
        <v>4602.81656750234</v>
      </c>
      <c r="I8" s="0" t="n">
        <f aca="false">W_PH(I$2,$A8)</f>
        <v>4602.81774775829</v>
      </c>
      <c r="J8" s="0" t="n">
        <f aca="false">W_PH(J$2,$A8)</f>
        <v>4602.81892800674</v>
      </c>
      <c r="K8" s="0" t="n">
        <f aca="false">W_PH(K$2,$A8)</f>
        <v>4602.8201082477</v>
      </c>
      <c r="L8" s="0" t="n">
        <f aca="false">W_PH(L$2,$A8)</f>
        <v>4602.82128848116</v>
      </c>
      <c r="M8" s="0" t="n">
        <f aca="false">W_PH(M$2,$A8)</f>
        <v>4602.82246870712</v>
      </c>
      <c r="N8" s="0" t="n">
        <f aca="false">W_PH(N$2,$A8)</f>
        <v>4602.82364892559</v>
      </c>
      <c r="O8" s="0" t="n">
        <f aca="false">W_PH(O$2,$A8)</f>
        <v>4602.82482913656</v>
      </c>
      <c r="P8" s="0" t="n">
        <f aca="false">W_PH(P$2,$A8)</f>
        <v>4602.83663083401</v>
      </c>
      <c r="Q8" s="0" t="n">
        <f aca="false">W_PH(Q$2,$A8)</f>
        <v>4602.84843178194</v>
      </c>
      <c r="R8" s="0" t="n">
        <f aca="false">W_PH(R$2,$A8)</f>
        <v>4602.86023198046</v>
      </c>
      <c r="S8" s="0" t="n">
        <f aca="false">W_PH(S$2,$A8)</f>
        <v>4602.87203142966</v>
      </c>
      <c r="T8" s="0" t="n">
        <f aca="false">W_PH(T$2,$A8)</f>
        <v>4602.88383012963</v>
      </c>
      <c r="U8" s="0" t="n">
        <f aca="false">W_PH(U$2,$A8)</f>
        <v>4602.89562808048</v>
      </c>
      <c r="V8" s="0" t="n">
        <f aca="false">W_PH(V$2,$A8)</f>
        <v>4602.9074252823</v>
      </c>
      <c r="W8" s="0" t="n">
        <f aca="false">W_PH(W$2,$A8)</f>
        <v>4602.91922173518</v>
      </c>
      <c r="X8" s="0" t="n">
        <f aca="false">W_PH(X$2,$A8)</f>
        <v>4602.93101743923</v>
      </c>
      <c r="Y8" s="0" t="n">
        <f aca="false">W_PH(Y$2,$A8)</f>
        <v>4603.04893331453</v>
      </c>
      <c r="Z8" s="0" t="n">
        <f aca="false">W_PH(Z$2,$A8)</f>
        <v>4603.16677441064</v>
      </c>
      <c r="AA8" s="0" t="n">
        <f aca="false">W_PH(AA$2,$A8)</f>
        <v>4603.28454082191</v>
      </c>
      <c r="AB8" s="0" t="n">
        <f aca="false">W_PH(AB$2,$A8)</f>
        <v>4603.40223264187</v>
      </c>
      <c r="AC8" s="0" t="n">
        <f aca="false">W_PH(AC$2,$A8)</f>
        <v>4603.5198499632</v>
      </c>
      <c r="AD8" s="0" t="n">
        <f aca="false">W_PH(AD$2,$A8)</f>
        <v>2015</v>
      </c>
      <c r="AE8" s="0" t="n">
        <f aca="false">W_PH(AE$2,$A8)</f>
        <v>2015</v>
      </c>
      <c r="AF8" s="0" t="n">
        <f aca="false">W_PH(AF$2,$A8)</f>
        <v>2015</v>
      </c>
      <c r="AG8" s="0" t="n">
        <f aca="false">W_PH(AG$2,$A8)</f>
        <v>2015</v>
      </c>
      <c r="AH8" s="0" t="n">
        <f aca="false">W_PH(AH$2,$A8)</f>
        <v>2015</v>
      </c>
      <c r="AI8" s="0" t="n">
        <f aca="false">W_PH(AI$2,$A8)</f>
        <v>2015</v>
      </c>
      <c r="AJ8" s="0" t="n">
        <f aca="false">W_PH(AJ$2,$A8)</f>
        <v>2015</v>
      </c>
      <c r="AK8" s="0" t="n">
        <f aca="false">W_PH(AK$2,$A8)</f>
        <v>2015</v>
      </c>
      <c r="AL8" s="0" t="n">
        <f aca="false">W_PH(AL$2,$A8)</f>
        <v>2015</v>
      </c>
      <c r="AM8" s="0" t="n">
        <f aca="false">W_PH(AM$2,$A8)</f>
        <v>2015</v>
      </c>
      <c r="AN8" s="0" t="n">
        <f aca="false">W_PH(AN$2,$A8)</f>
        <v>2015</v>
      </c>
      <c r="AO8" s="0" t="n">
        <f aca="false">W_PH(AO$2,$A8)</f>
        <v>2015</v>
      </c>
      <c r="AP8" s="0" t="n">
        <f aca="false">W_PH(AP$2,$A8)</f>
        <v>2015</v>
      </c>
      <c r="AQ8" s="0" t="n">
        <f aca="false">W_PH(AQ$2,$A8)</f>
        <v>2015</v>
      </c>
      <c r="AR8" s="0" t="n">
        <f aca="false">W_PH(AR$2,$A8)</f>
        <v>2015</v>
      </c>
      <c r="AS8" s="0" t="n">
        <f aca="false">W_PH(AS$2,$A8)</f>
        <v>2015</v>
      </c>
    </row>
    <row r="9" customFormat="false" ht="12.8" hidden="false" customHeight="false" outlineLevel="0" collapsed="false">
      <c r="A9" s="0" t="n">
        <v>0.300945829750645</v>
      </c>
      <c r="B9" s="0" t="n">
        <f aca="false">W_PH(B$2,$A9)</f>
        <v>2015</v>
      </c>
      <c r="C9" s="0" t="n">
        <f aca="false">W_PH(C$2,$A9)</f>
        <v>4603.20324089848</v>
      </c>
      <c r="D9" s="0" t="n">
        <f aca="false">W_PH(D$2,$A9)</f>
        <v>4603.20335916426</v>
      </c>
      <c r="E9" s="0" t="n">
        <f aca="false">W_PH(E$2,$A9)</f>
        <v>4603.20347742996</v>
      </c>
      <c r="F9" s="0" t="n">
        <f aca="false">W_PH(F$2,$A9)</f>
        <v>4603.20359569558</v>
      </c>
      <c r="G9" s="0" t="n">
        <f aca="false">W_PH(G$2,$A9)</f>
        <v>4603.20477834772</v>
      </c>
      <c r="H9" s="0" t="n">
        <f aca="false">W_PH(H$2,$A9)</f>
        <v>4603.20596099236</v>
      </c>
      <c r="I9" s="0" t="n">
        <f aca="false">W_PH(I$2,$A9)</f>
        <v>4603.20714362951</v>
      </c>
      <c r="J9" s="0" t="n">
        <f aca="false">W_PH(J$2,$A9)</f>
        <v>4603.20832625917</v>
      </c>
      <c r="K9" s="0" t="n">
        <f aca="false">W_PH(K$2,$A9)</f>
        <v>4603.20950888133</v>
      </c>
      <c r="L9" s="0" t="n">
        <f aca="false">W_PH(L$2,$A9)</f>
        <v>4603.21069149601</v>
      </c>
      <c r="M9" s="0" t="n">
        <f aca="false">W_PH(M$2,$A9)</f>
        <v>4603.21187410319</v>
      </c>
      <c r="N9" s="0" t="n">
        <f aca="false">W_PH(N$2,$A9)</f>
        <v>4603.21305670288</v>
      </c>
      <c r="O9" s="0" t="n">
        <f aca="false">W_PH(O$2,$A9)</f>
        <v>4603.21423929509</v>
      </c>
      <c r="P9" s="0" t="n">
        <f aca="false">W_PH(P$2,$A9)</f>
        <v>4603.22606480512</v>
      </c>
      <c r="Q9" s="0" t="n">
        <f aca="false">W_PH(Q$2,$A9)</f>
        <v>4603.23788956613</v>
      </c>
      <c r="R9" s="0" t="n">
        <f aca="false">W_PH(R$2,$A9)</f>
        <v>4603.24971357824</v>
      </c>
      <c r="S9" s="0" t="n">
        <f aca="false">W_PH(S$2,$A9)</f>
        <v>4603.26153684153</v>
      </c>
      <c r="T9" s="0" t="n">
        <f aca="false">W_PH(T$2,$A9)</f>
        <v>4603.2733593561</v>
      </c>
      <c r="U9" s="0" t="n">
        <f aca="false">W_PH(U$2,$A9)</f>
        <v>4603.28518112205</v>
      </c>
      <c r="V9" s="0" t="n">
        <f aca="false">W_PH(V$2,$A9)</f>
        <v>4603.29700213947</v>
      </c>
      <c r="W9" s="0" t="n">
        <f aca="false">W_PH(W$2,$A9)</f>
        <v>4603.30882240847</v>
      </c>
      <c r="X9" s="0" t="n">
        <f aca="false">W_PH(X$2,$A9)</f>
        <v>4603.32064192912</v>
      </c>
      <c r="Y9" s="0" t="n">
        <f aca="false">W_PH(Y$2,$A9)</f>
        <v>4603.43879599841</v>
      </c>
      <c r="Z9" s="0" t="n">
        <f aca="false">W_PH(Z$2,$A9)</f>
        <v>4603.55687533935</v>
      </c>
      <c r="AA9" s="0" t="n">
        <f aca="false">W_PH(AA$2,$A9)</f>
        <v>4603.67488004664</v>
      </c>
      <c r="AB9" s="0" t="n">
        <f aca="false">W_PH(AB$2,$A9)</f>
        <v>4603.79281021413</v>
      </c>
      <c r="AC9" s="0" t="n">
        <f aca="false">W_PH(AC$2,$A9)</f>
        <v>4603.91066593483</v>
      </c>
      <c r="AD9" s="0" t="n">
        <f aca="false">W_PH(AD$2,$A9)</f>
        <v>4604.02844730091</v>
      </c>
      <c r="AE9" s="0" t="n">
        <f aca="false">W_PH(AE$2,$A9)</f>
        <v>2015</v>
      </c>
      <c r="AF9" s="0" t="n">
        <f aca="false">W_PH(AF$2,$A9)</f>
        <v>2015</v>
      </c>
      <c r="AG9" s="0" t="n">
        <f aca="false">W_PH(AG$2,$A9)</f>
        <v>2015</v>
      </c>
      <c r="AH9" s="0" t="n">
        <f aca="false">W_PH(AH$2,$A9)</f>
        <v>2015</v>
      </c>
      <c r="AI9" s="0" t="n">
        <f aca="false">W_PH(AI$2,$A9)</f>
        <v>2015</v>
      </c>
      <c r="AJ9" s="0" t="n">
        <f aca="false">W_PH(AJ$2,$A9)</f>
        <v>2015</v>
      </c>
      <c r="AK9" s="0" t="n">
        <f aca="false">W_PH(AK$2,$A9)</f>
        <v>2015</v>
      </c>
      <c r="AL9" s="0" t="n">
        <f aca="false">W_PH(AL$2,$A9)</f>
        <v>2015</v>
      </c>
      <c r="AM9" s="0" t="n">
        <f aca="false">W_PH(AM$2,$A9)</f>
        <v>2015</v>
      </c>
      <c r="AN9" s="0" t="n">
        <f aca="false">W_PH(AN$2,$A9)</f>
        <v>2015</v>
      </c>
      <c r="AO9" s="0" t="n">
        <f aca="false">W_PH(AO$2,$A9)</f>
        <v>2015</v>
      </c>
      <c r="AP9" s="0" t="n">
        <f aca="false">W_PH(AP$2,$A9)</f>
        <v>2015</v>
      </c>
      <c r="AQ9" s="0" t="n">
        <f aca="false">W_PH(AQ$2,$A9)</f>
        <v>2015</v>
      </c>
      <c r="AR9" s="0" t="n">
        <f aca="false">W_PH(AR$2,$A9)</f>
        <v>2015</v>
      </c>
      <c r="AS9" s="0" t="n">
        <f aca="false">W_PH(AS$2,$A9)</f>
        <v>2015</v>
      </c>
    </row>
    <row r="10" customFormat="false" ht="12.8" hidden="false" customHeight="false" outlineLevel="0" collapsed="false">
      <c r="A10" s="0" t="n">
        <v>0.343938091143594</v>
      </c>
      <c r="B10" s="0" t="n">
        <f aca="false">W_PH(B$2,$A10)</f>
        <v>2015</v>
      </c>
      <c r="C10" s="0" t="n">
        <f aca="false">W_PH(C$2,$A10)</f>
        <v>4603.59245196897</v>
      </c>
      <c r="D10" s="0" t="n">
        <f aca="false">W_PH(D$2,$A10)</f>
        <v>4603.59257047275</v>
      </c>
      <c r="E10" s="0" t="n">
        <f aca="false">W_PH(E$2,$A10)</f>
        <v>4603.59268897646</v>
      </c>
      <c r="F10" s="0" t="n">
        <f aca="false">W_PH(F$2,$A10)</f>
        <v>4603.59280748009</v>
      </c>
      <c r="G10" s="0" t="n">
        <f aca="false">W_PH(G$2,$A10)</f>
        <v>4603.59399251231</v>
      </c>
      <c r="H10" s="0" t="n">
        <f aca="false">W_PH(H$2,$A10)</f>
        <v>4603.59517753704</v>
      </c>
      <c r="I10" s="0" t="n">
        <f aca="false">W_PH(I$2,$A10)</f>
        <v>4603.59636255427</v>
      </c>
      <c r="J10" s="0" t="n">
        <f aca="false">W_PH(J$2,$A10)</f>
        <v>4603.59754756403</v>
      </c>
      <c r="K10" s="0" t="n">
        <f aca="false">W_PH(K$2,$A10)</f>
        <v>4603.5987325663</v>
      </c>
      <c r="L10" s="0" t="n">
        <f aca="false">W_PH(L$2,$A10)</f>
        <v>4603.59991756108</v>
      </c>
      <c r="M10" s="0" t="n">
        <f aca="false">W_PH(M$2,$A10)</f>
        <v>4603.60110254837</v>
      </c>
      <c r="N10" s="0" t="n">
        <f aca="false">W_PH(N$2,$A10)</f>
        <v>4603.60228752818</v>
      </c>
      <c r="O10" s="0" t="n">
        <f aca="false">W_PH(O$2,$A10)</f>
        <v>4603.60347250051</v>
      </c>
      <c r="P10" s="0" t="n">
        <f aca="false">W_PH(P$2,$A10)</f>
        <v>4603.61532181201</v>
      </c>
      <c r="Q10" s="0" t="n">
        <f aca="false">W_PH(Q$2,$A10)</f>
        <v>4603.62717037501</v>
      </c>
      <c r="R10" s="0" t="n">
        <f aca="false">W_PH(R$2,$A10)</f>
        <v>4603.6390181896</v>
      </c>
      <c r="S10" s="0" t="n">
        <f aca="false">W_PH(S$2,$A10)</f>
        <v>4603.65086525587</v>
      </c>
      <c r="T10" s="0" t="n">
        <f aca="false">W_PH(T$2,$A10)</f>
        <v>4603.66271157393</v>
      </c>
      <c r="U10" s="0" t="n">
        <f aca="false">W_PH(U$2,$A10)</f>
        <v>4603.67455714386</v>
      </c>
      <c r="V10" s="0" t="n">
        <f aca="false">W_PH(V$2,$A10)</f>
        <v>4603.68640196577</v>
      </c>
      <c r="W10" s="0" t="n">
        <f aca="false">W_PH(W$2,$A10)</f>
        <v>4603.69824603976</v>
      </c>
      <c r="X10" s="0" t="n">
        <f aca="false">W_PH(X$2,$A10)</f>
        <v>4603.71008936591</v>
      </c>
      <c r="Y10" s="0" t="n">
        <f aca="false">W_PH(Y$2,$A10)</f>
        <v>4603.82848151786</v>
      </c>
      <c r="Z10" s="0" t="n">
        <f aca="false">W_PH(Z$2,$A10)</f>
        <v>4603.94679899212</v>
      </c>
      <c r="AA10" s="0" t="n">
        <f aca="false">W_PH(AA$2,$A10)</f>
        <v>4604.06504188368</v>
      </c>
      <c r="AB10" s="0" t="n">
        <f aca="false">W_PH(AB$2,$A10)</f>
        <v>4604.18321028674</v>
      </c>
      <c r="AC10" s="0" t="n">
        <f aca="false">W_PH(AC$2,$A10)</f>
        <v>4604.30130429464</v>
      </c>
      <c r="AD10" s="0" t="n">
        <f aca="false">W_PH(AD$2,$A10)</f>
        <v>4604.41932399985</v>
      </c>
      <c r="AE10" s="0" t="n">
        <f aca="false">W_PH(AE$2,$A10)</f>
        <v>4604.53726949404</v>
      </c>
      <c r="AF10" s="0" t="n">
        <f aca="false">W_PH(AF$2,$A10)</f>
        <v>2015</v>
      </c>
      <c r="AG10" s="0" t="n">
        <f aca="false">W_PH(AG$2,$A10)</f>
        <v>2015</v>
      </c>
      <c r="AH10" s="0" t="n">
        <f aca="false">W_PH(AH$2,$A10)</f>
        <v>2015</v>
      </c>
      <c r="AI10" s="0" t="n">
        <f aca="false">W_PH(AI$2,$A10)</f>
        <v>2015</v>
      </c>
      <c r="AJ10" s="0" t="n">
        <f aca="false">W_PH(AJ$2,$A10)</f>
        <v>2015</v>
      </c>
      <c r="AK10" s="0" t="n">
        <f aca="false">W_PH(AK$2,$A10)</f>
        <v>2015</v>
      </c>
      <c r="AL10" s="0" t="n">
        <f aca="false">W_PH(AL$2,$A10)</f>
        <v>2015</v>
      </c>
      <c r="AM10" s="0" t="n">
        <f aca="false">W_PH(AM$2,$A10)</f>
        <v>2015</v>
      </c>
      <c r="AN10" s="0" t="n">
        <f aca="false">W_PH(AN$2,$A10)</f>
        <v>2015</v>
      </c>
      <c r="AO10" s="0" t="n">
        <f aca="false">W_PH(AO$2,$A10)</f>
        <v>2015</v>
      </c>
      <c r="AP10" s="0" t="n">
        <f aca="false">W_PH(AP$2,$A10)</f>
        <v>2015</v>
      </c>
      <c r="AQ10" s="0" t="n">
        <f aca="false">W_PH(AQ$2,$A10)</f>
        <v>2015</v>
      </c>
      <c r="AR10" s="0" t="n">
        <f aca="false">W_PH(AR$2,$A10)</f>
        <v>2015</v>
      </c>
      <c r="AS10" s="0" t="n">
        <f aca="false">W_PH(AS$2,$A10)</f>
        <v>2015</v>
      </c>
    </row>
    <row r="11" customFormat="false" ht="12.8" hidden="false" customHeight="false" outlineLevel="0" collapsed="false">
      <c r="A11" s="0" t="n">
        <v>0.386930352536543</v>
      </c>
      <c r="B11" s="0" t="n">
        <f aca="false">W_PH(B$2,$A11)</f>
        <v>2015</v>
      </c>
      <c r="C11" s="0" t="n">
        <f aca="false">W_PH(C$2,$A11)</f>
        <v>4603.9814860667</v>
      </c>
      <c r="D11" s="0" t="n">
        <f aca="false">W_PH(D$2,$A11)</f>
        <v>4603.98160480838</v>
      </c>
      <c r="E11" s="0" t="n">
        <f aca="false">W_PH(E$2,$A11)</f>
        <v>4603.98172354999</v>
      </c>
      <c r="F11" s="0" t="n">
        <f aca="false">W_PH(F$2,$A11)</f>
        <v>4603.98184229152</v>
      </c>
      <c r="G11" s="0" t="n">
        <f aca="false">W_PH(G$2,$A11)</f>
        <v>4603.9830297027</v>
      </c>
      <c r="H11" s="0" t="n">
        <f aca="false">W_PH(H$2,$A11)</f>
        <v>4603.9842171064</v>
      </c>
      <c r="I11" s="0" t="n">
        <f aca="false">W_PH(I$2,$A11)</f>
        <v>4603.98540450262</v>
      </c>
      <c r="J11" s="0" t="n">
        <f aca="false">W_PH(J$2,$A11)</f>
        <v>4603.98659189136</v>
      </c>
      <c r="K11" s="0" t="n">
        <f aca="false">W_PH(K$2,$A11)</f>
        <v>4603.98777927262</v>
      </c>
      <c r="L11" s="0" t="n">
        <f aca="false">W_PH(L$2,$A11)</f>
        <v>4603.9889666464</v>
      </c>
      <c r="M11" s="0" t="n">
        <f aca="false">W_PH(M$2,$A11)</f>
        <v>4603.99015401269</v>
      </c>
      <c r="N11" s="0" t="n">
        <f aca="false">W_PH(N$2,$A11)</f>
        <v>4603.99134137151</v>
      </c>
      <c r="O11" s="0" t="n">
        <f aca="false">W_PH(O$2,$A11)</f>
        <v>4603.99252872284</v>
      </c>
      <c r="P11" s="0" t="n">
        <f aca="false">W_PH(P$2,$A11)</f>
        <v>4604.00440182473</v>
      </c>
      <c r="Q11" s="0" t="n">
        <f aca="false">W_PH(Q$2,$A11)</f>
        <v>4604.01627417861</v>
      </c>
      <c r="R11" s="0" t="n">
        <f aca="false">W_PH(R$2,$A11)</f>
        <v>4604.02814578458</v>
      </c>
      <c r="S11" s="0" t="n">
        <f aca="false">W_PH(S$2,$A11)</f>
        <v>4604.04001664273</v>
      </c>
      <c r="T11" s="0" t="n">
        <f aca="false">W_PH(T$2,$A11)</f>
        <v>4604.05188675317</v>
      </c>
      <c r="U11" s="0" t="n">
        <f aca="false">W_PH(U$2,$A11)</f>
        <v>4604.06375611598</v>
      </c>
      <c r="V11" s="0" t="n">
        <f aca="false">W_PH(V$2,$A11)</f>
        <v>4604.07562473127</v>
      </c>
      <c r="W11" s="0" t="n">
        <f aca="false">W_PH(W$2,$A11)</f>
        <v>4604.08749259913</v>
      </c>
      <c r="X11" s="0" t="n">
        <f aca="false">W_PH(X$2,$A11)</f>
        <v>4604.09935971966</v>
      </c>
      <c r="Y11" s="0" t="n">
        <f aca="false">W_PH(Y$2,$A11)</f>
        <v>4604.21798984301</v>
      </c>
      <c r="Z11" s="0" t="n">
        <f aca="false">W_PH(Z$2,$A11)</f>
        <v>4604.33654533908</v>
      </c>
      <c r="AA11" s="0" t="n">
        <f aca="false">W_PH(AA$2,$A11)</f>
        <v>4604.45502630322</v>
      </c>
      <c r="AB11" s="0" t="n">
        <f aca="false">W_PH(AB$2,$A11)</f>
        <v>4604.57343282992</v>
      </c>
      <c r="AC11" s="0" t="n">
        <f aca="false">W_PH(AC$2,$A11)</f>
        <v>4604.69176501287</v>
      </c>
      <c r="AD11" s="0" t="n">
        <f aca="false">W_PH(AD$2,$A11)</f>
        <v>4604.81002294487</v>
      </c>
      <c r="AE11" s="0" t="n">
        <f aca="false">W_PH(AE$2,$A11)</f>
        <v>4604.92820671791</v>
      </c>
      <c r="AF11" s="0" t="n">
        <f aca="false">W_PH(AF$2,$A11)</f>
        <v>4605.04631642312</v>
      </c>
      <c r="AG11" s="0" t="n">
        <f aca="false">W_PH(AG$2,$A11)</f>
        <v>2015</v>
      </c>
      <c r="AH11" s="0" t="n">
        <f aca="false">W_PH(AH$2,$A11)</f>
        <v>2015</v>
      </c>
      <c r="AI11" s="0" t="n">
        <f aca="false">W_PH(AI$2,$A11)</f>
        <v>2015</v>
      </c>
      <c r="AJ11" s="0" t="n">
        <f aca="false">W_PH(AJ$2,$A11)</f>
        <v>2015</v>
      </c>
      <c r="AK11" s="0" t="n">
        <f aca="false">W_PH(AK$2,$A11)</f>
        <v>2015</v>
      </c>
      <c r="AL11" s="0" t="n">
        <f aca="false">W_PH(AL$2,$A11)</f>
        <v>2015</v>
      </c>
      <c r="AM11" s="0" t="n">
        <f aca="false">W_PH(AM$2,$A11)</f>
        <v>2015</v>
      </c>
      <c r="AN11" s="0" t="n">
        <f aca="false">W_PH(AN$2,$A11)</f>
        <v>2015</v>
      </c>
      <c r="AO11" s="0" t="n">
        <f aca="false">W_PH(AO$2,$A11)</f>
        <v>2015</v>
      </c>
      <c r="AP11" s="0" t="n">
        <f aca="false">W_PH(AP$2,$A11)</f>
        <v>2015</v>
      </c>
      <c r="AQ11" s="0" t="n">
        <f aca="false">W_PH(AQ$2,$A11)</f>
        <v>2015</v>
      </c>
      <c r="AR11" s="0" t="n">
        <f aca="false">W_PH(AR$2,$A11)</f>
        <v>2015</v>
      </c>
      <c r="AS11" s="0" t="n">
        <f aca="false">W_PH(AS$2,$A11)</f>
        <v>2015</v>
      </c>
    </row>
    <row r="12" customFormat="false" ht="12.8" hidden="false" customHeight="false" outlineLevel="0" collapsed="false">
      <c r="A12" s="0" t="n">
        <v>0.429922613929493</v>
      </c>
      <c r="B12" s="0" t="n">
        <f aca="false">W_PH(B$2,$A12)</f>
        <v>2015</v>
      </c>
      <c r="C12" s="0" t="n">
        <f aca="false">W_PH(C$2,$A12)</f>
        <v>4604.37034316199</v>
      </c>
      <c r="D12" s="0" t="n">
        <f aca="false">W_PH(D$2,$A12)</f>
        <v>4604.37046214145</v>
      </c>
      <c r="E12" s="0" t="n">
        <f aca="false">W_PH(E$2,$A12)</f>
        <v>4604.37058112084</v>
      </c>
      <c r="F12" s="0" t="n">
        <f aca="false">W_PH(F$2,$A12)</f>
        <v>4604.37070010016</v>
      </c>
      <c r="G12" s="0" t="n">
        <f aca="false">W_PH(G$2,$A12)</f>
        <v>4604.37188988921</v>
      </c>
      <c r="H12" s="0" t="n">
        <f aca="false">W_PH(H$2,$A12)</f>
        <v>4604.37307967078</v>
      </c>
      <c r="I12" s="0" t="n">
        <f aca="false">W_PH(I$2,$A12)</f>
        <v>4604.37426944487</v>
      </c>
      <c r="J12" s="0" t="n">
        <f aca="false">W_PH(J$2,$A12)</f>
        <v>4604.37545921148</v>
      </c>
      <c r="K12" s="0" t="n">
        <f aca="false">W_PH(K$2,$A12)</f>
        <v>4604.37664897063</v>
      </c>
      <c r="L12" s="0" t="n">
        <f aca="false">W_PH(L$2,$A12)</f>
        <v>4604.37783872229</v>
      </c>
      <c r="M12" s="0" t="n">
        <f aca="false">W_PH(M$2,$A12)</f>
        <v>4604.37902846647</v>
      </c>
      <c r="N12" s="0" t="n">
        <f aca="false">W_PH(N$2,$A12)</f>
        <v>4604.38021820319</v>
      </c>
      <c r="O12" s="0" t="n">
        <f aca="false">W_PH(O$2,$A12)</f>
        <v>4604.38140793242</v>
      </c>
      <c r="P12" s="0" t="n">
        <f aca="false">W_PH(P$2,$A12)</f>
        <v>4604.3933048136</v>
      </c>
      <c r="Q12" s="0" t="n">
        <f aca="false">W_PH(Q$2,$A12)</f>
        <v>4604.40520094727</v>
      </c>
      <c r="R12" s="0" t="n">
        <f aca="false">W_PH(R$2,$A12)</f>
        <v>4604.41709633351</v>
      </c>
      <c r="S12" s="0" t="n">
        <f aca="false">W_PH(S$2,$A12)</f>
        <v>4604.42899097244</v>
      </c>
      <c r="T12" s="0" t="n">
        <f aca="false">W_PH(T$2,$A12)</f>
        <v>4604.44088486415</v>
      </c>
      <c r="U12" s="0" t="n">
        <f aca="false">W_PH(U$2,$A12)</f>
        <v>4604.45277800874</v>
      </c>
      <c r="V12" s="0" t="n">
        <f aca="false">W_PH(V$2,$A12)</f>
        <v>4604.4646704063</v>
      </c>
      <c r="W12" s="0" t="n">
        <f aca="false">W_PH(W$2,$A12)</f>
        <v>4604.47656205693</v>
      </c>
      <c r="X12" s="0" t="n">
        <f aca="false">W_PH(X$2,$A12)</f>
        <v>4604.48845296073</v>
      </c>
      <c r="Y12" s="0" t="n">
        <f aca="false">W_PH(Y$2,$A12)</f>
        <v>4604.60732094424</v>
      </c>
      <c r="Z12" s="0" t="n">
        <f aca="false">W_PH(Z$2,$A12)</f>
        <v>4604.72611435067</v>
      </c>
      <c r="AA12" s="0" t="n">
        <f aca="false">W_PH(AA$2,$A12)</f>
        <v>4604.84483327571</v>
      </c>
      <c r="AB12" s="0" t="n">
        <f aca="false">W_PH(AB$2,$A12)</f>
        <v>4604.96347781418</v>
      </c>
      <c r="AC12" s="0" t="n">
        <f aca="false">W_PH(AC$2,$A12)</f>
        <v>4605.08204806007</v>
      </c>
      <c r="AD12" s="0" t="n">
        <f aca="false">W_PH(AD$2,$A12)</f>
        <v>4605.20054410654</v>
      </c>
      <c r="AE12" s="0" t="n">
        <f aca="false">W_PH(AE$2,$A12)</f>
        <v>4605.31896604588</v>
      </c>
      <c r="AF12" s="0" t="n">
        <f aca="false">W_PH(AF$2,$A12)</f>
        <v>4605.43731396957</v>
      </c>
      <c r="AG12" s="0" t="n">
        <f aca="false">W_PH(AG$2,$A12)</f>
        <v>4605.55558796821</v>
      </c>
      <c r="AH12" s="0" t="n">
        <f aca="false">W_PH(AH$2,$A12)</f>
        <v>2015</v>
      </c>
      <c r="AI12" s="0" t="n">
        <f aca="false">W_PH(AI$2,$A12)</f>
        <v>2015</v>
      </c>
      <c r="AJ12" s="0" t="n">
        <f aca="false">W_PH(AJ$2,$A12)</f>
        <v>2015</v>
      </c>
      <c r="AK12" s="0" t="n">
        <f aca="false">W_PH(AK$2,$A12)</f>
        <v>2015</v>
      </c>
      <c r="AL12" s="0" t="n">
        <f aca="false">W_PH(AL$2,$A12)</f>
        <v>2015</v>
      </c>
      <c r="AM12" s="0" t="n">
        <f aca="false">W_PH(AM$2,$A12)</f>
        <v>2015</v>
      </c>
      <c r="AN12" s="0" t="n">
        <f aca="false">W_PH(AN$2,$A12)</f>
        <v>2015</v>
      </c>
      <c r="AO12" s="0" t="n">
        <f aca="false">W_PH(AO$2,$A12)</f>
        <v>2015</v>
      </c>
      <c r="AP12" s="0" t="n">
        <f aca="false">W_PH(AP$2,$A12)</f>
        <v>2015</v>
      </c>
      <c r="AQ12" s="0" t="n">
        <f aca="false">W_PH(AQ$2,$A12)</f>
        <v>2015</v>
      </c>
      <c r="AR12" s="0" t="n">
        <f aca="false">W_PH(AR$2,$A12)</f>
        <v>2015</v>
      </c>
      <c r="AS12" s="0" t="n">
        <f aca="false">W_PH(AS$2,$A12)</f>
        <v>2015</v>
      </c>
    </row>
    <row r="13" customFormat="false" ht="12.8" hidden="false" customHeight="false" outlineLevel="0" collapsed="false">
      <c r="A13" s="0" t="n">
        <v>0.859845227858985</v>
      </c>
      <c r="B13" s="0" t="n">
        <f aca="false">W_PH(B$2,$A13)</f>
        <v>2015</v>
      </c>
      <c r="C13" s="0" t="n">
        <f aca="false">W_PH(C$2,$A13)</f>
        <v>4608.24917264438</v>
      </c>
      <c r="D13" s="0" t="n">
        <f aca="false">W_PH(D$2,$A13)</f>
        <v>4608.24929399561</v>
      </c>
      <c r="E13" s="0" t="n">
        <f aca="false">W_PH(E$2,$A13)</f>
        <v>4608.24941534677</v>
      </c>
      <c r="F13" s="0" t="n">
        <f aca="false">W_PH(F$2,$A13)</f>
        <v>4608.24953669785</v>
      </c>
      <c r="G13" s="0" t="n">
        <f aca="false">W_PH(G$2,$A13)</f>
        <v>4608.25075020459</v>
      </c>
      <c r="H13" s="0" t="n">
        <f aca="false">W_PH(H$2,$A13)</f>
        <v>4608.25196370391</v>
      </c>
      <c r="I13" s="0" t="n">
        <f aca="false">W_PH(I$2,$A13)</f>
        <v>4608.2531771958</v>
      </c>
      <c r="J13" s="0" t="n">
        <f aca="false">W_PH(J$2,$A13)</f>
        <v>4608.25439068026</v>
      </c>
      <c r="K13" s="0" t="n">
        <f aca="false">W_PH(K$2,$A13)</f>
        <v>4608.25560415729</v>
      </c>
      <c r="L13" s="0" t="n">
        <f aca="false">W_PH(L$2,$A13)</f>
        <v>4608.25681762689</v>
      </c>
      <c r="M13" s="0" t="n">
        <f aca="false">W_PH(M$2,$A13)</f>
        <v>4608.25803108906</v>
      </c>
      <c r="N13" s="0" t="n">
        <f aca="false">W_PH(N$2,$A13)</f>
        <v>4608.25924454381</v>
      </c>
      <c r="O13" s="0" t="n">
        <f aca="false">W_PH(O$2,$A13)</f>
        <v>4608.26045799113</v>
      </c>
      <c r="P13" s="0" t="n">
        <f aca="false">W_PH(P$2,$A13)</f>
        <v>4608.27259205582</v>
      </c>
      <c r="Q13" s="0" t="n">
        <f aca="false">W_PH(Q$2,$A13)</f>
        <v>4608.28472537784</v>
      </c>
      <c r="R13" s="0" t="n">
        <f aca="false">W_PH(R$2,$A13)</f>
        <v>4608.29685795729</v>
      </c>
      <c r="S13" s="0" t="n">
        <f aca="false">W_PH(S$2,$A13)</f>
        <v>4608.30898979428</v>
      </c>
      <c r="T13" s="0" t="n">
        <f aca="false">W_PH(T$2,$A13)</f>
        <v>4608.3211208889</v>
      </c>
      <c r="U13" s="0" t="n">
        <f aca="false">W_PH(U$2,$A13)</f>
        <v>4608.33325124125</v>
      </c>
      <c r="V13" s="0" t="n">
        <f aca="false">W_PH(V$2,$A13)</f>
        <v>4608.34538085144</v>
      </c>
      <c r="W13" s="0" t="n">
        <f aca="false">W_PH(W$2,$A13)</f>
        <v>4608.35750971956</v>
      </c>
      <c r="X13" s="0" t="n">
        <f aca="false">W_PH(X$2,$A13)</f>
        <v>4608.36963784572</v>
      </c>
      <c r="Y13" s="0" t="n">
        <f aca="false">W_PH(Y$2,$A13)</f>
        <v>4608.49087832128</v>
      </c>
      <c r="Z13" s="0" t="n">
        <f aca="false">W_PH(Z$2,$A13)</f>
        <v>4608.61204471003</v>
      </c>
      <c r="AA13" s="0" t="n">
        <f aca="false">W_PH(AA$2,$A13)</f>
        <v>4608.73313711088</v>
      </c>
      <c r="AB13" s="0" t="n">
        <f aca="false">W_PH(AB$2,$A13)</f>
        <v>4608.85415562187</v>
      </c>
      <c r="AC13" s="0" t="n">
        <f aca="false">W_PH(AC$2,$A13)</f>
        <v>4608.97510034023</v>
      </c>
      <c r="AD13" s="0" t="n">
        <f aca="false">W_PH(AD$2,$A13)</f>
        <v>4609.09597136236</v>
      </c>
      <c r="AE13" s="0" t="n">
        <f aca="false">W_PH(AE$2,$A13)</f>
        <v>4609.2167687838</v>
      </c>
      <c r="AF13" s="0" t="n">
        <f aca="false">W_PH(AF$2,$A13)</f>
        <v>4609.3374926993</v>
      </c>
      <c r="AG13" s="0" t="n">
        <f aca="false">W_PH(AG$2,$A13)</f>
        <v>4609.45814320275</v>
      </c>
      <c r="AH13" s="0" t="n">
        <f aca="false">W_PH(AH$2,$A13)</f>
        <v>4610.66063063007</v>
      </c>
      <c r="AI13" s="0" t="n">
        <f aca="false">W_PH(AI$2,$A13)</f>
        <v>2015</v>
      </c>
      <c r="AJ13" s="0" t="n">
        <f aca="false">W_PH(AJ$2,$A13)</f>
        <v>2015</v>
      </c>
      <c r="AK13" s="0" t="n">
        <f aca="false">W_PH(AK$2,$A13)</f>
        <v>2015</v>
      </c>
      <c r="AL13" s="0" t="n">
        <f aca="false">W_PH(AL$2,$A13)</f>
        <v>2015</v>
      </c>
      <c r="AM13" s="0" t="n">
        <f aca="false">W_PH(AM$2,$A13)</f>
        <v>2015</v>
      </c>
      <c r="AN13" s="0" t="n">
        <f aca="false">W_PH(AN$2,$A13)</f>
        <v>2015</v>
      </c>
      <c r="AO13" s="0" t="n">
        <f aca="false">W_PH(AO$2,$A13)</f>
        <v>2015</v>
      </c>
      <c r="AP13" s="0" t="n">
        <f aca="false">W_PH(AP$2,$A13)</f>
        <v>2015</v>
      </c>
      <c r="AQ13" s="0" t="n">
        <f aca="false">W_PH(AQ$2,$A13)</f>
        <v>2015</v>
      </c>
      <c r="AR13" s="0" t="n">
        <f aca="false">W_PH(AR$2,$A13)</f>
        <v>2015</v>
      </c>
      <c r="AS13" s="0" t="n">
        <f aca="false">W_PH(AS$2,$A13)</f>
        <v>2015</v>
      </c>
    </row>
    <row r="14" customFormat="false" ht="12.8" hidden="false" customHeight="false" outlineLevel="0" collapsed="false">
      <c r="A14" s="0" t="n">
        <v>1.28976784178848</v>
      </c>
      <c r="B14" s="0" t="n">
        <f aca="false">W_PH(B$2,$A14)</f>
        <v>2015</v>
      </c>
      <c r="C14" s="0" t="n">
        <f aca="false">W_PH(C$2,$A14)</f>
        <v>4612.11027124238</v>
      </c>
      <c r="D14" s="0" t="n">
        <f aca="false">W_PH(D$2,$A14)</f>
        <v>4612.11039495433</v>
      </c>
      <c r="E14" s="0" t="n">
        <f aca="false">W_PH(E$2,$A14)</f>
        <v>4612.1105186662</v>
      </c>
      <c r="F14" s="0" t="n">
        <f aca="false">W_PH(F$2,$A14)</f>
        <v>4612.110642378</v>
      </c>
      <c r="G14" s="0" t="n">
        <f aca="false">W_PH(G$2,$A14)</f>
        <v>4612.11187949196</v>
      </c>
      <c r="H14" s="0" t="n">
        <f aca="false">W_PH(H$2,$A14)</f>
        <v>4612.11311659853</v>
      </c>
      <c r="I14" s="0" t="n">
        <f aca="false">W_PH(I$2,$A14)</f>
        <v>4612.11435369772</v>
      </c>
      <c r="J14" s="0" t="n">
        <f aca="false">W_PH(J$2,$A14)</f>
        <v>4612.11559078952</v>
      </c>
      <c r="K14" s="0" t="n">
        <f aca="false">W_PH(K$2,$A14)</f>
        <v>4612.11682787395</v>
      </c>
      <c r="L14" s="0" t="n">
        <f aca="false">W_PH(L$2,$A14)</f>
        <v>4612.11806495099</v>
      </c>
      <c r="M14" s="0" t="n">
        <f aca="false">W_PH(M$2,$A14)</f>
        <v>4612.11930202065</v>
      </c>
      <c r="N14" s="0" t="n">
        <f aca="false">W_PH(N$2,$A14)</f>
        <v>4612.12053908293</v>
      </c>
      <c r="O14" s="0" t="n">
        <f aca="false">W_PH(O$2,$A14)</f>
        <v>4612.12177613783</v>
      </c>
      <c r="P14" s="0" t="n">
        <f aca="false">W_PH(P$2,$A14)</f>
        <v>4612.13414628086</v>
      </c>
      <c r="Q14" s="0" t="n">
        <f aca="false">W_PH(Q$2,$A14)</f>
        <v>4612.14651568585</v>
      </c>
      <c r="R14" s="0" t="n">
        <f aca="false">W_PH(R$2,$A14)</f>
        <v>4612.15888435291</v>
      </c>
      <c r="S14" s="0" t="n">
        <f aca="false">W_PH(S$2,$A14)</f>
        <v>4612.17125228214</v>
      </c>
      <c r="T14" s="0" t="n">
        <f aca="false">W_PH(T$2,$A14)</f>
        <v>4612.18361947366</v>
      </c>
      <c r="U14" s="0" t="n">
        <f aca="false">W_PH(U$2,$A14)</f>
        <v>4612.19598592756</v>
      </c>
      <c r="V14" s="0" t="n">
        <f aca="false">W_PH(V$2,$A14)</f>
        <v>4612.20835164393</v>
      </c>
      <c r="W14" s="0" t="n">
        <f aca="false">W_PH(W$2,$A14)</f>
        <v>4612.2207166229</v>
      </c>
      <c r="X14" s="0" t="n">
        <f aca="false">W_PH(X$2,$A14)</f>
        <v>4612.23308086456</v>
      </c>
      <c r="Y14" s="0" t="n">
        <f aca="false">W_PH(Y$2,$A14)</f>
        <v>4612.35668275186</v>
      </c>
      <c r="Z14" s="0" t="n">
        <f aca="false">W_PH(Z$2,$A14)</f>
        <v>4612.48021102139</v>
      </c>
      <c r="AA14" s="0" t="n">
        <f aca="false">W_PH(AA$2,$A14)</f>
        <v>4612.60366577518</v>
      </c>
      <c r="AB14" s="0" t="n">
        <f aca="false">W_PH(AB$2,$A14)</f>
        <v>4612.72704711442</v>
      </c>
      <c r="AC14" s="0" t="n">
        <f aca="false">W_PH(AC$2,$A14)</f>
        <v>4612.8503551395</v>
      </c>
      <c r="AD14" s="0" t="n">
        <f aca="false">W_PH(AD$2,$A14)</f>
        <v>4612.97358994997</v>
      </c>
      <c r="AE14" s="0" t="n">
        <f aca="false">W_PH(AE$2,$A14)</f>
        <v>4613.0967516446</v>
      </c>
      <c r="AF14" s="0" t="n">
        <f aca="false">W_PH(AF$2,$A14)</f>
        <v>4613.21984032129</v>
      </c>
      <c r="AG14" s="0" t="n">
        <f aca="false">W_PH(AG$2,$A14)</f>
        <v>4613.34285607714</v>
      </c>
      <c r="AH14" s="0" t="n">
        <f aca="false">W_PH(AH$2,$A14)</f>
        <v>4614.56902375934</v>
      </c>
      <c r="AI14" s="0" t="n">
        <f aca="false">W_PH(AI$2,$A14)</f>
        <v>2015</v>
      </c>
      <c r="AJ14" s="0" t="n">
        <f aca="false">W_PH(AJ$2,$A14)</f>
        <v>2015</v>
      </c>
      <c r="AK14" s="0" t="n">
        <f aca="false">W_PH(AK$2,$A14)</f>
        <v>2015</v>
      </c>
      <c r="AL14" s="0" t="n">
        <f aca="false">W_PH(AL$2,$A14)</f>
        <v>2015</v>
      </c>
      <c r="AM14" s="0" t="n">
        <f aca="false">W_PH(AM$2,$A14)</f>
        <v>2015</v>
      </c>
      <c r="AN14" s="0" t="n">
        <f aca="false">W_PH(AN$2,$A14)</f>
        <v>2015</v>
      </c>
      <c r="AO14" s="0" t="n">
        <f aca="false">W_PH(AO$2,$A14)</f>
        <v>2015</v>
      </c>
      <c r="AP14" s="0" t="n">
        <f aca="false">W_PH(AP$2,$A14)</f>
        <v>2015</v>
      </c>
      <c r="AQ14" s="0" t="n">
        <f aca="false">W_PH(AQ$2,$A14)</f>
        <v>2015</v>
      </c>
      <c r="AR14" s="0" t="n">
        <f aca="false">W_PH(AR$2,$A14)</f>
        <v>2015</v>
      </c>
      <c r="AS14" s="0" t="n">
        <f aca="false">W_PH(AS$2,$A14)</f>
        <v>2015</v>
      </c>
    </row>
    <row r="15" customFormat="false" ht="12.8" hidden="false" customHeight="false" outlineLevel="0" collapsed="false">
      <c r="A15" s="0" t="n">
        <v>1.71969045571797</v>
      </c>
      <c r="B15" s="0" t="n">
        <f aca="false">W_PH(B$2,$A15)</f>
        <v>2015</v>
      </c>
      <c r="C15" s="0" t="n">
        <f aca="false">W_PH(C$2,$A15)</f>
        <v>4615.95361369674</v>
      </c>
      <c r="D15" s="0" t="n">
        <f aca="false">W_PH(D$2,$A15)</f>
        <v>4615.95373975839</v>
      </c>
      <c r="E15" s="0" t="n">
        <f aca="false">W_PH(E$2,$A15)</f>
        <v>4615.95386581998</v>
      </c>
      <c r="F15" s="0" t="n">
        <f aca="false">W_PH(F$2,$A15)</f>
        <v>4615.95399188149</v>
      </c>
      <c r="G15" s="0" t="n">
        <f aca="false">W_PH(G$2,$A15)</f>
        <v>4615.95525249259</v>
      </c>
      <c r="H15" s="0" t="n">
        <f aca="false">W_PH(H$2,$A15)</f>
        <v>4615.95651309634</v>
      </c>
      <c r="I15" s="0" t="n">
        <f aca="false">W_PH(I$2,$A15)</f>
        <v>4615.95777369276</v>
      </c>
      <c r="J15" s="0" t="n">
        <f aca="false">W_PH(J$2,$A15)</f>
        <v>4615.95903428183</v>
      </c>
      <c r="K15" s="0" t="n">
        <f aca="false">W_PH(K$2,$A15)</f>
        <v>4615.96029486358</v>
      </c>
      <c r="L15" s="0" t="n">
        <f aca="false">W_PH(L$2,$A15)</f>
        <v>4615.96155543798</v>
      </c>
      <c r="M15" s="0" t="n">
        <f aca="false">W_PH(M$2,$A15)</f>
        <v>4615.96281600504</v>
      </c>
      <c r="N15" s="0" t="n">
        <f aca="false">W_PH(N$2,$A15)</f>
        <v>4615.96407656477</v>
      </c>
      <c r="O15" s="0" t="n">
        <f aca="false">W_PH(O$2,$A15)</f>
        <v>4615.96533711716</v>
      </c>
      <c r="P15" s="0" t="n">
        <f aca="false">W_PH(P$2,$A15)</f>
        <v>4615.97794223755</v>
      </c>
      <c r="Q15" s="0" t="n">
        <f aca="false">W_PH(Q$2,$A15)</f>
        <v>4615.99054662432</v>
      </c>
      <c r="R15" s="0" t="n">
        <f aca="false">W_PH(R$2,$A15)</f>
        <v>4616.00315027759</v>
      </c>
      <c r="S15" s="0" t="n">
        <f aca="false">W_PH(S$2,$A15)</f>
        <v>4616.01575319747</v>
      </c>
      <c r="T15" s="0" t="n">
        <f aca="false">W_PH(T$2,$A15)</f>
        <v>4616.02835538406</v>
      </c>
      <c r="U15" s="0" t="n">
        <f aca="false">W_PH(U$2,$A15)</f>
        <v>4616.04095683748</v>
      </c>
      <c r="V15" s="0" t="n">
        <f aca="false">W_PH(V$2,$A15)</f>
        <v>4616.05355755781</v>
      </c>
      <c r="W15" s="0" t="n">
        <f aca="false">W_PH(W$2,$A15)</f>
        <v>4616.06615754518</v>
      </c>
      <c r="X15" s="0" t="n">
        <f aca="false">W_PH(X$2,$A15)</f>
        <v>4616.07875679969</v>
      </c>
      <c r="Y15" s="0" t="n">
        <f aca="false">W_PH(Y$2,$A15)</f>
        <v>4616.20470906073</v>
      </c>
      <c r="Z15" s="0" t="n">
        <f aca="false">W_PH(Z$2,$A15)</f>
        <v>4616.33058815207</v>
      </c>
      <c r="AA15" s="0" t="n">
        <f aca="false">W_PH(AA$2,$A15)</f>
        <v>4616.4563941788</v>
      </c>
      <c r="AB15" s="0" t="n">
        <f aca="false">W_PH(AB$2,$A15)</f>
        <v>4616.58212724517</v>
      </c>
      <c r="AC15" s="0" t="n">
        <f aca="false">W_PH(AC$2,$A15)</f>
        <v>4616.70778745467</v>
      </c>
      <c r="AD15" s="0" t="n">
        <f aca="false">W_PH(AD$2,$A15)</f>
        <v>4616.83337490994</v>
      </c>
      <c r="AE15" s="0" t="n">
        <f aca="false">W_PH(AE$2,$A15)</f>
        <v>4616.95888971285</v>
      </c>
      <c r="AF15" s="0" t="n">
        <f aca="false">W_PH(AF$2,$A15)</f>
        <v>4617.08433196445</v>
      </c>
      <c r="AG15" s="0" t="n">
        <f aca="false">W_PH(AG$2,$A15)</f>
        <v>4617.20970176495</v>
      </c>
      <c r="AH15" s="0" t="n">
        <f aca="false">W_PH(AH$2,$A15)</f>
        <v>4618.45943642668</v>
      </c>
      <c r="AI15" s="0" t="n">
        <f aca="false">W_PH(AI$2,$A15)</f>
        <v>4619.70203013739</v>
      </c>
      <c r="AJ15" s="0" t="n">
        <f aca="false">W_PH(AJ$2,$A15)</f>
        <v>2015</v>
      </c>
      <c r="AK15" s="0" t="n">
        <f aca="false">W_PH(AK$2,$A15)</f>
        <v>2015</v>
      </c>
      <c r="AL15" s="0" t="n">
        <f aca="false">W_PH(AL$2,$A15)</f>
        <v>2015</v>
      </c>
      <c r="AM15" s="0" t="n">
        <f aca="false">W_PH(AM$2,$A15)</f>
        <v>2015</v>
      </c>
      <c r="AN15" s="0" t="n">
        <f aca="false">W_PH(AN$2,$A15)</f>
        <v>2015</v>
      </c>
      <c r="AO15" s="0" t="n">
        <f aca="false">W_PH(AO$2,$A15)</f>
        <v>2015</v>
      </c>
      <c r="AP15" s="0" t="n">
        <f aca="false">W_PH(AP$2,$A15)</f>
        <v>2015</v>
      </c>
      <c r="AQ15" s="0" t="n">
        <f aca="false">W_PH(AQ$2,$A15)</f>
        <v>2015</v>
      </c>
      <c r="AR15" s="0" t="n">
        <f aca="false">W_PH(AR$2,$A15)</f>
        <v>2015</v>
      </c>
      <c r="AS15" s="0" t="n">
        <f aca="false">W_PH(AS$2,$A15)</f>
        <v>2015</v>
      </c>
    </row>
    <row r="16" customFormat="false" ht="12.8" hidden="false" customHeight="false" outlineLevel="0" collapsed="false">
      <c r="A16" s="0" t="n">
        <v>2.14961306964746</v>
      </c>
      <c r="B16" s="0" t="n">
        <f aca="false">W_PH(B$2,$A16)</f>
        <v>2015</v>
      </c>
      <c r="C16" s="0" t="n">
        <f aca="false">W_PH(C$2,$A16)</f>
        <v>4619.77917733627</v>
      </c>
      <c r="D16" s="0" t="n">
        <f aca="false">W_PH(D$2,$A16)</f>
        <v>4619.77930573667</v>
      </c>
      <c r="E16" s="0" t="n">
        <f aca="false">W_PH(E$2,$A16)</f>
        <v>4619.77943413701</v>
      </c>
      <c r="F16" s="0" t="n">
        <f aca="false">W_PH(F$2,$A16)</f>
        <v>4619.77956253728</v>
      </c>
      <c r="G16" s="0" t="n">
        <f aca="false">W_PH(G$2,$A16)</f>
        <v>4619.78084653588</v>
      </c>
      <c r="H16" s="0" t="n">
        <f aca="false">W_PH(H$2,$A16)</f>
        <v>4619.78213052719</v>
      </c>
      <c r="I16" s="0" t="n">
        <f aca="false">W_PH(I$2,$A16)</f>
        <v>4619.78341451121</v>
      </c>
      <c r="J16" s="0" t="n">
        <f aca="false">W_PH(J$2,$A16)</f>
        <v>4619.78469848793</v>
      </c>
      <c r="K16" s="0" t="n">
        <f aca="false">W_PH(K$2,$A16)</f>
        <v>4619.78598245735</v>
      </c>
      <c r="L16" s="0" t="n">
        <f aca="false">W_PH(L$2,$A16)</f>
        <v>4619.78726641948</v>
      </c>
      <c r="M16" s="0" t="n">
        <f aca="false">W_PH(M$2,$A16)</f>
        <v>4619.78855037432</v>
      </c>
      <c r="N16" s="0" t="n">
        <f aca="false">W_PH(N$2,$A16)</f>
        <v>4619.78983432186</v>
      </c>
      <c r="O16" s="0" t="n">
        <f aca="false">W_PH(O$2,$A16)</f>
        <v>4619.7911182621</v>
      </c>
      <c r="P16" s="0" t="n">
        <f aca="false">W_PH(P$2,$A16)</f>
        <v>4619.80395726333</v>
      </c>
      <c r="Q16" s="0" t="n">
        <f aca="false">W_PH(Q$2,$A16)</f>
        <v>4619.81679553518</v>
      </c>
      <c r="R16" s="0" t="n">
        <f aca="false">W_PH(R$2,$A16)</f>
        <v>4619.82963307774</v>
      </c>
      <c r="S16" s="0" t="n">
        <f aca="false">W_PH(S$2,$A16)</f>
        <v>4619.84246989115</v>
      </c>
      <c r="T16" s="0" t="n">
        <f aca="false">W_PH(T$2,$A16)</f>
        <v>4619.85530597549</v>
      </c>
      <c r="U16" s="0" t="n">
        <f aca="false">W_PH(U$2,$A16)</f>
        <v>4619.86814133088</v>
      </c>
      <c r="V16" s="0" t="n">
        <f aca="false">W_PH(V$2,$A16)</f>
        <v>4619.88097595743</v>
      </c>
      <c r="W16" s="0" t="n">
        <f aca="false">W_PH(W$2,$A16)</f>
        <v>4619.89380985525</v>
      </c>
      <c r="X16" s="0" t="n">
        <f aca="false">W_PH(X$2,$A16)</f>
        <v>4619.90664302445</v>
      </c>
      <c r="Y16" s="0" t="n">
        <f aca="false">W_PH(Y$2,$A16)</f>
        <v>4620.03493466637</v>
      </c>
      <c r="Z16" s="0" t="n">
        <f aca="false">W_PH(Z$2,$A16)</f>
        <v>4620.16315356597</v>
      </c>
      <c r="AA16" s="0" t="n">
        <f aca="false">W_PH(AA$2,$A16)</f>
        <v>4620.29129983133</v>
      </c>
      <c r="AB16" s="0" t="n">
        <f aca="false">W_PH(AB$2,$A16)</f>
        <v>4620.41937356972</v>
      </c>
      <c r="AC16" s="0" t="n">
        <f aca="false">W_PH(AC$2,$A16)</f>
        <v>4620.54737488762</v>
      </c>
      <c r="AD16" s="0" t="n">
        <f aca="false">W_PH(AD$2,$A16)</f>
        <v>4620.67530389074</v>
      </c>
      <c r="AE16" s="0" t="n">
        <f aca="false">W_PH(AE$2,$A16)</f>
        <v>4620.80316068394</v>
      </c>
      <c r="AF16" s="0" t="n">
        <f aca="false">W_PH(AF$2,$A16)</f>
        <v>4620.93094537133</v>
      </c>
      <c r="AG16" s="0" t="n">
        <f aca="false">W_PH(AG$2,$A16)</f>
        <v>4621.0586580562</v>
      </c>
      <c r="AH16" s="0" t="n">
        <f aca="false">W_PH(AH$2,$A16)</f>
        <v>4622.33184691373</v>
      </c>
      <c r="AI16" s="0" t="n">
        <f aca="false">W_PH(AI$2,$A16)</f>
        <v>4623.59794312695</v>
      </c>
      <c r="AJ16" s="0" t="n">
        <f aca="false">W_PH(AJ$2,$A16)</f>
        <v>4624.85703650741</v>
      </c>
      <c r="AK16" s="0" t="n">
        <f aca="false">W_PH(AK$2,$A16)</f>
        <v>2015</v>
      </c>
      <c r="AL16" s="0" t="n">
        <f aca="false">W_PH(AL$2,$A16)</f>
        <v>2015</v>
      </c>
      <c r="AM16" s="0" t="n">
        <f aca="false">W_PH(AM$2,$A16)</f>
        <v>2015</v>
      </c>
      <c r="AN16" s="0" t="n">
        <f aca="false">W_PH(AN$2,$A16)</f>
        <v>2015</v>
      </c>
      <c r="AO16" s="0" t="n">
        <f aca="false">W_PH(AO$2,$A16)</f>
        <v>2015</v>
      </c>
      <c r="AP16" s="0" t="n">
        <f aca="false">W_PH(AP$2,$A16)</f>
        <v>2015</v>
      </c>
      <c r="AQ16" s="0" t="n">
        <f aca="false">W_PH(AQ$2,$A16)</f>
        <v>2015</v>
      </c>
      <c r="AR16" s="0" t="n">
        <f aca="false">W_PH(AR$2,$A16)</f>
        <v>2015</v>
      </c>
      <c r="AS16" s="0" t="n">
        <f aca="false">W_PH(AS$2,$A16)</f>
        <v>2015</v>
      </c>
    </row>
    <row r="17" customFormat="false" ht="12.8" hidden="false" customHeight="false" outlineLevel="0" collapsed="false">
      <c r="A17" s="0" t="n">
        <v>2.57953568357696</v>
      </c>
      <c r="B17" s="0" t="n">
        <f aca="false">W_PH(B$2,$A17)</f>
        <v>2015</v>
      </c>
      <c r="C17" s="0" t="n">
        <f aca="false">W_PH(C$2,$A17)</f>
        <v>4623.58694200224</v>
      </c>
      <c r="D17" s="0" t="n">
        <f aca="false">W_PH(D$2,$A17)</f>
        <v>4623.58707273048</v>
      </c>
      <c r="E17" s="0" t="n">
        <f aca="false">W_PH(E$2,$A17)</f>
        <v>4623.58720345865</v>
      </c>
      <c r="F17" s="0" t="n">
        <f aca="false">W_PH(F$2,$A17)</f>
        <v>4623.58733418674</v>
      </c>
      <c r="G17" s="0" t="n">
        <f aca="false">W_PH(G$2,$A17)</f>
        <v>4623.58864146372</v>
      </c>
      <c r="H17" s="0" t="n">
        <f aca="false">W_PH(H$2,$A17)</f>
        <v>4623.58994873344</v>
      </c>
      <c r="I17" s="0" t="n">
        <f aca="false">W_PH(I$2,$A17)</f>
        <v>4623.5912559959</v>
      </c>
      <c r="J17" s="0" t="n">
        <f aca="false">W_PH(J$2,$A17)</f>
        <v>4623.59256325111</v>
      </c>
      <c r="K17" s="0" t="n">
        <f aca="false">W_PH(K$2,$A17)</f>
        <v>4623.59387049906</v>
      </c>
      <c r="L17" s="0" t="n">
        <f aca="false">W_PH(L$2,$A17)</f>
        <v>4623.59517773976</v>
      </c>
      <c r="M17" s="0" t="n">
        <f aca="false">W_PH(M$2,$A17)</f>
        <v>4623.5964849732</v>
      </c>
      <c r="N17" s="0" t="n">
        <f aca="false">W_PH(N$2,$A17)</f>
        <v>4623.59779219938</v>
      </c>
      <c r="O17" s="0" t="n">
        <f aca="false">W_PH(O$2,$A17)</f>
        <v>4623.59909941832</v>
      </c>
      <c r="P17" s="0" t="n">
        <f aca="false">W_PH(P$2,$A17)</f>
        <v>4623.61217120863</v>
      </c>
      <c r="Q17" s="0" t="n">
        <f aca="false">W_PH(Q$2,$A17)</f>
        <v>4623.62524227358</v>
      </c>
      <c r="R17" s="0" t="n">
        <f aca="false">W_PH(R$2,$A17)</f>
        <v>4623.63831261328</v>
      </c>
      <c r="S17" s="0" t="n">
        <f aca="false">W_PH(S$2,$A17)</f>
        <v>4623.65138222782</v>
      </c>
      <c r="T17" s="0" t="n">
        <f aca="false">W_PH(T$2,$A17)</f>
        <v>4623.66445111733</v>
      </c>
      <c r="U17" s="0" t="n">
        <f aca="false">W_PH(U$2,$A17)</f>
        <v>4623.67751928193</v>
      </c>
      <c r="V17" s="0" t="n">
        <f aca="false">W_PH(V$2,$A17)</f>
        <v>4623.69058672172</v>
      </c>
      <c r="W17" s="0" t="n">
        <f aca="false">W_PH(W$2,$A17)</f>
        <v>4623.70365343681</v>
      </c>
      <c r="X17" s="0" t="n">
        <f aca="false">W_PH(X$2,$A17)</f>
        <v>4623.71671942732</v>
      </c>
      <c r="Y17" s="0" t="n">
        <f aca="false">W_PH(Y$2,$A17)</f>
        <v>4623.84733950505</v>
      </c>
      <c r="Z17" s="0" t="n">
        <f aca="false">W_PH(Z$2,$A17)</f>
        <v>4623.97788724746</v>
      </c>
      <c r="AA17" s="0" t="n">
        <f aca="false">W_PH(AA$2,$A17)</f>
        <v>4624.10836276556</v>
      </c>
      <c r="AB17" s="0" t="n">
        <f aca="false">W_PH(AB$2,$A17)</f>
        <v>4624.23876616955</v>
      </c>
      <c r="AC17" s="0" t="n">
        <f aca="false">W_PH(AC$2,$A17)</f>
        <v>4624.36909756885</v>
      </c>
      <c r="AD17" s="0" t="n">
        <f aca="false">W_PH(AD$2,$A17)</f>
        <v>4624.49935707212</v>
      </c>
      <c r="AE17" s="0" t="n">
        <f aca="false">W_PH(AE$2,$A17)</f>
        <v>4624.62954478721</v>
      </c>
      <c r="AF17" s="0" t="n">
        <f aca="false">W_PH(AF$2,$A17)</f>
        <v>4624.75966082118</v>
      </c>
      <c r="AG17" s="0" t="n">
        <f aca="false">W_PH(AG$2,$A17)</f>
        <v>4624.88970528031</v>
      </c>
      <c r="AH17" s="0" t="n">
        <f aca="false">W_PH(AH$2,$A17)</f>
        <v>4626.18623606858</v>
      </c>
      <c r="AI17" s="0" t="n">
        <f aca="false">W_PH(AI$2,$A17)</f>
        <v>4627.47572035112</v>
      </c>
      <c r="AJ17" s="0" t="n">
        <f aca="false">W_PH(AJ$2,$A17)</f>
        <v>4628.75825111577</v>
      </c>
      <c r="AK17" s="0" t="n">
        <f aca="false">W_PH(AK$2,$A17)</f>
        <v>4630.03391308214</v>
      </c>
      <c r="AL17" s="0" t="n">
        <f aca="false">W_PH(AL$2,$A17)</f>
        <v>2015</v>
      </c>
      <c r="AM17" s="0" t="n">
        <f aca="false">W_PH(AM$2,$A17)</f>
        <v>2015</v>
      </c>
      <c r="AN17" s="0" t="n">
        <f aca="false">W_PH(AN$2,$A17)</f>
        <v>2015</v>
      </c>
      <c r="AO17" s="0" t="n">
        <f aca="false">W_PH(AO$2,$A17)</f>
        <v>2015</v>
      </c>
      <c r="AP17" s="0" t="n">
        <f aca="false">W_PH(AP$2,$A17)</f>
        <v>2015</v>
      </c>
      <c r="AQ17" s="0" t="n">
        <f aca="false">W_PH(AQ$2,$A17)</f>
        <v>2015</v>
      </c>
      <c r="AR17" s="0" t="n">
        <f aca="false">W_PH(AR$2,$A17)</f>
        <v>2015</v>
      </c>
      <c r="AS17" s="0" t="n">
        <f aca="false">W_PH(AS$2,$A17)</f>
        <v>2015</v>
      </c>
    </row>
    <row r="18" customFormat="false" ht="12.8" hidden="false" customHeight="false" outlineLevel="0" collapsed="false">
      <c r="A18" s="0" t="n">
        <v>3.00945829750645</v>
      </c>
      <c r="B18" s="0" t="n">
        <f aca="false">W_PH(B$2,$A18)</f>
        <v>2015</v>
      </c>
      <c r="C18" s="0" t="n">
        <f aca="false">W_PH(C$2,$A18)</f>
        <v>4627.37688997459</v>
      </c>
      <c r="D18" s="0" t="n">
        <f aca="false">W_PH(D$2,$A18)</f>
        <v>4627.3770230198</v>
      </c>
      <c r="E18" s="0" t="n">
        <f aca="false">W_PH(E$2,$A18)</f>
        <v>4627.37715606494</v>
      </c>
      <c r="F18" s="0" t="n">
        <f aca="false">W_PH(F$2,$A18)</f>
        <v>4627.37728911001</v>
      </c>
      <c r="G18" s="0" t="n">
        <f aca="false">W_PH(G$2,$A18)</f>
        <v>4627.3786195567</v>
      </c>
      <c r="H18" s="0" t="n">
        <f aca="false">W_PH(H$2,$A18)</f>
        <v>4627.37994999617</v>
      </c>
      <c r="I18" s="0" t="n">
        <f aca="false">W_PH(I$2,$A18)</f>
        <v>4627.38128042843</v>
      </c>
      <c r="J18" s="0" t="n">
        <f aca="false">W_PH(J$2,$A18)</f>
        <v>4627.38261085346</v>
      </c>
      <c r="K18" s="0" t="n">
        <f aca="false">W_PH(K$2,$A18)</f>
        <v>4627.38394127129</v>
      </c>
      <c r="L18" s="0" t="n">
        <f aca="false">W_PH(L$2,$A18)</f>
        <v>4627.38527168189</v>
      </c>
      <c r="M18" s="0" t="n">
        <f aca="false">W_PH(M$2,$A18)</f>
        <v>4627.38660208528</v>
      </c>
      <c r="N18" s="0" t="n">
        <f aca="false">W_PH(N$2,$A18)</f>
        <v>4627.38793248145</v>
      </c>
      <c r="O18" s="0" t="n">
        <f aca="false">W_PH(O$2,$A18)</f>
        <v>4627.3892628704</v>
      </c>
      <c r="P18" s="0" t="n">
        <f aca="false">W_PH(P$2,$A18)</f>
        <v>4627.40256636304</v>
      </c>
      <c r="Q18" s="0" t="n">
        <f aca="false">W_PH(Q$2,$A18)</f>
        <v>4627.41586913412</v>
      </c>
      <c r="R18" s="0" t="n">
        <f aca="false">W_PH(R$2,$A18)</f>
        <v>4627.42917118377</v>
      </c>
      <c r="S18" s="0" t="n">
        <f aca="false">W_PH(S$2,$A18)</f>
        <v>4627.4424725121</v>
      </c>
      <c r="T18" s="0" t="n">
        <f aca="false">W_PH(T$2,$A18)</f>
        <v>4627.45577311922</v>
      </c>
      <c r="U18" s="0" t="n">
        <f aca="false">W_PH(U$2,$A18)</f>
        <v>4627.46907300526</v>
      </c>
      <c r="V18" s="0" t="n">
        <f aca="false">W_PH(V$2,$A18)</f>
        <v>4627.48237217031</v>
      </c>
      <c r="W18" s="0" t="n">
        <f aca="false">W_PH(W$2,$A18)</f>
        <v>4627.49567061451</v>
      </c>
      <c r="X18" s="0" t="n">
        <f aca="false">W_PH(X$2,$A18)</f>
        <v>4627.50896833796</v>
      </c>
      <c r="Y18" s="0" t="n">
        <f aca="false">W_PH(Y$2,$A18)</f>
        <v>4627.64190595681</v>
      </c>
      <c r="Z18" s="0" t="n">
        <f aca="false">W_PH(Z$2,$A18)</f>
        <v>4627.77477162725</v>
      </c>
      <c r="AA18" s="0" t="n">
        <f aca="false">W_PH(AA$2,$A18)</f>
        <v>4627.90756546315</v>
      </c>
      <c r="AB18" s="0" t="n">
        <f aca="false">W_PH(AB$2,$A18)</f>
        <v>4628.04028757756</v>
      </c>
      <c r="AC18" s="0" t="n">
        <f aca="false">W_PH(AC$2,$A18)</f>
        <v>4628.1729380828</v>
      </c>
      <c r="AD18" s="0" t="n">
        <f aca="false">W_PH(AD$2,$A18)</f>
        <v>4628.30551709039</v>
      </c>
      <c r="AE18" s="0" t="n">
        <f aca="false">W_PH(AE$2,$A18)</f>
        <v>4628.43802471108</v>
      </c>
      <c r="AF18" s="0" t="n">
        <f aca="false">W_PH(AF$2,$A18)</f>
        <v>4628.57046105486</v>
      </c>
      <c r="AG18" s="0" t="n">
        <f aca="false">W_PH(AG$2,$A18)</f>
        <v>4628.70282623091</v>
      </c>
      <c r="AH18" s="0" t="n">
        <f aca="false">W_PH(AH$2,$A18)</f>
        <v>4630.02258722916</v>
      </c>
      <c r="AI18" s="0" t="n">
        <f aca="false">W_PH(AI$2,$A18)</f>
        <v>4631.3353457238</v>
      </c>
      <c r="AJ18" s="0" t="n">
        <f aca="false">W_PH(AJ$2,$A18)</f>
        <v>4632.6411978044</v>
      </c>
      <c r="AK18" s="0" t="n">
        <f aca="false">W_PH(AK$2,$A18)</f>
        <v>4633.9402314097</v>
      </c>
      <c r="AL18" s="0" t="n">
        <f aca="false">W_PH(AL$2,$A18)</f>
        <v>4635.23252615224</v>
      </c>
      <c r="AM18" s="0" t="n">
        <f aca="false">W_PH(AM$2,$A18)</f>
        <v>2015</v>
      </c>
      <c r="AN18" s="0" t="n">
        <f aca="false">W_PH(AN$2,$A18)</f>
        <v>2015</v>
      </c>
      <c r="AO18" s="0" t="n">
        <f aca="false">W_PH(AO$2,$A18)</f>
        <v>2015</v>
      </c>
      <c r="AP18" s="0" t="n">
        <f aca="false">W_PH(AP$2,$A18)</f>
        <v>2015</v>
      </c>
      <c r="AQ18" s="0" t="n">
        <f aca="false">W_PH(AQ$2,$A18)</f>
        <v>2015</v>
      </c>
      <c r="AR18" s="0" t="n">
        <f aca="false">W_PH(AR$2,$A18)</f>
        <v>2015</v>
      </c>
      <c r="AS18" s="0" t="n">
        <f aca="false">W_PH(AS$2,$A18)</f>
        <v>2015</v>
      </c>
    </row>
    <row r="19" customFormat="false" ht="12.8" hidden="false" customHeight="false" outlineLevel="0" collapsed="false">
      <c r="A19" s="0" t="n">
        <v>3.43938091143594</v>
      </c>
      <c r="B19" s="0" t="n">
        <f aca="false">W_PH(B$2,$A19)</f>
        <v>2015</v>
      </c>
      <c r="C19" s="0" t="n">
        <f aca="false">W_PH(C$2,$A19)</f>
        <v>4631.14900590011</v>
      </c>
      <c r="D19" s="0" t="n">
        <f aca="false">W_PH(D$2,$A19)</f>
        <v>4631.14914125148</v>
      </c>
      <c r="E19" s="0" t="n">
        <f aca="false">W_PH(E$2,$A19)</f>
        <v>4631.14927660277</v>
      </c>
      <c r="F19" s="0" t="n">
        <f aca="false">W_PH(F$2,$A19)</f>
        <v>4631.149411954</v>
      </c>
      <c r="G19" s="0" t="n">
        <f aca="false">W_PH(G$2,$A19)</f>
        <v>4631.15076546228</v>
      </c>
      <c r="H19" s="0" t="n">
        <f aca="false">W_PH(H$2,$A19)</f>
        <v>4631.15211896337</v>
      </c>
      <c r="I19" s="0" t="n">
        <f aca="false">W_PH(I$2,$A19)</f>
        <v>4631.15347245729</v>
      </c>
      <c r="J19" s="0" t="n">
        <f aca="false">W_PH(J$2,$A19)</f>
        <v>4631.15482594403</v>
      </c>
      <c r="K19" s="0" t="n">
        <f aca="false">W_PH(K$2,$A19)</f>
        <v>4631.15617942359</v>
      </c>
      <c r="L19" s="0" t="n">
        <f aca="false">W_PH(L$2,$A19)</f>
        <v>4631.15753289597</v>
      </c>
      <c r="M19" s="0" t="n">
        <f aca="false">W_PH(M$2,$A19)</f>
        <v>4631.15888636116</v>
      </c>
      <c r="N19" s="0" t="n">
        <f aca="false">W_PH(N$2,$A19)</f>
        <v>4631.16023981917</v>
      </c>
      <c r="O19" s="0" t="n">
        <f aca="false">W_PH(O$2,$A19)</f>
        <v>4631.16159327001</v>
      </c>
      <c r="P19" s="0" t="n">
        <f aca="false">W_PH(P$2,$A19)</f>
        <v>4631.17512738344</v>
      </c>
      <c r="Q19" s="0" t="n">
        <f aca="false">W_PH(Q$2,$A19)</f>
        <v>4631.18866077893</v>
      </c>
      <c r="R19" s="0" t="n">
        <f aca="false">W_PH(R$2,$A19)</f>
        <v>4631.20219345661</v>
      </c>
      <c r="S19" s="0" t="n">
        <f aca="false">W_PH(S$2,$A19)</f>
        <v>4631.21572541661</v>
      </c>
      <c r="T19" s="0" t="n">
        <f aca="false">W_PH(T$2,$A19)</f>
        <v>4631.22925665902</v>
      </c>
      <c r="U19" s="0" t="n">
        <f aca="false">W_PH(U$2,$A19)</f>
        <v>4631.24278718397</v>
      </c>
      <c r="V19" s="0" t="n">
        <f aca="false">W_PH(V$2,$A19)</f>
        <v>4631.25631699159</v>
      </c>
      <c r="W19" s="0" t="n">
        <f aca="false">W_PH(W$2,$A19)</f>
        <v>4631.26984608199</v>
      </c>
      <c r="X19" s="0" t="n">
        <f aca="false">W_PH(X$2,$A19)</f>
        <v>4631.28337445528</v>
      </c>
      <c r="Y19" s="0" t="n">
        <f aca="false">W_PH(Y$2,$A19)</f>
        <v>4631.41861877333</v>
      </c>
      <c r="Z19" s="0" t="n">
        <f aca="false">W_PH(Z$2,$A19)</f>
        <v>4631.55379151011</v>
      </c>
      <c r="AA19" s="0" t="n">
        <f aca="false">W_PH(AA$2,$A19)</f>
        <v>4631.68889278222</v>
      </c>
      <c r="AB19" s="0" t="n">
        <f aca="false">W_PH(AB$2,$A19)</f>
        <v>4631.82392270556</v>
      </c>
      <c r="AC19" s="0" t="n">
        <f aca="false">W_PH(AC$2,$A19)</f>
        <v>4631.95888139522</v>
      </c>
      <c r="AD19" s="0" t="n">
        <f aca="false">W_PH(AD$2,$A19)</f>
        <v>4632.09376896555</v>
      </c>
      <c r="AE19" s="0" t="n">
        <f aca="false">W_PH(AE$2,$A19)</f>
        <v>4632.22858553015</v>
      </c>
      <c r="AF19" s="0" t="n">
        <f aca="false">W_PH(AF$2,$A19)</f>
        <v>4632.36333120181</v>
      </c>
      <c r="AG19" s="0" t="n">
        <f aca="false">W_PH(AG$2,$A19)</f>
        <v>4632.49800609258</v>
      </c>
      <c r="AH19" s="0" t="n">
        <f aca="false">W_PH(AH$2,$A19)</f>
        <v>4633.84088614859</v>
      </c>
      <c r="AI19" s="0" t="n">
        <f aca="false">W_PH(AI$2,$A19)</f>
        <v>4635.17680559834</v>
      </c>
      <c r="AJ19" s="0" t="n">
        <f aca="false">W_PH(AJ$2,$A19)</f>
        <v>4636.50586356004</v>
      </c>
      <c r="AK19" s="0" t="n">
        <f aca="false">W_PH(AK$2,$A19)</f>
        <v>4637.82815111557</v>
      </c>
      <c r="AL19" s="0" t="n">
        <f aca="false">W_PH(AL$2,$A19)</f>
        <v>4639.1437511398</v>
      </c>
      <c r="AM19" s="0" t="n">
        <f aca="false">W_PH(AM$2,$A19)</f>
        <v>4640.45273812211</v>
      </c>
      <c r="AN19" s="0" t="n">
        <f aca="false">W_PH(AN$2,$A19)</f>
        <v>2015</v>
      </c>
      <c r="AO19" s="0" t="n">
        <f aca="false">W_PH(AO$2,$A19)</f>
        <v>2015</v>
      </c>
      <c r="AP19" s="0" t="n">
        <f aca="false">W_PH(AP$2,$A19)</f>
        <v>2015</v>
      </c>
      <c r="AQ19" s="0" t="n">
        <f aca="false">W_PH(AQ$2,$A19)</f>
        <v>2015</v>
      </c>
      <c r="AR19" s="0" t="n">
        <f aca="false">W_PH(AR$2,$A19)</f>
        <v>2015</v>
      </c>
      <c r="AS19" s="0" t="n">
        <f aca="false">W_PH(AS$2,$A19)</f>
        <v>2015</v>
      </c>
    </row>
    <row r="20" customFormat="false" ht="12.8" hidden="false" customHeight="false" outlineLevel="0" collapsed="false">
      <c r="A20" s="0" t="n">
        <v>3.86930352536543</v>
      </c>
      <c r="B20" s="0" t="n">
        <f aca="false">W_PH(B$2,$A20)</f>
        <v>2015</v>
      </c>
      <c r="C20" s="0" t="n">
        <f aca="false">W_PH(C$2,$A20)</f>
        <v>2015</v>
      </c>
      <c r="D20" s="0" t="n">
        <f aca="false">W_PH(D$2,$A20)</f>
        <v>4634.90341436909</v>
      </c>
      <c r="E20" s="0" t="n">
        <f aca="false">W_PH(E$2,$A20)</f>
        <v>4634.90355201578</v>
      </c>
      <c r="F20" s="0" t="n">
        <f aca="false">W_PH(F$2,$A20)</f>
        <v>4634.90368966241</v>
      </c>
      <c r="G20" s="0" t="n">
        <f aca="false">W_PH(G$2,$A20)</f>
        <v>4634.9050661247</v>
      </c>
      <c r="H20" s="0" t="n">
        <f aca="false">W_PH(H$2,$A20)</f>
        <v>4634.90644257984</v>
      </c>
      <c r="I20" s="0" t="n">
        <f aca="false">W_PH(I$2,$A20)</f>
        <v>4634.90781902784</v>
      </c>
      <c r="J20" s="0" t="n">
        <f aca="false">W_PH(J$2,$A20)</f>
        <v>4634.90919546869</v>
      </c>
      <c r="K20" s="0" t="n">
        <f aca="false">W_PH(K$2,$A20)</f>
        <v>4634.9105719024</v>
      </c>
      <c r="L20" s="0" t="n">
        <f aca="false">W_PH(L$2,$A20)</f>
        <v>4634.91194832895</v>
      </c>
      <c r="M20" s="0" t="n">
        <f aca="false">W_PH(M$2,$A20)</f>
        <v>4634.91332474837</v>
      </c>
      <c r="N20" s="0" t="n">
        <f aca="false">W_PH(N$2,$A20)</f>
        <v>4634.91470116063</v>
      </c>
      <c r="O20" s="0" t="n">
        <f aca="false">W_PH(O$2,$A20)</f>
        <v>4634.91607756575</v>
      </c>
      <c r="P20" s="0" t="n">
        <f aca="false">W_PH(P$2,$A20)</f>
        <v>4634.9298412239</v>
      </c>
      <c r="Q20" s="0" t="n">
        <f aca="false">W_PH(Q$2,$A20)</f>
        <v>4634.94360416756</v>
      </c>
      <c r="R20" s="0" t="n">
        <f aca="false">W_PH(R$2,$A20)</f>
        <v>4634.95736639683</v>
      </c>
      <c r="S20" s="0" t="n">
        <f aca="false">W_PH(S$2,$A20)</f>
        <v>4634.97112791184</v>
      </c>
      <c r="T20" s="0" t="n">
        <f aca="false">W_PH(T$2,$A20)</f>
        <v>4634.9848887127</v>
      </c>
      <c r="U20" s="0" t="n">
        <f aca="false">W_PH(U$2,$A20)</f>
        <v>4634.99864879956</v>
      </c>
      <c r="V20" s="0" t="n">
        <f aca="false">W_PH(V$2,$A20)</f>
        <v>4635.0124081725</v>
      </c>
      <c r="W20" s="0" t="n">
        <f aca="false">W_PH(W$2,$A20)</f>
        <v>4635.02616683167</v>
      </c>
      <c r="X20" s="0" t="n">
        <f aca="false">W_PH(X$2,$A20)</f>
        <v>4635.03992477719</v>
      </c>
      <c r="Y20" s="0" t="n">
        <f aca="false">W_PH(Y$2,$A20)</f>
        <v>4635.17746500762</v>
      </c>
      <c r="Z20" s="0" t="n">
        <f aca="false">W_PH(Z$2,$A20)</f>
        <v>4635.31493400437</v>
      </c>
      <c r="AA20" s="0" t="n">
        <f aca="false">W_PH(AA$2,$A20)</f>
        <v>4635.45233188678</v>
      </c>
      <c r="AB20" s="0" t="n">
        <f aca="false">W_PH(AB$2,$A20)</f>
        <v>4635.58965877348</v>
      </c>
      <c r="AC20" s="0" t="n">
        <f aca="false">W_PH(AC$2,$A20)</f>
        <v>4635.7269147823</v>
      </c>
      <c r="AD20" s="0" t="n">
        <f aca="false">W_PH(AD$2,$A20)</f>
        <v>4635.86410003036</v>
      </c>
      <c r="AE20" s="0" t="n">
        <f aca="false">W_PH(AE$2,$A20)</f>
        <v>4636.00121463397</v>
      </c>
      <c r="AF20" s="0" t="n">
        <f aca="false">W_PH(AF$2,$A20)</f>
        <v>4636.13825870874</v>
      </c>
      <c r="AG20" s="0" t="n">
        <f aca="false">W_PH(AG$2,$A20)</f>
        <v>4636.27523236949</v>
      </c>
      <c r="AH20" s="0" t="n">
        <f aca="false">W_PH(AH$2,$A20)</f>
        <v>4637.64112092245</v>
      </c>
      <c r="AI20" s="0" t="n">
        <f aca="false">W_PH(AI$2,$A20)</f>
        <v>4639.00008869346</v>
      </c>
      <c r="AJ20" s="0" t="n">
        <f aca="false">W_PH(AJ$2,$A20)</f>
        <v>4640.35223775769</v>
      </c>
      <c r="AK20" s="0" t="n">
        <f aca="false">W_PH(AK$2,$A20)</f>
        <v>4641.6976622656</v>
      </c>
      <c r="AL20" s="0" t="n">
        <f aca="false">W_PH(AL$2,$A20)</f>
        <v>4643.03644827703</v>
      </c>
      <c r="AM20" s="0" t="n">
        <f aca="false">W_PH(AM$2,$A20)</f>
        <v>4644.36867358733</v>
      </c>
      <c r="AN20" s="0" t="n">
        <f aca="false">W_PH(AN$2,$A20)</f>
        <v>4645.69440754576</v>
      </c>
      <c r="AO20" s="0" t="n">
        <f aca="false">W_PH(AO$2,$A20)</f>
        <v>2015</v>
      </c>
      <c r="AP20" s="0" t="n">
        <f aca="false">W_PH(AP$2,$A20)</f>
        <v>2015</v>
      </c>
      <c r="AQ20" s="0" t="n">
        <f aca="false">W_PH(AQ$2,$A20)</f>
        <v>2015</v>
      </c>
      <c r="AR20" s="0" t="n">
        <f aca="false">W_PH(AR$2,$A20)</f>
        <v>2015</v>
      </c>
      <c r="AS20" s="0" t="n">
        <f aca="false">W_PH(AS$2,$A20)</f>
        <v>2015</v>
      </c>
    </row>
    <row r="21" customFormat="false" ht="12.8" hidden="false" customHeight="false" outlineLevel="0" collapsed="false">
      <c r="A21" s="0" t="n">
        <v>4.29922613929493</v>
      </c>
      <c r="B21" s="0" t="n">
        <f aca="false">W_PH(B$2,$A21)</f>
        <v>2015</v>
      </c>
      <c r="C21" s="0" t="n">
        <f aca="false">W_PH(C$2,$A21)</f>
        <v>2015</v>
      </c>
      <c r="D21" s="0" t="n">
        <f aca="false">W_PH(D$2,$A21)</f>
        <v>4638.63983154471</v>
      </c>
      <c r="E21" s="0" t="n">
        <f aca="false">W_PH(E$2,$A21)</f>
        <v>4638.63997147611</v>
      </c>
      <c r="F21" s="0" t="n">
        <f aca="false">W_PH(F$2,$A21)</f>
        <v>4638.64011140743</v>
      </c>
      <c r="G21" s="0" t="n">
        <f aca="false">W_PH(G$2,$A21)</f>
        <v>4638.64151071672</v>
      </c>
      <c r="H21" s="0" t="n">
        <f aca="false">W_PH(H$2,$A21)</f>
        <v>4638.6429100189</v>
      </c>
      <c r="I21" s="0" t="n">
        <f aca="false">W_PH(I$2,$A21)</f>
        <v>4638.64430931396</v>
      </c>
      <c r="J21" s="0" t="n">
        <f aca="false">W_PH(J$2,$A21)</f>
        <v>4638.6457086019</v>
      </c>
      <c r="K21" s="0" t="n">
        <f aca="false">W_PH(K$2,$A21)</f>
        <v>4638.64710788273</v>
      </c>
      <c r="L21" s="0" t="n">
        <f aca="false">W_PH(L$2,$A21)</f>
        <v>4638.64850715645</v>
      </c>
      <c r="M21" s="0" t="n">
        <f aca="false">W_PH(M$2,$A21)</f>
        <v>4638.64990642306</v>
      </c>
      <c r="N21" s="0" t="n">
        <f aca="false">W_PH(N$2,$A21)</f>
        <v>4638.65130568254</v>
      </c>
      <c r="O21" s="0" t="n">
        <f aca="false">W_PH(O$2,$A21)</f>
        <v>4638.65270493492</v>
      </c>
      <c r="P21" s="0" t="n">
        <f aca="false">W_PH(P$2,$A21)</f>
        <v>4638.66669706743</v>
      </c>
      <c r="Q21" s="0" t="n">
        <f aca="false">W_PH(Q$2,$A21)</f>
        <v>4638.68068848867</v>
      </c>
      <c r="R21" s="0" t="n">
        <f aca="false">W_PH(R$2,$A21)</f>
        <v>4638.69467919876</v>
      </c>
      <c r="S21" s="0" t="n">
        <f aca="false">W_PH(S$2,$A21)</f>
        <v>4638.70866919784</v>
      </c>
      <c r="T21" s="0" t="n">
        <f aca="false">W_PH(T$2,$A21)</f>
        <v>4638.72265848602</v>
      </c>
      <c r="U21" s="0" t="n">
        <f aca="false">W_PH(U$2,$A21)</f>
        <v>4638.73664706343</v>
      </c>
      <c r="V21" s="0" t="n">
        <f aca="false">W_PH(V$2,$A21)</f>
        <v>4638.75063493018</v>
      </c>
      <c r="W21" s="0" t="n">
        <f aca="false">W_PH(W$2,$A21)</f>
        <v>4638.76462208642</v>
      </c>
      <c r="X21" s="0" t="n">
        <f aca="false">W_PH(X$2,$A21)</f>
        <v>4638.77860853225</v>
      </c>
      <c r="Y21" s="0" t="n">
        <f aca="false">W_PH(Y$2,$A21)</f>
        <v>4638.91843394542</v>
      </c>
      <c r="Z21" s="0" t="n">
        <f aca="false">W_PH(Z$2,$A21)</f>
        <v>4639.05818845331</v>
      </c>
      <c r="AA21" s="0" t="n">
        <f aca="false">W_PH(AA$2,$A21)</f>
        <v>4639.19787217792</v>
      </c>
      <c r="AB21" s="0" t="n">
        <f aca="false">W_PH(AB$2,$A21)</f>
        <v>4639.33748524052</v>
      </c>
      <c r="AC21" s="0" t="n">
        <f aca="false">W_PH(AC$2,$A21)</f>
        <v>4639.47702776164</v>
      </c>
      <c r="AD21" s="0" t="n">
        <f aca="false">W_PH(AD$2,$A21)</f>
        <v>4639.61649986107</v>
      </c>
      <c r="AE21" s="0" t="n">
        <f aca="false">W_PH(AE$2,$A21)</f>
        <v>4639.75590165785</v>
      </c>
      <c r="AF21" s="0" t="n">
        <f aca="false">W_PH(AF$2,$A21)</f>
        <v>4639.89523327026</v>
      </c>
      <c r="AG21" s="0" t="n">
        <f aca="false">W_PH(AG$2,$A21)</f>
        <v>4640.03449481585</v>
      </c>
      <c r="AH21" s="0" t="n">
        <f aca="false">W_PH(AH$2,$A21)</f>
        <v>4641.42328191792</v>
      </c>
      <c r="AI21" s="0" t="n">
        <f aca="false">W_PH(AI$2,$A21)</f>
        <v>4642.80518602105</v>
      </c>
      <c r="AJ21" s="0" t="n">
        <f aca="false">W_PH(AJ$2,$A21)</f>
        <v>4644.18031208707</v>
      </c>
      <c r="AK21" s="0" t="n">
        <f aca="false">W_PH(AK$2,$A21)</f>
        <v>4645.54875726195</v>
      </c>
      <c r="AL21" s="0" t="n">
        <f aca="false">W_PH(AL$2,$A21)</f>
        <v>4646.91061071451</v>
      </c>
      <c r="AM21" s="0" t="n">
        <f aca="false">W_PH(AM$2,$A21)</f>
        <v>4648.26595346726</v>
      </c>
      <c r="AN21" s="0" t="n">
        <f aca="false">W_PH(AN$2,$A21)</f>
        <v>4649.61485821958</v>
      </c>
      <c r="AO21" s="0" t="n">
        <f aca="false">W_PH(AO$2,$A21)</f>
        <v>4650.95738916273</v>
      </c>
      <c r="AP21" s="0" t="n">
        <f aca="false">W_PH(AP$2,$A21)</f>
        <v>2015</v>
      </c>
      <c r="AQ21" s="0" t="n">
        <f aca="false">W_PH(AQ$2,$A21)</f>
        <v>2015</v>
      </c>
      <c r="AR21" s="0" t="n">
        <f aca="false">W_PH(AR$2,$A21)</f>
        <v>2015</v>
      </c>
      <c r="AS21" s="0" t="n">
        <f aca="false">W_PH(AS$2,$A21)</f>
        <v>2015</v>
      </c>
    </row>
    <row r="22" customFormat="false" ht="12.8" hidden="false" customHeight="false" outlineLevel="0" collapsed="false">
      <c r="A22" s="0" t="n">
        <v>8.59845227858985</v>
      </c>
      <c r="B22" s="0" t="n">
        <f aca="false">W_PH(B$2,$A22)</f>
        <v>2015</v>
      </c>
      <c r="C22" s="0" t="n">
        <f aca="false">W_PH(C$2,$A22)</f>
        <v>2015</v>
      </c>
      <c r="D22" s="0" t="n">
        <f aca="false">W_PH(D$2,$A22)</f>
        <v>2015</v>
      </c>
      <c r="E22" s="0" t="n">
        <f aca="false">W_PH(E$2,$A22)</f>
        <v>4675.02117161718</v>
      </c>
      <c r="F22" s="0" t="n">
        <f aca="false">W_PH(F$2,$A22)</f>
        <v>4675.02133382073</v>
      </c>
      <c r="G22" s="0" t="n">
        <f aca="false">W_PH(G$2,$A22)</f>
        <v>4675.02295585236</v>
      </c>
      <c r="H22" s="0" t="n">
        <f aca="false">W_PH(H$2,$A22)</f>
        <v>4675.0245778771</v>
      </c>
      <c r="I22" s="0" t="n">
        <f aca="false">W_PH(I$2,$A22)</f>
        <v>4675.02619989495</v>
      </c>
      <c r="J22" s="0" t="n">
        <f aca="false">W_PH(J$2,$A22)</f>
        <v>4675.02782190591</v>
      </c>
      <c r="K22" s="0" t="n">
        <f aca="false">W_PH(K$2,$A22)</f>
        <v>4675.02944390999</v>
      </c>
      <c r="L22" s="0" t="n">
        <f aca="false">W_PH(L$2,$A22)</f>
        <v>4675.03106590717</v>
      </c>
      <c r="M22" s="0" t="n">
        <f aca="false">W_PH(M$2,$A22)</f>
        <v>4675.03268789746</v>
      </c>
      <c r="N22" s="0" t="n">
        <f aca="false">W_PH(N$2,$A22)</f>
        <v>4675.03430988086</v>
      </c>
      <c r="O22" s="0" t="n">
        <f aca="false">W_PH(O$2,$A22)</f>
        <v>4675.03593185738</v>
      </c>
      <c r="P22" s="0" t="n">
        <f aca="false">W_PH(P$2,$A22)</f>
        <v>4675.05215124363</v>
      </c>
      <c r="Q22" s="0" t="n">
        <f aca="false">W_PH(Q$2,$A22)</f>
        <v>4675.06836994112</v>
      </c>
      <c r="R22" s="0" t="n">
        <f aca="false">W_PH(R$2,$A22)</f>
        <v>4675.08458794998</v>
      </c>
      <c r="S22" s="0" t="n">
        <f aca="false">W_PH(S$2,$A22)</f>
        <v>4675.10080527037</v>
      </c>
      <c r="T22" s="0" t="n">
        <f aca="false">W_PH(T$2,$A22)</f>
        <v>4675.11702190242</v>
      </c>
      <c r="U22" s="0" t="n">
        <f aca="false">W_PH(U$2,$A22)</f>
        <v>4675.13323784631</v>
      </c>
      <c r="V22" s="0" t="n">
        <f aca="false">W_PH(V$2,$A22)</f>
        <v>4675.14945310214</v>
      </c>
      <c r="W22" s="0" t="n">
        <f aca="false">W_PH(W$2,$A22)</f>
        <v>4675.16566767009</v>
      </c>
      <c r="X22" s="0" t="n">
        <f aca="false">W_PH(X$2,$A22)</f>
        <v>4675.18188155031</v>
      </c>
      <c r="Y22" s="0" t="n">
        <f aca="false">W_PH(Y$2,$A22)</f>
        <v>4675.34398255872</v>
      </c>
      <c r="Z22" s="0" t="n">
        <f aca="false">W_PH(Z$2,$A22)</f>
        <v>4675.50601495341</v>
      </c>
      <c r="AA22" s="0" t="n">
        <f aca="false">W_PH(AA$2,$A22)</f>
        <v>4675.6679788797</v>
      </c>
      <c r="AB22" s="0" t="n">
        <f aca="false">W_PH(AB$2,$A22)</f>
        <v>4675.82987448226</v>
      </c>
      <c r="AC22" s="0" t="n">
        <f aca="false">W_PH(AC$2,$A22)</f>
        <v>4675.99170190508</v>
      </c>
      <c r="AD22" s="0" t="n">
        <f aca="false">W_PH(AD$2,$A22)</f>
        <v>4676.15346129151</v>
      </c>
      <c r="AE22" s="0" t="n">
        <f aca="false">W_PH(AE$2,$A22)</f>
        <v>4676.31515278423</v>
      </c>
      <c r="AF22" s="0" t="n">
        <f aca="false">W_PH(AF$2,$A22)</f>
        <v>4676.47677652527</v>
      </c>
      <c r="AG22" s="0" t="n">
        <f aca="false">W_PH(AG$2,$A22)</f>
        <v>4676.63833265597</v>
      </c>
      <c r="AH22" s="0" t="n">
        <f aca="false">W_PH(AH$2,$A22)</f>
        <v>4678.25020601767</v>
      </c>
      <c r="AI22" s="0" t="n">
        <f aca="false">W_PH(AI$2,$A22)</f>
        <v>4679.85546887903</v>
      </c>
      <c r="AJ22" s="0" t="n">
        <f aca="false">W_PH(AJ$2,$A22)</f>
        <v>4681.45425149622</v>
      </c>
      <c r="AK22" s="0" t="n">
        <f aca="false">W_PH(AK$2,$A22)</f>
        <v>4683.04667725672</v>
      </c>
      <c r="AL22" s="0" t="n">
        <f aca="false">W_PH(AL$2,$A22)</f>
        <v>4684.63286255958</v>
      </c>
      <c r="AM22" s="0" t="n">
        <f aca="false">W_PH(AM$2,$A22)</f>
        <v>4686.21291668905</v>
      </c>
      <c r="AN22" s="0" t="n">
        <f aca="false">W_PH(AN$2,$A22)</f>
        <v>4687.78694168135</v>
      </c>
      <c r="AO22" s="0" t="n">
        <f aca="false">W_PH(AO$2,$A22)</f>
        <v>4689.35503218457</v>
      </c>
      <c r="AP22" s="0" t="n">
        <f aca="false">W_PH(AP$2,$A22)</f>
        <v>4690.91727531139</v>
      </c>
      <c r="AQ22" s="0" t="n">
        <f aca="false">W_PH(AQ$2,$A22)</f>
        <v>2015</v>
      </c>
      <c r="AR22" s="0" t="n">
        <f aca="false">W_PH(AR$2,$A22)</f>
        <v>2015</v>
      </c>
      <c r="AS22" s="0" t="n">
        <f aca="false">W_PH(AS$2,$A22)</f>
        <v>2015</v>
      </c>
    </row>
    <row r="23" customFormat="false" ht="12.8" hidden="false" customHeight="false" outlineLevel="0" collapsed="false">
      <c r="A23" s="0" t="n">
        <v>12.8976784178848</v>
      </c>
      <c r="B23" s="0" t="n">
        <f aca="false">W_PH(B$2,$A23)</f>
        <v>2015</v>
      </c>
      <c r="C23" s="0" t="n">
        <f aca="false">W_PH(C$2,$A23)</f>
        <v>2015</v>
      </c>
      <c r="D23" s="0" t="n">
        <f aca="false">W_PH(D$2,$A23)</f>
        <v>2015</v>
      </c>
      <c r="E23" s="0" t="n">
        <f aca="false">W_PH(E$2,$A23)</f>
        <v>2015</v>
      </c>
      <c r="F23" s="0" t="n">
        <f aca="false">W_PH(F$2,$A23)</f>
        <v>4709.6192382088</v>
      </c>
      <c r="G23" s="0" t="n">
        <f aca="false">W_PH(G$2,$A23)</f>
        <v>4709.6210730044</v>
      </c>
      <c r="H23" s="0" t="n">
        <f aca="false">W_PH(H$2,$A23)</f>
        <v>4709.62290779317</v>
      </c>
      <c r="I23" s="0" t="n">
        <f aca="false">W_PH(I$2,$A23)</f>
        <v>4709.62474257512</v>
      </c>
      <c r="J23" s="0" t="n">
        <f aca="false">W_PH(J$2,$A23)</f>
        <v>4709.62657735024</v>
      </c>
      <c r="K23" s="0" t="n">
        <f aca="false">W_PH(K$2,$A23)</f>
        <v>4709.62841211854</v>
      </c>
      <c r="L23" s="0" t="n">
        <f aca="false">W_PH(L$2,$A23)</f>
        <v>4709.63024688001</v>
      </c>
      <c r="M23" s="0" t="n">
        <f aca="false">W_PH(M$2,$A23)</f>
        <v>4709.63208163466</v>
      </c>
      <c r="N23" s="0" t="n">
        <f aca="false">W_PH(N$2,$A23)</f>
        <v>4709.63391638248</v>
      </c>
      <c r="O23" s="0" t="n">
        <f aca="false">W_PH(O$2,$A23)</f>
        <v>4709.63575112349</v>
      </c>
      <c r="P23" s="0" t="n">
        <f aca="false">W_PH(P$2,$A23)</f>
        <v>4709.65409815821</v>
      </c>
      <c r="Q23" s="0" t="n">
        <f aca="false">W_PH(Q$2,$A23)</f>
        <v>4709.67244451072</v>
      </c>
      <c r="R23" s="0" t="n">
        <f aca="false">W_PH(R$2,$A23)</f>
        <v>4709.69079018117</v>
      </c>
      <c r="S23" s="0" t="n">
        <f aca="false">W_PH(S$2,$A23)</f>
        <v>4709.70913516973</v>
      </c>
      <c r="T23" s="0" t="n">
        <f aca="false">W_PH(T$2,$A23)</f>
        <v>4709.72747947657</v>
      </c>
      <c r="U23" s="0" t="n">
        <f aca="false">W_PH(U$2,$A23)</f>
        <v>4709.74582310185</v>
      </c>
      <c r="V23" s="0" t="n">
        <f aca="false">W_PH(V$2,$A23)</f>
        <v>4709.76416604573</v>
      </c>
      <c r="W23" s="0" t="n">
        <f aca="false">W_PH(W$2,$A23)</f>
        <v>4709.78250830839</v>
      </c>
      <c r="X23" s="0" t="n">
        <f aca="false">W_PH(X$2,$A23)</f>
        <v>4709.80084988998</v>
      </c>
      <c r="Y23" s="0" t="n">
        <f aca="false">W_PH(Y$2,$A23)</f>
        <v>4709.98422828337</v>
      </c>
      <c r="Z23" s="0" t="n">
        <f aca="false">W_PH(Z$2,$A23)</f>
        <v>4710.16753875066</v>
      </c>
      <c r="AA23" s="0" t="n">
        <f aca="false">W_PH(AA$2,$A23)</f>
        <v>4710.35078145533</v>
      </c>
      <c r="AB23" s="0" t="n">
        <f aca="false">W_PH(AB$2,$A23)</f>
        <v>4710.5339565603</v>
      </c>
      <c r="AC23" s="0" t="n">
        <f aca="false">W_PH(AC$2,$A23)</f>
        <v>4710.71706422786</v>
      </c>
      <c r="AD23" s="0" t="n">
        <f aca="false">W_PH(AD$2,$A23)</f>
        <v>4710.90010461973</v>
      </c>
      <c r="AE23" s="0" t="n">
        <f aca="false">W_PH(AE$2,$A23)</f>
        <v>4711.08307789701</v>
      </c>
      <c r="AF23" s="0" t="n">
        <f aca="false">W_PH(AF$2,$A23)</f>
        <v>4711.26598422024</v>
      </c>
      <c r="AG23" s="0" t="n">
        <f aca="false">W_PH(AG$2,$A23)</f>
        <v>4711.44882374933</v>
      </c>
      <c r="AH23" s="0" t="n">
        <f aca="false">W_PH(AH$2,$A23)</f>
        <v>4713.27358011542</v>
      </c>
      <c r="AI23" s="0" t="n">
        <f aca="false">W_PH(AI$2,$A23)</f>
        <v>4715.09182850948</v>
      </c>
      <c r="AJ23" s="0" t="n">
        <f aca="false">W_PH(AJ$2,$A23)</f>
        <v>4716.90371886734</v>
      </c>
      <c r="AK23" s="0" t="n">
        <f aca="false">W_PH(AK$2,$A23)</f>
        <v>4718.70939497684</v>
      </c>
      <c r="AL23" s="0" t="n">
        <f aca="false">W_PH(AL$2,$A23)</f>
        <v>4720.50899439325</v>
      </c>
      <c r="AM23" s="0" t="n">
        <f aca="false">W_PH(AM$2,$A23)</f>
        <v>4722.30264834866</v>
      </c>
      <c r="AN23" s="0" t="n">
        <f aca="false">W_PH(AN$2,$A23)</f>
        <v>4724.09048165558</v>
      </c>
      <c r="AO23" s="0" t="n">
        <f aca="false">W_PH(AO$2,$A23)</f>
        <v>4725.87261260439</v>
      </c>
      <c r="AP23" s="0" t="n">
        <f aca="false">W_PH(AP$2,$A23)</f>
        <v>4727.64915285461</v>
      </c>
      <c r="AQ23" s="0" t="n">
        <f aca="false">W_PH(AQ$2,$A23)</f>
        <v>4745.12664109781</v>
      </c>
      <c r="AR23" s="0" t="n">
        <f aca="false">W_PH(AR$2,$A23)</f>
        <v>4748.67212665521</v>
      </c>
      <c r="AS23" s="0" t="n">
        <f aca="false">W_PH(AS$2,$A23)</f>
        <v>4749.8507188792</v>
      </c>
    </row>
    <row r="24" customFormat="false" ht="12.8" hidden="false" customHeight="false" outlineLevel="0" collapsed="false">
      <c r="A24" s="0" t="n">
        <v>17.1969045571797</v>
      </c>
      <c r="B24" s="0" t="n">
        <f aca="false">W_PH(B$2,$A24)</f>
        <v>2015</v>
      </c>
      <c r="C24" s="0" t="n">
        <f aca="false">W_PH(C$2,$A24)</f>
        <v>2015</v>
      </c>
      <c r="D24" s="0" t="n">
        <f aca="false">W_PH(D$2,$A24)</f>
        <v>2015</v>
      </c>
      <c r="E24" s="0" t="n">
        <f aca="false">W_PH(E$2,$A24)</f>
        <v>2015</v>
      </c>
      <c r="F24" s="0" t="n">
        <f aca="false">W_PH(F$2,$A24)</f>
        <v>2015</v>
      </c>
      <c r="G24" s="0" t="n">
        <f aca="false">W_PH(G$2,$A24)</f>
        <v>4742.45282130953</v>
      </c>
      <c r="H24" s="0" t="n">
        <f aca="false">W_PH(H$2,$A24)</f>
        <v>4742.45485967207</v>
      </c>
      <c r="I24" s="0" t="n">
        <f aca="false">W_PH(I$2,$A24)</f>
        <v>4742.45689802771</v>
      </c>
      <c r="J24" s="0" t="n">
        <f aca="false">W_PH(J$2,$A24)</f>
        <v>4742.45893637645</v>
      </c>
      <c r="K24" s="0" t="n">
        <f aca="false">W_PH(K$2,$A24)</f>
        <v>4742.46097471831</v>
      </c>
      <c r="L24" s="0" t="n">
        <f aca="false">W_PH(L$2,$A24)</f>
        <v>4742.46301305327</v>
      </c>
      <c r="M24" s="0" t="n">
        <f aca="false">W_PH(M$2,$A24)</f>
        <v>4742.46505138134</v>
      </c>
      <c r="N24" s="0" t="n">
        <f aca="false">W_PH(N$2,$A24)</f>
        <v>4742.46708970253</v>
      </c>
      <c r="O24" s="0" t="n">
        <f aca="false">W_PH(O$2,$A24)</f>
        <v>4742.46912801682</v>
      </c>
      <c r="P24" s="0" t="n">
        <f aca="false">W_PH(P$2,$A24)</f>
        <v>4742.48951078073</v>
      </c>
      <c r="Q24" s="0" t="n">
        <f aca="false">W_PH(Q$2,$A24)</f>
        <v>4742.50989285573</v>
      </c>
      <c r="R24" s="0" t="n">
        <f aca="false">W_PH(R$2,$A24)</f>
        <v>4742.53027424198</v>
      </c>
      <c r="S24" s="0" t="n">
        <f aca="false">W_PH(S$2,$A24)</f>
        <v>4742.55065493967</v>
      </c>
      <c r="T24" s="0" t="n">
        <f aca="false">W_PH(T$2,$A24)</f>
        <v>4742.57103494897</v>
      </c>
      <c r="U24" s="0" t="n">
        <f aca="false">W_PH(U$2,$A24)</f>
        <v>4742.59141427007</v>
      </c>
      <c r="V24" s="0" t="n">
        <f aca="false">W_PH(V$2,$A24)</f>
        <v>4742.61179290312</v>
      </c>
      <c r="W24" s="0" t="n">
        <f aca="false">W_PH(W$2,$A24)</f>
        <v>4742.63217084833</v>
      </c>
      <c r="X24" s="0" t="n">
        <f aca="false">W_PH(X$2,$A24)</f>
        <v>4742.65254810587</v>
      </c>
      <c r="Y24" s="0" t="n">
        <f aca="false">W_PH(Y$2,$A24)</f>
        <v>4742.85628289846</v>
      </c>
      <c r="Z24" s="0" t="n">
        <f aca="false">W_PH(Z$2,$A24)</f>
        <v>4743.05994911972</v>
      </c>
      <c r="AA24" s="0" t="n">
        <f aca="false">W_PH(AA$2,$A24)</f>
        <v>4743.26354694724</v>
      </c>
      <c r="AB24" s="0" t="n">
        <f aca="false">W_PH(AB$2,$A24)</f>
        <v>4743.46707655806</v>
      </c>
      <c r="AC24" s="0" t="n">
        <f aca="false">W_PH(AC$2,$A24)</f>
        <v>4743.67053812869</v>
      </c>
      <c r="AD24" s="0" t="n">
        <f aca="false">W_PH(AD$2,$A24)</f>
        <v>4743.87393183508</v>
      </c>
      <c r="AE24" s="0" t="n">
        <f aca="false">W_PH(AE$2,$A24)</f>
        <v>4744.07725785263</v>
      </c>
      <c r="AF24" s="0" t="n">
        <f aca="false">W_PH(AF$2,$A24)</f>
        <v>4744.28051635617</v>
      </c>
      <c r="AG24" s="0" t="n">
        <f aca="false">W_PH(AG$2,$A24)</f>
        <v>4744.48370752002</v>
      </c>
      <c r="AH24" s="0" t="n">
        <f aca="false">W_PH(AH$2,$A24)</f>
        <v>4746.51195342536</v>
      </c>
      <c r="AI24" s="0" t="n">
        <f aca="false">W_PH(AI$2,$A24)</f>
        <v>4748.53365297874</v>
      </c>
      <c r="AJ24" s="0" t="n">
        <f aca="false">W_PH(AJ$2,$A24)</f>
        <v>4750.54897131424</v>
      </c>
      <c r="AK24" s="0" t="n">
        <f aca="false">W_PH(AK$2,$A24)</f>
        <v>4752.55806795123</v>
      </c>
      <c r="AL24" s="0" t="n">
        <f aca="false">W_PH(AL$2,$A24)</f>
        <v>4754.56109673943</v>
      </c>
      <c r="AM24" s="0" t="n">
        <f aca="false">W_PH(AM$2,$A24)</f>
        <v>4756.55820579878</v>
      </c>
      <c r="AN24" s="0" t="n">
        <f aca="false">W_PH(AN$2,$A24)</f>
        <v>4758.54953745412</v>
      </c>
      <c r="AO24" s="0" t="n">
        <f aca="false">W_PH(AO$2,$A24)</f>
        <v>4760.53522816449</v>
      </c>
      <c r="AP24" s="0" t="n">
        <f aca="false">W_PH(AP$2,$A24)</f>
        <v>4762.51540844697</v>
      </c>
      <c r="AQ24" s="0" t="n">
        <f aca="false">W_PH(AQ$2,$A24)</f>
        <v>4782.03842218135</v>
      </c>
      <c r="AR24" s="0" t="n">
        <f aca="false">W_PH(AR$2,$A24)</f>
        <v>4786.00948861193</v>
      </c>
      <c r="AS24" s="0" t="n">
        <f aca="false">W_PH(AS$2,$A24)</f>
        <v>4787.330471444</v>
      </c>
    </row>
    <row r="25" customFormat="false" ht="12.8" hidden="false" customHeight="false" outlineLevel="0" collapsed="false">
      <c r="A25" s="0" t="n">
        <v>21.4961306964746</v>
      </c>
      <c r="B25" s="0" t="n">
        <f aca="false">W_PH(B$2,$A25)</f>
        <v>2015</v>
      </c>
      <c r="C25" s="0" t="n">
        <f aca="false">W_PH(C$2,$A25)</f>
        <v>2015</v>
      </c>
      <c r="D25" s="0" t="n">
        <f aca="false">W_PH(D$2,$A25)</f>
        <v>2015</v>
      </c>
      <c r="E25" s="0" t="n">
        <f aca="false">W_PH(E$2,$A25)</f>
        <v>2015</v>
      </c>
      <c r="F25" s="0" t="n">
        <f aca="false">W_PH(F$2,$A25)</f>
        <v>2015</v>
      </c>
      <c r="G25" s="0" t="n">
        <f aca="false">W_PH(G$2,$A25)</f>
        <v>4773.5463300546</v>
      </c>
      <c r="H25" s="0" t="n">
        <f aca="false">W_PH(H$2,$A25)</f>
        <v>4773.54856360223</v>
      </c>
      <c r="I25" s="0" t="n">
        <f aca="false">W_PH(I$2,$A25)</f>
        <v>4773.55079714279</v>
      </c>
      <c r="J25" s="0" t="n">
        <f aca="false">W_PH(J$2,$A25)</f>
        <v>4773.55303067628</v>
      </c>
      <c r="K25" s="0" t="n">
        <f aca="false">W_PH(K$2,$A25)</f>
        <v>4773.55526420271</v>
      </c>
      <c r="L25" s="0" t="n">
        <f aca="false">W_PH(L$2,$A25)</f>
        <v>4773.55749772207</v>
      </c>
      <c r="M25" s="0" t="n">
        <f aca="false">W_PH(M$2,$A25)</f>
        <v>4773.55973123436</v>
      </c>
      <c r="N25" s="0" t="n">
        <f aca="false">W_PH(N$2,$A25)</f>
        <v>4773.56196473958</v>
      </c>
      <c r="O25" s="0" t="n">
        <f aca="false">W_PH(O$2,$A25)</f>
        <v>4773.56419823774</v>
      </c>
      <c r="P25" s="0" t="n">
        <f aca="false">W_PH(P$2,$A25)</f>
        <v>4773.58653283071</v>
      </c>
      <c r="Q25" s="0" t="n">
        <f aca="false">W_PH(Q$2,$A25)</f>
        <v>4773.60886671723</v>
      </c>
      <c r="R25" s="0" t="n">
        <f aca="false">W_PH(R$2,$A25)</f>
        <v>4773.63119989749</v>
      </c>
      <c r="S25" s="0" t="n">
        <f aca="false">W_PH(S$2,$A25)</f>
        <v>4773.65353237168</v>
      </c>
      <c r="T25" s="0" t="n">
        <f aca="false">W_PH(T$2,$A25)</f>
        <v>4773.67586413998</v>
      </c>
      <c r="U25" s="0" t="n">
        <f aca="false">W_PH(U$2,$A25)</f>
        <v>4773.6981952026</v>
      </c>
      <c r="V25" s="0" t="n">
        <f aca="false">W_PH(V$2,$A25)</f>
        <v>4773.72052555972</v>
      </c>
      <c r="W25" s="0" t="n">
        <f aca="false">W_PH(W$2,$A25)</f>
        <v>4773.74285521152</v>
      </c>
      <c r="X25" s="0" t="n">
        <f aca="false">W_PH(X$2,$A25)</f>
        <v>4773.7651841582</v>
      </c>
      <c r="Y25" s="0" t="n">
        <f aca="false">W_PH(Y$2,$A25)</f>
        <v>4773.98843488492</v>
      </c>
      <c r="Z25" s="0" t="n">
        <f aca="false">W_PH(Z$2,$A25)</f>
        <v>4774.21161530733</v>
      </c>
      <c r="AA25" s="0" t="n">
        <f aca="false">W_PH(AA$2,$A25)</f>
        <v>4774.43472561396</v>
      </c>
      <c r="AB25" s="0" t="n">
        <f aca="false">W_PH(AB$2,$A25)</f>
        <v>4774.65776599282</v>
      </c>
      <c r="AC25" s="0" t="n">
        <f aca="false">W_PH(AC$2,$A25)</f>
        <v>4774.8807366314</v>
      </c>
      <c r="AD25" s="0" t="n">
        <f aca="false">W_PH(AD$2,$A25)</f>
        <v>4775.10363771666</v>
      </c>
      <c r="AE25" s="0" t="n">
        <f aca="false">W_PH(AE$2,$A25)</f>
        <v>4775.32646943508</v>
      </c>
      <c r="AF25" s="0" t="n">
        <f aca="false">W_PH(AF$2,$A25)</f>
        <v>4775.54923197257</v>
      </c>
      <c r="AG25" s="0" t="n">
        <f aca="false">W_PH(AG$2,$A25)</f>
        <v>4775.77192551456</v>
      </c>
      <c r="AH25" s="0" t="n">
        <f aca="false">W_PH(AH$2,$A25)</f>
        <v>4777.99510660228</v>
      </c>
      <c r="AI25" s="0" t="n">
        <f aca="false">W_PH(AI$2,$A25)</f>
        <v>4780.21158823962</v>
      </c>
      <c r="AJ25" s="0" t="n">
        <f aca="false">W_PH(AJ$2,$A25)</f>
        <v>4782.42154725325</v>
      </c>
      <c r="AK25" s="0" t="n">
        <f aca="false">W_PH(AK$2,$A25)</f>
        <v>4784.62515523301</v>
      </c>
      <c r="AL25" s="0" t="n">
        <f aca="false">W_PH(AL$2,$A25)</f>
        <v>4786.82257850246</v>
      </c>
      <c r="AM25" s="0" t="n">
        <f aca="false">W_PH(AM$2,$A25)</f>
        <v>4789.01397808468</v>
      </c>
      <c r="AN25" s="0" t="n">
        <f aca="false">W_PH(AN$2,$A25)</f>
        <v>4791.19950966358</v>
      </c>
      <c r="AO25" s="0" t="n">
        <f aca="false">W_PH(AO$2,$A25)</f>
        <v>4793.37932354038</v>
      </c>
      <c r="AP25" s="0" t="n">
        <f aca="false">W_PH(AP$2,$A25)</f>
        <v>4795.55356458527</v>
      </c>
      <c r="AQ25" s="0" t="n">
        <f aca="false">W_PH(AQ$2,$A25)</f>
        <v>4817.01733558669</v>
      </c>
      <c r="AR25" s="0" t="n">
        <f aca="false">W_PH(AR$2,$A25)</f>
        <v>4821.39000987936</v>
      </c>
      <c r="AS25" s="0" t="n">
        <f aca="false">W_PH(AS$2,$A25)</f>
        <v>4822.84517772825</v>
      </c>
    </row>
    <row r="26" customFormat="false" ht="12.8" hidden="false" customHeight="false" outlineLevel="0" collapsed="false">
      <c r="A26" s="0" t="n">
        <v>25.7953568357696</v>
      </c>
      <c r="B26" s="0" t="n">
        <f aca="false">W_PH(B$2,$A26)</f>
        <v>2015</v>
      </c>
      <c r="C26" s="0" t="n">
        <f aca="false">W_PH(C$2,$A26)</f>
        <v>2015</v>
      </c>
      <c r="D26" s="0" t="n">
        <f aca="false">W_PH(D$2,$A26)</f>
        <v>2015</v>
      </c>
      <c r="E26" s="0" t="n">
        <f aca="false">W_PH(E$2,$A26)</f>
        <v>2015</v>
      </c>
      <c r="F26" s="0" t="n">
        <f aca="false">W_PH(F$2,$A26)</f>
        <v>2015</v>
      </c>
      <c r="G26" s="0" t="n">
        <f aca="false">W_PH(G$2,$A26)</f>
        <v>4802.93755420759</v>
      </c>
      <c r="H26" s="0" t="n">
        <f aca="false">W_PH(H$2,$A26)</f>
        <v>4802.93997534278</v>
      </c>
      <c r="I26" s="0" t="n">
        <f aca="false">W_PH(I$2,$A26)</f>
        <v>4802.94239647063</v>
      </c>
      <c r="J26" s="0" t="n">
        <f aca="false">W_PH(J$2,$A26)</f>
        <v>4802.94481759115</v>
      </c>
      <c r="K26" s="0" t="n">
        <f aca="false">W_PH(K$2,$A26)</f>
        <v>4802.94723870434</v>
      </c>
      <c r="L26" s="0" t="n">
        <f aca="false">W_PH(L$2,$A26)</f>
        <v>4802.94965981021</v>
      </c>
      <c r="M26" s="0" t="n">
        <f aca="false">W_PH(M$2,$A26)</f>
        <v>4802.95208090874</v>
      </c>
      <c r="N26" s="0" t="n">
        <f aca="false">W_PH(N$2,$A26)</f>
        <v>4802.95450199995</v>
      </c>
      <c r="O26" s="0" t="n">
        <f aca="false">W_PH(O$2,$A26)</f>
        <v>4802.95692308383</v>
      </c>
      <c r="P26" s="0" t="n">
        <f aca="false">W_PH(P$2,$A26)</f>
        <v>4802.98113351956</v>
      </c>
      <c r="Q26" s="0" t="n">
        <f aca="false">W_PH(Q$2,$A26)</f>
        <v>4803.00534322262</v>
      </c>
      <c r="R26" s="0" t="n">
        <f aca="false">W_PH(R$2,$A26)</f>
        <v>4803.02955219323</v>
      </c>
      <c r="S26" s="0" t="n">
        <f aca="false">W_PH(S$2,$A26)</f>
        <v>4803.05376043158</v>
      </c>
      <c r="T26" s="0" t="n">
        <f aca="false">W_PH(T$2,$A26)</f>
        <v>4803.07796793786</v>
      </c>
      <c r="U26" s="0" t="n">
        <f aca="false">W_PH(U$2,$A26)</f>
        <v>4803.10217471227</v>
      </c>
      <c r="V26" s="0" t="n">
        <f aca="false">W_PH(V$2,$A26)</f>
        <v>4803.12638075501</v>
      </c>
      <c r="W26" s="0" t="n">
        <f aca="false">W_PH(W$2,$A26)</f>
        <v>4803.15058606629</v>
      </c>
      <c r="X26" s="0" t="n">
        <f aca="false">W_PH(X$2,$A26)</f>
        <v>4803.17479064628</v>
      </c>
      <c r="Y26" s="0" t="n">
        <f aca="false">W_PH(Y$2,$A26)</f>
        <v>4803.41679626972</v>
      </c>
      <c r="Z26" s="0" t="n">
        <f aca="false">W_PH(Z$2,$A26)</f>
        <v>4803.65872898309</v>
      </c>
      <c r="AA26" s="0" t="n">
        <f aca="false">W_PH(AA$2,$A26)</f>
        <v>4803.90058898347</v>
      </c>
      <c r="AB26" s="0" t="n">
        <f aca="false">W_PH(AB$2,$A26)</f>
        <v>4804.1423764674</v>
      </c>
      <c r="AC26" s="0" t="n">
        <f aca="false">W_PH(AC$2,$A26)</f>
        <v>4804.38409163094</v>
      </c>
      <c r="AD26" s="0" t="n">
        <f aca="false">W_PH(AD$2,$A26)</f>
        <v>4804.62573466965</v>
      </c>
      <c r="AE26" s="0" t="n">
        <f aca="false">W_PH(AE$2,$A26)</f>
        <v>4804.86730577859</v>
      </c>
      <c r="AF26" s="0" t="n">
        <f aca="false">W_PH(AF$2,$A26)</f>
        <v>4805.10880515232</v>
      </c>
      <c r="AG26" s="0" t="n">
        <f aca="false">W_PH(AG$2,$A26)</f>
        <v>4805.35023298492</v>
      </c>
      <c r="AH26" s="0" t="n">
        <f aca="false">W_PH(AH$2,$A26)</f>
        <v>4807.7606188858</v>
      </c>
      <c r="AI26" s="0" t="n">
        <f aca="false">W_PH(AI$2,$A26)</f>
        <v>4810.1640604427</v>
      </c>
      <c r="AJ26" s="0" t="n">
        <f aca="false">W_PH(AJ$2,$A26)</f>
        <v>4812.56074349642</v>
      </c>
      <c r="AK26" s="0" t="n">
        <f aca="false">W_PH(AK$2,$A26)</f>
        <v>4814.95084890009</v>
      </c>
      <c r="AL26" s="0" t="n">
        <f aca="false">W_PH(AL$2,$A26)</f>
        <v>4817.33455251149</v>
      </c>
      <c r="AM26" s="0" t="n">
        <f aca="false">W_PH(AM$2,$A26)</f>
        <v>4819.71202518137</v>
      </c>
      <c r="AN26" s="0" t="n">
        <f aca="false">W_PH(AN$2,$A26)</f>
        <v>4822.08343273761</v>
      </c>
      <c r="AO26" s="0" t="n">
        <f aca="false">W_PH(AO$2,$A26)</f>
        <v>4824.44893596515</v>
      </c>
      <c r="AP26" s="0" t="n">
        <f aca="false">W_PH(AP$2,$A26)</f>
        <v>4826.80869058163</v>
      </c>
      <c r="AQ26" s="0" t="n">
        <f aca="false">W_PH(AQ$2,$A26)</f>
        <v>4850.12062658829</v>
      </c>
      <c r="AR26" s="0" t="n">
        <f aca="false">W_PH(AR$2,$A26)</f>
        <v>4854.87393574699</v>
      </c>
      <c r="AS26" s="0" t="n">
        <f aca="false">W_PH(AS$2,$A26)</f>
        <v>4856.4561267615</v>
      </c>
    </row>
    <row r="27" customFormat="false" ht="12.8" hidden="false" customHeight="false" outlineLevel="0" collapsed="false">
      <c r="A27" s="0" t="n">
        <v>30.0945829750645</v>
      </c>
      <c r="B27" s="0" t="n">
        <f aca="false">W_PH(B$2,$A27)</f>
        <v>2015</v>
      </c>
      <c r="C27" s="0" t="n">
        <f aca="false">W_PH(C$2,$A27)</f>
        <v>2015</v>
      </c>
      <c r="D27" s="0" t="n">
        <f aca="false">W_PH(D$2,$A27)</f>
        <v>2015</v>
      </c>
      <c r="E27" s="0" t="n">
        <f aca="false">W_PH(E$2,$A27)</f>
        <v>2015</v>
      </c>
      <c r="F27" s="0" t="n">
        <f aca="false">W_PH(F$2,$A27)</f>
        <v>2015</v>
      </c>
      <c r="G27" s="0" t="n">
        <f aca="false">W_PH(G$2,$A27)</f>
        <v>4830.66773561315</v>
      </c>
      <c r="H27" s="0" t="n">
        <f aca="false">W_PH(H$2,$A27)</f>
        <v>4830.67033749159</v>
      </c>
      <c r="I27" s="0" t="n">
        <f aca="false">W_PH(I$2,$A27)</f>
        <v>4830.67293936237</v>
      </c>
      <c r="J27" s="0" t="n">
        <f aca="false">W_PH(J$2,$A27)</f>
        <v>4830.6755412255</v>
      </c>
      <c r="K27" s="0" t="n">
        <f aca="false">W_PH(K$2,$A27)</f>
        <v>4830.67814308096</v>
      </c>
      <c r="L27" s="0" t="n">
        <f aca="false">W_PH(L$2,$A27)</f>
        <v>4830.68074492876</v>
      </c>
      <c r="M27" s="0" t="n">
        <f aca="false">W_PH(M$2,$A27)</f>
        <v>4830.68334676891</v>
      </c>
      <c r="N27" s="0" t="n">
        <f aca="false">W_PH(N$2,$A27)</f>
        <v>4830.68594860139</v>
      </c>
      <c r="O27" s="0" t="n">
        <f aca="false">W_PH(O$2,$A27)</f>
        <v>4830.68855042621</v>
      </c>
      <c r="P27" s="0" t="n">
        <f aca="false">W_PH(P$2,$A27)</f>
        <v>4830.71456825322</v>
      </c>
      <c r="Q27" s="0" t="n">
        <f aca="false">W_PH(Q$2,$A27)</f>
        <v>4830.7405853145</v>
      </c>
      <c r="R27" s="0" t="n">
        <f aca="false">W_PH(R$2,$A27)</f>
        <v>4830.76660161026</v>
      </c>
      <c r="S27" s="0" t="n">
        <f aca="false">W_PH(S$2,$A27)</f>
        <v>4830.7926171407</v>
      </c>
      <c r="T27" s="0" t="n">
        <f aca="false">W_PH(T$2,$A27)</f>
        <v>4830.81863190602</v>
      </c>
      <c r="U27" s="0" t="n">
        <f aca="false">W_PH(U$2,$A27)</f>
        <v>4830.84464590644</v>
      </c>
      <c r="V27" s="0" t="n">
        <f aca="false">W_PH(V$2,$A27)</f>
        <v>4830.87065914216</v>
      </c>
      <c r="W27" s="0" t="n">
        <f aca="false">W_PH(W$2,$A27)</f>
        <v>4830.89667161338</v>
      </c>
      <c r="X27" s="0" t="n">
        <f aca="false">W_PH(X$2,$A27)</f>
        <v>4830.9226833203</v>
      </c>
      <c r="Y27" s="0" t="n">
        <f aca="false">W_PH(Y$2,$A27)</f>
        <v>4831.1827583984</v>
      </c>
      <c r="Z27" s="0" t="n">
        <f aca="false">W_PH(Z$2,$A27)</f>
        <v>4831.44275727187</v>
      </c>
      <c r="AA27" s="0" t="n">
        <f aca="false">W_PH(AA$2,$A27)</f>
        <v>4831.70268014456</v>
      </c>
      <c r="AB27" s="0" t="n">
        <f aca="false">W_PH(AB$2,$A27)</f>
        <v>4831.96252721981</v>
      </c>
      <c r="AC27" s="0" t="n">
        <f aca="false">W_PH(AC$2,$A27)</f>
        <v>4832.22229870046</v>
      </c>
      <c r="AD27" s="0" t="n">
        <f aca="false">W_PH(AD$2,$A27)</f>
        <v>4832.48199478887</v>
      </c>
      <c r="AE27" s="0" t="n">
        <f aca="false">W_PH(AE$2,$A27)</f>
        <v>4832.74161568693</v>
      </c>
      <c r="AF27" s="0" t="n">
        <f aca="false">W_PH(AF$2,$A27)</f>
        <v>4833.00116159601</v>
      </c>
      <c r="AG27" s="0" t="n">
        <f aca="false">W_PH(AG$2,$A27)</f>
        <v>4833.26063271702</v>
      </c>
      <c r="AH27" s="0" t="n">
        <f aca="false">W_PH(AH$2,$A27)</f>
        <v>4835.85127443164</v>
      </c>
      <c r="AI27" s="0" t="n">
        <f aca="false">W_PH(AI$2,$A27)</f>
        <v>4838.43465470775</v>
      </c>
      <c r="AJ27" s="0" t="n">
        <f aca="false">W_PH(AJ$2,$A27)</f>
        <v>4841.01096641516</v>
      </c>
      <c r="AK27" s="0" t="n">
        <f aca="false">W_PH(AK$2,$A27)</f>
        <v>4843.5803975779</v>
      </c>
      <c r="AL27" s="0" t="n">
        <f aca="false">W_PH(AL$2,$A27)</f>
        <v>4846.14313138556</v>
      </c>
      <c r="AM27" s="0" t="n">
        <f aca="false">W_PH(AM$2,$A27)</f>
        <v>4848.69934620111</v>
      </c>
      <c r="AN27" s="0" t="n">
        <f aca="false">W_PH(AN$2,$A27)</f>
        <v>4851.24921556498</v>
      </c>
      <c r="AO27" s="0" t="n">
        <f aca="false">W_PH(AO$2,$A27)</f>
        <v>4853.79290819537</v>
      </c>
      <c r="AP27" s="0" t="n">
        <f aca="false">W_PH(AP$2,$A27)</f>
        <v>4856.33058798469</v>
      </c>
      <c r="AQ27" s="0" t="n">
        <f aca="false">W_PH(AQ$2,$A27)</f>
        <v>4881.40925822018</v>
      </c>
      <c r="AR27" s="0" t="n">
        <f aca="false">W_PH(AR$2,$A27)</f>
        <v>4886.52494472171</v>
      </c>
      <c r="AS27" s="0" t="n">
        <f aca="false">W_PH(AS$2,$A27)</f>
        <v>4888.22793916037</v>
      </c>
    </row>
    <row r="28" customFormat="false" ht="12.8" hidden="false" customHeight="false" outlineLevel="0" collapsed="false">
      <c r="A28" s="0" t="n">
        <v>34.3938091143594</v>
      </c>
      <c r="B28" s="0" t="n">
        <f aca="false">W_PH(B$2,$A28)</f>
        <v>2015</v>
      </c>
      <c r="C28" s="0" t="n">
        <f aca="false">W_PH(C$2,$A28)</f>
        <v>2015</v>
      </c>
      <c r="D28" s="0" t="n">
        <f aca="false">W_PH(D$2,$A28)</f>
        <v>2015</v>
      </c>
      <c r="E28" s="0" t="n">
        <f aca="false">W_PH(E$2,$A28)</f>
        <v>2015</v>
      </c>
      <c r="F28" s="0" t="n">
        <f aca="false">W_PH(F$2,$A28)</f>
        <v>2015</v>
      </c>
      <c r="G28" s="0" t="n">
        <f aca="false">W_PH(G$2,$A28)</f>
        <v>2015</v>
      </c>
      <c r="H28" s="0" t="n">
        <f aca="false">W_PH(H$2,$A28)</f>
        <v>4856.78426581848</v>
      </c>
      <c r="I28" s="0" t="n">
        <f aca="false">W_PH(I$2,$A28)</f>
        <v>4856.78704228746</v>
      </c>
      <c r="J28" s="0" t="n">
        <f aca="false">W_PH(J$2,$A28)</f>
        <v>4856.7898187484</v>
      </c>
      <c r="K28" s="0" t="n">
        <f aca="false">W_PH(K$2,$A28)</f>
        <v>4856.79259520129</v>
      </c>
      <c r="L28" s="0" t="n">
        <f aca="false">W_PH(L$2,$A28)</f>
        <v>4856.79537164613</v>
      </c>
      <c r="M28" s="0" t="n">
        <f aca="false">W_PH(M$2,$A28)</f>
        <v>4856.79814808294</v>
      </c>
      <c r="N28" s="0" t="n">
        <f aca="false">W_PH(N$2,$A28)</f>
        <v>4856.80092451169</v>
      </c>
      <c r="O28" s="0" t="n">
        <f aca="false">W_PH(O$2,$A28)</f>
        <v>4856.80370093241</v>
      </c>
      <c r="P28" s="0" t="n">
        <f aca="false">W_PH(P$2,$A28)</f>
        <v>4856.83146469722</v>
      </c>
      <c r="Q28" s="0" t="n">
        <f aca="false">W_PH(Q$2,$A28)</f>
        <v>4856.85922765791</v>
      </c>
      <c r="R28" s="0" t="n">
        <f aca="false">W_PH(R$2,$A28)</f>
        <v>4856.88698981469</v>
      </c>
      <c r="S28" s="0" t="n">
        <f aca="false">W_PH(S$2,$A28)</f>
        <v>4856.91475116777</v>
      </c>
      <c r="T28" s="0" t="n">
        <f aca="false">W_PH(T$2,$A28)</f>
        <v>4856.94251171736</v>
      </c>
      <c r="U28" s="0" t="n">
        <f aca="false">W_PH(U$2,$A28)</f>
        <v>4856.97027146368</v>
      </c>
      <c r="V28" s="0" t="n">
        <f aca="false">W_PH(V$2,$A28)</f>
        <v>4856.99803040693</v>
      </c>
      <c r="W28" s="0" t="n">
        <f aca="false">W_PH(W$2,$A28)</f>
        <v>4857.02578854732</v>
      </c>
      <c r="X28" s="0" t="n">
        <f aca="false">W_PH(X$2,$A28)</f>
        <v>4857.05354588506</v>
      </c>
      <c r="Y28" s="0" t="n">
        <f aca="false">W_PH(Y$2,$A28)</f>
        <v>4857.33107516309</v>
      </c>
      <c r="Z28" s="0" t="n">
        <f aca="false">W_PH(Z$2,$A28)</f>
        <v>4857.60852440725</v>
      </c>
      <c r="AA28" s="0" t="n">
        <f aca="false">W_PH(AA$2,$A28)</f>
        <v>4857.88589382692</v>
      </c>
      <c r="AB28" s="0" t="n">
        <f aca="false">W_PH(AB$2,$A28)</f>
        <v>4858.16318363101</v>
      </c>
      <c r="AC28" s="0" t="n">
        <f aca="false">W_PH(AC$2,$A28)</f>
        <v>4858.44039402793</v>
      </c>
      <c r="AD28" s="0" t="n">
        <f aca="false">W_PH(AD$2,$A28)</f>
        <v>4858.7175252256</v>
      </c>
      <c r="AE28" s="0" t="n">
        <f aca="false">W_PH(AE$2,$A28)</f>
        <v>4858.99457743145</v>
      </c>
      <c r="AF28" s="0" t="n">
        <f aca="false">W_PH(AF$2,$A28)</f>
        <v>4859.27155085245</v>
      </c>
      <c r="AG28" s="0" t="n">
        <f aca="false">W_PH(AG$2,$A28)</f>
        <v>4859.54844569506</v>
      </c>
      <c r="AH28" s="0" t="n">
        <f aca="false">W_PH(AH$2,$A28)</f>
        <v>4862.3131173842</v>
      </c>
      <c r="AI28" s="0" t="n">
        <f aca="false">W_PH(AI$2,$A28)</f>
        <v>4865.07015474471</v>
      </c>
      <c r="AJ28" s="0" t="n">
        <f aca="false">W_PH(AJ$2,$A28)</f>
        <v>4867.81975626569</v>
      </c>
      <c r="AK28" s="0" t="n">
        <f aca="false">W_PH(AK$2,$A28)</f>
        <v>4870.56211564263</v>
      </c>
      <c r="AL28" s="0" t="n">
        <f aca="false">W_PH(AL$2,$A28)</f>
        <v>4873.29742180553</v>
      </c>
      <c r="AM28" s="0" t="n">
        <f aca="false">W_PH(AM$2,$A28)</f>
        <v>4876.02585894378</v>
      </c>
      <c r="AN28" s="0" t="n">
        <f aca="false">W_PH(AN$2,$A28)</f>
        <v>4878.74760652773</v>
      </c>
      <c r="AO28" s="0" t="n">
        <f aca="false">W_PH(AO$2,$A28)</f>
        <v>4881.46283932687</v>
      </c>
      <c r="AP28" s="0" t="n">
        <f aca="false">W_PH(AP$2,$A28)</f>
        <v>4884.17172742457</v>
      </c>
      <c r="AQ28" s="0" t="n">
        <f aca="false">W_PH(AQ$2,$A28)</f>
        <v>4910.94572886034</v>
      </c>
      <c r="AR28" s="0" t="n">
        <f aca="false">W_PH(AR$2,$A28)</f>
        <v>4916.40794771934</v>
      </c>
      <c r="AS28" s="0" t="n">
        <f aca="false">W_PH(AS$2,$A28)</f>
        <v>4918.22636079319</v>
      </c>
    </row>
    <row r="29" customFormat="false" ht="12.8" hidden="false" customHeight="false" outlineLevel="0" collapsed="false">
      <c r="A29" s="0" t="n">
        <v>38.6930352536543</v>
      </c>
      <c r="B29" s="0" t="n">
        <f aca="false">W_PH(B$2,$A29)</f>
        <v>2015</v>
      </c>
      <c r="C29" s="0" t="n">
        <f aca="false">W_PH(C$2,$A29)</f>
        <v>2015</v>
      </c>
      <c r="D29" s="0" t="n">
        <f aca="false">W_PH(D$2,$A29)</f>
        <v>2015</v>
      </c>
      <c r="E29" s="0" t="n">
        <f aca="false">W_PH(E$2,$A29)</f>
        <v>2015</v>
      </c>
      <c r="F29" s="0" t="n">
        <f aca="false">W_PH(F$2,$A29)</f>
        <v>2015</v>
      </c>
      <c r="G29" s="0" t="n">
        <f aca="false">W_PH(G$2,$A29)</f>
        <v>2015</v>
      </c>
      <c r="H29" s="0" t="n">
        <f aca="false">W_PH(H$2,$A29)</f>
        <v>4881.32831852649</v>
      </c>
      <c r="I29" s="0" t="n">
        <f aca="false">W_PH(I$2,$A29)</f>
        <v>4881.33126408717</v>
      </c>
      <c r="J29" s="0" t="n">
        <f aca="false">W_PH(J$2,$A29)</f>
        <v>4881.33420963939</v>
      </c>
      <c r="K29" s="0" t="n">
        <f aca="false">W_PH(K$2,$A29)</f>
        <v>4881.33715518313</v>
      </c>
      <c r="L29" s="0" t="n">
        <f aca="false">W_PH(L$2,$A29)</f>
        <v>4881.34010071841</v>
      </c>
      <c r="M29" s="0" t="n">
        <f aca="false">W_PH(M$2,$A29)</f>
        <v>4881.34304624521</v>
      </c>
      <c r="N29" s="0" t="n">
        <f aca="false">W_PH(N$2,$A29)</f>
        <v>4881.34599176354</v>
      </c>
      <c r="O29" s="0" t="n">
        <f aca="false">W_PH(O$2,$A29)</f>
        <v>4881.34893727341</v>
      </c>
      <c r="P29" s="0" t="n">
        <f aca="false">W_PH(P$2,$A29)</f>
        <v>4881.3783919064</v>
      </c>
      <c r="Q29" s="0" t="n">
        <f aca="false">W_PH(Q$2,$A29)</f>
        <v>4881.4078456928</v>
      </c>
      <c r="R29" s="0" t="n">
        <f aca="false">W_PH(R$2,$A29)</f>
        <v>4881.43729863284</v>
      </c>
      <c r="S29" s="0" t="n">
        <f aca="false">W_PH(S$2,$A29)</f>
        <v>4881.46675072673</v>
      </c>
      <c r="T29" s="0" t="n">
        <f aca="false">W_PH(T$2,$A29)</f>
        <v>4881.49620197468</v>
      </c>
      <c r="U29" s="0" t="n">
        <f aca="false">W_PH(U$2,$A29)</f>
        <v>4881.52565237691</v>
      </c>
      <c r="V29" s="0" t="n">
        <f aca="false">W_PH(V$2,$A29)</f>
        <v>4881.55510193364</v>
      </c>
      <c r="W29" s="0" t="n">
        <f aca="false">W_PH(W$2,$A29)</f>
        <v>4881.58455064508</v>
      </c>
      <c r="X29" s="0" t="n">
        <f aca="false">W_PH(X$2,$A29)</f>
        <v>4881.61399851144</v>
      </c>
      <c r="Y29" s="0" t="n">
        <f aca="false">W_PH(Y$2,$A29)</f>
        <v>4881.90843074327</v>
      </c>
      <c r="Z29" s="0" t="n">
        <f aca="false">W_PH(Z$2,$A29)</f>
        <v>4882.20277870377</v>
      </c>
      <c r="AA29" s="0" t="n">
        <f aca="false">W_PH(AA$2,$A29)</f>
        <v>4882.49704260712</v>
      </c>
      <c r="AB29" s="0" t="n">
        <f aca="false">W_PH(AB$2,$A29)</f>
        <v>4882.79122266701</v>
      </c>
      <c r="AC29" s="0" t="n">
        <f aca="false">W_PH(AC$2,$A29)</f>
        <v>4883.08531909661</v>
      </c>
      <c r="AD29" s="0" t="n">
        <f aca="false">W_PH(AD$2,$A29)</f>
        <v>4883.37933210864</v>
      </c>
      <c r="AE29" s="0" t="n">
        <f aca="false">W_PH(AE$2,$A29)</f>
        <v>4883.67326191527</v>
      </c>
      <c r="AF29" s="0" t="n">
        <f aca="false">W_PH(AF$2,$A29)</f>
        <v>4883.96710872823</v>
      </c>
      <c r="AG29" s="0" t="n">
        <f aca="false">W_PH(AG$2,$A29)</f>
        <v>4884.26087275872</v>
      </c>
      <c r="AH29" s="0" t="n">
        <f aca="false">W_PH(AH$2,$A29)</f>
        <v>4887.19400614466</v>
      </c>
      <c r="AI29" s="0" t="n">
        <f aca="false">W_PH(AI$2,$A29)</f>
        <v>4890.11908998646</v>
      </c>
      <c r="AJ29" s="0" t="n">
        <f aca="false">W_PH(AJ$2,$A29)</f>
        <v>4893.03632745658</v>
      </c>
      <c r="AK29" s="0" t="n">
        <f aca="false">W_PH(AK$2,$A29)</f>
        <v>4895.94591691066</v>
      </c>
      <c r="AL29" s="0" t="n">
        <f aca="false">W_PH(AL$2,$A29)</f>
        <v>4898.84805193038</v>
      </c>
      <c r="AM29" s="0" t="n">
        <f aca="false">W_PH(AM$2,$A29)</f>
        <v>4901.74292136351</v>
      </c>
      <c r="AN29" s="0" t="n">
        <f aca="false">W_PH(AN$2,$A29)</f>
        <v>4904.63070936094</v>
      </c>
      <c r="AO29" s="0" t="n">
        <f aca="false">W_PH(AO$2,$A29)</f>
        <v>4907.51159541068</v>
      </c>
      <c r="AP29" s="0" t="n">
        <f aca="false">W_PH(AP$2,$A29)</f>
        <v>4910.38575436876</v>
      </c>
      <c r="AQ29" s="0" t="n">
        <f aca="false">W_PH(AQ$2,$A29)</f>
        <v>4938.79255579408</v>
      </c>
      <c r="AR29" s="0" t="n">
        <f aca="false">W_PH(AR$2,$A29)</f>
        <v>4944.58757452754</v>
      </c>
      <c r="AS29" s="0" t="n">
        <f aca="false">W_PH(AS$2,$A29)</f>
        <v>4946.51675090778</v>
      </c>
    </row>
    <row r="30" customFormat="false" ht="12.8" hidden="false" customHeight="false" outlineLevel="0" collapsed="false">
      <c r="A30" s="0" t="n">
        <v>42.9922613929493</v>
      </c>
      <c r="B30" s="0" t="n">
        <f aca="false">W_PH(B$2,$A30)</f>
        <v>2015</v>
      </c>
      <c r="C30" s="0" t="n">
        <f aca="false">W_PH(C$2,$A30)</f>
        <v>2015</v>
      </c>
      <c r="D30" s="0" t="n">
        <f aca="false">W_PH(D$2,$A30)</f>
        <v>2015</v>
      </c>
      <c r="E30" s="0" t="n">
        <f aca="false">W_PH(E$2,$A30)</f>
        <v>2015</v>
      </c>
      <c r="F30" s="0" t="n">
        <f aca="false">W_PH(F$2,$A30)</f>
        <v>2015</v>
      </c>
      <c r="G30" s="0" t="n">
        <f aca="false">W_PH(G$2,$A30)</f>
        <v>2015</v>
      </c>
      <c r="H30" s="0" t="n">
        <f aca="false">W_PH(H$2,$A30)</f>
        <v>4904.34993693349</v>
      </c>
      <c r="I30" s="0" t="n">
        <f aca="false">W_PH(I$2,$A30)</f>
        <v>4904.35304665392</v>
      </c>
      <c r="J30" s="0" t="n">
        <f aca="false">W_PH(J$2,$A30)</f>
        <v>4904.35615636542</v>
      </c>
      <c r="K30" s="0" t="n">
        <f aca="false">W_PH(K$2,$A30)</f>
        <v>4904.359266068</v>
      </c>
      <c r="L30" s="0" t="n">
        <f aca="false">W_PH(L$2,$A30)</f>
        <v>4904.36237576165</v>
      </c>
      <c r="M30" s="0" t="n">
        <f aca="false">W_PH(M$2,$A30)</f>
        <v>4904.36548544638</v>
      </c>
      <c r="N30" s="0" t="n">
        <f aca="false">W_PH(N$2,$A30)</f>
        <v>4904.36859512219</v>
      </c>
      <c r="O30" s="0" t="n">
        <f aca="false">W_PH(O$2,$A30)</f>
        <v>4904.37170478907</v>
      </c>
      <c r="P30" s="0" t="n">
        <f aca="false">W_PH(P$2,$A30)</f>
        <v>4904.40280096716</v>
      </c>
      <c r="Q30" s="0" t="n">
        <f aca="false">W_PH(Q$2,$A30)</f>
        <v>4904.43389625315</v>
      </c>
      <c r="R30" s="0" t="n">
        <f aca="false">W_PH(R$2,$A30)</f>
        <v>4904.46499064726</v>
      </c>
      <c r="S30" s="0" t="n">
        <f aca="false">W_PH(S$2,$A30)</f>
        <v>4904.49608414971</v>
      </c>
      <c r="T30" s="0" t="n">
        <f aca="false">W_PH(T$2,$A30)</f>
        <v>4904.52717676073</v>
      </c>
      <c r="U30" s="0" t="n">
        <f aca="false">W_PH(U$2,$A30)</f>
        <v>4904.55826848052</v>
      </c>
      <c r="V30" s="0" t="n">
        <f aca="false">W_PH(V$2,$A30)</f>
        <v>4904.58935930931</v>
      </c>
      <c r="W30" s="0" t="n">
        <f aca="false">W_PH(W$2,$A30)</f>
        <v>4904.62044924732</v>
      </c>
      <c r="X30" s="0" t="n">
        <f aca="false">W_PH(X$2,$A30)</f>
        <v>4904.65153829476</v>
      </c>
      <c r="Y30" s="0" t="n">
        <f aca="false">W_PH(Y$2,$A30)</f>
        <v>4904.96237983657</v>
      </c>
      <c r="Z30" s="0" t="n">
        <f aca="false">W_PH(Z$2,$A30)</f>
        <v>4905.27313256316</v>
      </c>
      <c r="AA30" s="0" t="n">
        <f aca="false">W_PH(AA$2,$A30)</f>
        <v>4905.58379669306</v>
      </c>
      <c r="AB30" s="0" t="n">
        <f aca="false">W_PH(AB$2,$A30)</f>
        <v>4905.89437244433</v>
      </c>
      <c r="AC30" s="0" t="n">
        <f aca="false">W_PH(AC$2,$A30)</f>
        <v>4906.20486003451</v>
      </c>
      <c r="AD30" s="0" t="n">
        <f aca="false">W_PH(AD$2,$A30)</f>
        <v>4906.51525968062</v>
      </c>
      <c r="AE30" s="0" t="n">
        <f aca="false">W_PH(AE$2,$A30)</f>
        <v>4906.8255715992</v>
      </c>
      <c r="AF30" s="0" t="n">
        <f aca="false">W_PH(AF$2,$A30)</f>
        <v>4907.13579600627</v>
      </c>
      <c r="AG30" s="0" t="n">
        <f aca="false">W_PH(AG$2,$A30)</f>
        <v>4907.44593311735</v>
      </c>
      <c r="AH30" s="0" t="n">
        <f aca="false">W_PH(AH$2,$A30)</f>
        <v>4910.54255000452</v>
      </c>
      <c r="AI30" s="0" t="n">
        <f aca="false">W_PH(AI$2,$A30)</f>
        <v>4913.63067065028</v>
      </c>
      <c r="AJ30" s="0" t="n">
        <f aca="false">W_PH(AJ$2,$A30)</f>
        <v>4916.71050236226</v>
      </c>
      <c r="AK30" s="0" t="n">
        <f aca="false">W_PH(AK$2,$A30)</f>
        <v>4919.78224754409</v>
      </c>
      <c r="AL30" s="0" t="n">
        <f aca="false">W_PH(AL$2,$A30)</f>
        <v>4922.84610375148</v>
      </c>
      <c r="AM30" s="0" t="n">
        <f aca="false">W_PH(AM$2,$A30)</f>
        <v>4925.90226374574</v>
      </c>
      <c r="AN30" s="0" t="n">
        <f aca="false">W_PH(AN$2,$A30)</f>
        <v>4928.95091554461</v>
      </c>
      <c r="AO30" s="0" t="n">
        <f aca="false">W_PH(AO$2,$A30)</f>
        <v>4931.99224247036</v>
      </c>
      <c r="AP30" s="0" t="n">
        <f aca="false">W_PH(AP$2,$A30)</f>
        <v>4935.02642319514</v>
      </c>
      <c r="AQ30" s="0" t="n">
        <f aca="false">W_PH(AQ$2,$A30)</f>
        <v>4965.01124833835</v>
      </c>
      <c r="AR30" s="0" t="n">
        <f aca="false">W_PH(AR$2,$A30)</f>
        <v>4971.12716279926</v>
      </c>
      <c r="AS30" s="0" t="n">
        <f aca="false">W_PH(AS$2,$A30)</f>
        <v>4973.16307712941</v>
      </c>
    </row>
    <row r="31" customFormat="false" ht="12.8" hidden="false" customHeight="false" outlineLevel="0" collapsed="false">
      <c r="A31" s="0" t="n">
        <v>85.9845227858985</v>
      </c>
      <c r="B31" s="0" t="n">
        <f aca="false">W_PH(B$2,$A31)</f>
        <v>2015</v>
      </c>
      <c r="C31" s="0" t="n">
        <f aca="false">W_PH(C$2,$A31)</f>
        <v>2015</v>
      </c>
      <c r="D31" s="0" t="n">
        <f aca="false">W_PH(D$2,$A31)</f>
        <v>2015</v>
      </c>
      <c r="E31" s="0" t="n">
        <f aca="false">W_PH(E$2,$A31)</f>
        <v>2015</v>
      </c>
      <c r="F31" s="0" t="n">
        <f aca="false">W_PH(F$2,$A31)</f>
        <v>2015</v>
      </c>
      <c r="G31" s="0" t="n">
        <f aca="false">W_PH(G$2,$A31)</f>
        <v>2015</v>
      </c>
      <c r="H31" s="0" t="n">
        <f aca="false">W_PH(H$2,$A31)</f>
        <v>2015</v>
      </c>
      <c r="I31" s="0" t="n">
        <f aca="false">W_PH(I$2,$A31)</f>
        <v>2015</v>
      </c>
      <c r="J31" s="0" t="n">
        <f aca="false">W_PH(J$2,$A31)</f>
        <v>2015</v>
      </c>
      <c r="K31" s="0" t="n">
        <f aca="false">W_PH(K$2,$A31)</f>
        <v>2015</v>
      </c>
      <c r="L31" s="0" t="n">
        <f aca="false">W_PH(L$2,$A31)</f>
        <v>2015</v>
      </c>
      <c r="M31" s="0" t="n">
        <f aca="false">W_PH(M$2,$A31)</f>
        <v>2015</v>
      </c>
      <c r="N31" s="0" t="n">
        <f aca="false">W_PH(N$2,$A31)</f>
        <v>2015</v>
      </c>
      <c r="O31" s="0" t="n">
        <f aca="false">W_PH(O$2,$A31)</f>
        <v>2015</v>
      </c>
      <c r="P31" s="0" t="n">
        <f aca="false">W_PH(P$2,$A31)</f>
        <v>5060.92892685262</v>
      </c>
      <c r="Q31" s="0" t="n">
        <f aca="false">W_PH(Q$2,$A31)</f>
        <v>5060.9745987636</v>
      </c>
      <c r="R31" s="0" t="n">
        <f aca="false">W_PH(R$2,$A31)</f>
        <v>5061.02026926123</v>
      </c>
      <c r="S31" s="0" t="n">
        <f aca="false">W_PH(S$2,$A31)</f>
        <v>5061.06593834579</v>
      </c>
      <c r="T31" s="0" t="n">
        <f aca="false">W_PH(T$2,$A31)</f>
        <v>5061.11160601757</v>
      </c>
      <c r="U31" s="0" t="n">
        <f aca="false">W_PH(U$2,$A31)</f>
        <v>5061.15727227686</v>
      </c>
      <c r="V31" s="0" t="n">
        <f aca="false">W_PH(V$2,$A31)</f>
        <v>5061.20293712394</v>
      </c>
      <c r="W31" s="0" t="n">
        <f aca="false">W_PH(W$2,$A31)</f>
        <v>5061.2486005591</v>
      </c>
      <c r="X31" s="0" t="n">
        <f aca="false">W_PH(X$2,$A31)</f>
        <v>5061.29426258261</v>
      </c>
      <c r="Y31" s="0" t="n">
        <f aca="false">W_PH(Y$2,$A31)</f>
        <v>5061.75080524029</v>
      </c>
      <c r="Z31" s="0" t="n">
        <f aca="false">W_PH(Z$2,$A31)</f>
        <v>5062.20720704695</v>
      </c>
      <c r="AA31" s="0" t="n">
        <f aca="false">W_PH(AA$2,$A31)</f>
        <v>5062.66346828621</v>
      </c>
      <c r="AB31" s="0" t="n">
        <f aca="false">W_PH(AB$2,$A31)</f>
        <v>5063.11958924082</v>
      </c>
      <c r="AC31" s="0" t="n">
        <f aca="false">W_PH(AC$2,$A31)</f>
        <v>5063.57557019278</v>
      </c>
      <c r="AD31" s="0" t="n">
        <f aca="false">W_PH(AD$2,$A31)</f>
        <v>5064.03141142319</v>
      </c>
      <c r="AE31" s="0" t="n">
        <f aca="false">W_PH(AE$2,$A31)</f>
        <v>5064.48711321239</v>
      </c>
      <c r="AF31" s="0" t="n">
        <f aca="false">W_PH(AF$2,$A31)</f>
        <v>5064.94267583986</v>
      </c>
      <c r="AG31" s="0" t="n">
        <f aca="false">W_PH(AG$2,$A31)</f>
        <v>5065.39809958427</v>
      </c>
      <c r="AH31" s="0" t="n">
        <f aca="false">W_PH(AH$2,$A31)</f>
        <v>5069.94475918551</v>
      </c>
      <c r="AI31" s="0" t="n">
        <f aca="false">W_PH(AI$2,$A31)</f>
        <v>5074.47783099013</v>
      </c>
      <c r="AJ31" s="0" t="n">
        <f aca="false">W_PH(AJ$2,$A31)</f>
        <v>5078.99758036067</v>
      </c>
      <c r="AK31" s="0" t="n">
        <f aca="false">W_PH(AK$2,$A31)</f>
        <v>5083.50426475775</v>
      </c>
      <c r="AL31" s="0" t="n">
        <f aca="false">W_PH(AL$2,$A31)</f>
        <v>5087.99813387312</v>
      </c>
      <c r="AM31" s="0" t="n">
        <f aca="false">W_PH(AM$2,$A31)</f>
        <v>5092.4794297633</v>
      </c>
      <c r="AN31" s="0" t="n">
        <f aca="false">W_PH(AN$2,$A31)</f>
        <v>5096.94838698347</v>
      </c>
      <c r="AO31" s="0" t="n">
        <f aca="false">W_PH(AO$2,$A31)</f>
        <v>5101.40523272166</v>
      </c>
      <c r="AP31" s="0" t="n">
        <f aca="false">W_PH(AP$2,$A31)</f>
        <v>5105.85018693287</v>
      </c>
      <c r="AQ31" s="0" t="n">
        <f aca="false">W_PH(AQ$2,$A31)</f>
        <v>5149.68918085285</v>
      </c>
      <c r="AR31" s="0" t="n">
        <f aca="false">W_PH(AR$2,$A31)</f>
        <v>5158.60856165276</v>
      </c>
      <c r="AS31" s="0" t="n">
        <f aca="false">W_PH(AS$2,$A31)</f>
        <v>5161.57583426272</v>
      </c>
    </row>
    <row r="32" customFormat="false" ht="12.8" hidden="false" customHeight="false" outlineLevel="0" collapsed="false">
      <c r="A32" s="0" t="n">
        <v>128.976784178848</v>
      </c>
      <c r="B32" s="0" t="n">
        <f aca="false">W_PH(B$2,$A32)</f>
        <v>2015</v>
      </c>
      <c r="C32" s="0" t="n">
        <f aca="false">W_PH(C$2,$A32)</f>
        <v>2015</v>
      </c>
      <c r="D32" s="0" t="n">
        <f aca="false">W_PH(D$2,$A32)</f>
        <v>2015</v>
      </c>
      <c r="E32" s="0" t="n">
        <f aca="false">W_PH(E$2,$A32)</f>
        <v>2015</v>
      </c>
      <c r="F32" s="0" t="n">
        <f aca="false">W_PH(F$2,$A32)</f>
        <v>2015</v>
      </c>
      <c r="G32" s="0" t="n">
        <f aca="false">W_PH(G$2,$A32)</f>
        <v>2015</v>
      </c>
      <c r="H32" s="0" t="n">
        <f aca="false">W_PH(H$2,$A32)</f>
        <v>2015</v>
      </c>
      <c r="I32" s="0" t="n">
        <f aca="false">W_PH(I$2,$A32)</f>
        <v>2015</v>
      </c>
      <c r="J32" s="0" t="n">
        <f aca="false">W_PH(J$2,$A32)</f>
        <v>2015</v>
      </c>
      <c r="K32" s="0" t="n">
        <f aca="false">W_PH(K$2,$A32)</f>
        <v>2015</v>
      </c>
      <c r="L32" s="0" t="n">
        <f aca="false">W_PH(L$2,$A32)</f>
        <v>2015</v>
      </c>
      <c r="M32" s="0" t="n">
        <f aca="false">W_PH(M$2,$A32)</f>
        <v>2015</v>
      </c>
      <c r="N32" s="0" t="n">
        <f aca="false">W_PH(N$2,$A32)</f>
        <v>2015</v>
      </c>
      <c r="O32" s="0" t="n">
        <f aca="false">W_PH(O$2,$A32)</f>
        <v>2015</v>
      </c>
      <c r="P32" s="0" t="n">
        <f aca="false">W_PH(P$2,$A32)</f>
        <v>2015</v>
      </c>
      <c r="Q32" s="0" t="n">
        <f aca="false">W_PH(Q$2,$A32)</f>
        <v>2015</v>
      </c>
      <c r="R32" s="0" t="n">
        <f aca="false">W_PH(R$2,$A32)</f>
        <v>5110.46420491092</v>
      </c>
      <c r="S32" s="0" t="n">
        <f aca="false">W_PH(S$2,$A32)</f>
        <v>5110.52260906574</v>
      </c>
      <c r="T32" s="0" t="n">
        <f aca="false">W_PH(T$2,$A32)</f>
        <v>5110.58101117716</v>
      </c>
      <c r="U32" s="0" t="n">
        <f aca="false">W_PH(U$2,$A32)</f>
        <v>5110.63941124563</v>
      </c>
      <c r="V32" s="0" t="n">
        <f aca="false">W_PH(V$2,$A32)</f>
        <v>5110.69780927158</v>
      </c>
      <c r="W32" s="0" t="n">
        <f aca="false">W_PH(W$2,$A32)</f>
        <v>5110.75620525547</v>
      </c>
      <c r="X32" s="0" t="n">
        <f aca="false">W_PH(X$2,$A32)</f>
        <v>5110.81459919772</v>
      </c>
      <c r="Y32" s="0" t="n">
        <f aca="false">W_PH(Y$2,$A32)</f>
        <v>5111.39842642744</v>
      </c>
      <c r="Z32" s="0" t="n">
        <f aca="false">W_PH(Z$2,$A32)</f>
        <v>5111.98204997814</v>
      </c>
      <c r="AA32" s="0" t="n">
        <f aca="false">W_PH(AA$2,$A32)</f>
        <v>5112.56547028858</v>
      </c>
      <c r="AB32" s="0" t="n">
        <f aca="false">W_PH(AB$2,$A32)</f>
        <v>5113.14868779626</v>
      </c>
      <c r="AC32" s="0" t="n">
        <f aca="false">W_PH(AC$2,$A32)</f>
        <v>5113.7317029373</v>
      </c>
      <c r="AD32" s="0" t="n">
        <f aca="false">W_PH(AD$2,$A32)</f>
        <v>5114.31451614655</v>
      </c>
      <c r="AE32" s="0" t="n">
        <f aca="false">W_PH(AE$2,$A32)</f>
        <v>5114.89712785753</v>
      </c>
      <c r="AF32" s="0" t="n">
        <f aca="false">W_PH(AF$2,$A32)</f>
        <v>5115.47953850244</v>
      </c>
      <c r="AG32" s="0" t="n">
        <f aca="false">W_PH(AG$2,$A32)</f>
        <v>5116.06174851217</v>
      </c>
      <c r="AH32" s="0" t="n">
        <f aca="false">W_PH(AH$2,$A32)</f>
        <v>5121.87290753409</v>
      </c>
      <c r="AI32" s="0" t="n">
        <f aca="false">W_PH(AI$2,$A32)</f>
        <v>5127.66446731162</v>
      </c>
      <c r="AJ32" s="0" t="n">
        <f aca="false">W_PH(AJ$2,$A32)</f>
        <v>5133.43683724803</v>
      </c>
      <c r="AK32" s="0" t="n">
        <f aca="false">W_PH(AK$2,$A32)</f>
        <v>5139.19041387472</v>
      </c>
      <c r="AL32" s="0" t="n">
        <f aca="false">W_PH(AL$2,$A32)</f>
        <v>5144.92558097965</v>
      </c>
      <c r="AM32" s="0" t="n">
        <f aca="false">W_PH(AM$2,$A32)</f>
        <v>5150.64270974196</v>
      </c>
      <c r="AN32" s="0" t="n">
        <f aca="false">W_PH(AN$2,$A32)</f>
        <v>5156.3421588725</v>
      </c>
      <c r="AO32" s="0" t="n">
        <f aca="false">W_PH(AO$2,$A32)</f>
        <v>5162.0242747598</v>
      </c>
      <c r="AP32" s="0" t="n">
        <f aca="false">W_PH(AP$2,$A32)</f>
        <v>5167.68939162127</v>
      </c>
      <c r="AQ32" s="0" t="n">
        <f aca="false">W_PH(AQ$2,$A32)</f>
        <v>5223.4707641481</v>
      </c>
      <c r="AR32" s="0" t="n">
        <f aca="false">W_PH(AR$2,$A32)</f>
        <v>5234.80073166071</v>
      </c>
      <c r="AS32" s="0" t="n">
        <f aca="false">W_PH(AS$2,$A32)</f>
        <v>5238.56856768073</v>
      </c>
    </row>
    <row r="33" customFormat="false" ht="12.8" hidden="false" customHeight="false" outlineLevel="0" collapsed="false">
      <c r="A33" s="0" t="n">
        <v>171.969045571797</v>
      </c>
      <c r="B33" s="0" t="n">
        <f aca="false">W_PH(B$2,$A33)</f>
        <v>2015</v>
      </c>
      <c r="C33" s="0" t="n">
        <f aca="false">W_PH(C$2,$A33)</f>
        <v>2015</v>
      </c>
      <c r="D33" s="0" t="n">
        <f aca="false">W_PH(D$2,$A33)</f>
        <v>2015</v>
      </c>
      <c r="E33" s="0" t="n">
        <f aca="false">W_PH(E$2,$A33)</f>
        <v>2015</v>
      </c>
      <c r="F33" s="0" t="n">
        <f aca="false">W_PH(F$2,$A33)</f>
        <v>2015</v>
      </c>
      <c r="G33" s="0" t="n">
        <f aca="false">W_PH(G$2,$A33)</f>
        <v>2015</v>
      </c>
      <c r="H33" s="0" t="n">
        <f aca="false">W_PH(H$2,$A33)</f>
        <v>2015</v>
      </c>
      <c r="I33" s="0" t="n">
        <f aca="false">W_PH(I$2,$A33)</f>
        <v>2015</v>
      </c>
      <c r="J33" s="0" t="n">
        <f aca="false">W_PH(J$2,$A33)</f>
        <v>2015</v>
      </c>
      <c r="K33" s="0" t="n">
        <f aca="false">W_PH(K$2,$A33)</f>
        <v>2015</v>
      </c>
      <c r="L33" s="0" t="n">
        <f aca="false">W_PH(L$2,$A33)</f>
        <v>2015</v>
      </c>
      <c r="M33" s="0" t="n">
        <f aca="false">W_PH(M$2,$A33)</f>
        <v>2015</v>
      </c>
      <c r="N33" s="0" t="n">
        <f aca="false">W_PH(N$2,$A33)</f>
        <v>2015</v>
      </c>
      <c r="O33" s="0" t="n">
        <f aca="false">W_PH(O$2,$A33)</f>
        <v>2015</v>
      </c>
      <c r="P33" s="0" t="n">
        <f aca="false">W_PH(P$2,$A33)</f>
        <v>2015</v>
      </c>
      <c r="Q33" s="0" t="n">
        <f aca="false">W_PH(Q$2,$A33)</f>
        <v>2015</v>
      </c>
      <c r="R33" s="0" t="n">
        <f aca="false">W_PH(R$2,$A33)</f>
        <v>2015</v>
      </c>
      <c r="S33" s="0" t="n">
        <f aca="false">W_PH(S$2,$A33)</f>
        <v>2015</v>
      </c>
      <c r="T33" s="0" t="n">
        <f aca="false">W_PH(T$2,$A33)</f>
        <v>2015</v>
      </c>
      <c r="U33" s="0" t="n">
        <f aca="false">W_PH(U$2,$A33)</f>
        <v>2015</v>
      </c>
      <c r="V33" s="0" t="n">
        <f aca="false">W_PH(V$2,$A33)</f>
        <v>2015</v>
      </c>
      <c r="W33" s="0" t="n">
        <f aca="false">W_PH(W$2,$A33)</f>
        <v>5081.84408613598</v>
      </c>
      <c r="X33" s="0" t="n">
        <f aca="false">W_PH(X$2,$A33)</f>
        <v>5081.91447953848</v>
      </c>
      <c r="Y33" s="0" t="n">
        <f aca="false">W_PH(Y$2,$A33)</f>
        <v>5082.61825183345</v>
      </c>
      <c r="Z33" s="0" t="n">
        <f aca="false">W_PH(Z$2,$A33)</f>
        <v>5083.32173056291</v>
      </c>
      <c r="AA33" s="0" t="n">
        <f aca="false">W_PH(AA$2,$A33)</f>
        <v>5084.02491642418</v>
      </c>
      <c r="AB33" s="0" t="n">
        <f aca="false">W_PH(AB$2,$A33)</f>
        <v>5084.72781011281</v>
      </c>
      <c r="AC33" s="0" t="n">
        <f aca="false">W_PH(AC$2,$A33)</f>
        <v>5085.4304123225</v>
      </c>
      <c r="AD33" s="0" t="n">
        <f aca="false">W_PH(AD$2,$A33)</f>
        <v>5086.13272374519</v>
      </c>
      <c r="AE33" s="0" t="n">
        <f aca="false">W_PH(AE$2,$A33)</f>
        <v>5086.83474507102</v>
      </c>
      <c r="AF33" s="0" t="n">
        <f aca="false">W_PH(AF$2,$A33)</f>
        <v>5087.53647698832</v>
      </c>
      <c r="AG33" s="0" t="n">
        <f aca="false">W_PH(AG$2,$A33)</f>
        <v>5088.23792018365</v>
      </c>
      <c r="AH33" s="0" t="n">
        <f aca="false">W_PH(AH$2,$A33)</f>
        <v>5095.23662217807</v>
      </c>
      <c r="AI33" s="0" t="n">
        <f aca="false">W_PH(AI$2,$A33)</f>
        <v>5102.20719378111</v>
      </c>
      <c r="AJ33" s="0" t="n">
        <f aca="false">W_PH(AJ$2,$A33)</f>
        <v>5109.15029174727</v>
      </c>
      <c r="AK33" s="0" t="n">
        <f aca="false">W_PH(AK$2,$A33)</f>
        <v>5116.06655472379</v>
      </c>
      <c r="AL33" s="0" t="n">
        <f aca="false">W_PH(AL$2,$A33)</f>
        <v>5122.95660322661</v>
      </c>
      <c r="AM33" s="0" t="n">
        <f aca="false">W_PH(AM$2,$A33)</f>
        <v>5129.82103963478</v>
      </c>
      <c r="AN33" s="0" t="n">
        <f aca="false">W_PH(AN$2,$A33)</f>
        <v>5136.66044820243</v>
      </c>
      <c r="AO33" s="0" t="n">
        <f aca="false">W_PH(AO$2,$A33)</f>
        <v>5143.47539508764</v>
      </c>
      <c r="AP33" s="0" t="n">
        <f aca="false">W_PH(AP$2,$A33)</f>
        <v>5150.26642839754</v>
      </c>
      <c r="AQ33" s="0" t="n">
        <f aca="false">W_PH(AQ$2,$A33)</f>
        <v>5216.9693561289</v>
      </c>
      <c r="AR33" s="0" t="n">
        <f aca="false">W_PH(AR$2,$A33)</f>
        <v>5230.48637026532</v>
      </c>
      <c r="AS33" s="0" t="n">
        <f aca="false">W_PH(AS$2,$A33)</f>
        <v>5234.97953346099</v>
      </c>
    </row>
    <row r="34" customFormat="false" ht="12.8" hidden="false" customHeight="false" outlineLevel="0" collapsed="false">
      <c r="A34" s="0" t="n">
        <v>214.961306964746</v>
      </c>
      <c r="B34" s="0" t="n">
        <f aca="false">W_PH(B$2,$A34)</f>
        <v>2015</v>
      </c>
      <c r="C34" s="0" t="n">
        <f aca="false">W_PH(C$2,$A34)</f>
        <v>2015</v>
      </c>
      <c r="D34" s="0" t="n">
        <f aca="false">W_PH(D$2,$A34)</f>
        <v>2015</v>
      </c>
      <c r="E34" s="0" t="n">
        <f aca="false">W_PH(E$2,$A34)</f>
        <v>2015</v>
      </c>
      <c r="F34" s="0" t="n">
        <f aca="false">W_PH(F$2,$A34)</f>
        <v>2015</v>
      </c>
      <c r="G34" s="0" t="n">
        <f aca="false">W_PH(G$2,$A34)</f>
        <v>2015</v>
      </c>
      <c r="H34" s="0" t="n">
        <f aca="false">W_PH(H$2,$A34)</f>
        <v>2015</v>
      </c>
      <c r="I34" s="0" t="n">
        <f aca="false">W_PH(I$2,$A34)</f>
        <v>2015</v>
      </c>
      <c r="J34" s="0" t="n">
        <f aca="false">W_PH(J$2,$A34)</f>
        <v>2015</v>
      </c>
      <c r="K34" s="0" t="n">
        <f aca="false">W_PH(K$2,$A34)</f>
        <v>2015</v>
      </c>
      <c r="L34" s="0" t="n">
        <f aca="false">W_PH(L$2,$A34)</f>
        <v>2015</v>
      </c>
      <c r="M34" s="0" t="n">
        <f aca="false">W_PH(M$2,$A34)</f>
        <v>2015</v>
      </c>
      <c r="N34" s="0" t="n">
        <f aca="false">W_PH(N$2,$A34)</f>
        <v>2015</v>
      </c>
      <c r="O34" s="0" t="n">
        <f aca="false">W_PH(O$2,$A34)</f>
        <v>2015</v>
      </c>
      <c r="P34" s="0" t="n">
        <f aca="false">W_PH(P$2,$A34)</f>
        <v>2015</v>
      </c>
      <c r="Q34" s="0" t="n">
        <f aca="false">W_PH(Q$2,$A34)</f>
        <v>2015</v>
      </c>
      <c r="R34" s="0" t="n">
        <f aca="false">W_PH(R$2,$A34)</f>
        <v>2015</v>
      </c>
      <c r="S34" s="0" t="n">
        <f aca="false">W_PH(S$2,$A34)</f>
        <v>2015</v>
      </c>
      <c r="T34" s="0" t="n">
        <f aca="false">W_PH(T$2,$A34)</f>
        <v>2015</v>
      </c>
      <c r="U34" s="0" t="n">
        <f aca="false">W_PH(U$2,$A34)</f>
        <v>2015</v>
      </c>
      <c r="V34" s="0" t="n">
        <f aca="false">W_PH(V$2,$A34)</f>
        <v>2015</v>
      </c>
      <c r="W34" s="0" t="n">
        <f aca="false">W_PH(W$2,$A34)</f>
        <v>2015</v>
      </c>
      <c r="X34" s="0" t="n">
        <f aca="false">W_PH(X$2,$A34)</f>
        <v>2015</v>
      </c>
      <c r="Y34" s="0" t="n">
        <f aca="false">W_PH(Y$2,$A34)</f>
        <v>4994.45333069699</v>
      </c>
      <c r="Z34" s="0" t="n">
        <f aca="false">W_PH(Z$2,$A34)</f>
        <v>4995.27753370981</v>
      </c>
      <c r="AA34" s="0" t="n">
        <f aca="false">W_PH(AA$2,$A34)</f>
        <v>4996.10131264448</v>
      </c>
      <c r="AB34" s="0" t="n">
        <f aca="false">W_PH(AB$2,$A34)</f>
        <v>4996.9246685356</v>
      </c>
      <c r="AC34" s="0" t="n">
        <f aca="false">W_PH(AC$2,$A34)</f>
        <v>4997.7476024159</v>
      </c>
      <c r="AD34" s="0" t="n">
        <f aca="false">W_PH(AD$2,$A34)</f>
        <v>4998.57011531612</v>
      </c>
      <c r="AE34" s="0" t="n">
        <f aca="false">W_PH(AE$2,$A34)</f>
        <v>4999.39220826512</v>
      </c>
      <c r="AF34" s="0" t="n">
        <f aca="false">W_PH(AF$2,$A34)</f>
        <v>5000.21388228979</v>
      </c>
      <c r="AG34" s="0" t="n">
        <f aca="false">W_PH(AG$2,$A34)</f>
        <v>5001.03513841511</v>
      </c>
      <c r="AH34" s="0" t="n">
        <f aca="false">W_PH(AH$2,$A34)</f>
        <v>5009.22493929246</v>
      </c>
      <c r="AI34" s="0" t="n">
        <f aca="false">W_PH(AI$2,$A34)</f>
        <v>5017.37406303234</v>
      </c>
      <c r="AJ34" s="0" t="n">
        <f aca="false">W_PH(AJ$2,$A34)</f>
        <v>5025.48350163569</v>
      </c>
      <c r="AK34" s="0" t="n">
        <f aca="false">W_PH(AK$2,$A34)</f>
        <v>5033.55422647577</v>
      </c>
      <c r="AL34" s="0" t="n">
        <f aca="false">W_PH(AL$2,$A34)</f>
        <v>5041.58718782193</v>
      </c>
      <c r="AM34" s="0" t="n">
        <f aca="false">W_PH(AM$2,$A34)</f>
        <v>5049.5833144034</v>
      </c>
      <c r="AN34" s="0" t="n">
        <f aca="false">W_PH(AN$2,$A34)</f>
        <v>5057.54351301219</v>
      </c>
      <c r="AO34" s="0" t="n">
        <f aca="false">W_PH(AO$2,$A34)</f>
        <v>5065.46866814394</v>
      </c>
      <c r="AP34" s="0" t="n">
        <f aca="false">W_PH(AP$2,$A34)</f>
        <v>5073.3596416759</v>
      </c>
      <c r="AQ34" s="0" t="n">
        <f aca="false">W_PH(AQ$2,$A34)</f>
        <v>5150.56235851267</v>
      </c>
      <c r="AR34" s="0" t="n">
        <f aca="false">W_PH(AR$2,$A34)</f>
        <v>5166.14822968007</v>
      </c>
      <c r="AS34" s="0" t="n">
        <f aca="false">W_PH(AS$2,$A34)</f>
        <v>5171.32531192436</v>
      </c>
    </row>
    <row r="35" customFormat="false" ht="12.8" hidden="false" customHeight="false" outlineLevel="0" collapsed="false">
      <c r="A35" s="0" t="n">
        <v>257.953568357696</v>
      </c>
      <c r="B35" s="0" t="n">
        <f aca="false">W_PH(B$2,$A35)</f>
        <v>2015</v>
      </c>
      <c r="C35" s="0" t="n">
        <f aca="false">W_PH(C$2,$A35)</f>
        <v>2015</v>
      </c>
      <c r="D35" s="0" t="n">
        <f aca="false">W_PH(D$2,$A35)</f>
        <v>2015</v>
      </c>
      <c r="E35" s="0" t="n">
        <f aca="false">W_PH(E$2,$A35)</f>
        <v>2015</v>
      </c>
      <c r="F35" s="0" t="n">
        <f aca="false">W_PH(F$2,$A35)</f>
        <v>2015</v>
      </c>
      <c r="G35" s="0" t="n">
        <f aca="false">W_PH(G$2,$A35)</f>
        <v>2015</v>
      </c>
      <c r="H35" s="0" t="n">
        <f aca="false">W_PH(H$2,$A35)</f>
        <v>2015</v>
      </c>
      <c r="I35" s="0" t="n">
        <f aca="false">W_PH(I$2,$A35)</f>
        <v>2015</v>
      </c>
      <c r="J35" s="0" t="n">
        <f aca="false">W_PH(J$2,$A35)</f>
        <v>2015</v>
      </c>
      <c r="K35" s="0" t="n">
        <f aca="false">W_PH(K$2,$A35)</f>
        <v>2015</v>
      </c>
      <c r="L35" s="0" t="n">
        <f aca="false">W_PH(L$2,$A35)</f>
        <v>2015</v>
      </c>
      <c r="M35" s="0" t="n">
        <f aca="false">W_PH(M$2,$A35)</f>
        <v>2015</v>
      </c>
      <c r="N35" s="0" t="n">
        <f aca="false">W_PH(N$2,$A35)</f>
        <v>2015</v>
      </c>
      <c r="O35" s="0" t="n">
        <f aca="false">W_PH(O$2,$A35)</f>
        <v>2015</v>
      </c>
      <c r="P35" s="0" t="n">
        <f aca="false">W_PH(P$2,$A35)</f>
        <v>2015</v>
      </c>
      <c r="Q35" s="0" t="n">
        <f aca="false">W_PH(Q$2,$A35)</f>
        <v>2015</v>
      </c>
      <c r="R35" s="0" t="n">
        <f aca="false">W_PH(R$2,$A35)</f>
        <v>2015</v>
      </c>
      <c r="S35" s="0" t="n">
        <f aca="false">W_PH(S$2,$A35)</f>
        <v>2015</v>
      </c>
      <c r="T35" s="0" t="n">
        <f aca="false">W_PH(T$2,$A35)</f>
        <v>2015</v>
      </c>
      <c r="U35" s="0" t="n">
        <f aca="false">W_PH(U$2,$A35)</f>
        <v>2015</v>
      </c>
      <c r="V35" s="0" t="n">
        <f aca="false">W_PH(V$2,$A35)</f>
        <v>2015</v>
      </c>
      <c r="W35" s="0" t="n">
        <f aca="false">W_PH(W$2,$A35)</f>
        <v>2015</v>
      </c>
      <c r="X35" s="0" t="n">
        <f aca="false">W_PH(X$2,$A35)</f>
        <v>2015</v>
      </c>
      <c r="Y35" s="0" t="n">
        <f aca="false">W_PH(Y$2,$A35)</f>
        <v>2015</v>
      </c>
      <c r="Z35" s="0" t="n">
        <f aca="false">W_PH(Z$2,$A35)</f>
        <v>2015</v>
      </c>
      <c r="AA35" s="0" t="n">
        <f aca="false">W_PH(AA$2,$A35)</f>
        <v>4861.02636806079</v>
      </c>
      <c r="AB35" s="0" t="n">
        <f aca="false">W_PH(AB$2,$A35)</f>
        <v>4861.97884659326</v>
      </c>
      <c r="AC35" s="0" t="n">
        <f aca="false">W_PH(AC$2,$A35)</f>
        <v>4862.93072613356</v>
      </c>
      <c r="AD35" s="0" t="n">
        <f aca="false">W_PH(AD$2,$A35)</f>
        <v>4863.88200805569</v>
      </c>
      <c r="AE35" s="0" t="n">
        <f aca="false">W_PH(AE$2,$A35)</f>
        <v>4864.83269373255</v>
      </c>
      <c r="AF35" s="0" t="n">
        <f aca="false">W_PH(AF$2,$A35)</f>
        <v>4865.78278453589</v>
      </c>
      <c r="AG35" s="0" t="n">
        <f aca="false">W_PH(AG$2,$A35)</f>
        <v>4866.73228183636</v>
      </c>
      <c r="AH35" s="0" t="n">
        <f aca="false">W_PH(AH$2,$A35)</f>
        <v>4876.1949128771</v>
      </c>
      <c r="AI35" s="0" t="n">
        <f aca="false">W_PH(AI$2,$A35)</f>
        <v>4885.59969227856</v>
      </c>
      <c r="AJ35" s="0" t="n">
        <f aca="false">W_PH(AJ$2,$A35)</f>
        <v>4894.94796947883</v>
      </c>
      <c r="AK35" s="0" t="n">
        <f aca="false">W_PH(AK$2,$A35)</f>
        <v>4904.2410792051</v>
      </c>
      <c r="AL35" s="0" t="n">
        <f aca="false">W_PH(AL$2,$A35)</f>
        <v>4913.48034005643</v>
      </c>
      <c r="AM35" s="0" t="n">
        <f aca="false">W_PH(AM$2,$A35)</f>
        <v>4922.66705315355</v>
      </c>
      <c r="AN35" s="0" t="n">
        <f aca="false">W_PH(AN$2,$A35)</f>
        <v>4931.80250085517</v>
      </c>
      <c r="AO35" s="0" t="n">
        <f aca="false">W_PH(AO$2,$A35)</f>
        <v>4940.88794554071</v>
      </c>
      <c r="AP35" s="0" t="n">
        <f aca="false">W_PH(AP$2,$A35)</f>
        <v>4949.92462845853</v>
      </c>
      <c r="AQ35" s="0" t="n">
        <f aca="false">W_PH(AQ$2,$A35)</f>
        <v>5037.8655410623</v>
      </c>
      <c r="AR35" s="0" t="n">
        <f aca="false">W_PH(AR$2,$A35)</f>
        <v>5055.52492950267</v>
      </c>
      <c r="AS35" s="0" t="n">
        <f aca="false">W_PH(AS$2,$A35)</f>
        <v>5061.38450675357</v>
      </c>
    </row>
    <row r="36" customFormat="false" ht="12.8" hidden="false" customHeight="false" outlineLevel="0" collapsed="false">
      <c r="A36" s="0" t="n">
        <v>300.945829750645</v>
      </c>
      <c r="B36" s="0" t="n">
        <f aca="false">W_PH(B$2,$A36)</f>
        <v>2015</v>
      </c>
      <c r="C36" s="0" t="n">
        <f aca="false">W_PH(C$2,$A36)</f>
        <v>2015</v>
      </c>
      <c r="D36" s="0" t="n">
        <f aca="false">W_PH(D$2,$A36)</f>
        <v>2015</v>
      </c>
      <c r="E36" s="0" t="n">
        <f aca="false">W_PH(E$2,$A36)</f>
        <v>2015</v>
      </c>
      <c r="F36" s="0" t="n">
        <f aca="false">W_PH(F$2,$A36)</f>
        <v>2015</v>
      </c>
      <c r="G36" s="0" t="n">
        <f aca="false">W_PH(G$2,$A36)</f>
        <v>2015</v>
      </c>
      <c r="H36" s="0" t="n">
        <f aca="false">W_PH(H$2,$A36)</f>
        <v>2015</v>
      </c>
      <c r="I36" s="0" t="n">
        <f aca="false">W_PH(I$2,$A36)</f>
        <v>2015</v>
      </c>
      <c r="J36" s="0" t="n">
        <f aca="false">W_PH(J$2,$A36)</f>
        <v>2015</v>
      </c>
      <c r="K36" s="0" t="n">
        <f aca="false">W_PH(K$2,$A36)</f>
        <v>2015</v>
      </c>
      <c r="L36" s="0" t="n">
        <f aca="false">W_PH(L$2,$A36)</f>
        <v>2015</v>
      </c>
      <c r="M36" s="0" t="n">
        <f aca="false">W_PH(M$2,$A36)</f>
        <v>2015</v>
      </c>
      <c r="N36" s="0" t="n">
        <f aca="false">W_PH(N$2,$A36)</f>
        <v>2015</v>
      </c>
      <c r="O36" s="0" t="n">
        <f aca="false">W_PH(O$2,$A36)</f>
        <v>2015</v>
      </c>
      <c r="P36" s="0" t="n">
        <f aca="false">W_PH(P$2,$A36)</f>
        <v>2015</v>
      </c>
      <c r="Q36" s="0" t="n">
        <f aca="false">W_PH(Q$2,$A36)</f>
        <v>2015</v>
      </c>
      <c r="R36" s="0" t="n">
        <f aca="false">W_PH(R$2,$A36)</f>
        <v>2015</v>
      </c>
      <c r="S36" s="0" t="n">
        <f aca="false">W_PH(S$2,$A36)</f>
        <v>2015</v>
      </c>
      <c r="T36" s="0" t="n">
        <f aca="false">W_PH(T$2,$A36)</f>
        <v>2015</v>
      </c>
      <c r="U36" s="0" t="n">
        <f aca="false">W_PH(U$2,$A36)</f>
        <v>2015</v>
      </c>
      <c r="V36" s="0" t="n">
        <f aca="false">W_PH(V$2,$A36)</f>
        <v>2015</v>
      </c>
      <c r="W36" s="0" t="n">
        <f aca="false">W_PH(W$2,$A36)</f>
        <v>2015</v>
      </c>
      <c r="X36" s="0" t="n">
        <f aca="false">W_PH(X$2,$A36)</f>
        <v>2015</v>
      </c>
      <c r="Y36" s="0" t="n">
        <f aca="false">W_PH(Y$2,$A36)</f>
        <v>2015</v>
      </c>
      <c r="Z36" s="0" t="n">
        <f aca="false">W_PH(Z$2,$A36)</f>
        <v>2015</v>
      </c>
      <c r="AA36" s="0" t="n">
        <f aca="false">W_PH(AA$2,$A36)</f>
        <v>2015</v>
      </c>
      <c r="AB36" s="0" t="n">
        <f aca="false">W_PH(AB$2,$A36)</f>
        <v>2015</v>
      </c>
      <c r="AC36" s="0" t="n">
        <f aca="false">W_PH(AC$2,$A36)</f>
        <v>2015</v>
      </c>
      <c r="AD36" s="0" t="n">
        <f aca="false">W_PH(AD$2,$A36)</f>
        <v>2015</v>
      </c>
      <c r="AE36" s="0" t="n">
        <f aca="false">W_PH(AE$2,$A36)</f>
        <v>4690.59468214149</v>
      </c>
      <c r="AF36" s="0" t="n">
        <f aca="false">W_PH(AF$2,$A36)</f>
        <v>4691.6880083992</v>
      </c>
      <c r="AG36" s="0" t="n">
        <f aca="false">W_PH(AG$2,$A36)</f>
        <v>4692.78052932107</v>
      </c>
      <c r="AH36" s="0" t="n">
        <f aca="false">W_PH(AH$2,$A36)</f>
        <v>4703.66178960113</v>
      </c>
      <c r="AI36" s="0" t="n">
        <f aca="false">W_PH(AI$2,$A36)</f>
        <v>4714.46424332848</v>
      </c>
      <c r="AJ36" s="0" t="n">
        <f aca="false">W_PH(AJ$2,$A36)</f>
        <v>4725.18947014835</v>
      </c>
      <c r="AK36" s="0" t="n">
        <f aca="false">W_PH(AK$2,$A36)</f>
        <v>4735.83905683853</v>
      </c>
      <c r="AL36" s="0" t="n">
        <f aca="false">W_PH(AL$2,$A36)</f>
        <v>4746.41459450338</v>
      </c>
      <c r="AM36" s="0" t="n">
        <f aca="false">W_PH(AM$2,$A36)</f>
        <v>4756.91767583828</v>
      </c>
      <c r="AN36" s="0" t="n">
        <f aca="false">W_PH(AN$2,$A36)</f>
        <v>4767.349892467</v>
      </c>
      <c r="AO36" s="0" t="n">
        <f aca="false">W_PH(AO$2,$A36)</f>
        <v>4777.71283235453</v>
      </c>
      <c r="AP36" s="0" t="n">
        <f aca="false">W_PH(AP$2,$A36)</f>
        <v>4788.00807729735</v>
      </c>
      <c r="AQ36" s="0" t="n">
        <f aca="false">W_PH(AQ$2,$A36)</f>
        <v>4887.57627432819</v>
      </c>
      <c r="AR36" s="0" t="n">
        <f aca="false">W_PH(AR$2,$A36)</f>
        <v>4907.44041990202</v>
      </c>
      <c r="AS36" s="0" t="n">
        <f aca="false">W_PH(AS$2,$A36)</f>
        <v>4914.02256961359</v>
      </c>
    </row>
    <row r="37" customFormat="false" ht="12.8" hidden="false" customHeight="false" outlineLevel="0" collapsed="false">
      <c r="A37" s="0" t="n">
        <v>343.938091143594</v>
      </c>
      <c r="B37" s="0" t="n">
        <f aca="false">W_PH(B$2,$A37)</f>
        <v>2015</v>
      </c>
      <c r="C37" s="0" t="n">
        <f aca="false">W_PH(C$2,$A37)</f>
        <v>2015</v>
      </c>
      <c r="D37" s="0" t="n">
        <f aca="false">W_PH(D$2,$A37)</f>
        <v>2015</v>
      </c>
      <c r="E37" s="0" t="n">
        <f aca="false">W_PH(E$2,$A37)</f>
        <v>2015</v>
      </c>
      <c r="F37" s="0" t="n">
        <f aca="false">W_PH(F$2,$A37)</f>
        <v>2015</v>
      </c>
      <c r="G37" s="0" t="n">
        <f aca="false">W_PH(G$2,$A37)</f>
        <v>2015</v>
      </c>
      <c r="H37" s="0" t="n">
        <f aca="false">W_PH(H$2,$A37)</f>
        <v>2015</v>
      </c>
      <c r="I37" s="0" t="n">
        <f aca="false">W_PH(I$2,$A37)</f>
        <v>2015</v>
      </c>
      <c r="J37" s="0" t="n">
        <f aca="false">W_PH(J$2,$A37)</f>
        <v>2015</v>
      </c>
      <c r="K37" s="0" t="n">
        <f aca="false">W_PH(K$2,$A37)</f>
        <v>2015</v>
      </c>
      <c r="L37" s="0" t="n">
        <f aca="false">W_PH(L$2,$A37)</f>
        <v>2015</v>
      </c>
      <c r="M37" s="0" t="n">
        <f aca="false">W_PH(M$2,$A37)</f>
        <v>2015</v>
      </c>
      <c r="N37" s="0" t="n">
        <f aca="false">W_PH(N$2,$A37)</f>
        <v>2015</v>
      </c>
      <c r="O37" s="0" t="n">
        <f aca="false">W_PH(O$2,$A37)</f>
        <v>2015</v>
      </c>
      <c r="P37" s="0" t="n">
        <f aca="false">W_PH(P$2,$A37)</f>
        <v>2015</v>
      </c>
      <c r="Q37" s="0" t="n">
        <f aca="false">W_PH(Q$2,$A37)</f>
        <v>2015</v>
      </c>
      <c r="R37" s="0" t="n">
        <f aca="false">W_PH(R$2,$A37)</f>
        <v>2015</v>
      </c>
      <c r="S37" s="0" t="n">
        <f aca="false">W_PH(S$2,$A37)</f>
        <v>2015</v>
      </c>
      <c r="T37" s="0" t="n">
        <f aca="false">W_PH(T$2,$A37)</f>
        <v>2015</v>
      </c>
      <c r="U37" s="0" t="n">
        <f aca="false">W_PH(U$2,$A37)</f>
        <v>2015</v>
      </c>
      <c r="V37" s="0" t="n">
        <f aca="false">W_PH(V$2,$A37)</f>
        <v>2015</v>
      </c>
      <c r="W37" s="0" t="n">
        <f aca="false">W_PH(W$2,$A37)</f>
        <v>2015</v>
      </c>
      <c r="X37" s="0" t="n">
        <f aca="false">W_PH(X$2,$A37)</f>
        <v>2015</v>
      </c>
      <c r="Y37" s="0" t="n">
        <f aca="false">W_PH(Y$2,$A37)</f>
        <v>2015</v>
      </c>
      <c r="Z37" s="0" t="n">
        <f aca="false">W_PH(Z$2,$A37)</f>
        <v>2015</v>
      </c>
      <c r="AA37" s="0" t="n">
        <f aca="false">W_PH(AA$2,$A37)</f>
        <v>2015</v>
      </c>
      <c r="AB37" s="0" t="n">
        <f aca="false">W_PH(AB$2,$A37)</f>
        <v>2015</v>
      </c>
      <c r="AC37" s="0" t="n">
        <f aca="false">W_PH(AC$2,$A37)</f>
        <v>2015</v>
      </c>
      <c r="AD37" s="0" t="n">
        <f aca="false">W_PH(AD$2,$A37)</f>
        <v>2015</v>
      </c>
      <c r="AE37" s="0" t="n">
        <f aca="false">W_PH(AE$2,$A37)</f>
        <v>2015</v>
      </c>
      <c r="AF37" s="0" t="n">
        <f aca="false">W_PH(AF$2,$A37)</f>
        <v>2015</v>
      </c>
      <c r="AG37" s="0" t="n">
        <f aca="false">W_PH(AG$2,$A37)</f>
        <v>2015</v>
      </c>
      <c r="AH37" s="0" t="n">
        <f aca="false">W_PH(AH$2,$A37)</f>
        <v>4496.03962565578</v>
      </c>
      <c r="AI37" s="0" t="n">
        <f aca="false">W_PH(AI$2,$A37)</f>
        <v>4508.41578094462</v>
      </c>
      <c r="AJ37" s="0" t="n">
        <f aca="false">W_PH(AJ$2,$A37)</f>
        <v>4520.69271636926</v>
      </c>
      <c r="AK37" s="0" t="n">
        <f aca="false">W_PH(AK$2,$A37)</f>
        <v>4532.87196238242</v>
      </c>
      <c r="AL37" s="0" t="n">
        <f aca="false">W_PH(AL$2,$A37)</f>
        <v>4544.95509177311</v>
      </c>
      <c r="AM37" s="0" t="n">
        <f aca="false">W_PH(AM$2,$A37)</f>
        <v>4556.94371572976</v>
      </c>
      <c r="AN37" s="0" t="n">
        <f aca="false">W_PH(AN$2,$A37)</f>
        <v>4568.83947993019</v>
      </c>
      <c r="AO37" s="0" t="n">
        <f aca="false">W_PH(AO$2,$A37)</f>
        <v>4580.64406066394</v>
      </c>
      <c r="AP37" s="0" t="n">
        <f aca="false">W_PH(AP$2,$A37)</f>
        <v>4592.35916099217</v>
      </c>
      <c r="AQ37" s="0" t="n">
        <f aca="false">W_PH(AQ$2,$A37)</f>
        <v>4704.97510730214</v>
      </c>
      <c r="AR37" s="0" t="n">
        <f aca="false">W_PH(AR$2,$A37)</f>
        <v>4727.28808335576</v>
      </c>
      <c r="AS37" s="0" t="n">
        <f aca="false">W_PH(AS$2,$A37)</f>
        <v>4734.67032450473</v>
      </c>
    </row>
    <row r="38" customFormat="false" ht="12.8" hidden="false" customHeight="false" outlineLevel="0" collapsed="false">
      <c r="A38" s="0" t="n">
        <v>386.930352536543</v>
      </c>
      <c r="B38" s="0" t="n">
        <f aca="false">W_PH(B$2,$A38)</f>
        <v>2015</v>
      </c>
      <c r="C38" s="0" t="n">
        <f aca="false">W_PH(C$2,$A38)</f>
        <v>2015</v>
      </c>
      <c r="D38" s="0" t="n">
        <f aca="false">W_PH(D$2,$A38)</f>
        <v>2015</v>
      </c>
      <c r="E38" s="0" t="n">
        <f aca="false">W_PH(E$2,$A38)</f>
        <v>2015</v>
      </c>
      <c r="F38" s="0" t="n">
        <f aca="false">W_PH(F$2,$A38)</f>
        <v>2015</v>
      </c>
      <c r="G38" s="0" t="n">
        <f aca="false">W_PH(G$2,$A38)</f>
        <v>2015</v>
      </c>
      <c r="H38" s="0" t="n">
        <f aca="false">W_PH(H$2,$A38)</f>
        <v>2015</v>
      </c>
      <c r="I38" s="0" t="n">
        <f aca="false">W_PH(I$2,$A38)</f>
        <v>2015</v>
      </c>
      <c r="J38" s="0" t="n">
        <f aca="false">W_PH(J$2,$A38)</f>
        <v>2015</v>
      </c>
      <c r="K38" s="0" t="n">
        <f aca="false">W_PH(K$2,$A38)</f>
        <v>2015</v>
      </c>
      <c r="L38" s="0" t="n">
        <f aca="false">W_PH(L$2,$A38)</f>
        <v>2015</v>
      </c>
      <c r="M38" s="0" t="n">
        <f aca="false">W_PH(M$2,$A38)</f>
        <v>2015</v>
      </c>
      <c r="N38" s="0" t="n">
        <f aca="false">W_PH(N$2,$A38)</f>
        <v>2015</v>
      </c>
      <c r="O38" s="0" t="n">
        <f aca="false">W_PH(O$2,$A38)</f>
        <v>2015</v>
      </c>
      <c r="P38" s="0" t="n">
        <f aca="false">W_PH(P$2,$A38)</f>
        <v>2015</v>
      </c>
      <c r="Q38" s="0" t="n">
        <f aca="false">W_PH(Q$2,$A38)</f>
        <v>2015</v>
      </c>
      <c r="R38" s="0" t="n">
        <f aca="false">W_PH(R$2,$A38)</f>
        <v>2015</v>
      </c>
      <c r="S38" s="0" t="n">
        <f aca="false">W_PH(S$2,$A38)</f>
        <v>2015</v>
      </c>
      <c r="T38" s="0" t="n">
        <f aca="false">W_PH(T$2,$A38)</f>
        <v>2015</v>
      </c>
      <c r="U38" s="0" t="n">
        <f aca="false">W_PH(U$2,$A38)</f>
        <v>2015</v>
      </c>
      <c r="V38" s="0" t="n">
        <f aca="false">W_PH(V$2,$A38)</f>
        <v>2015</v>
      </c>
      <c r="W38" s="0" t="n">
        <f aca="false">W_PH(W$2,$A38)</f>
        <v>2015</v>
      </c>
      <c r="X38" s="0" t="n">
        <f aca="false">W_PH(X$2,$A38)</f>
        <v>2015</v>
      </c>
      <c r="Y38" s="0" t="n">
        <f aca="false">W_PH(Y$2,$A38)</f>
        <v>2015</v>
      </c>
      <c r="Z38" s="0" t="n">
        <f aca="false">W_PH(Z$2,$A38)</f>
        <v>2015</v>
      </c>
      <c r="AA38" s="0" t="n">
        <f aca="false">W_PH(AA$2,$A38)</f>
        <v>2015</v>
      </c>
      <c r="AB38" s="0" t="n">
        <f aca="false">W_PH(AB$2,$A38)</f>
        <v>2015</v>
      </c>
      <c r="AC38" s="0" t="n">
        <f aca="false">W_PH(AC$2,$A38)</f>
        <v>2015</v>
      </c>
      <c r="AD38" s="0" t="n">
        <f aca="false">W_PH(AD$2,$A38)</f>
        <v>2015</v>
      </c>
      <c r="AE38" s="0" t="n">
        <f aca="false">W_PH(AE$2,$A38)</f>
        <v>2015</v>
      </c>
      <c r="AF38" s="0" t="n">
        <f aca="false">W_PH(AF$2,$A38)</f>
        <v>2015</v>
      </c>
      <c r="AG38" s="0" t="n">
        <f aca="false">W_PH(AG$2,$A38)</f>
        <v>2015</v>
      </c>
      <c r="AH38" s="0" t="n">
        <f aca="false">W_PH(AH$2,$A38)</f>
        <v>4256.23449917511</v>
      </c>
      <c r="AI38" s="0" t="n">
        <f aca="false">W_PH(AI$2,$A38)</f>
        <v>4270.35645628599</v>
      </c>
      <c r="AJ38" s="0" t="n">
        <f aca="false">W_PH(AJ$2,$A38)</f>
        <v>4284.3591895037</v>
      </c>
      <c r="AK38" s="0" t="n">
        <f aca="false">W_PH(AK$2,$A38)</f>
        <v>4298.24381755102</v>
      </c>
      <c r="AL38" s="0" t="n">
        <f aca="false">W_PH(AL$2,$A38)</f>
        <v>4312.0115429773</v>
      </c>
      <c r="AM38" s="0" t="n">
        <f aca="false">W_PH(AM$2,$A38)</f>
        <v>4325.6636483348</v>
      </c>
      <c r="AN38" s="0" t="n">
        <f aca="false">W_PH(AN$2,$A38)</f>
        <v>4339.20149213821</v>
      </c>
      <c r="AO38" s="0" t="n">
        <f aca="false">W_PH(AO$2,$A38)</f>
        <v>4352.62650466708</v>
      </c>
      <c r="AP38" s="0" t="n">
        <f aca="false">W_PH(AP$2,$A38)</f>
        <v>4365.94018366204</v>
      </c>
      <c r="AQ38" s="0" t="n">
        <f aca="false">W_PH(AQ$2,$A38)</f>
        <v>4493.32259411111</v>
      </c>
      <c r="AR38" s="0" t="n">
        <f aca="false">W_PH(AR$2,$A38)</f>
        <v>4518.40993883933</v>
      </c>
      <c r="AS38" s="0" t="n">
        <f aca="false">W_PH(AS$2,$A38)</f>
        <v>4526.69785773341</v>
      </c>
    </row>
    <row r="39" customFormat="false" ht="12.8" hidden="false" customHeight="false" outlineLevel="0" collapsed="false">
      <c r="A39" s="0" t="n">
        <v>429.922613929493</v>
      </c>
      <c r="B39" s="0" t="n">
        <f aca="false">W_PH(B$2,$A39)</f>
        <v>2015</v>
      </c>
      <c r="C39" s="0" t="n">
        <f aca="false">W_PH(C$2,$A39)</f>
        <v>2015</v>
      </c>
      <c r="D39" s="0" t="n">
        <f aca="false">W_PH(D$2,$A39)</f>
        <v>2015</v>
      </c>
      <c r="E39" s="0" t="n">
        <f aca="false">W_PH(E$2,$A39)</f>
        <v>2015</v>
      </c>
      <c r="F39" s="0" t="n">
        <f aca="false">W_PH(F$2,$A39)</f>
        <v>2015</v>
      </c>
      <c r="G39" s="0" t="n">
        <f aca="false">W_PH(G$2,$A39)</f>
        <v>2015</v>
      </c>
      <c r="H39" s="0" t="n">
        <f aca="false">W_PH(H$2,$A39)</f>
        <v>2015</v>
      </c>
      <c r="I39" s="0" t="n">
        <f aca="false">W_PH(I$2,$A39)</f>
        <v>2015</v>
      </c>
      <c r="J39" s="0" t="n">
        <f aca="false">W_PH(J$2,$A39)</f>
        <v>2015</v>
      </c>
      <c r="K39" s="0" t="n">
        <f aca="false">W_PH(K$2,$A39)</f>
        <v>2015</v>
      </c>
      <c r="L39" s="0" t="n">
        <f aca="false">W_PH(L$2,$A39)</f>
        <v>2015</v>
      </c>
      <c r="M39" s="0" t="n">
        <f aca="false">W_PH(M$2,$A39)</f>
        <v>2015</v>
      </c>
      <c r="N39" s="0" t="n">
        <f aca="false">W_PH(N$2,$A39)</f>
        <v>2015</v>
      </c>
      <c r="O39" s="0" t="n">
        <f aca="false">W_PH(O$2,$A39)</f>
        <v>2015</v>
      </c>
      <c r="P39" s="0" t="n">
        <f aca="false">W_PH(P$2,$A39)</f>
        <v>2015</v>
      </c>
      <c r="Q39" s="0" t="n">
        <f aca="false">W_PH(Q$2,$A39)</f>
        <v>2015</v>
      </c>
      <c r="R39" s="0" t="n">
        <f aca="false">W_PH(R$2,$A39)</f>
        <v>2015</v>
      </c>
      <c r="S39" s="0" t="n">
        <f aca="false">W_PH(S$2,$A39)</f>
        <v>2015</v>
      </c>
      <c r="T39" s="0" t="n">
        <f aca="false">W_PH(T$2,$A39)</f>
        <v>2015</v>
      </c>
      <c r="U39" s="0" t="n">
        <f aca="false">W_PH(U$2,$A39)</f>
        <v>2015</v>
      </c>
      <c r="V39" s="0" t="n">
        <f aca="false">W_PH(V$2,$A39)</f>
        <v>2015</v>
      </c>
      <c r="W39" s="0" t="n">
        <f aca="false">W_PH(W$2,$A39)</f>
        <v>2015</v>
      </c>
      <c r="X39" s="0" t="n">
        <f aca="false">W_PH(X$2,$A39)</f>
        <v>2015</v>
      </c>
      <c r="Y39" s="0" t="n">
        <f aca="false">W_PH(Y$2,$A39)</f>
        <v>2015</v>
      </c>
      <c r="Z39" s="0" t="n">
        <f aca="false">W_PH(Z$2,$A39)</f>
        <v>2015</v>
      </c>
      <c r="AA39" s="0" t="n">
        <f aca="false">W_PH(AA$2,$A39)</f>
        <v>2015</v>
      </c>
      <c r="AB39" s="0" t="n">
        <f aca="false">W_PH(AB$2,$A39)</f>
        <v>2015</v>
      </c>
      <c r="AC39" s="0" t="n">
        <f aca="false">W_PH(AC$2,$A39)</f>
        <v>2015</v>
      </c>
      <c r="AD39" s="0" t="n">
        <f aca="false">W_PH(AD$2,$A39)</f>
        <v>2015</v>
      </c>
      <c r="AE39" s="0" t="n">
        <f aca="false">W_PH(AE$2,$A39)</f>
        <v>2015</v>
      </c>
      <c r="AF39" s="0" t="n">
        <f aca="false">W_PH(AF$2,$A39)</f>
        <v>2015</v>
      </c>
      <c r="AG39" s="0" t="n">
        <f aca="false">W_PH(AG$2,$A39)</f>
        <v>2015</v>
      </c>
      <c r="AH39" s="0" t="n">
        <f aca="false">W_PH(AH$2,$A39)</f>
        <v>2015</v>
      </c>
      <c r="AI39" s="0" t="n">
        <f aca="false">W_PH(AI$2,$A39)</f>
        <v>4002.63862707225</v>
      </c>
      <c r="AJ39" s="0" t="n">
        <f aca="false">W_PH(AJ$2,$A39)</f>
        <v>4018.55000083381</v>
      </c>
      <c r="AK39" s="0" t="n">
        <f aca="false">W_PH(AK$2,$A39)</f>
        <v>4034.32303479421</v>
      </c>
      <c r="AL39" s="0" t="n">
        <f aca="false">W_PH(AL$2,$A39)</f>
        <v>4049.95862391717</v>
      </c>
      <c r="AM39" s="0" t="n">
        <f aca="false">W_PH(AM$2,$A39)</f>
        <v>4065.45773513129</v>
      </c>
      <c r="AN39" s="0" t="n">
        <f aca="false">W_PH(AN$2,$A39)</f>
        <v>4080.8214136923</v>
      </c>
      <c r="AO39" s="0" t="n">
        <f aca="false">W_PH(AO$2,$A39)</f>
        <v>4096.05078766502</v>
      </c>
      <c r="AP39" s="0" t="n">
        <f aca="false">W_PH(AP$2,$A39)</f>
        <v>4111.14707051681</v>
      </c>
      <c r="AQ39" s="0" t="n">
        <f aca="false">W_PH(AQ$2,$A39)</f>
        <v>4255.11568570069</v>
      </c>
      <c r="AR39" s="0" t="n">
        <f aca="false">W_PH(AR$2,$A39)</f>
        <v>4283.34065866742</v>
      </c>
      <c r="AS39" s="0" t="n">
        <f aca="false">W_PH(AS$2,$A39)</f>
        <v>4292.6538924403</v>
      </c>
    </row>
    <row r="40" customFormat="false" ht="12.8" hidden="false" customHeight="false" outlineLevel="0" collapsed="false">
      <c r="A40" s="0" t="n">
        <v>859.845227858985</v>
      </c>
      <c r="B40" s="0" t="n">
        <f aca="false">W_PH(B$2,$A40)</f>
        <v>2015</v>
      </c>
      <c r="C40" s="0" t="n">
        <f aca="false">W_PH(C$2,$A40)</f>
        <v>2015</v>
      </c>
      <c r="D40" s="0" t="n">
        <f aca="false">W_PH(D$2,$A40)</f>
        <v>2015</v>
      </c>
      <c r="E40" s="0" t="n">
        <f aca="false">W_PH(E$2,$A40)</f>
        <v>2015</v>
      </c>
      <c r="F40" s="0" t="n">
        <f aca="false">W_PH(F$2,$A40)</f>
        <v>2015</v>
      </c>
      <c r="G40" s="0" t="n">
        <f aca="false">W_PH(G$2,$A40)</f>
        <v>2015</v>
      </c>
      <c r="H40" s="0" t="n">
        <f aca="false">W_PH(H$2,$A40)</f>
        <v>2015</v>
      </c>
      <c r="I40" s="0" t="n">
        <f aca="false">W_PH(I$2,$A40)</f>
        <v>2015</v>
      </c>
      <c r="J40" s="0" t="n">
        <f aca="false">W_PH(J$2,$A40)</f>
        <v>2015</v>
      </c>
      <c r="K40" s="0" t="n">
        <f aca="false">W_PH(K$2,$A40)</f>
        <v>2015</v>
      </c>
      <c r="L40" s="0" t="n">
        <f aca="false">W_PH(L$2,$A40)</f>
        <v>2015</v>
      </c>
      <c r="M40" s="0" t="n">
        <f aca="false">W_PH(M$2,$A40)</f>
        <v>2015</v>
      </c>
      <c r="N40" s="0" t="n">
        <f aca="false">W_PH(N$2,$A40)</f>
        <v>2015</v>
      </c>
      <c r="O40" s="0" t="n">
        <f aca="false">W_PH(O$2,$A40)</f>
        <v>2015</v>
      </c>
      <c r="P40" s="0" t="n">
        <f aca="false">W_PH(P$2,$A40)</f>
        <v>2015</v>
      </c>
      <c r="Q40" s="0" t="n">
        <f aca="false">W_PH(Q$2,$A40)</f>
        <v>2015</v>
      </c>
      <c r="R40" s="0" t="n">
        <f aca="false">W_PH(R$2,$A40)</f>
        <v>2015</v>
      </c>
      <c r="S40" s="0" t="n">
        <f aca="false">W_PH(S$2,$A40)</f>
        <v>2015</v>
      </c>
      <c r="T40" s="0" t="n">
        <f aca="false">W_PH(T$2,$A40)</f>
        <v>2015</v>
      </c>
      <c r="U40" s="0" t="n">
        <f aca="false">W_PH(U$2,$A40)</f>
        <v>2015</v>
      </c>
      <c r="V40" s="0" t="n">
        <f aca="false">W_PH(V$2,$A40)</f>
        <v>2015</v>
      </c>
      <c r="W40" s="0" t="n">
        <f aca="false">W_PH(W$2,$A40)</f>
        <v>2015</v>
      </c>
      <c r="X40" s="0" t="n">
        <f aca="false">W_PH(X$2,$A40)</f>
        <v>2015</v>
      </c>
      <c r="Y40" s="0" t="n">
        <f aca="false">W_PH(Y$2,$A40)</f>
        <v>2015</v>
      </c>
      <c r="Z40" s="0" t="n">
        <f aca="false">W_PH(Z$2,$A40)</f>
        <v>2015</v>
      </c>
      <c r="AA40" s="0" t="n">
        <f aca="false">W_PH(AA$2,$A40)</f>
        <v>2015</v>
      </c>
      <c r="AB40" s="0" t="n">
        <f aca="false">W_PH(AB$2,$A40)</f>
        <v>2015</v>
      </c>
      <c r="AC40" s="0" t="n">
        <f aca="false">W_PH(AC$2,$A40)</f>
        <v>2015</v>
      </c>
      <c r="AD40" s="0" t="n">
        <f aca="false">W_PH(AD$2,$A40)</f>
        <v>2015</v>
      </c>
      <c r="AE40" s="0" t="n">
        <f aca="false">W_PH(AE$2,$A40)</f>
        <v>2015</v>
      </c>
      <c r="AF40" s="0" t="n">
        <f aca="false">W_PH(AF$2,$A40)</f>
        <v>2015</v>
      </c>
      <c r="AG40" s="0" t="n">
        <f aca="false">W_PH(AG$2,$A40)</f>
        <v>2015</v>
      </c>
      <c r="AH40" s="0" t="n">
        <f aca="false">W_PH(AH$2,$A40)</f>
        <v>2015</v>
      </c>
      <c r="AI40" s="0" t="n">
        <f aca="false">W_PH(AI$2,$A40)</f>
        <v>2015</v>
      </c>
      <c r="AJ40" s="0" t="n">
        <f aca="false">W_PH(AJ$2,$A40)</f>
        <v>2015</v>
      </c>
      <c r="AK40" s="0" t="n">
        <f aca="false">W_PH(AK$2,$A40)</f>
        <v>2015</v>
      </c>
      <c r="AL40" s="0" t="n">
        <f aca="false">W_PH(AL$2,$A40)</f>
        <v>2015</v>
      </c>
      <c r="AM40" s="0" t="n">
        <f aca="false">W_PH(AM$2,$A40)</f>
        <v>2015</v>
      </c>
      <c r="AN40" s="0" t="n">
        <f aca="false">W_PH(AN$2,$A40)</f>
        <v>2015</v>
      </c>
      <c r="AO40" s="0" t="n">
        <f aca="false">W_PH(AO$2,$A40)</f>
        <v>2015</v>
      </c>
      <c r="AP40" s="0" t="n">
        <f aca="false">W_PH(AP$2,$A40)</f>
        <v>2015</v>
      </c>
      <c r="AQ40" s="0" t="n">
        <f aca="false">W_PH(AQ$2,$A40)</f>
        <v>2015</v>
      </c>
      <c r="AR40" s="0" t="n">
        <f aca="false">W_PH(AR$2,$A40)</f>
        <v>1056.87848392211</v>
      </c>
      <c r="AS40" s="0" t="n">
        <f aca="false">W_PH(AS$2,$A40)</f>
        <v>1108.67017498138</v>
      </c>
    </row>
    <row r="41" customFormat="false" ht="12.8" hidden="false" customHeight="false" outlineLevel="0" collapsed="false">
      <c r="A41" s="0" t="n">
        <v>864.14445399828</v>
      </c>
      <c r="B41" s="0" t="n">
        <f aca="false">W_PH(B$2,$A41)</f>
        <v>2015</v>
      </c>
      <c r="C41" s="0" t="n">
        <f aca="false">W_PH(C$2,$A41)</f>
        <v>2015</v>
      </c>
      <c r="D41" s="0" t="n">
        <f aca="false">W_PH(D$2,$A41)</f>
        <v>2015</v>
      </c>
      <c r="E41" s="0" t="n">
        <f aca="false">W_PH(E$2,$A41)</f>
        <v>2015</v>
      </c>
      <c r="F41" s="0" t="n">
        <f aca="false">W_PH(F$2,$A41)</f>
        <v>2015</v>
      </c>
      <c r="G41" s="0" t="n">
        <f aca="false">W_PH(G$2,$A41)</f>
        <v>2015</v>
      </c>
      <c r="H41" s="0" t="n">
        <f aca="false">W_PH(H$2,$A41)</f>
        <v>2015</v>
      </c>
      <c r="I41" s="0" t="n">
        <f aca="false">W_PH(I$2,$A41)</f>
        <v>2015</v>
      </c>
      <c r="J41" s="0" t="n">
        <f aca="false">W_PH(J$2,$A41)</f>
        <v>2015</v>
      </c>
      <c r="K41" s="0" t="n">
        <f aca="false">W_PH(K$2,$A41)</f>
        <v>2015</v>
      </c>
      <c r="L41" s="0" t="n">
        <f aca="false">W_PH(L$2,$A41)</f>
        <v>2015</v>
      </c>
      <c r="M41" s="0" t="n">
        <f aca="false">W_PH(M$2,$A41)</f>
        <v>2015</v>
      </c>
      <c r="N41" s="0" t="n">
        <f aca="false">W_PH(N$2,$A41)</f>
        <v>2015</v>
      </c>
      <c r="O41" s="0" t="n">
        <f aca="false">W_PH(O$2,$A41)</f>
        <v>2015</v>
      </c>
      <c r="P41" s="0" t="n">
        <f aca="false">W_PH(P$2,$A41)</f>
        <v>2015</v>
      </c>
      <c r="Q41" s="0" t="n">
        <f aca="false">W_PH(Q$2,$A41)</f>
        <v>2015</v>
      </c>
      <c r="R41" s="0" t="n">
        <f aca="false">W_PH(R$2,$A41)</f>
        <v>2015</v>
      </c>
      <c r="S41" s="0" t="n">
        <f aca="false">W_PH(S$2,$A41)</f>
        <v>2015</v>
      </c>
      <c r="T41" s="0" t="n">
        <f aca="false">W_PH(T$2,$A41)</f>
        <v>2015</v>
      </c>
      <c r="U41" s="0" t="n">
        <f aca="false">W_PH(U$2,$A41)</f>
        <v>2015</v>
      </c>
      <c r="V41" s="0" t="n">
        <f aca="false">W_PH(V$2,$A41)</f>
        <v>2015</v>
      </c>
      <c r="W41" s="0" t="n">
        <f aca="false">W_PH(W$2,$A41)</f>
        <v>2015</v>
      </c>
      <c r="X41" s="0" t="n">
        <f aca="false">W_PH(X$2,$A41)</f>
        <v>2015</v>
      </c>
      <c r="Y41" s="0" t="n">
        <f aca="false">W_PH(Y$2,$A41)</f>
        <v>2015</v>
      </c>
      <c r="Z41" s="0" t="n">
        <f aca="false">W_PH(Z$2,$A41)</f>
        <v>2015</v>
      </c>
      <c r="AA41" s="0" t="n">
        <f aca="false">W_PH(AA$2,$A41)</f>
        <v>2015</v>
      </c>
      <c r="AB41" s="0" t="n">
        <f aca="false">W_PH(AB$2,$A41)</f>
        <v>2015</v>
      </c>
      <c r="AC41" s="0" t="n">
        <f aca="false">W_PH(AC$2,$A41)</f>
        <v>2015</v>
      </c>
      <c r="AD41" s="0" t="n">
        <f aca="false">W_PH(AD$2,$A41)</f>
        <v>2015</v>
      </c>
      <c r="AE41" s="0" t="n">
        <f aca="false">W_PH(AE$2,$A41)</f>
        <v>2015</v>
      </c>
      <c r="AF41" s="0" t="n">
        <f aca="false">W_PH(AF$2,$A41)</f>
        <v>2015</v>
      </c>
      <c r="AG41" s="0" t="n">
        <f aca="false">W_PH(AG$2,$A41)</f>
        <v>2015</v>
      </c>
      <c r="AH41" s="0" t="n">
        <f aca="false">W_PH(AH$2,$A41)</f>
        <v>2015</v>
      </c>
      <c r="AI41" s="0" t="n">
        <f aca="false">W_PH(AI$2,$A41)</f>
        <v>2015</v>
      </c>
      <c r="AJ41" s="0" t="n">
        <f aca="false">W_PH(AJ$2,$A41)</f>
        <v>2015</v>
      </c>
      <c r="AK41" s="0" t="n">
        <f aca="false">W_PH(AK$2,$A41)</f>
        <v>2015</v>
      </c>
      <c r="AL41" s="0" t="n">
        <f aca="false">W_PH(AL$2,$A41)</f>
        <v>2015</v>
      </c>
      <c r="AM41" s="0" t="n">
        <f aca="false">W_PH(AM$2,$A41)</f>
        <v>2015</v>
      </c>
      <c r="AN41" s="0" t="n">
        <f aca="false">W_PH(AN$2,$A41)</f>
        <v>2015</v>
      </c>
      <c r="AO41" s="0" t="n">
        <f aca="false">W_PH(AO$2,$A41)</f>
        <v>2015</v>
      </c>
      <c r="AP41" s="0" t="n">
        <f aca="false">W_PH(AP$2,$A41)</f>
        <v>2015</v>
      </c>
      <c r="AQ41" s="0" t="n">
        <f aca="false">W_PH(AQ$2,$A41)</f>
        <v>2015</v>
      </c>
      <c r="AR41" s="0" t="n">
        <f aca="false">W_PH(AR$2,$A41)</f>
        <v>1047.28866396558</v>
      </c>
      <c r="AS41" s="0" t="n">
        <f aca="false">W_PH(AS$2,$A41)</f>
        <v>1097.10584780274</v>
      </c>
    </row>
    <row r="42" customFormat="false" ht="12.8" hidden="false" customHeight="false" outlineLevel="0" collapsed="false">
      <c r="A42" s="0" t="n">
        <v>868.443680137575</v>
      </c>
      <c r="B42" s="0" t="n">
        <f aca="false">W_PH(B$2,$A42)</f>
        <v>2015</v>
      </c>
      <c r="C42" s="0" t="n">
        <f aca="false">W_PH(C$2,$A42)</f>
        <v>2015</v>
      </c>
      <c r="D42" s="0" t="n">
        <f aca="false">W_PH(D$2,$A42)</f>
        <v>2015</v>
      </c>
      <c r="E42" s="0" t="n">
        <f aca="false">W_PH(E$2,$A42)</f>
        <v>2015</v>
      </c>
      <c r="F42" s="0" t="n">
        <f aca="false">W_PH(F$2,$A42)</f>
        <v>2015</v>
      </c>
      <c r="G42" s="0" t="n">
        <f aca="false">W_PH(G$2,$A42)</f>
        <v>2015</v>
      </c>
      <c r="H42" s="0" t="n">
        <f aca="false">W_PH(H$2,$A42)</f>
        <v>2015</v>
      </c>
      <c r="I42" s="0" t="n">
        <f aca="false">W_PH(I$2,$A42)</f>
        <v>2015</v>
      </c>
      <c r="J42" s="0" t="n">
        <f aca="false">W_PH(J$2,$A42)</f>
        <v>2015</v>
      </c>
      <c r="K42" s="0" t="n">
        <f aca="false">W_PH(K$2,$A42)</f>
        <v>2015</v>
      </c>
      <c r="L42" s="0" t="n">
        <f aca="false">W_PH(L$2,$A42)</f>
        <v>2015</v>
      </c>
      <c r="M42" s="0" t="n">
        <f aca="false">W_PH(M$2,$A42)</f>
        <v>2015</v>
      </c>
      <c r="N42" s="0" t="n">
        <f aca="false">W_PH(N$2,$A42)</f>
        <v>2015</v>
      </c>
      <c r="O42" s="0" t="n">
        <f aca="false">W_PH(O$2,$A42)</f>
        <v>2015</v>
      </c>
      <c r="P42" s="0" t="n">
        <f aca="false">W_PH(P$2,$A42)</f>
        <v>2015</v>
      </c>
      <c r="Q42" s="0" t="n">
        <f aca="false">W_PH(Q$2,$A42)</f>
        <v>2015</v>
      </c>
      <c r="R42" s="0" t="n">
        <f aca="false">W_PH(R$2,$A42)</f>
        <v>2015</v>
      </c>
      <c r="S42" s="0" t="n">
        <f aca="false">W_PH(S$2,$A42)</f>
        <v>2015</v>
      </c>
      <c r="T42" s="0" t="n">
        <f aca="false">W_PH(T$2,$A42)</f>
        <v>2015</v>
      </c>
      <c r="U42" s="0" t="n">
        <f aca="false">W_PH(U$2,$A42)</f>
        <v>2015</v>
      </c>
      <c r="V42" s="0" t="n">
        <f aca="false">W_PH(V$2,$A42)</f>
        <v>2015</v>
      </c>
      <c r="W42" s="0" t="n">
        <f aca="false">W_PH(W$2,$A42)</f>
        <v>2015</v>
      </c>
      <c r="X42" s="0" t="n">
        <f aca="false">W_PH(X$2,$A42)</f>
        <v>2015</v>
      </c>
      <c r="Y42" s="0" t="n">
        <f aca="false">W_PH(Y$2,$A42)</f>
        <v>2015</v>
      </c>
      <c r="Z42" s="0" t="n">
        <f aca="false">W_PH(Z$2,$A42)</f>
        <v>2015</v>
      </c>
      <c r="AA42" s="0" t="n">
        <f aca="false">W_PH(AA$2,$A42)</f>
        <v>2015</v>
      </c>
      <c r="AB42" s="0" t="n">
        <f aca="false">W_PH(AB$2,$A42)</f>
        <v>2015</v>
      </c>
      <c r="AC42" s="0" t="n">
        <f aca="false">W_PH(AC$2,$A42)</f>
        <v>2015</v>
      </c>
      <c r="AD42" s="0" t="n">
        <f aca="false">W_PH(AD$2,$A42)</f>
        <v>2015</v>
      </c>
      <c r="AE42" s="0" t="n">
        <f aca="false">W_PH(AE$2,$A42)</f>
        <v>2015</v>
      </c>
      <c r="AF42" s="0" t="n">
        <f aca="false">W_PH(AF$2,$A42)</f>
        <v>2015</v>
      </c>
      <c r="AG42" s="0" t="n">
        <f aca="false">W_PH(AG$2,$A42)</f>
        <v>2015</v>
      </c>
      <c r="AH42" s="0" t="n">
        <f aca="false">W_PH(AH$2,$A42)</f>
        <v>2015</v>
      </c>
      <c r="AI42" s="0" t="n">
        <f aca="false">W_PH(AI$2,$A42)</f>
        <v>2015</v>
      </c>
      <c r="AJ42" s="0" t="n">
        <f aca="false">W_PH(AJ$2,$A42)</f>
        <v>2015</v>
      </c>
      <c r="AK42" s="0" t="n">
        <f aca="false">W_PH(AK$2,$A42)</f>
        <v>2015</v>
      </c>
      <c r="AL42" s="0" t="n">
        <f aca="false">W_PH(AL$2,$A42)</f>
        <v>2015</v>
      </c>
      <c r="AM42" s="0" t="n">
        <f aca="false">W_PH(AM$2,$A42)</f>
        <v>2015</v>
      </c>
      <c r="AN42" s="0" t="n">
        <f aca="false">W_PH(AN$2,$A42)</f>
        <v>2015</v>
      </c>
      <c r="AO42" s="0" t="n">
        <f aca="false">W_PH(AO$2,$A42)</f>
        <v>2015</v>
      </c>
      <c r="AP42" s="0" t="n">
        <f aca="false">W_PH(AP$2,$A42)</f>
        <v>2015</v>
      </c>
      <c r="AQ42" s="0" t="n">
        <f aca="false">W_PH(AQ$2,$A42)</f>
        <v>2015</v>
      </c>
      <c r="AR42" s="0" t="n">
        <f aca="false">W_PH(AR$2,$A42)</f>
        <v>1039.83175087976</v>
      </c>
      <c r="AS42" s="0" t="n">
        <f aca="false">W_PH(AS$2,$A42)</f>
        <v>1087.55684988255</v>
      </c>
    </row>
    <row r="43" customFormat="false" ht="12.8" hidden="false" customHeight="false" outlineLevel="0" collapsed="false">
      <c r="A43" s="0" t="n">
        <v>872.74290627687</v>
      </c>
      <c r="B43" s="0" t="n">
        <f aca="false">W_PH(B$2,$A43)</f>
        <v>2015</v>
      </c>
      <c r="C43" s="0" t="n">
        <f aca="false">W_PH(C$2,$A43)</f>
        <v>2015</v>
      </c>
      <c r="D43" s="0" t="n">
        <f aca="false">W_PH(D$2,$A43)</f>
        <v>2015</v>
      </c>
      <c r="E43" s="0" t="n">
        <f aca="false">W_PH(E$2,$A43)</f>
        <v>2015</v>
      </c>
      <c r="F43" s="0" t="n">
        <f aca="false">W_PH(F$2,$A43)</f>
        <v>2015</v>
      </c>
      <c r="G43" s="0" t="n">
        <f aca="false">W_PH(G$2,$A43)</f>
        <v>2015</v>
      </c>
      <c r="H43" s="0" t="n">
        <f aca="false">W_PH(H$2,$A43)</f>
        <v>2015</v>
      </c>
      <c r="I43" s="0" t="n">
        <f aca="false">W_PH(I$2,$A43)</f>
        <v>2015</v>
      </c>
      <c r="J43" s="0" t="n">
        <f aca="false">W_PH(J$2,$A43)</f>
        <v>2015</v>
      </c>
      <c r="K43" s="0" t="n">
        <f aca="false">W_PH(K$2,$A43)</f>
        <v>2015</v>
      </c>
      <c r="L43" s="0" t="n">
        <f aca="false">W_PH(L$2,$A43)</f>
        <v>2015</v>
      </c>
      <c r="M43" s="0" t="n">
        <f aca="false">W_PH(M$2,$A43)</f>
        <v>2015</v>
      </c>
      <c r="N43" s="0" t="n">
        <f aca="false">W_PH(N$2,$A43)</f>
        <v>2015</v>
      </c>
      <c r="O43" s="0" t="n">
        <f aca="false">W_PH(O$2,$A43)</f>
        <v>2015</v>
      </c>
      <c r="P43" s="0" t="n">
        <f aca="false">W_PH(P$2,$A43)</f>
        <v>2015</v>
      </c>
      <c r="Q43" s="0" t="n">
        <f aca="false">W_PH(Q$2,$A43)</f>
        <v>2015</v>
      </c>
      <c r="R43" s="0" t="n">
        <f aca="false">W_PH(R$2,$A43)</f>
        <v>2015</v>
      </c>
      <c r="S43" s="0" t="n">
        <f aca="false">W_PH(S$2,$A43)</f>
        <v>2015</v>
      </c>
      <c r="T43" s="0" t="n">
        <f aca="false">W_PH(T$2,$A43)</f>
        <v>2015</v>
      </c>
      <c r="U43" s="0" t="n">
        <f aca="false">W_PH(U$2,$A43)</f>
        <v>2015</v>
      </c>
      <c r="V43" s="0" t="n">
        <f aca="false">W_PH(V$2,$A43)</f>
        <v>2015</v>
      </c>
      <c r="W43" s="0" t="n">
        <f aca="false">W_PH(W$2,$A43)</f>
        <v>2015</v>
      </c>
      <c r="X43" s="0" t="n">
        <f aca="false">W_PH(X$2,$A43)</f>
        <v>2015</v>
      </c>
      <c r="Y43" s="0" t="n">
        <f aca="false">W_PH(Y$2,$A43)</f>
        <v>2015</v>
      </c>
      <c r="Z43" s="0" t="n">
        <f aca="false">W_PH(Z$2,$A43)</f>
        <v>2015</v>
      </c>
      <c r="AA43" s="0" t="n">
        <f aca="false">W_PH(AA$2,$A43)</f>
        <v>2015</v>
      </c>
      <c r="AB43" s="0" t="n">
        <f aca="false">W_PH(AB$2,$A43)</f>
        <v>2015</v>
      </c>
      <c r="AC43" s="0" t="n">
        <f aca="false">W_PH(AC$2,$A43)</f>
        <v>2015</v>
      </c>
      <c r="AD43" s="0" t="n">
        <f aca="false">W_PH(AD$2,$A43)</f>
        <v>2015</v>
      </c>
      <c r="AE43" s="0" t="n">
        <f aca="false">W_PH(AE$2,$A43)</f>
        <v>2015</v>
      </c>
      <c r="AF43" s="0" t="n">
        <f aca="false">W_PH(AF$2,$A43)</f>
        <v>2015</v>
      </c>
      <c r="AG43" s="0" t="n">
        <f aca="false">W_PH(AG$2,$A43)</f>
        <v>2015</v>
      </c>
      <c r="AH43" s="0" t="n">
        <f aca="false">W_PH(AH$2,$A43)</f>
        <v>2015</v>
      </c>
      <c r="AI43" s="0" t="n">
        <f aca="false">W_PH(AI$2,$A43)</f>
        <v>2015</v>
      </c>
      <c r="AJ43" s="0" t="n">
        <f aca="false">W_PH(AJ$2,$A43)</f>
        <v>2015</v>
      </c>
      <c r="AK43" s="0" t="n">
        <f aca="false">W_PH(AK$2,$A43)</f>
        <v>2015</v>
      </c>
      <c r="AL43" s="0" t="n">
        <f aca="false">W_PH(AL$2,$A43)</f>
        <v>2015</v>
      </c>
      <c r="AM43" s="0" t="n">
        <f aca="false">W_PH(AM$2,$A43)</f>
        <v>2015</v>
      </c>
      <c r="AN43" s="0" t="n">
        <f aca="false">W_PH(AN$2,$A43)</f>
        <v>2015</v>
      </c>
      <c r="AO43" s="0" t="n">
        <f aca="false">W_PH(AO$2,$A43)</f>
        <v>2015</v>
      </c>
      <c r="AP43" s="0" t="n">
        <f aca="false">W_PH(AP$2,$A43)</f>
        <v>2015</v>
      </c>
      <c r="AQ43" s="0" t="n">
        <f aca="false">W_PH(AQ$2,$A43)</f>
        <v>2015</v>
      </c>
      <c r="AR43" s="0" t="n">
        <f aca="false">W_PH(AR$2,$A43)</f>
        <v>1034.34135469229</v>
      </c>
      <c r="AS43" s="0" t="n">
        <f aca="false">W_PH(AS$2,$A43)</f>
        <v>1079.90633283271</v>
      </c>
    </row>
    <row r="44" customFormat="false" ht="12.8" hidden="false" customHeight="false" outlineLevel="0" collapsed="false">
      <c r="A44" s="0" t="n">
        <v>877.042132416165</v>
      </c>
      <c r="B44" s="0" t="n">
        <f aca="false">W_PH(B$2,$A44)</f>
        <v>2015</v>
      </c>
      <c r="C44" s="0" t="n">
        <f aca="false">W_PH(C$2,$A44)</f>
        <v>2015</v>
      </c>
      <c r="D44" s="0" t="n">
        <f aca="false">W_PH(D$2,$A44)</f>
        <v>2015</v>
      </c>
      <c r="E44" s="0" t="n">
        <f aca="false">W_PH(E$2,$A44)</f>
        <v>2015</v>
      </c>
      <c r="F44" s="0" t="n">
        <f aca="false">W_PH(F$2,$A44)</f>
        <v>2015</v>
      </c>
      <c r="G44" s="0" t="n">
        <f aca="false">W_PH(G$2,$A44)</f>
        <v>2015</v>
      </c>
      <c r="H44" s="0" t="n">
        <f aca="false">W_PH(H$2,$A44)</f>
        <v>2015</v>
      </c>
      <c r="I44" s="0" t="n">
        <f aca="false">W_PH(I$2,$A44)</f>
        <v>2015</v>
      </c>
      <c r="J44" s="0" t="n">
        <f aca="false">W_PH(J$2,$A44)</f>
        <v>2015</v>
      </c>
      <c r="K44" s="0" t="n">
        <f aca="false">W_PH(K$2,$A44)</f>
        <v>2015</v>
      </c>
      <c r="L44" s="0" t="n">
        <f aca="false">W_PH(L$2,$A44)</f>
        <v>2015</v>
      </c>
      <c r="M44" s="0" t="n">
        <f aca="false">W_PH(M$2,$A44)</f>
        <v>2015</v>
      </c>
      <c r="N44" s="0" t="n">
        <f aca="false">W_PH(N$2,$A44)</f>
        <v>2015</v>
      </c>
      <c r="O44" s="0" t="n">
        <f aca="false">W_PH(O$2,$A44)</f>
        <v>2015</v>
      </c>
      <c r="P44" s="0" t="n">
        <f aca="false">W_PH(P$2,$A44)</f>
        <v>2015</v>
      </c>
      <c r="Q44" s="0" t="n">
        <f aca="false">W_PH(Q$2,$A44)</f>
        <v>2015</v>
      </c>
      <c r="R44" s="0" t="n">
        <f aca="false">W_PH(R$2,$A44)</f>
        <v>2015</v>
      </c>
      <c r="S44" s="0" t="n">
        <f aca="false">W_PH(S$2,$A44)</f>
        <v>2015</v>
      </c>
      <c r="T44" s="0" t="n">
        <f aca="false">W_PH(T$2,$A44)</f>
        <v>2015</v>
      </c>
      <c r="U44" s="0" t="n">
        <f aca="false">W_PH(U$2,$A44)</f>
        <v>2015</v>
      </c>
      <c r="V44" s="0" t="n">
        <f aca="false">W_PH(V$2,$A44)</f>
        <v>2015</v>
      </c>
      <c r="W44" s="0" t="n">
        <f aca="false">W_PH(W$2,$A44)</f>
        <v>2015</v>
      </c>
      <c r="X44" s="0" t="n">
        <f aca="false">W_PH(X$2,$A44)</f>
        <v>2015</v>
      </c>
      <c r="Y44" s="0" t="n">
        <f aca="false">W_PH(Y$2,$A44)</f>
        <v>2015</v>
      </c>
      <c r="Z44" s="0" t="n">
        <f aca="false">W_PH(Z$2,$A44)</f>
        <v>2015</v>
      </c>
      <c r="AA44" s="0" t="n">
        <f aca="false">W_PH(AA$2,$A44)</f>
        <v>2015</v>
      </c>
      <c r="AB44" s="0" t="n">
        <f aca="false">W_PH(AB$2,$A44)</f>
        <v>2015</v>
      </c>
      <c r="AC44" s="0" t="n">
        <f aca="false">W_PH(AC$2,$A44)</f>
        <v>2015</v>
      </c>
      <c r="AD44" s="0" t="n">
        <f aca="false">W_PH(AD$2,$A44)</f>
        <v>2015</v>
      </c>
      <c r="AE44" s="0" t="n">
        <f aca="false">W_PH(AE$2,$A44)</f>
        <v>2015</v>
      </c>
      <c r="AF44" s="0" t="n">
        <f aca="false">W_PH(AF$2,$A44)</f>
        <v>2015</v>
      </c>
      <c r="AG44" s="0" t="n">
        <f aca="false">W_PH(AG$2,$A44)</f>
        <v>2015</v>
      </c>
      <c r="AH44" s="0" t="n">
        <f aca="false">W_PH(AH$2,$A44)</f>
        <v>2015</v>
      </c>
      <c r="AI44" s="0" t="n">
        <f aca="false">W_PH(AI$2,$A44)</f>
        <v>2015</v>
      </c>
      <c r="AJ44" s="0" t="n">
        <f aca="false">W_PH(AJ$2,$A44)</f>
        <v>2015</v>
      </c>
      <c r="AK44" s="0" t="n">
        <f aca="false">W_PH(AK$2,$A44)</f>
        <v>2015</v>
      </c>
      <c r="AL44" s="0" t="n">
        <f aca="false">W_PH(AL$2,$A44)</f>
        <v>2015</v>
      </c>
      <c r="AM44" s="0" t="n">
        <f aca="false">W_PH(AM$2,$A44)</f>
        <v>2015</v>
      </c>
      <c r="AN44" s="0" t="n">
        <f aca="false">W_PH(AN$2,$A44)</f>
        <v>2015</v>
      </c>
      <c r="AO44" s="0" t="n">
        <f aca="false">W_PH(AO$2,$A44)</f>
        <v>2015</v>
      </c>
      <c r="AP44" s="0" t="n">
        <f aca="false">W_PH(AP$2,$A44)</f>
        <v>2015</v>
      </c>
      <c r="AQ44" s="0" t="n">
        <f aca="false">W_PH(AQ$2,$A44)</f>
        <v>2015</v>
      </c>
      <c r="AR44" s="0" t="n">
        <f aca="false">W_PH(AR$2,$A44)</f>
        <v>1030.63802842461</v>
      </c>
      <c r="AS44" s="0" t="n">
        <f aca="false">W_PH(AS$2,$A44)</f>
        <v>1074.02151467585</v>
      </c>
    </row>
    <row r="45" customFormat="false" ht="12.8" hidden="false" customHeight="false" outlineLevel="0" collapsed="false">
      <c r="A45" s="0" t="n">
        <v>881.34135855546</v>
      </c>
      <c r="B45" s="0" t="n">
        <f aca="false">W_PH(B$2,$A45)</f>
        <v>2015</v>
      </c>
      <c r="C45" s="0" t="n">
        <f aca="false">W_PH(C$2,$A45)</f>
        <v>2015</v>
      </c>
      <c r="D45" s="0" t="n">
        <f aca="false">W_PH(D$2,$A45)</f>
        <v>2015</v>
      </c>
      <c r="E45" s="0" t="n">
        <f aca="false">W_PH(E$2,$A45)</f>
        <v>2015</v>
      </c>
      <c r="F45" s="0" t="n">
        <f aca="false">W_PH(F$2,$A45)</f>
        <v>2015</v>
      </c>
      <c r="G45" s="0" t="n">
        <f aca="false">W_PH(G$2,$A45)</f>
        <v>2015</v>
      </c>
      <c r="H45" s="0" t="n">
        <f aca="false">W_PH(H$2,$A45)</f>
        <v>2015</v>
      </c>
      <c r="I45" s="0" t="n">
        <f aca="false">W_PH(I$2,$A45)</f>
        <v>2015</v>
      </c>
      <c r="J45" s="0" t="n">
        <f aca="false">W_PH(J$2,$A45)</f>
        <v>2015</v>
      </c>
      <c r="K45" s="0" t="n">
        <f aca="false">W_PH(K$2,$A45)</f>
        <v>2015</v>
      </c>
      <c r="L45" s="0" t="n">
        <f aca="false">W_PH(L$2,$A45)</f>
        <v>2015</v>
      </c>
      <c r="M45" s="0" t="n">
        <f aca="false">W_PH(M$2,$A45)</f>
        <v>2015</v>
      </c>
      <c r="N45" s="0" t="n">
        <f aca="false">W_PH(N$2,$A45)</f>
        <v>2015</v>
      </c>
      <c r="O45" s="0" t="n">
        <f aca="false">W_PH(O$2,$A45)</f>
        <v>2015</v>
      </c>
      <c r="P45" s="0" t="n">
        <f aca="false">W_PH(P$2,$A45)</f>
        <v>2015</v>
      </c>
      <c r="Q45" s="0" t="n">
        <f aca="false">W_PH(Q$2,$A45)</f>
        <v>2015</v>
      </c>
      <c r="R45" s="0" t="n">
        <f aca="false">W_PH(R$2,$A45)</f>
        <v>2015</v>
      </c>
      <c r="S45" s="0" t="n">
        <f aca="false">W_PH(S$2,$A45)</f>
        <v>2015</v>
      </c>
      <c r="T45" s="0" t="n">
        <f aca="false">W_PH(T$2,$A45)</f>
        <v>2015</v>
      </c>
      <c r="U45" s="0" t="n">
        <f aca="false">W_PH(U$2,$A45)</f>
        <v>2015</v>
      </c>
      <c r="V45" s="0" t="n">
        <f aca="false">W_PH(V$2,$A45)</f>
        <v>2015</v>
      </c>
      <c r="W45" s="0" t="n">
        <f aca="false">W_PH(W$2,$A45)</f>
        <v>2015</v>
      </c>
      <c r="X45" s="0" t="n">
        <f aca="false">W_PH(X$2,$A45)</f>
        <v>2015</v>
      </c>
      <c r="Y45" s="0" t="n">
        <f aca="false">W_PH(Y$2,$A45)</f>
        <v>2015</v>
      </c>
      <c r="Z45" s="0" t="n">
        <f aca="false">W_PH(Z$2,$A45)</f>
        <v>2015</v>
      </c>
      <c r="AA45" s="0" t="n">
        <f aca="false">W_PH(AA$2,$A45)</f>
        <v>2015</v>
      </c>
      <c r="AB45" s="0" t="n">
        <f aca="false">W_PH(AB$2,$A45)</f>
        <v>2015</v>
      </c>
      <c r="AC45" s="0" t="n">
        <f aca="false">W_PH(AC$2,$A45)</f>
        <v>2015</v>
      </c>
      <c r="AD45" s="0" t="n">
        <f aca="false">W_PH(AD$2,$A45)</f>
        <v>2015</v>
      </c>
      <c r="AE45" s="0" t="n">
        <f aca="false">W_PH(AE$2,$A45)</f>
        <v>2015</v>
      </c>
      <c r="AF45" s="0" t="n">
        <f aca="false">W_PH(AF$2,$A45)</f>
        <v>2015</v>
      </c>
      <c r="AG45" s="0" t="n">
        <f aca="false">W_PH(AG$2,$A45)</f>
        <v>2015</v>
      </c>
      <c r="AH45" s="0" t="n">
        <f aca="false">W_PH(AH$2,$A45)</f>
        <v>2015</v>
      </c>
      <c r="AI45" s="0" t="n">
        <f aca="false">W_PH(AI$2,$A45)</f>
        <v>2015</v>
      </c>
      <c r="AJ45" s="0" t="n">
        <f aca="false">W_PH(AJ$2,$A45)</f>
        <v>2015</v>
      </c>
      <c r="AK45" s="0" t="n">
        <f aca="false">W_PH(AK$2,$A45)</f>
        <v>2015</v>
      </c>
      <c r="AL45" s="0" t="n">
        <f aca="false">W_PH(AL$2,$A45)</f>
        <v>2015</v>
      </c>
      <c r="AM45" s="0" t="n">
        <f aca="false">W_PH(AM$2,$A45)</f>
        <v>2015</v>
      </c>
      <c r="AN45" s="0" t="n">
        <f aca="false">W_PH(AN$2,$A45)</f>
        <v>2015</v>
      </c>
      <c r="AO45" s="0" t="n">
        <f aca="false">W_PH(AO$2,$A45)</f>
        <v>2015</v>
      </c>
      <c r="AP45" s="0" t="n">
        <f aca="false">W_PH(AP$2,$A45)</f>
        <v>2015</v>
      </c>
      <c r="AQ45" s="0" t="n">
        <f aca="false">W_PH(AQ$2,$A45)</f>
        <v>2015</v>
      </c>
      <c r="AR45" s="0" t="n">
        <f aca="false">W_PH(AR$2,$A45)</f>
        <v>1028.53846401855</v>
      </c>
      <c r="AS45" s="0" t="n">
        <f aca="false">W_PH(AS$2,$A45)</f>
        <v>1069.76121130082</v>
      </c>
    </row>
    <row r="46" customFormat="false" ht="12.8" hidden="false" customHeight="false" outlineLevel="0" collapsed="false">
      <c r="A46" s="0" t="n">
        <v>885.640584694755</v>
      </c>
      <c r="B46" s="0" t="n">
        <f aca="false">W_PH(B$2,$A46)</f>
        <v>2015</v>
      </c>
      <c r="C46" s="0" t="n">
        <f aca="false">W_PH(C$2,$A46)</f>
        <v>2015</v>
      </c>
      <c r="D46" s="0" t="n">
        <f aca="false">W_PH(D$2,$A46)</f>
        <v>2015</v>
      </c>
      <c r="E46" s="0" t="n">
        <f aca="false">W_PH(E$2,$A46)</f>
        <v>2015</v>
      </c>
      <c r="F46" s="0" t="n">
        <f aca="false">W_PH(F$2,$A46)</f>
        <v>2015</v>
      </c>
      <c r="G46" s="0" t="n">
        <f aca="false">W_PH(G$2,$A46)</f>
        <v>2015</v>
      </c>
      <c r="H46" s="0" t="n">
        <f aca="false">W_PH(H$2,$A46)</f>
        <v>2015</v>
      </c>
      <c r="I46" s="0" t="n">
        <f aca="false">W_PH(I$2,$A46)</f>
        <v>2015</v>
      </c>
      <c r="J46" s="0" t="n">
        <f aca="false">W_PH(J$2,$A46)</f>
        <v>2015</v>
      </c>
      <c r="K46" s="0" t="n">
        <f aca="false">W_PH(K$2,$A46)</f>
        <v>2015</v>
      </c>
      <c r="L46" s="0" t="n">
        <f aca="false">W_PH(L$2,$A46)</f>
        <v>2015</v>
      </c>
      <c r="M46" s="0" t="n">
        <f aca="false">W_PH(M$2,$A46)</f>
        <v>2015</v>
      </c>
      <c r="N46" s="0" t="n">
        <f aca="false">W_PH(N$2,$A46)</f>
        <v>2015</v>
      </c>
      <c r="O46" s="0" t="n">
        <f aca="false">W_PH(O$2,$A46)</f>
        <v>2015</v>
      </c>
      <c r="P46" s="0" t="n">
        <f aca="false">W_PH(P$2,$A46)</f>
        <v>2015</v>
      </c>
      <c r="Q46" s="0" t="n">
        <f aca="false">W_PH(Q$2,$A46)</f>
        <v>2015</v>
      </c>
      <c r="R46" s="0" t="n">
        <f aca="false">W_PH(R$2,$A46)</f>
        <v>2015</v>
      </c>
      <c r="S46" s="0" t="n">
        <f aca="false">W_PH(S$2,$A46)</f>
        <v>2015</v>
      </c>
      <c r="T46" s="0" t="n">
        <f aca="false">W_PH(T$2,$A46)</f>
        <v>2015</v>
      </c>
      <c r="U46" s="0" t="n">
        <f aca="false">W_PH(U$2,$A46)</f>
        <v>2015</v>
      </c>
      <c r="V46" s="0" t="n">
        <f aca="false">W_PH(V$2,$A46)</f>
        <v>2015</v>
      </c>
      <c r="W46" s="0" t="n">
        <f aca="false">W_PH(W$2,$A46)</f>
        <v>2015</v>
      </c>
      <c r="X46" s="0" t="n">
        <f aca="false">W_PH(X$2,$A46)</f>
        <v>2015</v>
      </c>
      <c r="Y46" s="0" t="n">
        <f aca="false">W_PH(Y$2,$A46)</f>
        <v>2015</v>
      </c>
      <c r="Z46" s="0" t="n">
        <f aca="false">W_PH(Z$2,$A46)</f>
        <v>2015</v>
      </c>
      <c r="AA46" s="0" t="n">
        <f aca="false">W_PH(AA$2,$A46)</f>
        <v>2015</v>
      </c>
      <c r="AB46" s="0" t="n">
        <f aca="false">W_PH(AB$2,$A46)</f>
        <v>2015</v>
      </c>
      <c r="AC46" s="0" t="n">
        <f aca="false">W_PH(AC$2,$A46)</f>
        <v>2015</v>
      </c>
      <c r="AD46" s="0" t="n">
        <f aca="false">W_PH(AD$2,$A46)</f>
        <v>2015</v>
      </c>
      <c r="AE46" s="0" t="n">
        <f aca="false">W_PH(AE$2,$A46)</f>
        <v>2015</v>
      </c>
      <c r="AF46" s="0" t="n">
        <f aca="false">W_PH(AF$2,$A46)</f>
        <v>2015</v>
      </c>
      <c r="AG46" s="0" t="n">
        <f aca="false">W_PH(AG$2,$A46)</f>
        <v>2015</v>
      </c>
      <c r="AH46" s="0" t="n">
        <f aca="false">W_PH(AH$2,$A46)</f>
        <v>2015</v>
      </c>
      <c r="AI46" s="0" t="n">
        <f aca="false">W_PH(AI$2,$A46)</f>
        <v>2015</v>
      </c>
      <c r="AJ46" s="0" t="n">
        <f aca="false">W_PH(AJ$2,$A46)</f>
        <v>2015</v>
      </c>
      <c r="AK46" s="0" t="n">
        <f aca="false">W_PH(AK$2,$A46)</f>
        <v>2015</v>
      </c>
      <c r="AL46" s="0" t="n">
        <f aca="false">W_PH(AL$2,$A46)</f>
        <v>2015</v>
      </c>
      <c r="AM46" s="0" t="n">
        <f aca="false">W_PH(AM$2,$A46)</f>
        <v>2015</v>
      </c>
      <c r="AN46" s="0" t="n">
        <f aca="false">W_PH(AN$2,$A46)</f>
        <v>2015</v>
      </c>
      <c r="AO46" s="0" t="n">
        <f aca="false">W_PH(AO$2,$A46)</f>
        <v>2015</v>
      </c>
      <c r="AP46" s="0" t="n">
        <f aca="false">W_PH(AP$2,$A46)</f>
        <v>2015</v>
      </c>
      <c r="AQ46" s="0" t="n">
        <f aca="false">W_PH(AQ$2,$A46)</f>
        <v>2015</v>
      </c>
      <c r="AR46" s="0" t="n">
        <f aca="false">W_PH(AR$2,$A46)</f>
        <v>1027.86329759149</v>
      </c>
      <c r="AS46" s="0" t="n">
        <f aca="false">W_PH(AS$2,$A46)</f>
        <v>1066.98280936631</v>
      </c>
    </row>
    <row r="47" customFormat="false" ht="12.8" hidden="false" customHeight="false" outlineLevel="0" collapsed="false">
      <c r="A47" s="0" t="n">
        <v>889.93981083405</v>
      </c>
      <c r="B47" s="0" t="n">
        <f aca="false">W_PH(B$2,$A47)</f>
        <v>2015</v>
      </c>
      <c r="C47" s="0" t="n">
        <f aca="false">W_PH(C$2,$A47)</f>
        <v>2015</v>
      </c>
      <c r="D47" s="0" t="n">
        <f aca="false">W_PH(D$2,$A47)</f>
        <v>2015</v>
      </c>
      <c r="E47" s="0" t="n">
        <f aca="false">W_PH(E$2,$A47)</f>
        <v>2015</v>
      </c>
      <c r="F47" s="0" t="n">
        <f aca="false">W_PH(F$2,$A47)</f>
        <v>2015</v>
      </c>
      <c r="G47" s="0" t="n">
        <f aca="false">W_PH(G$2,$A47)</f>
        <v>2015</v>
      </c>
      <c r="H47" s="0" t="n">
        <f aca="false">W_PH(H$2,$A47)</f>
        <v>2015</v>
      </c>
      <c r="I47" s="0" t="n">
        <f aca="false">W_PH(I$2,$A47)</f>
        <v>2015</v>
      </c>
      <c r="J47" s="0" t="n">
        <f aca="false">W_PH(J$2,$A47)</f>
        <v>2015</v>
      </c>
      <c r="K47" s="0" t="n">
        <f aca="false">W_PH(K$2,$A47)</f>
        <v>2015</v>
      </c>
      <c r="L47" s="0" t="n">
        <f aca="false">W_PH(L$2,$A47)</f>
        <v>2015</v>
      </c>
      <c r="M47" s="0" t="n">
        <f aca="false">W_PH(M$2,$A47)</f>
        <v>2015</v>
      </c>
      <c r="N47" s="0" t="n">
        <f aca="false">W_PH(N$2,$A47)</f>
        <v>2015</v>
      </c>
      <c r="O47" s="0" t="n">
        <f aca="false">W_PH(O$2,$A47)</f>
        <v>2015</v>
      </c>
      <c r="P47" s="0" t="n">
        <f aca="false">W_PH(P$2,$A47)</f>
        <v>2015</v>
      </c>
      <c r="Q47" s="0" t="n">
        <f aca="false">W_PH(Q$2,$A47)</f>
        <v>2015</v>
      </c>
      <c r="R47" s="0" t="n">
        <f aca="false">W_PH(R$2,$A47)</f>
        <v>2015</v>
      </c>
      <c r="S47" s="0" t="n">
        <f aca="false">W_PH(S$2,$A47)</f>
        <v>2015</v>
      </c>
      <c r="T47" s="0" t="n">
        <f aca="false">W_PH(T$2,$A47)</f>
        <v>2015</v>
      </c>
      <c r="U47" s="0" t="n">
        <f aca="false">W_PH(U$2,$A47)</f>
        <v>2015</v>
      </c>
      <c r="V47" s="0" t="n">
        <f aca="false">W_PH(V$2,$A47)</f>
        <v>2015</v>
      </c>
      <c r="W47" s="0" t="n">
        <f aca="false">W_PH(W$2,$A47)</f>
        <v>2015</v>
      </c>
      <c r="X47" s="0" t="n">
        <f aca="false">W_PH(X$2,$A47)</f>
        <v>2015</v>
      </c>
      <c r="Y47" s="0" t="n">
        <f aca="false">W_PH(Y$2,$A47)</f>
        <v>2015</v>
      </c>
      <c r="Z47" s="0" t="n">
        <f aca="false">W_PH(Z$2,$A47)</f>
        <v>2015</v>
      </c>
      <c r="AA47" s="0" t="n">
        <f aca="false">W_PH(AA$2,$A47)</f>
        <v>2015</v>
      </c>
      <c r="AB47" s="0" t="n">
        <f aca="false">W_PH(AB$2,$A47)</f>
        <v>2015</v>
      </c>
      <c r="AC47" s="0" t="n">
        <f aca="false">W_PH(AC$2,$A47)</f>
        <v>2015</v>
      </c>
      <c r="AD47" s="0" t="n">
        <f aca="false">W_PH(AD$2,$A47)</f>
        <v>2015</v>
      </c>
      <c r="AE47" s="0" t="n">
        <f aca="false">W_PH(AE$2,$A47)</f>
        <v>2015</v>
      </c>
      <c r="AF47" s="0" t="n">
        <f aca="false">W_PH(AF$2,$A47)</f>
        <v>2015</v>
      </c>
      <c r="AG47" s="0" t="n">
        <f aca="false">W_PH(AG$2,$A47)</f>
        <v>2015</v>
      </c>
      <c r="AH47" s="0" t="n">
        <f aca="false">W_PH(AH$2,$A47)</f>
        <v>2015</v>
      </c>
      <c r="AI47" s="0" t="n">
        <f aca="false">W_PH(AI$2,$A47)</f>
        <v>2015</v>
      </c>
      <c r="AJ47" s="0" t="n">
        <f aca="false">W_PH(AJ$2,$A47)</f>
        <v>2015</v>
      </c>
      <c r="AK47" s="0" t="n">
        <f aca="false">W_PH(AK$2,$A47)</f>
        <v>2015</v>
      </c>
      <c r="AL47" s="0" t="n">
        <f aca="false">W_PH(AL$2,$A47)</f>
        <v>2015</v>
      </c>
      <c r="AM47" s="0" t="n">
        <f aca="false">W_PH(AM$2,$A47)</f>
        <v>2015</v>
      </c>
      <c r="AN47" s="0" t="n">
        <f aca="false">W_PH(AN$2,$A47)</f>
        <v>2015</v>
      </c>
      <c r="AO47" s="0" t="n">
        <f aca="false">W_PH(AO$2,$A47)</f>
        <v>2015</v>
      </c>
      <c r="AP47" s="0" t="n">
        <f aca="false">W_PH(AP$2,$A47)</f>
        <v>2015</v>
      </c>
      <c r="AQ47" s="0" t="n">
        <f aca="false">W_PH(AQ$2,$A47)</f>
        <v>2015</v>
      </c>
      <c r="AR47" s="0" t="n">
        <f aca="false">W_PH(AR$2,$A47)</f>
        <v>1028.44246886441</v>
      </c>
      <c r="AS47" s="0" t="n">
        <f aca="false">W_PH(AS$2,$A47)</f>
        <v>1065.54768818272</v>
      </c>
    </row>
    <row r="48" customFormat="false" ht="12.8" hidden="false" customHeight="false" outlineLevel="0" collapsed="false">
      <c r="A48" s="0" t="n">
        <v>894.239036973345</v>
      </c>
      <c r="B48" s="0" t="n">
        <f aca="false">W_PH(B$2,$A48)</f>
        <v>2015</v>
      </c>
      <c r="C48" s="0" t="n">
        <f aca="false">W_PH(C$2,$A48)</f>
        <v>2015</v>
      </c>
      <c r="D48" s="0" t="n">
        <f aca="false">W_PH(D$2,$A48)</f>
        <v>2015</v>
      </c>
      <c r="E48" s="0" t="n">
        <f aca="false">W_PH(E$2,$A48)</f>
        <v>2015</v>
      </c>
      <c r="F48" s="0" t="n">
        <f aca="false">W_PH(F$2,$A48)</f>
        <v>2015</v>
      </c>
      <c r="G48" s="0" t="n">
        <f aca="false">W_PH(G$2,$A48)</f>
        <v>2015</v>
      </c>
      <c r="H48" s="0" t="n">
        <f aca="false">W_PH(H$2,$A48)</f>
        <v>2015</v>
      </c>
      <c r="I48" s="0" t="n">
        <f aca="false">W_PH(I$2,$A48)</f>
        <v>2015</v>
      </c>
      <c r="J48" s="0" t="n">
        <f aca="false">W_PH(J$2,$A48)</f>
        <v>2015</v>
      </c>
      <c r="K48" s="0" t="n">
        <f aca="false">W_PH(K$2,$A48)</f>
        <v>2015</v>
      </c>
      <c r="L48" s="0" t="n">
        <f aca="false">W_PH(L$2,$A48)</f>
        <v>2015</v>
      </c>
      <c r="M48" s="0" t="n">
        <f aca="false">W_PH(M$2,$A48)</f>
        <v>2015</v>
      </c>
      <c r="N48" s="0" t="n">
        <f aca="false">W_PH(N$2,$A48)</f>
        <v>2015</v>
      </c>
      <c r="O48" s="0" t="n">
        <f aca="false">W_PH(O$2,$A48)</f>
        <v>2015</v>
      </c>
      <c r="P48" s="0" t="n">
        <f aca="false">W_PH(P$2,$A48)</f>
        <v>2015</v>
      </c>
      <c r="Q48" s="0" t="n">
        <f aca="false">W_PH(Q$2,$A48)</f>
        <v>2015</v>
      </c>
      <c r="R48" s="0" t="n">
        <f aca="false">W_PH(R$2,$A48)</f>
        <v>2015</v>
      </c>
      <c r="S48" s="0" t="n">
        <f aca="false">W_PH(S$2,$A48)</f>
        <v>2015</v>
      </c>
      <c r="T48" s="0" t="n">
        <f aca="false">W_PH(T$2,$A48)</f>
        <v>2015</v>
      </c>
      <c r="U48" s="0" t="n">
        <f aca="false">W_PH(U$2,$A48)</f>
        <v>2015</v>
      </c>
      <c r="V48" s="0" t="n">
        <f aca="false">W_PH(V$2,$A48)</f>
        <v>2015</v>
      </c>
      <c r="W48" s="0" t="n">
        <f aca="false">W_PH(W$2,$A48)</f>
        <v>2015</v>
      </c>
      <c r="X48" s="0" t="n">
        <f aca="false">W_PH(X$2,$A48)</f>
        <v>2015</v>
      </c>
      <c r="Y48" s="0" t="n">
        <f aca="false">W_PH(Y$2,$A48)</f>
        <v>2015</v>
      </c>
      <c r="Z48" s="0" t="n">
        <f aca="false">W_PH(Z$2,$A48)</f>
        <v>2015</v>
      </c>
      <c r="AA48" s="0" t="n">
        <f aca="false">W_PH(AA$2,$A48)</f>
        <v>2015</v>
      </c>
      <c r="AB48" s="0" t="n">
        <f aca="false">W_PH(AB$2,$A48)</f>
        <v>2015</v>
      </c>
      <c r="AC48" s="0" t="n">
        <f aca="false">W_PH(AC$2,$A48)</f>
        <v>2015</v>
      </c>
      <c r="AD48" s="0" t="n">
        <f aca="false">W_PH(AD$2,$A48)</f>
        <v>2015</v>
      </c>
      <c r="AE48" s="0" t="n">
        <f aca="false">W_PH(AE$2,$A48)</f>
        <v>2015</v>
      </c>
      <c r="AF48" s="0" t="n">
        <f aca="false">W_PH(AF$2,$A48)</f>
        <v>2015</v>
      </c>
      <c r="AG48" s="0" t="n">
        <f aca="false">W_PH(AG$2,$A48)</f>
        <v>2015</v>
      </c>
      <c r="AH48" s="0" t="n">
        <f aca="false">W_PH(AH$2,$A48)</f>
        <v>2015</v>
      </c>
      <c r="AI48" s="0" t="n">
        <f aca="false">W_PH(AI$2,$A48)</f>
        <v>2015</v>
      </c>
      <c r="AJ48" s="0" t="n">
        <f aca="false">W_PH(AJ$2,$A48)</f>
        <v>2015</v>
      </c>
      <c r="AK48" s="0" t="n">
        <f aca="false">W_PH(AK$2,$A48)</f>
        <v>2015</v>
      </c>
      <c r="AL48" s="0" t="n">
        <f aca="false">W_PH(AL$2,$A48)</f>
        <v>2015</v>
      </c>
      <c r="AM48" s="0" t="n">
        <f aca="false">W_PH(AM$2,$A48)</f>
        <v>2015</v>
      </c>
      <c r="AN48" s="0" t="n">
        <f aca="false">W_PH(AN$2,$A48)</f>
        <v>2015</v>
      </c>
      <c r="AO48" s="0" t="n">
        <f aca="false">W_PH(AO$2,$A48)</f>
        <v>2015</v>
      </c>
      <c r="AP48" s="0" t="n">
        <f aca="false">W_PH(AP$2,$A48)</f>
        <v>2015</v>
      </c>
      <c r="AQ48" s="0" t="n">
        <f aca="false">W_PH(AQ$2,$A48)</f>
        <v>2015</v>
      </c>
      <c r="AR48" s="0" t="n">
        <f aca="false">W_PH(AR$2,$A48)</f>
        <v>1030.1168198112</v>
      </c>
      <c r="AS48" s="0" t="n">
        <f aca="false">W_PH(AS$2,$A48)</f>
        <v>1065.32384596604</v>
      </c>
    </row>
    <row r="49" customFormat="false" ht="12.8" hidden="false" customHeight="false" outlineLevel="0" collapsed="false">
      <c r="A49" s="0" t="n">
        <v>898.53826311264</v>
      </c>
      <c r="B49" s="0" t="n">
        <f aca="false">W_PH(B$2,$A49)</f>
        <v>2015</v>
      </c>
      <c r="C49" s="0" t="n">
        <f aca="false">W_PH(C$2,$A49)</f>
        <v>2015</v>
      </c>
      <c r="D49" s="0" t="n">
        <f aca="false">W_PH(D$2,$A49)</f>
        <v>2015</v>
      </c>
      <c r="E49" s="0" t="n">
        <f aca="false">W_PH(E$2,$A49)</f>
        <v>2015</v>
      </c>
      <c r="F49" s="0" t="n">
        <f aca="false">W_PH(F$2,$A49)</f>
        <v>2015</v>
      </c>
      <c r="G49" s="0" t="n">
        <f aca="false">W_PH(G$2,$A49)</f>
        <v>2015</v>
      </c>
      <c r="H49" s="0" t="n">
        <f aca="false">W_PH(H$2,$A49)</f>
        <v>2015</v>
      </c>
      <c r="I49" s="0" t="n">
        <f aca="false">W_PH(I$2,$A49)</f>
        <v>2015</v>
      </c>
      <c r="J49" s="0" t="n">
        <f aca="false">W_PH(J$2,$A49)</f>
        <v>2015</v>
      </c>
      <c r="K49" s="0" t="n">
        <f aca="false">W_PH(K$2,$A49)</f>
        <v>2015</v>
      </c>
      <c r="L49" s="0" t="n">
        <f aca="false">W_PH(L$2,$A49)</f>
        <v>2015</v>
      </c>
      <c r="M49" s="0" t="n">
        <f aca="false">W_PH(M$2,$A49)</f>
        <v>2015</v>
      </c>
      <c r="N49" s="0" t="n">
        <f aca="false">W_PH(N$2,$A49)</f>
        <v>2015</v>
      </c>
      <c r="O49" s="0" t="n">
        <f aca="false">W_PH(O$2,$A49)</f>
        <v>2015</v>
      </c>
      <c r="P49" s="0" t="n">
        <f aca="false">W_PH(P$2,$A49)</f>
        <v>2015</v>
      </c>
      <c r="Q49" s="0" t="n">
        <f aca="false">W_PH(Q$2,$A49)</f>
        <v>2015</v>
      </c>
      <c r="R49" s="0" t="n">
        <f aca="false">W_PH(R$2,$A49)</f>
        <v>2015</v>
      </c>
      <c r="S49" s="0" t="n">
        <f aca="false">W_PH(S$2,$A49)</f>
        <v>2015</v>
      </c>
      <c r="T49" s="0" t="n">
        <f aca="false">W_PH(T$2,$A49)</f>
        <v>2015</v>
      </c>
      <c r="U49" s="0" t="n">
        <f aca="false">W_PH(U$2,$A49)</f>
        <v>2015</v>
      </c>
      <c r="V49" s="0" t="n">
        <f aca="false">W_PH(V$2,$A49)</f>
        <v>2015</v>
      </c>
      <c r="W49" s="0" t="n">
        <f aca="false">W_PH(W$2,$A49)</f>
        <v>2015</v>
      </c>
      <c r="X49" s="0" t="n">
        <f aca="false">W_PH(X$2,$A49)</f>
        <v>2015</v>
      </c>
      <c r="Y49" s="0" t="n">
        <f aca="false">W_PH(Y$2,$A49)</f>
        <v>2015</v>
      </c>
      <c r="Z49" s="0" t="n">
        <f aca="false">W_PH(Z$2,$A49)</f>
        <v>2015</v>
      </c>
      <c r="AA49" s="0" t="n">
        <f aca="false">W_PH(AA$2,$A49)</f>
        <v>2015</v>
      </c>
      <c r="AB49" s="0" t="n">
        <f aca="false">W_PH(AB$2,$A49)</f>
        <v>2015</v>
      </c>
      <c r="AC49" s="0" t="n">
        <f aca="false">W_PH(AC$2,$A49)</f>
        <v>2015</v>
      </c>
      <c r="AD49" s="0" t="n">
        <f aca="false">W_PH(AD$2,$A49)</f>
        <v>2015</v>
      </c>
      <c r="AE49" s="0" t="n">
        <f aca="false">W_PH(AE$2,$A49)</f>
        <v>2015</v>
      </c>
      <c r="AF49" s="0" t="n">
        <f aca="false">W_PH(AF$2,$A49)</f>
        <v>2015</v>
      </c>
      <c r="AG49" s="0" t="n">
        <f aca="false">W_PH(AG$2,$A49)</f>
        <v>2015</v>
      </c>
      <c r="AH49" s="0" t="n">
        <f aca="false">W_PH(AH$2,$A49)</f>
        <v>2015</v>
      </c>
      <c r="AI49" s="0" t="n">
        <f aca="false">W_PH(AI$2,$A49)</f>
        <v>2015</v>
      </c>
      <c r="AJ49" s="0" t="n">
        <f aca="false">W_PH(AJ$2,$A49)</f>
        <v>2015</v>
      </c>
      <c r="AK49" s="0" t="n">
        <f aca="false">W_PH(AK$2,$A49)</f>
        <v>2015</v>
      </c>
      <c r="AL49" s="0" t="n">
        <f aca="false">W_PH(AL$2,$A49)</f>
        <v>2015</v>
      </c>
      <c r="AM49" s="0" t="n">
        <f aca="false">W_PH(AM$2,$A49)</f>
        <v>2015</v>
      </c>
      <c r="AN49" s="0" t="n">
        <f aca="false">W_PH(AN$2,$A49)</f>
        <v>2015</v>
      </c>
      <c r="AO49" s="0" t="n">
        <f aca="false">W_PH(AO$2,$A49)</f>
        <v>2015</v>
      </c>
      <c r="AP49" s="0" t="n">
        <f aca="false">W_PH(AP$2,$A49)</f>
        <v>2015</v>
      </c>
      <c r="AQ49" s="0" t="n">
        <f aca="false">W_PH(AQ$2,$A49)</f>
        <v>2015</v>
      </c>
      <c r="AR49" s="0" t="n">
        <f aca="false">W_PH(AR$2,$A49)</f>
        <v>1032.73947424222</v>
      </c>
      <c r="AS49" s="0" t="n">
        <f aca="false">W_PH(AS$2,$A49)</f>
        <v>1066.17790816138</v>
      </c>
    </row>
    <row r="50" customFormat="false" ht="12.8" hidden="false" customHeight="false" outlineLevel="0" collapsed="false">
      <c r="A50" s="0" t="n">
        <v>902.837489251935</v>
      </c>
      <c r="B50" s="0" t="n">
        <f aca="false">W_PH(B$2,$A50)</f>
        <v>2015</v>
      </c>
      <c r="C50" s="0" t="n">
        <f aca="false">W_PH(C$2,$A50)</f>
        <v>2015</v>
      </c>
      <c r="D50" s="0" t="n">
        <f aca="false">W_PH(D$2,$A50)</f>
        <v>2015</v>
      </c>
      <c r="E50" s="0" t="n">
        <f aca="false">W_PH(E$2,$A50)</f>
        <v>2015</v>
      </c>
      <c r="F50" s="0" t="n">
        <f aca="false">W_PH(F$2,$A50)</f>
        <v>2015</v>
      </c>
      <c r="G50" s="0" t="n">
        <f aca="false">W_PH(G$2,$A50)</f>
        <v>2015</v>
      </c>
      <c r="H50" s="0" t="n">
        <f aca="false">W_PH(H$2,$A50)</f>
        <v>2015</v>
      </c>
      <c r="I50" s="0" t="n">
        <f aca="false">W_PH(I$2,$A50)</f>
        <v>2015</v>
      </c>
      <c r="J50" s="0" t="n">
        <f aca="false">W_PH(J$2,$A50)</f>
        <v>2015</v>
      </c>
      <c r="K50" s="0" t="n">
        <f aca="false">W_PH(K$2,$A50)</f>
        <v>2015</v>
      </c>
      <c r="L50" s="0" t="n">
        <f aca="false">W_PH(L$2,$A50)</f>
        <v>2015</v>
      </c>
      <c r="M50" s="0" t="n">
        <f aca="false">W_PH(M$2,$A50)</f>
        <v>2015</v>
      </c>
      <c r="N50" s="0" t="n">
        <f aca="false">W_PH(N$2,$A50)</f>
        <v>2015</v>
      </c>
      <c r="O50" s="0" t="n">
        <f aca="false">W_PH(O$2,$A50)</f>
        <v>2015</v>
      </c>
      <c r="P50" s="0" t="n">
        <f aca="false">W_PH(P$2,$A50)</f>
        <v>2015</v>
      </c>
      <c r="Q50" s="0" t="n">
        <f aca="false">W_PH(Q$2,$A50)</f>
        <v>2015</v>
      </c>
      <c r="R50" s="0" t="n">
        <f aca="false">W_PH(R$2,$A50)</f>
        <v>2015</v>
      </c>
      <c r="S50" s="0" t="n">
        <f aca="false">W_PH(S$2,$A50)</f>
        <v>2015</v>
      </c>
      <c r="T50" s="0" t="n">
        <f aca="false">W_PH(T$2,$A50)</f>
        <v>2015</v>
      </c>
      <c r="U50" s="0" t="n">
        <f aca="false">W_PH(U$2,$A50)</f>
        <v>2015</v>
      </c>
      <c r="V50" s="0" t="n">
        <f aca="false">W_PH(V$2,$A50)</f>
        <v>2015</v>
      </c>
      <c r="W50" s="0" t="n">
        <f aca="false">W_PH(W$2,$A50)</f>
        <v>2015</v>
      </c>
      <c r="X50" s="0" t="n">
        <f aca="false">W_PH(X$2,$A50)</f>
        <v>2015</v>
      </c>
      <c r="Y50" s="0" t="n">
        <f aca="false">W_PH(Y$2,$A50)</f>
        <v>2015</v>
      </c>
      <c r="Z50" s="0" t="n">
        <f aca="false">W_PH(Z$2,$A50)</f>
        <v>2015</v>
      </c>
      <c r="AA50" s="0" t="n">
        <f aca="false">W_PH(AA$2,$A50)</f>
        <v>2015</v>
      </c>
      <c r="AB50" s="0" t="n">
        <f aca="false">W_PH(AB$2,$A50)</f>
        <v>2015</v>
      </c>
      <c r="AC50" s="0" t="n">
        <f aca="false">W_PH(AC$2,$A50)</f>
        <v>2015</v>
      </c>
      <c r="AD50" s="0" t="n">
        <f aca="false">W_PH(AD$2,$A50)</f>
        <v>2015</v>
      </c>
      <c r="AE50" s="0" t="n">
        <f aca="false">W_PH(AE$2,$A50)</f>
        <v>2015</v>
      </c>
      <c r="AF50" s="0" t="n">
        <f aca="false">W_PH(AF$2,$A50)</f>
        <v>2015</v>
      </c>
      <c r="AG50" s="0" t="n">
        <f aca="false">W_PH(AG$2,$A50)</f>
        <v>2015</v>
      </c>
      <c r="AH50" s="0" t="n">
        <f aca="false">W_PH(AH$2,$A50)</f>
        <v>2015</v>
      </c>
      <c r="AI50" s="0" t="n">
        <f aca="false">W_PH(AI$2,$A50)</f>
        <v>2015</v>
      </c>
      <c r="AJ50" s="0" t="n">
        <f aca="false">W_PH(AJ$2,$A50)</f>
        <v>2015</v>
      </c>
      <c r="AK50" s="0" t="n">
        <f aca="false">W_PH(AK$2,$A50)</f>
        <v>2015</v>
      </c>
      <c r="AL50" s="0" t="n">
        <f aca="false">W_PH(AL$2,$A50)</f>
        <v>2015</v>
      </c>
      <c r="AM50" s="0" t="n">
        <f aca="false">W_PH(AM$2,$A50)</f>
        <v>2015</v>
      </c>
      <c r="AN50" s="0" t="n">
        <f aca="false">W_PH(AN$2,$A50)</f>
        <v>2015</v>
      </c>
      <c r="AO50" s="0" t="n">
        <f aca="false">W_PH(AO$2,$A50)</f>
        <v>2015</v>
      </c>
      <c r="AP50" s="0" t="n">
        <f aca="false">W_PH(AP$2,$A50)</f>
        <v>2015</v>
      </c>
      <c r="AQ50" s="0" t="n">
        <f aca="false">W_PH(AQ$2,$A50)</f>
        <v>2015</v>
      </c>
      <c r="AR50" s="0" t="n">
        <f aca="false">W_PH(AR$2,$A50)</f>
        <v>1036.19970240621</v>
      </c>
      <c r="AS50" s="0" t="n">
        <f aca="false">W_PH(AS$2,$A50)</f>
        <v>1067.96118597414</v>
      </c>
    </row>
    <row r="51" customFormat="false" ht="12.8" hidden="false" customHeight="false" outlineLevel="0" collapsed="false">
      <c r="A51" s="0" t="n">
        <v>907.13671539123</v>
      </c>
      <c r="B51" s="0" t="n">
        <f aca="false">W_PH(B$2,$A51)</f>
        <v>2015</v>
      </c>
      <c r="C51" s="0" t="n">
        <f aca="false">W_PH(C$2,$A51)</f>
        <v>2015</v>
      </c>
      <c r="D51" s="0" t="n">
        <f aca="false">W_PH(D$2,$A51)</f>
        <v>2015</v>
      </c>
      <c r="E51" s="0" t="n">
        <f aca="false">W_PH(E$2,$A51)</f>
        <v>2015</v>
      </c>
      <c r="F51" s="0" t="n">
        <f aca="false">W_PH(F$2,$A51)</f>
        <v>2015</v>
      </c>
      <c r="G51" s="0" t="n">
        <f aca="false">W_PH(G$2,$A51)</f>
        <v>2015</v>
      </c>
      <c r="H51" s="0" t="n">
        <f aca="false">W_PH(H$2,$A51)</f>
        <v>2015</v>
      </c>
      <c r="I51" s="0" t="n">
        <f aca="false">W_PH(I$2,$A51)</f>
        <v>2015</v>
      </c>
      <c r="J51" s="0" t="n">
        <f aca="false">W_PH(J$2,$A51)</f>
        <v>2015</v>
      </c>
      <c r="K51" s="0" t="n">
        <f aca="false">W_PH(K$2,$A51)</f>
        <v>2015</v>
      </c>
      <c r="L51" s="0" t="n">
        <f aca="false">W_PH(L$2,$A51)</f>
        <v>2015</v>
      </c>
      <c r="M51" s="0" t="n">
        <f aca="false">W_PH(M$2,$A51)</f>
        <v>2015</v>
      </c>
      <c r="N51" s="0" t="n">
        <f aca="false">W_PH(N$2,$A51)</f>
        <v>2015</v>
      </c>
      <c r="O51" s="0" t="n">
        <f aca="false">W_PH(O$2,$A51)</f>
        <v>2015</v>
      </c>
      <c r="P51" s="0" t="n">
        <f aca="false">W_PH(P$2,$A51)</f>
        <v>2015</v>
      </c>
      <c r="Q51" s="0" t="n">
        <f aca="false">W_PH(Q$2,$A51)</f>
        <v>2015</v>
      </c>
      <c r="R51" s="0" t="n">
        <f aca="false">W_PH(R$2,$A51)</f>
        <v>2015</v>
      </c>
      <c r="S51" s="0" t="n">
        <f aca="false">W_PH(S$2,$A51)</f>
        <v>2015</v>
      </c>
      <c r="T51" s="0" t="n">
        <f aca="false">W_PH(T$2,$A51)</f>
        <v>2015</v>
      </c>
      <c r="U51" s="0" t="n">
        <f aca="false">W_PH(U$2,$A51)</f>
        <v>2015</v>
      </c>
      <c r="V51" s="0" t="n">
        <f aca="false">W_PH(V$2,$A51)</f>
        <v>2015</v>
      </c>
      <c r="W51" s="0" t="n">
        <f aca="false">W_PH(W$2,$A51)</f>
        <v>2015</v>
      </c>
      <c r="X51" s="0" t="n">
        <f aca="false">W_PH(X$2,$A51)</f>
        <v>2015</v>
      </c>
      <c r="Y51" s="0" t="n">
        <f aca="false">W_PH(Y$2,$A51)</f>
        <v>2015</v>
      </c>
      <c r="Z51" s="0" t="n">
        <f aca="false">W_PH(Z$2,$A51)</f>
        <v>2015</v>
      </c>
      <c r="AA51" s="0" t="n">
        <f aca="false">W_PH(AA$2,$A51)</f>
        <v>2015</v>
      </c>
      <c r="AB51" s="0" t="n">
        <f aca="false">W_PH(AB$2,$A51)</f>
        <v>2015</v>
      </c>
      <c r="AC51" s="0" t="n">
        <f aca="false">W_PH(AC$2,$A51)</f>
        <v>2015</v>
      </c>
      <c r="AD51" s="0" t="n">
        <f aca="false">W_PH(AD$2,$A51)</f>
        <v>2015</v>
      </c>
      <c r="AE51" s="0" t="n">
        <f aca="false">W_PH(AE$2,$A51)</f>
        <v>2015</v>
      </c>
      <c r="AF51" s="0" t="n">
        <f aca="false">W_PH(AF$2,$A51)</f>
        <v>2015</v>
      </c>
      <c r="AG51" s="0" t="n">
        <f aca="false">W_PH(AG$2,$A51)</f>
        <v>2015</v>
      </c>
      <c r="AH51" s="0" t="n">
        <f aca="false">W_PH(AH$2,$A51)</f>
        <v>2015</v>
      </c>
      <c r="AI51" s="0" t="n">
        <f aca="false">W_PH(AI$2,$A51)</f>
        <v>2015</v>
      </c>
      <c r="AJ51" s="0" t="n">
        <f aca="false">W_PH(AJ$2,$A51)</f>
        <v>2015</v>
      </c>
      <c r="AK51" s="0" t="n">
        <f aca="false">W_PH(AK$2,$A51)</f>
        <v>2015</v>
      </c>
      <c r="AL51" s="0" t="n">
        <f aca="false">W_PH(AL$2,$A51)</f>
        <v>2015</v>
      </c>
      <c r="AM51" s="0" t="n">
        <f aca="false">W_PH(AM$2,$A51)</f>
        <v>2015</v>
      </c>
      <c r="AN51" s="0" t="n">
        <f aca="false">W_PH(AN$2,$A51)</f>
        <v>2015</v>
      </c>
      <c r="AO51" s="0" t="n">
        <f aca="false">W_PH(AO$2,$A51)</f>
        <v>2015</v>
      </c>
      <c r="AP51" s="0" t="n">
        <f aca="false">W_PH(AP$2,$A51)</f>
        <v>2015</v>
      </c>
      <c r="AQ51" s="0" t="n">
        <f aca="false">W_PH(AQ$2,$A51)</f>
        <v>2015</v>
      </c>
      <c r="AR51" s="0" t="n">
        <f aca="false">W_PH(AR$2,$A51)</f>
        <v>1040.38000731321</v>
      </c>
      <c r="AS51" s="0" t="n">
        <f aca="false">W_PH(AS$2,$A51)</f>
        <v>1070.58218440559</v>
      </c>
    </row>
    <row r="52" customFormat="false" ht="12.8" hidden="false" customHeight="false" outlineLevel="0" collapsed="false">
      <c r="A52" s="0" t="n">
        <v>911.435941530525</v>
      </c>
      <c r="B52" s="0" t="n">
        <f aca="false">W_PH(B$2,$A52)</f>
        <v>2015</v>
      </c>
      <c r="C52" s="0" t="n">
        <f aca="false">W_PH(C$2,$A52)</f>
        <v>2015</v>
      </c>
      <c r="D52" s="0" t="n">
        <f aca="false">W_PH(D$2,$A52)</f>
        <v>2015</v>
      </c>
      <c r="E52" s="0" t="n">
        <f aca="false">W_PH(E$2,$A52)</f>
        <v>2015</v>
      </c>
      <c r="F52" s="0" t="n">
        <f aca="false">W_PH(F$2,$A52)</f>
        <v>2015</v>
      </c>
      <c r="G52" s="0" t="n">
        <f aca="false">W_PH(G$2,$A52)</f>
        <v>2015</v>
      </c>
      <c r="H52" s="0" t="n">
        <f aca="false">W_PH(H$2,$A52)</f>
        <v>2015</v>
      </c>
      <c r="I52" s="0" t="n">
        <f aca="false">W_PH(I$2,$A52)</f>
        <v>2015</v>
      </c>
      <c r="J52" s="0" t="n">
        <f aca="false">W_PH(J$2,$A52)</f>
        <v>2015</v>
      </c>
      <c r="K52" s="0" t="n">
        <f aca="false">W_PH(K$2,$A52)</f>
        <v>2015</v>
      </c>
      <c r="L52" s="0" t="n">
        <f aca="false">W_PH(L$2,$A52)</f>
        <v>2015</v>
      </c>
      <c r="M52" s="0" t="n">
        <f aca="false">W_PH(M$2,$A52)</f>
        <v>2015</v>
      </c>
      <c r="N52" s="0" t="n">
        <f aca="false">W_PH(N$2,$A52)</f>
        <v>2015</v>
      </c>
      <c r="O52" s="0" t="n">
        <f aca="false">W_PH(O$2,$A52)</f>
        <v>2015</v>
      </c>
      <c r="P52" s="0" t="n">
        <f aca="false">W_PH(P$2,$A52)</f>
        <v>2015</v>
      </c>
      <c r="Q52" s="0" t="n">
        <f aca="false">W_PH(Q$2,$A52)</f>
        <v>2015</v>
      </c>
      <c r="R52" s="0" t="n">
        <f aca="false">W_PH(R$2,$A52)</f>
        <v>2015</v>
      </c>
      <c r="S52" s="0" t="n">
        <f aca="false">W_PH(S$2,$A52)</f>
        <v>2015</v>
      </c>
      <c r="T52" s="0" t="n">
        <f aca="false">W_PH(T$2,$A52)</f>
        <v>2015</v>
      </c>
      <c r="U52" s="0" t="n">
        <f aca="false">W_PH(U$2,$A52)</f>
        <v>2015</v>
      </c>
      <c r="V52" s="0" t="n">
        <f aca="false">W_PH(V$2,$A52)</f>
        <v>2015</v>
      </c>
      <c r="W52" s="0" t="n">
        <f aca="false">W_PH(W$2,$A52)</f>
        <v>2015</v>
      </c>
      <c r="X52" s="0" t="n">
        <f aca="false">W_PH(X$2,$A52)</f>
        <v>2015</v>
      </c>
      <c r="Y52" s="0" t="n">
        <f aca="false">W_PH(Y$2,$A52)</f>
        <v>2015</v>
      </c>
      <c r="Z52" s="0" t="n">
        <f aca="false">W_PH(Z$2,$A52)</f>
        <v>2015</v>
      </c>
      <c r="AA52" s="0" t="n">
        <f aca="false">W_PH(AA$2,$A52)</f>
        <v>2015</v>
      </c>
      <c r="AB52" s="0" t="n">
        <f aca="false">W_PH(AB$2,$A52)</f>
        <v>2015</v>
      </c>
      <c r="AC52" s="0" t="n">
        <f aca="false">W_PH(AC$2,$A52)</f>
        <v>2015</v>
      </c>
      <c r="AD52" s="0" t="n">
        <f aca="false">W_PH(AD$2,$A52)</f>
        <v>2015</v>
      </c>
      <c r="AE52" s="0" t="n">
        <f aca="false">W_PH(AE$2,$A52)</f>
        <v>2015</v>
      </c>
      <c r="AF52" s="0" t="n">
        <f aca="false">W_PH(AF$2,$A52)</f>
        <v>2015</v>
      </c>
      <c r="AG52" s="0" t="n">
        <f aca="false">W_PH(AG$2,$A52)</f>
        <v>2015</v>
      </c>
      <c r="AH52" s="0" t="n">
        <f aca="false">W_PH(AH$2,$A52)</f>
        <v>2015</v>
      </c>
      <c r="AI52" s="0" t="n">
        <f aca="false">W_PH(AI$2,$A52)</f>
        <v>2015</v>
      </c>
      <c r="AJ52" s="0" t="n">
        <f aca="false">W_PH(AJ$2,$A52)</f>
        <v>2015</v>
      </c>
      <c r="AK52" s="0" t="n">
        <f aca="false">W_PH(AK$2,$A52)</f>
        <v>2015</v>
      </c>
      <c r="AL52" s="0" t="n">
        <f aca="false">W_PH(AL$2,$A52)</f>
        <v>2015</v>
      </c>
      <c r="AM52" s="0" t="n">
        <f aca="false">W_PH(AM$2,$A52)</f>
        <v>2015</v>
      </c>
      <c r="AN52" s="0" t="n">
        <f aca="false">W_PH(AN$2,$A52)</f>
        <v>2015</v>
      </c>
      <c r="AO52" s="0" t="n">
        <f aca="false">W_PH(AO$2,$A52)</f>
        <v>2015</v>
      </c>
      <c r="AP52" s="0" t="n">
        <f aca="false">W_PH(AP$2,$A52)</f>
        <v>2015</v>
      </c>
      <c r="AQ52" s="0" t="n">
        <f aca="false">W_PH(AQ$2,$A52)</f>
        <v>2015</v>
      </c>
      <c r="AR52" s="0" t="n">
        <f aca="false">W_PH(AR$2,$A52)</f>
        <v>1045.1842637017</v>
      </c>
      <c r="AS52" s="0" t="n">
        <f aca="false">W_PH(AS$2,$A52)</f>
        <v>1073.9394192514</v>
      </c>
    </row>
    <row r="53" customFormat="false" ht="12.8" hidden="false" customHeight="false" outlineLevel="0" collapsed="false">
      <c r="A53" s="0" t="n">
        <v>915.735167669819</v>
      </c>
      <c r="B53" s="0" t="n">
        <f aca="false">W_PH(B$2,$A53)</f>
        <v>2015</v>
      </c>
      <c r="C53" s="0" t="n">
        <f aca="false">W_PH(C$2,$A53)</f>
        <v>2015</v>
      </c>
      <c r="D53" s="0" t="n">
        <f aca="false">W_PH(D$2,$A53)</f>
        <v>2015</v>
      </c>
      <c r="E53" s="0" t="n">
        <f aca="false">W_PH(E$2,$A53)</f>
        <v>2015</v>
      </c>
      <c r="F53" s="0" t="n">
        <f aca="false">W_PH(F$2,$A53)</f>
        <v>2015</v>
      </c>
      <c r="G53" s="0" t="n">
        <f aca="false">W_PH(G$2,$A53)</f>
        <v>2015</v>
      </c>
      <c r="H53" s="0" t="n">
        <f aca="false">W_PH(H$2,$A53)</f>
        <v>2015</v>
      </c>
      <c r="I53" s="0" t="n">
        <f aca="false">W_PH(I$2,$A53)</f>
        <v>2015</v>
      </c>
      <c r="J53" s="0" t="n">
        <f aca="false">W_PH(J$2,$A53)</f>
        <v>2015</v>
      </c>
      <c r="K53" s="0" t="n">
        <f aca="false">W_PH(K$2,$A53)</f>
        <v>2015</v>
      </c>
      <c r="L53" s="0" t="n">
        <f aca="false">W_PH(L$2,$A53)</f>
        <v>2015</v>
      </c>
      <c r="M53" s="0" t="n">
        <f aca="false">W_PH(M$2,$A53)</f>
        <v>2015</v>
      </c>
      <c r="N53" s="0" t="n">
        <f aca="false">W_PH(N$2,$A53)</f>
        <v>2015</v>
      </c>
      <c r="O53" s="0" t="n">
        <f aca="false">W_PH(O$2,$A53)</f>
        <v>2015</v>
      </c>
      <c r="P53" s="0" t="n">
        <f aca="false">W_PH(P$2,$A53)</f>
        <v>2015</v>
      </c>
      <c r="Q53" s="0" t="n">
        <f aca="false">W_PH(Q$2,$A53)</f>
        <v>2015</v>
      </c>
      <c r="R53" s="0" t="n">
        <f aca="false">W_PH(R$2,$A53)</f>
        <v>2015</v>
      </c>
      <c r="S53" s="0" t="n">
        <f aca="false">W_PH(S$2,$A53)</f>
        <v>2015</v>
      </c>
      <c r="T53" s="0" t="n">
        <f aca="false">W_PH(T$2,$A53)</f>
        <v>2015</v>
      </c>
      <c r="U53" s="0" t="n">
        <f aca="false">W_PH(U$2,$A53)</f>
        <v>2015</v>
      </c>
      <c r="V53" s="0" t="n">
        <f aca="false">W_PH(V$2,$A53)</f>
        <v>2015</v>
      </c>
      <c r="W53" s="0" t="n">
        <f aca="false">W_PH(W$2,$A53)</f>
        <v>2015</v>
      </c>
      <c r="X53" s="0" t="n">
        <f aca="false">W_PH(X$2,$A53)</f>
        <v>2015</v>
      </c>
      <c r="Y53" s="0" t="n">
        <f aca="false">W_PH(Y$2,$A53)</f>
        <v>2015</v>
      </c>
      <c r="Z53" s="0" t="n">
        <f aca="false">W_PH(Z$2,$A53)</f>
        <v>2015</v>
      </c>
      <c r="AA53" s="0" t="n">
        <f aca="false">W_PH(AA$2,$A53)</f>
        <v>2015</v>
      </c>
      <c r="AB53" s="0" t="n">
        <f aca="false">W_PH(AB$2,$A53)</f>
        <v>2015</v>
      </c>
      <c r="AC53" s="0" t="n">
        <f aca="false">W_PH(AC$2,$A53)</f>
        <v>2015</v>
      </c>
      <c r="AD53" s="0" t="n">
        <f aca="false">W_PH(AD$2,$A53)</f>
        <v>2015</v>
      </c>
      <c r="AE53" s="0" t="n">
        <f aca="false">W_PH(AE$2,$A53)</f>
        <v>2015</v>
      </c>
      <c r="AF53" s="0" t="n">
        <f aca="false">W_PH(AF$2,$A53)</f>
        <v>2015</v>
      </c>
      <c r="AG53" s="0" t="n">
        <f aca="false">W_PH(AG$2,$A53)</f>
        <v>2015</v>
      </c>
      <c r="AH53" s="0" t="n">
        <f aca="false">W_PH(AH$2,$A53)</f>
        <v>2015</v>
      </c>
      <c r="AI53" s="0" t="n">
        <f aca="false">W_PH(AI$2,$A53)</f>
        <v>2015</v>
      </c>
      <c r="AJ53" s="0" t="n">
        <f aca="false">W_PH(AJ$2,$A53)</f>
        <v>2015</v>
      </c>
      <c r="AK53" s="0" t="n">
        <f aca="false">W_PH(AK$2,$A53)</f>
        <v>2015</v>
      </c>
      <c r="AL53" s="0" t="n">
        <f aca="false">W_PH(AL$2,$A53)</f>
        <v>2015</v>
      </c>
      <c r="AM53" s="0" t="n">
        <f aca="false">W_PH(AM$2,$A53)</f>
        <v>2015</v>
      </c>
      <c r="AN53" s="0" t="n">
        <f aca="false">W_PH(AN$2,$A53)</f>
        <v>2015</v>
      </c>
      <c r="AO53" s="0" t="n">
        <f aca="false">W_PH(AO$2,$A53)</f>
        <v>2015</v>
      </c>
      <c r="AP53" s="0" t="n">
        <f aca="false">W_PH(AP$2,$A53)</f>
        <v>2015</v>
      </c>
      <c r="AQ53" s="0" t="n">
        <f aca="false">W_PH(AQ$2,$A53)</f>
        <v>2015</v>
      </c>
      <c r="AR53" s="0" t="n">
        <f aca="false">W_PH(AR$2,$A53)</f>
        <v>1050.53020231637</v>
      </c>
      <c r="AS53" s="0" t="n">
        <f aca="false">W_PH(AS$2,$A53)</f>
        <v>1077.94404260619</v>
      </c>
    </row>
    <row r="54" customFormat="false" ht="12.8" hidden="false" customHeight="false" outlineLevel="0" collapsed="false">
      <c r="A54" s="0" t="n">
        <v>920.034393809114</v>
      </c>
      <c r="B54" s="0" t="n">
        <f aca="false">W_PH(B$2,$A54)</f>
        <v>2015</v>
      </c>
      <c r="C54" s="0" t="n">
        <f aca="false">W_PH(C$2,$A54)</f>
        <v>2015</v>
      </c>
      <c r="D54" s="0" t="n">
        <f aca="false">W_PH(D$2,$A54)</f>
        <v>2015</v>
      </c>
      <c r="E54" s="0" t="n">
        <f aca="false">W_PH(E$2,$A54)</f>
        <v>2015</v>
      </c>
      <c r="F54" s="0" t="n">
        <f aca="false">W_PH(F$2,$A54)</f>
        <v>2015</v>
      </c>
      <c r="G54" s="0" t="n">
        <f aca="false">W_PH(G$2,$A54)</f>
        <v>2015</v>
      </c>
      <c r="H54" s="0" t="n">
        <f aca="false">W_PH(H$2,$A54)</f>
        <v>2015</v>
      </c>
      <c r="I54" s="0" t="n">
        <f aca="false">W_PH(I$2,$A54)</f>
        <v>2015</v>
      </c>
      <c r="J54" s="0" t="n">
        <f aca="false">W_PH(J$2,$A54)</f>
        <v>2015</v>
      </c>
      <c r="K54" s="0" t="n">
        <f aca="false">W_PH(K$2,$A54)</f>
        <v>2015</v>
      </c>
      <c r="L54" s="0" t="n">
        <f aca="false">W_PH(L$2,$A54)</f>
        <v>2015</v>
      </c>
      <c r="M54" s="0" t="n">
        <f aca="false">W_PH(M$2,$A54)</f>
        <v>2015</v>
      </c>
      <c r="N54" s="0" t="n">
        <f aca="false">W_PH(N$2,$A54)</f>
        <v>2015</v>
      </c>
      <c r="O54" s="0" t="n">
        <f aca="false">W_PH(O$2,$A54)</f>
        <v>2015</v>
      </c>
      <c r="P54" s="0" t="n">
        <f aca="false">W_PH(P$2,$A54)</f>
        <v>2015</v>
      </c>
      <c r="Q54" s="0" t="n">
        <f aca="false">W_PH(Q$2,$A54)</f>
        <v>2015</v>
      </c>
      <c r="R54" s="0" t="n">
        <f aca="false">W_PH(R$2,$A54)</f>
        <v>2015</v>
      </c>
      <c r="S54" s="0" t="n">
        <f aca="false">W_PH(S$2,$A54)</f>
        <v>2015</v>
      </c>
      <c r="T54" s="0" t="n">
        <f aca="false">W_PH(T$2,$A54)</f>
        <v>2015</v>
      </c>
      <c r="U54" s="0" t="n">
        <f aca="false">W_PH(U$2,$A54)</f>
        <v>2015</v>
      </c>
      <c r="V54" s="0" t="n">
        <f aca="false">W_PH(V$2,$A54)</f>
        <v>2015</v>
      </c>
      <c r="W54" s="0" t="n">
        <f aca="false">W_PH(W$2,$A54)</f>
        <v>2015</v>
      </c>
      <c r="X54" s="0" t="n">
        <f aca="false">W_PH(X$2,$A54)</f>
        <v>2015</v>
      </c>
      <c r="Y54" s="0" t="n">
        <f aca="false">W_PH(Y$2,$A54)</f>
        <v>2015</v>
      </c>
      <c r="Z54" s="0" t="n">
        <f aca="false">W_PH(Z$2,$A54)</f>
        <v>2015</v>
      </c>
      <c r="AA54" s="0" t="n">
        <f aca="false">W_PH(AA$2,$A54)</f>
        <v>2015</v>
      </c>
      <c r="AB54" s="0" t="n">
        <f aca="false">W_PH(AB$2,$A54)</f>
        <v>2015</v>
      </c>
      <c r="AC54" s="0" t="n">
        <f aca="false">W_PH(AC$2,$A54)</f>
        <v>2015</v>
      </c>
      <c r="AD54" s="0" t="n">
        <f aca="false">W_PH(AD$2,$A54)</f>
        <v>2015</v>
      </c>
      <c r="AE54" s="0" t="n">
        <f aca="false">W_PH(AE$2,$A54)</f>
        <v>2015</v>
      </c>
      <c r="AF54" s="0" t="n">
        <f aca="false">W_PH(AF$2,$A54)</f>
        <v>2015</v>
      </c>
      <c r="AG54" s="0" t="n">
        <f aca="false">W_PH(AG$2,$A54)</f>
        <v>2015</v>
      </c>
      <c r="AH54" s="0" t="n">
        <f aca="false">W_PH(AH$2,$A54)</f>
        <v>2015</v>
      </c>
      <c r="AI54" s="0" t="n">
        <f aca="false">W_PH(AI$2,$A54)</f>
        <v>2015</v>
      </c>
      <c r="AJ54" s="0" t="n">
        <f aca="false">W_PH(AJ$2,$A54)</f>
        <v>2015</v>
      </c>
      <c r="AK54" s="0" t="n">
        <f aca="false">W_PH(AK$2,$A54)</f>
        <v>2015</v>
      </c>
      <c r="AL54" s="0" t="n">
        <f aca="false">W_PH(AL$2,$A54)</f>
        <v>2015</v>
      </c>
      <c r="AM54" s="0" t="n">
        <f aca="false">W_PH(AM$2,$A54)</f>
        <v>2015</v>
      </c>
      <c r="AN54" s="0" t="n">
        <f aca="false">W_PH(AN$2,$A54)</f>
        <v>2015</v>
      </c>
      <c r="AO54" s="0" t="n">
        <f aca="false">W_PH(AO$2,$A54)</f>
        <v>2015</v>
      </c>
      <c r="AP54" s="0" t="n">
        <f aca="false">W_PH(AP$2,$A54)</f>
        <v>2015</v>
      </c>
      <c r="AQ54" s="0" t="n">
        <f aca="false">W_PH(AQ$2,$A54)</f>
        <v>2015</v>
      </c>
      <c r="AR54" s="0" t="n">
        <f aca="false">W_PH(AR$2,$A54)</f>
        <v>1056.34766437139</v>
      </c>
      <c r="AS54" s="0" t="n">
        <f aca="false">W_PH(AS$2,$A54)</f>
        <v>1082.5186483148</v>
      </c>
    </row>
    <row r="55" customFormat="false" ht="12.8" hidden="false" customHeight="false" outlineLevel="0" collapsed="false">
      <c r="A55" s="0" t="n">
        <v>924.333619948409</v>
      </c>
      <c r="B55" s="0" t="n">
        <f aca="false">W_PH(B$2,$A55)</f>
        <v>2015</v>
      </c>
      <c r="C55" s="0" t="n">
        <f aca="false">W_PH(C$2,$A55)</f>
        <v>2015</v>
      </c>
      <c r="D55" s="0" t="n">
        <f aca="false">W_PH(D$2,$A55)</f>
        <v>2015</v>
      </c>
      <c r="E55" s="0" t="n">
        <f aca="false">W_PH(E$2,$A55)</f>
        <v>2015</v>
      </c>
      <c r="F55" s="0" t="n">
        <f aca="false">W_PH(F$2,$A55)</f>
        <v>2015</v>
      </c>
      <c r="G55" s="0" t="n">
        <f aca="false">W_PH(G$2,$A55)</f>
        <v>2015</v>
      </c>
      <c r="H55" s="0" t="n">
        <f aca="false">W_PH(H$2,$A55)</f>
        <v>2015</v>
      </c>
      <c r="I55" s="0" t="n">
        <f aca="false">W_PH(I$2,$A55)</f>
        <v>2015</v>
      </c>
      <c r="J55" s="0" t="n">
        <f aca="false">W_PH(J$2,$A55)</f>
        <v>2015</v>
      </c>
      <c r="K55" s="0" t="n">
        <f aca="false">W_PH(K$2,$A55)</f>
        <v>2015</v>
      </c>
      <c r="L55" s="0" t="n">
        <f aca="false">W_PH(L$2,$A55)</f>
        <v>2015</v>
      </c>
      <c r="M55" s="0" t="n">
        <f aca="false">W_PH(M$2,$A55)</f>
        <v>2015</v>
      </c>
      <c r="N55" s="0" t="n">
        <f aca="false">W_PH(N$2,$A55)</f>
        <v>2015</v>
      </c>
      <c r="O55" s="0" t="n">
        <f aca="false">W_PH(O$2,$A55)</f>
        <v>2015</v>
      </c>
      <c r="P55" s="0" t="n">
        <f aca="false">W_PH(P$2,$A55)</f>
        <v>2015</v>
      </c>
      <c r="Q55" s="0" t="n">
        <f aca="false">W_PH(Q$2,$A55)</f>
        <v>2015</v>
      </c>
      <c r="R55" s="0" t="n">
        <f aca="false">W_PH(R$2,$A55)</f>
        <v>2015</v>
      </c>
      <c r="S55" s="0" t="n">
        <f aca="false">W_PH(S$2,$A55)</f>
        <v>2015</v>
      </c>
      <c r="T55" s="0" t="n">
        <f aca="false">W_PH(T$2,$A55)</f>
        <v>2015</v>
      </c>
      <c r="U55" s="0" t="n">
        <f aca="false">W_PH(U$2,$A55)</f>
        <v>2015</v>
      </c>
      <c r="V55" s="0" t="n">
        <f aca="false">W_PH(V$2,$A55)</f>
        <v>2015</v>
      </c>
      <c r="W55" s="0" t="n">
        <f aca="false">W_PH(W$2,$A55)</f>
        <v>2015</v>
      </c>
      <c r="X55" s="0" t="n">
        <f aca="false">W_PH(X$2,$A55)</f>
        <v>2015</v>
      </c>
      <c r="Y55" s="0" t="n">
        <f aca="false">W_PH(Y$2,$A55)</f>
        <v>2015</v>
      </c>
      <c r="Z55" s="0" t="n">
        <f aca="false">W_PH(Z$2,$A55)</f>
        <v>2015</v>
      </c>
      <c r="AA55" s="0" t="n">
        <f aca="false">W_PH(AA$2,$A55)</f>
        <v>2015</v>
      </c>
      <c r="AB55" s="0" t="n">
        <f aca="false">W_PH(AB$2,$A55)</f>
        <v>2015</v>
      </c>
      <c r="AC55" s="0" t="n">
        <f aca="false">W_PH(AC$2,$A55)</f>
        <v>2015</v>
      </c>
      <c r="AD55" s="0" t="n">
        <f aca="false">W_PH(AD$2,$A55)</f>
        <v>2015</v>
      </c>
      <c r="AE55" s="0" t="n">
        <f aca="false">W_PH(AE$2,$A55)</f>
        <v>2015</v>
      </c>
      <c r="AF55" s="0" t="n">
        <f aca="false">W_PH(AF$2,$A55)</f>
        <v>2015</v>
      </c>
      <c r="AG55" s="0" t="n">
        <f aca="false">W_PH(AG$2,$A55)</f>
        <v>2015</v>
      </c>
      <c r="AH55" s="0" t="n">
        <f aca="false">W_PH(AH$2,$A55)</f>
        <v>2015</v>
      </c>
      <c r="AI55" s="0" t="n">
        <f aca="false">W_PH(AI$2,$A55)</f>
        <v>2015</v>
      </c>
      <c r="AJ55" s="0" t="n">
        <f aca="false">W_PH(AJ$2,$A55)</f>
        <v>2015</v>
      </c>
      <c r="AK55" s="0" t="n">
        <f aca="false">W_PH(AK$2,$A55)</f>
        <v>2015</v>
      </c>
      <c r="AL55" s="0" t="n">
        <f aca="false">W_PH(AL$2,$A55)</f>
        <v>2015</v>
      </c>
      <c r="AM55" s="0" t="n">
        <f aca="false">W_PH(AM$2,$A55)</f>
        <v>2015</v>
      </c>
      <c r="AN55" s="0" t="n">
        <f aca="false">W_PH(AN$2,$A55)</f>
        <v>2015</v>
      </c>
      <c r="AO55" s="0" t="n">
        <f aca="false">W_PH(AO$2,$A55)</f>
        <v>2015</v>
      </c>
      <c r="AP55" s="0" t="n">
        <f aca="false">W_PH(AP$2,$A55)</f>
        <v>2015</v>
      </c>
      <c r="AQ55" s="0" t="n">
        <f aca="false">W_PH(AQ$2,$A55)</f>
        <v>2015</v>
      </c>
      <c r="AR55" s="0" t="n">
        <f aca="false">W_PH(AR$2,$A55)</f>
        <v>1062.57697823243</v>
      </c>
      <c r="AS55" s="0" t="n">
        <f aca="false">W_PH(AS$2,$A55)</f>
        <v>1087.59605801233</v>
      </c>
    </row>
    <row r="56" customFormat="false" ht="12.8" hidden="false" customHeight="false" outlineLevel="0" collapsed="false">
      <c r="A56" s="0" t="n">
        <v>928.632846087704</v>
      </c>
      <c r="B56" s="0" t="n">
        <f aca="false">W_PH(B$2,$A56)</f>
        <v>2015</v>
      </c>
      <c r="C56" s="0" t="n">
        <f aca="false">W_PH(C$2,$A56)</f>
        <v>2015</v>
      </c>
      <c r="D56" s="0" t="n">
        <f aca="false">W_PH(D$2,$A56)</f>
        <v>2015</v>
      </c>
      <c r="E56" s="0" t="n">
        <f aca="false">W_PH(E$2,$A56)</f>
        <v>2015</v>
      </c>
      <c r="F56" s="0" t="n">
        <f aca="false">W_PH(F$2,$A56)</f>
        <v>2015</v>
      </c>
      <c r="G56" s="0" t="n">
        <f aca="false">W_PH(G$2,$A56)</f>
        <v>2015</v>
      </c>
      <c r="H56" s="0" t="n">
        <f aca="false">W_PH(H$2,$A56)</f>
        <v>2015</v>
      </c>
      <c r="I56" s="0" t="n">
        <f aca="false">W_PH(I$2,$A56)</f>
        <v>2015</v>
      </c>
      <c r="J56" s="0" t="n">
        <f aca="false">W_PH(J$2,$A56)</f>
        <v>2015</v>
      </c>
      <c r="K56" s="0" t="n">
        <f aca="false">W_PH(K$2,$A56)</f>
        <v>2015</v>
      </c>
      <c r="L56" s="0" t="n">
        <f aca="false">W_PH(L$2,$A56)</f>
        <v>2015</v>
      </c>
      <c r="M56" s="0" t="n">
        <f aca="false">W_PH(M$2,$A56)</f>
        <v>2015</v>
      </c>
      <c r="N56" s="0" t="n">
        <f aca="false">W_PH(N$2,$A56)</f>
        <v>2015</v>
      </c>
      <c r="O56" s="0" t="n">
        <f aca="false">W_PH(O$2,$A56)</f>
        <v>2015</v>
      </c>
      <c r="P56" s="0" t="n">
        <f aca="false">W_PH(P$2,$A56)</f>
        <v>2015</v>
      </c>
      <c r="Q56" s="0" t="n">
        <f aca="false">W_PH(Q$2,$A56)</f>
        <v>2015</v>
      </c>
      <c r="R56" s="0" t="n">
        <f aca="false">W_PH(R$2,$A56)</f>
        <v>2015</v>
      </c>
      <c r="S56" s="0" t="n">
        <f aca="false">W_PH(S$2,$A56)</f>
        <v>2015</v>
      </c>
      <c r="T56" s="0" t="n">
        <f aca="false">W_PH(T$2,$A56)</f>
        <v>2015</v>
      </c>
      <c r="U56" s="0" t="n">
        <f aca="false">W_PH(U$2,$A56)</f>
        <v>2015</v>
      </c>
      <c r="V56" s="0" t="n">
        <f aca="false">W_PH(V$2,$A56)</f>
        <v>2015</v>
      </c>
      <c r="W56" s="0" t="n">
        <f aca="false">W_PH(W$2,$A56)</f>
        <v>2015</v>
      </c>
      <c r="X56" s="0" t="n">
        <f aca="false">W_PH(X$2,$A56)</f>
        <v>2015</v>
      </c>
      <c r="Y56" s="0" t="n">
        <f aca="false">W_PH(Y$2,$A56)</f>
        <v>2015</v>
      </c>
      <c r="Z56" s="0" t="n">
        <f aca="false">W_PH(Z$2,$A56)</f>
        <v>2015</v>
      </c>
      <c r="AA56" s="0" t="n">
        <f aca="false">W_PH(AA$2,$A56)</f>
        <v>2015</v>
      </c>
      <c r="AB56" s="0" t="n">
        <f aca="false">W_PH(AB$2,$A56)</f>
        <v>2015</v>
      </c>
      <c r="AC56" s="0" t="n">
        <f aca="false">W_PH(AC$2,$A56)</f>
        <v>2015</v>
      </c>
      <c r="AD56" s="0" t="n">
        <f aca="false">W_PH(AD$2,$A56)</f>
        <v>2015</v>
      </c>
      <c r="AE56" s="0" t="n">
        <f aca="false">W_PH(AE$2,$A56)</f>
        <v>2015</v>
      </c>
      <c r="AF56" s="0" t="n">
        <f aca="false">W_PH(AF$2,$A56)</f>
        <v>2015</v>
      </c>
      <c r="AG56" s="0" t="n">
        <f aca="false">W_PH(AG$2,$A56)</f>
        <v>2015</v>
      </c>
      <c r="AH56" s="0" t="n">
        <f aca="false">W_PH(AH$2,$A56)</f>
        <v>2015</v>
      </c>
      <c r="AI56" s="0" t="n">
        <f aca="false">W_PH(AI$2,$A56)</f>
        <v>2015</v>
      </c>
      <c r="AJ56" s="0" t="n">
        <f aca="false">W_PH(AJ$2,$A56)</f>
        <v>2015</v>
      </c>
      <c r="AK56" s="0" t="n">
        <f aca="false">W_PH(AK$2,$A56)</f>
        <v>2015</v>
      </c>
      <c r="AL56" s="0" t="n">
        <f aca="false">W_PH(AL$2,$A56)</f>
        <v>2015</v>
      </c>
      <c r="AM56" s="0" t="n">
        <f aca="false">W_PH(AM$2,$A56)</f>
        <v>2015</v>
      </c>
      <c r="AN56" s="0" t="n">
        <f aca="false">W_PH(AN$2,$A56)</f>
        <v>2015</v>
      </c>
      <c r="AO56" s="0" t="n">
        <f aca="false">W_PH(AO$2,$A56)</f>
        <v>2015</v>
      </c>
      <c r="AP56" s="0" t="n">
        <f aca="false">W_PH(AP$2,$A56)</f>
        <v>2015</v>
      </c>
      <c r="AQ56" s="0" t="n">
        <f aca="false">W_PH(AQ$2,$A56)</f>
        <v>2015</v>
      </c>
      <c r="AR56" s="0" t="n">
        <f aca="false">W_PH(AR$2,$A56)</f>
        <v>1069.16748344764</v>
      </c>
      <c r="AS56" s="0" t="n">
        <f aca="false">W_PH(AS$2,$A56)</f>
        <v>1093.11813873846</v>
      </c>
    </row>
    <row r="57" customFormat="false" ht="12.8" hidden="false" customHeight="false" outlineLevel="0" collapsed="false">
      <c r="A57" s="0" t="n">
        <v>932.932072226999</v>
      </c>
      <c r="B57" s="0" t="n">
        <f aca="false">W_PH(B$2,$A57)</f>
        <v>2015</v>
      </c>
      <c r="C57" s="0" t="n">
        <f aca="false">W_PH(C$2,$A57)</f>
        <v>2015</v>
      </c>
      <c r="D57" s="0" t="n">
        <f aca="false">W_PH(D$2,$A57)</f>
        <v>2015</v>
      </c>
      <c r="E57" s="0" t="n">
        <f aca="false">W_PH(E$2,$A57)</f>
        <v>2015</v>
      </c>
      <c r="F57" s="0" t="n">
        <f aca="false">W_PH(F$2,$A57)</f>
        <v>2015</v>
      </c>
      <c r="G57" s="0" t="n">
        <f aca="false">W_PH(G$2,$A57)</f>
        <v>2015</v>
      </c>
      <c r="H57" s="0" t="n">
        <f aca="false">W_PH(H$2,$A57)</f>
        <v>2015</v>
      </c>
      <c r="I57" s="0" t="n">
        <f aca="false">W_PH(I$2,$A57)</f>
        <v>2015</v>
      </c>
      <c r="J57" s="0" t="n">
        <f aca="false">W_PH(J$2,$A57)</f>
        <v>2015</v>
      </c>
      <c r="K57" s="0" t="n">
        <f aca="false">W_PH(K$2,$A57)</f>
        <v>2015</v>
      </c>
      <c r="L57" s="0" t="n">
        <f aca="false">W_PH(L$2,$A57)</f>
        <v>2015</v>
      </c>
      <c r="M57" s="0" t="n">
        <f aca="false">W_PH(M$2,$A57)</f>
        <v>2015</v>
      </c>
      <c r="N57" s="0" t="n">
        <f aca="false">W_PH(N$2,$A57)</f>
        <v>2015</v>
      </c>
      <c r="O57" s="0" t="n">
        <f aca="false">W_PH(O$2,$A57)</f>
        <v>2015</v>
      </c>
      <c r="P57" s="0" t="n">
        <f aca="false">W_PH(P$2,$A57)</f>
        <v>2015</v>
      </c>
      <c r="Q57" s="0" t="n">
        <f aca="false">W_PH(Q$2,$A57)</f>
        <v>2015</v>
      </c>
      <c r="R57" s="0" t="n">
        <f aca="false">W_PH(R$2,$A57)</f>
        <v>2015</v>
      </c>
      <c r="S57" s="0" t="n">
        <f aca="false">W_PH(S$2,$A57)</f>
        <v>2015</v>
      </c>
      <c r="T57" s="0" t="n">
        <f aca="false">W_PH(T$2,$A57)</f>
        <v>2015</v>
      </c>
      <c r="U57" s="0" t="n">
        <f aca="false">W_PH(U$2,$A57)</f>
        <v>2015</v>
      </c>
      <c r="V57" s="0" t="n">
        <f aca="false">W_PH(V$2,$A57)</f>
        <v>2015</v>
      </c>
      <c r="W57" s="0" t="n">
        <f aca="false">W_PH(W$2,$A57)</f>
        <v>2015</v>
      </c>
      <c r="X57" s="0" t="n">
        <f aca="false">W_PH(X$2,$A57)</f>
        <v>2015</v>
      </c>
      <c r="Y57" s="0" t="n">
        <f aca="false">W_PH(Y$2,$A57)</f>
        <v>2015</v>
      </c>
      <c r="Z57" s="0" t="n">
        <f aca="false">W_PH(Z$2,$A57)</f>
        <v>2015</v>
      </c>
      <c r="AA57" s="0" t="n">
        <f aca="false">W_PH(AA$2,$A57)</f>
        <v>2015</v>
      </c>
      <c r="AB57" s="0" t="n">
        <f aca="false">W_PH(AB$2,$A57)</f>
        <v>2015</v>
      </c>
      <c r="AC57" s="0" t="n">
        <f aca="false">W_PH(AC$2,$A57)</f>
        <v>2015</v>
      </c>
      <c r="AD57" s="0" t="n">
        <f aca="false">W_PH(AD$2,$A57)</f>
        <v>2015</v>
      </c>
      <c r="AE57" s="0" t="n">
        <f aca="false">W_PH(AE$2,$A57)</f>
        <v>2015</v>
      </c>
      <c r="AF57" s="0" t="n">
        <f aca="false">W_PH(AF$2,$A57)</f>
        <v>2015</v>
      </c>
      <c r="AG57" s="0" t="n">
        <f aca="false">W_PH(AG$2,$A57)</f>
        <v>2015</v>
      </c>
      <c r="AH57" s="0" t="n">
        <f aca="false">W_PH(AH$2,$A57)</f>
        <v>2015</v>
      </c>
      <c r="AI57" s="0" t="n">
        <f aca="false">W_PH(AI$2,$A57)</f>
        <v>2015</v>
      </c>
      <c r="AJ57" s="0" t="n">
        <f aca="false">W_PH(AJ$2,$A57)</f>
        <v>2015</v>
      </c>
      <c r="AK57" s="0" t="n">
        <f aca="false">W_PH(AK$2,$A57)</f>
        <v>2015</v>
      </c>
      <c r="AL57" s="0" t="n">
        <f aca="false">W_PH(AL$2,$A57)</f>
        <v>2015</v>
      </c>
      <c r="AM57" s="0" t="n">
        <f aca="false">W_PH(AM$2,$A57)</f>
        <v>2015</v>
      </c>
      <c r="AN57" s="0" t="n">
        <f aca="false">W_PH(AN$2,$A57)</f>
        <v>2015</v>
      </c>
      <c r="AO57" s="0" t="n">
        <f aca="false">W_PH(AO$2,$A57)</f>
        <v>2015</v>
      </c>
      <c r="AP57" s="0" t="n">
        <f aca="false">W_PH(AP$2,$A57)</f>
        <v>2015</v>
      </c>
      <c r="AQ57" s="0" t="n">
        <f aca="false">W_PH(AQ$2,$A57)</f>
        <v>2015</v>
      </c>
      <c r="AR57" s="0" t="n">
        <f aca="false">W_PH(AR$2,$A57)</f>
        <v>1076.07621174973</v>
      </c>
      <c r="AS57" s="0" t="n">
        <f aca="false">W_PH(AS$2,$A57)</f>
        <v>1099.03468568415</v>
      </c>
    </row>
    <row r="58" customFormat="false" ht="12.8" hidden="false" customHeight="false" outlineLevel="0" collapsed="false">
      <c r="A58" s="0" t="n">
        <v>937.231298366294</v>
      </c>
      <c r="B58" s="0" t="n">
        <f aca="false">W_PH(B$2,$A58)</f>
        <v>2015</v>
      </c>
      <c r="C58" s="0" t="n">
        <f aca="false">W_PH(C$2,$A58)</f>
        <v>2015</v>
      </c>
      <c r="D58" s="0" t="n">
        <f aca="false">W_PH(D$2,$A58)</f>
        <v>2015</v>
      </c>
      <c r="E58" s="0" t="n">
        <f aca="false">W_PH(E$2,$A58)</f>
        <v>2015</v>
      </c>
      <c r="F58" s="0" t="n">
        <f aca="false">W_PH(F$2,$A58)</f>
        <v>2015</v>
      </c>
      <c r="G58" s="0" t="n">
        <f aca="false">W_PH(G$2,$A58)</f>
        <v>2015</v>
      </c>
      <c r="H58" s="0" t="n">
        <f aca="false">W_PH(H$2,$A58)</f>
        <v>2015</v>
      </c>
      <c r="I58" s="0" t="n">
        <f aca="false">W_PH(I$2,$A58)</f>
        <v>2015</v>
      </c>
      <c r="J58" s="0" t="n">
        <f aca="false">W_PH(J$2,$A58)</f>
        <v>2015</v>
      </c>
      <c r="K58" s="0" t="n">
        <f aca="false">W_PH(K$2,$A58)</f>
        <v>2015</v>
      </c>
      <c r="L58" s="0" t="n">
        <f aca="false">W_PH(L$2,$A58)</f>
        <v>2015</v>
      </c>
      <c r="M58" s="0" t="n">
        <f aca="false">W_PH(M$2,$A58)</f>
        <v>2015</v>
      </c>
      <c r="N58" s="0" t="n">
        <f aca="false">W_PH(N$2,$A58)</f>
        <v>2015</v>
      </c>
      <c r="O58" s="0" t="n">
        <f aca="false">W_PH(O$2,$A58)</f>
        <v>2015</v>
      </c>
      <c r="P58" s="0" t="n">
        <f aca="false">W_PH(P$2,$A58)</f>
        <v>2015</v>
      </c>
      <c r="Q58" s="0" t="n">
        <f aca="false">W_PH(Q$2,$A58)</f>
        <v>2015</v>
      </c>
      <c r="R58" s="0" t="n">
        <f aca="false">W_PH(R$2,$A58)</f>
        <v>2015</v>
      </c>
      <c r="S58" s="0" t="n">
        <f aca="false">W_PH(S$2,$A58)</f>
        <v>2015</v>
      </c>
      <c r="T58" s="0" t="n">
        <f aca="false">W_PH(T$2,$A58)</f>
        <v>2015</v>
      </c>
      <c r="U58" s="0" t="n">
        <f aca="false">W_PH(U$2,$A58)</f>
        <v>2015</v>
      </c>
      <c r="V58" s="0" t="n">
        <f aca="false">W_PH(V$2,$A58)</f>
        <v>2015</v>
      </c>
      <c r="W58" s="0" t="n">
        <f aca="false">W_PH(W$2,$A58)</f>
        <v>2015</v>
      </c>
      <c r="X58" s="0" t="n">
        <f aca="false">W_PH(X$2,$A58)</f>
        <v>2015</v>
      </c>
      <c r="Y58" s="0" t="n">
        <f aca="false">W_PH(Y$2,$A58)</f>
        <v>2015</v>
      </c>
      <c r="Z58" s="0" t="n">
        <f aca="false">W_PH(Z$2,$A58)</f>
        <v>2015</v>
      </c>
      <c r="AA58" s="0" t="n">
        <f aca="false">W_PH(AA$2,$A58)</f>
        <v>2015</v>
      </c>
      <c r="AB58" s="0" t="n">
        <f aca="false">W_PH(AB$2,$A58)</f>
        <v>2015</v>
      </c>
      <c r="AC58" s="0" t="n">
        <f aca="false">W_PH(AC$2,$A58)</f>
        <v>2015</v>
      </c>
      <c r="AD58" s="0" t="n">
        <f aca="false">W_PH(AD$2,$A58)</f>
        <v>2015</v>
      </c>
      <c r="AE58" s="0" t="n">
        <f aca="false">W_PH(AE$2,$A58)</f>
        <v>2015</v>
      </c>
      <c r="AF58" s="0" t="n">
        <f aca="false">W_PH(AF$2,$A58)</f>
        <v>2015</v>
      </c>
      <c r="AG58" s="0" t="n">
        <f aca="false">W_PH(AG$2,$A58)</f>
        <v>2015</v>
      </c>
      <c r="AH58" s="0" t="n">
        <f aca="false">W_PH(AH$2,$A58)</f>
        <v>2015</v>
      </c>
      <c r="AI58" s="0" t="n">
        <f aca="false">W_PH(AI$2,$A58)</f>
        <v>2015</v>
      </c>
      <c r="AJ58" s="0" t="n">
        <f aca="false">W_PH(AJ$2,$A58)</f>
        <v>2015</v>
      </c>
      <c r="AK58" s="0" t="n">
        <f aca="false">W_PH(AK$2,$A58)</f>
        <v>2015</v>
      </c>
      <c r="AL58" s="0" t="n">
        <f aca="false">W_PH(AL$2,$A58)</f>
        <v>2015</v>
      </c>
      <c r="AM58" s="0" t="n">
        <f aca="false">W_PH(AM$2,$A58)</f>
        <v>2015</v>
      </c>
      <c r="AN58" s="0" t="n">
        <f aca="false">W_PH(AN$2,$A58)</f>
        <v>2015</v>
      </c>
      <c r="AO58" s="0" t="n">
        <f aca="false">W_PH(AO$2,$A58)</f>
        <v>2015</v>
      </c>
      <c r="AP58" s="0" t="n">
        <f aca="false">W_PH(AP$2,$A58)</f>
        <v>2015</v>
      </c>
      <c r="AQ58" s="0" t="n">
        <f aca="false">W_PH(AQ$2,$A58)</f>
        <v>2015</v>
      </c>
      <c r="AR58" s="0" t="n">
        <f aca="false">W_PH(AR$2,$A58)</f>
        <v>1083.26672408552</v>
      </c>
      <c r="AS58" s="0" t="n">
        <f aca="false">W_PH(AS$2,$A58)</f>
        <v>1105.30239007461</v>
      </c>
    </row>
    <row r="59" customFormat="false" ht="12.8" hidden="false" customHeight="false" outlineLevel="0" collapsed="false">
      <c r="A59" s="0" t="n">
        <v>941.530524505589</v>
      </c>
      <c r="B59" s="0" t="n">
        <f aca="false">W_PH(B$2,$A59)</f>
        <v>2015</v>
      </c>
      <c r="C59" s="0" t="n">
        <f aca="false">W_PH(C$2,$A59)</f>
        <v>2015</v>
      </c>
      <c r="D59" s="0" t="n">
        <f aca="false">W_PH(D$2,$A59)</f>
        <v>2015</v>
      </c>
      <c r="E59" s="0" t="n">
        <f aca="false">W_PH(E$2,$A59)</f>
        <v>2015</v>
      </c>
      <c r="F59" s="0" t="n">
        <f aca="false">W_PH(F$2,$A59)</f>
        <v>2015</v>
      </c>
      <c r="G59" s="0" t="n">
        <f aca="false">W_PH(G$2,$A59)</f>
        <v>2015</v>
      </c>
      <c r="H59" s="0" t="n">
        <f aca="false">W_PH(H$2,$A59)</f>
        <v>2015</v>
      </c>
      <c r="I59" s="0" t="n">
        <f aca="false">W_PH(I$2,$A59)</f>
        <v>2015</v>
      </c>
      <c r="J59" s="0" t="n">
        <f aca="false">W_PH(J$2,$A59)</f>
        <v>2015</v>
      </c>
      <c r="K59" s="0" t="n">
        <f aca="false">W_PH(K$2,$A59)</f>
        <v>2015</v>
      </c>
      <c r="L59" s="0" t="n">
        <f aca="false">W_PH(L$2,$A59)</f>
        <v>2015</v>
      </c>
      <c r="M59" s="0" t="n">
        <f aca="false">W_PH(M$2,$A59)</f>
        <v>2015</v>
      </c>
      <c r="N59" s="0" t="n">
        <f aca="false">W_PH(N$2,$A59)</f>
        <v>2015</v>
      </c>
      <c r="O59" s="0" t="n">
        <f aca="false">W_PH(O$2,$A59)</f>
        <v>2015</v>
      </c>
      <c r="P59" s="0" t="n">
        <f aca="false">W_PH(P$2,$A59)</f>
        <v>2015</v>
      </c>
      <c r="Q59" s="0" t="n">
        <f aca="false">W_PH(Q$2,$A59)</f>
        <v>2015</v>
      </c>
      <c r="R59" s="0" t="n">
        <f aca="false">W_PH(R$2,$A59)</f>
        <v>2015</v>
      </c>
      <c r="S59" s="0" t="n">
        <f aca="false">W_PH(S$2,$A59)</f>
        <v>2015</v>
      </c>
      <c r="T59" s="0" t="n">
        <f aca="false">W_PH(T$2,$A59)</f>
        <v>2015</v>
      </c>
      <c r="U59" s="0" t="n">
        <f aca="false">W_PH(U$2,$A59)</f>
        <v>2015</v>
      </c>
      <c r="V59" s="0" t="n">
        <f aca="false">W_PH(V$2,$A59)</f>
        <v>2015</v>
      </c>
      <c r="W59" s="0" t="n">
        <f aca="false">W_PH(W$2,$A59)</f>
        <v>2015</v>
      </c>
      <c r="X59" s="0" t="n">
        <f aca="false">W_PH(X$2,$A59)</f>
        <v>2015</v>
      </c>
      <c r="Y59" s="0" t="n">
        <f aca="false">W_PH(Y$2,$A59)</f>
        <v>2015</v>
      </c>
      <c r="Z59" s="0" t="n">
        <f aca="false">W_PH(Z$2,$A59)</f>
        <v>2015</v>
      </c>
      <c r="AA59" s="0" t="n">
        <f aca="false">W_PH(AA$2,$A59)</f>
        <v>2015</v>
      </c>
      <c r="AB59" s="0" t="n">
        <f aca="false">W_PH(AB$2,$A59)</f>
        <v>2015</v>
      </c>
      <c r="AC59" s="0" t="n">
        <f aca="false">W_PH(AC$2,$A59)</f>
        <v>2015</v>
      </c>
      <c r="AD59" s="0" t="n">
        <f aca="false">W_PH(AD$2,$A59)</f>
        <v>2015</v>
      </c>
      <c r="AE59" s="0" t="n">
        <f aca="false">W_PH(AE$2,$A59)</f>
        <v>2015</v>
      </c>
      <c r="AF59" s="0" t="n">
        <f aca="false">W_PH(AF$2,$A59)</f>
        <v>2015</v>
      </c>
      <c r="AG59" s="0" t="n">
        <f aca="false">W_PH(AG$2,$A59)</f>
        <v>2015</v>
      </c>
      <c r="AH59" s="0" t="n">
        <f aca="false">W_PH(AH$2,$A59)</f>
        <v>2015</v>
      </c>
      <c r="AI59" s="0" t="n">
        <f aca="false">W_PH(AI$2,$A59)</f>
        <v>2015</v>
      </c>
      <c r="AJ59" s="0" t="n">
        <f aca="false">W_PH(AJ$2,$A59)</f>
        <v>2015</v>
      </c>
      <c r="AK59" s="0" t="n">
        <f aca="false">W_PH(AK$2,$A59)</f>
        <v>2015</v>
      </c>
      <c r="AL59" s="0" t="n">
        <f aca="false">W_PH(AL$2,$A59)</f>
        <v>2015</v>
      </c>
      <c r="AM59" s="0" t="n">
        <f aca="false">W_PH(AM$2,$A59)</f>
        <v>2015</v>
      </c>
      <c r="AN59" s="0" t="n">
        <f aca="false">W_PH(AN$2,$A59)</f>
        <v>2015</v>
      </c>
      <c r="AO59" s="0" t="n">
        <f aca="false">W_PH(AO$2,$A59)</f>
        <v>2015</v>
      </c>
      <c r="AP59" s="0" t="n">
        <f aca="false">W_PH(AP$2,$A59)</f>
        <v>2015</v>
      </c>
      <c r="AQ59" s="0" t="n">
        <f aca="false">W_PH(AQ$2,$A59)</f>
        <v>2015</v>
      </c>
      <c r="AR59" s="0" t="n">
        <f aca="false">W_PH(AR$2,$A59)</f>
        <v>1090.7080959996</v>
      </c>
      <c r="AS59" s="0" t="n">
        <f aca="false">W_PH(AS$2,$A59)</f>
        <v>1111.88390210363</v>
      </c>
    </row>
    <row r="60" customFormat="false" ht="12.8" hidden="false" customHeight="false" outlineLevel="0" collapsed="false">
      <c r="A60" s="0" t="n">
        <v>945.829750644884</v>
      </c>
      <c r="B60" s="0" t="n">
        <f aca="false">W_PH(B$2,$A60)</f>
        <v>2015</v>
      </c>
      <c r="C60" s="0" t="n">
        <f aca="false">W_PH(C$2,$A60)</f>
        <v>2015</v>
      </c>
      <c r="D60" s="0" t="n">
        <f aca="false">W_PH(D$2,$A60)</f>
        <v>2015</v>
      </c>
      <c r="E60" s="0" t="n">
        <f aca="false">W_PH(E$2,$A60)</f>
        <v>2015</v>
      </c>
      <c r="F60" s="0" t="n">
        <f aca="false">W_PH(F$2,$A60)</f>
        <v>2015</v>
      </c>
      <c r="G60" s="0" t="n">
        <f aca="false">W_PH(G$2,$A60)</f>
        <v>2015</v>
      </c>
      <c r="H60" s="0" t="n">
        <f aca="false">W_PH(H$2,$A60)</f>
        <v>2015</v>
      </c>
      <c r="I60" s="0" t="n">
        <f aca="false">W_PH(I$2,$A60)</f>
        <v>2015</v>
      </c>
      <c r="J60" s="0" t="n">
        <f aca="false">W_PH(J$2,$A60)</f>
        <v>2015</v>
      </c>
      <c r="K60" s="0" t="n">
        <f aca="false">W_PH(K$2,$A60)</f>
        <v>2015</v>
      </c>
      <c r="L60" s="0" t="n">
        <f aca="false">W_PH(L$2,$A60)</f>
        <v>2015</v>
      </c>
      <c r="M60" s="0" t="n">
        <f aca="false">W_PH(M$2,$A60)</f>
        <v>2015</v>
      </c>
      <c r="N60" s="0" t="n">
        <f aca="false">W_PH(N$2,$A60)</f>
        <v>2015</v>
      </c>
      <c r="O60" s="0" t="n">
        <f aca="false">W_PH(O$2,$A60)</f>
        <v>2015</v>
      </c>
      <c r="P60" s="0" t="n">
        <f aca="false">W_PH(P$2,$A60)</f>
        <v>2015</v>
      </c>
      <c r="Q60" s="0" t="n">
        <f aca="false">W_PH(Q$2,$A60)</f>
        <v>2015</v>
      </c>
      <c r="R60" s="0" t="n">
        <f aca="false">W_PH(R$2,$A60)</f>
        <v>2015</v>
      </c>
      <c r="S60" s="0" t="n">
        <f aca="false">W_PH(S$2,$A60)</f>
        <v>2015</v>
      </c>
      <c r="T60" s="0" t="n">
        <f aca="false">W_PH(T$2,$A60)</f>
        <v>2015</v>
      </c>
      <c r="U60" s="0" t="n">
        <f aca="false">W_PH(U$2,$A60)</f>
        <v>2015</v>
      </c>
      <c r="V60" s="0" t="n">
        <f aca="false">W_PH(V$2,$A60)</f>
        <v>2015</v>
      </c>
      <c r="W60" s="0" t="n">
        <f aca="false">W_PH(W$2,$A60)</f>
        <v>2015</v>
      </c>
      <c r="X60" s="0" t="n">
        <f aca="false">W_PH(X$2,$A60)</f>
        <v>2015</v>
      </c>
      <c r="Y60" s="0" t="n">
        <f aca="false">W_PH(Y$2,$A60)</f>
        <v>2015</v>
      </c>
      <c r="Z60" s="0" t="n">
        <f aca="false">W_PH(Z$2,$A60)</f>
        <v>2015</v>
      </c>
      <c r="AA60" s="0" t="n">
        <f aca="false">W_PH(AA$2,$A60)</f>
        <v>2015</v>
      </c>
      <c r="AB60" s="0" t="n">
        <f aca="false">W_PH(AB$2,$A60)</f>
        <v>2015</v>
      </c>
      <c r="AC60" s="0" t="n">
        <f aca="false">W_PH(AC$2,$A60)</f>
        <v>2015</v>
      </c>
      <c r="AD60" s="0" t="n">
        <f aca="false">W_PH(AD$2,$A60)</f>
        <v>2015</v>
      </c>
      <c r="AE60" s="0" t="n">
        <f aca="false">W_PH(AE$2,$A60)</f>
        <v>2015</v>
      </c>
      <c r="AF60" s="0" t="n">
        <f aca="false">W_PH(AF$2,$A60)</f>
        <v>2015</v>
      </c>
      <c r="AG60" s="0" t="n">
        <f aca="false">W_PH(AG$2,$A60)</f>
        <v>2015</v>
      </c>
      <c r="AH60" s="0" t="n">
        <f aca="false">W_PH(AH$2,$A60)</f>
        <v>2015</v>
      </c>
      <c r="AI60" s="0" t="n">
        <f aca="false">W_PH(AI$2,$A60)</f>
        <v>2015</v>
      </c>
      <c r="AJ60" s="0" t="n">
        <f aca="false">W_PH(AJ$2,$A60)</f>
        <v>2015</v>
      </c>
      <c r="AK60" s="0" t="n">
        <f aca="false">W_PH(AK$2,$A60)</f>
        <v>2015</v>
      </c>
      <c r="AL60" s="0" t="n">
        <f aca="false">W_PH(AL$2,$A60)</f>
        <v>2015</v>
      </c>
      <c r="AM60" s="0" t="n">
        <f aca="false">W_PH(AM$2,$A60)</f>
        <v>2015</v>
      </c>
      <c r="AN60" s="0" t="n">
        <f aca="false">W_PH(AN$2,$A60)</f>
        <v>2015</v>
      </c>
      <c r="AO60" s="0" t="n">
        <f aca="false">W_PH(AO$2,$A60)</f>
        <v>2015</v>
      </c>
      <c r="AP60" s="0" t="n">
        <f aca="false">W_PH(AP$2,$A60)</f>
        <v>2015</v>
      </c>
      <c r="AQ60" s="0" t="n">
        <f aca="false">W_PH(AQ$2,$A60)</f>
        <v>2015</v>
      </c>
      <c r="AR60" s="0" t="n">
        <f aca="false">W_PH(AR$2,$A60)</f>
        <v>1098.37403981284</v>
      </c>
      <c r="AS60" s="0" t="n">
        <f aca="false">W_PH(AS$2,$A60)</f>
        <v>1118.74699165239</v>
      </c>
    </row>
    <row r="61" customFormat="false" ht="12.8" hidden="false" customHeight="false" outlineLevel="0" collapsed="false">
      <c r="A61" s="0" t="n">
        <v>950.128976784179</v>
      </c>
      <c r="B61" s="0" t="n">
        <f aca="false">W_PH(B$2,$A61)</f>
        <v>2015</v>
      </c>
      <c r="C61" s="0" t="n">
        <f aca="false">W_PH(C$2,$A61)</f>
        <v>2015</v>
      </c>
      <c r="D61" s="0" t="n">
        <f aca="false">W_PH(D$2,$A61)</f>
        <v>2015</v>
      </c>
      <c r="E61" s="0" t="n">
        <f aca="false">W_PH(E$2,$A61)</f>
        <v>2015</v>
      </c>
      <c r="F61" s="0" t="n">
        <f aca="false">W_PH(F$2,$A61)</f>
        <v>2015</v>
      </c>
      <c r="G61" s="0" t="n">
        <f aca="false">W_PH(G$2,$A61)</f>
        <v>2015</v>
      </c>
      <c r="H61" s="0" t="n">
        <f aca="false">W_PH(H$2,$A61)</f>
        <v>2015</v>
      </c>
      <c r="I61" s="0" t="n">
        <f aca="false">W_PH(I$2,$A61)</f>
        <v>2015</v>
      </c>
      <c r="J61" s="0" t="n">
        <f aca="false">W_PH(J$2,$A61)</f>
        <v>2015</v>
      </c>
      <c r="K61" s="0" t="n">
        <f aca="false">W_PH(K$2,$A61)</f>
        <v>2015</v>
      </c>
      <c r="L61" s="0" t="n">
        <f aca="false">W_PH(L$2,$A61)</f>
        <v>2015</v>
      </c>
      <c r="M61" s="0" t="n">
        <f aca="false">W_PH(M$2,$A61)</f>
        <v>2015</v>
      </c>
      <c r="N61" s="0" t="n">
        <f aca="false">W_PH(N$2,$A61)</f>
        <v>2015</v>
      </c>
      <c r="O61" s="0" t="n">
        <f aca="false">W_PH(O$2,$A61)</f>
        <v>2015</v>
      </c>
      <c r="P61" s="0" t="n">
        <f aca="false">W_PH(P$2,$A61)</f>
        <v>2015</v>
      </c>
      <c r="Q61" s="0" t="n">
        <f aca="false">W_PH(Q$2,$A61)</f>
        <v>2015</v>
      </c>
      <c r="R61" s="0" t="n">
        <f aca="false">W_PH(R$2,$A61)</f>
        <v>2015</v>
      </c>
      <c r="S61" s="0" t="n">
        <f aca="false">W_PH(S$2,$A61)</f>
        <v>2015</v>
      </c>
      <c r="T61" s="0" t="n">
        <f aca="false">W_PH(T$2,$A61)</f>
        <v>2015</v>
      </c>
      <c r="U61" s="0" t="n">
        <f aca="false">W_PH(U$2,$A61)</f>
        <v>2015</v>
      </c>
      <c r="V61" s="0" t="n">
        <f aca="false">W_PH(V$2,$A61)</f>
        <v>2015</v>
      </c>
      <c r="W61" s="0" t="n">
        <f aca="false">W_PH(W$2,$A61)</f>
        <v>2015</v>
      </c>
      <c r="X61" s="0" t="n">
        <f aca="false">W_PH(X$2,$A61)</f>
        <v>2015</v>
      </c>
      <c r="Y61" s="0" t="n">
        <f aca="false">W_PH(Y$2,$A61)</f>
        <v>2015</v>
      </c>
      <c r="Z61" s="0" t="n">
        <f aca="false">W_PH(Z$2,$A61)</f>
        <v>2015</v>
      </c>
      <c r="AA61" s="0" t="n">
        <f aca="false">W_PH(AA$2,$A61)</f>
        <v>2015</v>
      </c>
      <c r="AB61" s="0" t="n">
        <f aca="false">W_PH(AB$2,$A61)</f>
        <v>2015</v>
      </c>
      <c r="AC61" s="0" t="n">
        <f aca="false">W_PH(AC$2,$A61)</f>
        <v>2015</v>
      </c>
      <c r="AD61" s="0" t="n">
        <f aca="false">W_PH(AD$2,$A61)</f>
        <v>2015</v>
      </c>
      <c r="AE61" s="0" t="n">
        <f aca="false">W_PH(AE$2,$A61)</f>
        <v>2015</v>
      </c>
      <c r="AF61" s="0" t="n">
        <f aca="false">W_PH(AF$2,$A61)</f>
        <v>2015</v>
      </c>
      <c r="AG61" s="0" t="n">
        <f aca="false">W_PH(AG$2,$A61)</f>
        <v>2015</v>
      </c>
      <c r="AH61" s="0" t="n">
        <f aca="false">W_PH(AH$2,$A61)</f>
        <v>2015</v>
      </c>
      <c r="AI61" s="0" t="n">
        <f aca="false">W_PH(AI$2,$A61)</f>
        <v>2015</v>
      </c>
      <c r="AJ61" s="0" t="n">
        <f aca="false">W_PH(AJ$2,$A61)</f>
        <v>2015</v>
      </c>
      <c r="AK61" s="0" t="n">
        <f aca="false">W_PH(AK$2,$A61)</f>
        <v>2015</v>
      </c>
      <c r="AL61" s="0" t="n">
        <f aca="false">W_PH(AL$2,$A61)</f>
        <v>2015</v>
      </c>
      <c r="AM61" s="0" t="n">
        <f aca="false">W_PH(AM$2,$A61)</f>
        <v>2015</v>
      </c>
      <c r="AN61" s="0" t="n">
        <f aca="false">W_PH(AN$2,$A61)</f>
        <v>2015</v>
      </c>
      <c r="AO61" s="0" t="n">
        <f aca="false">W_PH(AO$2,$A61)</f>
        <v>2015</v>
      </c>
      <c r="AP61" s="0" t="n">
        <f aca="false">W_PH(AP$2,$A61)</f>
        <v>2015</v>
      </c>
      <c r="AQ61" s="0" t="n">
        <f aca="false">W_PH(AQ$2,$A61)</f>
        <v>2015</v>
      </c>
      <c r="AR61" s="0" t="n">
        <f aca="false">W_PH(AR$2,$A61)</f>
        <v>1106.24215017106</v>
      </c>
      <c r="AS61" s="0" t="n">
        <f aca="false">W_PH(AS$2,$A61)</f>
        <v>1125.86380466772</v>
      </c>
    </row>
    <row r="62" customFormat="false" ht="12.8" hidden="false" customHeight="false" outlineLevel="0" collapsed="false">
      <c r="A62" s="0" t="n">
        <v>954.428202923474</v>
      </c>
      <c r="B62" s="0" t="n">
        <f aca="false">W_PH(B$2,$A62)</f>
        <v>2015</v>
      </c>
      <c r="C62" s="0" t="n">
        <f aca="false">W_PH(C$2,$A62)</f>
        <v>2015</v>
      </c>
      <c r="D62" s="0" t="n">
        <f aca="false">W_PH(D$2,$A62)</f>
        <v>2015</v>
      </c>
      <c r="E62" s="0" t="n">
        <f aca="false">W_PH(E$2,$A62)</f>
        <v>2015</v>
      </c>
      <c r="F62" s="0" t="n">
        <f aca="false">W_PH(F$2,$A62)</f>
        <v>2015</v>
      </c>
      <c r="G62" s="0" t="n">
        <f aca="false">W_PH(G$2,$A62)</f>
        <v>2015</v>
      </c>
      <c r="H62" s="0" t="n">
        <f aca="false">W_PH(H$2,$A62)</f>
        <v>2015</v>
      </c>
      <c r="I62" s="0" t="n">
        <f aca="false">W_PH(I$2,$A62)</f>
        <v>2015</v>
      </c>
      <c r="J62" s="0" t="n">
        <f aca="false">W_PH(J$2,$A62)</f>
        <v>2015</v>
      </c>
      <c r="K62" s="0" t="n">
        <f aca="false">W_PH(K$2,$A62)</f>
        <v>2015</v>
      </c>
      <c r="L62" s="0" t="n">
        <f aca="false">W_PH(L$2,$A62)</f>
        <v>2015</v>
      </c>
      <c r="M62" s="0" t="n">
        <f aca="false">W_PH(M$2,$A62)</f>
        <v>2015</v>
      </c>
      <c r="N62" s="0" t="n">
        <f aca="false">W_PH(N$2,$A62)</f>
        <v>2015</v>
      </c>
      <c r="O62" s="0" t="n">
        <f aca="false">W_PH(O$2,$A62)</f>
        <v>2015</v>
      </c>
      <c r="P62" s="0" t="n">
        <f aca="false">W_PH(P$2,$A62)</f>
        <v>2015</v>
      </c>
      <c r="Q62" s="0" t="n">
        <f aca="false">W_PH(Q$2,$A62)</f>
        <v>2015</v>
      </c>
      <c r="R62" s="0" t="n">
        <f aca="false">W_PH(R$2,$A62)</f>
        <v>2015</v>
      </c>
      <c r="S62" s="0" t="n">
        <f aca="false">W_PH(S$2,$A62)</f>
        <v>2015</v>
      </c>
      <c r="T62" s="0" t="n">
        <f aca="false">W_PH(T$2,$A62)</f>
        <v>2015</v>
      </c>
      <c r="U62" s="0" t="n">
        <f aca="false">W_PH(U$2,$A62)</f>
        <v>2015</v>
      </c>
      <c r="V62" s="0" t="n">
        <f aca="false">W_PH(V$2,$A62)</f>
        <v>2015</v>
      </c>
      <c r="W62" s="0" t="n">
        <f aca="false">W_PH(W$2,$A62)</f>
        <v>2015</v>
      </c>
      <c r="X62" s="0" t="n">
        <f aca="false">W_PH(X$2,$A62)</f>
        <v>2015</v>
      </c>
      <c r="Y62" s="0" t="n">
        <f aca="false">W_PH(Y$2,$A62)</f>
        <v>2015</v>
      </c>
      <c r="Z62" s="0" t="n">
        <f aca="false">W_PH(Z$2,$A62)</f>
        <v>2015</v>
      </c>
      <c r="AA62" s="0" t="n">
        <f aca="false">W_PH(AA$2,$A62)</f>
        <v>2015</v>
      </c>
      <c r="AB62" s="0" t="n">
        <f aca="false">W_PH(AB$2,$A62)</f>
        <v>2015</v>
      </c>
      <c r="AC62" s="0" t="n">
        <f aca="false">W_PH(AC$2,$A62)</f>
        <v>2015</v>
      </c>
      <c r="AD62" s="0" t="n">
        <f aca="false">W_PH(AD$2,$A62)</f>
        <v>2015</v>
      </c>
      <c r="AE62" s="0" t="n">
        <f aca="false">W_PH(AE$2,$A62)</f>
        <v>2015</v>
      </c>
      <c r="AF62" s="0" t="n">
        <f aca="false">W_PH(AF$2,$A62)</f>
        <v>2015</v>
      </c>
      <c r="AG62" s="0" t="n">
        <f aca="false">W_PH(AG$2,$A62)</f>
        <v>2015</v>
      </c>
      <c r="AH62" s="0" t="n">
        <f aca="false">W_PH(AH$2,$A62)</f>
        <v>2015</v>
      </c>
      <c r="AI62" s="0" t="n">
        <f aca="false">W_PH(AI$2,$A62)</f>
        <v>2015</v>
      </c>
      <c r="AJ62" s="0" t="n">
        <f aca="false">W_PH(AJ$2,$A62)</f>
        <v>2015</v>
      </c>
      <c r="AK62" s="0" t="n">
        <f aca="false">W_PH(AK$2,$A62)</f>
        <v>2015</v>
      </c>
      <c r="AL62" s="0" t="n">
        <f aca="false">W_PH(AL$2,$A62)</f>
        <v>2015</v>
      </c>
      <c r="AM62" s="0" t="n">
        <f aca="false">W_PH(AM$2,$A62)</f>
        <v>2015</v>
      </c>
      <c r="AN62" s="0" t="n">
        <f aca="false">W_PH(AN$2,$A62)</f>
        <v>2015</v>
      </c>
      <c r="AO62" s="0" t="n">
        <f aca="false">W_PH(AO$2,$A62)</f>
        <v>2015</v>
      </c>
      <c r="AP62" s="0" t="n">
        <f aca="false">W_PH(AP$2,$A62)</f>
        <v>2015</v>
      </c>
      <c r="AQ62" s="0" t="n">
        <f aca="false">W_PH(AQ$2,$A62)</f>
        <v>2015</v>
      </c>
      <c r="AR62" s="0" t="n">
        <f aca="false">W_PH(AR$2,$A62)</f>
        <v>1114.29325904172</v>
      </c>
      <c r="AS62" s="0" t="n">
        <f aca="false">W_PH(AS$2,$A62)</f>
        <v>1133.21020999975</v>
      </c>
    </row>
    <row r="63" customFormat="false" ht="12.8" hidden="false" customHeight="false" outlineLevel="0" collapsed="false">
      <c r="A63" s="0" t="n">
        <v>958.727429062769</v>
      </c>
      <c r="B63" s="0" t="n">
        <f aca="false">W_PH(B$2,$A63)</f>
        <v>2015</v>
      </c>
      <c r="C63" s="0" t="n">
        <f aca="false">W_PH(C$2,$A63)</f>
        <v>2015</v>
      </c>
      <c r="D63" s="0" t="n">
        <f aca="false">W_PH(D$2,$A63)</f>
        <v>2015</v>
      </c>
      <c r="E63" s="0" t="n">
        <f aca="false">W_PH(E$2,$A63)</f>
        <v>2015</v>
      </c>
      <c r="F63" s="0" t="n">
        <f aca="false">W_PH(F$2,$A63)</f>
        <v>2015</v>
      </c>
      <c r="G63" s="0" t="n">
        <f aca="false">W_PH(G$2,$A63)</f>
        <v>2015</v>
      </c>
      <c r="H63" s="0" t="n">
        <f aca="false">W_PH(H$2,$A63)</f>
        <v>2015</v>
      </c>
      <c r="I63" s="0" t="n">
        <f aca="false">W_PH(I$2,$A63)</f>
        <v>2015</v>
      </c>
      <c r="J63" s="0" t="n">
        <f aca="false">W_PH(J$2,$A63)</f>
        <v>2015</v>
      </c>
      <c r="K63" s="0" t="n">
        <f aca="false">W_PH(K$2,$A63)</f>
        <v>2015</v>
      </c>
      <c r="L63" s="0" t="n">
        <f aca="false">W_PH(L$2,$A63)</f>
        <v>2015</v>
      </c>
      <c r="M63" s="0" t="n">
        <f aca="false">W_PH(M$2,$A63)</f>
        <v>2015</v>
      </c>
      <c r="N63" s="0" t="n">
        <f aca="false">W_PH(N$2,$A63)</f>
        <v>2015</v>
      </c>
      <c r="O63" s="0" t="n">
        <f aca="false">W_PH(O$2,$A63)</f>
        <v>2015</v>
      </c>
      <c r="P63" s="0" t="n">
        <f aca="false">W_PH(P$2,$A63)</f>
        <v>2015</v>
      </c>
      <c r="Q63" s="0" t="n">
        <f aca="false">W_PH(Q$2,$A63)</f>
        <v>2015</v>
      </c>
      <c r="R63" s="0" t="n">
        <f aca="false">W_PH(R$2,$A63)</f>
        <v>2015</v>
      </c>
      <c r="S63" s="0" t="n">
        <f aca="false">W_PH(S$2,$A63)</f>
        <v>2015</v>
      </c>
      <c r="T63" s="0" t="n">
        <f aca="false">W_PH(T$2,$A63)</f>
        <v>2015</v>
      </c>
      <c r="U63" s="0" t="n">
        <f aca="false">W_PH(U$2,$A63)</f>
        <v>2015</v>
      </c>
      <c r="V63" s="0" t="n">
        <f aca="false">W_PH(V$2,$A63)</f>
        <v>2015</v>
      </c>
      <c r="W63" s="0" t="n">
        <f aca="false">W_PH(W$2,$A63)</f>
        <v>2015</v>
      </c>
      <c r="X63" s="0" t="n">
        <f aca="false">W_PH(X$2,$A63)</f>
        <v>2015</v>
      </c>
      <c r="Y63" s="0" t="n">
        <f aca="false">W_PH(Y$2,$A63)</f>
        <v>2015</v>
      </c>
      <c r="Z63" s="0" t="n">
        <f aca="false">W_PH(Z$2,$A63)</f>
        <v>2015</v>
      </c>
      <c r="AA63" s="0" t="n">
        <f aca="false">W_PH(AA$2,$A63)</f>
        <v>2015</v>
      </c>
      <c r="AB63" s="0" t="n">
        <f aca="false">W_PH(AB$2,$A63)</f>
        <v>2015</v>
      </c>
      <c r="AC63" s="0" t="n">
        <f aca="false">W_PH(AC$2,$A63)</f>
        <v>2015</v>
      </c>
      <c r="AD63" s="0" t="n">
        <f aca="false">W_PH(AD$2,$A63)</f>
        <v>2015</v>
      </c>
      <c r="AE63" s="0" t="n">
        <f aca="false">W_PH(AE$2,$A63)</f>
        <v>2015</v>
      </c>
      <c r="AF63" s="0" t="n">
        <f aca="false">W_PH(AF$2,$A63)</f>
        <v>2015</v>
      </c>
      <c r="AG63" s="0" t="n">
        <f aca="false">W_PH(AG$2,$A63)</f>
        <v>2015</v>
      </c>
      <c r="AH63" s="0" t="n">
        <f aca="false">W_PH(AH$2,$A63)</f>
        <v>2015</v>
      </c>
      <c r="AI63" s="0" t="n">
        <f aca="false">W_PH(AI$2,$A63)</f>
        <v>2015</v>
      </c>
      <c r="AJ63" s="0" t="n">
        <f aca="false">W_PH(AJ$2,$A63)</f>
        <v>2015</v>
      </c>
      <c r="AK63" s="0" t="n">
        <f aca="false">W_PH(AK$2,$A63)</f>
        <v>2015</v>
      </c>
      <c r="AL63" s="0" t="n">
        <f aca="false">W_PH(AL$2,$A63)</f>
        <v>2015</v>
      </c>
      <c r="AM63" s="0" t="n">
        <f aca="false">W_PH(AM$2,$A63)</f>
        <v>2015</v>
      </c>
      <c r="AN63" s="0" t="n">
        <f aca="false">W_PH(AN$2,$A63)</f>
        <v>2015</v>
      </c>
      <c r="AO63" s="0" t="n">
        <f aca="false">W_PH(AO$2,$A63)</f>
        <v>2015</v>
      </c>
      <c r="AP63" s="0" t="n">
        <f aca="false">W_PH(AP$2,$A63)</f>
        <v>2015</v>
      </c>
      <c r="AQ63" s="0" t="n">
        <f aca="false">W_PH(AQ$2,$A63)</f>
        <v>2015</v>
      </c>
      <c r="AR63" s="0" t="n">
        <f aca="false">W_PH(AR$2,$A63)</f>
        <v>1122.51088661483</v>
      </c>
      <c r="AS63" s="0" t="n">
        <f aca="false">W_PH(AS$2,$A63)</f>
        <v>1140.76522973997</v>
      </c>
    </row>
    <row r="64" customFormat="false" ht="12.8" hidden="false" customHeight="false" outlineLevel="0" collapsed="false">
      <c r="A64" s="0" t="n">
        <v>963.026655202064</v>
      </c>
      <c r="B64" s="0" t="n">
        <f aca="false">W_PH(B$2,$A64)</f>
        <v>2015</v>
      </c>
      <c r="C64" s="0" t="n">
        <f aca="false">W_PH(C$2,$A64)</f>
        <v>2015</v>
      </c>
      <c r="D64" s="0" t="n">
        <f aca="false">W_PH(D$2,$A64)</f>
        <v>2015</v>
      </c>
      <c r="E64" s="0" t="n">
        <f aca="false">W_PH(E$2,$A64)</f>
        <v>2015</v>
      </c>
      <c r="F64" s="0" t="n">
        <f aca="false">W_PH(F$2,$A64)</f>
        <v>2015</v>
      </c>
      <c r="G64" s="0" t="n">
        <f aca="false">W_PH(G$2,$A64)</f>
        <v>2015</v>
      </c>
      <c r="H64" s="0" t="n">
        <f aca="false">W_PH(H$2,$A64)</f>
        <v>2015</v>
      </c>
      <c r="I64" s="0" t="n">
        <f aca="false">W_PH(I$2,$A64)</f>
        <v>2015</v>
      </c>
      <c r="J64" s="0" t="n">
        <f aca="false">W_PH(J$2,$A64)</f>
        <v>2015</v>
      </c>
      <c r="K64" s="0" t="n">
        <f aca="false">W_PH(K$2,$A64)</f>
        <v>2015</v>
      </c>
      <c r="L64" s="0" t="n">
        <f aca="false">W_PH(L$2,$A64)</f>
        <v>2015</v>
      </c>
      <c r="M64" s="0" t="n">
        <f aca="false">W_PH(M$2,$A64)</f>
        <v>2015</v>
      </c>
      <c r="N64" s="0" t="n">
        <f aca="false">W_PH(N$2,$A64)</f>
        <v>2015</v>
      </c>
      <c r="O64" s="0" t="n">
        <f aca="false">W_PH(O$2,$A64)</f>
        <v>2015</v>
      </c>
      <c r="P64" s="0" t="n">
        <f aca="false">W_PH(P$2,$A64)</f>
        <v>2015</v>
      </c>
      <c r="Q64" s="0" t="n">
        <f aca="false">W_PH(Q$2,$A64)</f>
        <v>2015</v>
      </c>
      <c r="R64" s="0" t="n">
        <f aca="false">W_PH(R$2,$A64)</f>
        <v>2015</v>
      </c>
      <c r="S64" s="0" t="n">
        <f aca="false">W_PH(S$2,$A64)</f>
        <v>2015</v>
      </c>
      <c r="T64" s="0" t="n">
        <f aca="false">W_PH(T$2,$A64)</f>
        <v>2015</v>
      </c>
      <c r="U64" s="0" t="n">
        <f aca="false">W_PH(U$2,$A64)</f>
        <v>2015</v>
      </c>
      <c r="V64" s="0" t="n">
        <f aca="false">W_PH(V$2,$A64)</f>
        <v>2015</v>
      </c>
      <c r="W64" s="0" t="n">
        <f aca="false">W_PH(W$2,$A64)</f>
        <v>2015</v>
      </c>
      <c r="X64" s="0" t="n">
        <f aca="false">W_PH(X$2,$A64)</f>
        <v>2015</v>
      </c>
      <c r="Y64" s="0" t="n">
        <f aca="false">W_PH(Y$2,$A64)</f>
        <v>2015</v>
      </c>
      <c r="Z64" s="0" t="n">
        <f aca="false">W_PH(Z$2,$A64)</f>
        <v>2015</v>
      </c>
      <c r="AA64" s="0" t="n">
        <f aca="false">W_PH(AA$2,$A64)</f>
        <v>2015</v>
      </c>
      <c r="AB64" s="0" t="n">
        <f aca="false">W_PH(AB$2,$A64)</f>
        <v>2015</v>
      </c>
      <c r="AC64" s="0" t="n">
        <f aca="false">W_PH(AC$2,$A64)</f>
        <v>2015</v>
      </c>
      <c r="AD64" s="0" t="n">
        <f aca="false">W_PH(AD$2,$A64)</f>
        <v>2015</v>
      </c>
      <c r="AE64" s="0" t="n">
        <f aca="false">W_PH(AE$2,$A64)</f>
        <v>2015</v>
      </c>
      <c r="AF64" s="0" t="n">
        <f aca="false">W_PH(AF$2,$A64)</f>
        <v>2015</v>
      </c>
      <c r="AG64" s="0" t="n">
        <f aca="false">W_PH(AG$2,$A64)</f>
        <v>2015</v>
      </c>
      <c r="AH64" s="0" t="n">
        <f aca="false">W_PH(AH$2,$A64)</f>
        <v>2015</v>
      </c>
      <c r="AI64" s="0" t="n">
        <f aca="false">W_PH(AI$2,$A64)</f>
        <v>2015</v>
      </c>
      <c r="AJ64" s="0" t="n">
        <f aca="false">W_PH(AJ$2,$A64)</f>
        <v>2015</v>
      </c>
      <c r="AK64" s="0" t="n">
        <f aca="false">W_PH(AK$2,$A64)</f>
        <v>2015</v>
      </c>
      <c r="AL64" s="0" t="n">
        <f aca="false">W_PH(AL$2,$A64)</f>
        <v>2015</v>
      </c>
      <c r="AM64" s="0" t="n">
        <f aca="false">W_PH(AM$2,$A64)</f>
        <v>2015</v>
      </c>
      <c r="AN64" s="0" t="n">
        <f aca="false">W_PH(AN$2,$A64)</f>
        <v>2015</v>
      </c>
      <c r="AO64" s="0" t="n">
        <f aca="false">W_PH(AO$2,$A64)</f>
        <v>2015</v>
      </c>
      <c r="AP64" s="0" t="n">
        <f aca="false">W_PH(AP$2,$A64)</f>
        <v>2015</v>
      </c>
      <c r="AQ64" s="0" t="n">
        <f aca="false">W_PH(AQ$2,$A64)</f>
        <v>2015</v>
      </c>
      <c r="AR64" s="0" t="n">
        <f aca="false">W_PH(AR$2,$A64)</f>
        <v>1130.88077546382</v>
      </c>
      <c r="AS64" s="0" t="n">
        <f aca="false">W_PH(AS$2,$A64)</f>
        <v>1148.51054527982</v>
      </c>
    </row>
    <row r="65" customFormat="false" ht="12.8" hidden="false" customHeight="false" outlineLevel="0" collapsed="false">
      <c r="A65" s="0" t="n">
        <v>967.325881341359</v>
      </c>
      <c r="B65" s="0" t="n">
        <f aca="false">W_PH(B$2,$A65)</f>
        <v>2015</v>
      </c>
      <c r="C65" s="0" t="n">
        <f aca="false">W_PH(C$2,$A65)</f>
        <v>2015</v>
      </c>
      <c r="D65" s="0" t="n">
        <f aca="false">W_PH(D$2,$A65)</f>
        <v>2015</v>
      </c>
      <c r="E65" s="0" t="n">
        <f aca="false">W_PH(E$2,$A65)</f>
        <v>2015</v>
      </c>
      <c r="F65" s="0" t="n">
        <f aca="false">W_PH(F$2,$A65)</f>
        <v>2015</v>
      </c>
      <c r="G65" s="0" t="n">
        <f aca="false">W_PH(G$2,$A65)</f>
        <v>2015</v>
      </c>
      <c r="H65" s="0" t="n">
        <f aca="false">W_PH(H$2,$A65)</f>
        <v>2015</v>
      </c>
      <c r="I65" s="0" t="n">
        <f aca="false">W_PH(I$2,$A65)</f>
        <v>2015</v>
      </c>
      <c r="J65" s="0" t="n">
        <f aca="false">W_PH(J$2,$A65)</f>
        <v>2015</v>
      </c>
      <c r="K65" s="0" t="n">
        <f aca="false">W_PH(K$2,$A65)</f>
        <v>2015</v>
      </c>
      <c r="L65" s="0" t="n">
        <f aca="false">W_PH(L$2,$A65)</f>
        <v>2015</v>
      </c>
      <c r="M65" s="0" t="n">
        <f aca="false">W_PH(M$2,$A65)</f>
        <v>2015</v>
      </c>
      <c r="N65" s="0" t="n">
        <f aca="false">W_PH(N$2,$A65)</f>
        <v>2015</v>
      </c>
      <c r="O65" s="0" t="n">
        <f aca="false">W_PH(O$2,$A65)</f>
        <v>2015</v>
      </c>
      <c r="P65" s="0" t="n">
        <f aca="false">W_PH(P$2,$A65)</f>
        <v>2015</v>
      </c>
      <c r="Q65" s="0" t="n">
        <f aca="false">W_PH(Q$2,$A65)</f>
        <v>2015</v>
      </c>
      <c r="R65" s="0" t="n">
        <f aca="false">W_PH(R$2,$A65)</f>
        <v>2015</v>
      </c>
      <c r="S65" s="0" t="n">
        <f aca="false">W_PH(S$2,$A65)</f>
        <v>2015</v>
      </c>
      <c r="T65" s="0" t="n">
        <f aca="false">W_PH(T$2,$A65)</f>
        <v>2015</v>
      </c>
      <c r="U65" s="0" t="n">
        <f aca="false">W_PH(U$2,$A65)</f>
        <v>2015</v>
      </c>
      <c r="V65" s="0" t="n">
        <f aca="false">W_PH(V$2,$A65)</f>
        <v>2015</v>
      </c>
      <c r="W65" s="0" t="n">
        <f aca="false">W_PH(W$2,$A65)</f>
        <v>2015</v>
      </c>
      <c r="X65" s="0" t="n">
        <f aca="false">W_PH(X$2,$A65)</f>
        <v>2015</v>
      </c>
      <c r="Y65" s="0" t="n">
        <f aca="false">W_PH(Y$2,$A65)</f>
        <v>2015</v>
      </c>
      <c r="Z65" s="0" t="n">
        <f aca="false">W_PH(Z$2,$A65)</f>
        <v>2015</v>
      </c>
      <c r="AA65" s="0" t="n">
        <f aca="false">W_PH(AA$2,$A65)</f>
        <v>2015</v>
      </c>
      <c r="AB65" s="0" t="n">
        <f aca="false">W_PH(AB$2,$A65)</f>
        <v>2015</v>
      </c>
      <c r="AC65" s="0" t="n">
        <f aca="false">W_PH(AC$2,$A65)</f>
        <v>2015</v>
      </c>
      <c r="AD65" s="0" t="n">
        <f aca="false">W_PH(AD$2,$A65)</f>
        <v>2015</v>
      </c>
      <c r="AE65" s="0" t="n">
        <f aca="false">W_PH(AE$2,$A65)</f>
        <v>2015</v>
      </c>
      <c r="AF65" s="0" t="n">
        <f aca="false">W_PH(AF$2,$A65)</f>
        <v>2015</v>
      </c>
      <c r="AG65" s="0" t="n">
        <f aca="false">W_PH(AG$2,$A65)</f>
        <v>2015</v>
      </c>
      <c r="AH65" s="0" t="n">
        <f aca="false">W_PH(AH$2,$A65)</f>
        <v>2015</v>
      </c>
      <c r="AI65" s="0" t="n">
        <f aca="false">W_PH(AI$2,$A65)</f>
        <v>2015</v>
      </c>
      <c r="AJ65" s="0" t="n">
        <f aca="false">W_PH(AJ$2,$A65)</f>
        <v>2015</v>
      </c>
      <c r="AK65" s="0" t="n">
        <f aca="false">W_PH(AK$2,$A65)</f>
        <v>2015</v>
      </c>
      <c r="AL65" s="0" t="n">
        <f aca="false">W_PH(AL$2,$A65)</f>
        <v>2015</v>
      </c>
      <c r="AM65" s="0" t="n">
        <f aca="false">W_PH(AM$2,$A65)</f>
        <v>2015</v>
      </c>
      <c r="AN65" s="0" t="n">
        <f aca="false">W_PH(AN$2,$A65)</f>
        <v>2015</v>
      </c>
      <c r="AO65" s="0" t="n">
        <f aca="false">W_PH(AO$2,$A65)</f>
        <v>2015</v>
      </c>
      <c r="AP65" s="0" t="n">
        <f aca="false">W_PH(AP$2,$A65)</f>
        <v>2015</v>
      </c>
      <c r="AQ65" s="0" t="n">
        <f aca="false">W_PH(AQ$2,$A65)</f>
        <v>2015</v>
      </c>
      <c r="AR65" s="0" t="n">
        <f aca="false">W_PH(AR$2,$A65)</f>
        <v>1139.39049648992</v>
      </c>
      <c r="AS65" s="0" t="n">
        <f aca="false">W_PH(AS$2,$A65)</f>
        <v>1156.43007112845</v>
      </c>
    </row>
    <row r="66" customFormat="false" ht="12.8" hidden="false" customHeight="false" outlineLevel="0" collapsed="false">
      <c r="A66" s="0" t="n">
        <v>971.625107480653</v>
      </c>
      <c r="B66" s="0" t="n">
        <f aca="false">W_PH(B$2,$A66)</f>
        <v>2015</v>
      </c>
      <c r="C66" s="0" t="n">
        <f aca="false">W_PH(C$2,$A66)</f>
        <v>2015</v>
      </c>
      <c r="D66" s="0" t="n">
        <f aca="false">W_PH(D$2,$A66)</f>
        <v>2015</v>
      </c>
      <c r="E66" s="0" t="n">
        <f aca="false">W_PH(E$2,$A66)</f>
        <v>2015</v>
      </c>
      <c r="F66" s="0" t="n">
        <f aca="false">W_PH(F$2,$A66)</f>
        <v>2015</v>
      </c>
      <c r="G66" s="0" t="n">
        <f aca="false">W_PH(G$2,$A66)</f>
        <v>2015</v>
      </c>
      <c r="H66" s="0" t="n">
        <f aca="false">W_PH(H$2,$A66)</f>
        <v>2015</v>
      </c>
      <c r="I66" s="0" t="n">
        <f aca="false">W_PH(I$2,$A66)</f>
        <v>2015</v>
      </c>
      <c r="J66" s="0" t="n">
        <f aca="false">W_PH(J$2,$A66)</f>
        <v>2015</v>
      </c>
      <c r="K66" s="0" t="n">
        <f aca="false">W_PH(K$2,$A66)</f>
        <v>2015</v>
      </c>
      <c r="L66" s="0" t="n">
        <f aca="false">W_PH(L$2,$A66)</f>
        <v>2015</v>
      </c>
      <c r="M66" s="0" t="n">
        <f aca="false">W_PH(M$2,$A66)</f>
        <v>2015</v>
      </c>
      <c r="N66" s="0" t="n">
        <f aca="false">W_PH(N$2,$A66)</f>
        <v>2015</v>
      </c>
      <c r="O66" s="0" t="n">
        <f aca="false">W_PH(O$2,$A66)</f>
        <v>2015</v>
      </c>
      <c r="P66" s="0" t="n">
        <f aca="false">W_PH(P$2,$A66)</f>
        <v>2015</v>
      </c>
      <c r="Q66" s="0" t="n">
        <f aca="false">W_PH(Q$2,$A66)</f>
        <v>2015</v>
      </c>
      <c r="R66" s="0" t="n">
        <f aca="false">W_PH(R$2,$A66)</f>
        <v>2015</v>
      </c>
      <c r="S66" s="0" t="n">
        <f aca="false">W_PH(S$2,$A66)</f>
        <v>2015</v>
      </c>
      <c r="T66" s="0" t="n">
        <f aca="false">W_PH(T$2,$A66)</f>
        <v>2015</v>
      </c>
      <c r="U66" s="0" t="n">
        <f aca="false">W_PH(U$2,$A66)</f>
        <v>2015</v>
      </c>
      <c r="V66" s="0" t="n">
        <f aca="false">W_PH(V$2,$A66)</f>
        <v>2015</v>
      </c>
      <c r="W66" s="0" t="n">
        <f aca="false">W_PH(W$2,$A66)</f>
        <v>2015</v>
      </c>
      <c r="X66" s="0" t="n">
        <f aca="false">W_PH(X$2,$A66)</f>
        <v>2015</v>
      </c>
      <c r="Y66" s="0" t="n">
        <f aca="false">W_PH(Y$2,$A66)</f>
        <v>2015</v>
      </c>
      <c r="Z66" s="0" t="n">
        <f aca="false">W_PH(Z$2,$A66)</f>
        <v>2015</v>
      </c>
      <c r="AA66" s="0" t="n">
        <f aca="false">W_PH(AA$2,$A66)</f>
        <v>2015</v>
      </c>
      <c r="AB66" s="0" t="n">
        <f aca="false">W_PH(AB$2,$A66)</f>
        <v>2015</v>
      </c>
      <c r="AC66" s="0" t="n">
        <f aca="false">W_PH(AC$2,$A66)</f>
        <v>2015</v>
      </c>
      <c r="AD66" s="0" t="n">
        <f aca="false">W_PH(AD$2,$A66)</f>
        <v>2015</v>
      </c>
      <c r="AE66" s="0" t="n">
        <f aca="false">W_PH(AE$2,$A66)</f>
        <v>2015</v>
      </c>
      <c r="AF66" s="0" t="n">
        <f aca="false">W_PH(AF$2,$A66)</f>
        <v>2015</v>
      </c>
      <c r="AG66" s="0" t="n">
        <f aca="false">W_PH(AG$2,$A66)</f>
        <v>2015</v>
      </c>
      <c r="AH66" s="0" t="n">
        <f aca="false">W_PH(AH$2,$A66)</f>
        <v>2015</v>
      </c>
      <c r="AI66" s="0" t="n">
        <f aca="false">W_PH(AI$2,$A66)</f>
        <v>2015</v>
      </c>
      <c r="AJ66" s="0" t="n">
        <f aca="false">W_PH(AJ$2,$A66)</f>
        <v>2015</v>
      </c>
      <c r="AK66" s="0" t="n">
        <f aca="false">W_PH(AK$2,$A66)</f>
        <v>2015</v>
      </c>
      <c r="AL66" s="0" t="n">
        <f aca="false">W_PH(AL$2,$A66)</f>
        <v>2015</v>
      </c>
      <c r="AM66" s="0" t="n">
        <f aca="false">W_PH(AM$2,$A66)</f>
        <v>2015</v>
      </c>
      <c r="AN66" s="0" t="n">
        <f aca="false">W_PH(AN$2,$A66)</f>
        <v>2015</v>
      </c>
      <c r="AO66" s="0" t="n">
        <f aca="false">W_PH(AO$2,$A66)</f>
        <v>2015</v>
      </c>
      <c r="AP66" s="0" t="n">
        <f aca="false">W_PH(AP$2,$A66)</f>
        <v>2015</v>
      </c>
      <c r="AQ66" s="0" t="n">
        <f aca="false">W_PH(AQ$2,$A66)</f>
        <v>2015</v>
      </c>
      <c r="AR66" s="0" t="n">
        <f aca="false">W_PH(AR$2,$A66)</f>
        <v>1148.02911644356</v>
      </c>
      <c r="AS66" s="0" t="n">
        <f aca="false">W_PH(AS$2,$A66)</f>
        <v>1164.50958876191</v>
      </c>
    </row>
    <row r="67" customFormat="false" ht="12.8" hidden="false" customHeight="false" outlineLevel="0" collapsed="false">
      <c r="A67" s="0" t="n">
        <v>975.924333619948</v>
      </c>
      <c r="B67" s="0" t="n">
        <f aca="false">W_PH(B$2,$A67)</f>
        <v>2015</v>
      </c>
      <c r="C67" s="0" t="n">
        <f aca="false">W_PH(C$2,$A67)</f>
        <v>2015</v>
      </c>
      <c r="D67" s="0" t="n">
        <f aca="false">W_PH(D$2,$A67)</f>
        <v>2015</v>
      </c>
      <c r="E67" s="0" t="n">
        <f aca="false">W_PH(E$2,$A67)</f>
        <v>2015</v>
      </c>
      <c r="F67" s="0" t="n">
        <f aca="false">W_PH(F$2,$A67)</f>
        <v>2015</v>
      </c>
      <c r="G67" s="0" t="n">
        <f aca="false">W_PH(G$2,$A67)</f>
        <v>2015</v>
      </c>
      <c r="H67" s="0" t="n">
        <f aca="false">W_PH(H$2,$A67)</f>
        <v>2015</v>
      </c>
      <c r="I67" s="0" t="n">
        <f aca="false">W_PH(I$2,$A67)</f>
        <v>2015</v>
      </c>
      <c r="J67" s="0" t="n">
        <f aca="false">W_PH(J$2,$A67)</f>
        <v>2015</v>
      </c>
      <c r="K67" s="0" t="n">
        <f aca="false">W_PH(K$2,$A67)</f>
        <v>2015</v>
      </c>
      <c r="L67" s="0" t="n">
        <f aca="false">W_PH(L$2,$A67)</f>
        <v>2015</v>
      </c>
      <c r="M67" s="0" t="n">
        <f aca="false">W_PH(M$2,$A67)</f>
        <v>2015</v>
      </c>
      <c r="N67" s="0" t="n">
        <f aca="false">W_PH(N$2,$A67)</f>
        <v>2015</v>
      </c>
      <c r="O67" s="0" t="n">
        <f aca="false">W_PH(O$2,$A67)</f>
        <v>2015</v>
      </c>
      <c r="P67" s="0" t="n">
        <f aca="false">W_PH(P$2,$A67)</f>
        <v>2015</v>
      </c>
      <c r="Q67" s="0" t="n">
        <f aca="false">W_PH(Q$2,$A67)</f>
        <v>2015</v>
      </c>
      <c r="R67" s="0" t="n">
        <f aca="false">W_PH(R$2,$A67)</f>
        <v>2015</v>
      </c>
      <c r="S67" s="0" t="n">
        <f aca="false">W_PH(S$2,$A67)</f>
        <v>2015</v>
      </c>
      <c r="T67" s="0" t="n">
        <f aca="false">W_PH(T$2,$A67)</f>
        <v>2015</v>
      </c>
      <c r="U67" s="0" t="n">
        <f aca="false">W_PH(U$2,$A67)</f>
        <v>2015</v>
      </c>
      <c r="V67" s="0" t="n">
        <f aca="false">W_PH(V$2,$A67)</f>
        <v>2015</v>
      </c>
      <c r="W67" s="0" t="n">
        <f aca="false">W_PH(W$2,$A67)</f>
        <v>2015</v>
      </c>
      <c r="X67" s="0" t="n">
        <f aca="false">W_PH(X$2,$A67)</f>
        <v>2015</v>
      </c>
      <c r="Y67" s="0" t="n">
        <f aca="false">W_PH(Y$2,$A67)</f>
        <v>2015</v>
      </c>
      <c r="Z67" s="0" t="n">
        <f aca="false">W_PH(Z$2,$A67)</f>
        <v>2015</v>
      </c>
      <c r="AA67" s="0" t="n">
        <f aca="false">W_PH(AA$2,$A67)</f>
        <v>2015</v>
      </c>
      <c r="AB67" s="0" t="n">
        <f aca="false">W_PH(AB$2,$A67)</f>
        <v>2015</v>
      </c>
      <c r="AC67" s="0" t="n">
        <f aca="false">W_PH(AC$2,$A67)</f>
        <v>2015</v>
      </c>
      <c r="AD67" s="0" t="n">
        <f aca="false">W_PH(AD$2,$A67)</f>
        <v>2015</v>
      </c>
      <c r="AE67" s="0" t="n">
        <f aca="false">W_PH(AE$2,$A67)</f>
        <v>2015</v>
      </c>
      <c r="AF67" s="0" t="n">
        <f aca="false">W_PH(AF$2,$A67)</f>
        <v>2015</v>
      </c>
      <c r="AG67" s="0" t="n">
        <f aca="false">W_PH(AG$2,$A67)</f>
        <v>2015</v>
      </c>
      <c r="AH67" s="0" t="n">
        <f aca="false">W_PH(AH$2,$A67)</f>
        <v>2015</v>
      </c>
      <c r="AI67" s="0" t="n">
        <f aca="false">W_PH(AI$2,$A67)</f>
        <v>2015</v>
      </c>
      <c r="AJ67" s="0" t="n">
        <f aca="false">W_PH(AJ$2,$A67)</f>
        <v>2015</v>
      </c>
      <c r="AK67" s="0" t="n">
        <f aca="false">W_PH(AK$2,$A67)</f>
        <v>2015</v>
      </c>
      <c r="AL67" s="0" t="n">
        <f aca="false">W_PH(AL$2,$A67)</f>
        <v>2015</v>
      </c>
      <c r="AM67" s="0" t="n">
        <f aca="false">W_PH(AM$2,$A67)</f>
        <v>2015</v>
      </c>
      <c r="AN67" s="0" t="n">
        <f aca="false">W_PH(AN$2,$A67)</f>
        <v>2015</v>
      </c>
      <c r="AO67" s="0" t="n">
        <f aca="false">W_PH(AO$2,$A67)</f>
        <v>2015</v>
      </c>
      <c r="AP67" s="0" t="n">
        <f aca="false">W_PH(AP$2,$A67)</f>
        <v>2015</v>
      </c>
      <c r="AQ67" s="0" t="n">
        <f aca="false">W_PH(AQ$2,$A67)</f>
        <v>2015</v>
      </c>
      <c r="AR67" s="0" t="n">
        <f aca="false">W_PH(AR$2,$A67)</f>
        <v>1156.78691808073</v>
      </c>
      <c r="AS67" s="0" t="n">
        <f aca="false">W_PH(AS$2,$A67)</f>
        <v>1172.73643326158</v>
      </c>
    </row>
    <row r="68" customFormat="false" ht="12.8" hidden="false" customHeight="false" outlineLevel="0" collapsed="false">
      <c r="A68" s="0" t="n">
        <v>980.223559759243</v>
      </c>
      <c r="B68" s="0" t="n">
        <f aca="false">W_PH(B$2,$A68)</f>
        <v>2015</v>
      </c>
      <c r="C68" s="0" t="n">
        <f aca="false">W_PH(C$2,$A68)</f>
        <v>2015</v>
      </c>
      <c r="D68" s="0" t="n">
        <f aca="false">W_PH(D$2,$A68)</f>
        <v>2015</v>
      </c>
      <c r="E68" s="0" t="n">
        <f aca="false">W_PH(E$2,$A68)</f>
        <v>2015</v>
      </c>
      <c r="F68" s="0" t="n">
        <f aca="false">W_PH(F$2,$A68)</f>
        <v>2015</v>
      </c>
      <c r="G68" s="0" t="n">
        <f aca="false">W_PH(G$2,$A68)</f>
        <v>2015</v>
      </c>
      <c r="H68" s="0" t="n">
        <f aca="false">W_PH(H$2,$A68)</f>
        <v>2015</v>
      </c>
      <c r="I68" s="0" t="n">
        <f aca="false">W_PH(I$2,$A68)</f>
        <v>2015</v>
      </c>
      <c r="J68" s="0" t="n">
        <f aca="false">W_PH(J$2,$A68)</f>
        <v>2015</v>
      </c>
      <c r="K68" s="0" t="n">
        <f aca="false">W_PH(K$2,$A68)</f>
        <v>2015</v>
      </c>
      <c r="L68" s="0" t="n">
        <f aca="false">W_PH(L$2,$A68)</f>
        <v>2015</v>
      </c>
      <c r="M68" s="0" t="n">
        <f aca="false">W_PH(M$2,$A68)</f>
        <v>2015</v>
      </c>
      <c r="N68" s="0" t="n">
        <f aca="false">W_PH(N$2,$A68)</f>
        <v>2015</v>
      </c>
      <c r="O68" s="0" t="n">
        <f aca="false">W_PH(O$2,$A68)</f>
        <v>2015</v>
      </c>
      <c r="P68" s="0" t="n">
        <f aca="false">W_PH(P$2,$A68)</f>
        <v>2015</v>
      </c>
      <c r="Q68" s="0" t="n">
        <f aca="false">W_PH(Q$2,$A68)</f>
        <v>2015</v>
      </c>
      <c r="R68" s="0" t="n">
        <f aca="false">W_PH(R$2,$A68)</f>
        <v>2015</v>
      </c>
      <c r="S68" s="0" t="n">
        <f aca="false">W_PH(S$2,$A68)</f>
        <v>2015</v>
      </c>
      <c r="T68" s="0" t="n">
        <f aca="false">W_PH(T$2,$A68)</f>
        <v>2015</v>
      </c>
      <c r="U68" s="0" t="n">
        <f aca="false">W_PH(U$2,$A68)</f>
        <v>2015</v>
      </c>
      <c r="V68" s="0" t="n">
        <f aca="false">W_PH(V$2,$A68)</f>
        <v>2015</v>
      </c>
      <c r="W68" s="0" t="n">
        <f aca="false">W_PH(W$2,$A68)</f>
        <v>2015</v>
      </c>
      <c r="X68" s="0" t="n">
        <f aca="false">W_PH(X$2,$A68)</f>
        <v>2015</v>
      </c>
      <c r="Y68" s="0" t="n">
        <f aca="false">W_PH(Y$2,$A68)</f>
        <v>2015</v>
      </c>
      <c r="Z68" s="0" t="n">
        <f aca="false">W_PH(Z$2,$A68)</f>
        <v>2015</v>
      </c>
      <c r="AA68" s="0" t="n">
        <f aca="false">W_PH(AA$2,$A68)</f>
        <v>2015</v>
      </c>
      <c r="AB68" s="0" t="n">
        <f aca="false">W_PH(AB$2,$A68)</f>
        <v>2015</v>
      </c>
      <c r="AC68" s="0" t="n">
        <f aca="false">W_PH(AC$2,$A68)</f>
        <v>2015</v>
      </c>
      <c r="AD68" s="0" t="n">
        <f aca="false">W_PH(AD$2,$A68)</f>
        <v>2015</v>
      </c>
      <c r="AE68" s="0" t="n">
        <f aca="false">W_PH(AE$2,$A68)</f>
        <v>2015</v>
      </c>
      <c r="AF68" s="0" t="n">
        <f aca="false">W_PH(AF$2,$A68)</f>
        <v>2015</v>
      </c>
      <c r="AG68" s="0" t="n">
        <f aca="false">W_PH(AG$2,$A68)</f>
        <v>2015</v>
      </c>
      <c r="AH68" s="0" t="n">
        <f aca="false">W_PH(AH$2,$A68)</f>
        <v>2015</v>
      </c>
      <c r="AI68" s="0" t="n">
        <f aca="false">W_PH(AI$2,$A68)</f>
        <v>2015</v>
      </c>
      <c r="AJ68" s="0" t="n">
        <f aca="false">W_PH(AJ$2,$A68)</f>
        <v>2015</v>
      </c>
      <c r="AK68" s="0" t="n">
        <f aca="false">W_PH(AK$2,$A68)</f>
        <v>2015</v>
      </c>
      <c r="AL68" s="0" t="n">
        <f aca="false">W_PH(AL$2,$A68)</f>
        <v>2015</v>
      </c>
      <c r="AM68" s="0" t="n">
        <f aca="false">W_PH(AM$2,$A68)</f>
        <v>2015</v>
      </c>
      <c r="AN68" s="0" t="n">
        <f aca="false">W_PH(AN$2,$A68)</f>
        <v>2015</v>
      </c>
      <c r="AO68" s="0" t="n">
        <f aca="false">W_PH(AO$2,$A68)</f>
        <v>2015</v>
      </c>
      <c r="AP68" s="0" t="n">
        <f aca="false">W_PH(AP$2,$A68)</f>
        <v>2015</v>
      </c>
      <c r="AQ68" s="0" t="n">
        <f aca="false">W_PH(AQ$2,$A68)</f>
        <v>2015</v>
      </c>
      <c r="AR68" s="0" t="n">
        <f aca="false">W_PH(AR$2,$A68)</f>
        <v>1165.65516520715</v>
      </c>
      <c r="AS68" s="0" t="n">
        <f aca="false">W_PH(AS$2,$A68)</f>
        <v>1181.09922611857</v>
      </c>
    </row>
    <row r="69" customFormat="false" ht="12.8" hidden="false" customHeight="false" outlineLevel="0" collapsed="false">
      <c r="A69" s="0" t="n">
        <v>984.522785898538</v>
      </c>
      <c r="B69" s="0" t="n">
        <f aca="false">W_PH(B$2,$A69)</f>
        <v>2015</v>
      </c>
      <c r="C69" s="0" t="n">
        <f aca="false">W_PH(C$2,$A69)</f>
        <v>2015</v>
      </c>
      <c r="D69" s="0" t="n">
        <f aca="false">W_PH(D$2,$A69)</f>
        <v>2015</v>
      </c>
      <c r="E69" s="0" t="n">
        <f aca="false">W_PH(E$2,$A69)</f>
        <v>2015</v>
      </c>
      <c r="F69" s="0" t="n">
        <f aca="false">W_PH(F$2,$A69)</f>
        <v>2015</v>
      </c>
      <c r="G69" s="0" t="n">
        <f aca="false">W_PH(G$2,$A69)</f>
        <v>2015</v>
      </c>
      <c r="H69" s="0" t="n">
        <f aca="false">W_PH(H$2,$A69)</f>
        <v>2015</v>
      </c>
      <c r="I69" s="0" t="n">
        <f aca="false">W_PH(I$2,$A69)</f>
        <v>2015</v>
      </c>
      <c r="J69" s="0" t="n">
        <f aca="false">W_PH(J$2,$A69)</f>
        <v>2015</v>
      </c>
      <c r="K69" s="0" t="n">
        <f aca="false">W_PH(K$2,$A69)</f>
        <v>2015</v>
      </c>
      <c r="L69" s="0" t="n">
        <f aca="false">W_PH(L$2,$A69)</f>
        <v>2015</v>
      </c>
      <c r="M69" s="0" t="n">
        <f aca="false">W_PH(M$2,$A69)</f>
        <v>2015</v>
      </c>
      <c r="N69" s="0" t="n">
        <f aca="false">W_PH(N$2,$A69)</f>
        <v>2015</v>
      </c>
      <c r="O69" s="0" t="n">
        <f aca="false">W_PH(O$2,$A69)</f>
        <v>2015</v>
      </c>
      <c r="P69" s="0" t="n">
        <f aca="false">W_PH(P$2,$A69)</f>
        <v>2015</v>
      </c>
      <c r="Q69" s="0" t="n">
        <f aca="false">W_PH(Q$2,$A69)</f>
        <v>2015</v>
      </c>
      <c r="R69" s="0" t="n">
        <f aca="false">W_PH(R$2,$A69)</f>
        <v>2015</v>
      </c>
      <c r="S69" s="0" t="n">
        <f aca="false">W_PH(S$2,$A69)</f>
        <v>2015</v>
      </c>
      <c r="T69" s="0" t="n">
        <f aca="false">W_PH(T$2,$A69)</f>
        <v>2015</v>
      </c>
      <c r="U69" s="0" t="n">
        <f aca="false">W_PH(U$2,$A69)</f>
        <v>2015</v>
      </c>
      <c r="V69" s="0" t="n">
        <f aca="false">W_PH(V$2,$A69)</f>
        <v>2015</v>
      </c>
      <c r="W69" s="0" t="n">
        <f aca="false">W_PH(W$2,$A69)</f>
        <v>2015</v>
      </c>
      <c r="X69" s="0" t="n">
        <f aca="false">W_PH(X$2,$A69)</f>
        <v>2015</v>
      </c>
      <c r="Y69" s="0" t="n">
        <f aca="false">W_PH(Y$2,$A69)</f>
        <v>2015</v>
      </c>
      <c r="Z69" s="0" t="n">
        <f aca="false">W_PH(Z$2,$A69)</f>
        <v>2015</v>
      </c>
      <c r="AA69" s="0" t="n">
        <f aca="false">W_PH(AA$2,$A69)</f>
        <v>2015</v>
      </c>
      <c r="AB69" s="0" t="n">
        <f aca="false">W_PH(AB$2,$A69)</f>
        <v>2015</v>
      </c>
      <c r="AC69" s="0" t="n">
        <f aca="false">W_PH(AC$2,$A69)</f>
        <v>2015</v>
      </c>
      <c r="AD69" s="0" t="n">
        <f aca="false">W_PH(AD$2,$A69)</f>
        <v>2015</v>
      </c>
      <c r="AE69" s="0" t="n">
        <f aca="false">W_PH(AE$2,$A69)</f>
        <v>2015</v>
      </c>
      <c r="AF69" s="0" t="n">
        <f aca="false">W_PH(AF$2,$A69)</f>
        <v>2015</v>
      </c>
      <c r="AG69" s="0" t="n">
        <f aca="false">W_PH(AG$2,$A69)</f>
        <v>2015</v>
      </c>
      <c r="AH69" s="0" t="n">
        <f aca="false">W_PH(AH$2,$A69)</f>
        <v>2015</v>
      </c>
      <c r="AI69" s="0" t="n">
        <f aca="false">W_PH(AI$2,$A69)</f>
        <v>2015</v>
      </c>
      <c r="AJ69" s="0" t="n">
        <f aca="false">W_PH(AJ$2,$A69)</f>
        <v>2015</v>
      </c>
      <c r="AK69" s="0" t="n">
        <f aca="false">W_PH(AK$2,$A69)</f>
        <v>2015</v>
      </c>
      <c r="AL69" s="0" t="n">
        <f aca="false">W_PH(AL$2,$A69)</f>
        <v>2015</v>
      </c>
      <c r="AM69" s="0" t="n">
        <f aca="false">W_PH(AM$2,$A69)</f>
        <v>2015</v>
      </c>
      <c r="AN69" s="0" t="n">
        <f aca="false">W_PH(AN$2,$A69)</f>
        <v>2015</v>
      </c>
      <c r="AO69" s="0" t="n">
        <f aca="false">W_PH(AO$2,$A69)</f>
        <v>2015</v>
      </c>
      <c r="AP69" s="0" t="n">
        <f aca="false">W_PH(AP$2,$A69)</f>
        <v>2015</v>
      </c>
      <c r="AQ69" s="0" t="n">
        <f aca="false">W_PH(AQ$2,$A69)</f>
        <v>2015</v>
      </c>
      <c r="AR69" s="0" t="n">
        <f aca="false">W_PH(AR$2,$A69)</f>
        <v>1174.62590595445</v>
      </c>
      <c r="AS69" s="0" t="n">
        <f aca="false">W_PH(AS$2,$A69)</f>
        <v>1189.58764825637</v>
      </c>
    </row>
    <row r="70" customFormat="false" ht="12.8" hidden="false" customHeight="false" outlineLevel="0" collapsed="false">
      <c r="A70" s="0" t="n">
        <v>988.822012037833</v>
      </c>
      <c r="B70" s="0" t="n">
        <f aca="false">W_PH(B$2,$A70)</f>
        <v>2015</v>
      </c>
      <c r="C70" s="0" t="n">
        <f aca="false">W_PH(C$2,$A70)</f>
        <v>2015</v>
      </c>
      <c r="D70" s="0" t="n">
        <f aca="false">W_PH(D$2,$A70)</f>
        <v>2015</v>
      </c>
      <c r="E70" s="0" t="n">
        <f aca="false">W_PH(E$2,$A70)</f>
        <v>2015</v>
      </c>
      <c r="F70" s="0" t="n">
        <f aca="false">W_PH(F$2,$A70)</f>
        <v>2015</v>
      </c>
      <c r="G70" s="0" t="n">
        <f aca="false">W_PH(G$2,$A70)</f>
        <v>2015</v>
      </c>
      <c r="H70" s="0" t="n">
        <f aca="false">W_PH(H$2,$A70)</f>
        <v>2015</v>
      </c>
      <c r="I70" s="0" t="n">
        <f aca="false">W_PH(I$2,$A70)</f>
        <v>2015</v>
      </c>
      <c r="J70" s="0" t="n">
        <f aca="false">W_PH(J$2,$A70)</f>
        <v>2015</v>
      </c>
      <c r="K70" s="0" t="n">
        <f aca="false">W_PH(K$2,$A70)</f>
        <v>2015</v>
      </c>
      <c r="L70" s="0" t="n">
        <f aca="false">W_PH(L$2,$A70)</f>
        <v>2015</v>
      </c>
      <c r="M70" s="0" t="n">
        <f aca="false">W_PH(M$2,$A70)</f>
        <v>2015</v>
      </c>
      <c r="N70" s="0" t="n">
        <f aca="false">W_PH(N$2,$A70)</f>
        <v>2015</v>
      </c>
      <c r="O70" s="0" t="n">
        <f aca="false">W_PH(O$2,$A70)</f>
        <v>2015</v>
      </c>
      <c r="P70" s="0" t="n">
        <f aca="false">W_PH(P$2,$A70)</f>
        <v>2015</v>
      </c>
      <c r="Q70" s="0" t="n">
        <f aca="false">W_PH(Q$2,$A70)</f>
        <v>2015</v>
      </c>
      <c r="R70" s="0" t="n">
        <f aca="false">W_PH(R$2,$A70)</f>
        <v>2015</v>
      </c>
      <c r="S70" s="0" t="n">
        <f aca="false">W_PH(S$2,$A70)</f>
        <v>2015</v>
      </c>
      <c r="T70" s="0" t="n">
        <f aca="false">W_PH(T$2,$A70)</f>
        <v>2015</v>
      </c>
      <c r="U70" s="0" t="n">
        <f aca="false">W_PH(U$2,$A70)</f>
        <v>2015</v>
      </c>
      <c r="V70" s="0" t="n">
        <f aca="false">W_PH(V$2,$A70)</f>
        <v>2015</v>
      </c>
      <c r="W70" s="0" t="n">
        <f aca="false">W_PH(W$2,$A70)</f>
        <v>2015</v>
      </c>
      <c r="X70" s="0" t="n">
        <f aca="false">W_PH(X$2,$A70)</f>
        <v>2015</v>
      </c>
      <c r="Y70" s="0" t="n">
        <f aca="false">W_PH(Y$2,$A70)</f>
        <v>2015</v>
      </c>
      <c r="Z70" s="0" t="n">
        <f aca="false">W_PH(Z$2,$A70)</f>
        <v>2015</v>
      </c>
      <c r="AA70" s="0" t="n">
        <f aca="false">W_PH(AA$2,$A70)</f>
        <v>2015</v>
      </c>
      <c r="AB70" s="0" t="n">
        <f aca="false">W_PH(AB$2,$A70)</f>
        <v>2015</v>
      </c>
      <c r="AC70" s="0" t="n">
        <f aca="false">W_PH(AC$2,$A70)</f>
        <v>2015</v>
      </c>
      <c r="AD70" s="0" t="n">
        <f aca="false">W_PH(AD$2,$A70)</f>
        <v>2015</v>
      </c>
      <c r="AE70" s="0" t="n">
        <f aca="false">W_PH(AE$2,$A70)</f>
        <v>2015</v>
      </c>
      <c r="AF70" s="0" t="n">
        <f aca="false">W_PH(AF$2,$A70)</f>
        <v>2015</v>
      </c>
      <c r="AG70" s="0" t="n">
        <f aca="false">W_PH(AG$2,$A70)</f>
        <v>2015</v>
      </c>
      <c r="AH70" s="0" t="n">
        <f aca="false">W_PH(AH$2,$A70)</f>
        <v>2015</v>
      </c>
      <c r="AI70" s="0" t="n">
        <f aca="false">W_PH(AI$2,$A70)</f>
        <v>2015</v>
      </c>
      <c r="AJ70" s="0" t="n">
        <f aca="false">W_PH(AJ$2,$A70)</f>
        <v>2015</v>
      </c>
      <c r="AK70" s="0" t="n">
        <f aca="false">W_PH(AK$2,$A70)</f>
        <v>2015</v>
      </c>
      <c r="AL70" s="0" t="n">
        <f aca="false">W_PH(AL$2,$A70)</f>
        <v>2015</v>
      </c>
      <c r="AM70" s="0" t="n">
        <f aca="false">W_PH(AM$2,$A70)</f>
        <v>2015</v>
      </c>
      <c r="AN70" s="0" t="n">
        <f aca="false">W_PH(AN$2,$A70)</f>
        <v>2015</v>
      </c>
      <c r="AO70" s="0" t="n">
        <f aca="false">W_PH(AO$2,$A70)</f>
        <v>2015</v>
      </c>
      <c r="AP70" s="0" t="n">
        <f aca="false">W_PH(AP$2,$A70)</f>
        <v>2015</v>
      </c>
      <c r="AQ70" s="0" t="n">
        <f aca="false">W_PH(AQ$2,$A70)</f>
        <v>2015</v>
      </c>
      <c r="AR70" s="0" t="n">
        <f aca="false">W_PH(AR$2,$A70)</f>
        <v>1183.69180860712</v>
      </c>
      <c r="AS70" s="0" t="n">
        <f aca="false">W_PH(AS$2,$A70)</f>
        <v>1198.1922480026</v>
      </c>
    </row>
    <row r="71" customFormat="false" ht="12.8" hidden="false" customHeight="false" outlineLevel="0" collapsed="false">
      <c r="A71" s="0" t="n">
        <v>993.121238177128</v>
      </c>
      <c r="B71" s="0" t="n">
        <f aca="false">W_PH(B$2,$A71)</f>
        <v>2015</v>
      </c>
      <c r="C71" s="0" t="n">
        <f aca="false">W_PH(C$2,$A71)</f>
        <v>2015</v>
      </c>
      <c r="D71" s="0" t="n">
        <f aca="false">W_PH(D$2,$A71)</f>
        <v>2015</v>
      </c>
      <c r="E71" s="0" t="n">
        <f aca="false">W_PH(E$2,$A71)</f>
        <v>2015</v>
      </c>
      <c r="F71" s="0" t="n">
        <f aca="false">W_PH(F$2,$A71)</f>
        <v>2015</v>
      </c>
      <c r="G71" s="0" t="n">
        <f aca="false">W_PH(G$2,$A71)</f>
        <v>2015</v>
      </c>
      <c r="H71" s="0" t="n">
        <f aca="false">W_PH(H$2,$A71)</f>
        <v>2015</v>
      </c>
      <c r="I71" s="0" t="n">
        <f aca="false">W_PH(I$2,$A71)</f>
        <v>2015</v>
      </c>
      <c r="J71" s="0" t="n">
        <f aca="false">W_PH(J$2,$A71)</f>
        <v>2015</v>
      </c>
      <c r="K71" s="0" t="n">
        <f aca="false">W_PH(K$2,$A71)</f>
        <v>2015</v>
      </c>
      <c r="L71" s="0" t="n">
        <f aca="false">W_PH(L$2,$A71)</f>
        <v>2015</v>
      </c>
      <c r="M71" s="0" t="n">
        <f aca="false">W_PH(M$2,$A71)</f>
        <v>2015</v>
      </c>
      <c r="N71" s="0" t="n">
        <f aca="false">W_PH(N$2,$A71)</f>
        <v>2015</v>
      </c>
      <c r="O71" s="0" t="n">
        <f aca="false">W_PH(O$2,$A71)</f>
        <v>2015</v>
      </c>
      <c r="P71" s="0" t="n">
        <f aca="false">W_PH(P$2,$A71)</f>
        <v>2015</v>
      </c>
      <c r="Q71" s="0" t="n">
        <f aca="false">W_PH(Q$2,$A71)</f>
        <v>2015</v>
      </c>
      <c r="R71" s="0" t="n">
        <f aca="false">W_PH(R$2,$A71)</f>
        <v>2015</v>
      </c>
      <c r="S71" s="0" t="n">
        <f aca="false">W_PH(S$2,$A71)</f>
        <v>2015</v>
      </c>
      <c r="T71" s="0" t="n">
        <f aca="false">W_PH(T$2,$A71)</f>
        <v>2015</v>
      </c>
      <c r="U71" s="0" t="n">
        <f aca="false">W_PH(U$2,$A71)</f>
        <v>2015</v>
      </c>
      <c r="V71" s="0" t="n">
        <f aca="false">W_PH(V$2,$A71)</f>
        <v>2015</v>
      </c>
      <c r="W71" s="0" t="n">
        <f aca="false">W_PH(W$2,$A71)</f>
        <v>2015</v>
      </c>
      <c r="X71" s="0" t="n">
        <f aca="false">W_PH(X$2,$A71)</f>
        <v>2015</v>
      </c>
      <c r="Y71" s="0" t="n">
        <f aca="false">W_PH(Y$2,$A71)</f>
        <v>2015</v>
      </c>
      <c r="Z71" s="0" t="n">
        <f aca="false">W_PH(Z$2,$A71)</f>
        <v>2015</v>
      </c>
      <c r="AA71" s="0" t="n">
        <f aca="false">W_PH(AA$2,$A71)</f>
        <v>2015</v>
      </c>
      <c r="AB71" s="0" t="n">
        <f aca="false">W_PH(AB$2,$A71)</f>
        <v>2015</v>
      </c>
      <c r="AC71" s="0" t="n">
        <f aca="false">W_PH(AC$2,$A71)</f>
        <v>2015</v>
      </c>
      <c r="AD71" s="0" t="n">
        <f aca="false">W_PH(AD$2,$A71)</f>
        <v>2015</v>
      </c>
      <c r="AE71" s="0" t="n">
        <f aca="false">W_PH(AE$2,$A71)</f>
        <v>2015</v>
      </c>
      <c r="AF71" s="0" t="n">
        <f aca="false">W_PH(AF$2,$A71)</f>
        <v>2015</v>
      </c>
      <c r="AG71" s="0" t="n">
        <f aca="false">W_PH(AG$2,$A71)</f>
        <v>2015</v>
      </c>
      <c r="AH71" s="0" t="n">
        <f aca="false">W_PH(AH$2,$A71)</f>
        <v>2015</v>
      </c>
      <c r="AI71" s="0" t="n">
        <f aca="false">W_PH(AI$2,$A71)</f>
        <v>2015</v>
      </c>
      <c r="AJ71" s="0" t="n">
        <f aca="false">W_PH(AJ$2,$A71)</f>
        <v>2015</v>
      </c>
      <c r="AK71" s="0" t="n">
        <f aca="false">W_PH(AK$2,$A71)</f>
        <v>2015</v>
      </c>
      <c r="AL71" s="0" t="n">
        <f aca="false">W_PH(AL$2,$A71)</f>
        <v>2015</v>
      </c>
      <c r="AM71" s="0" t="n">
        <f aca="false">W_PH(AM$2,$A71)</f>
        <v>2015</v>
      </c>
      <c r="AN71" s="0" t="n">
        <f aca="false">W_PH(AN$2,$A71)</f>
        <v>2015</v>
      </c>
      <c r="AO71" s="0" t="n">
        <f aca="false">W_PH(AO$2,$A71)</f>
        <v>2015</v>
      </c>
      <c r="AP71" s="0" t="n">
        <f aca="false">W_PH(AP$2,$A71)</f>
        <v>2015</v>
      </c>
      <c r="AQ71" s="0" t="n">
        <f aca="false">W_PH(AQ$2,$A71)</f>
        <v>2015</v>
      </c>
      <c r="AR71" s="0" t="n">
        <f aca="false">W_PH(AR$2,$A71)</f>
        <v>1192.84602515543</v>
      </c>
      <c r="AS71" s="0" t="n">
        <f aca="false">W_PH(AS$2,$A71)</f>
        <v>1206.90427939001</v>
      </c>
    </row>
    <row r="72" customFormat="false" ht="12.8" hidden="false" customHeight="false" outlineLevel="0" collapsed="false">
      <c r="A72" s="0" t="n">
        <v>997.420464316423</v>
      </c>
      <c r="B72" s="0" t="n">
        <f aca="false">W_PH(B$2,$A72)</f>
        <v>2015</v>
      </c>
      <c r="C72" s="0" t="n">
        <f aca="false">W_PH(C$2,$A72)</f>
        <v>2015</v>
      </c>
      <c r="D72" s="0" t="n">
        <f aca="false">W_PH(D$2,$A72)</f>
        <v>2015</v>
      </c>
      <c r="E72" s="0" t="n">
        <f aca="false">W_PH(E$2,$A72)</f>
        <v>2015</v>
      </c>
      <c r="F72" s="0" t="n">
        <f aca="false">W_PH(F$2,$A72)</f>
        <v>2015</v>
      </c>
      <c r="G72" s="0" t="n">
        <f aca="false">W_PH(G$2,$A72)</f>
        <v>2015</v>
      </c>
      <c r="H72" s="0" t="n">
        <f aca="false">W_PH(H$2,$A72)</f>
        <v>2015</v>
      </c>
      <c r="I72" s="0" t="n">
        <f aca="false">W_PH(I$2,$A72)</f>
        <v>2015</v>
      </c>
      <c r="J72" s="0" t="n">
        <f aca="false">W_PH(J$2,$A72)</f>
        <v>2015</v>
      </c>
      <c r="K72" s="0" t="n">
        <f aca="false">W_PH(K$2,$A72)</f>
        <v>2015</v>
      </c>
      <c r="L72" s="0" t="n">
        <f aca="false">W_PH(L$2,$A72)</f>
        <v>2015</v>
      </c>
      <c r="M72" s="0" t="n">
        <f aca="false">W_PH(M$2,$A72)</f>
        <v>2015</v>
      </c>
      <c r="N72" s="0" t="n">
        <f aca="false">W_PH(N$2,$A72)</f>
        <v>2015</v>
      </c>
      <c r="O72" s="0" t="n">
        <f aca="false">W_PH(O$2,$A72)</f>
        <v>2015</v>
      </c>
      <c r="P72" s="0" t="n">
        <f aca="false">W_PH(P$2,$A72)</f>
        <v>2015</v>
      </c>
      <c r="Q72" s="0" t="n">
        <f aca="false">W_PH(Q$2,$A72)</f>
        <v>2015</v>
      </c>
      <c r="R72" s="0" t="n">
        <f aca="false">W_PH(R$2,$A72)</f>
        <v>2015</v>
      </c>
      <c r="S72" s="0" t="n">
        <f aca="false">W_PH(S$2,$A72)</f>
        <v>2015</v>
      </c>
      <c r="T72" s="0" t="n">
        <f aca="false">W_PH(T$2,$A72)</f>
        <v>2015</v>
      </c>
      <c r="U72" s="0" t="n">
        <f aca="false">W_PH(U$2,$A72)</f>
        <v>2015</v>
      </c>
      <c r="V72" s="0" t="n">
        <f aca="false">W_PH(V$2,$A72)</f>
        <v>2015</v>
      </c>
      <c r="W72" s="0" t="n">
        <f aca="false">W_PH(W$2,$A72)</f>
        <v>2015</v>
      </c>
      <c r="X72" s="0" t="n">
        <f aca="false">W_PH(X$2,$A72)</f>
        <v>2015</v>
      </c>
      <c r="Y72" s="0" t="n">
        <f aca="false">W_PH(Y$2,$A72)</f>
        <v>2015</v>
      </c>
      <c r="Z72" s="0" t="n">
        <f aca="false">W_PH(Z$2,$A72)</f>
        <v>2015</v>
      </c>
      <c r="AA72" s="0" t="n">
        <f aca="false">W_PH(AA$2,$A72)</f>
        <v>2015</v>
      </c>
      <c r="AB72" s="0" t="n">
        <f aca="false">W_PH(AB$2,$A72)</f>
        <v>2015</v>
      </c>
      <c r="AC72" s="0" t="n">
        <f aca="false">W_PH(AC$2,$A72)</f>
        <v>2015</v>
      </c>
      <c r="AD72" s="0" t="n">
        <f aca="false">W_PH(AD$2,$A72)</f>
        <v>2015</v>
      </c>
      <c r="AE72" s="0" t="n">
        <f aca="false">W_PH(AE$2,$A72)</f>
        <v>2015</v>
      </c>
      <c r="AF72" s="0" t="n">
        <f aca="false">W_PH(AF$2,$A72)</f>
        <v>2015</v>
      </c>
      <c r="AG72" s="0" t="n">
        <f aca="false">W_PH(AG$2,$A72)</f>
        <v>2015</v>
      </c>
      <c r="AH72" s="0" t="n">
        <f aca="false">W_PH(AH$2,$A72)</f>
        <v>2015</v>
      </c>
      <c r="AI72" s="0" t="n">
        <f aca="false">W_PH(AI$2,$A72)</f>
        <v>2015</v>
      </c>
      <c r="AJ72" s="0" t="n">
        <f aca="false">W_PH(AJ$2,$A72)</f>
        <v>2015</v>
      </c>
      <c r="AK72" s="0" t="n">
        <f aca="false">W_PH(AK$2,$A72)</f>
        <v>2015</v>
      </c>
      <c r="AL72" s="0" t="n">
        <f aca="false">W_PH(AL$2,$A72)</f>
        <v>2015</v>
      </c>
      <c r="AM72" s="0" t="n">
        <f aca="false">W_PH(AM$2,$A72)</f>
        <v>2015</v>
      </c>
      <c r="AN72" s="0" t="n">
        <f aca="false">W_PH(AN$2,$A72)</f>
        <v>2015</v>
      </c>
      <c r="AO72" s="0" t="n">
        <f aca="false">W_PH(AO$2,$A72)</f>
        <v>2015</v>
      </c>
      <c r="AP72" s="0" t="n">
        <f aca="false">W_PH(AP$2,$A72)</f>
        <v>2015</v>
      </c>
      <c r="AQ72" s="0" t="n">
        <f aca="false">W_PH(AQ$2,$A72)</f>
        <v>2015</v>
      </c>
      <c r="AR72" s="0" t="n">
        <f aca="false">W_PH(AR$2,$A72)</f>
        <v>1202.08207849393</v>
      </c>
      <c r="AS72" s="0" t="n">
        <f aca="false">W_PH(AS$2,$A72)</f>
        <v>1215.71556677091</v>
      </c>
    </row>
    <row r="73" customFormat="false" ht="12.8" hidden="false" customHeight="false" outlineLevel="0" collapsed="false">
      <c r="A73" s="0" t="n">
        <v>1001.71969045572</v>
      </c>
      <c r="B73" s="0" t="n">
        <f aca="false">W_PH(B$2,$A73)</f>
        <v>2015</v>
      </c>
      <c r="C73" s="0" t="n">
        <f aca="false">W_PH(C$2,$A73)</f>
        <v>2015</v>
      </c>
      <c r="D73" s="0" t="n">
        <f aca="false">W_PH(D$2,$A73)</f>
        <v>2015</v>
      </c>
      <c r="E73" s="0" t="n">
        <f aca="false">W_PH(E$2,$A73)</f>
        <v>2015</v>
      </c>
      <c r="F73" s="0" t="n">
        <f aca="false">W_PH(F$2,$A73)</f>
        <v>2015</v>
      </c>
      <c r="G73" s="0" t="n">
        <f aca="false">W_PH(G$2,$A73)</f>
        <v>2015</v>
      </c>
      <c r="H73" s="0" t="n">
        <f aca="false">W_PH(H$2,$A73)</f>
        <v>2015</v>
      </c>
      <c r="I73" s="0" t="n">
        <f aca="false">W_PH(I$2,$A73)</f>
        <v>2015</v>
      </c>
      <c r="J73" s="0" t="n">
        <f aca="false">W_PH(J$2,$A73)</f>
        <v>2015</v>
      </c>
      <c r="K73" s="0" t="n">
        <f aca="false">W_PH(K$2,$A73)</f>
        <v>2015</v>
      </c>
      <c r="L73" s="0" t="n">
        <f aca="false">W_PH(L$2,$A73)</f>
        <v>2015</v>
      </c>
      <c r="M73" s="0" t="n">
        <f aca="false">W_PH(M$2,$A73)</f>
        <v>2015</v>
      </c>
      <c r="N73" s="0" t="n">
        <f aca="false">W_PH(N$2,$A73)</f>
        <v>2015</v>
      </c>
      <c r="O73" s="0" t="n">
        <f aca="false">W_PH(O$2,$A73)</f>
        <v>2015</v>
      </c>
      <c r="P73" s="0" t="n">
        <f aca="false">W_PH(P$2,$A73)</f>
        <v>2015</v>
      </c>
      <c r="Q73" s="0" t="n">
        <f aca="false">W_PH(Q$2,$A73)</f>
        <v>2015</v>
      </c>
      <c r="R73" s="0" t="n">
        <f aca="false">W_PH(R$2,$A73)</f>
        <v>2015</v>
      </c>
      <c r="S73" s="0" t="n">
        <f aca="false">W_PH(S$2,$A73)</f>
        <v>2015</v>
      </c>
      <c r="T73" s="0" t="n">
        <f aca="false">W_PH(T$2,$A73)</f>
        <v>2015</v>
      </c>
      <c r="U73" s="0" t="n">
        <f aca="false">W_PH(U$2,$A73)</f>
        <v>2015</v>
      </c>
      <c r="V73" s="0" t="n">
        <f aca="false">W_PH(V$2,$A73)</f>
        <v>2015</v>
      </c>
      <c r="W73" s="0" t="n">
        <f aca="false">W_PH(W$2,$A73)</f>
        <v>2015</v>
      </c>
      <c r="X73" s="0" t="n">
        <f aca="false">W_PH(X$2,$A73)</f>
        <v>2015</v>
      </c>
      <c r="Y73" s="0" t="n">
        <f aca="false">W_PH(Y$2,$A73)</f>
        <v>2015</v>
      </c>
      <c r="Z73" s="0" t="n">
        <f aca="false">W_PH(Z$2,$A73)</f>
        <v>2015</v>
      </c>
      <c r="AA73" s="0" t="n">
        <f aca="false">W_PH(AA$2,$A73)</f>
        <v>2015</v>
      </c>
      <c r="AB73" s="0" t="n">
        <f aca="false">W_PH(AB$2,$A73)</f>
        <v>2015</v>
      </c>
      <c r="AC73" s="0" t="n">
        <f aca="false">W_PH(AC$2,$A73)</f>
        <v>2015</v>
      </c>
      <c r="AD73" s="0" t="n">
        <f aca="false">W_PH(AD$2,$A73)</f>
        <v>2015</v>
      </c>
      <c r="AE73" s="0" t="n">
        <f aca="false">W_PH(AE$2,$A73)</f>
        <v>2015</v>
      </c>
      <c r="AF73" s="0" t="n">
        <f aca="false">W_PH(AF$2,$A73)</f>
        <v>2015</v>
      </c>
      <c r="AG73" s="0" t="n">
        <f aca="false">W_PH(AG$2,$A73)</f>
        <v>2015</v>
      </c>
      <c r="AH73" s="0" t="n">
        <f aca="false">W_PH(AH$2,$A73)</f>
        <v>2015</v>
      </c>
      <c r="AI73" s="0" t="n">
        <f aca="false">W_PH(AI$2,$A73)</f>
        <v>2015</v>
      </c>
      <c r="AJ73" s="0" t="n">
        <f aca="false">W_PH(AJ$2,$A73)</f>
        <v>2015</v>
      </c>
      <c r="AK73" s="0" t="n">
        <f aca="false">W_PH(AK$2,$A73)</f>
        <v>2015</v>
      </c>
      <c r="AL73" s="0" t="n">
        <f aca="false">W_PH(AL$2,$A73)</f>
        <v>2015</v>
      </c>
      <c r="AM73" s="0" t="n">
        <f aca="false">W_PH(AM$2,$A73)</f>
        <v>2015</v>
      </c>
      <c r="AN73" s="0" t="n">
        <f aca="false">W_PH(AN$2,$A73)</f>
        <v>2015</v>
      </c>
      <c r="AO73" s="0" t="n">
        <f aca="false">W_PH(AO$2,$A73)</f>
        <v>2015</v>
      </c>
      <c r="AP73" s="0" t="n">
        <f aca="false">W_PH(AP$2,$A73)</f>
        <v>2015</v>
      </c>
      <c r="AQ73" s="0" t="n">
        <f aca="false">W_PH(AQ$2,$A73)</f>
        <v>2015</v>
      </c>
      <c r="AR73" s="0" t="n">
        <f aca="false">W_PH(AR$2,$A73)</f>
        <v>1211.39376982915</v>
      </c>
      <c r="AS73" s="0" t="n">
        <f aca="false">W_PH(AS$2,$A73)</f>
        <v>1224.61839227635</v>
      </c>
    </row>
    <row r="74" customFormat="false" ht="12.8" hidden="false" customHeight="false" outlineLevel="0" collapsed="false">
      <c r="A74" s="0" t="n">
        <v>1006.01891659501</v>
      </c>
      <c r="B74" s="0" t="n">
        <f aca="false">W_PH(B$2,$A74)</f>
        <v>2015</v>
      </c>
      <c r="C74" s="0" t="n">
        <f aca="false">W_PH(C$2,$A74)</f>
        <v>2015</v>
      </c>
      <c r="D74" s="0" t="n">
        <f aca="false">W_PH(D$2,$A74)</f>
        <v>2015</v>
      </c>
      <c r="E74" s="0" t="n">
        <f aca="false">W_PH(E$2,$A74)</f>
        <v>2015</v>
      </c>
      <c r="F74" s="0" t="n">
        <f aca="false">W_PH(F$2,$A74)</f>
        <v>2015</v>
      </c>
      <c r="G74" s="0" t="n">
        <f aca="false">W_PH(G$2,$A74)</f>
        <v>2015</v>
      </c>
      <c r="H74" s="0" t="n">
        <f aca="false">W_PH(H$2,$A74)</f>
        <v>2015</v>
      </c>
      <c r="I74" s="0" t="n">
        <f aca="false">W_PH(I$2,$A74)</f>
        <v>2015</v>
      </c>
      <c r="J74" s="0" t="n">
        <f aca="false">W_PH(J$2,$A74)</f>
        <v>2015</v>
      </c>
      <c r="K74" s="0" t="n">
        <f aca="false">W_PH(K$2,$A74)</f>
        <v>2015</v>
      </c>
      <c r="L74" s="0" t="n">
        <f aca="false">W_PH(L$2,$A74)</f>
        <v>2015</v>
      </c>
      <c r="M74" s="0" t="n">
        <f aca="false">W_PH(M$2,$A74)</f>
        <v>2015</v>
      </c>
      <c r="N74" s="0" t="n">
        <f aca="false">W_PH(N$2,$A74)</f>
        <v>2015</v>
      </c>
      <c r="O74" s="0" t="n">
        <f aca="false">W_PH(O$2,$A74)</f>
        <v>2015</v>
      </c>
      <c r="P74" s="0" t="n">
        <f aca="false">W_PH(P$2,$A74)</f>
        <v>2015</v>
      </c>
      <c r="Q74" s="0" t="n">
        <f aca="false">W_PH(Q$2,$A74)</f>
        <v>2015</v>
      </c>
      <c r="R74" s="0" t="n">
        <f aca="false">W_PH(R$2,$A74)</f>
        <v>2015</v>
      </c>
      <c r="S74" s="0" t="n">
        <f aca="false">W_PH(S$2,$A74)</f>
        <v>2015</v>
      </c>
      <c r="T74" s="0" t="n">
        <f aca="false">W_PH(T$2,$A74)</f>
        <v>2015</v>
      </c>
      <c r="U74" s="0" t="n">
        <f aca="false">W_PH(U$2,$A74)</f>
        <v>2015</v>
      </c>
      <c r="V74" s="0" t="n">
        <f aca="false">W_PH(V$2,$A74)</f>
        <v>2015</v>
      </c>
      <c r="W74" s="0" t="n">
        <f aca="false">W_PH(W$2,$A74)</f>
        <v>2015</v>
      </c>
      <c r="X74" s="0" t="n">
        <f aca="false">W_PH(X$2,$A74)</f>
        <v>2015</v>
      </c>
      <c r="Y74" s="0" t="n">
        <f aca="false">W_PH(Y$2,$A74)</f>
        <v>2015</v>
      </c>
      <c r="Z74" s="0" t="n">
        <f aca="false">W_PH(Z$2,$A74)</f>
        <v>2015</v>
      </c>
      <c r="AA74" s="0" t="n">
        <f aca="false">W_PH(AA$2,$A74)</f>
        <v>2015</v>
      </c>
      <c r="AB74" s="0" t="n">
        <f aca="false">W_PH(AB$2,$A74)</f>
        <v>2015</v>
      </c>
      <c r="AC74" s="0" t="n">
        <f aca="false">W_PH(AC$2,$A74)</f>
        <v>2015</v>
      </c>
      <c r="AD74" s="0" t="n">
        <f aca="false">W_PH(AD$2,$A74)</f>
        <v>2015</v>
      </c>
      <c r="AE74" s="0" t="n">
        <f aca="false">W_PH(AE$2,$A74)</f>
        <v>2015</v>
      </c>
      <c r="AF74" s="0" t="n">
        <f aca="false">W_PH(AF$2,$A74)</f>
        <v>2015</v>
      </c>
      <c r="AG74" s="0" t="n">
        <f aca="false">W_PH(AG$2,$A74)</f>
        <v>2015</v>
      </c>
      <c r="AH74" s="0" t="n">
        <f aca="false">W_PH(AH$2,$A74)</f>
        <v>2015</v>
      </c>
      <c r="AI74" s="0" t="n">
        <f aca="false">W_PH(AI$2,$A74)</f>
        <v>2015</v>
      </c>
      <c r="AJ74" s="0" t="n">
        <f aca="false">W_PH(AJ$2,$A74)</f>
        <v>2015</v>
      </c>
      <c r="AK74" s="0" t="n">
        <f aca="false">W_PH(AK$2,$A74)</f>
        <v>2015</v>
      </c>
      <c r="AL74" s="0" t="n">
        <f aca="false">W_PH(AL$2,$A74)</f>
        <v>2015</v>
      </c>
      <c r="AM74" s="0" t="n">
        <f aca="false">W_PH(AM$2,$A74)</f>
        <v>2015</v>
      </c>
      <c r="AN74" s="0" t="n">
        <f aca="false">W_PH(AN$2,$A74)</f>
        <v>2015</v>
      </c>
      <c r="AO74" s="0" t="n">
        <f aca="false">W_PH(AO$2,$A74)</f>
        <v>2015</v>
      </c>
      <c r="AP74" s="0" t="n">
        <f aca="false">W_PH(AP$2,$A74)</f>
        <v>2015</v>
      </c>
      <c r="AQ74" s="0" t="n">
        <f aca="false">W_PH(AQ$2,$A74)</f>
        <v>2015</v>
      </c>
      <c r="AR74" s="0" t="n">
        <f aca="false">W_PH(AR$2,$A74)</f>
        <v>1220.77510341328</v>
      </c>
      <c r="AS74" s="0" t="n">
        <f aca="false">W_PH(AS$2,$A74)</f>
        <v>1233.60540314142</v>
      </c>
    </row>
    <row r="75" customFormat="false" ht="12.8" hidden="false" customHeight="false" outlineLevel="0" collapsed="false">
      <c r="A75" s="0" t="n">
        <v>1010.31814273431</v>
      </c>
      <c r="B75" s="0" t="n">
        <f aca="false">W_PH(B$2,$A75)</f>
        <v>2015</v>
      </c>
      <c r="C75" s="0" t="n">
        <f aca="false">W_PH(C$2,$A75)</f>
        <v>2015</v>
      </c>
      <c r="D75" s="0" t="n">
        <f aca="false">W_PH(D$2,$A75)</f>
        <v>2015</v>
      </c>
      <c r="E75" s="0" t="n">
        <f aca="false">W_PH(E$2,$A75)</f>
        <v>2015</v>
      </c>
      <c r="F75" s="0" t="n">
        <f aca="false">W_PH(F$2,$A75)</f>
        <v>2015</v>
      </c>
      <c r="G75" s="0" t="n">
        <f aca="false">W_PH(G$2,$A75)</f>
        <v>2015</v>
      </c>
      <c r="H75" s="0" t="n">
        <f aca="false">W_PH(H$2,$A75)</f>
        <v>2015</v>
      </c>
      <c r="I75" s="0" t="n">
        <f aca="false">W_PH(I$2,$A75)</f>
        <v>2015</v>
      </c>
      <c r="J75" s="0" t="n">
        <f aca="false">W_PH(J$2,$A75)</f>
        <v>2015</v>
      </c>
      <c r="K75" s="0" t="n">
        <f aca="false">W_PH(K$2,$A75)</f>
        <v>2015</v>
      </c>
      <c r="L75" s="0" t="n">
        <f aca="false">W_PH(L$2,$A75)</f>
        <v>2015</v>
      </c>
      <c r="M75" s="0" t="n">
        <f aca="false">W_PH(M$2,$A75)</f>
        <v>2015</v>
      </c>
      <c r="N75" s="0" t="n">
        <f aca="false">W_PH(N$2,$A75)</f>
        <v>2015</v>
      </c>
      <c r="O75" s="0" t="n">
        <f aca="false">W_PH(O$2,$A75)</f>
        <v>2015</v>
      </c>
      <c r="P75" s="0" t="n">
        <f aca="false">W_PH(P$2,$A75)</f>
        <v>2015</v>
      </c>
      <c r="Q75" s="0" t="n">
        <f aca="false">W_PH(Q$2,$A75)</f>
        <v>2015</v>
      </c>
      <c r="R75" s="0" t="n">
        <f aca="false">W_PH(R$2,$A75)</f>
        <v>2015</v>
      </c>
      <c r="S75" s="0" t="n">
        <f aca="false">W_PH(S$2,$A75)</f>
        <v>2015</v>
      </c>
      <c r="T75" s="0" t="n">
        <f aca="false">W_PH(T$2,$A75)</f>
        <v>2015</v>
      </c>
      <c r="U75" s="0" t="n">
        <f aca="false">W_PH(U$2,$A75)</f>
        <v>2015</v>
      </c>
      <c r="V75" s="0" t="n">
        <f aca="false">W_PH(V$2,$A75)</f>
        <v>2015</v>
      </c>
      <c r="W75" s="0" t="n">
        <f aca="false">W_PH(W$2,$A75)</f>
        <v>2015</v>
      </c>
      <c r="X75" s="0" t="n">
        <f aca="false">W_PH(X$2,$A75)</f>
        <v>2015</v>
      </c>
      <c r="Y75" s="0" t="n">
        <f aca="false">W_PH(Y$2,$A75)</f>
        <v>2015</v>
      </c>
      <c r="Z75" s="0" t="n">
        <f aca="false">W_PH(Z$2,$A75)</f>
        <v>2015</v>
      </c>
      <c r="AA75" s="0" t="n">
        <f aca="false">W_PH(AA$2,$A75)</f>
        <v>2015</v>
      </c>
      <c r="AB75" s="0" t="n">
        <f aca="false">W_PH(AB$2,$A75)</f>
        <v>2015</v>
      </c>
      <c r="AC75" s="0" t="n">
        <f aca="false">W_PH(AC$2,$A75)</f>
        <v>2015</v>
      </c>
      <c r="AD75" s="0" t="n">
        <f aca="false">W_PH(AD$2,$A75)</f>
        <v>2015</v>
      </c>
      <c r="AE75" s="0" t="n">
        <f aca="false">W_PH(AE$2,$A75)</f>
        <v>2015</v>
      </c>
      <c r="AF75" s="0" t="n">
        <f aca="false">W_PH(AF$2,$A75)</f>
        <v>2015</v>
      </c>
      <c r="AG75" s="0" t="n">
        <f aca="false">W_PH(AG$2,$A75)</f>
        <v>2015</v>
      </c>
      <c r="AH75" s="0" t="n">
        <f aca="false">W_PH(AH$2,$A75)</f>
        <v>2015</v>
      </c>
      <c r="AI75" s="0" t="n">
        <f aca="false">W_PH(AI$2,$A75)</f>
        <v>2015</v>
      </c>
      <c r="AJ75" s="0" t="n">
        <f aca="false">W_PH(AJ$2,$A75)</f>
        <v>2015</v>
      </c>
      <c r="AK75" s="0" t="n">
        <f aca="false">W_PH(AK$2,$A75)</f>
        <v>2015</v>
      </c>
      <c r="AL75" s="0" t="n">
        <f aca="false">W_PH(AL$2,$A75)</f>
        <v>2015</v>
      </c>
      <c r="AM75" s="0" t="n">
        <f aca="false">W_PH(AM$2,$A75)</f>
        <v>2015</v>
      </c>
      <c r="AN75" s="0" t="n">
        <f aca="false">W_PH(AN$2,$A75)</f>
        <v>2015</v>
      </c>
      <c r="AO75" s="0" t="n">
        <f aca="false">W_PH(AO$2,$A75)</f>
        <v>2015</v>
      </c>
      <c r="AP75" s="0" t="n">
        <f aca="false">W_PH(AP$2,$A75)</f>
        <v>2015</v>
      </c>
      <c r="AQ75" s="0" t="n">
        <f aca="false">W_PH(AQ$2,$A75)</f>
        <v>2015</v>
      </c>
      <c r="AR75" s="0" t="n">
        <f aca="false">W_PH(AR$2,$A75)</f>
        <v>1230.22022619899</v>
      </c>
      <c r="AS75" s="0" t="n">
        <f aca="false">W_PH(AS$2,$A75)</f>
        <v>1242.66953635101</v>
      </c>
    </row>
    <row r="76" customFormat="false" ht="12.8" hidden="false" customHeight="false" outlineLevel="0" collapsed="false">
      <c r="A76" s="0" t="n">
        <v>1014.6173688736</v>
      </c>
      <c r="B76" s="0" t="n">
        <f aca="false">W_PH(B$2,$A76)</f>
        <v>2015</v>
      </c>
      <c r="C76" s="0" t="n">
        <f aca="false">W_PH(C$2,$A76)</f>
        <v>2015</v>
      </c>
      <c r="D76" s="0" t="n">
        <f aca="false">W_PH(D$2,$A76)</f>
        <v>2015</v>
      </c>
      <c r="E76" s="0" t="n">
        <f aca="false">W_PH(E$2,$A76)</f>
        <v>2015</v>
      </c>
      <c r="F76" s="0" t="n">
        <f aca="false">W_PH(F$2,$A76)</f>
        <v>2015</v>
      </c>
      <c r="G76" s="0" t="n">
        <f aca="false">W_PH(G$2,$A76)</f>
        <v>2015</v>
      </c>
      <c r="H76" s="0" t="n">
        <f aca="false">W_PH(H$2,$A76)</f>
        <v>2015</v>
      </c>
      <c r="I76" s="0" t="n">
        <f aca="false">W_PH(I$2,$A76)</f>
        <v>2015</v>
      </c>
      <c r="J76" s="0" t="n">
        <f aca="false">W_PH(J$2,$A76)</f>
        <v>2015</v>
      </c>
      <c r="K76" s="0" t="n">
        <f aca="false">W_PH(K$2,$A76)</f>
        <v>2015</v>
      </c>
      <c r="L76" s="0" t="n">
        <f aca="false">W_PH(L$2,$A76)</f>
        <v>2015</v>
      </c>
      <c r="M76" s="0" t="n">
        <f aca="false">W_PH(M$2,$A76)</f>
        <v>2015</v>
      </c>
      <c r="N76" s="0" t="n">
        <f aca="false">W_PH(N$2,$A76)</f>
        <v>2015</v>
      </c>
      <c r="O76" s="0" t="n">
        <f aca="false">W_PH(O$2,$A76)</f>
        <v>2015</v>
      </c>
      <c r="P76" s="0" t="n">
        <f aca="false">W_PH(P$2,$A76)</f>
        <v>2015</v>
      </c>
      <c r="Q76" s="0" t="n">
        <f aca="false">W_PH(Q$2,$A76)</f>
        <v>2015</v>
      </c>
      <c r="R76" s="0" t="n">
        <f aca="false">W_PH(R$2,$A76)</f>
        <v>2015</v>
      </c>
      <c r="S76" s="0" t="n">
        <f aca="false">W_PH(S$2,$A76)</f>
        <v>2015</v>
      </c>
      <c r="T76" s="0" t="n">
        <f aca="false">W_PH(T$2,$A76)</f>
        <v>2015</v>
      </c>
      <c r="U76" s="0" t="n">
        <f aca="false">W_PH(U$2,$A76)</f>
        <v>2015</v>
      </c>
      <c r="V76" s="0" t="n">
        <f aca="false">W_PH(V$2,$A76)</f>
        <v>2015</v>
      </c>
      <c r="W76" s="0" t="n">
        <f aca="false">W_PH(W$2,$A76)</f>
        <v>2015</v>
      </c>
      <c r="X76" s="0" t="n">
        <f aca="false">W_PH(X$2,$A76)</f>
        <v>2015</v>
      </c>
      <c r="Y76" s="0" t="n">
        <f aca="false">W_PH(Y$2,$A76)</f>
        <v>2015</v>
      </c>
      <c r="Z76" s="0" t="n">
        <f aca="false">W_PH(Z$2,$A76)</f>
        <v>2015</v>
      </c>
      <c r="AA76" s="0" t="n">
        <f aca="false">W_PH(AA$2,$A76)</f>
        <v>2015</v>
      </c>
      <c r="AB76" s="0" t="n">
        <f aca="false">W_PH(AB$2,$A76)</f>
        <v>2015</v>
      </c>
      <c r="AC76" s="0" t="n">
        <f aca="false">W_PH(AC$2,$A76)</f>
        <v>2015</v>
      </c>
      <c r="AD76" s="0" t="n">
        <f aca="false">W_PH(AD$2,$A76)</f>
        <v>2015</v>
      </c>
      <c r="AE76" s="0" t="n">
        <f aca="false">W_PH(AE$2,$A76)</f>
        <v>2015</v>
      </c>
      <c r="AF76" s="0" t="n">
        <f aca="false">W_PH(AF$2,$A76)</f>
        <v>2015</v>
      </c>
      <c r="AG76" s="0" t="n">
        <f aca="false">W_PH(AG$2,$A76)</f>
        <v>2015</v>
      </c>
      <c r="AH76" s="0" t="n">
        <f aca="false">W_PH(AH$2,$A76)</f>
        <v>2015</v>
      </c>
      <c r="AI76" s="0" t="n">
        <f aca="false">W_PH(AI$2,$A76)</f>
        <v>2015</v>
      </c>
      <c r="AJ76" s="0" t="n">
        <f aca="false">W_PH(AJ$2,$A76)</f>
        <v>2015</v>
      </c>
      <c r="AK76" s="0" t="n">
        <f aca="false">W_PH(AK$2,$A76)</f>
        <v>2015</v>
      </c>
      <c r="AL76" s="0" t="n">
        <f aca="false">W_PH(AL$2,$A76)</f>
        <v>2015</v>
      </c>
      <c r="AM76" s="0" t="n">
        <f aca="false">W_PH(AM$2,$A76)</f>
        <v>2015</v>
      </c>
      <c r="AN76" s="0" t="n">
        <f aca="false">W_PH(AN$2,$A76)</f>
        <v>2015</v>
      </c>
      <c r="AO76" s="0" t="n">
        <f aca="false">W_PH(AO$2,$A76)</f>
        <v>2015</v>
      </c>
      <c r="AP76" s="0" t="n">
        <f aca="false">W_PH(AP$2,$A76)</f>
        <v>2015</v>
      </c>
      <c r="AQ76" s="0" t="n">
        <f aca="false">W_PH(AQ$2,$A76)</f>
        <v>2015</v>
      </c>
      <c r="AR76" s="0" t="n">
        <f aca="false">W_PH(AR$2,$A76)</f>
        <v>1239.72338041923</v>
      </c>
      <c r="AS76" s="0" t="n">
        <f aca="false">W_PH(AS$2,$A76)</f>
        <v>1251.80395843941</v>
      </c>
    </row>
    <row r="77" customFormat="false" ht="12.8" hidden="false" customHeight="false" outlineLevel="0" collapsed="false">
      <c r="A77" s="0" t="n">
        <v>1018.9165950129</v>
      </c>
      <c r="B77" s="0" t="n">
        <f aca="false">W_PH(B$2,$A77)</f>
        <v>2015</v>
      </c>
      <c r="C77" s="0" t="n">
        <f aca="false">W_PH(C$2,$A77)</f>
        <v>2015</v>
      </c>
      <c r="D77" s="0" t="n">
        <f aca="false">W_PH(D$2,$A77)</f>
        <v>2015</v>
      </c>
      <c r="E77" s="0" t="n">
        <f aca="false">W_PH(E$2,$A77)</f>
        <v>2015</v>
      </c>
      <c r="F77" s="0" t="n">
        <f aca="false">W_PH(F$2,$A77)</f>
        <v>2015</v>
      </c>
      <c r="G77" s="0" t="n">
        <f aca="false">W_PH(G$2,$A77)</f>
        <v>2015</v>
      </c>
      <c r="H77" s="0" t="n">
        <f aca="false">W_PH(H$2,$A77)</f>
        <v>2015</v>
      </c>
      <c r="I77" s="0" t="n">
        <f aca="false">W_PH(I$2,$A77)</f>
        <v>2015</v>
      </c>
      <c r="J77" s="0" t="n">
        <f aca="false">W_PH(J$2,$A77)</f>
        <v>2015</v>
      </c>
      <c r="K77" s="0" t="n">
        <f aca="false">W_PH(K$2,$A77)</f>
        <v>2015</v>
      </c>
      <c r="L77" s="0" t="n">
        <f aca="false">W_PH(L$2,$A77)</f>
        <v>2015</v>
      </c>
      <c r="M77" s="0" t="n">
        <f aca="false">W_PH(M$2,$A77)</f>
        <v>2015</v>
      </c>
      <c r="N77" s="0" t="n">
        <f aca="false">W_PH(N$2,$A77)</f>
        <v>2015</v>
      </c>
      <c r="O77" s="0" t="n">
        <f aca="false">W_PH(O$2,$A77)</f>
        <v>2015</v>
      </c>
      <c r="P77" s="0" t="n">
        <f aca="false">W_PH(P$2,$A77)</f>
        <v>2015</v>
      </c>
      <c r="Q77" s="0" t="n">
        <f aca="false">W_PH(Q$2,$A77)</f>
        <v>2015</v>
      </c>
      <c r="R77" s="0" t="n">
        <f aca="false">W_PH(R$2,$A77)</f>
        <v>2015</v>
      </c>
      <c r="S77" s="0" t="n">
        <f aca="false">W_PH(S$2,$A77)</f>
        <v>2015</v>
      </c>
      <c r="T77" s="0" t="n">
        <f aca="false">W_PH(T$2,$A77)</f>
        <v>2015</v>
      </c>
      <c r="U77" s="0" t="n">
        <f aca="false">W_PH(U$2,$A77)</f>
        <v>2015</v>
      </c>
      <c r="V77" s="0" t="n">
        <f aca="false">W_PH(V$2,$A77)</f>
        <v>2015</v>
      </c>
      <c r="W77" s="0" t="n">
        <f aca="false">W_PH(W$2,$A77)</f>
        <v>2015</v>
      </c>
      <c r="X77" s="0" t="n">
        <f aca="false">W_PH(X$2,$A77)</f>
        <v>2015</v>
      </c>
      <c r="Y77" s="0" t="n">
        <f aca="false">W_PH(Y$2,$A77)</f>
        <v>2015</v>
      </c>
      <c r="Z77" s="0" t="n">
        <f aca="false">W_PH(Z$2,$A77)</f>
        <v>2015</v>
      </c>
      <c r="AA77" s="0" t="n">
        <f aca="false">W_PH(AA$2,$A77)</f>
        <v>2015</v>
      </c>
      <c r="AB77" s="0" t="n">
        <f aca="false">W_PH(AB$2,$A77)</f>
        <v>2015</v>
      </c>
      <c r="AC77" s="0" t="n">
        <f aca="false">W_PH(AC$2,$A77)</f>
        <v>2015</v>
      </c>
      <c r="AD77" s="0" t="n">
        <f aca="false">W_PH(AD$2,$A77)</f>
        <v>2015</v>
      </c>
      <c r="AE77" s="0" t="n">
        <f aca="false">W_PH(AE$2,$A77)</f>
        <v>2015</v>
      </c>
      <c r="AF77" s="0" t="n">
        <f aca="false">W_PH(AF$2,$A77)</f>
        <v>2015</v>
      </c>
      <c r="AG77" s="0" t="n">
        <f aca="false">W_PH(AG$2,$A77)</f>
        <v>2015</v>
      </c>
      <c r="AH77" s="0" t="n">
        <f aca="false">W_PH(AH$2,$A77)</f>
        <v>2015</v>
      </c>
      <c r="AI77" s="0" t="n">
        <f aca="false">W_PH(AI$2,$A77)</f>
        <v>2015</v>
      </c>
      <c r="AJ77" s="0" t="n">
        <f aca="false">W_PH(AJ$2,$A77)</f>
        <v>2015</v>
      </c>
      <c r="AK77" s="0" t="n">
        <f aca="false">W_PH(AK$2,$A77)</f>
        <v>2015</v>
      </c>
      <c r="AL77" s="0" t="n">
        <f aca="false">W_PH(AL$2,$A77)</f>
        <v>2015</v>
      </c>
      <c r="AM77" s="0" t="n">
        <f aca="false">W_PH(AM$2,$A77)</f>
        <v>2015</v>
      </c>
      <c r="AN77" s="0" t="n">
        <f aca="false">W_PH(AN$2,$A77)</f>
        <v>2015</v>
      </c>
      <c r="AO77" s="0" t="n">
        <f aca="false">W_PH(AO$2,$A77)</f>
        <v>2015</v>
      </c>
      <c r="AP77" s="0" t="n">
        <f aca="false">W_PH(AP$2,$A77)</f>
        <v>2015</v>
      </c>
      <c r="AQ77" s="0" t="n">
        <f aca="false">W_PH(AQ$2,$A77)</f>
        <v>2015</v>
      </c>
      <c r="AR77" s="0" t="n">
        <f aca="false">W_PH(AR$2,$A77)</f>
        <v>1249.27886745122</v>
      </c>
      <c r="AS77" s="0" t="n">
        <f aca="false">W_PH(AS$2,$A77)</f>
        <v>1261.00201860781</v>
      </c>
    </row>
    <row r="78" customFormat="false" ht="12.8" hidden="false" customHeight="false" outlineLevel="0" collapsed="false">
      <c r="A78" s="0" t="n">
        <v>1023.21582115219</v>
      </c>
      <c r="B78" s="0" t="n">
        <f aca="false">W_PH(B$2,$A78)</f>
        <v>2015</v>
      </c>
      <c r="C78" s="0" t="n">
        <f aca="false">W_PH(C$2,$A78)</f>
        <v>2015</v>
      </c>
      <c r="D78" s="0" t="n">
        <f aca="false">W_PH(D$2,$A78)</f>
        <v>2015</v>
      </c>
      <c r="E78" s="0" t="n">
        <f aca="false">W_PH(E$2,$A78)</f>
        <v>2015</v>
      </c>
      <c r="F78" s="0" t="n">
        <f aca="false">W_PH(F$2,$A78)</f>
        <v>2015</v>
      </c>
      <c r="G78" s="0" t="n">
        <f aca="false">W_PH(G$2,$A78)</f>
        <v>2015</v>
      </c>
      <c r="H78" s="0" t="n">
        <f aca="false">W_PH(H$2,$A78)</f>
        <v>2015</v>
      </c>
      <c r="I78" s="0" t="n">
        <f aca="false">W_PH(I$2,$A78)</f>
        <v>2015</v>
      </c>
      <c r="J78" s="0" t="n">
        <f aca="false">W_PH(J$2,$A78)</f>
        <v>2015</v>
      </c>
      <c r="K78" s="0" t="n">
        <f aca="false">W_PH(K$2,$A78)</f>
        <v>2015</v>
      </c>
      <c r="L78" s="0" t="n">
        <f aca="false">W_PH(L$2,$A78)</f>
        <v>2015</v>
      </c>
      <c r="M78" s="0" t="n">
        <f aca="false">W_PH(M$2,$A78)</f>
        <v>2015</v>
      </c>
      <c r="N78" s="0" t="n">
        <f aca="false">W_PH(N$2,$A78)</f>
        <v>2015</v>
      </c>
      <c r="O78" s="0" t="n">
        <f aca="false">W_PH(O$2,$A78)</f>
        <v>2015</v>
      </c>
      <c r="P78" s="0" t="n">
        <f aca="false">W_PH(P$2,$A78)</f>
        <v>2015</v>
      </c>
      <c r="Q78" s="0" t="n">
        <f aca="false">W_PH(Q$2,$A78)</f>
        <v>2015</v>
      </c>
      <c r="R78" s="0" t="n">
        <f aca="false">W_PH(R$2,$A78)</f>
        <v>2015</v>
      </c>
      <c r="S78" s="0" t="n">
        <f aca="false">W_PH(S$2,$A78)</f>
        <v>2015</v>
      </c>
      <c r="T78" s="0" t="n">
        <f aca="false">W_PH(T$2,$A78)</f>
        <v>2015</v>
      </c>
      <c r="U78" s="0" t="n">
        <f aca="false">W_PH(U$2,$A78)</f>
        <v>2015</v>
      </c>
      <c r="V78" s="0" t="n">
        <f aca="false">W_PH(V$2,$A78)</f>
        <v>2015</v>
      </c>
      <c r="W78" s="0" t="n">
        <f aca="false">W_PH(W$2,$A78)</f>
        <v>2015</v>
      </c>
      <c r="X78" s="0" t="n">
        <f aca="false">W_PH(X$2,$A78)</f>
        <v>2015</v>
      </c>
      <c r="Y78" s="0" t="n">
        <f aca="false">W_PH(Y$2,$A78)</f>
        <v>2015</v>
      </c>
      <c r="Z78" s="0" t="n">
        <f aca="false">W_PH(Z$2,$A78)</f>
        <v>2015</v>
      </c>
      <c r="AA78" s="0" t="n">
        <f aca="false">W_PH(AA$2,$A78)</f>
        <v>2015</v>
      </c>
      <c r="AB78" s="0" t="n">
        <f aca="false">W_PH(AB$2,$A78)</f>
        <v>2015</v>
      </c>
      <c r="AC78" s="0" t="n">
        <f aca="false">W_PH(AC$2,$A78)</f>
        <v>2015</v>
      </c>
      <c r="AD78" s="0" t="n">
        <f aca="false">W_PH(AD$2,$A78)</f>
        <v>2015</v>
      </c>
      <c r="AE78" s="0" t="n">
        <f aca="false">W_PH(AE$2,$A78)</f>
        <v>2015</v>
      </c>
      <c r="AF78" s="0" t="n">
        <f aca="false">W_PH(AF$2,$A78)</f>
        <v>2015</v>
      </c>
      <c r="AG78" s="0" t="n">
        <f aca="false">W_PH(AG$2,$A78)</f>
        <v>2015</v>
      </c>
      <c r="AH78" s="0" t="n">
        <f aca="false">W_PH(AH$2,$A78)</f>
        <v>2015</v>
      </c>
      <c r="AI78" s="0" t="n">
        <f aca="false">W_PH(AI$2,$A78)</f>
        <v>2015</v>
      </c>
      <c r="AJ78" s="0" t="n">
        <f aca="false">W_PH(AJ$2,$A78)</f>
        <v>2015</v>
      </c>
      <c r="AK78" s="0" t="n">
        <f aca="false">W_PH(AK$2,$A78)</f>
        <v>2015</v>
      </c>
      <c r="AL78" s="0" t="n">
        <f aca="false">W_PH(AL$2,$A78)</f>
        <v>2015</v>
      </c>
      <c r="AM78" s="0" t="n">
        <f aca="false">W_PH(AM$2,$A78)</f>
        <v>2015</v>
      </c>
      <c r="AN78" s="0" t="n">
        <f aca="false">W_PH(AN$2,$A78)</f>
        <v>2015</v>
      </c>
      <c r="AO78" s="0" t="n">
        <f aca="false">W_PH(AO$2,$A78)</f>
        <v>2015</v>
      </c>
      <c r="AP78" s="0" t="n">
        <f aca="false">W_PH(AP$2,$A78)</f>
        <v>2015</v>
      </c>
      <c r="AQ78" s="0" t="n">
        <f aca="false">W_PH(AQ$2,$A78)</f>
        <v>2015</v>
      </c>
      <c r="AR78" s="0" t="n">
        <f aca="false">W_PH(AR$2,$A78)</f>
        <v>1258.88102162695</v>
      </c>
      <c r="AS78" s="0" t="n">
        <f aca="false">W_PH(AS$2,$A78)</f>
        <v>1270.2572136083</v>
      </c>
    </row>
    <row r="79" customFormat="false" ht="12.8" hidden="false" customHeight="false" outlineLevel="0" collapsed="false">
      <c r="A79" s="0" t="n">
        <v>1027.51504729149</v>
      </c>
      <c r="B79" s="0" t="n">
        <f aca="false">W_PH(B$2,$A79)</f>
        <v>2015</v>
      </c>
      <c r="C79" s="0" t="n">
        <f aca="false">W_PH(C$2,$A79)</f>
        <v>2015</v>
      </c>
      <c r="D79" s="0" t="n">
        <f aca="false">W_PH(D$2,$A79)</f>
        <v>2015</v>
      </c>
      <c r="E79" s="0" t="n">
        <f aca="false">W_PH(E$2,$A79)</f>
        <v>2015</v>
      </c>
      <c r="F79" s="0" t="n">
        <f aca="false">W_PH(F$2,$A79)</f>
        <v>2015</v>
      </c>
      <c r="G79" s="0" t="n">
        <f aca="false">W_PH(G$2,$A79)</f>
        <v>2015</v>
      </c>
      <c r="H79" s="0" t="n">
        <f aca="false">W_PH(H$2,$A79)</f>
        <v>2015</v>
      </c>
      <c r="I79" s="0" t="n">
        <f aca="false">W_PH(I$2,$A79)</f>
        <v>2015</v>
      </c>
      <c r="J79" s="0" t="n">
        <f aca="false">W_PH(J$2,$A79)</f>
        <v>2015</v>
      </c>
      <c r="K79" s="0" t="n">
        <f aca="false">W_PH(K$2,$A79)</f>
        <v>2015</v>
      </c>
      <c r="L79" s="0" t="n">
        <f aca="false">W_PH(L$2,$A79)</f>
        <v>2015</v>
      </c>
      <c r="M79" s="0" t="n">
        <f aca="false">W_PH(M$2,$A79)</f>
        <v>2015</v>
      </c>
      <c r="N79" s="0" t="n">
        <f aca="false">W_PH(N$2,$A79)</f>
        <v>2015</v>
      </c>
      <c r="O79" s="0" t="n">
        <f aca="false">W_PH(O$2,$A79)</f>
        <v>2015</v>
      </c>
      <c r="P79" s="0" t="n">
        <f aca="false">W_PH(P$2,$A79)</f>
        <v>2015</v>
      </c>
      <c r="Q79" s="0" t="n">
        <f aca="false">W_PH(Q$2,$A79)</f>
        <v>2015</v>
      </c>
      <c r="R79" s="0" t="n">
        <f aca="false">W_PH(R$2,$A79)</f>
        <v>2015</v>
      </c>
      <c r="S79" s="0" t="n">
        <f aca="false">W_PH(S$2,$A79)</f>
        <v>2015</v>
      </c>
      <c r="T79" s="0" t="n">
        <f aca="false">W_PH(T$2,$A79)</f>
        <v>2015</v>
      </c>
      <c r="U79" s="0" t="n">
        <f aca="false">W_PH(U$2,$A79)</f>
        <v>2015</v>
      </c>
      <c r="V79" s="0" t="n">
        <f aca="false">W_PH(V$2,$A79)</f>
        <v>2015</v>
      </c>
      <c r="W79" s="0" t="n">
        <f aca="false">W_PH(W$2,$A79)</f>
        <v>2015</v>
      </c>
      <c r="X79" s="0" t="n">
        <f aca="false">W_PH(X$2,$A79)</f>
        <v>2015</v>
      </c>
      <c r="Y79" s="0" t="n">
        <f aca="false">W_PH(Y$2,$A79)</f>
        <v>2015</v>
      </c>
      <c r="Z79" s="0" t="n">
        <f aca="false">W_PH(Z$2,$A79)</f>
        <v>2015</v>
      </c>
      <c r="AA79" s="0" t="n">
        <f aca="false">W_PH(AA$2,$A79)</f>
        <v>2015</v>
      </c>
      <c r="AB79" s="0" t="n">
        <f aca="false">W_PH(AB$2,$A79)</f>
        <v>2015</v>
      </c>
      <c r="AC79" s="0" t="n">
        <f aca="false">W_PH(AC$2,$A79)</f>
        <v>2015</v>
      </c>
      <c r="AD79" s="0" t="n">
        <f aca="false">W_PH(AD$2,$A79)</f>
        <v>2015</v>
      </c>
      <c r="AE79" s="0" t="n">
        <f aca="false">W_PH(AE$2,$A79)</f>
        <v>2015</v>
      </c>
      <c r="AF79" s="0" t="n">
        <f aca="false">W_PH(AF$2,$A79)</f>
        <v>2015</v>
      </c>
      <c r="AG79" s="0" t="n">
        <f aca="false">W_PH(AG$2,$A79)</f>
        <v>2015</v>
      </c>
      <c r="AH79" s="0" t="n">
        <f aca="false">W_PH(AH$2,$A79)</f>
        <v>2015</v>
      </c>
      <c r="AI79" s="0" t="n">
        <f aca="false">W_PH(AI$2,$A79)</f>
        <v>2015</v>
      </c>
      <c r="AJ79" s="0" t="n">
        <f aca="false">W_PH(AJ$2,$A79)</f>
        <v>2015</v>
      </c>
      <c r="AK79" s="0" t="n">
        <f aca="false">W_PH(AK$2,$A79)</f>
        <v>2015</v>
      </c>
      <c r="AL79" s="0" t="n">
        <f aca="false">W_PH(AL$2,$A79)</f>
        <v>2015</v>
      </c>
      <c r="AM79" s="0" t="n">
        <f aca="false">W_PH(AM$2,$A79)</f>
        <v>2015</v>
      </c>
      <c r="AN79" s="0" t="n">
        <f aca="false">W_PH(AN$2,$A79)</f>
        <v>2015</v>
      </c>
      <c r="AO79" s="0" t="n">
        <f aca="false">W_PH(AO$2,$A79)</f>
        <v>2015</v>
      </c>
      <c r="AP79" s="0" t="n">
        <f aca="false">W_PH(AP$2,$A79)</f>
        <v>2015</v>
      </c>
      <c r="AQ79" s="0" t="n">
        <f aca="false">W_PH(AQ$2,$A79)</f>
        <v>2015</v>
      </c>
      <c r="AR79" s="0" t="n">
        <f aca="false">W_PH(AR$2,$A79)</f>
        <v>1268.52419291647</v>
      </c>
      <c r="AS79" s="0" t="n">
        <f aca="false">W_PH(AS$2,$A79)</f>
        <v>1279.5631630892</v>
      </c>
    </row>
    <row r="80" customFormat="false" ht="12.8" hidden="false" customHeight="false" outlineLevel="0" collapsed="false">
      <c r="A80" s="0" t="n">
        <v>1031.81427343078</v>
      </c>
      <c r="B80" s="0" t="n">
        <f aca="false">W_PH(B$2,$A80)</f>
        <v>2015</v>
      </c>
      <c r="C80" s="0" t="n">
        <f aca="false">W_PH(C$2,$A80)</f>
        <v>2015</v>
      </c>
      <c r="D80" s="0" t="n">
        <f aca="false">W_PH(D$2,$A80)</f>
        <v>2015</v>
      </c>
      <c r="E80" s="0" t="n">
        <f aca="false">W_PH(E$2,$A80)</f>
        <v>2015</v>
      </c>
      <c r="F80" s="0" t="n">
        <f aca="false">W_PH(F$2,$A80)</f>
        <v>2015</v>
      </c>
      <c r="G80" s="0" t="n">
        <f aca="false">W_PH(G$2,$A80)</f>
        <v>2015</v>
      </c>
      <c r="H80" s="0" t="n">
        <f aca="false">W_PH(H$2,$A80)</f>
        <v>2015</v>
      </c>
      <c r="I80" s="0" t="n">
        <f aca="false">W_PH(I$2,$A80)</f>
        <v>2015</v>
      </c>
      <c r="J80" s="0" t="n">
        <f aca="false">W_PH(J$2,$A80)</f>
        <v>2015</v>
      </c>
      <c r="K80" s="0" t="n">
        <f aca="false">W_PH(K$2,$A80)</f>
        <v>2015</v>
      </c>
      <c r="L80" s="0" t="n">
        <f aca="false">W_PH(L$2,$A80)</f>
        <v>2015</v>
      </c>
      <c r="M80" s="0" t="n">
        <f aca="false">W_PH(M$2,$A80)</f>
        <v>2015</v>
      </c>
      <c r="N80" s="0" t="n">
        <f aca="false">W_PH(N$2,$A80)</f>
        <v>2015</v>
      </c>
      <c r="O80" s="0" t="n">
        <f aca="false">W_PH(O$2,$A80)</f>
        <v>2015</v>
      </c>
      <c r="P80" s="0" t="n">
        <f aca="false">W_PH(P$2,$A80)</f>
        <v>2015</v>
      </c>
      <c r="Q80" s="0" t="n">
        <f aca="false">W_PH(Q$2,$A80)</f>
        <v>2015</v>
      </c>
      <c r="R80" s="0" t="n">
        <f aca="false">W_PH(R$2,$A80)</f>
        <v>2015</v>
      </c>
      <c r="S80" s="0" t="n">
        <f aca="false">W_PH(S$2,$A80)</f>
        <v>2015</v>
      </c>
      <c r="T80" s="0" t="n">
        <f aca="false">W_PH(T$2,$A80)</f>
        <v>2015</v>
      </c>
      <c r="U80" s="0" t="n">
        <f aca="false">W_PH(U$2,$A80)</f>
        <v>2015</v>
      </c>
      <c r="V80" s="0" t="n">
        <f aca="false">W_PH(V$2,$A80)</f>
        <v>2015</v>
      </c>
      <c r="W80" s="0" t="n">
        <f aca="false">W_PH(W$2,$A80)</f>
        <v>2015</v>
      </c>
      <c r="X80" s="0" t="n">
        <f aca="false">W_PH(X$2,$A80)</f>
        <v>2015</v>
      </c>
      <c r="Y80" s="0" t="n">
        <f aca="false">W_PH(Y$2,$A80)</f>
        <v>2015</v>
      </c>
      <c r="Z80" s="0" t="n">
        <f aca="false">W_PH(Z$2,$A80)</f>
        <v>2015</v>
      </c>
      <c r="AA80" s="0" t="n">
        <f aca="false">W_PH(AA$2,$A80)</f>
        <v>2015</v>
      </c>
      <c r="AB80" s="0" t="n">
        <f aca="false">W_PH(AB$2,$A80)</f>
        <v>2015</v>
      </c>
      <c r="AC80" s="0" t="n">
        <f aca="false">W_PH(AC$2,$A80)</f>
        <v>2015</v>
      </c>
      <c r="AD80" s="0" t="n">
        <f aca="false">W_PH(AD$2,$A80)</f>
        <v>2015</v>
      </c>
      <c r="AE80" s="0" t="n">
        <f aca="false">W_PH(AE$2,$A80)</f>
        <v>2015</v>
      </c>
      <c r="AF80" s="0" t="n">
        <f aca="false">W_PH(AF$2,$A80)</f>
        <v>2015</v>
      </c>
      <c r="AG80" s="0" t="n">
        <f aca="false">W_PH(AG$2,$A80)</f>
        <v>2015</v>
      </c>
      <c r="AH80" s="0" t="n">
        <f aca="false">W_PH(AH$2,$A80)</f>
        <v>2015</v>
      </c>
      <c r="AI80" s="0" t="n">
        <f aca="false">W_PH(AI$2,$A80)</f>
        <v>2015</v>
      </c>
      <c r="AJ80" s="0" t="n">
        <f aca="false">W_PH(AJ$2,$A80)</f>
        <v>2015</v>
      </c>
      <c r="AK80" s="0" t="n">
        <f aca="false">W_PH(AK$2,$A80)</f>
        <v>2015</v>
      </c>
      <c r="AL80" s="0" t="n">
        <f aca="false">W_PH(AL$2,$A80)</f>
        <v>2015</v>
      </c>
      <c r="AM80" s="0" t="n">
        <f aca="false">W_PH(AM$2,$A80)</f>
        <v>2015</v>
      </c>
      <c r="AN80" s="0" t="n">
        <f aca="false">W_PH(AN$2,$A80)</f>
        <v>2015</v>
      </c>
      <c r="AO80" s="0" t="n">
        <f aca="false">W_PH(AO$2,$A80)</f>
        <v>2015</v>
      </c>
      <c r="AP80" s="0" t="n">
        <f aca="false">W_PH(AP$2,$A80)</f>
        <v>2015</v>
      </c>
      <c r="AQ80" s="0" t="n">
        <f aca="false">W_PH(AQ$2,$A80)</f>
        <v>2015</v>
      </c>
      <c r="AR80" s="0" t="n">
        <f aca="false">W_PH(AR$2,$A80)</f>
        <v>1278.2027376335</v>
      </c>
      <c r="AS80" s="0" t="n">
        <f aca="false">W_PH(AS$2,$A80)</f>
        <v>1288.91359430554</v>
      </c>
    </row>
    <row r="81" customFormat="false" ht="12.8" hidden="false" customHeight="false" outlineLevel="0" collapsed="false">
      <c r="A81" s="0" t="n">
        <v>1036.11349957008</v>
      </c>
      <c r="B81" s="0" t="n">
        <f aca="false">W_PH(B$2,$A81)</f>
        <v>2015</v>
      </c>
      <c r="C81" s="0" t="n">
        <f aca="false">W_PH(C$2,$A81)</f>
        <v>2015</v>
      </c>
      <c r="D81" s="0" t="n">
        <f aca="false">W_PH(D$2,$A81)</f>
        <v>2015</v>
      </c>
      <c r="E81" s="0" t="n">
        <f aca="false">W_PH(E$2,$A81)</f>
        <v>2015</v>
      </c>
      <c r="F81" s="0" t="n">
        <f aca="false">W_PH(F$2,$A81)</f>
        <v>2015</v>
      </c>
      <c r="G81" s="0" t="n">
        <f aca="false">W_PH(G$2,$A81)</f>
        <v>2015</v>
      </c>
      <c r="H81" s="0" t="n">
        <f aca="false">W_PH(H$2,$A81)</f>
        <v>2015</v>
      </c>
      <c r="I81" s="0" t="n">
        <f aca="false">W_PH(I$2,$A81)</f>
        <v>2015</v>
      </c>
      <c r="J81" s="0" t="n">
        <f aca="false">W_PH(J$2,$A81)</f>
        <v>2015</v>
      </c>
      <c r="K81" s="0" t="n">
        <f aca="false">W_PH(K$2,$A81)</f>
        <v>2015</v>
      </c>
      <c r="L81" s="0" t="n">
        <f aca="false">W_PH(L$2,$A81)</f>
        <v>2015</v>
      </c>
      <c r="M81" s="0" t="n">
        <f aca="false">W_PH(M$2,$A81)</f>
        <v>2015</v>
      </c>
      <c r="N81" s="0" t="n">
        <f aca="false">W_PH(N$2,$A81)</f>
        <v>2015</v>
      </c>
      <c r="O81" s="0" t="n">
        <f aca="false">W_PH(O$2,$A81)</f>
        <v>2015</v>
      </c>
      <c r="P81" s="0" t="n">
        <f aca="false">W_PH(P$2,$A81)</f>
        <v>2015</v>
      </c>
      <c r="Q81" s="0" t="n">
        <f aca="false">W_PH(Q$2,$A81)</f>
        <v>2015</v>
      </c>
      <c r="R81" s="0" t="n">
        <f aca="false">W_PH(R$2,$A81)</f>
        <v>2015</v>
      </c>
      <c r="S81" s="0" t="n">
        <f aca="false">W_PH(S$2,$A81)</f>
        <v>2015</v>
      </c>
      <c r="T81" s="0" t="n">
        <f aca="false">W_PH(T$2,$A81)</f>
        <v>2015</v>
      </c>
      <c r="U81" s="0" t="n">
        <f aca="false">W_PH(U$2,$A81)</f>
        <v>2015</v>
      </c>
      <c r="V81" s="0" t="n">
        <f aca="false">W_PH(V$2,$A81)</f>
        <v>2015</v>
      </c>
      <c r="W81" s="0" t="n">
        <f aca="false">W_PH(W$2,$A81)</f>
        <v>2015</v>
      </c>
      <c r="X81" s="0" t="n">
        <f aca="false">W_PH(X$2,$A81)</f>
        <v>2015</v>
      </c>
      <c r="Y81" s="0" t="n">
        <f aca="false">W_PH(Y$2,$A81)</f>
        <v>2015</v>
      </c>
      <c r="Z81" s="0" t="n">
        <f aca="false">W_PH(Z$2,$A81)</f>
        <v>2015</v>
      </c>
      <c r="AA81" s="0" t="n">
        <f aca="false">W_PH(AA$2,$A81)</f>
        <v>2015</v>
      </c>
      <c r="AB81" s="0" t="n">
        <f aca="false">W_PH(AB$2,$A81)</f>
        <v>2015</v>
      </c>
      <c r="AC81" s="0" t="n">
        <f aca="false">W_PH(AC$2,$A81)</f>
        <v>2015</v>
      </c>
      <c r="AD81" s="0" t="n">
        <f aca="false">W_PH(AD$2,$A81)</f>
        <v>2015</v>
      </c>
      <c r="AE81" s="0" t="n">
        <f aca="false">W_PH(AE$2,$A81)</f>
        <v>2015</v>
      </c>
      <c r="AF81" s="0" t="n">
        <f aca="false">W_PH(AF$2,$A81)</f>
        <v>2015</v>
      </c>
      <c r="AG81" s="0" t="n">
        <f aca="false">W_PH(AG$2,$A81)</f>
        <v>2015</v>
      </c>
      <c r="AH81" s="0" t="n">
        <f aca="false">W_PH(AH$2,$A81)</f>
        <v>2015</v>
      </c>
      <c r="AI81" s="0" t="n">
        <f aca="false">W_PH(AI$2,$A81)</f>
        <v>2015</v>
      </c>
      <c r="AJ81" s="0" t="n">
        <f aca="false">W_PH(AJ$2,$A81)</f>
        <v>2015</v>
      </c>
      <c r="AK81" s="0" t="n">
        <f aca="false">W_PH(AK$2,$A81)</f>
        <v>2015</v>
      </c>
      <c r="AL81" s="0" t="n">
        <f aca="false">W_PH(AL$2,$A81)</f>
        <v>2015</v>
      </c>
      <c r="AM81" s="0" t="n">
        <f aca="false">W_PH(AM$2,$A81)</f>
        <v>2015</v>
      </c>
      <c r="AN81" s="0" t="n">
        <f aca="false">W_PH(AN$2,$A81)</f>
        <v>2015</v>
      </c>
      <c r="AO81" s="0" t="n">
        <f aca="false">W_PH(AO$2,$A81)</f>
        <v>2015</v>
      </c>
      <c r="AP81" s="0" t="n">
        <f aca="false">W_PH(AP$2,$A81)</f>
        <v>2015</v>
      </c>
      <c r="AQ81" s="0" t="n">
        <f aca="false">W_PH(AQ$2,$A81)</f>
        <v>2015</v>
      </c>
      <c r="AR81" s="0" t="n">
        <f aca="false">W_PH(AR$2,$A81)</f>
        <v>1287.91101650698</v>
      </c>
      <c r="AS81" s="0" t="n">
        <f aca="false">W_PH(AS$2,$A81)</f>
        <v>1298.30233527885</v>
      </c>
    </row>
    <row r="82" customFormat="false" ht="12.8" hidden="false" customHeight="false" outlineLevel="0" collapsed="false">
      <c r="A82" s="0" t="n">
        <v>1040.41272570937</v>
      </c>
      <c r="B82" s="0" t="n">
        <f aca="false">W_PH(B$2,$A82)</f>
        <v>2015</v>
      </c>
      <c r="C82" s="0" t="n">
        <f aca="false">W_PH(C$2,$A82)</f>
        <v>2015</v>
      </c>
      <c r="D82" s="0" t="n">
        <f aca="false">W_PH(D$2,$A82)</f>
        <v>2015</v>
      </c>
      <c r="E82" s="0" t="n">
        <f aca="false">W_PH(E$2,$A82)</f>
        <v>2015</v>
      </c>
      <c r="F82" s="0" t="n">
        <f aca="false">W_PH(F$2,$A82)</f>
        <v>2015</v>
      </c>
      <c r="G82" s="0" t="n">
        <f aca="false">W_PH(G$2,$A82)</f>
        <v>2015</v>
      </c>
      <c r="H82" s="0" t="n">
        <f aca="false">W_PH(H$2,$A82)</f>
        <v>2015</v>
      </c>
      <c r="I82" s="0" t="n">
        <f aca="false">W_PH(I$2,$A82)</f>
        <v>2015</v>
      </c>
      <c r="J82" s="0" t="n">
        <f aca="false">W_PH(J$2,$A82)</f>
        <v>2015</v>
      </c>
      <c r="K82" s="0" t="n">
        <f aca="false">W_PH(K$2,$A82)</f>
        <v>2015</v>
      </c>
      <c r="L82" s="0" t="n">
        <f aca="false">W_PH(L$2,$A82)</f>
        <v>2015</v>
      </c>
      <c r="M82" s="0" t="n">
        <f aca="false">W_PH(M$2,$A82)</f>
        <v>2015</v>
      </c>
      <c r="N82" s="0" t="n">
        <f aca="false">W_PH(N$2,$A82)</f>
        <v>2015</v>
      </c>
      <c r="O82" s="0" t="n">
        <f aca="false">W_PH(O$2,$A82)</f>
        <v>2015</v>
      </c>
      <c r="P82" s="0" t="n">
        <f aca="false">W_PH(P$2,$A82)</f>
        <v>2015</v>
      </c>
      <c r="Q82" s="0" t="n">
        <f aca="false">W_PH(Q$2,$A82)</f>
        <v>2015</v>
      </c>
      <c r="R82" s="0" t="n">
        <f aca="false">W_PH(R$2,$A82)</f>
        <v>2015</v>
      </c>
      <c r="S82" s="0" t="n">
        <f aca="false">W_PH(S$2,$A82)</f>
        <v>2015</v>
      </c>
      <c r="T82" s="0" t="n">
        <f aca="false">W_PH(T$2,$A82)</f>
        <v>2015</v>
      </c>
      <c r="U82" s="0" t="n">
        <f aca="false">W_PH(U$2,$A82)</f>
        <v>2015</v>
      </c>
      <c r="V82" s="0" t="n">
        <f aca="false">W_PH(V$2,$A82)</f>
        <v>2015</v>
      </c>
      <c r="W82" s="0" t="n">
        <f aca="false">W_PH(W$2,$A82)</f>
        <v>2015</v>
      </c>
      <c r="X82" s="0" t="n">
        <f aca="false">W_PH(X$2,$A82)</f>
        <v>2015</v>
      </c>
      <c r="Y82" s="0" t="n">
        <f aca="false">W_PH(Y$2,$A82)</f>
        <v>2015</v>
      </c>
      <c r="Z82" s="0" t="n">
        <f aca="false">W_PH(Z$2,$A82)</f>
        <v>2015</v>
      </c>
      <c r="AA82" s="0" t="n">
        <f aca="false">W_PH(AA$2,$A82)</f>
        <v>2015</v>
      </c>
      <c r="AB82" s="0" t="n">
        <f aca="false">W_PH(AB$2,$A82)</f>
        <v>2015</v>
      </c>
      <c r="AC82" s="0" t="n">
        <f aca="false">W_PH(AC$2,$A82)</f>
        <v>2015</v>
      </c>
      <c r="AD82" s="0" t="n">
        <f aca="false">W_PH(AD$2,$A82)</f>
        <v>2015</v>
      </c>
      <c r="AE82" s="0" t="n">
        <f aca="false">W_PH(AE$2,$A82)</f>
        <v>2015</v>
      </c>
      <c r="AF82" s="0" t="n">
        <f aca="false">W_PH(AF$2,$A82)</f>
        <v>2015</v>
      </c>
      <c r="AG82" s="0" t="n">
        <f aca="false">W_PH(AG$2,$A82)</f>
        <v>2015</v>
      </c>
      <c r="AH82" s="0" t="n">
        <f aca="false">W_PH(AH$2,$A82)</f>
        <v>2015</v>
      </c>
      <c r="AI82" s="0" t="n">
        <f aca="false">W_PH(AI$2,$A82)</f>
        <v>2015</v>
      </c>
      <c r="AJ82" s="0" t="n">
        <f aca="false">W_PH(AJ$2,$A82)</f>
        <v>2015</v>
      </c>
      <c r="AK82" s="0" t="n">
        <f aca="false">W_PH(AK$2,$A82)</f>
        <v>2015</v>
      </c>
      <c r="AL82" s="0" t="n">
        <f aca="false">W_PH(AL$2,$A82)</f>
        <v>2015</v>
      </c>
      <c r="AM82" s="0" t="n">
        <f aca="false">W_PH(AM$2,$A82)</f>
        <v>2015</v>
      </c>
      <c r="AN82" s="0" t="n">
        <f aca="false">W_PH(AN$2,$A82)</f>
        <v>2015</v>
      </c>
      <c r="AO82" s="0" t="n">
        <f aca="false">W_PH(AO$2,$A82)</f>
        <v>2015</v>
      </c>
      <c r="AP82" s="0" t="n">
        <f aca="false">W_PH(AP$2,$A82)</f>
        <v>2015</v>
      </c>
      <c r="AQ82" s="0" t="n">
        <f aca="false">W_PH(AQ$2,$A82)</f>
        <v>1270.51462709494</v>
      </c>
      <c r="AR82" s="0" t="n">
        <f aca="false">W_PH(AR$2,$A82)</f>
        <v>1297.64339962364</v>
      </c>
      <c r="AS82" s="0" t="n">
        <f aca="false">W_PH(AS$2,$A82)</f>
        <v>1307.72331564197</v>
      </c>
    </row>
    <row r="83" customFormat="false" ht="12.8" hidden="false" customHeight="false" outlineLevel="0" collapsed="false">
      <c r="A83" s="0" t="n">
        <v>1044.71195184867</v>
      </c>
      <c r="B83" s="0" t="n">
        <f aca="false">W_PH(B$2,$A83)</f>
        <v>2015</v>
      </c>
      <c r="C83" s="0" t="n">
        <f aca="false">W_PH(C$2,$A83)</f>
        <v>2015</v>
      </c>
      <c r="D83" s="0" t="n">
        <f aca="false">W_PH(D$2,$A83)</f>
        <v>2015</v>
      </c>
      <c r="E83" s="0" t="n">
        <f aca="false">W_PH(E$2,$A83)</f>
        <v>2015</v>
      </c>
      <c r="F83" s="0" t="n">
        <f aca="false">W_PH(F$2,$A83)</f>
        <v>2015</v>
      </c>
      <c r="G83" s="0" t="n">
        <f aca="false">W_PH(G$2,$A83)</f>
        <v>2015</v>
      </c>
      <c r="H83" s="0" t="n">
        <f aca="false">W_PH(H$2,$A83)</f>
        <v>2015</v>
      </c>
      <c r="I83" s="0" t="n">
        <f aca="false">W_PH(I$2,$A83)</f>
        <v>2015</v>
      </c>
      <c r="J83" s="0" t="n">
        <f aca="false">W_PH(J$2,$A83)</f>
        <v>2015</v>
      </c>
      <c r="K83" s="0" t="n">
        <f aca="false">W_PH(K$2,$A83)</f>
        <v>2015</v>
      </c>
      <c r="L83" s="0" t="n">
        <f aca="false">W_PH(L$2,$A83)</f>
        <v>2015</v>
      </c>
      <c r="M83" s="0" t="n">
        <f aca="false">W_PH(M$2,$A83)</f>
        <v>2015</v>
      </c>
      <c r="N83" s="0" t="n">
        <f aca="false">W_PH(N$2,$A83)</f>
        <v>2015</v>
      </c>
      <c r="O83" s="0" t="n">
        <f aca="false">W_PH(O$2,$A83)</f>
        <v>2015</v>
      </c>
      <c r="P83" s="0" t="n">
        <f aca="false">W_PH(P$2,$A83)</f>
        <v>2015</v>
      </c>
      <c r="Q83" s="0" t="n">
        <f aca="false">W_PH(Q$2,$A83)</f>
        <v>2015</v>
      </c>
      <c r="R83" s="0" t="n">
        <f aca="false">W_PH(R$2,$A83)</f>
        <v>2015</v>
      </c>
      <c r="S83" s="0" t="n">
        <f aca="false">W_PH(S$2,$A83)</f>
        <v>2015</v>
      </c>
      <c r="T83" s="0" t="n">
        <f aca="false">W_PH(T$2,$A83)</f>
        <v>2015</v>
      </c>
      <c r="U83" s="0" t="n">
        <f aca="false">W_PH(U$2,$A83)</f>
        <v>2015</v>
      </c>
      <c r="V83" s="0" t="n">
        <f aca="false">W_PH(V$2,$A83)</f>
        <v>2015</v>
      </c>
      <c r="W83" s="0" t="n">
        <f aca="false">W_PH(W$2,$A83)</f>
        <v>2015</v>
      </c>
      <c r="X83" s="0" t="n">
        <f aca="false">W_PH(X$2,$A83)</f>
        <v>2015</v>
      </c>
      <c r="Y83" s="0" t="n">
        <f aca="false">W_PH(Y$2,$A83)</f>
        <v>2015</v>
      </c>
      <c r="Z83" s="0" t="n">
        <f aca="false">W_PH(Z$2,$A83)</f>
        <v>2015</v>
      </c>
      <c r="AA83" s="0" t="n">
        <f aca="false">W_PH(AA$2,$A83)</f>
        <v>2015</v>
      </c>
      <c r="AB83" s="0" t="n">
        <f aca="false">W_PH(AB$2,$A83)</f>
        <v>2015</v>
      </c>
      <c r="AC83" s="0" t="n">
        <f aca="false">W_PH(AC$2,$A83)</f>
        <v>2015</v>
      </c>
      <c r="AD83" s="0" t="n">
        <f aca="false">W_PH(AD$2,$A83)</f>
        <v>2015</v>
      </c>
      <c r="AE83" s="0" t="n">
        <f aca="false">W_PH(AE$2,$A83)</f>
        <v>2015</v>
      </c>
      <c r="AF83" s="0" t="n">
        <f aca="false">W_PH(AF$2,$A83)</f>
        <v>2015</v>
      </c>
      <c r="AG83" s="0" t="n">
        <f aca="false">W_PH(AG$2,$A83)</f>
        <v>2015</v>
      </c>
      <c r="AH83" s="0" t="n">
        <f aca="false">W_PH(AH$2,$A83)</f>
        <v>2015</v>
      </c>
      <c r="AI83" s="0" t="n">
        <f aca="false">W_PH(AI$2,$A83)</f>
        <v>2015</v>
      </c>
      <c r="AJ83" s="0" t="n">
        <f aca="false">W_PH(AJ$2,$A83)</f>
        <v>2015</v>
      </c>
      <c r="AK83" s="0" t="n">
        <f aca="false">W_PH(AK$2,$A83)</f>
        <v>2015</v>
      </c>
      <c r="AL83" s="0" t="n">
        <f aca="false">W_PH(AL$2,$A83)</f>
        <v>2015</v>
      </c>
      <c r="AM83" s="0" t="n">
        <f aca="false">W_PH(AM$2,$A83)</f>
        <v>2015</v>
      </c>
      <c r="AN83" s="0" t="n">
        <f aca="false">W_PH(AN$2,$A83)</f>
        <v>2015</v>
      </c>
      <c r="AO83" s="0" t="n">
        <f aca="false">W_PH(AO$2,$A83)</f>
        <v>2015</v>
      </c>
      <c r="AP83" s="0" t="n">
        <f aca="false">W_PH(AP$2,$A83)</f>
        <v>2015</v>
      </c>
      <c r="AQ83" s="0" t="n">
        <f aca="false">W_PH(AQ$2,$A83)</f>
        <v>1281.01027145383</v>
      </c>
      <c r="AR83" s="0" t="n">
        <f aca="false">W_PH(AR$2,$A83)</f>
        <v>1307.39427788629</v>
      </c>
      <c r="AS83" s="0" t="n">
        <f aca="false">W_PH(AS$2,$A83)</f>
        <v>1317.1705745384</v>
      </c>
    </row>
    <row r="84" customFormat="false" ht="12.8" hidden="false" customHeight="false" outlineLevel="0" collapsed="false">
      <c r="A84" s="0" t="n">
        <v>1049.01117798796</v>
      </c>
      <c r="B84" s="0" t="n">
        <f aca="false">W_PH(B$2,$A84)</f>
        <v>2015</v>
      </c>
      <c r="C84" s="0" t="n">
        <f aca="false">W_PH(C$2,$A84)</f>
        <v>2015</v>
      </c>
      <c r="D84" s="0" t="n">
        <f aca="false">W_PH(D$2,$A84)</f>
        <v>2015</v>
      </c>
      <c r="E84" s="0" t="n">
        <f aca="false">W_PH(E$2,$A84)</f>
        <v>2015</v>
      </c>
      <c r="F84" s="0" t="n">
        <f aca="false">W_PH(F$2,$A84)</f>
        <v>2015</v>
      </c>
      <c r="G84" s="0" t="n">
        <f aca="false">W_PH(G$2,$A84)</f>
        <v>2015</v>
      </c>
      <c r="H84" s="0" t="n">
        <f aca="false">W_PH(H$2,$A84)</f>
        <v>2015</v>
      </c>
      <c r="I84" s="0" t="n">
        <f aca="false">W_PH(I$2,$A84)</f>
        <v>2015</v>
      </c>
      <c r="J84" s="0" t="n">
        <f aca="false">W_PH(J$2,$A84)</f>
        <v>2015</v>
      </c>
      <c r="K84" s="0" t="n">
        <f aca="false">W_PH(K$2,$A84)</f>
        <v>2015</v>
      </c>
      <c r="L84" s="0" t="n">
        <f aca="false">W_PH(L$2,$A84)</f>
        <v>2015</v>
      </c>
      <c r="M84" s="0" t="n">
        <f aca="false">W_PH(M$2,$A84)</f>
        <v>2015</v>
      </c>
      <c r="N84" s="0" t="n">
        <f aca="false">W_PH(N$2,$A84)</f>
        <v>2015</v>
      </c>
      <c r="O84" s="0" t="n">
        <f aca="false">W_PH(O$2,$A84)</f>
        <v>2015</v>
      </c>
      <c r="P84" s="0" t="n">
        <f aca="false">W_PH(P$2,$A84)</f>
        <v>2015</v>
      </c>
      <c r="Q84" s="0" t="n">
        <f aca="false">W_PH(Q$2,$A84)</f>
        <v>2015</v>
      </c>
      <c r="R84" s="0" t="n">
        <f aca="false">W_PH(R$2,$A84)</f>
        <v>2015</v>
      </c>
      <c r="S84" s="0" t="n">
        <f aca="false">W_PH(S$2,$A84)</f>
        <v>2015</v>
      </c>
      <c r="T84" s="0" t="n">
        <f aca="false">W_PH(T$2,$A84)</f>
        <v>2015</v>
      </c>
      <c r="U84" s="0" t="n">
        <f aca="false">W_PH(U$2,$A84)</f>
        <v>2015</v>
      </c>
      <c r="V84" s="0" t="n">
        <f aca="false">W_PH(V$2,$A84)</f>
        <v>2015</v>
      </c>
      <c r="W84" s="0" t="n">
        <f aca="false">W_PH(W$2,$A84)</f>
        <v>2015</v>
      </c>
      <c r="X84" s="0" t="n">
        <f aca="false">W_PH(X$2,$A84)</f>
        <v>2015</v>
      </c>
      <c r="Y84" s="0" t="n">
        <f aca="false">W_PH(Y$2,$A84)</f>
        <v>2015</v>
      </c>
      <c r="Z84" s="0" t="n">
        <f aca="false">W_PH(Z$2,$A84)</f>
        <v>2015</v>
      </c>
      <c r="AA84" s="0" t="n">
        <f aca="false">W_PH(AA$2,$A84)</f>
        <v>2015</v>
      </c>
      <c r="AB84" s="0" t="n">
        <f aca="false">W_PH(AB$2,$A84)</f>
        <v>2015</v>
      </c>
      <c r="AC84" s="0" t="n">
        <f aca="false">W_PH(AC$2,$A84)</f>
        <v>2015</v>
      </c>
      <c r="AD84" s="0" t="n">
        <f aca="false">W_PH(AD$2,$A84)</f>
        <v>2015</v>
      </c>
      <c r="AE84" s="0" t="n">
        <f aca="false">W_PH(AE$2,$A84)</f>
        <v>2015</v>
      </c>
      <c r="AF84" s="0" t="n">
        <f aca="false">W_PH(AF$2,$A84)</f>
        <v>2015</v>
      </c>
      <c r="AG84" s="0" t="n">
        <f aca="false">W_PH(AG$2,$A84)</f>
        <v>2015</v>
      </c>
      <c r="AH84" s="0" t="n">
        <f aca="false">W_PH(AH$2,$A84)</f>
        <v>2015</v>
      </c>
      <c r="AI84" s="0" t="n">
        <f aca="false">W_PH(AI$2,$A84)</f>
        <v>2015</v>
      </c>
      <c r="AJ84" s="0" t="n">
        <f aca="false">W_PH(AJ$2,$A84)</f>
        <v>2015</v>
      </c>
      <c r="AK84" s="0" t="n">
        <f aca="false">W_PH(AK$2,$A84)</f>
        <v>2015</v>
      </c>
      <c r="AL84" s="0" t="n">
        <f aca="false">W_PH(AL$2,$A84)</f>
        <v>2015</v>
      </c>
      <c r="AM84" s="0" t="n">
        <f aca="false">W_PH(AM$2,$A84)</f>
        <v>2015</v>
      </c>
      <c r="AN84" s="0" t="n">
        <f aca="false">W_PH(AN$2,$A84)</f>
        <v>2015</v>
      </c>
      <c r="AO84" s="0" t="n">
        <f aca="false">W_PH(AO$2,$A84)</f>
        <v>2015</v>
      </c>
      <c r="AP84" s="0" t="n">
        <f aca="false">W_PH(AP$2,$A84)</f>
        <v>2015</v>
      </c>
      <c r="AQ84" s="0" t="n">
        <f aca="false">W_PH(AQ$2,$A84)</f>
        <v>1291.50925212038</v>
      </c>
      <c r="AR84" s="0" t="n">
        <f aca="false">W_PH(AR$2,$A84)</f>
        <v>1317.1580807492</v>
      </c>
      <c r="AS84" s="0" t="n">
        <f aca="false">W_PH(AS$2,$A84)</f>
        <v>1326.63827506113</v>
      </c>
    </row>
    <row r="85" customFormat="false" ht="12.8" hidden="false" customHeight="false" outlineLevel="0" collapsed="false">
      <c r="A85" s="0" t="n">
        <v>1053.31040412726</v>
      </c>
      <c r="B85" s="0" t="n">
        <f aca="false">W_PH(B$2,$A85)</f>
        <v>2015</v>
      </c>
      <c r="C85" s="0" t="n">
        <f aca="false">W_PH(C$2,$A85)</f>
        <v>2015</v>
      </c>
      <c r="D85" s="0" t="n">
        <f aca="false">W_PH(D$2,$A85)</f>
        <v>2015</v>
      </c>
      <c r="E85" s="0" t="n">
        <f aca="false">W_PH(E$2,$A85)</f>
        <v>2015</v>
      </c>
      <c r="F85" s="0" t="n">
        <f aca="false">W_PH(F$2,$A85)</f>
        <v>2015</v>
      </c>
      <c r="G85" s="0" t="n">
        <f aca="false">W_PH(G$2,$A85)</f>
        <v>2015</v>
      </c>
      <c r="H85" s="0" t="n">
        <f aca="false">W_PH(H$2,$A85)</f>
        <v>2015</v>
      </c>
      <c r="I85" s="0" t="n">
        <f aca="false">W_PH(I$2,$A85)</f>
        <v>2015</v>
      </c>
      <c r="J85" s="0" t="n">
        <f aca="false">W_PH(J$2,$A85)</f>
        <v>2015</v>
      </c>
      <c r="K85" s="0" t="n">
        <f aca="false">W_PH(K$2,$A85)</f>
        <v>2015</v>
      </c>
      <c r="L85" s="0" t="n">
        <f aca="false">W_PH(L$2,$A85)</f>
        <v>2015</v>
      </c>
      <c r="M85" s="0" t="n">
        <f aca="false">W_PH(M$2,$A85)</f>
        <v>2015</v>
      </c>
      <c r="N85" s="0" t="n">
        <f aca="false">W_PH(N$2,$A85)</f>
        <v>2015</v>
      </c>
      <c r="O85" s="0" t="n">
        <f aca="false">W_PH(O$2,$A85)</f>
        <v>2015</v>
      </c>
      <c r="P85" s="0" t="n">
        <f aca="false">W_PH(P$2,$A85)</f>
        <v>2015</v>
      </c>
      <c r="Q85" s="0" t="n">
        <f aca="false">W_PH(Q$2,$A85)</f>
        <v>2015</v>
      </c>
      <c r="R85" s="0" t="n">
        <f aca="false">W_PH(R$2,$A85)</f>
        <v>2015</v>
      </c>
      <c r="S85" s="0" t="n">
        <f aca="false">W_PH(S$2,$A85)</f>
        <v>2015</v>
      </c>
      <c r="T85" s="0" t="n">
        <f aca="false">W_PH(T$2,$A85)</f>
        <v>2015</v>
      </c>
      <c r="U85" s="0" t="n">
        <f aca="false">W_PH(U$2,$A85)</f>
        <v>2015</v>
      </c>
      <c r="V85" s="0" t="n">
        <f aca="false">W_PH(V$2,$A85)</f>
        <v>2015</v>
      </c>
      <c r="W85" s="0" t="n">
        <f aca="false">W_PH(W$2,$A85)</f>
        <v>2015</v>
      </c>
      <c r="X85" s="0" t="n">
        <f aca="false">W_PH(X$2,$A85)</f>
        <v>2015</v>
      </c>
      <c r="Y85" s="0" t="n">
        <f aca="false">W_PH(Y$2,$A85)</f>
        <v>2015</v>
      </c>
      <c r="Z85" s="0" t="n">
        <f aca="false">W_PH(Z$2,$A85)</f>
        <v>2015</v>
      </c>
      <c r="AA85" s="0" t="n">
        <f aca="false">W_PH(AA$2,$A85)</f>
        <v>2015</v>
      </c>
      <c r="AB85" s="0" t="n">
        <f aca="false">W_PH(AB$2,$A85)</f>
        <v>2015</v>
      </c>
      <c r="AC85" s="0" t="n">
        <f aca="false">W_PH(AC$2,$A85)</f>
        <v>2015</v>
      </c>
      <c r="AD85" s="0" t="n">
        <f aca="false">W_PH(AD$2,$A85)</f>
        <v>2015</v>
      </c>
      <c r="AE85" s="0" t="n">
        <f aca="false">W_PH(AE$2,$A85)</f>
        <v>2015</v>
      </c>
      <c r="AF85" s="0" t="n">
        <f aca="false">W_PH(AF$2,$A85)</f>
        <v>2015</v>
      </c>
      <c r="AG85" s="0" t="n">
        <f aca="false">W_PH(AG$2,$A85)</f>
        <v>2015</v>
      </c>
      <c r="AH85" s="0" t="n">
        <f aca="false">W_PH(AH$2,$A85)</f>
        <v>2015</v>
      </c>
      <c r="AI85" s="0" t="n">
        <f aca="false">W_PH(AI$2,$A85)</f>
        <v>2015</v>
      </c>
      <c r="AJ85" s="0" t="n">
        <f aca="false">W_PH(AJ$2,$A85)</f>
        <v>2015</v>
      </c>
      <c r="AK85" s="0" t="n">
        <f aca="false">W_PH(AK$2,$A85)</f>
        <v>2015</v>
      </c>
      <c r="AL85" s="0" t="n">
        <f aca="false">W_PH(AL$2,$A85)</f>
        <v>2015</v>
      </c>
      <c r="AM85" s="0" t="n">
        <f aca="false">W_PH(AM$2,$A85)</f>
        <v>2015</v>
      </c>
      <c r="AN85" s="0" t="n">
        <f aca="false">W_PH(AN$2,$A85)</f>
        <v>2015</v>
      </c>
      <c r="AO85" s="0" t="n">
        <f aca="false">W_PH(AO$2,$A85)</f>
        <v>2015</v>
      </c>
      <c r="AP85" s="0" t="n">
        <f aca="false">W_PH(AP$2,$A85)</f>
        <v>2015</v>
      </c>
      <c r="AQ85" s="0" t="n">
        <f aca="false">W_PH(AQ$2,$A85)</f>
        <v>1302.00652073406</v>
      </c>
      <c r="AR85" s="0" t="n">
        <f aca="false">W_PH(AR$2,$A85)</f>
        <v>1326.92930009637</v>
      </c>
      <c r="AS85" s="0" t="n">
        <f aca="false">W_PH(AS$2,$A85)</f>
        <v>1336.1207248262</v>
      </c>
    </row>
    <row r="86" customFormat="false" ht="12.8" hidden="false" customHeight="false" outlineLevel="0" collapsed="false">
      <c r="A86" s="0" t="n">
        <v>1057.60963026655</v>
      </c>
      <c r="B86" s="0" t="n">
        <f aca="false">W_PH(B$2,$A86)</f>
        <v>2015</v>
      </c>
      <c r="C86" s="0" t="n">
        <f aca="false">W_PH(C$2,$A86)</f>
        <v>2015</v>
      </c>
      <c r="D86" s="0" t="n">
        <f aca="false">W_PH(D$2,$A86)</f>
        <v>2015</v>
      </c>
      <c r="E86" s="0" t="n">
        <f aca="false">W_PH(E$2,$A86)</f>
        <v>2015</v>
      </c>
      <c r="F86" s="0" t="n">
        <f aca="false">W_PH(F$2,$A86)</f>
        <v>2015</v>
      </c>
      <c r="G86" s="0" t="n">
        <f aca="false">W_PH(G$2,$A86)</f>
        <v>2015</v>
      </c>
      <c r="H86" s="0" t="n">
        <f aca="false">W_PH(H$2,$A86)</f>
        <v>2015</v>
      </c>
      <c r="I86" s="0" t="n">
        <f aca="false">W_PH(I$2,$A86)</f>
        <v>2015</v>
      </c>
      <c r="J86" s="0" t="n">
        <f aca="false">W_PH(J$2,$A86)</f>
        <v>2015</v>
      </c>
      <c r="K86" s="0" t="n">
        <f aca="false">W_PH(K$2,$A86)</f>
        <v>2015</v>
      </c>
      <c r="L86" s="0" t="n">
        <f aca="false">W_PH(L$2,$A86)</f>
        <v>2015</v>
      </c>
      <c r="M86" s="0" t="n">
        <f aca="false">W_PH(M$2,$A86)</f>
        <v>2015</v>
      </c>
      <c r="N86" s="0" t="n">
        <f aca="false">W_PH(N$2,$A86)</f>
        <v>2015</v>
      </c>
      <c r="O86" s="0" t="n">
        <f aca="false">W_PH(O$2,$A86)</f>
        <v>2015</v>
      </c>
      <c r="P86" s="0" t="n">
        <f aca="false">W_PH(P$2,$A86)</f>
        <v>2015</v>
      </c>
      <c r="Q86" s="0" t="n">
        <f aca="false">W_PH(Q$2,$A86)</f>
        <v>2015</v>
      </c>
      <c r="R86" s="0" t="n">
        <f aca="false">W_PH(R$2,$A86)</f>
        <v>2015</v>
      </c>
      <c r="S86" s="0" t="n">
        <f aca="false">W_PH(S$2,$A86)</f>
        <v>2015</v>
      </c>
      <c r="T86" s="0" t="n">
        <f aca="false">W_PH(T$2,$A86)</f>
        <v>2015</v>
      </c>
      <c r="U86" s="0" t="n">
        <f aca="false">W_PH(U$2,$A86)</f>
        <v>2015</v>
      </c>
      <c r="V86" s="0" t="n">
        <f aca="false">W_PH(V$2,$A86)</f>
        <v>2015</v>
      </c>
      <c r="W86" s="0" t="n">
        <f aca="false">W_PH(W$2,$A86)</f>
        <v>2015</v>
      </c>
      <c r="X86" s="0" t="n">
        <f aca="false">W_PH(X$2,$A86)</f>
        <v>2015</v>
      </c>
      <c r="Y86" s="0" t="n">
        <f aca="false">W_PH(Y$2,$A86)</f>
        <v>2015</v>
      </c>
      <c r="Z86" s="0" t="n">
        <f aca="false">W_PH(Z$2,$A86)</f>
        <v>2015</v>
      </c>
      <c r="AA86" s="0" t="n">
        <f aca="false">W_PH(AA$2,$A86)</f>
        <v>2015</v>
      </c>
      <c r="AB86" s="0" t="n">
        <f aca="false">W_PH(AB$2,$A86)</f>
        <v>2015</v>
      </c>
      <c r="AC86" s="0" t="n">
        <f aca="false">W_PH(AC$2,$A86)</f>
        <v>2015</v>
      </c>
      <c r="AD86" s="0" t="n">
        <f aca="false">W_PH(AD$2,$A86)</f>
        <v>2015</v>
      </c>
      <c r="AE86" s="0" t="n">
        <f aca="false">W_PH(AE$2,$A86)</f>
        <v>2015</v>
      </c>
      <c r="AF86" s="0" t="n">
        <f aca="false">W_PH(AF$2,$A86)</f>
        <v>2015</v>
      </c>
      <c r="AG86" s="0" t="n">
        <f aca="false">W_PH(AG$2,$A86)</f>
        <v>2015</v>
      </c>
      <c r="AH86" s="0" t="n">
        <f aca="false">W_PH(AH$2,$A86)</f>
        <v>2015</v>
      </c>
      <c r="AI86" s="0" t="n">
        <f aca="false">W_PH(AI$2,$A86)</f>
        <v>2015</v>
      </c>
      <c r="AJ86" s="0" t="n">
        <f aca="false">W_PH(AJ$2,$A86)</f>
        <v>2015</v>
      </c>
      <c r="AK86" s="0" t="n">
        <f aca="false">W_PH(AK$2,$A86)</f>
        <v>2015</v>
      </c>
      <c r="AL86" s="0" t="n">
        <f aca="false">W_PH(AL$2,$A86)</f>
        <v>2015</v>
      </c>
      <c r="AM86" s="0" t="n">
        <f aca="false">W_PH(AM$2,$A86)</f>
        <v>2015</v>
      </c>
      <c r="AN86" s="0" t="n">
        <f aca="false">W_PH(AN$2,$A86)</f>
        <v>2015</v>
      </c>
      <c r="AO86" s="0" t="n">
        <f aca="false">W_PH(AO$2,$A86)</f>
        <v>2015</v>
      </c>
      <c r="AP86" s="0" t="n">
        <f aca="false">W_PH(AP$2,$A86)</f>
        <v>2015</v>
      </c>
      <c r="AQ86" s="0" t="n">
        <f aca="false">W_PH(AQ$2,$A86)</f>
        <v>1312.4968316604</v>
      </c>
      <c r="AR86" s="0" t="n">
        <f aca="false">W_PH(AR$2,$A86)</f>
        <v>1336.70252022299</v>
      </c>
      <c r="AS86" s="0" t="n">
        <f aca="false">W_PH(AS$2,$A86)</f>
        <v>1345.61240238319</v>
      </c>
    </row>
    <row r="87" customFormat="false" ht="12.8" hidden="false" customHeight="false" outlineLevel="0" collapsed="false">
      <c r="A87" s="0" t="n">
        <v>1061.90885640585</v>
      </c>
      <c r="B87" s="0" t="n">
        <f aca="false">W_PH(B$2,$A87)</f>
        <v>2015</v>
      </c>
      <c r="C87" s="0" t="n">
        <f aca="false">W_PH(C$2,$A87)</f>
        <v>2015</v>
      </c>
      <c r="D87" s="0" t="n">
        <f aca="false">W_PH(D$2,$A87)</f>
        <v>2015</v>
      </c>
      <c r="E87" s="0" t="n">
        <f aca="false">W_PH(E$2,$A87)</f>
        <v>2015</v>
      </c>
      <c r="F87" s="0" t="n">
        <f aca="false">W_PH(F$2,$A87)</f>
        <v>2015</v>
      </c>
      <c r="G87" s="0" t="n">
        <f aca="false">W_PH(G$2,$A87)</f>
        <v>2015</v>
      </c>
      <c r="H87" s="0" t="n">
        <f aca="false">W_PH(H$2,$A87)</f>
        <v>2015</v>
      </c>
      <c r="I87" s="0" t="n">
        <f aca="false">W_PH(I$2,$A87)</f>
        <v>2015</v>
      </c>
      <c r="J87" s="0" t="n">
        <f aca="false">W_PH(J$2,$A87)</f>
        <v>2015</v>
      </c>
      <c r="K87" s="0" t="n">
        <f aca="false">W_PH(K$2,$A87)</f>
        <v>2015</v>
      </c>
      <c r="L87" s="0" t="n">
        <f aca="false">W_PH(L$2,$A87)</f>
        <v>2015</v>
      </c>
      <c r="M87" s="0" t="n">
        <f aca="false">W_PH(M$2,$A87)</f>
        <v>2015</v>
      </c>
      <c r="N87" s="0" t="n">
        <f aca="false">W_PH(N$2,$A87)</f>
        <v>2015</v>
      </c>
      <c r="O87" s="0" t="n">
        <f aca="false">W_PH(O$2,$A87)</f>
        <v>2015</v>
      </c>
      <c r="P87" s="0" t="n">
        <f aca="false">W_PH(P$2,$A87)</f>
        <v>2015</v>
      </c>
      <c r="Q87" s="0" t="n">
        <f aca="false">W_PH(Q$2,$A87)</f>
        <v>2015</v>
      </c>
      <c r="R87" s="0" t="n">
        <f aca="false">W_PH(R$2,$A87)</f>
        <v>2015</v>
      </c>
      <c r="S87" s="0" t="n">
        <f aca="false">W_PH(S$2,$A87)</f>
        <v>2015</v>
      </c>
      <c r="T87" s="0" t="n">
        <f aca="false">W_PH(T$2,$A87)</f>
        <v>2015</v>
      </c>
      <c r="U87" s="0" t="n">
        <f aca="false">W_PH(U$2,$A87)</f>
        <v>2015</v>
      </c>
      <c r="V87" s="0" t="n">
        <f aca="false">W_PH(V$2,$A87)</f>
        <v>2015</v>
      </c>
      <c r="W87" s="0" t="n">
        <f aca="false">W_PH(W$2,$A87)</f>
        <v>2015</v>
      </c>
      <c r="X87" s="0" t="n">
        <f aca="false">W_PH(X$2,$A87)</f>
        <v>2015</v>
      </c>
      <c r="Y87" s="0" t="n">
        <f aca="false">W_PH(Y$2,$A87)</f>
        <v>2015</v>
      </c>
      <c r="Z87" s="0" t="n">
        <f aca="false">W_PH(Z$2,$A87)</f>
        <v>2015</v>
      </c>
      <c r="AA87" s="0" t="n">
        <f aca="false">W_PH(AA$2,$A87)</f>
        <v>2015</v>
      </c>
      <c r="AB87" s="0" t="n">
        <f aca="false">W_PH(AB$2,$A87)</f>
        <v>2015</v>
      </c>
      <c r="AC87" s="0" t="n">
        <f aca="false">W_PH(AC$2,$A87)</f>
        <v>2015</v>
      </c>
      <c r="AD87" s="0" t="n">
        <f aca="false">W_PH(AD$2,$A87)</f>
        <v>2015</v>
      </c>
      <c r="AE87" s="0" t="n">
        <f aca="false">W_PH(AE$2,$A87)</f>
        <v>2015</v>
      </c>
      <c r="AF87" s="0" t="n">
        <f aca="false">W_PH(AF$2,$A87)</f>
        <v>2015</v>
      </c>
      <c r="AG87" s="0" t="n">
        <f aca="false">W_PH(AG$2,$A87)</f>
        <v>2015</v>
      </c>
      <c r="AH87" s="0" t="n">
        <f aca="false">W_PH(AH$2,$A87)</f>
        <v>2015</v>
      </c>
      <c r="AI87" s="0" t="n">
        <f aca="false">W_PH(AI$2,$A87)</f>
        <v>2015</v>
      </c>
      <c r="AJ87" s="0" t="n">
        <f aca="false">W_PH(AJ$2,$A87)</f>
        <v>2015</v>
      </c>
      <c r="AK87" s="0" t="n">
        <f aca="false">W_PH(AK$2,$A87)</f>
        <v>2015</v>
      </c>
      <c r="AL87" s="0" t="n">
        <f aca="false">W_PH(AL$2,$A87)</f>
        <v>2015</v>
      </c>
      <c r="AM87" s="0" t="n">
        <f aca="false">W_PH(AM$2,$A87)</f>
        <v>2015</v>
      </c>
      <c r="AN87" s="0" t="n">
        <f aca="false">W_PH(AN$2,$A87)</f>
        <v>2015</v>
      </c>
      <c r="AO87" s="0" t="n">
        <f aca="false">W_PH(AO$2,$A87)</f>
        <v>2015</v>
      </c>
      <c r="AP87" s="0" t="n">
        <f aca="false">W_PH(AP$2,$A87)</f>
        <v>2015</v>
      </c>
      <c r="AQ87" s="0" t="n">
        <f aca="false">W_PH(AQ$2,$A87)</f>
        <v>1322.97477790246</v>
      </c>
      <c r="AR87" s="0" t="n">
        <f aca="false">W_PH(AR$2,$A87)</f>
        <v>1346.47245397956</v>
      </c>
      <c r="AS87" s="0" t="n">
        <f aca="false">W_PH(AS$2,$A87)</f>
        <v>1355.10798928254</v>
      </c>
    </row>
    <row r="88" customFormat="false" ht="12.8" hidden="false" customHeight="false" outlineLevel="0" collapsed="false">
      <c r="A88" s="0" t="n">
        <v>1066.20808254514</v>
      </c>
      <c r="B88" s="0" t="n">
        <f aca="false">W_PH(B$2,$A88)</f>
        <v>2015</v>
      </c>
      <c r="C88" s="0" t="n">
        <f aca="false">W_PH(C$2,$A88)</f>
        <v>2015</v>
      </c>
      <c r="D88" s="0" t="n">
        <f aca="false">W_PH(D$2,$A88)</f>
        <v>2015</v>
      </c>
      <c r="E88" s="0" t="n">
        <f aca="false">W_PH(E$2,$A88)</f>
        <v>2015</v>
      </c>
      <c r="F88" s="0" t="n">
        <f aca="false">W_PH(F$2,$A88)</f>
        <v>2015</v>
      </c>
      <c r="G88" s="0" t="n">
        <f aca="false">W_PH(G$2,$A88)</f>
        <v>2015</v>
      </c>
      <c r="H88" s="0" t="n">
        <f aca="false">W_PH(H$2,$A88)</f>
        <v>2015</v>
      </c>
      <c r="I88" s="0" t="n">
        <f aca="false">W_PH(I$2,$A88)</f>
        <v>2015</v>
      </c>
      <c r="J88" s="0" t="n">
        <f aca="false">W_PH(J$2,$A88)</f>
        <v>2015</v>
      </c>
      <c r="K88" s="0" t="n">
        <f aca="false">W_PH(K$2,$A88)</f>
        <v>2015</v>
      </c>
      <c r="L88" s="0" t="n">
        <f aca="false">W_PH(L$2,$A88)</f>
        <v>2015</v>
      </c>
      <c r="M88" s="0" t="n">
        <f aca="false">W_PH(M$2,$A88)</f>
        <v>2015</v>
      </c>
      <c r="N88" s="0" t="n">
        <f aca="false">W_PH(N$2,$A88)</f>
        <v>2015</v>
      </c>
      <c r="O88" s="0" t="n">
        <f aca="false">W_PH(O$2,$A88)</f>
        <v>2015</v>
      </c>
      <c r="P88" s="0" t="n">
        <f aca="false">W_PH(P$2,$A88)</f>
        <v>2015</v>
      </c>
      <c r="Q88" s="0" t="n">
        <f aca="false">W_PH(Q$2,$A88)</f>
        <v>2015</v>
      </c>
      <c r="R88" s="0" t="n">
        <f aca="false">W_PH(R$2,$A88)</f>
        <v>2015</v>
      </c>
      <c r="S88" s="0" t="n">
        <f aca="false">W_PH(S$2,$A88)</f>
        <v>2015</v>
      </c>
      <c r="T88" s="0" t="n">
        <f aca="false">W_PH(T$2,$A88)</f>
        <v>2015</v>
      </c>
      <c r="U88" s="0" t="n">
        <f aca="false">W_PH(U$2,$A88)</f>
        <v>2015</v>
      </c>
      <c r="V88" s="0" t="n">
        <f aca="false">W_PH(V$2,$A88)</f>
        <v>2015</v>
      </c>
      <c r="W88" s="0" t="n">
        <f aca="false">W_PH(W$2,$A88)</f>
        <v>2015</v>
      </c>
      <c r="X88" s="0" t="n">
        <f aca="false">W_PH(X$2,$A88)</f>
        <v>2015</v>
      </c>
      <c r="Y88" s="0" t="n">
        <f aca="false">W_PH(Y$2,$A88)</f>
        <v>2015</v>
      </c>
      <c r="Z88" s="0" t="n">
        <f aca="false">W_PH(Z$2,$A88)</f>
        <v>2015</v>
      </c>
      <c r="AA88" s="0" t="n">
        <f aca="false">W_PH(AA$2,$A88)</f>
        <v>2015</v>
      </c>
      <c r="AB88" s="0" t="n">
        <f aca="false">W_PH(AB$2,$A88)</f>
        <v>2015</v>
      </c>
      <c r="AC88" s="0" t="n">
        <f aca="false">W_PH(AC$2,$A88)</f>
        <v>2015</v>
      </c>
      <c r="AD88" s="0" t="n">
        <f aca="false">W_PH(AD$2,$A88)</f>
        <v>2015</v>
      </c>
      <c r="AE88" s="0" t="n">
        <f aca="false">W_PH(AE$2,$A88)</f>
        <v>2015</v>
      </c>
      <c r="AF88" s="0" t="n">
        <f aca="false">W_PH(AF$2,$A88)</f>
        <v>2015</v>
      </c>
      <c r="AG88" s="0" t="n">
        <f aca="false">W_PH(AG$2,$A88)</f>
        <v>2015</v>
      </c>
      <c r="AH88" s="0" t="n">
        <f aca="false">W_PH(AH$2,$A88)</f>
        <v>2015</v>
      </c>
      <c r="AI88" s="0" t="n">
        <f aca="false">W_PH(AI$2,$A88)</f>
        <v>2015</v>
      </c>
      <c r="AJ88" s="0" t="n">
        <f aca="false">W_PH(AJ$2,$A88)</f>
        <v>2015</v>
      </c>
      <c r="AK88" s="0" t="n">
        <f aca="false">W_PH(AK$2,$A88)</f>
        <v>2015</v>
      </c>
      <c r="AL88" s="0" t="n">
        <f aca="false">W_PH(AL$2,$A88)</f>
        <v>2015</v>
      </c>
      <c r="AM88" s="0" t="n">
        <f aca="false">W_PH(AM$2,$A88)</f>
        <v>2015</v>
      </c>
      <c r="AN88" s="0" t="n">
        <f aca="false">W_PH(AN$2,$A88)</f>
        <v>2015</v>
      </c>
      <c r="AO88" s="0" t="n">
        <f aca="false">W_PH(AO$2,$A88)</f>
        <v>2015</v>
      </c>
      <c r="AP88" s="0" t="n">
        <f aca="false">W_PH(AP$2,$A88)</f>
        <v>2015</v>
      </c>
      <c r="AQ88" s="0" t="n">
        <f aca="false">W_PH(AQ$2,$A88)</f>
        <v>1333.43483740848</v>
      </c>
      <c r="AR88" s="0" t="n">
        <f aca="false">W_PH(AR$2,$A88)</f>
        <v>1356.23398524707</v>
      </c>
      <c r="AS88" s="0" t="n">
        <f aca="false">W_PH(AS$2,$A88)</f>
        <v>1364.60240775441</v>
      </c>
    </row>
    <row r="89" customFormat="false" ht="12.8" hidden="false" customHeight="false" outlineLevel="0" collapsed="false">
      <c r="A89" s="0" t="n">
        <v>1070.50730868444</v>
      </c>
      <c r="B89" s="0" t="n">
        <f aca="false">W_PH(B$2,$A89)</f>
        <v>2015</v>
      </c>
      <c r="C89" s="0" t="n">
        <f aca="false">W_PH(C$2,$A89)</f>
        <v>2015</v>
      </c>
      <c r="D89" s="0" t="n">
        <f aca="false">W_PH(D$2,$A89)</f>
        <v>2015</v>
      </c>
      <c r="E89" s="0" t="n">
        <f aca="false">W_PH(E$2,$A89)</f>
        <v>2015</v>
      </c>
      <c r="F89" s="0" t="n">
        <f aca="false">W_PH(F$2,$A89)</f>
        <v>2015</v>
      </c>
      <c r="G89" s="0" t="n">
        <f aca="false">W_PH(G$2,$A89)</f>
        <v>2015</v>
      </c>
      <c r="H89" s="0" t="n">
        <f aca="false">W_PH(H$2,$A89)</f>
        <v>2015</v>
      </c>
      <c r="I89" s="0" t="n">
        <f aca="false">W_PH(I$2,$A89)</f>
        <v>2015</v>
      </c>
      <c r="J89" s="0" t="n">
        <f aca="false">W_PH(J$2,$A89)</f>
        <v>2015</v>
      </c>
      <c r="K89" s="0" t="n">
        <f aca="false">W_PH(K$2,$A89)</f>
        <v>2015</v>
      </c>
      <c r="L89" s="0" t="n">
        <f aca="false">W_PH(L$2,$A89)</f>
        <v>2015</v>
      </c>
      <c r="M89" s="0" t="n">
        <f aca="false">W_PH(M$2,$A89)</f>
        <v>2015</v>
      </c>
      <c r="N89" s="0" t="n">
        <f aca="false">W_PH(N$2,$A89)</f>
        <v>2015</v>
      </c>
      <c r="O89" s="0" t="n">
        <f aca="false">W_PH(O$2,$A89)</f>
        <v>2015</v>
      </c>
      <c r="P89" s="0" t="n">
        <f aca="false">W_PH(P$2,$A89)</f>
        <v>2015</v>
      </c>
      <c r="Q89" s="0" t="n">
        <f aca="false">W_PH(Q$2,$A89)</f>
        <v>2015</v>
      </c>
      <c r="R89" s="0" t="n">
        <f aca="false">W_PH(R$2,$A89)</f>
        <v>2015</v>
      </c>
      <c r="S89" s="0" t="n">
        <f aca="false">W_PH(S$2,$A89)</f>
        <v>2015</v>
      </c>
      <c r="T89" s="0" t="n">
        <f aca="false">W_PH(T$2,$A89)</f>
        <v>2015</v>
      </c>
      <c r="U89" s="0" t="n">
        <f aca="false">W_PH(U$2,$A89)</f>
        <v>2015</v>
      </c>
      <c r="V89" s="0" t="n">
        <f aca="false">W_PH(V$2,$A89)</f>
        <v>2015</v>
      </c>
      <c r="W89" s="0" t="n">
        <f aca="false">W_PH(W$2,$A89)</f>
        <v>2015</v>
      </c>
      <c r="X89" s="0" t="n">
        <f aca="false">W_PH(X$2,$A89)</f>
        <v>2015</v>
      </c>
      <c r="Y89" s="0" t="n">
        <f aca="false">W_PH(Y$2,$A89)</f>
        <v>2015</v>
      </c>
      <c r="Z89" s="0" t="n">
        <f aca="false">W_PH(Z$2,$A89)</f>
        <v>2015</v>
      </c>
      <c r="AA89" s="0" t="n">
        <f aca="false">W_PH(AA$2,$A89)</f>
        <v>2015</v>
      </c>
      <c r="AB89" s="0" t="n">
        <f aca="false">W_PH(AB$2,$A89)</f>
        <v>2015</v>
      </c>
      <c r="AC89" s="0" t="n">
        <f aca="false">W_PH(AC$2,$A89)</f>
        <v>2015</v>
      </c>
      <c r="AD89" s="0" t="n">
        <f aca="false">W_PH(AD$2,$A89)</f>
        <v>2015</v>
      </c>
      <c r="AE89" s="0" t="n">
        <f aca="false">W_PH(AE$2,$A89)</f>
        <v>2015</v>
      </c>
      <c r="AF89" s="0" t="n">
        <f aca="false">W_PH(AF$2,$A89)</f>
        <v>2015</v>
      </c>
      <c r="AG89" s="0" t="n">
        <f aca="false">W_PH(AG$2,$A89)</f>
        <v>2015</v>
      </c>
      <c r="AH89" s="0" t="n">
        <f aca="false">W_PH(AH$2,$A89)</f>
        <v>2015</v>
      </c>
      <c r="AI89" s="0" t="n">
        <f aca="false">W_PH(AI$2,$A89)</f>
        <v>2015</v>
      </c>
      <c r="AJ89" s="0" t="n">
        <f aca="false">W_PH(AJ$2,$A89)</f>
        <v>2015</v>
      </c>
      <c r="AK89" s="0" t="n">
        <f aca="false">W_PH(AK$2,$A89)</f>
        <v>2015</v>
      </c>
      <c r="AL89" s="0" t="n">
        <f aca="false">W_PH(AL$2,$A89)</f>
        <v>2015</v>
      </c>
      <c r="AM89" s="0" t="n">
        <f aca="false">W_PH(AM$2,$A89)</f>
        <v>2015</v>
      </c>
      <c r="AN89" s="0" t="n">
        <f aca="false">W_PH(AN$2,$A89)</f>
        <v>2015</v>
      </c>
      <c r="AO89" s="0" t="n">
        <f aca="false">W_PH(AO$2,$A89)</f>
        <v>2015</v>
      </c>
      <c r="AP89" s="0" t="n">
        <f aca="false">W_PH(AP$2,$A89)</f>
        <v>2015</v>
      </c>
      <c r="AQ89" s="0" t="n">
        <f aca="false">W_PH(AQ$2,$A89)</f>
        <v>1343.87143136965</v>
      </c>
      <c r="AR89" s="0" t="n">
        <f aca="false">W_PH(AR$2,$A89)</f>
        <v>1365.98221805015</v>
      </c>
      <c r="AS89" s="0" t="n">
        <f aca="false">W_PH(AS$2,$A89)</f>
        <v>1374.09086411985</v>
      </c>
    </row>
    <row r="90" customFormat="false" ht="12.8" hidden="false" customHeight="false" outlineLevel="0" collapsed="false">
      <c r="A90" s="0" t="n">
        <v>1074.80653482373</v>
      </c>
      <c r="B90" s="0" t="n">
        <f aca="false">W_PH(B$2,$A90)</f>
        <v>2015</v>
      </c>
      <c r="C90" s="0" t="n">
        <f aca="false">W_PH(C$2,$A90)</f>
        <v>2015</v>
      </c>
      <c r="D90" s="0" t="n">
        <f aca="false">W_PH(D$2,$A90)</f>
        <v>2015</v>
      </c>
      <c r="E90" s="0" t="n">
        <f aca="false">W_PH(E$2,$A90)</f>
        <v>2015</v>
      </c>
      <c r="F90" s="0" t="n">
        <f aca="false">W_PH(F$2,$A90)</f>
        <v>2015</v>
      </c>
      <c r="G90" s="0" t="n">
        <f aca="false">W_PH(G$2,$A90)</f>
        <v>2015</v>
      </c>
      <c r="H90" s="0" t="n">
        <f aca="false">W_PH(H$2,$A90)</f>
        <v>2015</v>
      </c>
      <c r="I90" s="0" t="n">
        <f aca="false">W_PH(I$2,$A90)</f>
        <v>2015</v>
      </c>
      <c r="J90" s="0" t="n">
        <f aca="false">W_PH(J$2,$A90)</f>
        <v>2015</v>
      </c>
      <c r="K90" s="0" t="n">
        <f aca="false">W_PH(K$2,$A90)</f>
        <v>2015</v>
      </c>
      <c r="L90" s="0" t="n">
        <f aca="false">W_PH(L$2,$A90)</f>
        <v>2015</v>
      </c>
      <c r="M90" s="0" t="n">
        <f aca="false">W_PH(M$2,$A90)</f>
        <v>2015</v>
      </c>
      <c r="N90" s="0" t="n">
        <f aca="false">W_PH(N$2,$A90)</f>
        <v>2015</v>
      </c>
      <c r="O90" s="0" t="n">
        <f aca="false">W_PH(O$2,$A90)</f>
        <v>2015</v>
      </c>
      <c r="P90" s="0" t="n">
        <f aca="false">W_PH(P$2,$A90)</f>
        <v>2015</v>
      </c>
      <c r="Q90" s="0" t="n">
        <f aca="false">W_PH(Q$2,$A90)</f>
        <v>2015</v>
      </c>
      <c r="R90" s="0" t="n">
        <f aca="false">W_PH(R$2,$A90)</f>
        <v>2015</v>
      </c>
      <c r="S90" s="0" t="n">
        <f aca="false">W_PH(S$2,$A90)</f>
        <v>2015</v>
      </c>
      <c r="T90" s="0" t="n">
        <f aca="false">W_PH(T$2,$A90)</f>
        <v>2015</v>
      </c>
      <c r="U90" s="0" t="n">
        <f aca="false">W_PH(U$2,$A90)</f>
        <v>2015</v>
      </c>
      <c r="V90" s="0" t="n">
        <f aca="false">W_PH(V$2,$A90)</f>
        <v>2015</v>
      </c>
      <c r="W90" s="0" t="n">
        <f aca="false">W_PH(W$2,$A90)</f>
        <v>2015</v>
      </c>
      <c r="X90" s="0" t="n">
        <f aca="false">W_PH(X$2,$A90)</f>
        <v>2015</v>
      </c>
      <c r="Y90" s="0" t="n">
        <f aca="false">W_PH(Y$2,$A90)</f>
        <v>2015</v>
      </c>
      <c r="Z90" s="0" t="n">
        <f aca="false">W_PH(Z$2,$A90)</f>
        <v>2015</v>
      </c>
      <c r="AA90" s="0" t="n">
        <f aca="false">W_PH(AA$2,$A90)</f>
        <v>2015</v>
      </c>
      <c r="AB90" s="0" t="n">
        <f aca="false">W_PH(AB$2,$A90)</f>
        <v>2015</v>
      </c>
      <c r="AC90" s="0" t="n">
        <f aca="false">W_PH(AC$2,$A90)</f>
        <v>2015</v>
      </c>
      <c r="AD90" s="0" t="n">
        <f aca="false">W_PH(AD$2,$A90)</f>
        <v>2015</v>
      </c>
      <c r="AE90" s="0" t="n">
        <f aca="false">W_PH(AE$2,$A90)</f>
        <v>2015</v>
      </c>
      <c r="AF90" s="0" t="n">
        <f aca="false">W_PH(AF$2,$A90)</f>
        <v>2015</v>
      </c>
      <c r="AG90" s="0" t="n">
        <f aca="false">W_PH(AG$2,$A90)</f>
        <v>2015</v>
      </c>
      <c r="AH90" s="0" t="n">
        <f aca="false">W_PH(AH$2,$A90)</f>
        <v>2015</v>
      </c>
      <c r="AI90" s="0" t="n">
        <f aca="false">W_PH(AI$2,$A90)</f>
        <v>2015</v>
      </c>
      <c r="AJ90" s="0" t="n">
        <f aca="false">W_PH(AJ$2,$A90)</f>
        <v>2015</v>
      </c>
      <c r="AK90" s="0" t="n">
        <f aca="false">W_PH(AK$2,$A90)</f>
        <v>2015</v>
      </c>
      <c r="AL90" s="0" t="n">
        <f aca="false">W_PH(AL$2,$A90)</f>
        <v>2015</v>
      </c>
      <c r="AM90" s="0" t="n">
        <f aca="false">W_PH(AM$2,$A90)</f>
        <v>2015</v>
      </c>
      <c r="AN90" s="0" t="n">
        <f aca="false">W_PH(AN$2,$A90)</f>
        <v>2015</v>
      </c>
      <c r="AO90" s="0" t="n">
        <f aca="false">W_PH(AO$2,$A90)</f>
        <v>2015</v>
      </c>
      <c r="AP90" s="0" t="n">
        <f aca="false">W_PH(AP$2,$A90)</f>
        <v>2015</v>
      </c>
      <c r="AQ90" s="0" t="n">
        <f aca="false">W_PH(AQ$2,$A90)</f>
        <v>1354.27899610888</v>
      </c>
      <c r="AR90" s="0" t="n">
        <f aca="false">W_PH(AR$2,$A90)</f>
        <v>1375.71253279107</v>
      </c>
      <c r="AS90" s="0" t="n">
        <f aca="false">W_PH(AS$2,$A90)</f>
        <v>1383.56889826131</v>
      </c>
    </row>
    <row r="91" customFormat="false" ht="12.8" hidden="false" customHeight="false" outlineLevel="0" collapsed="false">
      <c r="A91" s="0" t="n">
        <v>1079.10576096303</v>
      </c>
      <c r="B91" s="0" t="n">
        <f aca="false">W_PH(B$2,$A91)</f>
        <v>2015</v>
      </c>
      <c r="C91" s="0" t="n">
        <f aca="false">W_PH(C$2,$A91)</f>
        <v>1353.86834592678</v>
      </c>
      <c r="D91" s="0" t="n">
        <f aca="false">W_PH(D$2,$A91)</f>
        <v>1353.54186656781</v>
      </c>
      <c r="E91" s="0" t="n">
        <f aca="false">W_PH(E$2,$A91)</f>
        <v>2015</v>
      </c>
      <c r="F91" s="0" t="n">
        <f aca="false">W_PH(F$2,$A91)</f>
        <v>2015</v>
      </c>
      <c r="G91" s="0" t="n">
        <f aca="false">W_PH(G$2,$A91)</f>
        <v>2015</v>
      </c>
      <c r="H91" s="0" t="n">
        <f aca="false">W_PH(H$2,$A91)</f>
        <v>2015</v>
      </c>
      <c r="I91" s="0" t="n">
        <f aca="false">W_PH(I$2,$A91)</f>
        <v>2015</v>
      </c>
      <c r="J91" s="0" t="n">
        <f aca="false">W_PH(J$2,$A91)</f>
        <v>2015</v>
      </c>
      <c r="K91" s="0" t="n">
        <f aca="false">W_PH(K$2,$A91)</f>
        <v>2015</v>
      </c>
      <c r="L91" s="0" t="n">
        <f aca="false">W_PH(L$2,$A91)</f>
        <v>2015</v>
      </c>
      <c r="M91" s="0" t="n">
        <f aca="false">W_PH(M$2,$A91)</f>
        <v>2015</v>
      </c>
      <c r="N91" s="0" t="n">
        <f aca="false">W_PH(N$2,$A91)</f>
        <v>2015</v>
      </c>
      <c r="O91" s="0" t="n">
        <f aca="false">W_PH(O$2,$A91)</f>
        <v>2015</v>
      </c>
      <c r="P91" s="0" t="n">
        <f aca="false">W_PH(P$2,$A91)</f>
        <v>2015</v>
      </c>
      <c r="Q91" s="0" t="n">
        <f aca="false">W_PH(Q$2,$A91)</f>
        <v>2015</v>
      </c>
      <c r="R91" s="0" t="n">
        <f aca="false">W_PH(R$2,$A91)</f>
        <v>2015</v>
      </c>
      <c r="S91" s="0" t="n">
        <f aca="false">W_PH(S$2,$A91)</f>
        <v>2015</v>
      </c>
      <c r="T91" s="0" t="n">
        <f aca="false">W_PH(T$2,$A91)</f>
        <v>2015</v>
      </c>
      <c r="U91" s="0" t="n">
        <f aca="false">W_PH(U$2,$A91)</f>
        <v>2015</v>
      </c>
      <c r="V91" s="0" t="n">
        <f aca="false">W_PH(V$2,$A91)</f>
        <v>2015</v>
      </c>
      <c r="W91" s="0" t="n">
        <f aca="false">W_PH(W$2,$A91)</f>
        <v>2015</v>
      </c>
      <c r="X91" s="0" t="n">
        <f aca="false">W_PH(X$2,$A91)</f>
        <v>2015</v>
      </c>
      <c r="Y91" s="0" t="n">
        <f aca="false">W_PH(Y$2,$A91)</f>
        <v>2015</v>
      </c>
      <c r="Z91" s="0" t="n">
        <f aca="false">W_PH(Z$2,$A91)</f>
        <v>2015</v>
      </c>
      <c r="AA91" s="0" t="n">
        <f aca="false">W_PH(AA$2,$A91)</f>
        <v>2015</v>
      </c>
      <c r="AB91" s="0" t="n">
        <f aca="false">W_PH(AB$2,$A91)</f>
        <v>2015</v>
      </c>
      <c r="AC91" s="0" t="n">
        <f aca="false">W_PH(AC$2,$A91)</f>
        <v>2015</v>
      </c>
      <c r="AD91" s="0" t="n">
        <f aca="false">W_PH(AD$2,$A91)</f>
        <v>2015</v>
      </c>
      <c r="AE91" s="0" t="n">
        <f aca="false">W_PH(AE$2,$A91)</f>
        <v>2015</v>
      </c>
      <c r="AF91" s="0" t="n">
        <f aca="false">W_PH(AF$2,$A91)</f>
        <v>2015</v>
      </c>
      <c r="AG91" s="0" t="n">
        <f aca="false">W_PH(AG$2,$A91)</f>
        <v>2015</v>
      </c>
      <c r="AH91" s="0" t="n">
        <f aca="false">W_PH(AH$2,$A91)</f>
        <v>2015</v>
      </c>
      <c r="AI91" s="0" t="n">
        <f aca="false">W_PH(AI$2,$A91)</f>
        <v>2015</v>
      </c>
      <c r="AJ91" s="0" t="n">
        <f aca="false">W_PH(AJ$2,$A91)</f>
        <v>2015</v>
      </c>
      <c r="AK91" s="0" t="n">
        <f aca="false">W_PH(AK$2,$A91)</f>
        <v>2015</v>
      </c>
      <c r="AL91" s="0" t="n">
        <f aca="false">W_PH(AL$2,$A91)</f>
        <v>2015</v>
      </c>
      <c r="AM91" s="0" t="n">
        <f aca="false">W_PH(AM$2,$A91)</f>
        <v>2015</v>
      </c>
      <c r="AN91" s="0" t="n">
        <f aca="false">W_PH(AN$2,$A91)</f>
        <v>2015</v>
      </c>
      <c r="AO91" s="0" t="n">
        <f aca="false">W_PH(AO$2,$A91)</f>
        <v>2015</v>
      </c>
      <c r="AP91" s="0" t="n">
        <f aca="false">W_PH(AP$2,$A91)</f>
        <v>2015</v>
      </c>
      <c r="AQ91" s="0" t="n">
        <f aca="false">W_PH(AQ$2,$A91)</f>
        <v>1364.65207019057</v>
      </c>
      <c r="AR91" s="0" t="n">
        <f aca="false">W_PH(AR$2,$A91)</f>
        <v>1385.42065032381</v>
      </c>
      <c r="AS91" s="0" t="n">
        <f aca="false">W_PH(AS$2,$A91)</f>
        <v>1393.03243974176</v>
      </c>
    </row>
    <row r="92" customFormat="false" ht="12.8" hidden="false" customHeight="false" outlineLevel="0" collapsed="false">
      <c r="A92" s="0" t="n">
        <v>1083.40498710232</v>
      </c>
      <c r="B92" s="0" t="n">
        <f aca="false">W_PH(B$2,$A92)</f>
        <v>2015</v>
      </c>
      <c r="C92" s="0" t="n">
        <f aca="false">W_PH(C$2,$A92)</f>
        <v>1367.29475948154</v>
      </c>
      <c r="D92" s="0" t="n">
        <f aca="false">W_PH(D$2,$A92)</f>
        <v>1367.16410578256</v>
      </c>
      <c r="E92" s="0" t="n">
        <f aca="false">W_PH(E$2,$A92)</f>
        <v>1367.00610611585</v>
      </c>
      <c r="F92" s="0" t="n">
        <f aca="false">W_PH(F$2,$A92)</f>
        <v>1366.81912011398</v>
      </c>
      <c r="G92" s="0" t="n">
        <f aca="false">W_PH(G$2,$A92)</f>
        <v>2015</v>
      </c>
      <c r="H92" s="0" t="n">
        <f aca="false">W_PH(H$2,$A92)</f>
        <v>2015</v>
      </c>
      <c r="I92" s="0" t="n">
        <f aca="false">W_PH(I$2,$A92)</f>
        <v>2015</v>
      </c>
      <c r="J92" s="0" t="n">
        <f aca="false">W_PH(J$2,$A92)</f>
        <v>2015</v>
      </c>
      <c r="K92" s="0" t="n">
        <f aca="false">W_PH(K$2,$A92)</f>
        <v>2015</v>
      </c>
      <c r="L92" s="0" t="n">
        <f aca="false">W_PH(L$2,$A92)</f>
        <v>2015</v>
      </c>
      <c r="M92" s="0" t="n">
        <f aca="false">W_PH(M$2,$A92)</f>
        <v>2015</v>
      </c>
      <c r="N92" s="0" t="n">
        <f aca="false">W_PH(N$2,$A92)</f>
        <v>2015</v>
      </c>
      <c r="O92" s="0" t="n">
        <f aca="false">W_PH(O$2,$A92)</f>
        <v>2015</v>
      </c>
      <c r="P92" s="0" t="n">
        <f aca="false">W_PH(P$2,$A92)</f>
        <v>2015</v>
      </c>
      <c r="Q92" s="0" t="n">
        <f aca="false">W_PH(Q$2,$A92)</f>
        <v>2015</v>
      </c>
      <c r="R92" s="0" t="n">
        <f aca="false">W_PH(R$2,$A92)</f>
        <v>2015</v>
      </c>
      <c r="S92" s="0" t="n">
        <f aca="false">W_PH(S$2,$A92)</f>
        <v>2015</v>
      </c>
      <c r="T92" s="0" t="n">
        <f aca="false">W_PH(T$2,$A92)</f>
        <v>2015</v>
      </c>
      <c r="U92" s="0" t="n">
        <f aca="false">W_PH(U$2,$A92)</f>
        <v>2015</v>
      </c>
      <c r="V92" s="0" t="n">
        <f aca="false">W_PH(V$2,$A92)</f>
        <v>2015</v>
      </c>
      <c r="W92" s="0" t="n">
        <f aca="false">W_PH(W$2,$A92)</f>
        <v>2015</v>
      </c>
      <c r="X92" s="0" t="n">
        <f aca="false">W_PH(X$2,$A92)</f>
        <v>2015</v>
      </c>
      <c r="Y92" s="0" t="n">
        <f aca="false">W_PH(Y$2,$A92)</f>
        <v>2015</v>
      </c>
      <c r="Z92" s="0" t="n">
        <f aca="false">W_PH(Z$2,$A92)</f>
        <v>2015</v>
      </c>
      <c r="AA92" s="0" t="n">
        <f aca="false">W_PH(AA$2,$A92)</f>
        <v>2015</v>
      </c>
      <c r="AB92" s="0" t="n">
        <f aca="false">W_PH(AB$2,$A92)</f>
        <v>2015</v>
      </c>
      <c r="AC92" s="0" t="n">
        <f aca="false">W_PH(AC$2,$A92)</f>
        <v>2015</v>
      </c>
      <c r="AD92" s="0" t="n">
        <f aca="false">W_PH(AD$2,$A92)</f>
        <v>2015</v>
      </c>
      <c r="AE92" s="0" t="n">
        <f aca="false">W_PH(AE$2,$A92)</f>
        <v>2015</v>
      </c>
      <c r="AF92" s="0" t="n">
        <f aca="false">W_PH(AF$2,$A92)</f>
        <v>2015</v>
      </c>
      <c r="AG92" s="0" t="n">
        <f aca="false">W_PH(AG$2,$A92)</f>
        <v>2015</v>
      </c>
      <c r="AH92" s="0" t="n">
        <f aca="false">W_PH(AH$2,$A92)</f>
        <v>2015</v>
      </c>
      <c r="AI92" s="0" t="n">
        <f aca="false">W_PH(AI$2,$A92)</f>
        <v>2015</v>
      </c>
      <c r="AJ92" s="0" t="n">
        <f aca="false">W_PH(AJ$2,$A92)</f>
        <v>2015</v>
      </c>
      <c r="AK92" s="0" t="n">
        <f aca="false">W_PH(AK$2,$A92)</f>
        <v>2015</v>
      </c>
      <c r="AL92" s="0" t="n">
        <f aca="false">W_PH(AL$2,$A92)</f>
        <v>2015</v>
      </c>
      <c r="AM92" s="0" t="n">
        <f aca="false">W_PH(AM$2,$A92)</f>
        <v>2015</v>
      </c>
      <c r="AN92" s="0" t="n">
        <f aca="false">W_PH(AN$2,$A92)</f>
        <v>2015</v>
      </c>
      <c r="AO92" s="0" t="n">
        <f aca="false">W_PH(AO$2,$A92)</f>
        <v>2015</v>
      </c>
      <c r="AP92" s="0" t="n">
        <f aca="false">W_PH(AP$2,$A92)</f>
        <v>2015</v>
      </c>
      <c r="AQ92" s="0" t="n">
        <f aca="false">W_PH(AQ$2,$A92)</f>
        <v>1374.98539846217</v>
      </c>
      <c r="AR92" s="0" t="n">
        <f aca="false">W_PH(AR$2,$A92)</f>
        <v>1395.10270489495</v>
      </c>
      <c r="AS92" s="0" t="n">
        <f aca="false">W_PH(AS$2,$A92)</f>
        <v>1402.47787148768</v>
      </c>
    </row>
    <row r="93" customFormat="false" ht="12.8" hidden="false" customHeight="false" outlineLevel="0" collapsed="false">
      <c r="A93" s="0" t="n">
        <v>1087.70421324162</v>
      </c>
      <c r="B93" s="0" t="n">
        <f aca="false">W_PH(B$2,$A93)</f>
        <v>2015</v>
      </c>
      <c r="C93" s="0" t="n">
        <f aca="false">W_PH(C$2,$A93)</f>
        <v>1380.25942619291</v>
      </c>
      <c r="D93" s="0" t="n">
        <f aca="false">W_PH(D$2,$A93)</f>
        <v>1380.20836488811</v>
      </c>
      <c r="E93" s="0" t="n">
        <f aca="false">W_PH(E$2,$A93)</f>
        <v>1380.14564397207</v>
      </c>
      <c r="F93" s="0" t="n">
        <f aca="false">W_PH(F$2,$A93)</f>
        <v>1380.07046892417</v>
      </c>
      <c r="G93" s="0" t="n">
        <f aca="false">W_PH(G$2,$A93)</f>
        <v>2015</v>
      </c>
      <c r="H93" s="0" t="n">
        <f aca="false">W_PH(H$2,$A93)</f>
        <v>2015</v>
      </c>
      <c r="I93" s="0" t="n">
        <f aca="false">W_PH(I$2,$A93)</f>
        <v>2015</v>
      </c>
      <c r="J93" s="0" t="n">
        <f aca="false">W_PH(J$2,$A93)</f>
        <v>2015</v>
      </c>
      <c r="K93" s="0" t="n">
        <f aca="false">W_PH(K$2,$A93)</f>
        <v>2015</v>
      </c>
      <c r="L93" s="0" t="n">
        <f aca="false">W_PH(L$2,$A93)</f>
        <v>2015</v>
      </c>
      <c r="M93" s="0" t="n">
        <f aca="false">W_PH(M$2,$A93)</f>
        <v>2015</v>
      </c>
      <c r="N93" s="0" t="n">
        <f aca="false">W_PH(N$2,$A93)</f>
        <v>2015</v>
      </c>
      <c r="O93" s="0" t="n">
        <f aca="false">W_PH(O$2,$A93)</f>
        <v>2015</v>
      </c>
      <c r="P93" s="0" t="n">
        <f aca="false">W_PH(P$2,$A93)</f>
        <v>2015</v>
      </c>
      <c r="Q93" s="0" t="n">
        <f aca="false">W_PH(Q$2,$A93)</f>
        <v>2015</v>
      </c>
      <c r="R93" s="0" t="n">
        <f aca="false">W_PH(R$2,$A93)</f>
        <v>2015</v>
      </c>
      <c r="S93" s="0" t="n">
        <f aca="false">W_PH(S$2,$A93)</f>
        <v>2015</v>
      </c>
      <c r="T93" s="0" t="n">
        <f aca="false">W_PH(T$2,$A93)</f>
        <v>2015</v>
      </c>
      <c r="U93" s="0" t="n">
        <f aca="false">W_PH(U$2,$A93)</f>
        <v>2015</v>
      </c>
      <c r="V93" s="0" t="n">
        <f aca="false">W_PH(V$2,$A93)</f>
        <v>2015</v>
      </c>
      <c r="W93" s="0" t="n">
        <f aca="false">W_PH(W$2,$A93)</f>
        <v>2015</v>
      </c>
      <c r="X93" s="0" t="n">
        <f aca="false">W_PH(X$2,$A93)</f>
        <v>2015</v>
      </c>
      <c r="Y93" s="0" t="n">
        <f aca="false">W_PH(Y$2,$A93)</f>
        <v>2015</v>
      </c>
      <c r="Z93" s="0" t="n">
        <f aca="false">W_PH(Z$2,$A93)</f>
        <v>2015</v>
      </c>
      <c r="AA93" s="0" t="n">
        <f aca="false">W_PH(AA$2,$A93)</f>
        <v>2015</v>
      </c>
      <c r="AB93" s="0" t="n">
        <f aca="false">W_PH(AB$2,$A93)</f>
        <v>2015</v>
      </c>
      <c r="AC93" s="0" t="n">
        <f aca="false">W_PH(AC$2,$A93)</f>
        <v>2015</v>
      </c>
      <c r="AD93" s="0" t="n">
        <f aca="false">W_PH(AD$2,$A93)</f>
        <v>2015</v>
      </c>
      <c r="AE93" s="0" t="n">
        <f aca="false">W_PH(AE$2,$A93)</f>
        <v>2015</v>
      </c>
      <c r="AF93" s="0" t="n">
        <f aca="false">W_PH(AF$2,$A93)</f>
        <v>2015</v>
      </c>
      <c r="AG93" s="0" t="n">
        <f aca="false">W_PH(AG$2,$A93)</f>
        <v>2015</v>
      </c>
      <c r="AH93" s="0" t="n">
        <f aca="false">W_PH(AH$2,$A93)</f>
        <v>2015</v>
      </c>
      <c r="AI93" s="0" t="n">
        <f aca="false">W_PH(AI$2,$A93)</f>
        <v>2015</v>
      </c>
      <c r="AJ93" s="0" t="n">
        <f aca="false">W_PH(AJ$2,$A93)</f>
        <v>2015</v>
      </c>
      <c r="AK93" s="0" t="n">
        <f aca="false">W_PH(AK$2,$A93)</f>
        <v>2015</v>
      </c>
      <c r="AL93" s="0" t="n">
        <f aca="false">W_PH(AL$2,$A93)</f>
        <v>2015</v>
      </c>
      <c r="AM93" s="0" t="n">
        <f aca="false">W_PH(AM$2,$A93)</f>
        <v>2015</v>
      </c>
      <c r="AN93" s="0" t="n">
        <f aca="false">W_PH(AN$2,$A93)</f>
        <v>2015</v>
      </c>
      <c r="AO93" s="0" t="n">
        <f aca="false">W_PH(AO$2,$A93)</f>
        <v>2015</v>
      </c>
      <c r="AP93" s="0" t="n">
        <f aca="false">W_PH(AP$2,$A93)</f>
        <v>2015</v>
      </c>
      <c r="AQ93" s="0" t="n">
        <f aca="false">W_PH(AQ$2,$A93)</f>
        <v>1385.2740549218</v>
      </c>
      <c r="AR93" s="0" t="n">
        <f aca="false">W_PH(AR$2,$A93)</f>
        <v>1404.75532737816</v>
      </c>
      <c r="AS93" s="0" t="n">
        <f aca="false">W_PH(AS$2,$A93)</f>
        <v>1411.90210235717</v>
      </c>
    </row>
    <row r="94" customFormat="false" ht="12.8" hidden="false" customHeight="false" outlineLevel="0" collapsed="false">
      <c r="A94" s="0" t="n">
        <v>1092.00343938091</v>
      </c>
      <c r="B94" s="0" t="n">
        <f aca="false">W_PH(B$2,$A94)</f>
        <v>2015</v>
      </c>
      <c r="C94" s="0" t="n">
        <f aca="false">W_PH(C$2,$A94)</f>
        <v>1392.9617309603</v>
      </c>
      <c r="D94" s="0" t="n">
        <f aca="false">W_PH(D$2,$A94)</f>
        <v>1392.9423122966</v>
      </c>
      <c r="E94" s="0" t="n">
        <f aca="false">W_PH(E$2,$A94)</f>
        <v>1392.9179448433</v>
      </c>
      <c r="F94" s="0" t="n">
        <f aca="false">W_PH(F$2,$A94)</f>
        <v>1392.88826529743</v>
      </c>
      <c r="G94" s="0" t="n">
        <f aca="false">W_PH(G$2,$A94)</f>
        <v>1392.22680823937</v>
      </c>
      <c r="H94" s="0" t="n">
        <f aca="false">W_PH(H$2,$A94)</f>
        <v>2015</v>
      </c>
      <c r="I94" s="0" t="n">
        <f aca="false">W_PH(I$2,$A94)</f>
        <v>2015</v>
      </c>
      <c r="J94" s="0" t="n">
        <f aca="false">W_PH(J$2,$A94)</f>
        <v>2015</v>
      </c>
      <c r="K94" s="0" t="n">
        <f aca="false">W_PH(K$2,$A94)</f>
        <v>2015</v>
      </c>
      <c r="L94" s="0" t="n">
        <f aca="false">W_PH(L$2,$A94)</f>
        <v>2015</v>
      </c>
      <c r="M94" s="0" t="n">
        <f aca="false">W_PH(M$2,$A94)</f>
        <v>2015</v>
      </c>
      <c r="N94" s="0" t="n">
        <f aca="false">W_PH(N$2,$A94)</f>
        <v>2015</v>
      </c>
      <c r="O94" s="0" t="n">
        <f aca="false">W_PH(O$2,$A94)</f>
        <v>2015</v>
      </c>
      <c r="P94" s="0" t="n">
        <f aca="false">W_PH(P$2,$A94)</f>
        <v>2015</v>
      </c>
      <c r="Q94" s="0" t="n">
        <f aca="false">W_PH(Q$2,$A94)</f>
        <v>2015</v>
      </c>
      <c r="R94" s="0" t="n">
        <f aca="false">W_PH(R$2,$A94)</f>
        <v>2015</v>
      </c>
      <c r="S94" s="0" t="n">
        <f aca="false">W_PH(S$2,$A94)</f>
        <v>2015</v>
      </c>
      <c r="T94" s="0" t="n">
        <f aca="false">W_PH(T$2,$A94)</f>
        <v>2015</v>
      </c>
      <c r="U94" s="0" t="n">
        <f aca="false">W_PH(U$2,$A94)</f>
        <v>2015</v>
      </c>
      <c r="V94" s="0" t="n">
        <f aca="false">W_PH(V$2,$A94)</f>
        <v>2015</v>
      </c>
      <c r="W94" s="0" t="n">
        <f aca="false">W_PH(W$2,$A94)</f>
        <v>2015</v>
      </c>
      <c r="X94" s="0" t="n">
        <f aca="false">W_PH(X$2,$A94)</f>
        <v>2015</v>
      </c>
      <c r="Y94" s="0" t="n">
        <f aca="false">W_PH(Y$2,$A94)</f>
        <v>2015</v>
      </c>
      <c r="Z94" s="0" t="n">
        <f aca="false">W_PH(Z$2,$A94)</f>
        <v>2015</v>
      </c>
      <c r="AA94" s="0" t="n">
        <f aca="false">W_PH(AA$2,$A94)</f>
        <v>2015</v>
      </c>
      <c r="AB94" s="0" t="n">
        <f aca="false">W_PH(AB$2,$A94)</f>
        <v>2015</v>
      </c>
      <c r="AC94" s="0" t="n">
        <f aca="false">W_PH(AC$2,$A94)</f>
        <v>2015</v>
      </c>
      <c r="AD94" s="0" t="n">
        <f aca="false">W_PH(AD$2,$A94)</f>
        <v>2015</v>
      </c>
      <c r="AE94" s="0" t="n">
        <f aca="false">W_PH(AE$2,$A94)</f>
        <v>2015</v>
      </c>
      <c r="AF94" s="0" t="n">
        <f aca="false">W_PH(AF$2,$A94)</f>
        <v>2015</v>
      </c>
      <c r="AG94" s="0" t="n">
        <f aca="false">W_PH(AG$2,$A94)</f>
        <v>2015</v>
      </c>
      <c r="AH94" s="0" t="n">
        <f aca="false">W_PH(AH$2,$A94)</f>
        <v>2015</v>
      </c>
      <c r="AI94" s="0" t="n">
        <f aca="false">W_PH(AI$2,$A94)</f>
        <v>2015</v>
      </c>
      <c r="AJ94" s="0" t="n">
        <f aca="false">W_PH(AJ$2,$A94)</f>
        <v>2015</v>
      </c>
      <c r="AK94" s="0" t="n">
        <f aca="false">W_PH(AK$2,$A94)</f>
        <v>2015</v>
      </c>
      <c r="AL94" s="0" t="n">
        <f aca="false">W_PH(AL$2,$A94)</f>
        <v>2015</v>
      </c>
      <c r="AM94" s="0" t="n">
        <f aca="false">W_PH(AM$2,$A94)</f>
        <v>2015</v>
      </c>
      <c r="AN94" s="0" t="n">
        <f aca="false">W_PH(AN$2,$A94)</f>
        <v>2015</v>
      </c>
      <c r="AO94" s="0" t="n">
        <f aca="false">W_PH(AO$2,$A94)</f>
        <v>2015</v>
      </c>
      <c r="AP94" s="0" t="n">
        <f aca="false">W_PH(AP$2,$A94)</f>
        <v>2015</v>
      </c>
      <c r="AQ94" s="0" t="n">
        <f aca="false">W_PH(AQ$2,$A94)</f>
        <v>1395.51358663328</v>
      </c>
      <c r="AR94" s="0" t="n">
        <f aca="false">W_PH(AR$2,$A94)</f>
        <v>1414.37574073229</v>
      </c>
      <c r="AS94" s="0" t="n">
        <f aca="false">W_PH(AS$2,$A94)</f>
        <v>1421.30265040412</v>
      </c>
    </row>
    <row r="95" customFormat="false" ht="12.8" hidden="false" customHeight="false" outlineLevel="0" collapsed="false">
      <c r="A95" s="0" t="n">
        <v>1096.30266552021</v>
      </c>
      <c r="B95" s="0" t="n">
        <f aca="false">W_PH(B$2,$A95)</f>
        <v>2015</v>
      </c>
      <c r="C95" s="0" t="n">
        <f aca="false">W_PH(C$2,$A95)</f>
        <v>1405.48245171696</v>
      </c>
      <c r="D95" s="0" t="n">
        <f aca="false">W_PH(D$2,$A95)</f>
        <v>1405.47517959832</v>
      </c>
      <c r="E95" s="0" t="n">
        <f aca="false">W_PH(E$2,$A95)</f>
        <v>1405.46581006897</v>
      </c>
      <c r="F95" s="0" t="n">
        <f aca="false">W_PH(F$2,$A95)</f>
        <v>1405.45418012309</v>
      </c>
      <c r="G95" s="0" t="n">
        <f aca="false">W_PH(G$2,$A95)</f>
        <v>1405.1801211155</v>
      </c>
      <c r="H95" s="0" t="n">
        <f aca="false">W_PH(H$2,$A95)</f>
        <v>1404.52664117763</v>
      </c>
      <c r="I95" s="0" t="n">
        <f aca="false">W_PH(I$2,$A95)</f>
        <v>2015</v>
      </c>
      <c r="J95" s="0" t="n">
        <f aca="false">W_PH(J$2,$A95)</f>
        <v>2015</v>
      </c>
      <c r="K95" s="0" t="n">
        <f aca="false">W_PH(K$2,$A95)</f>
        <v>2015</v>
      </c>
      <c r="L95" s="0" t="n">
        <f aca="false">W_PH(L$2,$A95)</f>
        <v>2015</v>
      </c>
      <c r="M95" s="0" t="n">
        <f aca="false">W_PH(M$2,$A95)</f>
        <v>2015</v>
      </c>
      <c r="N95" s="0" t="n">
        <f aca="false">W_PH(N$2,$A95)</f>
        <v>2015</v>
      </c>
      <c r="O95" s="0" t="n">
        <f aca="false">W_PH(O$2,$A95)</f>
        <v>2015</v>
      </c>
      <c r="P95" s="0" t="n">
        <f aca="false">W_PH(P$2,$A95)</f>
        <v>2015</v>
      </c>
      <c r="Q95" s="0" t="n">
        <f aca="false">W_PH(Q$2,$A95)</f>
        <v>2015</v>
      </c>
      <c r="R95" s="0" t="n">
        <f aca="false">W_PH(R$2,$A95)</f>
        <v>2015</v>
      </c>
      <c r="S95" s="0" t="n">
        <f aca="false">W_PH(S$2,$A95)</f>
        <v>2015</v>
      </c>
      <c r="T95" s="0" t="n">
        <f aca="false">W_PH(T$2,$A95)</f>
        <v>2015</v>
      </c>
      <c r="U95" s="0" t="n">
        <f aca="false">W_PH(U$2,$A95)</f>
        <v>2015</v>
      </c>
      <c r="V95" s="0" t="n">
        <f aca="false">W_PH(V$2,$A95)</f>
        <v>2015</v>
      </c>
      <c r="W95" s="0" t="n">
        <f aca="false">W_PH(W$2,$A95)</f>
        <v>2015</v>
      </c>
      <c r="X95" s="0" t="n">
        <f aca="false">W_PH(X$2,$A95)</f>
        <v>2015</v>
      </c>
      <c r="Y95" s="0" t="n">
        <f aca="false">W_PH(Y$2,$A95)</f>
        <v>2015</v>
      </c>
      <c r="Z95" s="0" t="n">
        <f aca="false">W_PH(Z$2,$A95)</f>
        <v>2015</v>
      </c>
      <c r="AA95" s="0" t="n">
        <f aca="false">W_PH(AA$2,$A95)</f>
        <v>2015</v>
      </c>
      <c r="AB95" s="0" t="n">
        <f aca="false">W_PH(AB$2,$A95)</f>
        <v>2015</v>
      </c>
      <c r="AC95" s="0" t="n">
        <f aca="false">W_PH(AC$2,$A95)</f>
        <v>2015</v>
      </c>
      <c r="AD95" s="0" t="n">
        <f aca="false">W_PH(AD$2,$A95)</f>
        <v>2015</v>
      </c>
      <c r="AE95" s="0" t="n">
        <f aca="false">W_PH(AE$2,$A95)</f>
        <v>2015</v>
      </c>
      <c r="AF95" s="0" t="n">
        <f aca="false">W_PH(AF$2,$A95)</f>
        <v>2015</v>
      </c>
      <c r="AG95" s="0" t="n">
        <f aca="false">W_PH(AG$2,$A95)</f>
        <v>2015</v>
      </c>
      <c r="AH95" s="0" t="n">
        <f aca="false">W_PH(AH$2,$A95)</f>
        <v>2015</v>
      </c>
      <c r="AI95" s="0" t="n">
        <f aca="false">W_PH(AI$2,$A95)</f>
        <v>2015</v>
      </c>
      <c r="AJ95" s="0" t="n">
        <f aca="false">W_PH(AJ$2,$A95)</f>
        <v>2015</v>
      </c>
      <c r="AK95" s="0" t="n">
        <f aca="false">W_PH(AK$2,$A95)</f>
        <v>2015</v>
      </c>
      <c r="AL95" s="0" t="n">
        <f aca="false">W_PH(AL$2,$A95)</f>
        <v>2015</v>
      </c>
      <c r="AM95" s="0" t="n">
        <f aca="false">W_PH(AM$2,$A95)</f>
        <v>2015</v>
      </c>
      <c r="AN95" s="0" t="n">
        <f aca="false">W_PH(AN$2,$A95)</f>
        <v>2015</v>
      </c>
      <c r="AO95" s="0" t="n">
        <f aca="false">W_PH(AO$2,$A95)</f>
        <v>2015</v>
      </c>
      <c r="AP95" s="0" t="n">
        <f aca="false">W_PH(AP$2,$A95)</f>
        <v>2015</v>
      </c>
      <c r="AQ95" s="0" t="n">
        <f aca="false">W_PH(AQ$2,$A95)</f>
        <v>1405.70018143437</v>
      </c>
      <c r="AR95" s="0" t="n">
        <f aca="false">W_PH(AR$2,$A95)</f>
        <v>1423.96187023733</v>
      </c>
      <c r="AS95" s="0" t="n">
        <f aca="false">W_PH(AS$2,$A95)</f>
        <v>1430.67773923882</v>
      </c>
    </row>
    <row r="96" customFormat="false" ht="12.8" hidden="false" customHeight="false" outlineLevel="0" collapsed="false">
      <c r="A96" s="0" t="n">
        <v>1100.6018916595</v>
      </c>
      <c r="B96" s="0" t="n">
        <f aca="false">W_PH(B$2,$A96)</f>
        <v>2015</v>
      </c>
      <c r="C96" s="0" t="n">
        <f aca="false">W_PH(C$2,$A96)</f>
        <v>1417.85452946044</v>
      </c>
      <c r="D96" s="0" t="n">
        <f aca="false">W_PH(D$2,$A96)</f>
        <v>1417.85159308199</v>
      </c>
      <c r="E96" s="0" t="n">
        <f aca="false">W_PH(E$2,$A96)</f>
        <v>1417.84777020972</v>
      </c>
      <c r="F96" s="0" t="n">
        <f aca="false">W_PH(F$2,$A96)</f>
        <v>1417.84298803589</v>
      </c>
      <c r="G96" s="0" t="n">
        <f aca="false">W_PH(G$2,$A96)</f>
        <v>1417.72724223619</v>
      </c>
      <c r="H96" s="0" t="n">
        <f aca="false">W_PH(H$2,$A96)</f>
        <v>1417.44444556429</v>
      </c>
      <c r="I96" s="0" t="n">
        <f aca="false">W_PH(I$2,$A96)</f>
        <v>1416.94213682207</v>
      </c>
      <c r="J96" s="0" t="n">
        <f aca="false">W_PH(J$2,$A96)</f>
        <v>2015</v>
      </c>
      <c r="K96" s="0" t="n">
        <f aca="false">W_PH(K$2,$A96)</f>
        <v>2015</v>
      </c>
      <c r="L96" s="0" t="n">
        <f aca="false">W_PH(L$2,$A96)</f>
        <v>2015</v>
      </c>
      <c r="M96" s="0" t="n">
        <f aca="false">W_PH(M$2,$A96)</f>
        <v>2015</v>
      </c>
      <c r="N96" s="0" t="n">
        <f aca="false">W_PH(N$2,$A96)</f>
        <v>2015</v>
      </c>
      <c r="O96" s="0" t="n">
        <f aca="false">W_PH(O$2,$A96)</f>
        <v>2015</v>
      </c>
      <c r="P96" s="0" t="n">
        <f aca="false">W_PH(P$2,$A96)</f>
        <v>2015</v>
      </c>
      <c r="Q96" s="0" t="n">
        <f aca="false">W_PH(Q$2,$A96)</f>
        <v>2015</v>
      </c>
      <c r="R96" s="0" t="n">
        <f aca="false">W_PH(R$2,$A96)</f>
        <v>2015</v>
      </c>
      <c r="S96" s="0" t="n">
        <f aca="false">W_PH(S$2,$A96)</f>
        <v>2015</v>
      </c>
      <c r="T96" s="0" t="n">
        <f aca="false">W_PH(T$2,$A96)</f>
        <v>2015</v>
      </c>
      <c r="U96" s="0" t="n">
        <f aca="false">W_PH(U$2,$A96)</f>
        <v>2015</v>
      </c>
      <c r="V96" s="0" t="n">
        <f aca="false">W_PH(V$2,$A96)</f>
        <v>2015</v>
      </c>
      <c r="W96" s="0" t="n">
        <f aca="false">W_PH(W$2,$A96)</f>
        <v>2015</v>
      </c>
      <c r="X96" s="0" t="n">
        <f aca="false">W_PH(X$2,$A96)</f>
        <v>2015</v>
      </c>
      <c r="Y96" s="0" t="n">
        <f aca="false">W_PH(Y$2,$A96)</f>
        <v>2015</v>
      </c>
      <c r="Z96" s="0" t="n">
        <f aca="false">W_PH(Z$2,$A96)</f>
        <v>2015</v>
      </c>
      <c r="AA96" s="0" t="n">
        <f aca="false">W_PH(AA$2,$A96)</f>
        <v>2015</v>
      </c>
      <c r="AB96" s="0" t="n">
        <f aca="false">W_PH(AB$2,$A96)</f>
        <v>2015</v>
      </c>
      <c r="AC96" s="0" t="n">
        <f aca="false">W_PH(AC$2,$A96)</f>
        <v>2015</v>
      </c>
      <c r="AD96" s="0" t="n">
        <f aca="false">W_PH(AD$2,$A96)</f>
        <v>2015</v>
      </c>
      <c r="AE96" s="0" t="n">
        <f aca="false">W_PH(AE$2,$A96)</f>
        <v>2015</v>
      </c>
      <c r="AF96" s="0" t="n">
        <f aca="false">W_PH(AF$2,$A96)</f>
        <v>2015</v>
      </c>
      <c r="AG96" s="0" t="n">
        <f aca="false">W_PH(AG$2,$A96)</f>
        <v>2015</v>
      </c>
      <c r="AH96" s="0" t="n">
        <f aca="false">W_PH(AH$2,$A96)</f>
        <v>2015</v>
      </c>
      <c r="AI96" s="0" t="n">
        <f aca="false">W_PH(AI$2,$A96)</f>
        <v>2015</v>
      </c>
      <c r="AJ96" s="0" t="n">
        <f aca="false">W_PH(AJ$2,$A96)</f>
        <v>2015</v>
      </c>
      <c r="AK96" s="0" t="n">
        <f aca="false">W_PH(AK$2,$A96)</f>
        <v>2015</v>
      </c>
      <c r="AL96" s="0" t="n">
        <f aca="false">W_PH(AL$2,$A96)</f>
        <v>2015</v>
      </c>
      <c r="AM96" s="0" t="n">
        <f aca="false">W_PH(AM$2,$A96)</f>
        <v>2015</v>
      </c>
      <c r="AN96" s="0" t="n">
        <f aca="false">W_PH(AN$2,$A96)</f>
        <v>2015</v>
      </c>
      <c r="AO96" s="0" t="n">
        <f aca="false">W_PH(AO$2,$A96)</f>
        <v>2015</v>
      </c>
      <c r="AP96" s="0" t="n">
        <f aca="false">W_PH(AP$2,$A96)</f>
        <v>2015</v>
      </c>
      <c r="AQ96" s="0" t="n">
        <f aca="false">W_PH(AQ$2,$A96)</f>
        <v>1415.83086294509</v>
      </c>
      <c r="AR96" s="0" t="n">
        <f aca="false">W_PH(AR$2,$A96)</f>
        <v>1433.51247181296</v>
      </c>
      <c r="AS96" s="0" t="n">
        <f aca="false">W_PH(AS$2,$A96)</f>
        <v>1440.02641057172</v>
      </c>
    </row>
    <row r="97" customFormat="false" ht="12.8" hidden="false" customHeight="false" outlineLevel="0" collapsed="false">
      <c r="A97" s="0" t="n">
        <v>1104.9011177988</v>
      </c>
      <c r="B97" s="0" t="n">
        <f aca="false">W_PH(B$2,$A97)</f>
        <v>2015</v>
      </c>
      <c r="C97" s="0" t="n">
        <f aca="false">W_PH(C$2,$A97)</f>
        <v>1430.09178849206</v>
      </c>
      <c r="D97" s="0" t="n">
        <f aca="false">W_PH(D$2,$A97)</f>
        <v>1430.09014368535</v>
      </c>
      <c r="E97" s="0" t="n">
        <f aca="false">W_PH(E$2,$A97)</f>
        <v>1430.08812699995</v>
      </c>
      <c r="F97" s="0" t="n">
        <f aca="false">W_PH(F$2,$A97)</f>
        <v>1430.08570586856</v>
      </c>
      <c r="G97" s="0" t="n">
        <f aca="false">W_PH(G$2,$A97)</f>
        <v>1430.03240324818</v>
      </c>
      <c r="H97" s="0" t="n">
        <f aca="false">W_PH(H$2,$A97)</f>
        <v>1429.90612799453</v>
      </c>
      <c r="I97" s="0" t="n">
        <f aca="false">W_PH(I$2,$A97)</f>
        <v>1429.68163267038</v>
      </c>
      <c r="J97" s="0" t="n">
        <f aca="false">W_PH(J$2,$A97)</f>
        <v>1429.3381349573</v>
      </c>
      <c r="K97" s="0" t="n">
        <f aca="false">W_PH(K$2,$A97)</f>
        <v>1428.85935523985</v>
      </c>
      <c r="L97" s="0" t="n">
        <f aca="false">W_PH(L$2,$A97)</f>
        <v>2015</v>
      </c>
      <c r="M97" s="0" t="n">
        <f aca="false">W_PH(M$2,$A97)</f>
        <v>2015</v>
      </c>
      <c r="N97" s="0" t="n">
        <f aca="false">W_PH(N$2,$A97)</f>
        <v>2015</v>
      </c>
      <c r="O97" s="0" t="n">
        <f aca="false">W_PH(O$2,$A97)</f>
        <v>2015</v>
      </c>
      <c r="P97" s="0" t="n">
        <f aca="false">W_PH(P$2,$A97)</f>
        <v>2015</v>
      </c>
      <c r="Q97" s="0" t="n">
        <f aca="false">W_PH(Q$2,$A97)</f>
        <v>2015</v>
      </c>
      <c r="R97" s="0" t="n">
        <f aca="false">W_PH(R$2,$A97)</f>
        <v>2015</v>
      </c>
      <c r="S97" s="0" t="n">
        <f aca="false">W_PH(S$2,$A97)</f>
        <v>2015</v>
      </c>
      <c r="T97" s="0" t="n">
        <f aca="false">W_PH(T$2,$A97)</f>
        <v>2015</v>
      </c>
      <c r="U97" s="0" t="n">
        <f aca="false">W_PH(U$2,$A97)</f>
        <v>2015</v>
      </c>
      <c r="V97" s="0" t="n">
        <f aca="false">W_PH(V$2,$A97)</f>
        <v>2015</v>
      </c>
      <c r="W97" s="0" t="n">
        <f aca="false">W_PH(W$2,$A97)</f>
        <v>2015</v>
      </c>
      <c r="X97" s="0" t="n">
        <f aca="false">W_PH(X$2,$A97)</f>
        <v>2015</v>
      </c>
      <c r="Y97" s="0" t="n">
        <f aca="false">W_PH(Y$2,$A97)</f>
        <v>2015</v>
      </c>
      <c r="Z97" s="0" t="n">
        <f aca="false">W_PH(Z$2,$A97)</f>
        <v>2015</v>
      </c>
      <c r="AA97" s="0" t="n">
        <f aca="false">W_PH(AA$2,$A97)</f>
        <v>2015</v>
      </c>
      <c r="AB97" s="0" t="n">
        <f aca="false">W_PH(AB$2,$A97)</f>
        <v>2015</v>
      </c>
      <c r="AC97" s="0" t="n">
        <f aca="false">W_PH(AC$2,$A97)</f>
        <v>2015</v>
      </c>
      <c r="AD97" s="0" t="n">
        <f aca="false">W_PH(AD$2,$A97)</f>
        <v>2015</v>
      </c>
      <c r="AE97" s="0" t="n">
        <f aca="false">W_PH(AE$2,$A97)</f>
        <v>2015</v>
      </c>
      <c r="AF97" s="0" t="n">
        <f aca="false">W_PH(AF$2,$A97)</f>
        <v>2015</v>
      </c>
      <c r="AG97" s="0" t="n">
        <f aca="false">W_PH(AG$2,$A97)</f>
        <v>2015</v>
      </c>
      <c r="AH97" s="0" t="n">
        <f aca="false">W_PH(AH$2,$A97)</f>
        <v>2015</v>
      </c>
      <c r="AI97" s="0" t="n">
        <f aca="false">W_PH(AI$2,$A97)</f>
        <v>2015</v>
      </c>
      <c r="AJ97" s="0" t="n">
        <f aca="false">W_PH(AJ$2,$A97)</f>
        <v>2015</v>
      </c>
      <c r="AK97" s="0" t="n">
        <f aca="false">W_PH(AK$2,$A97)</f>
        <v>2015</v>
      </c>
      <c r="AL97" s="0" t="n">
        <f aca="false">W_PH(AL$2,$A97)</f>
        <v>2015</v>
      </c>
      <c r="AM97" s="0" t="n">
        <f aca="false">W_PH(AM$2,$A97)</f>
        <v>2015</v>
      </c>
      <c r="AN97" s="0" t="n">
        <f aca="false">W_PH(AN$2,$A97)</f>
        <v>2015</v>
      </c>
      <c r="AO97" s="0" t="n">
        <f aca="false">W_PH(AO$2,$A97)</f>
        <v>2015</v>
      </c>
      <c r="AP97" s="0" t="n">
        <f aca="false">W_PH(AP$2,$A97)</f>
        <v>2015</v>
      </c>
      <c r="AQ97" s="0" t="n">
        <f aca="false">W_PH(AQ$2,$A97)</f>
        <v>1425.90371742344</v>
      </c>
      <c r="AR97" s="0" t="n">
        <f aca="false">W_PH(AR$2,$A97)</f>
        <v>1443.02728261364</v>
      </c>
      <c r="AS97" s="0" t="n">
        <f aca="false">W_PH(AS$2,$A97)</f>
        <v>1449.34865682416</v>
      </c>
    </row>
    <row r="98" customFormat="false" ht="12.8" hidden="false" customHeight="false" outlineLevel="0" collapsed="false">
      <c r="A98" s="0" t="n">
        <v>1109.20034393809</v>
      </c>
      <c r="B98" s="0" t="n">
        <f aca="false">W_PH(B$2,$A98)</f>
        <v>2015</v>
      </c>
      <c r="C98" s="0" t="n">
        <f aca="false">W_PH(C$2,$A98)</f>
        <v>1442.20049384017</v>
      </c>
      <c r="D98" s="0" t="n">
        <f aca="false">W_PH(D$2,$A98)</f>
        <v>1442.1990238121</v>
      </c>
      <c r="E98" s="0" t="n">
        <f aca="false">W_PH(E$2,$A98)</f>
        <v>1442.19740040294</v>
      </c>
      <c r="F98" s="0" t="n">
        <f aca="false">W_PH(F$2,$A98)</f>
        <v>1442.1956089854</v>
      </c>
      <c r="G98" s="0" t="n">
        <f aca="false">W_PH(G$2,$A98)</f>
        <v>1442.16535882733</v>
      </c>
      <c r="H98" s="0" t="n">
        <f aca="false">W_PH(H$2,$A98)</f>
        <v>1442.10347958704</v>
      </c>
      <c r="I98" s="0" t="n">
        <f aca="false">W_PH(I$2,$A98)</f>
        <v>1441.99811296335</v>
      </c>
      <c r="J98" s="0" t="n">
        <f aca="false">W_PH(J$2,$A98)</f>
        <v>1441.83902944096</v>
      </c>
      <c r="K98" s="0" t="n">
        <f aca="false">W_PH(K$2,$A98)</f>
        <v>1441.61759991854</v>
      </c>
      <c r="L98" s="0" t="n">
        <f aca="false">W_PH(L$2,$A98)</f>
        <v>1441.32676822774</v>
      </c>
      <c r="M98" s="0" t="n">
        <f aca="false">W_PH(M$2,$A98)</f>
        <v>1440.96101814098</v>
      </c>
      <c r="N98" s="0" t="n">
        <f aca="false">W_PH(N$2,$A98)</f>
        <v>2015</v>
      </c>
      <c r="O98" s="0" t="n">
        <f aca="false">W_PH(O$2,$A98)</f>
        <v>2015</v>
      </c>
      <c r="P98" s="0" t="n">
        <f aca="false">W_PH(P$2,$A98)</f>
        <v>2015</v>
      </c>
      <c r="Q98" s="0" t="n">
        <f aca="false">W_PH(Q$2,$A98)</f>
        <v>2015</v>
      </c>
      <c r="R98" s="0" t="n">
        <f aca="false">W_PH(R$2,$A98)</f>
        <v>2015</v>
      </c>
      <c r="S98" s="0" t="n">
        <f aca="false">W_PH(S$2,$A98)</f>
        <v>2015</v>
      </c>
      <c r="T98" s="0" t="n">
        <f aca="false">W_PH(T$2,$A98)</f>
        <v>2015</v>
      </c>
      <c r="U98" s="0" t="n">
        <f aca="false">W_PH(U$2,$A98)</f>
        <v>2015</v>
      </c>
      <c r="V98" s="0" t="n">
        <f aca="false">W_PH(V$2,$A98)</f>
        <v>2015</v>
      </c>
      <c r="W98" s="0" t="n">
        <f aca="false">W_PH(W$2,$A98)</f>
        <v>2015</v>
      </c>
      <c r="X98" s="0" t="n">
        <f aca="false">W_PH(X$2,$A98)</f>
        <v>2015</v>
      </c>
      <c r="Y98" s="0" t="n">
        <f aca="false">W_PH(Y$2,$A98)</f>
        <v>2015</v>
      </c>
      <c r="Z98" s="0" t="n">
        <f aca="false">W_PH(Z$2,$A98)</f>
        <v>2015</v>
      </c>
      <c r="AA98" s="0" t="n">
        <f aca="false">W_PH(AA$2,$A98)</f>
        <v>2015</v>
      </c>
      <c r="AB98" s="0" t="n">
        <f aca="false">W_PH(AB$2,$A98)</f>
        <v>2015</v>
      </c>
      <c r="AC98" s="0" t="n">
        <f aca="false">W_PH(AC$2,$A98)</f>
        <v>2015</v>
      </c>
      <c r="AD98" s="0" t="n">
        <f aca="false">W_PH(AD$2,$A98)</f>
        <v>2015</v>
      </c>
      <c r="AE98" s="0" t="n">
        <f aca="false">W_PH(AE$2,$A98)</f>
        <v>2015</v>
      </c>
      <c r="AF98" s="0" t="n">
        <f aca="false">W_PH(AF$2,$A98)</f>
        <v>2015</v>
      </c>
      <c r="AG98" s="0" t="n">
        <f aca="false">W_PH(AG$2,$A98)</f>
        <v>2015</v>
      </c>
      <c r="AH98" s="0" t="n">
        <f aca="false">W_PH(AH$2,$A98)</f>
        <v>2015</v>
      </c>
      <c r="AI98" s="0" t="n">
        <f aca="false">W_PH(AI$2,$A98)</f>
        <v>2015</v>
      </c>
      <c r="AJ98" s="0" t="n">
        <f aca="false">W_PH(AJ$2,$A98)</f>
        <v>2015</v>
      </c>
      <c r="AK98" s="0" t="n">
        <f aca="false">W_PH(AK$2,$A98)</f>
        <v>2015</v>
      </c>
      <c r="AL98" s="0" t="n">
        <f aca="false">W_PH(AL$2,$A98)</f>
        <v>2015</v>
      </c>
      <c r="AM98" s="0" t="n">
        <f aca="false">W_PH(AM$2,$A98)</f>
        <v>2015</v>
      </c>
      <c r="AN98" s="0" t="n">
        <f aca="false">W_PH(AN$2,$A98)</f>
        <v>2015</v>
      </c>
      <c r="AO98" s="0" t="n">
        <f aca="false">W_PH(AO$2,$A98)</f>
        <v>2015</v>
      </c>
      <c r="AP98" s="0" t="n">
        <f aca="false">W_PH(AP$2,$A98)</f>
        <v>2015</v>
      </c>
      <c r="AQ98" s="0" t="n">
        <f aca="false">W_PH(AQ$2,$A98)</f>
        <v>1435.9181583562</v>
      </c>
      <c r="AR98" s="0" t="n">
        <f aca="false">W_PH(AR$2,$A98)</f>
        <v>1452.50719912112</v>
      </c>
      <c r="AS98" s="0" t="n">
        <f aca="false">W_PH(AS$2,$A98)</f>
        <v>1458.64557859087</v>
      </c>
    </row>
    <row r="99" customFormat="false" ht="12.8" hidden="false" customHeight="false" outlineLevel="0" collapsed="false">
      <c r="A99" s="0" t="n">
        <v>1113.49957007739</v>
      </c>
      <c r="B99" s="0" t="n">
        <f aca="false">W_PH(B$2,$A99)</f>
        <v>2015</v>
      </c>
      <c r="C99" s="0" t="n">
        <f aca="false">W_PH(C$2,$A99)</f>
        <v>1454.18399089229</v>
      </c>
      <c r="D99" s="0" t="n">
        <f aca="false">W_PH(D$2,$A99)</f>
        <v>1454.18234313947</v>
      </c>
      <c r="E99" s="0" t="n">
        <f aca="false">W_PH(E$2,$A99)</f>
        <v>1454.18063430891</v>
      </c>
      <c r="F99" s="0" t="n">
        <f aca="false">W_PH(F$2,$A99)</f>
        <v>1454.1788577957</v>
      </c>
      <c r="G99" s="0" t="n">
        <f aca="false">W_PH(G$2,$A99)</f>
        <v>1454.15596537658</v>
      </c>
      <c r="H99" s="0" t="n">
        <f aca="false">W_PH(H$2,$A99)</f>
        <v>1454.11953593452</v>
      </c>
      <c r="I99" s="0" t="n">
        <f aca="false">W_PH(I$2,$A99)</f>
        <v>1454.06404829819</v>
      </c>
      <c r="J99" s="0" t="n">
        <f aca="false">W_PH(J$2,$A99)</f>
        <v>1453.98460658275</v>
      </c>
      <c r="K99" s="0" t="n">
        <f aca="false">W_PH(K$2,$A99)</f>
        <v>1453.87691892207</v>
      </c>
      <c r="L99" s="0" t="n">
        <f aca="false">W_PH(L$2,$A99)</f>
        <v>1453.73727804035</v>
      </c>
      <c r="M99" s="0" t="n">
        <f aca="false">W_PH(M$2,$A99)</f>
        <v>1453.56254244312</v>
      </c>
      <c r="N99" s="0" t="n">
        <f aca="false">W_PH(N$2,$A99)</f>
        <v>1453.35011727468</v>
      </c>
      <c r="O99" s="0" t="n">
        <f aca="false">W_PH(O$2,$A99)</f>
        <v>1453.09793412863</v>
      </c>
      <c r="P99" s="0" t="n">
        <f aca="false">W_PH(P$2,$A99)</f>
        <v>2015</v>
      </c>
      <c r="Q99" s="0" t="n">
        <f aca="false">W_PH(Q$2,$A99)</f>
        <v>2015</v>
      </c>
      <c r="R99" s="0" t="n">
        <f aca="false">W_PH(R$2,$A99)</f>
        <v>2015</v>
      </c>
      <c r="S99" s="0" t="n">
        <f aca="false">W_PH(S$2,$A99)</f>
        <v>2015</v>
      </c>
      <c r="T99" s="0" t="n">
        <f aca="false">W_PH(T$2,$A99)</f>
        <v>2015</v>
      </c>
      <c r="U99" s="0" t="n">
        <f aca="false">W_PH(U$2,$A99)</f>
        <v>2015</v>
      </c>
      <c r="V99" s="0" t="n">
        <f aca="false">W_PH(V$2,$A99)</f>
        <v>2015</v>
      </c>
      <c r="W99" s="0" t="n">
        <f aca="false">W_PH(W$2,$A99)</f>
        <v>2015</v>
      </c>
      <c r="X99" s="0" t="n">
        <f aca="false">W_PH(X$2,$A99)</f>
        <v>2015</v>
      </c>
      <c r="Y99" s="0" t="n">
        <f aca="false">W_PH(Y$2,$A99)</f>
        <v>2015</v>
      </c>
      <c r="Z99" s="0" t="n">
        <f aca="false">W_PH(Z$2,$A99)</f>
        <v>2015</v>
      </c>
      <c r="AA99" s="0" t="n">
        <f aca="false">W_PH(AA$2,$A99)</f>
        <v>2015</v>
      </c>
      <c r="AB99" s="0" t="n">
        <f aca="false">W_PH(AB$2,$A99)</f>
        <v>2015</v>
      </c>
      <c r="AC99" s="0" t="n">
        <f aca="false">W_PH(AC$2,$A99)</f>
        <v>2015</v>
      </c>
      <c r="AD99" s="0" t="n">
        <f aca="false">W_PH(AD$2,$A99)</f>
        <v>2015</v>
      </c>
      <c r="AE99" s="0" t="n">
        <f aca="false">W_PH(AE$2,$A99)</f>
        <v>2015</v>
      </c>
      <c r="AF99" s="0" t="n">
        <f aca="false">W_PH(AF$2,$A99)</f>
        <v>2015</v>
      </c>
      <c r="AG99" s="0" t="n">
        <f aca="false">W_PH(AG$2,$A99)</f>
        <v>2015</v>
      </c>
      <c r="AH99" s="0" t="n">
        <f aca="false">W_PH(AH$2,$A99)</f>
        <v>2015</v>
      </c>
      <c r="AI99" s="0" t="n">
        <f aca="false">W_PH(AI$2,$A99)</f>
        <v>2015</v>
      </c>
      <c r="AJ99" s="0" t="n">
        <f aca="false">W_PH(AJ$2,$A99)</f>
        <v>2015</v>
      </c>
      <c r="AK99" s="0" t="n">
        <f aca="false">W_PH(AK$2,$A99)</f>
        <v>2015</v>
      </c>
      <c r="AL99" s="0" t="n">
        <f aca="false">W_PH(AL$2,$A99)</f>
        <v>2015</v>
      </c>
      <c r="AM99" s="0" t="n">
        <f aca="false">W_PH(AM$2,$A99)</f>
        <v>2015</v>
      </c>
      <c r="AN99" s="0" t="n">
        <f aca="false">W_PH(AN$2,$A99)</f>
        <v>2015</v>
      </c>
      <c r="AO99" s="0" t="n">
        <f aca="false">W_PH(AO$2,$A99)</f>
        <v>2015</v>
      </c>
      <c r="AP99" s="0" t="n">
        <f aca="false">W_PH(AP$2,$A99)</f>
        <v>2015</v>
      </c>
      <c r="AQ99" s="0" t="n">
        <f aca="false">W_PH(AQ$2,$A99)</f>
        <v>1445.87523633737</v>
      </c>
      <c r="AR99" s="0" t="n">
        <f aca="false">W_PH(AR$2,$A99)</f>
        <v>1461.95448912709</v>
      </c>
      <c r="AS99" s="0" t="n">
        <f aca="false">W_PH(AS$2,$A99)</f>
        <v>1467.91957275438</v>
      </c>
    </row>
    <row r="100" customFormat="false" ht="12.8" hidden="false" customHeight="false" outlineLevel="0" collapsed="false">
      <c r="A100" s="0" t="n">
        <v>1117.79879621668</v>
      </c>
      <c r="B100" s="0" t="n">
        <f aca="false">W_PH(B$2,$A100)</f>
        <v>2015</v>
      </c>
      <c r="C100" s="0" t="n">
        <f aca="false">W_PH(C$2,$A100)</f>
        <v>1466.04455899941</v>
      </c>
      <c r="D100" s="0" t="n">
        <f aca="false">W_PH(D$2,$A100)</f>
        <v>1466.04267092264</v>
      </c>
      <c r="E100" s="0" t="n">
        <f aca="false">W_PH(E$2,$A100)</f>
        <v>1466.04076027649</v>
      </c>
      <c r="F100" s="0" t="n">
        <f aca="false">W_PH(F$2,$A100)</f>
        <v>1466.03882406071</v>
      </c>
      <c r="G100" s="0" t="n">
        <f aca="false">W_PH(G$2,$A100)</f>
        <v>1466.01741494996</v>
      </c>
      <c r="H100" s="0" t="n">
        <f aca="false">W_PH(H$2,$A100)</f>
        <v>1465.99034807278</v>
      </c>
      <c r="I100" s="0" t="n">
        <f aca="false">W_PH(I$2,$A100)</f>
        <v>1465.95505754188</v>
      </c>
      <c r="J100" s="0" t="n">
        <f aca="false">W_PH(J$2,$A100)</f>
        <v>1465.90922604888</v>
      </c>
      <c r="K100" s="0" t="n">
        <f aca="false">W_PH(K$2,$A100)</f>
        <v>1465.85077435702</v>
      </c>
      <c r="L100" s="0" t="n">
        <f aca="false">W_PH(L$2,$A100)</f>
        <v>1465.77785156184</v>
      </c>
      <c r="M100" s="0" t="n">
        <f aca="false">W_PH(M$2,$A100)</f>
        <v>1465.68882587987</v>
      </c>
      <c r="N100" s="0" t="n">
        <f aca="false">W_PH(N$2,$A100)</f>
        <v>1465.58227577085</v>
      </c>
      <c r="O100" s="0" t="n">
        <f aca="false">W_PH(O$2,$A100)</f>
        <v>1465.45698123972</v>
      </c>
      <c r="P100" s="0" t="n">
        <f aca="false">W_PH(P$2,$A100)</f>
        <v>2015</v>
      </c>
      <c r="Q100" s="0" t="n">
        <f aca="false">W_PH(Q$2,$A100)</f>
        <v>2015</v>
      </c>
      <c r="R100" s="0" t="n">
        <f aca="false">W_PH(R$2,$A100)</f>
        <v>2015</v>
      </c>
      <c r="S100" s="0" t="n">
        <f aca="false">W_PH(S$2,$A100)</f>
        <v>2015</v>
      </c>
      <c r="T100" s="0" t="n">
        <f aca="false">W_PH(T$2,$A100)</f>
        <v>2015</v>
      </c>
      <c r="U100" s="0" t="n">
        <f aca="false">W_PH(U$2,$A100)</f>
        <v>2015</v>
      </c>
      <c r="V100" s="0" t="n">
        <f aca="false">W_PH(V$2,$A100)</f>
        <v>2015</v>
      </c>
      <c r="W100" s="0" t="n">
        <f aca="false">W_PH(W$2,$A100)</f>
        <v>2015</v>
      </c>
      <c r="X100" s="0" t="n">
        <f aca="false">W_PH(X$2,$A100)</f>
        <v>2015</v>
      </c>
      <c r="Y100" s="0" t="n">
        <f aca="false">W_PH(Y$2,$A100)</f>
        <v>2015</v>
      </c>
      <c r="Z100" s="0" t="n">
        <f aca="false">W_PH(Z$2,$A100)</f>
        <v>2015</v>
      </c>
      <c r="AA100" s="0" t="n">
        <f aca="false">W_PH(AA$2,$A100)</f>
        <v>2015</v>
      </c>
      <c r="AB100" s="0" t="n">
        <f aca="false">W_PH(AB$2,$A100)</f>
        <v>2015</v>
      </c>
      <c r="AC100" s="0" t="n">
        <f aca="false">W_PH(AC$2,$A100)</f>
        <v>2015</v>
      </c>
      <c r="AD100" s="0" t="n">
        <f aca="false">W_PH(AD$2,$A100)</f>
        <v>2015</v>
      </c>
      <c r="AE100" s="0" t="n">
        <f aca="false">W_PH(AE$2,$A100)</f>
        <v>2015</v>
      </c>
      <c r="AF100" s="0" t="n">
        <f aca="false">W_PH(AF$2,$A100)</f>
        <v>2015</v>
      </c>
      <c r="AG100" s="0" t="n">
        <f aca="false">W_PH(AG$2,$A100)</f>
        <v>2015</v>
      </c>
      <c r="AH100" s="0" t="n">
        <f aca="false">W_PH(AH$2,$A100)</f>
        <v>2015</v>
      </c>
      <c r="AI100" s="0" t="n">
        <f aca="false">W_PH(AI$2,$A100)</f>
        <v>2015</v>
      </c>
      <c r="AJ100" s="0" t="n">
        <f aca="false">W_PH(AJ$2,$A100)</f>
        <v>2015</v>
      </c>
      <c r="AK100" s="0" t="n">
        <f aca="false">W_PH(AK$2,$A100)</f>
        <v>2015</v>
      </c>
      <c r="AL100" s="0" t="n">
        <f aca="false">W_PH(AL$2,$A100)</f>
        <v>2015</v>
      </c>
      <c r="AM100" s="0" t="n">
        <f aca="false">W_PH(AM$2,$A100)</f>
        <v>2015</v>
      </c>
      <c r="AN100" s="0" t="n">
        <f aca="false">W_PH(AN$2,$A100)</f>
        <v>2015</v>
      </c>
      <c r="AO100" s="0" t="n">
        <f aca="false">W_PH(AO$2,$A100)</f>
        <v>2015</v>
      </c>
      <c r="AP100" s="0" t="n">
        <f aca="false">W_PH(AP$2,$A100)</f>
        <v>2015</v>
      </c>
      <c r="AQ100" s="0" t="n">
        <f aca="false">W_PH(AQ$2,$A100)</f>
        <v>1455.77800377421</v>
      </c>
      <c r="AR100" s="0" t="n">
        <f aca="false">W_PH(AR$2,$A100)</f>
        <v>1471.37304531065</v>
      </c>
      <c r="AS100" s="0" t="n">
        <f aca="false">W_PH(AS$2,$A100)</f>
        <v>1477.1745581742</v>
      </c>
    </row>
    <row r="101" customFormat="false" ht="12.8" hidden="false" customHeight="false" outlineLevel="0" collapsed="false">
      <c r="A101" s="0" t="n">
        <v>1122.09802235598</v>
      </c>
      <c r="B101" s="0" t="n">
        <f aca="false">W_PH(B$2,$A101)</f>
        <v>2015</v>
      </c>
      <c r="C101" s="0" t="n">
        <f aca="false">W_PH(C$2,$A101)</f>
        <v>1477.7841405451</v>
      </c>
      <c r="D101" s="0" t="n">
        <f aca="false">W_PH(D$2,$A101)</f>
        <v>1477.78204844262</v>
      </c>
      <c r="E101" s="0" t="n">
        <f aca="false">W_PH(E$2,$A101)</f>
        <v>1477.77994942488</v>
      </c>
      <c r="F101" s="0" t="n">
        <f aca="false">W_PH(F$2,$A101)</f>
        <v>1477.77784212047</v>
      </c>
      <c r="G101" s="0" t="n">
        <f aca="false">W_PH(G$2,$A101)</f>
        <v>1477.75601952819</v>
      </c>
      <c r="H101" s="0" t="n">
        <f aca="false">W_PH(H$2,$A101)</f>
        <v>1477.73194111735</v>
      </c>
      <c r="I101" s="0" t="n">
        <f aca="false">W_PH(I$2,$A101)</f>
        <v>1477.70441269551</v>
      </c>
      <c r="J101" s="0" t="n">
        <f aca="false">W_PH(J$2,$A101)</f>
        <v>1477.67234130227</v>
      </c>
      <c r="K101" s="0" t="n">
        <f aca="false">W_PH(K$2,$A101)</f>
        <v>1477.63473064195</v>
      </c>
      <c r="L101" s="0" t="n">
        <f aca="false">W_PH(L$2,$A101)</f>
        <v>1477.59067678139</v>
      </c>
      <c r="M101" s="0" t="n">
        <f aca="false">W_PH(M$2,$A101)</f>
        <v>1477.5393640643</v>
      </c>
      <c r="N101" s="0" t="n">
        <f aca="false">W_PH(N$2,$A101)</f>
        <v>1477.48006120173</v>
      </c>
      <c r="O101" s="0" t="n">
        <f aca="false">W_PH(O$2,$A101)</f>
        <v>1477.41211750538</v>
      </c>
      <c r="P101" s="0" t="n">
        <f aca="false">W_PH(P$2,$A101)</f>
        <v>1476.16484137748</v>
      </c>
      <c r="Q101" s="0" t="n">
        <f aca="false">W_PH(Q$2,$A101)</f>
        <v>2015</v>
      </c>
      <c r="R101" s="0" t="n">
        <f aca="false">W_PH(R$2,$A101)</f>
        <v>2015</v>
      </c>
      <c r="S101" s="0" t="n">
        <f aca="false">W_PH(S$2,$A101)</f>
        <v>2015</v>
      </c>
      <c r="T101" s="0" t="n">
        <f aca="false">W_PH(T$2,$A101)</f>
        <v>2015</v>
      </c>
      <c r="U101" s="0" t="n">
        <f aca="false">W_PH(U$2,$A101)</f>
        <v>2015</v>
      </c>
      <c r="V101" s="0" t="n">
        <f aca="false">W_PH(V$2,$A101)</f>
        <v>2015</v>
      </c>
      <c r="W101" s="0" t="n">
        <f aca="false">W_PH(W$2,$A101)</f>
        <v>2015</v>
      </c>
      <c r="X101" s="0" t="n">
        <f aca="false">W_PH(X$2,$A101)</f>
        <v>2015</v>
      </c>
      <c r="Y101" s="0" t="n">
        <f aca="false">W_PH(Y$2,$A101)</f>
        <v>2015</v>
      </c>
      <c r="Z101" s="0" t="n">
        <f aca="false">W_PH(Z$2,$A101)</f>
        <v>2015</v>
      </c>
      <c r="AA101" s="0" t="n">
        <f aca="false">W_PH(AA$2,$A101)</f>
        <v>2015</v>
      </c>
      <c r="AB101" s="0" t="n">
        <f aca="false">W_PH(AB$2,$A101)</f>
        <v>2015</v>
      </c>
      <c r="AC101" s="0" t="n">
        <f aca="false">W_PH(AC$2,$A101)</f>
        <v>2015</v>
      </c>
      <c r="AD101" s="0" t="n">
        <f aca="false">W_PH(AD$2,$A101)</f>
        <v>2015</v>
      </c>
      <c r="AE101" s="0" t="n">
        <f aca="false">W_PH(AE$2,$A101)</f>
        <v>2015</v>
      </c>
      <c r="AF101" s="0" t="n">
        <f aca="false">W_PH(AF$2,$A101)</f>
        <v>2015</v>
      </c>
      <c r="AG101" s="0" t="n">
        <f aca="false">W_PH(AG$2,$A101)</f>
        <v>2015</v>
      </c>
      <c r="AH101" s="0" t="n">
        <f aca="false">W_PH(AH$2,$A101)</f>
        <v>2015</v>
      </c>
      <c r="AI101" s="0" t="n">
        <f aca="false">W_PH(AI$2,$A101)</f>
        <v>2015</v>
      </c>
      <c r="AJ101" s="0" t="n">
        <f aca="false">W_PH(AJ$2,$A101)</f>
        <v>2015</v>
      </c>
      <c r="AK101" s="0" t="n">
        <f aca="false">W_PH(AK$2,$A101)</f>
        <v>2015</v>
      </c>
      <c r="AL101" s="0" t="n">
        <f aca="false">W_PH(AL$2,$A101)</f>
        <v>2015</v>
      </c>
      <c r="AM101" s="0" t="n">
        <f aca="false">W_PH(AM$2,$A101)</f>
        <v>2015</v>
      </c>
      <c r="AN101" s="0" t="n">
        <f aca="false">W_PH(AN$2,$A101)</f>
        <v>2015</v>
      </c>
      <c r="AO101" s="0" t="n">
        <f aca="false">W_PH(AO$2,$A101)</f>
        <v>2015</v>
      </c>
      <c r="AP101" s="0" t="n">
        <f aca="false">W_PH(AP$2,$A101)</f>
        <v>2015</v>
      </c>
      <c r="AQ101" s="0" t="n">
        <f aca="false">W_PH(AQ$2,$A101)</f>
        <v>1465.63194628401</v>
      </c>
      <c r="AR101" s="0" t="n">
        <f aca="false">W_PH(AR$2,$A101)</f>
        <v>1480.76868957428</v>
      </c>
      <c r="AS101" s="0" t="n">
        <f aca="false">W_PH(AS$2,$A101)</f>
        <v>1486.41624711329</v>
      </c>
    </row>
    <row r="102" customFormat="false" ht="12.8" hidden="false" customHeight="false" outlineLevel="0" collapsed="false">
      <c r="A102" s="0" t="n">
        <v>1126.39724849527</v>
      </c>
      <c r="B102" s="0" t="n">
        <f aca="false">W_PH(B$2,$A102)</f>
        <v>2015</v>
      </c>
      <c r="C102" s="0" t="n">
        <f aca="false">W_PH(C$2,$A102)</f>
        <v>1489.40461592064</v>
      </c>
      <c r="D102" s="0" t="n">
        <f aca="false">W_PH(D$2,$A102)</f>
        <v>1489.40238046136</v>
      </c>
      <c r="E102" s="0" t="n">
        <f aca="false">W_PH(E$2,$A102)</f>
        <v>1489.4001441254</v>
      </c>
      <c r="F102" s="0" t="n">
        <f aca="false">W_PH(F$2,$A102)</f>
        <v>1489.39790628186</v>
      </c>
      <c r="G102" s="0" t="n">
        <f aca="false">W_PH(G$2,$A102)</f>
        <v>1489.37530940934</v>
      </c>
      <c r="H102" s="0" t="n">
        <f aca="false">W_PH(H$2,$A102)</f>
        <v>1489.35190145778</v>
      </c>
      <c r="I102" s="0" t="n">
        <f aca="false">W_PH(I$2,$A102)</f>
        <v>1489.32712488168</v>
      </c>
      <c r="J102" s="0" t="n">
        <f aca="false">W_PH(J$2,$A102)</f>
        <v>1489.30046409586</v>
      </c>
      <c r="K102" s="0" t="n">
        <f aca="false">W_PH(K$2,$A102)</f>
        <v>1489.27144358941</v>
      </c>
      <c r="L102" s="0" t="n">
        <f aca="false">W_PH(L$2,$A102)</f>
        <v>1489.23962612624</v>
      </c>
      <c r="M102" s="0" t="n">
        <f aca="false">W_PH(M$2,$A102)</f>
        <v>1489.2046110222</v>
      </c>
      <c r="N102" s="0" t="n">
        <f aca="false">W_PH(N$2,$A102)</f>
        <v>1489.16603249031</v>
      </c>
      <c r="O102" s="0" t="n">
        <f aca="false">W_PH(O$2,$A102)</f>
        <v>1489.1235580469</v>
      </c>
      <c r="P102" s="0" t="n">
        <f aca="false">W_PH(P$2,$A102)</f>
        <v>1488.43226046247</v>
      </c>
      <c r="Q102" s="0" t="n">
        <f aca="false">W_PH(Q$2,$A102)</f>
        <v>2015</v>
      </c>
      <c r="R102" s="0" t="n">
        <f aca="false">W_PH(R$2,$A102)</f>
        <v>2015</v>
      </c>
      <c r="S102" s="0" t="n">
        <f aca="false">W_PH(S$2,$A102)</f>
        <v>2015</v>
      </c>
      <c r="T102" s="0" t="n">
        <f aca="false">W_PH(T$2,$A102)</f>
        <v>2015</v>
      </c>
      <c r="U102" s="0" t="n">
        <f aca="false">W_PH(U$2,$A102)</f>
        <v>2015</v>
      </c>
      <c r="V102" s="0" t="n">
        <f aca="false">W_PH(V$2,$A102)</f>
        <v>2015</v>
      </c>
      <c r="W102" s="0" t="n">
        <f aca="false">W_PH(W$2,$A102)</f>
        <v>2015</v>
      </c>
      <c r="X102" s="0" t="n">
        <f aca="false">W_PH(X$2,$A102)</f>
        <v>2015</v>
      </c>
      <c r="Y102" s="0" t="n">
        <f aca="false">W_PH(Y$2,$A102)</f>
        <v>2015</v>
      </c>
      <c r="Z102" s="0" t="n">
        <f aca="false">W_PH(Z$2,$A102)</f>
        <v>2015</v>
      </c>
      <c r="AA102" s="0" t="n">
        <f aca="false">W_PH(AA$2,$A102)</f>
        <v>2015</v>
      </c>
      <c r="AB102" s="0" t="n">
        <f aca="false">W_PH(AB$2,$A102)</f>
        <v>2015</v>
      </c>
      <c r="AC102" s="0" t="n">
        <f aca="false">W_PH(AC$2,$A102)</f>
        <v>2015</v>
      </c>
      <c r="AD102" s="0" t="n">
        <f aca="false">W_PH(AD$2,$A102)</f>
        <v>2015</v>
      </c>
      <c r="AE102" s="0" t="n">
        <f aca="false">W_PH(AE$2,$A102)</f>
        <v>2015</v>
      </c>
      <c r="AF102" s="0" t="n">
        <f aca="false">W_PH(AF$2,$A102)</f>
        <v>2015</v>
      </c>
      <c r="AG102" s="0" t="n">
        <f aca="false">W_PH(AG$2,$A102)</f>
        <v>2015</v>
      </c>
      <c r="AH102" s="0" t="n">
        <f aca="false">W_PH(AH$2,$A102)</f>
        <v>2015</v>
      </c>
      <c r="AI102" s="0" t="n">
        <f aca="false">W_PH(AI$2,$A102)</f>
        <v>2015</v>
      </c>
      <c r="AJ102" s="0" t="n">
        <f aca="false">W_PH(AJ$2,$A102)</f>
        <v>2015</v>
      </c>
      <c r="AK102" s="0" t="n">
        <f aca="false">W_PH(AK$2,$A102)</f>
        <v>2015</v>
      </c>
      <c r="AL102" s="0" t="n">
        <f aca="false">W_PH(AL$2,$A102)</f>
        <v>2015</v>
      </c>
      <c r="AM102" s="0" t="n">
        <f aca="false">W_PH(AM$2,$A102)</f>
        <v>2015</v>
      </c>
      <c r="AN102" s="0" t="n">
        <f aca="false">W_PH(AN$2,$A102)</f>
        <v>2015</v>
      </c>
      <c r="AO102" s="0" t="n">
        <f aca="false">W_PH(AO$2,$A102)</f>
        <v>2015</v>
      </c>
      <c r="AP102" s="0" t="n">
        <f aca="false">W_PH(AP$2,$A102)</f>
        <v>2015</v>
      </c>
      <c r="AQ102" s="0" t="n">
        <f aca="false">W_PH(AQ$2,$A102)</f>
        <v>1475.44549530557</v>
      </c>
      <c r="AR102" s="0" t="n">
        <f aca="false">W_PH(AR$2,$A102)</f>
        <v>1490.14953890721</v>
      </c>
      <c r="AS102" s="0" t="n">
        <f aca="false">W_PH(AS$2,$A102)</f>
        <v>1495.65247191851</v>
      </c>
    </row>
    <row r="103" customFormat="false" ht="12.8" hidden="false" customHeight="false" outlineLevel="0" collapsed="false">
      <c r="A103" s="0" t="n">
        <v>1130.69647463457</v>
      </c>
      <c r="B103" s="0" t="n">
        <f aca="false">W_PH(B$2,$A103)</f>
        <v>2015</v>
      </c>
      <c r="C103" s="0" t="n">
        <f aca="false">W_PH(C$2,$A103)</f>
        <v>1500.90789629519</v>
      </c>
      <c r="D103" s="0" t="n">
        <f aca="false">W_PH(D$2,$A103)</f>
        <v>1500.90557550042</v>
      </c>
      <c r="E103" s="0" t="n">
        <f aca="false">W_PH(E$2,$A103)</f>
        <v>1500.90325590415</v>
      </c>
      <c r="F103" s="0" t="n">
        <f aca="false">W_PH(F$2,$A103)</f>
        <v>1500.90093721426</v>
      </c>
      <c r="G103" s="0" t="n">
        <f aca="false">W_PH(G$2,$A103)</f>
        <v>1500.87773727137</v>
      </c>
      <c r="H103" s="0" t="n">
        <f aca="false">W_PH(H$2,$A103)</f>
        <v>1500.85432073027</v>
      </c>
      <c r="I103" s="0" t="n">
        <f aca="false">W_PH(I$2,$A103)</f>
        <v>1500.83042621525</v>
      </c>
      <c r="J103" s="0" t="n">
        <f aca="false">W_PH(J$2,$A103)</f>
        <v>1500.80580998781</v>
      </c>
      <c r="K103" s="0" t="n">
        <f aca="false">W_PH(K$2,$A103)</f>
        <v>1500.78024518366</v>
      </c>
      <c r="L103" s="0" t="n">
        <f aca="false">W_PH(L$2,$A103)</f>
        <v>1500.75352107718</v>
      </c>
      <c r="M103" s="0" t="n">
        <f aca="false">W_PH(M$2,$A103)</f>
        <v>1500.72544237158</v>
      </c>
      <c r="N103" s="0" t="n">
        <f aca="false">W_PH(N$2,$A103)</f>
        <v>1500.69582851292</v>
      </c>
      <c r="O103" s="0" t="n">
        <f aca="false">W_PH(O$2,$A103)</f>
        <v>1500.6645130265</v>
      </c>
      <c r="P103" s="0" t="n">
        <f aca="false">W_PH(P$2,$A103)</f>
        <v>1500.2299817856</v>
      </c>
      <c r="Q103" s="0" t="n">
        <f aca="false">W_PH(Q$2,$A103)</f>
        <v>1499.52429705394</v>
      </c>
      <c r="R103" s="0" t="n">
        <f aca="false">W_PH(R$2,$A103)</f>
        <v>2015</v>
      </c>
      <c r="S103" s="0" t="n">
        <f aca="false">W_PH(S$2,$A103)</f>
        <v>2015</v>
      </c>
      <c r="T103" s="0" t="n">
        <f aca="false">W_PH(T$2,$A103)</f>
        <v>2015</v>
      </c>
      <c r="U103" s="0" t="n">
        <f aca="false">W_PH(U$2,$A103)</f>
        <v>2015</v>
      </c>
      <c r="V103" s="0" t="n">
        <f aca="false">W_PH(V$2,$A103)</f>
        <v>2015</v>
      </c>
      <c r="W103" s="0" t="n">
        <f aca="false">W_PH(W$2,$A103)</f>
        <v>2015</v>
      </c>
      <c r="X103" s="0" t="n">
        <f aca="false">W_PH(X$2,$A103)</f>
        <v>2015</v>
      </c>
      <c r="Y103" s="0" t="n">
        <f aca="false">W_PH(Y$2,$A103)</f>
        <v>2015</v>
      </c>
      <c r="Z103" s="0" t="n">
        <f aca="false">W_PH(Z$2,$A103)</f>
        <v>2015</v>
      </c>
      <c r="AA103" s="0" t="n">
        <f aca="false">W_PH(AA$2,$A103)</f>
        <v>2015</v>
      </c>
      <c r="AB103" s="0" t="n">
        <f aca="false">W_PH(AB$2,$A103)</f>
        <v>2015</v>
      </c>
      <c r="AC103" s="0" t="n">
        <f aca="false">W_PH(AC$2,$A103)</f>
        <v>2015</v>
      </c>
      <c r="AD103" s="0" t="n">
        <f aca="false">W_PH(AD$2,$A103)</f>
        <v>2015</v>
      </c>
      <c r="AE103" s="0" t="n">
        <f aca="false">W_PH(AE$2,$A103)</f>
        <v>2015</v>
      </c>
      <c r="AF103" s="0" t="n">
        <f aca="false">W_PH(AF$2,$A103)</f>
        <v>2015</v>
      </c>
      <c r="AG103" s="0" t="n">
        <f aca="false">W_PH(AG$2,$A103)</f>
        <v>2015</v>
      </c>
      <c r="AH103" s="0" t="n">
        <f aca="false">W_PH(AH$2,$A103)</f>
        <v>2015</v>
      </c>
      <c r="AI103" s="0" t="n">
        <f aca="false">W_PH(AI$2,$A103)</f>
        <v>2015</v>
      </c>
      <c r="AJ103" s="0" t="n">
        <f aca="false">W_PH(AJ$2,$A103)</f>
        <v>2015</v>
      </c>
      <c r="AK103" s="0" t="n">
        <f aca="false">W_PH(AK$2,$A103)</f>
        <v>2015</v>
      </c>
      <c r="AL103" s="0" t="n">
        <f aca="false">W_PH(AL$2,$A103)</f>
        <v>2015</v>
      </c>
      <c r="AM103" s="0" t="n">
        <f aca="false">W_PH(AM$2,$A103)</f>
        <v>2015</v>
      </c>
      <c r="AN103" s="0" t="n">
        <f aca="false">W_PH(AN$2,$A103)</f>
        <v>2015</v>
      </c>
      <c r="AO103" s="0" t="n">
        <f aca="false">W_PH(AO$2,$A103)</f>
        <v>2015</v>
      </c>
      <c r="AP103" s="0" t="n">
        <f aca="false">W_PH(AP$2,$A103)</f>
        <v>2015</v>
      </c>
      <c r="AQ103" s="0" t="n">
        <f aca="false">W_PH(AQ$2,$A103)</f>
        <v>1485.19156146751</v>
      </c>
      <c r="AR103" s="0" t="n">
        <f aca="false">W_PH(AR$2,$A103)</f>
        <v>1499.77835795293</v>
      </c>
      <c r="AS103" s="0" t="n">
        <f aca="false">W_PH(AS$2,$A103)</f>
        <v>1505.17912512196</v>
      </c>
    </row>
    <row r="104" customFormat="false" ht="12.8" hidden="false" customHeight="false" outlineLevel="0" collapsed="false">
      <c r="A104" s="0" t="n">
        <v>1134.99570077386</v>
      </c>
      <c r="B104" s="0" t="n">
        <f aca="false">W_PH(B$2,$A104)</f>
        <v>2015</v>
      </c>
      <c r="C104" s="0" t="n">
        <f aca="false">W_PH(C$2,$A104)</f>
        <v>1512.29594484601</v>
      </c>
      <c r="D104" s="0" t="n">
        <f aca="false">W_PH(D$2,$A104)</f>
        <v>1512.2935860364</v>
      </c>
      <c r="E104" s="0" t="n">
        <f aca="false">W_PH(E$2,$A104)</f>
        <v>1512.2912289317</v>
      </c>
      <c r="F104" s="0" t="n">
        <f aca="false">W_PH(F$2,$A104)</f>
        <v>1512.28887339577</v>
      </c>
      <c r="G104" s="0" t="n">
        <f aca="false">W_PH(G$2,$A104)</f>
        <v>1512.26537494929</v>
      </c>
      <c r="H104" s="0" t="n">
        <f aca="false">W_PH(H$2,$A104)</f>
        <v>1512.24188959733</v>
      </c>
      <c r="I104" s="0" t="n">
        <f aca="false">W_PH(I$2,$A104)</f>
        <v>1512.21829423521</v>
      </c>
      <c r="J104" s="0" t="n">
        <f aca="false">W_PH(J$2,$A104)</f>
        <v>1512.19447326055</v>
      </c>
      <c r="K104" s="0" t="n">
        <f aca="false">W_PH(K$2,$A104)</f>
        <v>1512.17031826623</v>
      </c>
      <c r="L104" s="0" t="n">
        <f aca="false">W_PH(L$2,$A104)</f>
        <v>1512.14572774206</v>
      </c>
      <c r="M104" s="0" t="n">
        <f aca="false">W_PH(M$2,$A104)</f>
        <v>1512.1206067846</v>
      </c>
      <c r="N104" s="0" t="n">
        <f aca="false">W_PH(N$2,$A104)</f>
        <v>1512.09486681502</v>
      </c>
      <c r="O104" s="0" t="n">
        <f aca="false">W_PH(O$2,$A104)</f>
        <v>1512.06842530468</v>
      </c>
      <c r="P104" s="0" t="n">
        <f aca="false">W_PH(P$2,$A104)</f>
        <v>1511.75108174369</v>
      </c>
      <c r="Q104" s="0" t="n">
        <f aca="false">W_PH(Q$2,$A104)</f>
        <v>1511.30832979798</v>
      </c>
      <c r="R104" s="0" t="n">
        <f aca="false">W_PH(R$2,$A104)</f>
        <v>1510.72195361645</v>
      </c>
      <c r="S104" s="0" t="n">
        <f aca="false">W_PH(S$2,$A104)</f>
        <v>2015</v>
      </c>
      <c r="T104" s="0" t="n">
        <f aca="false">W_PH(T$2,$A104)</f>
        <v>2015</v>
      </c>
      <c r="U104" s="0" t="n">
        <f aca="false">W_PH(U$2,$A104)</f>
        <v>2015</v>
      </c>
      <c r="V104" s="0" t="n">
        <f aca="false">W_PH(V$2,$A104)</f>
        <v>2015</v>
      </c>
      <c r="W104" s="0" t="n">
        <f aca="false">W_PH(W$2,$A104)</f>
        <v>2015</v>
      </c>
      <c r="X104" s="0" t="n">
        <f aca="false">W_PH(X$2,$A104)</f>
        <v>2015</v>
      </c>
      <c r="Y104" s="0" t="n">
        <f aca="false">W_PH(Y$2,$A104)</f>
        <v>2015</v>
      </c>
      <c r="Z104" s="0" t="n">
        <f aca="false">W_PH(Z$2,$A104)</f>
        <v>2015</v>
      </c>
      <c r="AA104" s="0" t="n">
        <f aca="false">W_PH(AA$2,$A104)</f>
        <v>2015</v>
      </c>
      <c r="AB104" s="0" t="n">
        <f aca="false">W_PH(AB$2,$A104)</f>
        <v>2015</v>
      </c>
      <c r="AC104" s="0" t="n">
        <f aca="false">W_PH(AC$2,$A104)</f>
        <v>2015</v>
      </c>
      <c r="AD104" s="0" t="n">
        <f aca="false">W_PH(AD$2,$A104)</f>
        <v>2015</v>
      </c>
      <c r="AE104" s="0" t="n">
        <f aca="false">W_PH(AE$2,$A104)</f>
        <v>2015</v>
      </c>
      <c r="AF104" s="0" t="n">
        <f aca="false">W_PH(AF$2,$A104)</f>
        <v>2015</v>
      </c>
      <c r="AG104" s="0" t="n">
        <f aca="false">W_PH(AG$2,$A104)</f>
        <v>2015</v>
      </c>
      <c r="AH104" s="0" t="n">
        <f aca="false">W_PH(AH$2,$A104)</f>
        <v>2015</v>
      </c>
      <c r="AI104" s="0" t="n">
        <f aca="false">W_PH(AI$2,$A104)</f>
        <v>2015</v>
      </c>
      <c r="AJ104" s="0" t="n">
        <f aca="false">W_PH(AJ$2,$A104)</f>
        <v>2015</v>
      </c>
      <c r="AK104" s="0" t="n">
        <f aca="false">W_PH(AK$2,$A104)</f>
        <v>2015</v>
      </c>
      <c r="AL104" s="0" t="n">
        <f aca="false">W_PH(AL$2,$A104)</f>
        <v>2015</v>
      </c>
      <c r="AM104" s="0" t="n">
        <f aca="false">W_PH(AM$2,$A104)</f>
        <v>2015</v>
      </c>
      <c r="AN104" s="0" t="n">
        <f aca="false">W_PH(AN$2,$A104)</f>
        <v>2015</v>
      </c>
      <c r="AO104" s="0" t="n">
        <f aca="false">W_PH(AO$2,$A104)</f>
        <v>2015</v>
      </c>
      <c r="AP104" s="0" t="n">
        <f aca="false">W_PH(AP$2,$A104)</f>
        <v>2015</v>
      </c>
      <c r="AQ104" s="0" t="n">
        <f aca="false">W_PH(AQ$2,$A104)</f>
        <v>1494.87726917877</v>
      </c>
      <c r="AR104" s="0" t="n">
        <f aca="false">W_PH(AR$2,$A104)</f>
        <v>1509.10072237104</v>
      </c>
      <c r="AS104" s="0" t="n">
        <f aca="false">W_PH(AS$2,$A104)</f>
        <v>1514.37869234705</v>
      </c>
    </row>
    <row r="105" customFormat="false" ht="12.8" hidden="false" customHeight="false" outlineLevel="0" collapsed="false">
      <c r="A105" s="0" t="n">
        <v>1139.29492691316</v>
      </c>
      <c r="B105" s="0" t="n">
        <f aca="false">W_PH(B$2,$A105)</f>
        <v>2015</v>
      </c>
      <c r="C105" s="0" t="n">
        <f aca="false">W_PH(C$2,$A105)</f>
        <v>1523.57077146606</v>
      </c>
      <c r="D105" s="0" t="n">
        <f aca="false">W_PH(D$2,$A105)</f>
        <v>1523.56841040589</v>
      </c>
      <c r="E105" s="0" t="n">
        <f aca="false">W_PH(E$2,$A105)</f>
        <v>1523.56605098582</v>
      </c>
      <c r="F105" s="0" t="n">
        <f aca="false">W_PH(F$2,$A105)</f>
        <v>1523.563693142</v>
      </c>
      <c r="G105" s="0" t="n">
        <f aca="false">W_PH(G$2,$A105)</f>
        <v>1523.54018759648</v>
      </c>
      <c r="H105" s="0" t="n">
        <f aca="false">W_PH(H$2,$A105)</f>
        <v>1523.51677198571</v>
      </c>
      <c r="I105" s="0" t="n">
        <f aca="false">W_PH(I$2,$A105)</f>
        <v>1523.49338803598</v>
      </c>
      <c r="J105" s="0" t="n">
        <f aca="false">W_PH(J$2,$A105)</f>
        <v>1523.46998069919</v>
      </c>
      <c r="K105" s="0" t="n">
        <f aca="false">W_PH(K$2,$A105)</f>
        <v>1523.44649802907</v>
      </c>
      <c r="L105" s="0" t="n">
        <f aca="false">W_PH(L$2,$A105)</f>
        <v>1523.42289106003</v>
      </c>
      <c r="M105" s="0" t="n">
        <f aca="false">W_PH(M$2,$A105)</f>
        <v>1523.39911368849</v>
      </c>
      <c r="N105" s="0" t="n">
        <f aca="false">W_PH(N$2,$A105)</f>
        <v>1523.37512255687</v>
      </c>
      <c r="O105" s="0" t="n">
        <f aca="false">W_PH(O$2,$A105)</f>
        <v>1523.35087693997</v>
      </c>
      <c r="P105" s="0" t="n">
        <f aca="false">W_PH(P$2,$A105)</f>
        <v>1523.08713176909</v>
      </c>
      <c r="Q105" s="0" t="n">
        <f aca="false">W_PH(Q$2,$A105)</f>
        <v>1522.76872501225</v>
      </c>
      <c r="R105" s="0" t="n">
        <f aca="false">W_PH(R$2,$A105)</f>
        <v>1522.38326308071</v>
      </c>
      <c r="S105" s="0" t="n">
        <f aca="false">W_PH(S$2,$A105)</f>
        <v>1521.92615381157</v>
      </c>
      <c r="T105" s="0" t="n">
        <f aca="false">W_PH(T$2,$A105)</f>
        <v>2015</v>
      </c>
      <c r="U105" s="0" t="n">
        <f aca="false">W_PH(U$2,$A105)</f>
        <v>2015</v>
      </c>
      <c r="V105" s="0" t="n">
        <f aca="false">W_PH(V$2,$A105)</f>
        <v>2015</v>
      </c>
      <c r="W105" s="0" t="n">
        <f aca="false">W_PH(W$2,$A105)</f>
        <v>2015</v>
      </c>
      <c r="X105" s="0" t="n">
        <f aca="false">W_PH(X$2,$A105)</f>
        <v>2015</v>
      </c>
      <c r="Y105" s="0" t="n">
        <f aca="false">W_PH(Y$2,$A105)</f>
        <v>2015</v>
      </c>
      <c r="Z105" s="0" t="n">
        <f aca="false">W_PH(Z$2,$A105)</f>
        <v>2015</v>
      </c>
      <c r="AA105" s="0" t="n">
        <f aca="false">W_PH(AA$2,$A105)</f>
        <v>2015</v>
      </c>
      <c r="AB105" s="0" t="n">
        <f aca="false">W_PH(AB$2,$A105)</f>
        <v>2015</v>
      </c>
      <c r="AC105" s="0" t="n">
        <f aca="false">W_PH(AC$2,$A105)</f>
        <v>2015</v>
      </c>
      <c r="AD105" s="0" t="n">
        <f aca="false">W_PH(AD$2,$A105)</f>
        <v>2015</v>
      </c>
      <c r="AE105" s="0" t="n">
        <f aca="false">W_PH(AE$2,$A105)</f>
        <v>2015</v>
      </c>
      <c r="AF105" s="0" t="n">
        <f aca="false">W_PH(AF$2,$A105)</f>
        <v>2015</v>
      </c>
      <c r="AG105" s="0" t="n">
        <f aca="false">W_PH(AG$2,$A105)</f>
        <v>2015</v>
      </c>
      <c r="AH105" s="0" t="n">
        <f aca="false">W_PH(AH$2,$A105)</f>
        <v>2015</v>
      </c>
      <c r="AI105" s="0" t="n">
        <f aca="false">W_PH(AI$2,$A105)</f>
        <v>2015</v>
      </c>
      <c r="AJ105" s="0" t="n">
        <f aca="false">W_PH(AJ$2,$A105)</f>
        <v>2015</v>
      </c>
      <c r="AK105" s="0" t="n">
        <f aca="false">W_PH(AK$2,$A105)</f>
        <v>2015</v>
      </c>
      <c r="AL105" s="0" t="n">
        <f aca="false">W_PH(AL$2,$A105)</f>
        <v>2015</v>
      </c>
      <c r="AM105" s="0" t="n">
        <f aca="false">W_PH(AM$2,$A105)</f>
        <v>2015</v>
      </c>
      <c r="AN105" s="0" t="n">
        <f aca="false">W_PH(AN$2,$A105)</f>
        <v>2015</v>
      </c>
      <c r="AO105" s="0" t="n">
        <f aca="false">W_PH(AO$2,$A105)</f>
        <v>2015</v>
      </c>
      <c r="AP105" s="0" t="n">
        <f aca="false">W_PH(AP$2,$A105)</f>
        <v>2015</v>
      </c>
      <c r="AQ105" s="0" t="n">
        <f aca="false">W_PH(AQ$2,$A105)</f>
        <v>1504.53630199987</v>
      </c>
      <c r="AR105" s="0" t="n">
        <f aca="false">W_PH(AR$2,$A105)</f>
        <v>1518.42205449832</v>
      </c>
      <c r="AS105" s="0" t="n">
        <f aca="false">W_PH(AS$2,$A105)</f>
        <v>1523.58403492392</v>
      </c>
    </row>
    <row r="106" customFormat="false" ht="12.8" hidden="false" customHeight="false" outlineLevel="0" collapsed="false">
      <c r="A106" s="0" t="n">
        <v>1143.59415305245</v>
      </c>
      <c r="B106" s="0" t="n">
        <f aca="false">W_PH(B$2,$A106)</f>
        <v>2015</v>
      </c>
      <c r="C106" s="0" t="n">
        <f aca="false">W_PH(C$2,$A106)</f>
        <v>1534.73441908363</v>
      </c>
      <c r="D106" s="0" t="n">
        <f aca="false">W_PH(D$2,$A106)</f>
        <v>1534.73208153779</v>
      </c>
      <c r="E106" s="0" t="n">
        <f aca="false">W_PH(E$2,$A106)</f>
        <v>1534.72974539805</v>
      </c>
      <c r="F106" s="0" t="n">
        <f aca="false">W_PH(F$2,$A106)</f>
        <v>1534.72741063424</v>
      </c>
      <c r="G106" s="0" t="n">
        <f aca="false">W_PH(G$2,$A106)</f>
        <v>1534.70413214711</v>
      </c>
      <c r="H106" s="0" t="n">
        <f aca="false">W_PH(H$2,$A106)</f>
        <v>1534.68095919333</v>
      </c>
      <c r="I106" s="0" t="n">
        <f aca="false">W_PH(I$2,$A106)</f>
        <v>1534.6578640399</v>
      </c>
      <c r="J106" s="0" t="n">
        <f aca="false">W_PH(J$2,$A106)</f>
        <v>1534.63482035463</v>
      </c>
      <c r="K106" s="0" t="n">
        <f aca="false">W_PH(K$2,$A106)</f>
        <v>1534.61180315593</v>
      </c>
      <c r="L106" s="0" t="n">
        <f aca="false">W_PH(L$2,$A106)</f>
        <v>1534.58878876335</v>
      </c>
      <c r="M106" s="0" t="n">
        <f aca="false">W_PH(M$2,$A106)</f>
        <v>1534.56575474878</v>
      </c>
      <c r="N106" s="0" t="n">
        <f aca="false">W_PH(N$2,$A106)</f>
        <v>1534.5426798885</v>
      </c>
      <c r="O106" s="0" t="n">
        <f aca="false">W_PH(O$2,$A106)</f>
        <v>1534.51954411592</v>
      </c>
      <c r="P106" s="0" t="n">
        <f aca="false">W_PH(P$2,$A106)</f>
        <v>1534.28115838922</v>
      </c>
      <c r="Q106" s="0" t="n">
        <f aca="false">W_PH(Q$2,$A106)</f>
        <v>1534.02151848187</v>
      </c>
      <c r="R106" s="0" t="n">
        <f aca="false">W_PH(R$2,$A106)</f>
        <v>1533.73317164279</v>
      </c>
      <c r="S106" s="0" t="n">
        <f aca="false">W_PH(S$2,$A106)</f>
        <v>1533.4121396554</v>
      </c>
      <c r="T106" s="0" t="n">
        <f aca="false">W_PH(T$2,$A106)</f>
        <v>1533.05555997463</v>
      </c>
      <c r="U106" s="0" t="n">
        <f aca="false">W_PH(U$2,$A106)</f>
        <v>1532.66012217148</v>
      </c>
      <c r="V106" s="0" t="n">
        <f aca="false">W_PH(V$2,$A106)</f>
        <v>2015</v>
      </c>
      <c r="W106" s="0" t="n">
        <f aca="false">W_PH(W$2,$A106)</f>
        <v>2015</v>
      </c>
      <c r="X106" s="0" t="n">
        <f aca="false">W_PH(X$2,$A106)</f>
        <v>2015</v>
      </c>
      <c r="Y106" s="0" t="n">
        <f aca="false">W_PH(Y$2,$A106)</f>
        <v>2015</v>
      </c>
      <c r="Z106" s="0" t="n">
        <f aca="false">W_PH(Z$2,$A106)</f>
        <v>2015</v>
      </c>
      <c r="AA106" s="0" t="n">
        <f aca="false">W_PH(AA$2,$A106)</f>
        <v>2015</v>
      </c>
      <c r="AB106" s="0" t="n">
        <f aca="false">W_PH(AB$2,$A106)</f>
        <v>2015</v>
      </c>
      <c r="AC106" s="0" t="n">
        <f aca="false">W_PH(AC$2,$A106)</f>
        <v>2015</v>
      </c>
      <c r="AD106" s="0" t="n">
        <f aca="false">W_PH(AD$2,$A106)</f>
        <v>2015</v>
      </c>
      <c r="AE106" s="0" t="n">
        <f aca="false">W_PH(AE$2,$A106)</f>
        <v>2015</v>
      </c>
      <c r="AF106" s="0" t="n">
        <f aca="false">W_PH(AF$2,$A106)</f>
        <v>2015</v>
      </c>
      <c r="AG106" s="0" t="n">
        <f aca="false">W_PH(AG$2,$A106)</f>
        <v>2015</v>
      </c>
      <c r="AH106" s="0" t="n">
        <f aca="false">W_PH(AH$2,$A106)</f>
        <v>2015</v>
      </c>
      <c r="AI106" s="0" t="n">
        <f aca="false">W_PH(AI$2,$A106)</f>
        <v>2015</v>
      </c>
      <c r="AJ106" s="0" t="n">
        <f aca="false">W_PH(AJ$2,$A106)</f>
        <v>2015</v>
      </c>
      <c r="AK106" s="0" t="n">
        <f aca="false">W_PH(AK$2,$A106)</f>
        <v>2015</v>
      </c>
      <c r="AL106" s="0" t="n">
        <f aca="false">W_PH(AL$2,$A106)</f>
        <v>2015</v>
      </c>
      <c r="AM106" s="0" t="n">
        <f aca="false">W_PH(AM$2,$A106)</f>
        <v>2015</v>
      </c>
      <c r="AN106" s="0" t="n">
        <f aca="false">W_PH(AN$2,$A106)</f>
        <v>2015</v>
      </c>
      <c r="AO106" s="0" t="n">
        <f aca="false">W_PH(AO$2,$A106)</f>
        <v>2015</v>
      </c>
      <c r="AP106" s="0" t="n">
        <f aca="false">W_PH(AP$2,$A106)</f>
        <v>2015</v>
      </c>
      <c r="AQ106" s="0" t="n">
        <f aca="false">W_PH(AQ$2,$A106)</f>
        <v>1514.17548835975</v>
      </c>
      <c r="AR106" s="0" t="n">
        <f aca="false">W_PH(AR$2,$A106)</f>
        <v>1527.74635209781</v>
      </c>
      <c r="AS106" s="0" t="n">
        <f aca="false">W_PH(AS$2,$A106)</f>
        <v>1532.7981101055</v>
      </c>
    </row>
    <row r="107" customFormat="false" ht="12.8" hidden="false" customHeight="false" outlineLevel="0" collapsed="false">
      <c r="A107" s="0" t="n">
        <v>1147.89337919175</v>
      </c>
      <c r="B107" s="0" t="n">
        <f aca="false">W_PH(B$2,$A107)</f>
        <v>2015</v>
      </c>
      <c r="C107" s="0" t="n">
        <f aca="false">W_PH(C$2,$A107)</f>
        <v>1545.78894869227</v>
      </c>
      <c r="D107" s="0" t="n">
        <f aca="false">W_PH(D$2,$A107)</f>
        <v>1545.7866525162</v>
      </c>
      <c r="E107" s="0" t="n">
        <f aca="false">W_PH(E$2,$A107)</f>
        <v>1545.78435749478</v>
      </c>
      <c r="F107" s="0" t="n">
        <f aca="false">W_PH(F$2,$A107)</f>
        <v>1545.78206361366</v>
      </c>
      <c r="G107" s="0" t="n">
        <f aca="false">W_PH(G$2,$A107)</f>
        <v>1545.75918441376</v>
      </c>
      <c r="H107" s="0" t="n">
        <f aca="false">W_PH(H$2,$A107)</f>
        <v>1545.73640396357</v>
      </c>
      <c r="I107" s="0" t="n">
        <f aca="false">W_PH(I$2,$A107)</f>
        <v>1545.71370898885</v>
      </c>
      <c r="J107" s="0" t="n">
        <f aca="false">W_PH(J$2,$A107)</f>
        <v>1545.69108682956</v>
      </c>
      <c r="K107" s="0" t="n">
        <f aca="false">W_PH(K$2,$A107)</f>
        <v>1545.66852541935</v>
      </c>
      <c r="L107" s="0" t="n">
        <f aca="false">W_PH(L$2,$A107)</f>
        <v>1545.64601326513</v>
      </c>
      <c r="M107" s="0" t="n">
        <f aca="false">W_PH(M$2,$A107)</f>
        <v>1545.62353942695</v>
      </c>
      <c r="N107" s="0" t="n">
        <f aca="false">W_PH(N$2,$A107)</f>
        <v>1545.60109349789</v>
      </c>
      <c r="O107" s="0" t="n">
        <f aca="false">W_PH(O$2,$A107)</f>
        <v>1545.57866558437</v>
      </c>
      <c r="P107" s="0" t="n">
        <f aca="false">W_PH(P$2,$A107)</f>
        <v>1545.35352926439</v>
      </c>
      <c r="Q107" s="0" t="n">
        <f aca="false">W_PH(Q$2,$A107)</f>
        <v>1545.12240265992</v>
      </c>
      <c r="R107" s="0" t="n">
        <f aca="false">W_PH(R$2,$A107)</f>
        <v>1544.88105568617</v>
      </c>
      <c r="S107" s="0" t="n">
        <f aca="false">W_PH(S$2,$A107)</f>
        <v>1544.62681342755</v>
      </c>
      <c r="T107" s="0" t="n">
        <f aca="false">W_PH(T$2,$A107)</f>
        <v>1544.35743659532</v>
      </c>
      <c r="U107" s="0" t="n">
        <f aca="false">W_PH(U$2,$A107)</f>
        <v>1544.07033255506</v>
      </c>
      <c r="V107" s="0" t="n">
        <f aca="false">W_PH(V$2,$A107)</f>
        <v>1543.76206726266</v>
      </c>
      <c r="W107" s="0" t="n">
        <f aca="false">W_PH(W$2,$A107)</f>
        <v>2015</v>
      </c>
      <c r="X107" s="0" t="n">
        <f aca="false">W_PH(X$2,$A107)</f>
        <v>2015</v>
      </c>
      <c r="Y107" s="0" t="n">
        <f aca="false">W_PH(Y$2,$A107)</f>
        <v>2015</v>
      </c>
      <c r="Z107" s="0" t="n">
        <f aca="false">W_PH(Z$2,$A107)</f>
        <v>2015</v>
      </c>
      <c r="AA107" s="0" t="n">
        <f aca="false">W_PH(AA$2,$A107)</f>
        <v>2015</v>
      </c>
      <c r="AB107" s="0" t="n">
        <f aca="false">W_PH(AB$2,$A107)</f>
        <v>2015</v>
      </c>
      <c r="AC107" s="0" t="n">
        <f aca="false">W_PH(AC$2,$A107)</f>
        <v>2015</v>
      </c>
      <c r="AD107" s="0" t="n">
        <f aca="false">W_PH(AD$2,$A107)</f>
        <v>2015</v>
      </c>
      <c r="AE107" s="0" t="n">
        <f aca="false">W_PH(AE$2,$A107)</f>
        <v>2015</v>
      </c>
      <c r="AF107" s="0" t="n">
        <f aca="false">W_PH(AF$2,$A107)</f>
        <v>2015</v>
      </c>
      <c r="AG107" s="0" t="n">
        <f aca="false">W_PH(AG$2,$A107)</f>
        <v>2015</v>
      </c>
      <c r="AH107" s="0" t="n">
        <f aca="false">W_PH(AH$2,$A107)</f>
        <v>2015</v>
      </c>
      <c r="AI107" s="0" t="n">
        <f aca="false">W_PH(AI$2,$A107)</f>
        <v>2015</v>
      </c>
      <c r="AJ107" s="0" t="n">
        <f aca="false">W_PH(AJ$2,$A107)</f>
        <v>2015</v>
      </c>
      <c r="AK107" s="0" t="n">
        <f aca="false">W_PH(AK$2,$A107)</f>
        <v>2015</v>
      </c>
      <c r="AL107" s="0" t="n">
        <f aca="false">W_PH(AL$2,$A107)</f>
        <v>2015</v>
      </c>
      <c r="AM107" s="0" t="n">
        <f aca="false">W_PH(AM$2,$A107)</f>
        <v>2015</v>
      </c>
      <c r="AN107" s="0" t="n">
        <f aca="false">W_PH(AN$2,$A107)</f>
        <v>2015</v>
      </c>
      <c r="AO107" s="0" t="n">
        <f aca="false">W_PH(AO$2,$A107)</f>
        <v>2015</v>
      </c>
      <c r="AP107" s="0" t="n">
        <f aca="false">W_PH(AP$2,$A107)</f>
        <v>2015</v>
      </c>
      <c r="AQ107" s="0" t="n">
        <f aca="false">W_PH(AQ$2,$A107)</f>
        <v>1523.80203193112</v>
      </c>
      <c r="AR107" s="0" t="n">
        <f aca="false">W_PH(AR$2,$A107)</f>
        <v>1537.07730598951</v>
      </c>
      <c r="AS107" s="0" t="n">
        <f aca="false">W_PH(AS$2,$A107)</f>
        <v>1542.02348269502</v>
      </c>
    </row>
    <row r="108" customFormat="false" ht="12.8" hidden="false" customHeight="false" outlineLevel="0" collapsed="false">
      <c r="A108" s="0" t="n">
        <v>1152.19260533104</v>
      </c>
      <c r="B108" s="0" t="n">
        <f aca="false">W_PH(B$2,$A108)</f>
        <v>2015</v>
      </c>
      <c r="C108" s="0" t="n">
        <f aca="false">W_PH(C$2,$A108)</f>
        <v>1556.73642566872</v>
      </c>
      <c r="D108" s="0" t="n">
        <f aca="false">W_PH(D$2,$A108)</f>
        <v>1556.73418275027</v>
      </c>
      <c r="E108" s="0" t="n">
        <f aca="false">W_PH(E$2,$A108)</f>
        <v>1556.73194076704</v>
      </c>
      <c r="F108" s="0" t="n">
        <f aca="false">W_PH(F$2,$A108)</f>
        <v>1556.72969971216</v>
      </c>
      <c r="G108" s="0" t="n">
        <f aca="false">W_PH(G$2,$A108)</f>
        <v>1556.70733873418</v>
      </c>
      <c r="H108" s="0" t="n">
        <f aca="false">W_PH(H$2,$A108)</f>
        <v>1556.68506325788</v>
      </c>
      <c r="I108" s="0" t="n">
        <f aca="false">W_PH(I$2,$A108)</f>
        <v>1556.66286688926</v>
      </c>
      <c r="J108" s="0" t="n">
        <f aca="false">W_PH(J$2,$A108)</f>
        <v>1556.64074350617</v>
      </c>
      <c r="K108" s="0" t="n">
        <f aca="false">W_PH(K$2,$A108)</f>
        <v>1556.61868724979</v>
      </c>
      <c r="L108" s="0" t="n">
        <f aca="false">W_PH(L$2,$A108)</f>
        <v>1556.59669251618</v>
      </c>
      <c r="M108" s="0" t="n">
        <f aca="false">W_PH(M$2,$A108)</f>
        <v>1556.57475394785</v>
      </c>
      <c r="N108" s="0" t="n">
        <f aca="false">W_PH(N$2,$A108)</f>
        <v>1556.55286642526</v>
      </c>
      <c r="O108" s="0" t="n">
        <f aca="false">W_PH(O$2,$A108)</f>
        <v>1556.53102505854</v>
      </c>
      <c r="P108" s="0" t="n">
        <f aca="false">W_PH(P$2,$A108)</f>
        <v>1556.31422187712</v>
      </c>
      <c r="Q108" s="0" t="n">
        <f aca="false">W_PH(Q$2,$A108)</f>
        <v>1556.09804888474</v>
      </c>
      <c r="R108" s="0" t="n">
        <f aca="false">W_PH(R$2,$A108)</f>
        <v>1555.88017724545</v>
      </c>
      <c r="S108" s="0" t="n">
        <f aca="false">W_PH(S$2,$A108)</f>
        <v>1555.65897637418</v>
      </c>
      <c r="T108" s="0" t="n">
        <f aca="false">W_PH(T$2,$A108)</f>
        <v>1555.4329783847</v>
      </c>
      <c r="U108" s="0" t="n">
        <f aca="false">W_PH(U$2,$A108)</f>
        <v>1555.20047974154</v>
      </c>
      <c r="V108" s="0" t="n">
        <f aca="false">W_PH(V$2,$A108)</f>
        <v>1554.9592737977</v>
      </c>
      <c r="W108" s="0" t="n">
        <f aca="false">W_PH(W$2,$A108)</f>
        <v>1554.70650150018</v>
      </c>
      <c r="X108" s="0" t="n">
        <f aca="false">W_PH(X$2,$A108)</f>
        <v>1554.43860467133</v>
      </c>
      <c r="Y108" s="0" t="n">
        <f aca="false">W_PH(Y$2,$A108)</f>
        <v>2015</v>
      </c>
      <c r="Z108" s="0" t="n">
        <f aca="false">W_PH(Z$2,$A108)</f>
        <v>2015</v>
      </c>
      <c r="AA108" s="0" t="n">
        <f aca="false">W_PH(AA$2,$A108)</f>
        <v>2015</v>
      </c>
      <c r="AB108" s="0" t="n">
        <f aca="false">W_PH(AB$2,$A108)</f>
        <v>2015</v>
      </c>
      <c r="AC108" s="0" t="n">
        <f aca="false">W_PH(AC$2,$A108)</f>
        <v>2015</v>
      </c>
      <c r="AD108" s="0" t="n">
        <f aca="false">W_PH(AD$2,$A108)</f>
        <v>2015</v>
      </c>
      <c r="AE108" s="0" t="n">
        <f aca="false">W_PH(AE$2,$A108)</f>
        <v>2015</v>
      </c>
      <c r="AF108" s="0" t="n">
        <f aca="false">W_PH(AF$2,$A108)</f>
        <v>2015</v>
      </c>
      <c r="AG108" s="0" t="n">
        <f aca="false">W_PH(AG$2,$A108)</f>
        <v>2015</v>
      </c>
      <c r="AH108" s="0" t="n">
        <f aca="false">W_PH(AH$2,$A108)</f>
        <v>2015</v>
      </c>
      <c r="AI108" s="0" t="n">
        <f aca="false">W_PH(AI$2,$A108)</f>
        <v>2015</v>
      </c>
      <c r="AJ108" s="0" t="n">
        <f aca="false">W_PH(AJ$2,$A108)</f>
        <v>2015</v>
      </c>
      <c r="AK108" s="0" t="n">
        <f aca="false">W_PH(AK$2,$A108)</f>
        <v>2015</v>
      </c>
      <c r="AL108" s="0" t="n">
        <f aca="false">W_PH(AL$2,$A108)</f>
        <v>2015</v>
      </c>
      <c r="AM108" s="0" t="n">
        <f aca="false">W_PH(AM$2,$A108)</f>
        <v>2015</v>
      </c>
      <c r="AN108" s="0" t="n">
        <f aca="false">W_PH(AN$2,$A108)</f>
        <v>2015</v>
      </c>
      <c r="AO108" s="0" t="n">
        <f aca="false">W_PH(AO$2,$A108)</f>
        <v>2015</v>
      </c>
      <c r="AP108" s="0" t="n">
        <f aca="false">W_PH(AP$2,$A108)</f>
        <v>2015</v>
      </c>
      <c r="AQ108" s="0" t="n">
        <f aca="false">W_PH(AQ$2,$A108)</f>
        <v>1533.42246183764</v>
      </c>
      <c r="AR108" s="0" t="n">
        <f aca="false">W_PH(AR$2,$A108)</f>
        <v>1546.41759580577</v>
      </c>
      <c r="AS108" s="0" t="n">
        <f aca="false">W_PH(AS$2,$A108)</f>
        <v>1551.26170577126</v>
      </c>
    </row>
    <row r="109" customFormat="false" ht="12.8" hidden="false" customHeight="false" outlineLevel="0" collapsed="false">
      <c r="A109" s="0" t="n">
        <v>1156.49183147034</v>
      </c>
      <c r="B109" s="0" t="n">
        <f aca="false">W_PH(B$2,$A109)</f>
        <v>2015</v>
      </c>
      <c r="C109" s="0" t="n">
        <f aca="false">W_PH(C$2,$A109)</f>
        <v>1567.57890813453</v>
      </c>
      <c r="D109" s="0" t="n">
        <f aca="false">W_PH(D$2,$A109)</f>
        <v>1567.57672599005</v>
      </c>
      <c r="E109" s="0" t="n">
        <f aca="false">W_PH(E$2,$A109)</f>
        <v>1567.5745446032</v>
      </c>
      <c r="F109" s="0" t="n">
        <f aca="false">W_PH(F$2,$A109)</f>
        <v>1567.57236397067</v>
      </c>
      <c r="G109" s="0" t="n">
        <f aca="false">W_PH(G$2,$A109)</f>
        <v>1567.55059841377</v>
      </c>
      <c r="H109" s="0" t="n">
        <f aca="false">W_PH(H$2,$A109)</f>
        <v>1567.52890474182</v>
      </c>
      <c r="I109" s="0" t="n">
        <f aca="false">W_PH(I$2,$A109)</f>
        <v>1567.50727985193</v>
      </c>
      <c r="J109" s="0" t="n">
        <f aca="false">W_PH(J$2,$A109)</f>
        <v>1567.48572076265</v>
      </c>
      <c r="K109" s="0" t="n">
        <f aca="false">W_PH(K$2,$A109)</f>
        <v>1567.46422461036</v>
      </c>
      <c r="L109" s="0" t="n">
        <f aca="false">W_PH(L$2,$A109)</f>
        <v>1567.44278864576</v>
      </c>
      <c r="M109" s="0" t="n">
        <f aca="false">W_PH(M$2,$A109)</f>
        <v>1567.42141023031</v>
      </c>
      <c r="N109" s="0" t="n">
        <f aca="false">W_PH(N$2,$A109)</f>
        <v>1567.40008683257</v>
      </c>
      <c r="O109" s="0" t="n">
        <f aca="false">W_PH(O$2,$A109)</f>
        <v>1567.37881602468</v>
      </c>
      <c r="P109" s="0" t="n">
        <f aca="false">W_PH(P$2,$A109)</f>
        <v>1567.16853315418</v>
      </c>
      <c r="Q109" s="0" t="n">
        <f aca="false">W_PH(Q$2,$A109)</f>
        <v>1566.96147134618</v>
      </c>
      <c r="R109" s="0" t="n">
        <f aca="false">W_PH(R$2,$A109)</f>
        <v>1566.75636829081</v>
      </c>
      <c r="S109" s="0" t="n">
        <f aca="false">W_PH(S$2,$A109)</f>
        <v>1566.55227562772</v>
      </c>
      <c r="T109" s="0" t="n">
        <f aca="false">W_PH(T$2,$A109)</f>
        <v>1566.34830091259</v>
      </c>
      <c r="U109" s="0" t="n">
        <f aca="false">W_PH(U$2,$A109)</f>
        <v>1566.14340635149</v>
      </c>
      <c r="V109" s="0" t="n">
        <f aca="false">W_PH(V$2,$A109)</f>
        <v>1565.93626453047</v>
      </c>
      <c r="W109" s="0" t="n">
        <f aca="false">W_PH(W$2,$A109)</f>
        <v>1565.72516768517</v>
      </c>
      <c r="X109" s="0" t="n">
        <f aca="false">W_PH(X$2,$A109)</f>
        <v>1565.50798507232</v>
      </c>
      <c r="Y109" s="0" t="n">
        <f aca="false">W_PH(Y$2,$A109)</f>
        <v>2015</v>
      </c>
      <c r="Z109" s="0" t="n">
        <f aca="false">W_PH(Z$2,$A109)</f>
        <v>2015</v>
      </c>
      <c r="AA109" s="0" t="n">
        <f aca="false">W_PH(AA$2,$A109)</f>
        <v>2015</v>
      </c>
      <c r="AB109" s="0" t="n">
        <f aca="false">W_PH(AB$2,$A109)</f>
        <v>2015</v>
      </c>
      <c r="AC109" s="0" t="n">
        <f aca="false">W_PH(AC$2,$A109)</f>
        <v>2015</v>
      </c>
      <c r="AD109" s="0" t="n">
        <f aca="false">W_PH(AD$2,$A109)</f>
        <v>2015</v>
      </c>
      <c r="AE109" s="0" t="n">
        <f aca="false">W_PH(AE$2,$A109)</f>
        <v>2015</v>
      </c>
      <c r="AF109" s="0" t="n">
        <f aca="false">W_PH(AF$2,$A109)</f>
        <v>2015</v>
      </c>
      <c r="AG109" s="0" t="n">
        <f aca="false">W_PH(AG$2,$A109)</f>
        <v>2015</v>
      </c>
      <c r="AH109" s="0" t="n">
        <f aca="false">W_PH(AH$2,$A109)</f>
        <v>2015</v>
      </c>
      <c r="AI109" s="0" t="n">
        <f aca="false">W_PH(AI$2,$A109)</f>
        <v>2015</v>
      </c>
      <c r="AJ109" s="0" t="n">
        <f aca="false">W_PH(AJ$2,$A109)</f>
        <v>2015</v>
      </c>
      <c r="AK109" s="0" t="n">
        <f aca="false">W_PH(AK$2,$A109)</f>
        <v>2015</v>
      </c>
      <c r="AL109" s="0" t="n">
        <f aca="false">W_PH(AL$2,$A109)</f>
        <v>2015</v>
      </c>
      <c r="AM109" s="0" t="n">
        <f aca="false">W_PH(AM$2,$A109)</f>
        <v>2015</v>
      </c>
      <c r="AN109" s="0" t="n">
        <f aca="false">W_PH(AN$2,$A109)</f>
        <v>2015</v>
      </c>
      <c r="AO109" s="0" t="n">
        <f aca="false">W_PH(AO$2,$A109)</f>
        <v>2015</v>
      </c>
      <c r="AP109" s="0" t="n">
        <f aca="false">W_PH(AP$2,$A109)</f>
        <v>2015</v>
      </c>
      <c r="AQ109" s="0" t="n">
        <f aca="false">W_PH(AQ$2,$A109)</f>
        <v>1543.04192821075</v>
      </c>
      <c r="AR109" s="0" t="n">
        <f aca="false">W_PH(AR$2,$A109)</f>
        <v>1555.76850240196</v>
      </c>
      <c r="AS109" s="0" t="n">
        <f aca="false">W_PH(AS$2,$A109)</f>
        <v>1560.51300612323</v>
      </c>
    </row>
    <row r="110" customFormat="false" ht="12.8" hidden="false" customHeight="false" outlineLevel="0" collapsed="false">
      <c r="A110" s="0" t="n">
        <v>1160.79105760963</v>
      </c>
      <c r="B110" s="0" t="n">
        <f aca="false">W_PH(B$2,$A110)</f>
        <v>2015</v>
      </c>
      <c r="C110" s="0" t="n">
        <f aca="false">W_PH(C$2,$A110)</f>
        <v>1578.31843740698</v>
      </c>
      <c r="D110" s="0" t="n">
        <f aca="false">W_PH(D$2,$A110)</f>
        <v>1578.31632041866</v>
      </c>
      <c r="E110" s="0" t="n">
        <f aca="false">W_PH(E$2,$A110)</f>
        <v>1578.31420404837</v>
      </c>
      <c r="F110" s="0" t="n">
        <f aca="false">W_PH(F$2,$A110)</f>
        <v>1578.3120882945</v>
      </c>
      <c r="G110" s="0" t="n">
        <f aca="false">W_PH(G$2,$A110)</f>
        <v>1578.29096430761</v>
      </c>
      <c r="H110" s="0" t="n">
        <f aca="false">W_PH(H$2,$A110)</f>
        <v>1578.26990022969</v>
      </c>
      <c r="I110" s="0" t="n">
        <f aca="false">W_PH(I$2,$A110)</f>
        <v>1578.24889454056</v>
      </c>
      <c r="J110" s="0" t="n">
        <f aca="false">W_PH(J$2,$A110)</f>
        <v>1578.22794577477</v>
      </c>
      <c r="K110" s="0" t="n">
        <f aca="false">W_PH(K$2,$A110)</f>
        <v>1578.20705252006</v>
      </c>
      <c r="L110" s="0" t="n">
        <f aca="false">W_PH(L$2,$A110)</f>
        <v>1578.18621341588</v>
      </c>
      <c r="M110" s="0" t="n">
        <f aca="false">W_PH(M$2,$A110)</f>
        <v>1578.16542715188</v>
      </c>
      <c r="N110" s="0" t="n">
        <f aca="false">W_PH(N$2,$A110)</f>
        <v>1578.14469246629</v>
      </c>
      <c r="O110" s="0" t="n">
        <f aca="false">W_PH(O$2,$A110)</f>
        <v>1578.12400814445</v>
      </c>
      <c r="P110" s="0" t="n">
        <f aca="false">W_PH(P$2,$A110)</f>
        <v>1577.91969822711</v>
      </c>
      <c r="Q110" s="0" t="n">
        <f aca="false">W_PH(Q$2,$A110)</f>
        <v>1577.71937781868</v>
      </c>
      <c r="R110" s="0" t="n">
        <f aca="false">W_PH(R$2,$A110)</f>
        <v>1577.52236587253</v>
      </c>
      <c r="S110" s="0" t="n">
        <f aca="false">W_PH(S$2,$A110)</f>
        <v>1577.3281225079</v>
      </c>
      <c r="T110" s="0" t="n">
        <f aca="false">W_PH(T$2,$A110)</f>
        <v>1577.13612379601</v>
      </c>
      <c r="U110" s="0" t="n">
        <f aca="false">W_PH(U$2,$A110)</f>
        <v>1576.94575988801</v>
      </c>
      <c r="V110" s="0" t="n">
        <f aca="false">W_PH(V$2,$A110)</f>
        <v>1576.75625795391</v>
      </c>
      <c r="W110" s="0" t="n">
        <f aca="false">W_PH(W$2,$A110)</f>
        <v>1576.56662941186</v>
      </c>
      <c r="X110" s="0" t="n">
        <f aca="false">W_PH(X$2,$A110)</f>
        <v>1576.3756397299</v>
      </c>
      <c r="Y110" s="0" t="n">
        <f aca="false">W_PH(Y$2,$A110)</f>
        <v>2015</v>
      </c>
      <c r="Z110" s="0" t="n">
        <f aca="false">W_PH(Z$2,$A110)</f>
        <v>2015</v>
      </c>
      <c r="AA110" s="0" t="n">
        <f aca="false">W_PH(AA$2,$A110)</f>
        <v>2015</v>
      </c>
      <c r="AB110" s="0" t="n">
        <f aca="false">W_PH(AB$2,$A110)</f>
        <v>2015</v>
      </c>
      <c r="AC110" s="0" t="n">
        <f aca="false">W_PH(AC$2,$A110)</f>
        <v>2015</v>
      </c>
      <c r="AD110" s="0" t="n">
        <f aca="false">W_PH(AD$2,$A110)</f>
        <v>2015</v>
      </c>
      <c r="AE110" s="0" t="n">
        <f aca="false">W_PH(AE$2,$A110)</f>
        <v>2015</v>
      </c>
      <c r="AF110" s="0" t="n">
        <f aca="false">W_PH(AF$2,$A110)</f>
        <v>2015</v>
      </c>
      <c r="AG110" s="0" t="n">
        <f aca="false">W_PH(AG$2,$A110)</f>
        <v>2015</v>
      </c>
      <c r="AH110" s="0" t="n">
        <f aca="false">W_PH(AH$2,$A110)</f>
        <v>2015</v>
      </c>
      <c r="AI110" s="0" t="n">
        <f aca="false">W_PH(AI$2,$A110)</f>
        <v>2015</v>
      </c>
      <c r="AJ110" s="0" t="n">
        <f aca="false">W_PH(AJ$2,$A110)</f>
        <v>2015</v>
      </c>
      <c r="AK110" s="0" t="n">
        <f aca="false">W_PH(AK$2,$A110)</f>
        <v>2015</v>
      </c>
      <c r="AL110" s="0" t="n">
        <f aca="false">W_PH(AL$2,$A110)</f>
        <v>2015</v>
      </c>
      <c r="AM110" s="0" t="n">
        <f aca="false">W_PH(AM$2,$A110)</f>
        <v>2015</v>
      </c>
      <c r="AN110" s="0" t="n">
        <f aca="false">W_PH(AN$2,$A110)</f>
        <v>2015</v>
      </c>
      <c r="AO110" s="0" t="n">
        <f aca="false">W_PH(AO$2,$A110)</f>
        <v>2015</v>
      </c>
      <c r="AP110" s="0" t="n">
        <f aca="false">W_PH(AP$2,$A110)</f>
        <v>2015</v>
      </c>
      <c r="AQ110" s="0" t="n">
        <f aca="false">W_PH(AQ$2,$A110)</f>
        <v>1552.66380349444</v>
      </c>
      <c r="AR110" s="0" t="n">
        <f aca="false">W_PH(AR$2,$A110)</f>
        <v>1565.12977114492</v>
      </c>
      <c r="AS110" s="0" t="n">
        <f aca="false">W_PH(AS$2,$A110)</f>
        <v>1569.77620390701</v>
      </c>
    </row>
    <row r="111" customFormat="false" ht="12.8" hidden="false" customHeight="false" outlineLevel="0" collapsed="false">
      <c r="A111" s="0" t="n">
        <v>1165.09028374893</v>
      </c>
      <c r="B111" s="0" t="n">
        <f aca="false">W_PH(B$2,$A111)</f>
        <v>2015</v>
      </c>
      <c r="C111" s="0" t="n">
        <f aca="false">W_PH(C$2,$A111)</f>
        <v>1588.95703033651</v>
      </c>
      <c r="D111" s="0" t="n">
        <f aca="false">W_PH(D$2,$A111)</f>
        <v>1588.95498068033</v>
      </c>
      <c r="E111" s="0" t="n">
        <f aca="false">W_PH(E$2,$A111)</f>
        <v>1588.95293153324</v>
      </c>
      <c r="F111" s="0" t="n">
        <f aca="false">W_PH(F$2,$A111)</f>
        <v>1588.95088289444</v>
      </c>
      <c r="G111" s="0" t="n">
        <f aca="false">W_PH(G$2,$A111)</f>
        <v>1588.93042428898</v>
      </c>
      <c r="H111" s="0" t="n">
        <f aca="false">W_PH(H$2,$A111)</f>
        <v>1588.91001565514</v>
      </c>
      <c r="I111" s="0" t="n">
        <f aca="false">W_PH(I$2,$A111)</f>
        <v>1588.88965623816</v>
      </c>
      <c r="J111" s="0" t="n">
        <f aca="false">W_PH(J$2,$A111)</f>
        <v>1588.86934530812</v>
      </c>
      <c r="K111" s="0" t="n">
        <f aca="false">W_PH(K$2,$A111)</f>
        <v>1588.84908215935</v>
      </c>
      <c r="L111" s="0" t="n">
        <f aca="false">W_PH(L$2,$A111)</f>
        <v>1588.82886610973</v>
      </c>
      <c r="M111" s="0" t="n">
        <f aca="false">W_PH(M$2,$A111)</f>
        <v>1588.80869650007</v>
      </c>
      <c r="N111" s="0" t="n">
        <f aca="false">W_PH(N$2,$A111)</f>
        <v>1588.78857269342</v>
      </c>
      <c r="O111" s="0" t="n">
        <f aca="false">W_PH(O$2,$A111)</f>
        <v>1588.76849407439</v>
      </c>
      <c r="P111" s="0" t="n">
        <f aca="false">W_PH(P$2,$A111)</f>
        <v>1588.57007184148</v>
      </c>
      <c r="Q111" s="0" t="n">
        <f aca="false">W_PH(Q$2,$A111)</f>
        <v>1588.37562455574</v>
      </c>
      <c r="R111" s="0" t="n">
        <f aca="false">W_PH(R$2,$A111)</f>
        <v>1588.18478249728</v>
      </c>
      <c r="S111" s="0" t="n">
        <f aca="false">W_PH(S$2,$A111)</f>
        <v>1587.99723933613</v>
      </c>
      <c r="T111" s="0" t="n">
        <f aca="false">W_PH(T$2,$A111)</f>
        <v>1587.81269093664</v>
      </c>
      <c r="U111" s="0" t="n">
        <f aca="false">W_PH(U$2,$A111)</f>
        <v>1587.63078365593</v>
      </c>
      <c r="V111" s="0" t="n">
        <f aca="false">W_PH(V$2,$A111)</f>
        <v>1587.45107341475</v>
      </c>
      <c r="W111" s="0" t="n">
        <f aca="false">W_PH(W$2,$A111)</f>
        <v>1587.27299578831</v>
      </c>
      <c r="X111" s="0" t="n">
        <f aca="false">W_PH(X$2,$A111)</f>
        <v>1587.09584669647</v>
      </c>
      <c r="Y111" s="0" t="n">
        <f aca="false">W_PH(Y$2,$A111)</f>
        <v>1585.12383706243</v>
      </c>
      <c r="Z111" s="0" t="n">
        <f aca="false">W_PH(Z$2,$A111)</f>
        <v>2015</v>
      </c>
      <c r="AA111" s="0" t="n">
        <f aca="false">W_PH(AA$2,$A111)</f>
        <v>2015</v>
      </c>
      <c r="AB111" s="0" t="n">
        <f aca="false">W_PH(AB$2,$A111)</f>
        <v>2015</v>
      </c>
      <c r="AC111" s="0" t="n">
        <f aca="false">W_PH(AC$2,$A111)</f>
        <v>2015</v>
      </c>
      <c r="AD111" s="0" t="n">
        <f aca="false">W_PH(AD$2,$A111)</f>
        <v>2015</v>
      </c>
      <c r="AE111" s="0" t="n">
        <f aca="false">W_PH(AE$2,$A111)</f>
        <v>2015</v>
      </c>
      <c r="AF111" s="0" t="n">
        <f aca="false">W_PH(AF$2,$A111)</f>
        <v>2015</v>
      </c>
      <c r="AG111" s="0" t="n">
        <f aca="false">W_PH(AG$2,$A111)</f>
        <v>2015</v>
      </c>
      <c r="AH111" s="0" t="n">
        <f aca="false">W_PH(AH$2,$A111)</f>
        <v>2015</v>
      </c>
      <c r="AI111" s="0" t="n">
        <f aca="false">W_PH(AI$2,$A111)</f>
        <v>2015</v>
      </c>
      <c r="AJ111" s="0" t="n">
        <f aca="false">W_PH(AJ$2,$A111)</f>
        <v>2015</v>
      </c>
      <c r="AK111" s="0" t="n">
        <f aca="false">W_PH(AK$2,$A111)</f>
        <v>2015</v>
      </c>
      <c r="AL111" s="0" t="n">
        <f aca="false">W_PH(AL$2,$A111)</f>
        <v>2015</v>
      </c>
      <c r="AM111" s="0" t="n">
        <f aca="false">W_PH(AM$2,$A111)</f>
        <v>2015</v>
      </c>
      <c r="AN111" s="0" t="n">
        <f aca="false">W_PH(AN$2,$A111)</f>
        <v>2015</v>
      </c>
      <c r="AO111" s="0" t="n">
        <f aca="false">W_PH(AO$2,$A111)</f>
        <v>2015</v>
      </c>
      <c r="AP111" s="0" t="n">
        <f aca="false">W_PH(AP$2,$A111)</f>
        <v>2015</v>
      </c>
      <c r="AQ111" s="0" t="n">
        <f aca="false">W_PH(AQ$2,$A111)</f>
        <v>1562.28954093673</v>
      </c>
      <c r="AR111" s="0" t="n">
        <f aca="false">W_PH(AR$2,$A111)</f>
        <v>1574.49966550008</v>
      </c>
      <c r="AS111" s="0" t="n">
        <f aca="false">W_PH(AS$2,$A111)</f>
        <v>1579.04880434209</v>
      </c>
    </row>
    <row r="112" customFormat="false" ht="12.8" hidden="false" customHeight="false" outlineLevel="0" collapsed="false">
      <c r="A112" s="0" t="n">
        <v>1169.38950988822</v>
      </c>
      <c r="B112" s="0" t="n">
        <f aca="false">W_PH(B$2,$A112)</f>
        <v>2015</v>
      </c>
      <c r="C112" s="0" t="n">
        <f aca="false">W_PH(C$2,$A112)</f>
        <v>1599.49667326183</v>
      </c>
      <c r="D112" s="0" t="n">
        <f aca="false">W_PH(D$2,$A112)</f>
        <v>1599.49469158835</v>
      </c>
      <c r="E112" s="0" t="n">
        <f aca="false">W_PH(E$2,$A112)</f>
        <v>1599.49271033862</v>
      </c>
      <c r="F112" s="0" t="n">
        <f aca="false">W_PH(F$2,$A112)</f>
        <v>1599.49072951222</v>
      </c>
      <c r="G112" s="0" t="n">
        <f aca="false">W_PH(G$2,$A112)</f>
        <v>1599.47094444463</v>
      </c>
      <c r="H112" s="0" t="n">
        <f aca="false">W_PH(H$2,$A112)</f>
        <v>1599.45120127826</v>
      </c>
      <c r="I112" s="0" t="n">
        <f aca="false">W_PH(I$2,$A112)</f>
        <v>1599.43149963078</v>
      </c>
      <c r="J112" s="0" t="n">
        <f aca="false">W_PH(J$2,$A112)</f>
        <v>1599.41183913126</v>
      </c>
      <c r="K112" s="0" t="n">
        <f aca="false">W_PH(K$2,$A112)</f>
        <v>1599.39221941987</v>
      </c>
      <c r="L112" s="0" t="n">
        <f aca="false">W_PH(L$2,$A112)</f>
        <v>1599.37264014761</v>
      </c>
      <c r="M112" s="0" t="n">
        <f aca="false">W_PH(M$2,$A112)</f>
        <v>1599.35310097605</v>
      </c>
      <c r="N112" s="0" t="n">
        <f aca="false">W_PH(N$2,$A112)</f>
        <v>1599.33360157697</v>
      </c>
      <c r="O112" s="0" t="n">
        <f aca="false">W_PH(O$2,$A112)</f>
        <v>1599.31414163211</v>
      </c>
      <c r="P112" s="0" t="n">
        <f aca="false">W_PH(P$2,$A112)</f>
        <v>1599.12164863306</v>
      </c>
      <c r="Q112" s="0" t="n">
        <f aca="false">W_PH(Q$2,$A112)</f>
        <v>1598.9328125853</v>
      </c>
      <c r="R112" s="0" t="n">
        <f aca="false">W_PH(R$2,$A112)</f>
        <v>1598.747428881</v>
      </c>
      <c r="S112" s="0" t="n">
        <f aca="false">W_PH(S$2,$A112)</f>
        <v>1598.56532128131</v>
      </c>
      <c r="T112" s="0" t="n">
        <f aca="false">W_PH(T$2,$A112)</f>
        <v>1598.38631180199</v>
      </c>
      <c r="U112" s="0" t="n">
        <f aca="false">W_PH(U$2,$A112)</f>
        <v>1598.21019439243</v>
      </c>
      <c r="V112" s="0" t="n">
        <f aca="false">W_PH(V$2,$A112)</f>
        <v>1598.03671326594</v>
      </c>
      <c r="W112" s="0" t="n">
        <f aca="false">W_PH(W$2,$A112)</f>
        <v>1597.8655462199</v>
      </c>
      <c r="X112" s="0" t="n">
        <f aca="false">W_PH(X$2,$A112)</f>
        <v>1597.69629292927</v>
      </c>
      <c r="Y112" s="0" t="n">
        <f aca="false">W_PH(Y$2,$A112)</f>
        <v>1595.96242037848</v>
      </c>
      <c r="Z112" s="0" t="n">
        <f aca="false">W_PH(Z$2,$A112)</f>
        <v>2015</v>
      </c>
      <c r="AA112" s="0" t="n">
        <f aca="false">W_PH(AA$2,$A112)</f>
        <v>2015</v>
      </c>
      <c r="AB112" s="0" t="n">
        <f aca="false">W_PH(AB$2,$A112)</f>
        <v>2015</v>
      </c>
      <c r="AC112" s="0" t="n">
        <f aca="false">W_PH(AC$2,$A112)</f>
        <v>2015</v>
      </c>
      <c r="AD112" s="0" t="n">
        <f aca="false">W_PH(AD$2,$A112)</f>
        <v>2015</v>
      </c>
      <c r="AE112" s="0" t="n">
        <f aca="false">W_PH(AE$2,$A112)</f>
        <v>2015</v>
      </c>
      <c r="AF112" s="0" t="n">
        <f aca="false">W_PH(AF$2,$A112)</f>
        <v>2015</v>
      </c>
      <c r="AG112" s="0" t="n">
        <f aca="false">W_PH(AG$2,$A112)</f>
        <v>2015</v>
      </c>
      <c r="AH112" s="0" t="n">
        <f aca="false">W_PH(AH$2,$A112)</f>
        <v>2015</v>
      </c>
      <c r="AI112" s="0" t="n">
        <f aca="false">W_PH(AI$2,$A112)</f>
        <v>2015</v>
      </c>
      <c r="AJ112" s="0" t="n">
        <f aca="false">W_PH(AJ$2,$A112)</f>
        <v>2015</v>
      </c>
      <c r="AK112" s="0" t="n">
        <f aca="false">W_PH(AK$2,$A112)</f>
        <v>2015</v>
      </c>
      <c r="AL112" s="0" t="n">
        <f aca="false">W_PH(AL$2,$A112)</f>
        <v>2015</v>
      </c>
      <c r="AM112" s="0" t="n">
        <f aca="false">W_PH(AM$2,$A112)</f>
        <v>2015</v>
      </c>
      <c r="AN112" s="0" t="n">
        <f aca="false">W_PH(AN$2,$A112)</f>
        <v>2015</v>
      </c>
      <c r="AO112" s="0" t="n">
        <f aca="false">W_PH(AO$2,$A112)</f>
        <v>2015</v>
      </c>
      <c r="AP112" s="0" t="n">
        <f aca="false">W_PH(AP$2,$A112)</f>
        <v>2015</v>
      </c>
      <c r="AQ112" s="0" t="n">
        <f aca="false">W_PH(AQ$2,$A112)</f>
        <v>1571.91873699702</v>
      </c>
      <c r="AR112" s="0" t="n">
        <f aca="false">W_PH(AR$2,$A112)</f>
        <v>1583.8751560654</v>
      </c>
      <c r="AS112" s="0" t="n">
        <f aca="false">W_PH(AS$2,$A112)</f>
        <v>1588.32720710961</v>
      </c>
    </row>
    <row r="113" customFormat="false" ht="12.8" hidden="false" customHeight="false" outlineLevel="0" collapsed="false">
      <c r="A113" s="0" t="n">
        <v>1173.68873602752</v>
      </c>
      <c r="B113" s="0" t="n">
        <f aca="false">W_PH(B$2,$A113)</f>
        <v>2015</v>
      </c>
      <c r="C113" s="0" t="n">
        <f aca="false">W_PH(C$2,$A113)</f>
        <v>1609.93931732112</v>
      </c>
      <c r="D113" s="0" t="n">
        <f aca="false">W_PH(D$2,$A113)</f>
        <v>1609.93740324697</v>
      </c>
      <c r="E113" s="0" t="n">
        <f aca="false">W_PH(E$2,$A113)</f>
        <v>1609.93548952905</v>
      </c>
      <c r="F113" s="0" t="n">
        <f aca="false">W_PH(F$2,$A113)</f>
        <v>1609.93357616714</v>
      </c>
      <c r="G113" s="0" t="n">
        <f aca="false">W_PH(G$2,$A113)</f>
        <v>1609.9144620834</v>
      </c>
      <c r="H113" s="0" t="n">
        <f aca="false">W_PH(H$2,$A113)</f>
        <v>1609.89538337573</v>
      </c>
      <c r="I113" s="0" t="n">
        <f aca="false">W_PH(I$2,$A113)</f>
        <v>1609.87633984441</v>
      </c>
      <c r="J113" s="0" t="n">
        <f aca="false">W_PH(J$2,$A113)</f>
        <v>1609.85733129497</v>
      </c>
      <c r="K113" s="0" t="n">
        <f aca="false">W_PH(K$2,$A113)</f>
        <v>1609.83835753806</v>
      </c>
      <c r="L113" s="0" t="n">
        <f aca="false">W_PH(L$2,$A113)</f>
        <v>1609.81941838936</v>
      </c>
      <c r="M113" s="0" t="n">
        <f aca="false">W_PH(M$2,$A113)</f>
        <v>1609.80051366942</v>
      </c>
      <c r="N113" s="0" t="n">
        <f aca="false">W_PH(N$2,$A113)</f>
        <v>1609.78164320352</v>
      </c>
      <c r="O113" s="0" t="n">
        <f aca="false">W_PH(O$2,$A113)</f>
        <v>1609.76280682158</v>
      </c>
      <c r="P113" s="0" t="n">
        <f aca="false">W_PH(P$2,$A113)</f>
        <v>1609.57628321394</v>
      </c>
      <c r="Q113" s="0" t="n">
        <f aca="false">W_PH(Q$2,$A113)</f>
        <v>1609.39300955649</v>
      </c>
      <c r="R113" s="0" t="n">
        <f aca="false">W_PH(R$2,$A113)</f>
        <v>1609.21286852349</v>
      </c>
      <c r="S113" s="0" t="n">
        <f aca="false">W_PH(S$2,$A113)</f>
        <v>1609.03575539565</v>
      </c>
      <c r="T113" s="0" t="n">
        <f aca="false">W_PH(T$2,$A113)</f>
        <v>1608.86156314596</v>
      </c>
      <c r="U113" s="0" t="n">
        <f aca="false">W_PH(U$2,$A113)</f>
        <v>1608.69016899831</v>
      </c>
      <c r="V113" s="0" t="n">
        <f aca="false">W_PH(V$2,$A113)</f>
        <v>1608.52142297561</v>
      </c>
      <c r="W113" s="0" t="n">
        <f aca="false">W_PH(W$2,$A113)</f>
        <v>1608.35513869818</v>
      </c>
      <c r="X113" s="0" t="n">
        <f aca="false">W_PH(X$2,$A113)</f>
        <v>1608.19108650996</v>
      </c>
      <c r="Y113" s="0" t="n">
        <f aca="false">W_PH(Y$2,$A113)</f>
        <v>1606.5883980904</v>
      </c>
      <c r="Z113" s="0" t="n">
        <f aca="false">W_PH(Z$2,$A113)</f>
        <v>1604.6627926137</v>
      </c>
      <c r="AA113" s="0" t="n">
        <f aca="false">W_PH(AA$2,$A113)</f>
        <v>2015</v>
      </c>
      <c r="AB113" s="0" t="n">
        <f aca="false">W_PH(AB$2,$A113)</f>
        <v>2015</v>
      </c>
      <c r="AC113" s="0" t="n">
        <f aca="false">W_PH(AC$2,$A113)</f>
        <v>2015</v>
      </c>
      <c r="AD113" s="0" t="n">
        <f aca="false">W_PH(AD$2,$A113)</f>
        <v>2015</v>
      </c>
      <c r="AE113" s="0" t="n">
        <f aca="false">W_PH(AE$2,$A113)</f>
        <v>2015</v>
      </c>
      <c r="AF113" s="0" t="n">
        <f aca="false">W_PH(AF$2,$A113)</f>
        <v>2015</v>
      </c>
      <c r="AG113" s="0" t="n">
        <f aca="false">W_PH(AG$2,$A113)</f>
        <v>2015</v>
      </c>
      <c r="AH113" s="0" t="n">
        <f aca="false">W_PH(AH$2,$A113)</f>
        <v>2015</v>
      </c>
      <c r="AI113" s="0" t="n">
        <f aca="false">W_PH(AI$2,$A113)</f>
        <v>2015</v>
      </c>
      <c r="AJ113" s="0" t="n">
        <f aca="false">W_PH(AJ$2,$A113)</f>
        <v>2015</v>
      </c>
      <c r="AK113" s="0" t="n">
        <f aca="false">W_PH(AK$2,$A113)</f>
        <v>2015</v>
      </c>
      <c r="AL113" s="0" t="n">
        <f aca="false">W_PH(AL$2,$A113)</f>
        <v>2015</v>
      </c>
      <c r="AM113" s="0" t="n">
        <f aca="false">W_PH(AM$2,$A113)</f>
        <v>2015</v>
      </c>
      <c r="AN113" s="0" t="n">
        <f aca="false">W_PH(AN$2,$A113)</f>
        <v>2015</v>
      </c>
      <c r="AO113" s="0" t="n">
        <f aca="false">W_PH(AO$2,$A113)</f>
        <v>2015</v>
      </c>
      <c r="AP113" s="0" t="n">
        <f aca="false">W_PH(AP$2,$A113)</f>
        <v>1555.33368596344</v>
      </c>
      <c r="AQ113" s="0" t="n">
        <f aca="false">W_PH(AQ$2,$A113)</f>
        <v>1581.54934381484</v>
      </c>
      <c r="AR113" s="0" t="n">
        <f aca="false">W_PH(AR$2,$A113)</f>
        <v>1593.25219637996</v>
      </c>
      <c r="AS113" s="0" t="n">
        <f aca="false">W_PH(AS$2,$A113)</f>
        <v>1597.60698661663</v>
      </c>
    </row>
    <row r="114" customFormat="false" ht="12.8" hidden="false" customHeight="false" outlineLevel="0" collapsed="false">
      <c r="A114" s="0" t="n">
        <v>1177.98796216681</v>
      </c>
      <c r="B114" s="0" t="n">
        <f aca="false">W_PH(B$2,$A114)</f>
        <v>2015</v>
      </c>
      <c r="C114" s="0" t="n">
        <f aca="false">W_PH(C$2,$A114)</f>
        <v>1620.28687488612</v>
      </c>
      <c r="D114" s="0" t="n">
        <f aca="false">W_PH(D$2,$A114)</f>
        <v>1620.2850273439</v>
      </c>
      <c r="E114" s="0" t="n">
        <f aca="false">W_PH(E$2,$A114)</f>
        <v>1620.28318010381</v>
      </c>
      <c r="F114" s="0" t="n">
        <f aca="false">W_PH(F$2,$A114)</f>
        <v>1620.28133316576</v>
      </c>
      <c r="G114" s="0" t="n">
        <f aca="false">W_PH(G$2,$A114)</f>
        <v>1620.26288037172</v>
      </c>
      <c r="H114" s="0" t="n">
        <f aca="false">W_PH(H$2,$A114)</f>
        <v>1620.24445765722</v>
      </c>
      <c r="I114" s="0" t="n">
        <f aca="false">W_PH(I$2,$A114)</f>
        <v>1620.22606491297</v>
      </c>
      <c r="J114" s="0" t="n">
        <f aca="false">W_PH(J$2,$A114)</f>
        <v>1620.20770203215</v>
      </c>
      <c r="K114" s="0" t="n">
        <f aca="false">W_PH(K$2,$A114)</f>
        <v>1620.1893689103</v>
      </c>
      <c r="L114" s="0" t="n">
        <f aca="false">W_PH(L$2,$A114)</f>
        <v>1620.17106544528</v>
      </c>
      <c r="M114" s="0" t="n">
        <f aca="false">W_PH(M$2,$A114)</f>
        <v>1620.15279153723</v>
      </c>
      <c r="N114" s="0" t="n">
        <f aca="false">W_PH(N$2,$A114)</f>
        <v>1620.13454708851</v>
      </c>
      <c r="O114" s="0" t="n">
        <f aca="false">W_PH(O$2,$A114)</f>
        <v>1620.11633200361</v>
      </c>
      <c r="P114" s="0" t="n">
        <f aca="false">W_PH(P$2,$A114)</f>
        <v>1619.93577655881</v>
      </c>
      <c r="Q114" s="0" t="n">
        <f aca="false">W_PH(Q$2,$A114)</f>
        <v>1619.7580658006</v>
      </c>
      <c r="R114" s="0" t="n">
        <f aca="false">W_PH(R$2,$A114)</f>
        <v>1619.58312874973</v>
      </c>
      <c r="S114" s="0" t="n">
        <f aca="false">W_PH(S$2,$A114)</f>
        <v>1619.4108999502</v>
      </c>
      <c r="T114" s="0" t="n">
        <f aca="false">W_PH(T$2,$A114)</f>
        <v>1619.24131204128</v>
      </c>
      <c r="U114" s="0" t="n">
        <f aca="false">W_PH(U$2,$A114)</f>
        <v>1619.07428887453</v>
      </c>
      <c r="V114" s="0" t="n">
        <f aca="false">W_PH(V$2,$A114)</f>
        <v>1618.90973946971</v>
      </c>
      <c r="W114" s="0" t="n">
        <f aca="false">W_PH(W$2,$A114)</f>
        <v>1618.74755297872</v>
      </c>
      <c r="X114" s="0" t="n">
        <f aca="false">W_PH(X$2,$A114)</f>
        <v>1618.58759473469</v>
      </c>
      <c r="Y114" s="0" t="n">
        <f aca="false">W_PH(Y$2,$A114)</f>
        <v>1617.06108885487</v>
      </c>
      <c r="Z114" s="0" t="n">
        <f aca="false">W_PH(Z$2,$A114)</f>
        <v>1615.42847175476</v>
      </c>
      <c r="AA114" s="0" t="n">
        <f aca="false">W_PH(AA$2,$A114)</f>
        <v>1613.33489504798</v>
      </c>
      <c r="AB114" s="0" t="n">
        <f aca="false">W_PH(AB$2,$A114)</f>
        <v>2015</v>
      </c>
      <c r="AC114" s="0" t="n">
        <f aca="false">W_PH(AC$2,$A114)</f>
        <v>2015</v>
      </c>
      <c r="AD114" s="0" t="n">
        <f aca="false">W_PH(AD$2,$A114)</f>
        <v>2015</v>
      </c>
      <c r="AE114" s="0" t="n">
        <f aca="false">W_PH(AE$2,$A114)</f>
        <v>2015</v>
      </c>
      <c r="AF114" s="0" t="n">
        <f aca="false">W_PH(AF$2,$A114)</f>
        <v>2015</v>
      </c>
      <c r="AG114" s="0" t="n">
        <f aca="false">W_PH(AG$2,$A114)</f>
        <v>2015</v>
      </c>
      <c r="AH114" s="0" t="n">
        <f aca="false">W_PH(AH$2,$A114)</f>
        <v>2015</v>
      </c>
      <c r="AI114" s="0" t="n">
        <f aca="false">W_PH(AI$2,$A114)</f>
        <v>2015</v>
      </c>
      <c r="AJ114" s="0" t="n">
        <f aca="false">W_PH(AJ$2,$A114)</f>
        <v>2015</v>
      </c>
      <c r="AK114" s="0" t="n">
        <f aca="false">W_PH(AK$2,$A114)</f>
        <v>2015</v>
      </c>
      <c r="AL114" s="0" t="n">
        <f aca="false">W_PH(AL$2,$A114)</f>
        <v>2015</v>
      </c>
      <c r="AM114" s="0" t="n">
        <f aca="false">W_PH(AM$2,$A114)</f>
        <v>2015</v>
      </c>
      <c r="AN114" s="0" t="n">
        <f aca="false">W_PH(AN$2,$A114)</f>
        <v>2015</v>
      </c>
      <c r="AO114" s="0" t="n">
        <f aca="false">W_PH(AO$2,$A114)</f>
        <v>2015</v>
      </c>
      <c r="AP114" s="0" t="n">
        <f aca="false">W_PH(AP$2,$A114)</f>
        <v>1566.96637852052</v>
      </c>
      <c r="AQ114" s="0" t="n">
        <f aca="false">W_PH(AQ$2,$A114)</f>
        <v>1591.17798061049</v>
      </c>
      <c r="AR114" s="0" t="n">
        <f aca="false">W_PH(AR$2,$A114)</f>
        <v>1602.62604336375</v>
      </c>
      <c r="AS114" s="0" t="n">
        <f aca="false">W_PH(AS$2,$A114)</f>
        <v>1606.8832035752</v>
      </c>
    </row>
    <row r="115" customFormat="false" ht="12.8" hidden="false" customHeight="false" outlineLevel="0" collapsed="false">
      <c r="A115" s="0" t="n">
        <v>1182.2871883061</v>
      </c>
      <c r="B115" s="0" t="n">
        <f aca="false">W_PH(B$2,$A115)</f>
        <v>2015</v>
      </c>
      <c r="C115" s="0" t="n">
        <f aca="false">W_PH(C$2,$A115)</f>
        <v>1630.54121692217</v>
      </c>
      <c r="D115" s="0" t="n">
        <f aca="false">W_PH(D$2,$A115)</f>
        <v>1630.5394344063</v>
      </c>
      <c r="E115" s="0" t="n">
        <f aca="false">W_PH(E$2,$A115)</f>
        <v>1630.53765214867</v>
      </c>
      <c r="F115" s="0" t="n">
        <f aca="false">W_PH(F$2,$A115)</f>
        <v>1630.53587014923</v>
      </c>
      <c r="G115" s="0" t="n">
        <f aca="false">W_PH(G$2,$A115)</f>
        <v>1630.51806434027</v>
      </c>
      <c r="H115" s="0" t="n">
        <f aca="false">W_PH(H$2,$A115)</f>
        <v>1630.5002842779</v>
      </c>
      <c r="I115" s="0" t="n">
        <f aca="false">W_PH(I$2,$A115)</f>
        <v>1630.48252989836</v>
      </c>
      <c r="J115" s="0" t="n">
        <f aca="false">W_PH(J$2,$A115)</f>
        <v>1630.46480113902</v>
      </c>
      <c r="K115" s="0" t="n">
        <f aca="false">W_PH(K$2,$A115)</f>
        <v>1630.44709793836</v>
      </c>
      <c r="L115" s="0" t="n">
        <f aca="false">W_PH(L$2,$A115)</f>
        <v>1630.42942023594</v>
      </c>
      <c r="M115" s="0" t="n">
        <f aca="false">W_PH(M$2,$A115)</f>
        <v>1630.41176797238</v>
      </c>
      <c r="N115" s="0" t="n">
        <f aca="false">W_PH(N$2,$A115)</f>
        <v>1630.39414108932</v>
      </c>
      <c r="O115" s="0" t="n">
        <f aca="false">W_PH(O$2,$A115)</f>
        <v>1630.3765395294</v>
      </c>
      <c r="P115" s="0" t="n">
        <f aca="false">W_PH(P$2,$A115)</f>
        <v>1630.20190474005</v>
      </c>
      <c r="Q115" s="0" t="n">
        <f aca="false">W_PH(Q$2,$A115)</f>
        <v>1630.02974539704</v>
      </c>
      <c r="R115" s="0" t="n">
        <f aca="false">W_PH(R$2,$A115)</f>
        <v>1629.86001551072</v>
      </c>
      <c r="S115" s="0" t="n">
        <f aca="false">W_PH(S$2,$A115)</f>
        <v>1629.69267144437</v>
      </c>
      <c r="T115" s="0" t="n">
        <f aca="false">W_PH(T$2,$A115)</f>
        <v>1629.52766819761</v>
      </c>
      <c r="U115" s="0" t="n">
        <f aca="false">W_PH(U$2,$A115)</f>
        <v>1629.36495587446</v>
      </c>
      <c r="V115" s="0" t="n">
        <f aca="false">W_PH(V$2,$A115)</f>
        <v>1629.20447649755</v>
      </c>
      <c r="W115" s="0" t="n">
        <f aca="false">W_PH(W$2,$A115)</f>
        <v>1629.04616126956</v>
      </c>
      <c r="X115" s="0" t="n">
        <f aca="false">W_PH(X$2,$A115)</f>
        <v>1628.88992833747</v>
      </c>
      <c r="Y115" s="0" t="n">
        <f aca="false">W_PH(Y$2,$A115)</f>
        <v>1627.41281237889</v>
      </c>
      <c r="Z115" s="0" t="n">
        <f aca="false">W_PH(Z$2,$A115)</f>
        <v>1625.94563009387</v>
      </c>
      <c r="AA115" s="0" t="n">
        <f aca="false">W_PH(AA$2,$A115)</f>
        <v>1624.25121388467</v>
      </c>
      <c r="AB115" s="0" t="n">
        <f aca="false">W_PH(AB$2,$A115)</f>
        <v>1622.17677118017</v>
      </c>
      <c r="AC115" s="0" t="n">
        <f aca="false">W_PH(AC$2,$A115)</f>
        <v>2015</v>
      </c>
      <c r="AD115" s="0" t="n">
        <f aca="false">W_PH(AD$2,$A115)</f>
        <v>2015</v>
      </c>
      <c r="AE115" s="0" t="n">
        <f aca="false">W_PH(AE$2,$A115)</f>
        <v>2015</v>
      </c>
      <c r="AF115" s="0" t="n">
        <f aca="false">W_PH(AF$2,$A115)</f>
        <v>2015</v>
      </c>
      <c r="AG115" s="0" t="n">
        <f aca="false">W_PH(AG$2,$A115)</f>
        <v>2015</v>
      </c>
      <c r="AH115" s="0" t="n">
        <f aca="false">W_PH(AH$2,$A115)</f>
        <v>2015</v>
      </c>
      <c r="AI115" s="0" t="n">
        <f aca="false">W_PH(AI$2,$A115)</f>
        <v>2015</v>
      </c>
      <c r="AJ115" s="0" t="n">
        <f aca="false">W_PH(AJ$2,$A115)</f>
        <v>2015</v>
      </c>
      <c r="AK115" s="0" t="n">
        <f aca="false">W_PH(AK$2,$A115)</f>
        <v>2015</v>
      </c>
      <c r="AL115" s="0" t="n">
        <f aca="false">W_PH(AL$2,$A115)</f>
        <v>2015</v>
      </c>
      <c r="AM115" s="0" t="n">
        <f aca="false">W_PH(AM$2,$A115)</f>
        <v>2015</v>
      </c>
      <c r="AN115" s="0" t="n">
        <f aca="false">W_PH(AN$2,$A115)</f>
        <v>2015</v>
      </c>
      <c r="AO115" s="0" t="n">
        <f aca="false">W_PH(AO$2,$A115)</f>
        <v>1577.95662600782</v>
      </c>
      <c r="AP115" s="0" t="n">
        <f aca="false">W_PH(AP$2,$A115)</f>
        <v>1578.23659523672</v>
      </c>
      <c r="AQ115" s="0" t="n">
        <f aca="false">W_PH(AQ$2,$A115)</f>
        <v>1600.80029796199</v>
      </c>
      <c r="AR115" s="0" t="n">
        <f aca="false">W_PH(AR$2,$A115)</f>
        <v>1611.99158706351</v>
      </c>
      <c r="AS115" s="0" t="n">
        <f aca="false">W_PH(AS$2,$A115)</f>
        <v>1616.15071554268</v>
      </c>
    </row>
    <row r="116" customFormat="false" ht="12.8" hidden="false" customHeight="false" outlineLevel="0" collapsed="false">
      <c r="A116" s="0" t="n">
        <v>1186.5864144454</v>
      </c>
      <c r="B116" s="0" t="n">
        <f aca="false">W_PH(B$2,$A116)</f>
        <v>2015</v>
      </c>
      <c r="C116" s="0" t="n">
        <f aca="false">W_PH(C$2,$A116)</f>
        <v>1640.70417110845</v>
      </c>
      <c r="D116" s="0" t="n">
        <f aca="false">W_PH(D$2,$A116)</f>
        <v>1640.7024518456</v>
      </c>
      <c r="E116" s="0" t="n">
        <f aca="false">W_PH(E$2,$A116)</f>
        <v>1640.70073280493</v>
      </c>
      <c r="F116" s="0" t="n">
        <f aca="false">W_PH(F$2,$A116)</f>
        <v>1640.6990139864</v>
      </c>
      <c r="G116" s="0" t="n">
        <f aca="false">W_PH(G$2,$A116)</f>
        <v>1640.68183800988</v>
      </c>
      <c r="H116" s="0" t="n">
        <f aca="false">W_PH(H$2,$A116)</f>
        <v>1640.6646842026</v>
      </c>
      <c r="I116" s="0" t="n">
        <f aca="false">W_PH(I$2,$A116)</f>
        <v>1640.6475525243</v>
      </c>
      <c r="J116" s="0" t="n">
        <f aca="false">W_PH(J$2,$A116)</f>
        <v>1640.63044293521</v>
      </c>
      <c r="K116" s="0" t="n">
        <f aca="false">W_PH(K$2,$A116)</f>
        <v>1640.6133553961</v>
      </c>
      <c r="L116" s="0" t="n">
        <f aca="false">W_PH(L$2,$A116)</f>
        <v>1640.59628986823</v>
      </c>
      <c r="M116" s="0" t="n">
        <f aca="false">W_PH(M$2,$A116)</f>
        <v>1640.57924631335</v>
      </c>
      <c r="N116" s="0" t="n">
        <f aca="false">W_PH(N$2,$A116)</f>
        <v>1640.56222469369</v>
      </c>
      <c r="O116" s="0" t="n">
        <f aca="false">W_PH(O$2,$A116)</f>
        <v>1640.54522497193</v>
      </c>
      <c r="P116" s="0" t="n">
        <f aca="false">W_PH(P$2,$A116)</f>
        <v>1640.37642423498</v>
      </c>
      <c r="Q116" s="0" t="n">
        <f aca="false">W_PH(Q$2,$A116)</f>
        <v>1640.20977512769</v>
      </c>
      <c r="R116" s="0" t="n">
        <f aca="false">W_PH(R$2,$A116)</f>
        <v>1640.04524555631</v>
      </c>
      <c r="S116" s="0" t="n">
        <f aca="false">W_PH(S$2,$A116)</f>
        <v>1639.88280437376</v>
      </c>
      <c r="T116" s="0" t="n">
        <f aca="false">W_PH(T$2,$A116)</f>
        <v>1639.72241951384</v>
      </c>
      <c r="U116" s="0" t="n">
        <f aca="false">W_PH(U$2,$A116)</f>
        <v>1639.56405617687</v>
      </c>
      <c r="V116" s="0" t="n">
        <f aca="false">W_PH(V$2,$A116)</f>
        <v>1639.40767515322</v>
      </c>
      <c r="W116" s="0" t="n">
        <f aca="false">W_PH(W$2,$A116)</f>
        <v>1639.25323134283</v>
      </c>
      <c r="X116" s="0" t="n">
        <f aca="false">W_PH(X$2,$A116)</f>
        <v>1639.10067250576</v>
      </c>
      <c r="Y116" s="0" t="n">
        <f aca="false">W_PH(Y$2,$A116)</f>
        <v>1637.66088527002</v>
      </c>
      <c r="Z116" s="0" t="n">
        <f aca="false">W_PH(Z$2,$A116)</f>
        <v>1636.28854850499</v>
      </c>
      <c r="AA116" s="0" t="n">
        <f aca="false">W_PH(AA$2,$A116)</f>
        <v>1634.82937412312</v>
      </c>
      <c r="AB116" s="0" t="n">
        <f aca="false">W_PH(AB$2,$A116)</f>
        <v>1633.16098039718</v>
      </c>
      <c r="AC116" s="0" t="n">
        <f aca="false">W_PH(AC$2,$A116)</f>
        <v>1631.24174613412</v>
      </c>
      <c r="AD116" s="0" t="n">
        <f aca="false">W_PH(AD$2,$A116)</f>
        <v>2015</v>
      </c>
      <c r="AE116" s="0" t="n">
        <f aca="false">W_PH(AE$2,$A116)</f>
        <v>2015</v>
      </c>
      <c r="AF116" s="0" t="n">
        <f aca="false">W_PH(AF$2,$A116)</f>
        <v>2015</v>
      </c>
      <c r="AG116" s="0" t="n">
        <f aca="false">W_PH(AG$2,$A116)</f>
        <v>2015</v>
      </c>
      <c r="AH116" s="0" t="n">
        <f aca="false">W_PH(AH$2,$A116)</f>
        <v>2015</v>
      </c>
      <c r="AI116" s="0" t="n">
        <f aca="false">W_PH(AI$2,$A116)</f>
        <v>2015</v>
      </c>
      <c r="AJ116" s="0" t="n">
        <f aca="false">W_PH(AJ$2,$A116)</f>
        <v>2015</v>
      </c>
      <c r="AK116" s="0" t="n">
        <f aca="false">W_PH(AK$2,$A116)</f>
        <v>2015</v>
      </c>
      <c r="AL116" s="0" t="n">
        <f aca="false">W_PH(AL$2,$A116)</f>
        <v>2015</v>
      </c>
      <c r="AM116" s="0" t="n">
        <f aca="false">W_PH(AM$2,$A116)</f>
        <v>2015</v>
      </c>
      <c r="AN116" s="0" t="n">
        <f aca="false">W_PH(AN$2,$A116)</f>
        <v>1589.68168077554</v>
      </c>
      <c r="AO116" s="0" t="n">
        <f aca="false">W_PH(AO$2,$A116)</f>
        <v>1589.37619716062</v>
      </c>
      <c r="AP116" s="0" t="n">
        <f aca="false">W_PH(AP$2,$A116)</f>
        <v>1589.21177915794</v>
      </c>
      <c r="AQ116" s="0" t="n">
        <f aca="false">W_PH(AQ$2,$A116)</f>
        <v>1610.41135548588</v>
      </c>
      <c r="AR116" s="0" t="n">
        <f aca="false">W_PH(AR$2,$A116)</f>
        <v>1621.34366142192</v>
      </c>
      <c r="AS116" s="0" t="n">
        <f aca="false">W_PH(AS$2,$A116)</f>
        <v>1625.40446124261</v>
      </c>
    </row>
    <row r="117" customFormat="false" ht="12.8" hidden="false" customHeight="false" outlineLevel="0" collapsed="false">
      <c r="A117" s="0" t="n">
        <v>1190.88564058469</v>
      </c>
      <c r="B117" s="0" t="n">
        <f aca="false">W_PH(B$2,$A117)</f>
        <v>2015</v>
      </c>
      <c r="C117" s="0" t="n">
        <f aca="false">W_PH(C$2,$A117)</f>
        <v>1650.77752058198</v>
      </c>
      <c r="D117" s="0" t="n">
        <f aca="false">W_PH(D$2,$A117)</f>
        <v>1650.77586264744</v>
      </c>
      <c r="E117" s="0" t="n">
        <f aca="false">W_PH(E$2,$A117)</f>
        <v>1650.77420490512</v>
      </c>
      <c r="F117" s="0" t="n">
        <f aca="false">W_PH(F$2,$A117)</f>
        <v>1650.77254735499</v>
      </c>
      <c r="G117" s="0" t="n">
        <f aca="false">W_PH(G$2,$A117)</f>
        <v>1650.75598241804</v>
      </c>
      <c r="H117" s="0" t="n">
        <f aca="false">W_PH(H$2,$A117)</f>
        <v>1650.73943666951</v>
      </c>
      <c r="I117" s="0" t="n">
        <f aca="false">W_PH(I$2,$A117)</f>
        <v>1650.72291008173</v>
      </c>
      <c r="J117" s="0" t="n">
        <f aca="false">W_PH(J$2,$A117)</f>
        <v>1650.70640262727</v>
      </c>
      <c r="K117" s="0" t="n">
        <f aca="false">W_PH(K$2,$A117)</f>
        <v>1650.68991427896</v>
      </c>
      <c r="L117" s="0" t="n">
        <f aca="false">W_PH(L$2,$A117)</f>
        <v>1650.67344500983</v>
      </c>
      <c r="M117" s="0" t="n">
        <f aca="false">W_PH(M$2,$A117)</f>
        <v>1650.65699479315</v>
      </c>
      <c r="N117" s="0" t="n">
        <f aca="false">W_PH(N$2,$A117)</f>
        <v>1650.64056360239</v>
      </c>
      <c r="O117" s="0" t="n">
        <f aca="false">W_PH(O$2,$A117)</f>
        <v>1650.62415141125</v>
      </c>
      <c r="P117" s="0" t="n">
        <f aca="false">W_PH(P$2,$A117)</f>
        <v>1650.46106883051</v>
      </c>
      <c r="Q117" s="0" t="n">
        <f aca="false">W_PH(Q$2,$A117)</f>
        <v>1650.29985858576</v>
      </c>
      <c r="R117" s="0" t="n">
        <f aca="false">W_PH(R$2,$A117)</f>
        <v>1650.14049671304</v>
      </c>
      <c r="S117" s="0" t="n">
        <f aca="false">W_PH(S$2,$A117)</f>
        <v>1649.98295958311</v>
      </c>
      <c r="T117" s="0" t="n">
        <f aca="false">W_PH(T$2,$A117)</f>
        <v>1649.82722296323</v>
      </c>
      <c r="U117" s="0" t="n">
        <f aca="false">W_PH(U$2,$A117)</f>
        <v>1649.67326108514</v>
      </c>
      <c r="V117" s="0" t="n">
        <f aca="false">W_PH(V$2,$A117)</f>
        <v>1649.52104576523</v>
      </c>
      <c r="W117" s="0" t="n">
        <f aca="false">W_PH(W$2,$A117)</f>
        <v>1649.37054560867</v>
      </c>
      <c r="X117" s="0" t="n">
        <f aca="false">W_PH(X$2,$A117)</f>
        <v>1649.22172531874</v>
      </c>
      <c r="Y117" s="0" t="n">
        <f aca="false">W_PH(Y$2,$A117)</f>
        <v>1647.81457406879</v>
      </c>
      <c r="Z117" s="0" t="n">
        <f aca="false">W_PH(Z$2,$A117)</f>
        <v>1646.49975654172</v>
      </c>
      <c r="AA117" s="0" t="n">
        <f aca="false">W_PH(AA$2,$A117)</f>
        <v>1645.17776011412</v>
      </c>
      <c r="AB117" s="0" t="n">
        <f aca="false">W_PH(AB$2,$A117)</f>
        <v>1643.75881990613</v>
      </c>
      <c r="AC117" s="0" t="n">
        <f aca="false">W_PH(AC$2,$A117)</f>
        <v>1642.19407447213</v>
      </c>
      <c r="AD117" s="0" t="n">
        <f aca="false">W_PH(AD$2,$A117)</f>
        <v>1640.48181999563</v>
      </c>
      <c r="AE117" s="0" t="n">
        <f aca="false">W_PH(AE$2,$A117)</f>
        <v>1638.6560368307</v>
      </c>
      <c r="AF117" s="0" t="n">
        <f aca="false">W_PH(AF$2,$A117)</f>
        <v>2015</v>
      </c>
      <c r="AG117" s="0" t="n">
        <f aca="false">W_PH(AG$2,$A117)</f>
        <v>2015</v>
      </c>
      <c r="AH117" s="0" t="n">
        <f aca="false">W_PH(AH$2,$A117)</f>
        <v>2015</v>
      </c>
      <c r="AI117" s="0" t="n">
        <f aca="false">W_PH(AI$2,$A117)</f>
        <v>2015</v>
      </c>
      <c r="AJ117" s="0" t="n">
        <f aca="false">W_PH(AJ$2,$A117)</f>
        <v>2015</v>
      </c>
      <c r="AK117" s="0" t="n">
        <f aca="false">W_PH(AK$2,$A117)</f>
        <v>2015</v>
      </c>
      <c r="AL117" s="0" t="n">
        <f aca="false">W_PH(AL$2,$A117)</f>
        <v>2015</v>
      </c>
      <c r="AM117" s="0" t="n">
        <f aca="false">W_PH(AM$2,$A117)</f>
        <v>2015</v>
      </c>
      <c r="AN117" s="0" t="n">
        <f aca="false">W_PH(AN$2,$A117)</f>
        <v>1601.20338965235</v>
      </c>
      <c r="AO117" s="0" t="n">
        <f aca="false">W_PH(AO$2,$A117)</f>
        <v>1600.46605655023</v>
      </c>
      <c r="AP117" s="0" t="n">
        <f aca="false">W_PH(AP$2,$A117)</f>
        <v>1599.95156908858</v>
      </c>
      <c r="AQ117" s="0" t="n">
        <f aca="false">W_PH(AQ$2,$A117)</f>
        <v>1620.0059809255</v>
      </c>
      <c r="AR117" s="0" t="n">
        <f aca="false">W_PH(AR$2,$A117)</f>
        <v>1630.67731496404</v>
      </c>
      <c r="AS117" s="0" t="n">
        <f aca="false">W_PH(AS$2,$A117)</f>
        <v>1634.63970060582</v>
      </c>
    </row>
    <row r="118" customFormat="false" ht="12.8" hidden="false" customHeight="false" outlineLevel="0" collapsed="false">
      <c r="A118" s="0" t="n">
        <v>1195.18486672399</v>
      </c>
      <c r="B118" s="0" t="n">
        <f aca="false">W_PH(B$2,$A118)</f>
        <v>2015</v>
      </c>
      <c r="C118" s="0" t="n">
        <f aca="false">W_PH(C$2,$A118)</f>
        <v>1660.76300319274</v>
      </c>
      <c r="D118" s="0" t="n">
        <f aca="false">W_PH(D$2,$A118)</f>
        <v>1660.76140458848</v>
      </c>
      <c r="E118" s="0" t="n">
        <f aca="false">W_PH(E$2,$A118)</f>
        <v>1660.75980615131</v>
      </c>
      <c r="F118" s="0" t="n">
        <f aca="false">W_PH(F$2,$A118)</f>
        <v>1660.75820788119</v>
      </c>
      <c r="G118" s="0" t="n">
        <f aca="false">W_PH(G$2,$A118)</f>
        <v>1660.74223436374</v>
      </c>
      <c r="H118" s="0" t="n">
        <f aca="false">W_PH(H$2,$A118)</f>
        <v>1660.72627752954</v>
      </c>
      <c r="I118" s="0" t="n">
        <f aca="false">W_PH(I$2,$A118)</f>
        <v>1660.71033735812</v>
      </c>
      <c r="J118" s="0" t="n">
        <f aca="false">W_PH(J$2,$A118)</f>
        <v>1660.69441382912</v>
      </c>
      <c r="K118" s="0" t="n">
        <f aca="false">W_PH(K$2,$A118)</f>
        <v>1660.67850692229</v>
      </c>
      <c r="L118" s="0" t="n">
        <f aca="false">W_PH(L$2,$A118)</f>
        <v>1660.66261661746</v>
      </c>
      <c r="M118" s="0" t="n">
        <f aca="false">W_PH(M$2,$A118)</f>
        <v>1660.64674289458</v>
      </c>
      <c r="N118" s="0" t="n">
        <f aca="false">W_PH(N$2,$A118)</f>
        <v>1660.63088573369</v>
      </c>
      <c r="O118" s="0" t="n">
        <f aca="false">W_PH(O$2,$A118)</f>
        <v>1660.61504511492</v>
      </c>
      <c r="P118" s="0" t="n">
        <f aca="false">W_PH(P$2,$A118)</f>
        <v>1660.4575444355</v>
      </c>
      <c r="Q118" s="0" t="n">
        <f aca="false">W_PH(Q$2,$A118)</f>
        <v>1660.30167669423</v>
      </c>
      <c r="R118" s="0" t="n">
        <f aca="false">W_PH(R$2,$A118)</f>
        <v>1660.1474230334</v>
      </c>
      <c r="S118" s="0" t="n">
        <f aca="false">W_PH(S$2,$A118)</f>
        <v>1659.99476467416</v>
      </c>
      <c r="T118" s="0" t="n">
        <f aca="false">W_PH(T$2,$A118)</f>
        <v>1659.8436824449</v>
      </c>
      <c r="U118" s="0" t="n">
        <f aca="false">W_PH(U$2,$A118)</f>
        <v>1659.69415630336</v>
      </c>
      <c r="V118" s="0" t="n">
        <f aca="false">W_PH(V$2,$A118)</f>
        <v>1659.54616487653</v>
      </c>
      <c r="W118" s="0" t="n">
        <f aca="false">W_PH(W$2,$A118)</f>
        <v>1659.39968503561</v>
      </c>
      <c r="X118" s="0" t="n">
        <f aca="false">W_PH(X$2,$A118)</f>
        <v>1659.25469151814</v>
      </c>
      <c r="Y118" s="0" t="n">
        <f aca="false">W_PH(Y$2,$A118)</f>
        <v>1657.87895248045</v>
      </c>
      <c r="Z118" s="0" t="n">
        <f aca="false">W_PH(Z$2,$A118)</f>
        <v>1656.60295608195</v>
      </c>
      <c r="AA118" s="0" t="n">
        <f aca="false">W_PH(AA$2,$A118)</f>
        <v>1655.36220246208</v>
      </c>
      <c r="AB118" s="0" t="n">
        <f aca="false">W_PH(AB$2,$A118)</f>
        <v>1654.09344868596</v>
      </c>
      <c r="AC118" s="0" t="n">
        <f aca="false">W_PH(AC$2,$A118)</f>
        <v>1652.75365945192</v>
      </c>
      <c r="AD118" s="0" t="n">
        <f aca="false">W_PH(AD$2,$A118)</f>
        <v>1651.32669790842</v>
      </c>
      <c r="AE118" s="0" t="n">
        <f aca="false">W_PH(AE$2,$A118)</f>
        <v>1649.81996647976</v>
      </c>
      <c r="AF118" s="0" t="n">
        <f aca="false">W_PH(AF$2,$A118)</f>
        <v>1648.25629106902</v>
      </c>
      <c r="AG118" s="0" t="n">
        <f aca="false">W_PH(AG$2,$A118)</f>
        <v>1646.66535162787</v>
      </c>
      <c r="AH118" s="0" t="n">
        <f aca="false">W_PH(AH$2,$A118)</f>
        <v>2015</v>
      </c>
      <c r="AI118" s="0" t="n">
        <f aca="false">W_PH(AI$2,$A118)</f>
        <v>2015</v>
      </c>
      <c r="AJ118" s="0" t="n">
        <f aca="false">W_PH(AJ$2,$A118)</f>
        <v>2015</v>
      </c>
      <c r="AK118" s="0" t="n">
        <f aca="false">W_PH(AK$2,$A118)</f>
        <v>2015</v>
      </c>
      <c r="AL118" s="0" t="n">
        <f aca="false">W_PH(AL$2,$A118)</f>
        <v>2015</v>
      </c>
      <c r="AM118" s="0" t="n">
        <f aca="false">W_PH(AM$2,$A118)</f>
        <v>1613.71521064341</v>
      </c>
      <c r="AN118" s="0" t="n">
        <f aca="false">W_PH(AN$2,$A118)</f>
        <v>1612.37378238357</v>
      </c>
      <c r="AO118" s="0" t="n">
        <f aca="false">W_PH(AO$2,$A118)</f>
        <v>1611.29163260898</v>
      </c>
      <c r="AP118" s="0" t="n">
        <f aca="false">W_PH(AP$2,$A118)</f>
        <v>1610.50589099137</v>
      </c>
      <c r="AQ118" s="0" t="n">
        <f aca="false">W_PH(AQ$2,$A118)</f>
        <v>1629.57908656541</v>
      </c>
      <c r="AR118" s="0" t="n">
        <f aca="false">W_PH(AR$2,$A118)</f>
        <v>1639.98802742622</v>
      </c>
      <c r="AS118" s="0" t="n">
        <f aca="false">W_PH(AS$2,$A118)</f>
        <v>1643.85219938739</v>
      </c>
    </row>
    <row r="119" customFormat="false" ht="12.8" hidden="false" customHeight="false" outlineLevel="0" collapsed="false">
      <c r="A119" s="0" t="n">
        <v>1199.48409286328</v>
      </c>
      <c r="B119" s="0" t="n">
        <f aca="false">W_PH(B$2,$A119)</f>
        <v>2015</v>
      </c>
      <c r="C119" s="0" t="n">
        <f aca="false">W_PH(C$2,$A119)</f>
        <v>1670.6623111759</v>
      </c>
      <c r="D119" s="0" t="n">
        <f aca="false">W_PH(D$2,$A119)</f>
        <v>1670.66076988187</v>
      </c>
      <c r="E119" s="0" t="n">
        <f aca="false">W_PH(E$2,$A119)</f>
        <v>1670.65922873365</v>
      </c>
      <c r="F119" s="0" t="n">
        <f aca="false">W_PH(F$2,$A119)</f>
        <v>1670.65768773123</v>
      </c>
      <c r="G119" s="0" t="n">
        <f aca="false">W_PH(G$2,$A119)</f>
        <v>1670.64228572208</v>
      </c>
      <c r="H119" s="0" t="n">
        <f aca="false">W_PH(H$2,$A119)</f>
        <v>1670.62689827456</v>
      </c>
      <c r="I119" s="0" t="n">
        <f aca="false">W_PH(I$2,$A119)</f>
        <v>1670.61152537265</v>
      </c>
      <c r="J119" s="0" t="n">
        <f aca="false">W_PH(J$2,$A119)</f>
        <v>1670.59616700037</v>
      </c>
      <c r="K119" s="0" t="n">
        <f aca="false">W_PH(K$2,$A119)</f>
        <v>1670.58082314179</v>
      </c>
      <c r="L119" s="0" t="n">
        <f aca="false">W_PH(L$2,$A119)</f>
        <v>1670.565493781</v>
      </c>
      <c r="M119" s="0" t="n">
        <f aca="false">W_PH(M$2,$A119)</f>
        <v>1670.55017890215</v>
      </c>
      <c r="N119" s="0" t="n">
        <f aca="false">W_PH(N$2,$A119)</f>
        <v>1670.53487848945</v>
      </c>
      <c r="O119" s="0" t="n">
        <f aca="false">W_PH(O$2,$A119)</f>
        <v>1670.51959252711</v>
      </c>
      <c r="P119" s="0" t="n">
        <f aca="false">W_PH(P$2,$A119)</f>
        <v>1670.36752423036</v>
      </c>
      <c r="Q119" s="0" t="n">
        <f aca="false">W_PH(Q$2,$A119)</f>
        <v>1670.21688386142</v>
      </c>
      <c r="R119" s="0" t="n">
        <f aca="false">W_PH(R$2,$A119)</f>
        <v>1670.06765604709</v>
      </c>
      <c r="S119" s="0" t="n">
        <f aca="false">W_PH(S$2,$A119)</f>
        <v>1669.91982539501</v>
      </c>
      <c r="T119" s="0" t="n">
        <f aca="false">W_PH(T$2,$A119)</f>
        <v>1669.77337625729</v>
      </c>
      <c r="U119" s="0" t="n">
        <f aca="false">W_PH(U$2,$A119)</f>
        <v>1669.62829248649</v>
      </c>
      <c r="V119" s="0" t="n">
        <f aca="false">W_PH(V$2,$A119)</f>
        <v>1669.48455719631</v>
      </c>
      <c r="W119" s="0" t="n">
        <f aca="false">W_PH(W$2,$A119)</f>
        <v>1669.34215253625</v>
      </c>
      <c r="X119" s="0" t="n">
        <f aca="false">W_PH(X$2,$A119)</f>
        <v>1669.20105948713</v>
      </c>
      <c r="Y119" s="0" t="n">
        <f aca="false">W_PH(Y$2,$A119)</f>
        <v>1667.85697610976</v>
      </c>
      <c r="Z119" s="0" t="n">
        <f aca="false">W_PH(Z$2,$A119)</f>
        <v>1666.61115005065</v>
      </c>
      <c r="AA119" s="0" t="n">
        <f aca="false">W_PH(AA$2,$A119)</f>
        <v>1665.42111356246</v>
      </c>
      <c r="AB119" s="0" t="n">
        <f aca="false">W_PH(AB$2,$A119)</f>
        <v>1664.24297414037</v>
      </c>
      <c r="AC119" s="0" t="n">
        <f aca="false">W_PH(AC$2,$A119)</f>
        <v>1663.04262808938</v>
      </c>
      <c r="AD119" s="0" t="n">
        <f aca="false">W_PH(AD$2,$A119)</f>
        <v>1661.80101123931</v>
      </c>
      <c r="AE119" s="0" t="n">
        <f aca="false">W_PH(AE$2,$A119)</f>
        <v>1660.51377825669</v>
      </c>
      <c r="AF119" s="0" t="n">
        <f aca="false">W_PH(AF$2,$A119)</f>
        <v>1659.18781710352</v>
      </c>
      <c r="AG119" s="0" t="n">
        <f aca="false">W_PH(AG$2,$A119)</f>
        <v>1657.8368197694</v>
      </c>
      <c r="AH119" s="0" t="n">
        <f aca="false">W_PH(AH$2,$A119)</f>
        <v>2015</v>
      </c>
      <c r="AI119" s="0" t="n">
        <f aca="false">W_PH(AI$2,$A119)</f>
        <v>2015</v>
      </c>
      <c r="AJ119" s="0" t="n">
        <f aca="false">W_PH(AJ$2,$A119)</f>
        <v>2015</v>
      </c>
      <c r="AK119" s="0" t="n">
        <f aca="false">W_PH(AK$2,$A119)</f>
        <v>2015</v>
      </c>
      <c r="AL119" s="0" t="n">
        <f aca="false">W_PH(AL$2,$A119)</f>
        <v>1627.0065991746</v>
      </c>
      <c r="AM119" s="0" t="n">
        <f aca="false">W_PH(AM$2,$A119)</f>
        <v>1624.93665622533</v>
      </c>
      <c r="AN119" s="0" t="n">
        <f aca="false">W_PH(AN$2,$A119)</f>
        <v>1623.2598214572</v>
      </c>
      <c r="AO119" s="0" t="n">
        <f aca="false">W_PH(AO$2,$A119)</f>
        <v>1621.90761658545</v>
      </c>
      <c r="AP119" s="0" t="n">
        <f aca="false">W_PH(AP$2,$A119)</f>
        <v>1620.91461877179</v>
      </c>
      <c r="AQ119" s="0" t="n">
        <f aca="false">W_PH(AQ$2,$A119)</f>
        <v>1639.12592686512</v>
      </c>
      <c r="AR119" s="0" t="n">
        <f aca="false">W_PH(AR$2,$A119)</f>
        <v>1649.27186517307</v>
      </c>
      <c r="AS119" s="0" t="n">
        <f aca="false">W_PH(AS$2,$A119)</f>
        <v>1653.03835367029</v>
      </c>
    </row>
    <row r="120" customFormat="false" ht="12.8" hidden="false" customHeight="false" outlineLevel="0" collapsed="false">
      <c r="A120" s="0" t="n">
        <v>1203.78331900258</v>
      </c>
      <c r="B120" s="0" t="n">
        <f aca="false">W_PH(B$2,$A120)</f>
        <v>2015</v>
      </c>
      <c r="C120" s="0" t="n">
        <f aca="false">W_PH(C$2,$A120)</f>
        <v>1680.4770911648</v>
      </c>
      <c r="D120" s="0" t="n">
        <f aca="false">W_PH(D$2,$A120)</f>
        <v>1680.4756051717</v>
      </c>
      <c r="E120" s="0" t="n">
        <f aca="false">W_PH(E$2,$A120)</f>
        <v>1680.47411930629</v>
      </c>
      <c r="F120" s="0" t="n">
        <f aca="false">W_PH(F$2,$A120)</f>
        <v>1680.47263356855</v>
      </c>
      <c r="G120" s="0" t="n">
        <f aca="false">W_PH(G$2,$A120)</f>
        <v>1680.45778321013</v>
      </c>
      <c r="H120" s="0" t="n">
        <f aca="false">W_PH(H$2,$A120)</f>
        <v>1680.4429456044</v>
      </c>
      <c r="I120" s="0" t="n">
        <f aca="false">W_PH(I$2,$A120)</f>
        <v>1680.42812073835</v>
      </c>
      <c r="J120" s="0" t="n">
        <f aca="false">W_PH(J$2,$A120)</f>
        <v>1680.41330859897</v>
      </c>
      <c r="K120" s="0" t="n">
        <f aca="false">W_PH(K$2,$A120)</f>
        <v>1680.39850917327</v>
      </c>
      <c r="L120" s="0" t="n">
        <f aca="false">W_PH(L$2,$A120)</f>
        <v>1680.38372244827</v>
      </c>
      <c r="M120" s="0" t="n">
        <f aca="false">W_PH(M$2,$A120)</f>
        <v>1680.36894841104</v>
      </c>
      <c r="N120" s="0" t="n">
        <f aca="false">W_PH(N$2,$A120)</f>
        <v>1680.35418704862</v>
      </c>
      <c r="O120" s="0" t="n">
        <f aca="false">W_PH(O$2,$A120)</f>
        <v>1680.33943834809</v>
      </c>
      <c r="P120" s="0" t="n">
        <f aca="false">W_PH(P$2,$A120)</f>
        <v>1680.19264491308</v>
      </c>
      <c r="Q120" s="0" t="n">
        <f aca="false">W_PH(Q$2,$A120)</f>
        <v>1680.04710353582</v>
      </c>
      <c r="R120" s="0" t="n">
        <f aca="false">W_PH(R$2,$A120)</f>
        <v>1679.90280141871</v>
      </c>
      <c r="S120" s="0" t="n">
        <f aca="false">W_PH(S$2,$A120)</f>
        <v>1679.75972571512</v>
      </c>
      <c r="T120" s="0" t="n">
        <f aca="false">W_PH(T$2,$A120)</f>
        <v>1679.61786341174</v>
      </c>
      <c r="U120" s="0" t="n">
        <f aca="false">W_PH(U$2,$A120)</f>
        <v>1679.47720120488</v>
      </c>
      <c r="V120" s="0" t="n">
        <f aca="false">W_PH(V$2,$A120)</f>
        <v>1679.33772537689</v>
      </c>
      <c r="W120" s="0" t="n">
        <f aca="false">W_PH(W$2,$A120)</f>
        <v>1679.19942167796</v>
      </c>
      <c r="X120" s="0" t="n">
        <f aca="false">W_PH(X$2,$A120)</f>
        <v>1679.0622752166</v>
      </c>
      <c r="Y120" s="0" t="n">
        <f aca="false">W_PH(Y$2,$A120)</f>
        <v>1677.75056995056</v>
      </c>
      <c r="Z120" s="0" t="n">
        <f aca="false">W_PH(Z$2,$A120)</f>
        <v>1676.53145877118</v>
      </c>
      <c r="AA120" s="0" t="n">
        <f aca="false">W_PH(AA$2,$A120)</f>
        <v>1675.37629512851</v>
      </c>
      <c r="AB120" s="0" t="n">
        <f aca="false">W_PH(AB$2,$A120)</f>
        <v>1674.25459105831</v>
      </c>
      <c r="AC120" s="0" t="n">
        <f aca="false">W_PH(AC$2,$A120)</f>
        <v>1673.14053227058</v>
      </c>
      <c r="AD120" s="0" t="n">
        <f aca="false">W_PH(AD$2,$A120)</f>
        <v>1672.01664651269</v>
      </c>
      <c r="AE120" s="0" t="n">
        <f aca="false">W_PH(AE$2,$A120)</f>
        <v>1670.87442789104</v>
      </c>
      <c r="AF120" s="0" t="n">
        <f aca="false">W_PH(AF$2,$A120)</f>
        <v>1669.71298455068</v>
      </c>
      <c r="AG120" s="0" t="n">
        <f aca="false">W_PH(AG$2,$A120)</f>
        <v>1668.53684715411</v>
      </c>
      <c r="AH120" s="0" t="n">
        <f aca="false">W_PH(AH$2,$A120)</f>
        <v>1657.60806972044</v>
      </c>
      <c r="AI120" s="0" t="n">
        <f aca="false">W_PH(AI$2,$A120)</f>
        <v>2015</v>
      </c>
      <c r="AJ120" s="0" t="n">
        <f aca="false">W_PH(AJ$2,$A120)</f>
        <v>2015</v>
      </c>
      <c r="AK120" s="0" t="n">
        <f aca="false">W_PH(AK$2,$A120)</f>
        <v>1641.06923314027</v>
      </c>
      <c r="AL120" s="0" t="n">
        <f aca="false">W_PH(AL$2,$A120)</f>
        <v>1638.18492995076</v>
      </c>
      <c r="AM120" s="0" t="n">
        <f aca="false">W_PH(AM$2,$A120)</f>
        <v>1635.77647140173</v>
      </c>
      <c r="AN120" s="0" t="n">
        <f aca="false">W_PH(AN$2,$A120)</f>
        <v>1633.9175835876</v>
      </c>
      <c r="AO120" s="0" t="n">
        <f aca="false">W_PH(AO$2,$A120)</f>
        <v>1632.35770546233</v>
      </c>
      <c r="AP120" s="0" t="n">
        <f aca="false">W_PH(AP$2,$A120)</f>
        <v>1631.20828148415</v>
      </c>
      <c r="AQ120" s="0" t="n">
        <f aca="false">W_PH(AQ$2,$A120)</f>
        <v>1648.64228886566</v>
      </c>
      <c r="AR120" s="0" t="n">
        <f aca="false">W_PH(AR$2,$A120)</f>
        <v>1658.52557442804</v>
      </c>
      <c r="AS120" s="0" t="n">
        <f aca="false">W_PH(AS$2,$A120)</f>
        <v>1662.19525525517</v>
      </c>
    </row>
    <row r="121" customFormat="false" ht="12.8" hidden="false" customHeight="false" outlineLevel="0" collapsed="false">
      <c r="A121" s="0" t="n">
        <v>1208.08254514187</v>
      </c>
      <c r="B121" s="0" t="n">
        <f aca="false">W_PH(B$2,$A121)</f>
        <v>2015</v>
      </c>
      <c r="C121" s="0" t="n">
        <f aca="false">W_PH(C$2,$A121)</f>
        <v>1690.20894447994</v>
      </c>
      <c r="D121" s="0" t="n">
        <f aca="false">W_PH(D$2,$A121)</f>
        <v>1690.20751180948</v>
      </c>
      <c r="E121" s="0" t="n">
        <f aca="false">W_PH(E$2,$A121)</f>
        <v>1690.20607925116</v>
      </c>
      <c r="F121" s="0" t="n">
        <f aca="false">W_PH(F$2,$A121)</f>
        <v>1690.20464680498</v>
      </c>
      <c r="G121" s="0" t="n">
        <f aca="false">W_PH(G$2,$A121)</f>
        <v>1690.19032850798</v>
      </c>
      <c r="H121" s="0" t="n">
        <f aca="false">W_PH(H$2,$A121)</f>
        <v>1690.17602141226</v>
      </c>
      <c r="I121" s="0" t="n">
        <f aca="false">W_PH(I$2,$A121)</f>
        <v>1690.16172550703</v>
      </c>
      <c r="J121" s="0" t="n">
        <f aca="false">W_PH(J$2,$A121)</f>
        <v>1690.14744078146</v>
      </c>
      <c r="K121" s="0" t="n">
        <f aca="false">W_PH(K$2,$A121)</f>
        <v>1690.13316722475</v>
      </c>
      <c r="L121" s="0" t="n">
        <f aca="false">W_PH(L$2,$A121)</f>
        <v>1690.11890482611</v>
      </c>
      <c r="M121" s="0" t="n">
        <f aca="false">W_PH(M$2,$A121)</f>
        <v>1690.10465357475</v>
      </c>
      <c r="N121" s="0" t="n">
        <f aca="false">W_PH(N$2,$A121)</f>
        <v>1690.09041345988</v>
      </c>
      <c r="O121" s="0" t="n">
        <f aca="false">W_PH(O$2,$A121)</f>
        <v>1690.07618447071</v>
      </c>
      <c r="P121" s="0" t="n">
        <f aca="false">W_PH(P$2,$A121)</f>
        <v>1689.934504123</v>
      </c>
      <c r="Q121" s="0" t="n">
        <f aca="false">W_PH(Q$2,$A121)</f>
        <v>1689.79392450379</v>
      </c>
      <c r="R121" s="0" t="n">
        <f aca="false">W_PH(R$2,$A121)</f>
        <v>1689.65443484431</v>
      </c>
      <c r="S121" s="0" t="n">
        <f aca="false">W_PH(S$2,$A121)</f>
        <v>1689.51602432472</v>
      </c>
      <c r="T121" s="0" t="n">
        <f aca="false">W_PH(T$2,$A121)</f>
        <v>1689.3786820163</v>
      </c>
      <c r="U121" s="0" t="n">
        <f aca="false">W_PH(U$2,$A121)</f>
        <v>1689.24239681936</v>
      </c>
      <c r="V121" s="0" t="n">
        <f aca="false">W_PH(V$2,$A121)</f>
        <v>1689.10715740025</v>
      </c>
      <c r="W121" s="0" t="n">
        <f aca="false">W_PH(W$2,$A121)</f>
        <v>1688.97295212999</v>
      </c>
      <c r="X121" s="0" t="n">
        <f aca="false">W_PH(X$2,$A121)</f>
        <v>1688.83976902658</v>
      </c>
      <c r="Y121" s="0" t="n">
        <f aca="false">W_PH(Y$2,$A121)</f>
        <v>1687.56118359463</v>
      </c>
      <c r="Z121" s="0" t="n">
        <f aca="false">W_PH(Z$2,$A121)</f>
        <v>1686.36786533129</v>
      </c>
      <c r="AA121" s="0" t="n">
        <f aca="false">W_PH(AA$2,$A121)</f>
        <v>1685.23990237593</v>
      </c>
      <c r="AB121" s="0" t="n">
        <f aca="false">W_PH(AB$2,$A121)</f>
        <v>1684.15586950452</v>
      </c>
      <c r="AC121" s="0" t="n">
        <f aca="false">W_PH(AC$2,$A121)</f>
        <v>1683.09656428014</v>
      </c>
      <c r="AD121" s="0" t="n">
        <f aca="false">W_PH(AD$2,$A121)</f>
        <v>1682.04741891283</v>
      </c>
      <c r="AE121" s="0" t="n">
        <f aca="false">W_PH(AE$2,$A121)</f>
        <v>1680.9992706925</v>
      </c>
      <c r="AF121" s="0" t="n">
        <f aca="false">W_PH(AF$2,$A121)</f>
        <v>1679.94793999045</v>
      </c>
      <c r="AG121" s="0" t="n">
        <f aca="false">W_PH(AG$2,$A121)</f>
        <v>1678.89319114657</v>
      </c>
      <c r="AH121" s="0" t="n">
        <f aca="false">W_PH(AH$2,$A121)</f>
        <v>1668.98453601751</v>
      </c>
      <c r="AI121" s="0" t="n">
        <f aca="false">W_PH(AI$2,$A121)</f>
        <v>1661.53426550228</v>
      </c>
      <c r="AJ121" s="0" t="n">
        <f aca="false">W_PH(AJ$2,$A121)</f>
        <v>1656.22096947484</v>
      </c>
      <c r="AK121" s="0" t="n">
        <f aca="false">W_PH(AK$2,$A121)</f>
        <v>1652.25178844055</v>
      </c>
      <c r="AL121" s="0" t="n">
        <f aca="false">W_PH(AL$2,$A121)</f>
        <v>1649.10141838879</v>
      </c>
      <c r="AM121" s="0" t="n">
        <f aca="false">W_PH(AM$2,$A121)</f>
        <v>1646.47667920791</v>
      </c>
      <c r="AN121" s="0" t="n">
        <f aca="false">W_PH(AN$2,$A121)</f>
        <v>1644.39215098732</v>
      </c>
      <c r="AO121" s="0" t="n">
        <f aca="false">W_PH(AO$2,$A121)</f>
        <v>1642.67551628671</v>
      </c>
      <c r="AP121" s="0" t="n">
        <f aca="false">W_PH(AP$2,$A121)</f>
        <v>1641.40934914063</v>
      </c>
      <c r="AQ121" s="0" t="n">
        <f aca="false">W_PH(AQ$2,$A121)</f>
        <v>1658.12461386471</v>
      </c>
      <c r="AR121" s="0" t="n">
        <f aca="false">W_PH(AR$2,$A121)</f>
        <v>1667.74661653908</v>
      </c>
      <c r="AS121" s="0" t="n">
        <f aca="false">W_PH(AS$2,$A121)</f>
        <v>1671.32070355195</v>
      </c>
    </row>
    <row r="122" customFormat="false" ht="12.8" hidden="false" customHeight="false" outlineLevel="0" collapsed="false">
      <c r="A122" s="0" t="n">
        <v>1212.38177128117</v>
      </c>
      <c r="B122" s="0" t="n">
        <f aca="false">W_PH(B$2,$A122)</f>
        <v>2015</v>
      </c>
      <c r="C122" s="0" t="n">
        <f aca="false">W_PH(C$2,$A122)</f>
        <v>1699.85942764158</v>
      </c>
      <c r="D122" s="0" t="n">
        <f aca="false">W_PH(D$2,$A122)</f>
        <v>1699.85804635835</v>
      </c>
      <c r="E122" s="0" t="n">
        <f aca="false">W_PH(E$2,$A122)</f>
        <v>1699.85666517387</v>
      </c>
      <c r="F122" s="0" t="n">
        <f aca="false">W_PH(F$2,$A122)</f>
        <v>1699.85528408812</v>
      </c>
      <c r="G122" s="0" t="n">
        <f aca="false">W_PH(G$2,$A122)</f>
        <v>1699.84147865938</v>
      </c>
      <c r="H122" s="0" t="n">
        <f aca="false">W_PH(H$2,$A122)</f>
        <v>1699.8276830946</v>
      </c>
      <c r="I122" s="0" t="n">
        <f aca="false">W_PH(I$2,$A122)</f>
        <v>1699.81389738472</v>
      </c>
      <c r="J122" s="0" t="n">
        <f aca="false">W_PH(J$2,$A122)</f>
        <v>1699.80012152065</v>
      </c>
      <c r="K122" s="0" t="n">
        <f aca="false">W_PH(K$2,$A122)</f>
        <v>1699.78635549332</v>
      </c>
      <c r="L122" s="0" t="n">
        <f aca="false">W_PH(L$2,$A122)</f>
        <v>1699.77259929366</v>
      </c>
      <c r="M122" s="0" t="n">
        <f aca="false">W_PH(M$2,$A122)</f>
        <v>1699.75885291259</v>
      </c>
      <c r="N122" s="0" t="n">
        <f aca="false">W_PH(N$2,$A122)</f>
        <v>1699.74511634103</v>
      </c>
      <c r="O122" s="0" t="n">
        <f aca="false">W_PH(O$2,$A122)</f>
        <v>1699.73138956991</v>
      </c>
      <c r="P122" s="0" t="n">
        <f aca="false">W_PH(P$2,$A122)</f>
        <v>1699.59465888593</v>
      </c>
      <c r="Q122" s="0" t="n">
        <f aca="false">W_PH(Q$2,$A122)</f>
        <v>1699.45889825715</v>
      </c>
      <c r="R122" s="0" t="n">
        <f aca="false">W_PH(R$2,$A122)</f>
        <v>1699.32409858261</v>
      </c>
      <c r="S122" s="0" t="n">
        <f aca="false">W_PH(S$2,$A122)</f>
        <v>1699.19025071818</v>
      </c>
      <c r="T122" s="0" t="n">
        <f aca="false">W_PH(T$2,$A122)</f>
        <v>1699.05734544866</v>
      </c>
      <c r="U122" s="0" t="n">
        <f aca="false">W_PH(U$2,$A122)</f>
        <v>1698.92537345724</v>
      </c>
      <c r="V122" s="0" t="n">
        <f aca="false">W_PH(V$2,$A122)</f>
        <v>1698.79432529386</v>
      </c>
      <c r="W122" s="0" t="n">
        <f aca="false">W_PH(W$2,$A122)</f>
        <v>1698.6641913439</v>
      </c>
      <c r="X122" s="0" t="n">
        <f aca="false">W_PH(X$2,$A122)</f>
        <v>1698.53496179833</v>
      </c>
      <c r="Y122" s="0" t="n">
        <f aca="false">W_PH(Y$2,$A122)</f>
        <v>1697.2900656358</v>
      </c>
      <c r="Z122" s="0" t="n">
        <f aca="false">W_PH(Z$2,$A122)</f>
        <v>1696.12273557043</v>
      </c>
      <c r="AA122" s="0" t="n">
        <f aca="false">W_PH(AA$2,$A122)</f>
        <v>1695.0186735994</v>
      </c>
      <c r="AB122" s="0" t="n">
        <f aca="false">W_PH(AB$2,$A122)</f>
        <v>1693.96253657265</v>
      </c>
      <c r="AC122" s="0" t="n">
        <f aca="false">W_PH(AC$2,$A122)</f>
        <v>1692.94005901094</v>
      </c>
      <c r="AD122" s="0" t="n">
        <f aca="false">W_PH(AD$2,$A122)</f>
        <v>1691.93958043335</v>
      </c>
      <c r="AE122" s="0" t="n">
        <f aca="false">W_PH(AE$2,$A122)</f>
        <v>1690.95269923922</v>
      </c>
      <c r="AF122" s="0" t="n">
        <f aca="false">W_PH(AF$2,$A122)</f>
        <v>1689.97422414628</v>
      </c>
      <c r="AG122" s="0" t="n">
        <f aca="false">W_PH(AG$2,$A122)</f>
        <v>1689.0017082269</v>
      </c>
      <c r="AH122" s="0" t="n">
        <f aca="false">W_PH(AH$2,$A122)</f>
        <v>1679.89589422782</v>
      </c>
      <c r="AI122" s="0" t="n">
        <f aca="false">W_PH(AI$2,$A122)</f>
        <v>1672.72237110097</v>
      </c>
      <c r="AJ122" s="0" t="n">
        <f aca="false">W_PH(AJ$2,$A122)</f>
        <v>1667.32315741348</v>
      </c>
      <c r="AK122" s="0" t="n">
        <f aca="false">W_PH(AK$2,$A122)</f>
        <v>1663.14667428676</v>
      </c>
      <c r="AL122" s="0" t="n">
        <f aca="false">W_PH(AL$2,$A122)</f>
        <v>1659.78705209554</v>
      </c>
      <c r="AM122" s="0" t="n">
        <f aca="false">W_PH(AM$2,$A122)</f>
        <v>1656.9877945118</v>
      </c>
      <c r="AN122" s="0" t="n">
        <f aca="false">W_PH(AN$2,$A122)</f>
        <v>1654.68697478631</v>
      </c>
      <c r="AO122" s="0" t="n">
        <f aca="false">W_PH(AO$2,$A122)</f>
        <v>1652.88609690933</v>
      </c>
      <c r="AP122" s="0" t="n">
        <f aca="false">W_PH(AP$2,$A122)</f>
        <v>1651.53374086129</v>
      </c>
      <c r="AQ122" s="0" t="n">
        <f aca="false">W_PH(AQ$2,$A122)</f>
        <v>1667.57005469778</v>
      </c>
      <c r="AR122" s="0" t="n">
        <f aca="false">W_PH(AR$2,$A122)</f>
        <v>1676.93315344054</v>
      </c>
      <c r="AS122" s="0" t="n">
        <f aca="false">W_PH(AS$2,$A122)</f>
        <v>1680.41317291704</v>
      </c>
    </row>
    <row r="123" customFormat="false" ht="12.8" hidden="false" customHeight="false" outlineLevel="0" collapsed="false">
      <c r="A123" s="0" t="n">
        <v>1216.68099742046</v>
      </c>
      <c r="B123" s="0" t="n">
        <f aca="false">W_PH(B$2,$A123)</f>
        <v>2015</v>
      </c>
      <c r="C123" s="0" t="n">
        <f aca="false">W_PH(C$2,$A123)</f>
        <v>1709.4300530609</v>
      </c>
      <c r="D123" s="0" t="n">
        <f aca="false">W_PH(D$2,$A123)</f>
        <v>1709.42872127885</v>
      </c>
      <c r="E123" s="0" t="n">
        <f aca="false">W_PH(E$2,$A123)</f>
        <v>1709.42738958396</v>
      </c>
      <c r="F123" s="0" t="n">
        <f aca="false">W_PH(F$2,$A123)</f>
        <v>1709.42605797622</v>
      </c>
      <c r="G123" s="0" t="n">
        <f aca="false">W_PH(G$2,$A123)</f>
        <v>1709.41274669009</v>
      </c>
      <c r="H123" s="0" t="n">
        <f aca="false">W_PH(H$2,$A123)</f>
        <v>1709.39944411008</v>
      </c>
      <c r="I123" s="0" t="n">
        <f aca="false">W_PH(I$2,$A123)</f>
        <v>1709.38615022855</v>
      </c>
      <c r="J123" s="0" t="n">
        <f aca="false">W_PH(J$2,$A123)</f>
        <v>1709.37286503784</v>
      </c>
      <c r="K123" s="0" t="n">
        <f aca="false">W_PH(K$2,$A123)</f>
        <v>1709.35958853029</v>
      </c>
      <c r="L123" s="0" t="n">
        <f aca="false">W_PH(L$2,$A123)</f>
        <v>1709.34632069824</v>
      </c>
      <c r="M123" s="0" t="n">
        <f aca="false">W_PH(M$2,$A123)</f>
        <v>1709.33306153404</v>
      </c>
      <c r="N123" s="0" t="n">
        <f aca="false">W_PH(N$2,$A123)</f>
        <v>1709.31981103003</v>
      </c>
      <c r="O123" s="0" t="n">
        <f aca="false">W_PH(O$2,$A123)</f>
        <v>1709.30656917854</v>
      </c>
      <c r="P123" s="0" t="n">
        <f aca="false">W_PH(P$2,$A123)</f>
        <v>1709.17462486579</v>
      </c>
      <c r="Q123" s="0" t="n">
        <f aca="false">W_PH(Q$2,$A123)</f>
        <v>1709.04353736458</v>
      </c>
      <c r="R123" s="0" t="n">
        <f aca="false">W_PH(R$2,$A123)</f>
        <v>1708.91329897883</v>
      </c>
      <c r="S123" s="0" t="n">
        <f aca="false">W_PH(S$2,$A123)</f>
        <v>1708.78390197934</v>
      </c>
      <c r="T123" s="0" t="n">
        <f aca="false">W_PH(T$2,$A123)</f>
        <v>1708.6553385909</v>
      </c>
      <c r="U123" s="0" t="n">
        <f aca="false">W_PH(U$2,$A123)</f>
        <v>1708.52760097756</v>
      </c>
      <c r="V123" s="0" t="n">
        <f aca="false">W_PH(V$2,$A123)</f>
        <v>1708.40068122716</v>
      </c>
      <c r="W123" s="0" t="n">
        <f aca="false">W_PH(W$2,$A123)</f>
        <v>1708.27457133577</v>
      </c>
      <c r="X123" s="0" t="n">
        <f aca="false">W_PH(X$2,$A123)</f>
        <v>1708.14926319252</v>
      </c>
      <c r="Y123" s="0" t="n">
        <f aca="false">W_PH(Y$2,$A123)</f>
        <v>1706.93839301652</v>
      </c>
      <c r="Z123" s="0" t="n">
        <f aca="false">W_PH(Z$2,$A123)</f>
        <v>1705.79763794863</v>
      </c>
      <c r="AA123" s="0" t="n">
        <f aca="false">W_PH(AA$2,$A123)</f>
        <v>1704.71639991584</v>
      </c>
      <c r="AB123" s="0" t="n">
        <f aca="false">W_PH(AB$2,$A123)</f>
        <v>1703.68343676838</v>
      </c>
      <c r="AC123" s="0" t="n">
        <f aca="false">W_PH(AC$2,$A123)</f>
        <v>1702.68806161221</v>
      </c>
      <c r="AD123" s="0" t="n">
        <f aca="false">W_PH(AD$2,$A123)</f>
        <v>1701.72108578601</v>
      </c>
      <c r="AE123" s="0" t="n">
        <f aca="false">W_PH(AE$2,$A123)</f>
        <v>1700.77530301693</v>
      </c>
      <c r="AF123" s="0" t="n">
        <f aca="false">W_PH(AF$2,$A123)</f>
        <v>1699.84556743169</v>
      </c>
      <c r="AG123" s="0" t="n">
        <f aca="false">W_PH(AG$2,$A123)</f>
        <v>1698.92860255232</v>
      </c>
      <c r="AH123" s="0" t="n">
        <f aca="false">W_PH(AH$2,$A123)</f>
        <v>1690.429489549</v>
      </c>
      <c r="AI123" s="0" t="n">
        <f aca="false">W_PH(AI$2,$A123)</f>
        <v>1683.51075052587</v>
      </c>
      <c r="AJ123" s="0" t="n">
        <f aca="false">W_PH(AJ$2,$A123)</f>
        <v>1678.10064309529</v>
      </c>
      <c r="AK123" s="0" t="n">
        <f aca="false">W_PH(AK$2,$A123)</f>
        <v>1673.78596647973</v>
      </c>
      <c r="AL123" s="0" t="n">
        <f aca="false">W_PH(AL$2,$A123)</f>
        <v>1670.27187358812</v>
      </c>
      <c r="AM123" s="0" t="n">
        <f aca="false">W_PH(AM$2,$A123)</f>
        <v>1667.33911806323</v>
      </c>
      <c r="AN123" s="0" t="n">
        <f aca="false">W_PH(AN$2,$A123)</f>
        <v>1664.92964345787</v>
      </c>
      <c r="AO123" s="0" t="n">
        <f aca="false">W_PH(AO$2,$A123)</f>
        <v>1663.00761924585</v>
      </c>
      <c r="AP123" s="0" t="n">
        <f aca="false">W_PH(AP$2,$A123)</f>
        <v>1661.59231677868</v>
      </c>
      <c r="AQ123" s="0" t="n">
        <f aca="false">W_PH(AQ$2,$A123)</f>
        <v>1676.9764773843</v>
      </c>
      <c r="AR123" s="0" t="n">
        <f aca="false">W_PH(AR$2,$A123)</f>
        <v>1686.08399399147</v>
      </c>
      <c r="AS123" s="0" t="n">
        <f aca="false">W_PH(AS$2,$A123)</f>
        <v>1689.47174631818</v>
      </c>
    </row>
    <row r="124" customFormat="false" ht="12.8" hidden="false" customHeight="false" outlineLevel="0" collapsed="false">
      <c r="A124" s="0" t="n">
        <v>1220.98022355976</v>
      </c>
      <c r="B124" s="0" t="n">
        <f aca="false">W_PH(B$2,$A124)</f>
        <v>2015</v>
      </c>
      <c r="C124" s="0" t="n">
        <f aca="false">W_PH(C$2,$A124)</f>
        <v>1718.9222898737</v>
      </c>
      <c r="D124" s="0" t="n">
        <f aca="false">W_PH(D$2,$A124)</f>
        <v>1718.92100575922</v>
      </c>
      <c r="E124" s="0" t="n">
        <f aca="false">W_PH(E$2,$A124)</f>
        <v>1718.91972172181</v>
      </c>
      <c r="F124" s="0" t="n">
        <f aca="false">W_PH(F$2,$A124)</f>
        <v>1718.91843776148</v>
      </c>
      <c r="G124" s="0" t="n">
        <f aca="false">W_PH(G$2,$A124)</f>
        <v>1718.90560239555</v>
      </c>
      <c r="H124" s="0" t="n">
        <f aca="false">W_PH(H$2,$A124)</f>
        <v>1718.8927747295</v>
      </c>
      <c r="I124" s="0" t="n">
        <f aca="false">W_PH(I$2,$A124)</f>
        <v>1718.87995475687</v>
      </c>
      <c r="J124" s="0" t="n">
        <f aca="false">W_PH(J$2,$A124)</f>
        <v>1718.8671424712</v>
      </c>
      <c r="K124" s="0" t="n">
        <f aca="false">W_PH(K$2,$A124)</f>
        <v>1718.85433786603</v>
      </c>
      <c r="L124" s="0" t="n">
        <f aca="false">W_PH(L$2,$A124)</f>
        <v>1718.8415409349</v>
      </c>
      <c r="M124" s="0" t="n">
        <f aca="false">W_PH(M$2,$A124)</f>
        <v>1718.82875167134</v>
      </c>
      <c r="N124" s="0" t="n">
        <f aca="false">W_PH(N$2,$A124)</f>
        <v>1718.81597006888</v>
      </c>
      <c r="O124" s="0" t="n">
        <f aca="false">W_PH(O$2,$A124)</f>
        <v>1718.80319612106</v>
      </c>
      <c r="P124" s="0" t="n">
        <f aca="false">W_PH(P$2,$A124)</f>
        <v>1718.67587622377</v>
      </c>
      <c r="Q124" s="0" t="n">
        <f aca="false">W_PH(Q$2,$A124)</f>
        <v>1718.5493146624</v>
      </c>
      <c r="R124" s="0" t="n">
        <f aca="false">W_PH(R$2,$A124)</f>
        <v>1718.42350493788</v>
      </c>
      <c r="S124" s="0" t="n">
        <f aca="false">W_PH(S$2,$A124)</f>
        <v>1718.29844052738</v>
      </c>
      <c r="T124" s="0" t="n">
        <f aca="false">W_PH(T$2,$A124)</f>
        <v>1718.17411487856</v>
      </c>
      <c r="U124" s="0" t="n">
        <f aca="false">W_PH(U$2,$A124)</f>
        <v>1718.05052140288</v>
      </c>
      <c r="V124" s="0" t="n">
        <f aca="false">W_PH(V$2,$A124)</f>
        <v>1717.92765346827</v>
      </c>
      <c r="W124" s="0" t="n">
        <f aca="false">W_PH(W$2,$A124)</f>
        <v>1717.80550439167</v>
      </c>
      <c r="X124" s="0" t="n">
        <f aca="false">W_PH(X$2,$A124)</f>
        <v>1717.68406743165</v>
      </c>
      <c r="Y124" s="0" t="n">
        <f aca="false">W_PH(Y$2,$A124)</f>
        <v>1716.50732724263</v>
      </c>
      <c r="Z124" s="0" t="n">
        <f aca="false">W_PH(Z$2,$A124)</f>
        <v>1715.39377346344</v>
      </c>
      <c r="AA124" s="0" t="n">
        <f aca="false">W_PH(AA$2,$A124)</f>
        <v>1714.33532451122</v>
      </c>
      <c r="AB124" s="0" t="n">
        <f aca="false">W_PH(AB$2,$A124)</f>
        <v>1713.32354255693</v>
      </c>
      <c r="AC124" s="0" t="n">
        <f aca="false">W_PH(AC$2,$A124)</f>
        <v>1712.35030991517</v>
      </c>
      <c r="AD124" s="0" t="n">
        <f aca="false">W_PH(AD$2,$A124)</f>
        <v>1711.40840111768</v>
      </c>
      <c r="AE124" s="0" t="n">
        <f aca="false">W_PH(AE$2,$A124)</f>
        <v>1710.49181669571</v>
      </c>
      <c r="AF124" s="0" t="n">
        <f aca="false">W_PH(AF$2,$A124)</f>
        <v>1709.59588569028</v>
      </c>
      <c r="AG124" s="0" t="n">
        <f aca="false">W_PH(AG$2,$A124)</f>
        <v>1708.71720035081</v>
      </c>
      <c r="AH124" s="0" t="n">
        <f aca="false">W_PH(AH$2,$A124)</f>
        <v>1700.66752621837</v>
      </c>
      <c r="AI124" s="0" t="n">
        <f aca="false">W_PH(AI$2,$A124)</f>
        <v>1693.97810845334</v>
      </c>
      <c r="AJ124" s="0" t="n">
        <f aca="false">W_PH(AJ$2,$A124)</f>
        <v>1688.5995051355</v>
      </c>
      <c r="AK124" s="0" t="n">
        <f aca="false">W_PH(AK$2,$A124)</f>
        <v>1684.20334361317</v>
      </c>
      <c r="AL124" s="0" t="n">
        <f aca="false">W_PH(AL$2,$A124)</f>
        <v>1680.5830397503</v>
      </c>
      <c r="AM124" s="0" t="n">
        <f aca="false">W_PH(AM$2,$A124)</f>
        <v>1677.5538730088</v>
      </c>
      <c r="AN124" s="0" t="n">
        <f aca="false">W_PH(AN$2,$A124)</f>
        <v>1675.06335847236</v>
      </c>
      <c r="AO124" s="0" t="n">
        <f aca="false">W_PH(AO$2,$A124)</f>
        <v>1673.10618773772</v>
      </c>
      <c r="AP124" s="0" t="n">
        <f aca="false">W_PH(AP$2,$A124)</f>
        <v>1671.59221449816</v>
      </c>
      <c r="AQ124" s="0" t="n">
        <f aca="false">W_PH(AQ$2,$A124)</f>
        <v>1686.34241872461</v>
      </c>
      <c r="AR124" s="0" t="n">
        <f aca="false">W_PH(AR$2,$A124)</f>
        <v>1695.19851296871</v>
      </c>
      <c r="AS124" s="0" t="n">
        <f aca="false">W_PH(AS$2,$A124)</f>
        <v>1698.49602681316</v>
      </c>
    </row>
    <row r="125" customFormat="false" ht="12.8" hidden="false" customHeight="false" outlineLevel="0" collapsed="false">
      <c r="A125" s="0" t="n">
        <v>1225.27944969905</v>
      </c>
      <c r="B125" s="0" t="n">
        <f aca="false">W_PH(B$2,$A125)</f>
        <v>2015</v>
      </c>
      <c r="C125" s="0" t="n">
        <f aca="false">W_PH(C$2,$A125)</f>
        <v>1728.33756488498</v>
      </c>
      <c r="D125" s="0" t="n">
        <f aca="false">W_PH(D$2,$A125)</f>
        <v>1728.33632665787</v>
      </c>
      <c r="E125" s="0" t="n">
        <f aca="false">W_PH(E$2,$A125)</f>
        <v>1728.33508849906</v>
      </c>
      <c r="F125" s="0" t="n">
        <f aca="false">W_PH(F$2,$A125)</f>
        <v>1728.33385040852</v>
      </c>
      <c r="G125" s="0" t="n">
        <f aca="false">W_PH(G$2,$A125)</f>
        <v>1728.32147325769</v>
      </c>
      <c r="H125" s="0" t="n">
        <f aca="false">W_PH(H$2,$A125)</f>
        <v>1728.30910292941</v>
      </c>
      <c r="I125" s="0" t="n">
        <f aca="false">W_PH(I$2,$A125)</f>
        <v>1728.29673941823</v>
      </c>
      <c r="J125" s="0" t="n">
        <f aca="false">W_PH(J$2,$A125)</f>
        <v>1728.28438271871</v>
      </c>
      <c r="K125" s="0" t="n">
        <f aca="false">W_PH(K$2,$A125)</f>
        <v>1728.27203282541</v>
      </c>
      <c r="L125" s="0" t="n">
        <f aca="false">W_PH(L$2,$A125)</f>
        <v>1728.25968973288</v>
      </c>
      <c r="M125" s="0" t="n">
        <f aca="false">W_PH(M$2,$A125)</f>
        <v>1728.24735343567</v>
      </c>
      <c r="N125" s="0" t="n">
        <f aca="false">W_PH(N$2,$A125)</f>
        <v>1728.23502392833</v>
      </c>
      <c r="O125" s="0" t="n">
        <f aca="false">W_PH(O$2,$A125)</f>
        <v>1728.22270120541</v>
      </c>
      <c r="P125" s="0" t="n">
        <f aca="false">W_PH(P$2,$A125)</f>
        <v>1728.09984591901</v>
      </c>
      <c r="Q125" s="0" t="n">
        <f aca="false">W_PH(Q$2,$A125)</f>
        <v>1727.97766306753</v>
      </c>
      <c r="R125" s="0" t="n">
        <f aca="false">W_PH(R$2,$A125)</f>
        <v>1727.85614717545</v>
      </c>
      <c r="S125" s="0" t="n">
        <f aca="false">W_PH(S$2,$A125)</f>
        <v>1727.73529275102</v>
      </c>
      <c r="T125" s="0" t="n">
        <f aca="false">W_PH(T$2,$A125)</f>
        <v>1727.61509428395</v>
      </c>
      <c r="U125" s="0" t="n">
        <f aca="false">W_PH(U$2,$A125)</f>
        <v>1727.49554624258</v>
      </c>
      <c r="V125" s="0" t="n">
        <f aca="false">W_PH(V$2,$A125)</f>
        <v>1727.37664307068</v>
      </c>
      <c r="W125" s="0" t="n">
        <f aca="false">W_PH(W$2,$A125)</f>
        <v>1727.25837918399</v>
      </c>
      <c r="X125" s="0" t="n">
        <f aca="false">W_PH(X$2,$A125)</f>
        <v>1727.14074896686</v>
      </c>
      <c r="Y125" s="0" t="n">
        <f aca="false">W_PH(Y$2,$A125)</f>
        <v>1725.9980349282</v>
      </c>
      <c r="Z125" s="0" t="n">
        <f aca="false">W_PH(Z$2,$A125)</f>
        <v>1724.91219304532</v>
      </c>
      <c r="AA125" s="0" t="n">
        <f aca="false">W_PH(AA$2,$A125)</f>
        <v>1723.87691399604</v>
      </c>
      <c r="AB125" s="0" t="n">
        <f aca="false">W_PH(AB$2,$A125)</f>
        <v>1722.88571829718</v>
      </c>
      <c r="AC125" s="0" t="n">
        <f aca="false">W_PH(AC$2,$A125)</f>
        <v>1721.93233879946</v>
      </c>
      <c r="AD125" s="0" t="n">
        <f aca="false">W_PH(AD$2,$A125)</f>
        <v>1721.01106377977</v>
      </c>
      <c r="AE125" s="0" t="n">
        <f aca="false">W_PH(AE$2,$A125)</f>
        <v>1720.11695729857</v>
      </c>
      <c r="AF125" s="0" t="n">
        <f aca="false">W_PH(AF$2,$A125)</f>
        <v>1719.24594944009</v>
      </c>
      <c r="AG125" s="0" t="n">
        <f aca="false">W_PH(AG$2,$A125)</f>
        <v>1718.39482434902</v>
      </c>
      <c r="AH125" s="0" t="n">
        <f aca="false">W_PH(AH$2,$A125)</f>
        <v>1710.67767058226</v>
      </c>
      <c r="AI125" s="0" t="n">
        <f aca="false">W_PH(AI$2,$A125)</f>
        <v>1704.18952442912</v>
      </c>
      <c r="AJ125" s="0" t="n">
        <f aca="false">W_PH(AJ$2,$A125)</f>
        <v>1698.86483258622</v>
      </c>
      <c r="AK125" s="0" t="n">
        <f aca="false">W_PH(AK$2,$A125)</f>
        <v>1694.43065428802</v>
      </c>
      <c r="AL125" s="0" t="n">
        <f aca="false">W_PH(AL$2,$A125)</f>
        <v>1690.74405929918</v>
      </c>
      <c r="AM125" s="0" t="n">
        <f aca="false">W_PH(AM$2,$A125)</f>
        <v>1687.65019096517</v>
      </c>
      <c r="AN125" s="0" t="n">
        <f aca="false">W_PH(AN$2,$A125)</f>
        <v>1685.1026188667</v>
      </c>
      <c r="AO125" s="0" t="n">
        <f aca="false">W_PH(AO$2,$A125)</f>
        <v>1683.09711705976</v>
      </c>
      <c r="AP125" s="0" t="n">
        <f aca="false">W_PH(AP$2,$A125)</f>
        <v>1681.53796470595</v>
      </c>
      <c r="AQ125" s="0" t="n">
        <f aca="false">W_PH(AQ$2,$A125)</f>
        <v>1695.66701265727</v>
      </c>
      <c r="AR125" s="0" t="n">
        <f aca="false">W_PH(AR$2,$A125)</f>
        <v>1704.276554308</v>
      </c>
      <c r="AS125" s="0" t="n">
        <f aca="false">W_PH(AS$2,$A125)</f>
        <v>1707.48603777662</v>
      </c>
    </row>
    <row r="126" customFormat="false" ht="12.8" hidden="false" customHeight="false" outlineLevel="0" collapsed="false">
      <c r="A126" s="0" t="n">
        <v>1229.57867583835</v>
      </c>
      <c r="B126" s="0" t="n">
        <f aca="false">W_PH(B$2,$A126)</f>
        <v>2015</v>
      </c>
      <c r="C126" s="0" t="n">
        <f aca="false">W_PH(C$2,$A126)</f>
        <v>1737.67726359936</v>
      </c>
      <c r="D126" s="0" t="n">
        <f aca="false">W_PH(D$2,$A126)</f>
        <v>1737.67606953274</v>
      </c>
      <c r="E126" s="0" t="n">
        <f aca="false">W_PH(E$2,$A126)</f>
        <v>1737.67487552672</v>
      </c>
      <c r="F126" s="0" t="n">
        <f aca="false">W_PH(F$2,$A126)</f>
        <v>1737.67368158131</v>
      </c>
      <c r="G126" s="0" t="n">
        <f aca="false">W_PH(G$2,$A126)</f>
        <v>1737.6617454595</v>
      </c>
      <c r="H126" s="0" t="n">
        <f aca="false">W_PH(H$2,$A126)</f>
        <v>1737.64981539323</v>
      </c>
      <c r="I126" s="0" t="n">
        <f aca="false">W_PH(I$2,$A126)</f>
        <v>1737.63789137792</v>
      </c>
      <c r="J126" s="0" t="n">
        <f aca="false">W_PH(J$2,$A126)</f>
        <v>1737.62597340898</v>
      </c>
      <c r="K126" s="0" t="n">
        <f aca="false">W_PH(K$2,$A126)</f>
        <v>1737.61406148184</v>
      </c>
      <c r="L126" s="0" t="n">
        <f aca="false">W_PH(L$2,$A126)</f>
        <v>1737.60215559191</v>
      </c>
      <c r="M126" s="0" t="n">
        <f aca="false">W_PH(M$2,$A126)</f>
        <v>1737.59025573463</v>
      </c>
      <c r="N126" s="0" t="n">
        <f aca="false">W_PH(N$2,$A126)</f>
        <v>1737.57836190539</v>
      </c>
      <c r="O126" s="0" t="n">
        <f aca="false">W_PH(O$2,$A126)</f>
        <v>1737.56647409963</v>
      </c>
      <c r="P126" s="0" t="n">
        <f aca="false">W_PH(P$2,$A126)</f>
        <v>1737.44792632362</v>
      </c>
      <c r="Q126" s="0" t="n">
        <f aca="false">W_PH(Q$2,$A126)</f>
        <v>1737.32997584456</v>
      </c>
      <c r="R126" s="0" t="n">
        <f aca="false">W_PH(R$2,$A126)</f>
        <v>1737.21261806135</v>
      </c>
      <c r="S126" s="0" t="n">
        <f aca="false">W_PH(S$2,$A126)</f>
        <v>1737.09584836229</v>
      </c>
      <c r="T126" s="0" t="n">
        <f aca="false">W_PH(T$2,$A126)</f>
        <v>1736.97966212436</v>
      </c>
      <c r="U126" s="0" t="n">
        <f aca="false">W_PH(U$2,$A126)</f>
        <v>1736.86405471223</v>
      </c>
      <c r="V126" s="0" t="n">
        <f aca="false">W_PH(V$2,$A126)</f>
        <v>1736.74902147695</v>
      </c>
      <c r="W126" s="0" t="n">
        <f aca="false">W_PH(W$2,$A126)</f>
        <v>1736.63455775461</v>
      </c>
      <c r="X126" s="0" t="n">
        <f aca="false">W_PH(X$2,$A126)</f>
        <v>1736.52065886488</v>
      </c>
      <c r="Y126" s="0" t="n">
        <f aca="false">W_PH(Y$2,$A126)</f>
        <v>1735.41169182696</v>
      </c>
      <c r="Z126" s="0" t="n">
        <f aca="false">W_PH(Z$2,$A126)</f>
        <v>1734.35390167006</v>
      </c>
      <c r="AA126" s="0" t="n">
        <f aca="false">W_PH(AA$2,$A126)</f>
        <v>1733.34227130274</v>
      </c>
      <c r="AB126" s="0" t="n">
        <f aca="false">W_PH(AB$2,$A126)</f>
        <v>1732.37172397946</v>
      </c>
      <c r="AC126" s="0" t="n">
        <f aca="false">W_PH(AC$2,$A126)</f>
        <v>1731.43734128772</v>
      </c>
      <c r="AD126" s="0" t="n">
        <f aca="false">W_PH(AD$2,$A126)</f>
        <v>1730.53456767673</v>
      </c>
      <c r="AE126" s="0" t="n">
        <f aca="false">W_PH(AE$2,$A126)</f>
        <v>1729.65935198304</v>
      </c>
      <c r="AF126" s="0" t="n">
        <f aca="false">W_PH(AF$2,$A126)</f>
        <v>1728.80821637251</v>
      </c>
      <c r="AG126" s="0" t="n">
        <f aca="false">W_PH(AG$2,$A126)</f>
        <v>1727.97826414801</v>
      </c>
      <c r="AH126" s="0" t="n">
        <f aca="false">W_PH(AH$2,$A126)</f>
        <v>1720.51132627198</v>
      </c>
      <c r="AI126" s="0" t="n">
        <f aca="false">W_PH(AI$2,$A126)</f>
        <v>1714.19702657383</v>
      </c>
      <c r="AJ126" s="0" t="n">
        <f aca="false">W_PH(AJ$2,$A126)</f>
        <v>1708.93684265078</v>
      </c>
      <c r="AK126" s="0" t="n">
        <f aca="false">W_PH(AK$2,$A126)</f>
        <v>1704.49613701838</v>
      </c>
      <c r="AL126" s="0" t="n">
        <f aca="false">W_PH(AL$2,$A126)</f>
        <v>1700.77470258985</v>
      </c>
      <c r="AM126" s="0" t="n">
        <f aca="false">W_PH(AM$2,$A126)</f>
        <v>1697.64212068317</v>
      </c>
      <c r="AN126" s="0" t="n">
        <f aca="false">W_PH(AN$2,$A126)</f>
        <v>1695.0576140603</v>
      </c>
      <c r="AO126" s="0" t="n">
        <f aca="false">W_PH(AO$2,$A126)</f>
        <v>1693.01781582158</v>
      </c>
      <c r="AP126" s="0" t="n">
        <f aca="false">W_PH(AP$2,$A126)</f>
        <v>1691.52349298495</v>
      </c>
      <c r="AQ126" s="0" t="n">
        <f aca="false">W_PH(AQ$2,$A126)</f>
        <v>1704.94989797783</v>
      </c>
      <c r="AR126" s="0" t="n">
        <f aca="false">W_PH(AR$2,$A126)</f>
        <v>1713.31832898595</v>
      </c>
      <c r="AS126" s="0" t="n">
        <f aca="false">W_PH(AS$2,$A126)</f>
        <v>1716.44212138431</v>
      </c>
    </row>
    <row r="127" customFormat="false" ht="12.8" hidden="false" customHeight="false" outlineLevel="0" collapsed="false">
      <c r="A127" s="0" t="n">
        <v>1233.87790197764</v>
      </c>
      <c r="B127" s="0" t="n">
        <f aca="false">W_PH(B$2,$A127)</f>
        <v>2015</v>
      </c>
      <c r="C127" s="0" t="n">
        <f aca="false">W_PH(C$2,$A127)</f>
        <v>1746.94273131509</v>
      </c>
      <c r="D127" s="0" t="n">
        <f aca="false">W_PH(D$2,$A127)</f>
        <v>1746.94157973465</v>
      </c>
      <c r="E127" s="0" t="n">
        <f aca="false">W_PH(E$2,$A127)</f>
        <v>1746.94042820809</v>
      </c>
      <c r="F127" s="0" t="n">
        <f aca="false">W_PH(F$2,$A127)</f>
        <v>1746.93927673541</v>
      </c>
      <c r="G127" s="0" t="n">
        <f aca="false">W_PH(G$2,$A127)</f>
        <v>1746.92776497097</v>
      </c>
      <c r="H127" s="0" t="n">
        <f aca="false">W_PH(H$2,$A127)</f>
        <v>1746.91625858996</v>
      </c>
      <c r="I127" s="0" t="n">
        <f aca="false">W_PH(I$2,$A127)</f>
        <v>1746.90475758855</v>
      </c>
      <c r="J127" s="0" t="n">
        <f aca="false">W_PH(J$2,$A127)</f>
        <v>1746.8932619629</v>
      </c>
      <c r="K127" s="0" t="n">
        <f aca="false">W_PH(K$2,$A127)</f>
        <v>1746.88177170917</v>
      </c>
      <c r="L127" s="0" t="n">
        <f aca="false">W_PH(L$2,$A127)</f>
        <v>1746.87028682351</v>
      </c>
      <c r="M127" s="0" t="n">
        <f aca="false">W_PH(M$2,$A127)</f>
        <v>1746.85880730208</v>
      </c>
      <c r="N127" s="0" t="n">
        <f aca="false">W_PH(N$2,$A127)</f>
        <v>1746.84733314104</v>
      </c>
      <c r="O127" s="0" t="n">
        <f aca="false">W_PH(O$2,$A127)</f>
        <v>1746.83586433654</v>
      </c>
      <c r="P127" s="0" t="n">
        <f aca="false">W_PH(P$2,$A127)</f>
        <v>1746.72147005494</v>
      </c>
      <c r="Q127" s="0" t="n">
        <f aca="false">W_PH(Q$2,$A127)</f>
        <v>1746.60760719271</v>
      </c>
      <c r="R127" s="0" t="n">
        <f aca="false">W_PH(R$2,$A127)</f>
        <v>1746.49427189337</v>
      </c>
      <c r="S127" s="0" t="n">
        <f aca="false">W_PH(S$2,$A127)</f>
        <v>1746.38146029382</v>
      </c>
      <c r="T127" s="0" t="n">
        <f aca="false">W_PH(T$2,$A127)</f>
        <v>1746.26916852434</v>
      </c>
      <c r="U127" s="0" t="n">
        <f aca="false">W_PH(U$2,$A127)</f>
        <v>1746.15739270834</v>
      </c>
      <c r="V127" s="0" t="n">
        <f aca="false">W_PH(V$2,$A127)</f>
        <v>1746.04612896207</v>
      </c>
      <c r="W127" s="0" t="n">
        <f aca="false">W_PH(W$2,$A127)</f>
        <v>1745.93537339412</v>
      </c>
      <c r="X127" s="0" t="n">
        <f aca="false">W_PH(X$2,$A127)</f>
        <v>1745.82512210494</v>
      </c>
      <c r="Y127" s="0" t="n">
        <f aca="false">W_PH(Y$2,$A127)</f>
        <v>1744.74947991964</v>
      </c>
      <c r="Z127" s="0" t="n">
        <f aca="false">W_PH(Z$2,$A127)</f>
        <v>1743.71990367938</v>
      </c>
      <c r="AA127" s="0" t="n">
        <f aca="false">W_PH(AA$2,$A127)</f>
        <v>1742.73234868158</v>
      </c>
      <c r="AB127" s="0" t="n">
        <f aca="false">W_PH(AB$2,$A127)</f>
        <v>1741.78277041696</v>
      </c>
      <c r="AC127" s="0" t="n">
        <f aca="false">W_PH(AC$2,$A127)</f>
        <v>1740.86725046267</v>
      </c>
      <c r="AD127" s="0" t="n">
        <f aca="false">W_PH(AD$2,$A127)</f>
        <v>1739.98211834366</v>
      </c>
      <c r="AE127" s="0" t="n">
        <f aca="false">W_PH(AE$2,$A127)</f>
        <v>1739.12404094134</v>
      </c>
      <c r="AF127" s="0" t="n">
        <f aca="false">W_PH(AF$2,$A127)</f>
        <v>1738.29007160162</v>
      </c>
      <c r="AG127" s="0" t="n">
        <f aca="false">W_PH(AG$2,$A127)</f>
        <v>1737.47766315897</v>
      </c>
      <c r="AH127" s="0" t="n">
        <f aca="false">W_PH(AH$2,$A127)</f>
        <v>1730.2055277246</v>
      </c>
      <c r="AI127" s="0" t="n">
        <f aca="false">W_PH(AI$2,$A127)</f>
        <v>1724.04081349141</v>
      </c>
      <c r="AJ127" s="0" t="n">
        <f aca="false">W_PH(AJ$2,$A127)</f>
        <v>1718.8492526585</v>
      </c>
      <c r="AK127" s="0" t="n">
        <f aca="false">W_PH(AK$2,$A127)</f>
        <v>1714.42372791654</v>
      </c>
      <c r="AL127" s="0" t="n">
        <f aca="false">W_PH(AL$2,$A127)</f>
        <v>1710.69125190684</v>
      </c>
      <c r="AM127" s="0" t="n">
        <f aca="false">W_PH(AM$2,$A127)</f>
        <v>1707.54052153485</v>
      </c>
      <c r="AN127" s="0" t="n">
        <f aca="false">W_PH(AN$2,$A127)</f>
        <v>1704.93548512941</v>
      </c>
      <c r="AO127" s="0" t="n">
        <f aca="false">W_PH(AO$2,$A127)</f>
        <v>1702.87329043492</v>
      </c>
      <c r="AP127" s="0" t="n">
        <f aca="false">W_PH(AP$2,$A127)</f>
        <v>1701.35610962184</v>
      </c>
      <c r="AQ127" s="0" t="n">
        <f aca="false">W_PH(AQ$2,$A127)</f>
        <v>1714.19111867975</v>
      </c>
      <c r="AR127" s="0" t="n">
        <f aca="false">W_PH(AR$2,$A127)</f>
        <v>1722.32431604262</v>
      </c>
      <c r="AS127" s="0" t="n">
        <f aca="false">W_PH(AS$2,$A127)</f>
        <v>1725.36484288585</v>
      </c>
    </row>
    <row r="128" customFormat="false" ht="12.8" hidden="false" customHeight="false" outlineLevel="0" collapsed="false">
      <c r="A128" s="0" t="n">
        <v>1238.17712811694</v>
      </c>
      <c r="B128" s="0" t="n">
        <f aca="false">W_PH(B$2,$A128)</f>
        <v>2015</v>
      </c>
      <c r="C128" s="0" t="n">
        <f aca="false">W_PH(C$2,$A128)</f>
        <v>1756.13527426433</v>
      </c>
      <c r="D128" s="0" t="n">
        <f aca="false">W_PH(D$2,$A128)</f>
        <v>1756.13416354745</v>
      </c>
      <c r="E128" s="0" t="n">
        <f aca="false">W_PH(E$2,$A128)</f>
        <v>1756.13305287855</v>
      </c>
      <c r="F128" s="0" t="n">
        <f aca="false">W_PH(F$2,$A128)</f>
        <v>1756.13194225761</v>
      </c>
      <c r="G128" s="0" t="n">
        <f aca="false">W_PH(G$2,$A128)</f>
        <v>1756.12083868589</v>
      </c>
      <c r="H128" s="0" t="n">
        <f aca="false">W_PH(H$2,$A128)</f>
        <v>1756.1097399076</v>
      </c>
      <c r="I128" s="0" t="n">
        <f aca="false">W_PH(I$2,$A128)</f>
        <v>1756.09864591953</v>
      </c>
      <c r="J128" s="0" t="n">
        <f aca="false">W_PH(J$2,$A128)</f>
        <v>1756.08755671846</v>
      </c>
      <c r="K128" s="0" t="n">
        <f aca="false">W_PH(K$2,$A128)</f>
        <v>1756.07647230118</v>
      </c>
      <c r="L128" s="0" t="n">
        <f aca="false">W_PH(L$2,$A128)</f>
        <v>1756.06539266447</v>
      </c>
      <c r="M128" s="0" t="n">
        <f aca="false">W_PH(M$2,$A128)</f>
        <v>1756.05431780511</v>
      </c>
      <c r="N128" s="0" t="n">
        <f aca="false">W_PH(N$2,$A128)</f>
        <v>1756.0432477199</v>
      </c>
      <c r="O128" s="0" t="n">
        <f aca="false">W_PH(O$2,$A128)</f>
        <v>1756.0321824056</v>
      </c>
      <c r="P128" s="0" t="n">
        <f aca="false">W_PH(P$2,$A128)</f>
        <v>1755.92179095485</v>
      </c>
      <c r="Q128" s="0" t="n">
        <f aca="false">W_PH(Q$2,$A128)</f>
        <v>1755.81187305287</v>
      </c>
      <c r="R128" s="0" t="n">
        <f aca="false">W_PH(R$2,$A128)</f>
        <v>1755.70242547452</v>
      </c>
      <c r="S128" s="0" t="n">
        <f aca="false">W_PH(S$2,$A128)</f>
        <v>1755.59344499077</v>
      </c>
      <c r="T128" s="0" t="n">
        <f aca="false">W_PH(T$2,$A128)</f>
        <v>1755.48492836893</v>
      </c>
      <c r="U128" s="0" t="n">
        <f aca="false">W_PH(U$2,$A128)</f>
        <v>1755.37687237279</v>
      </c>
      <c r="V128" s="0" t="n">
        <f aca="false">W_PH(V$2,$A128)</f>
        <v>1755.26927376259</v>
      </c>
      <c r="W128" s="0" t="n">
        <f aca="false">W_PH(W$2,$A128)</f>
        <v>1755.16212929502</v>
      </c>
      <c r="X128" s="0" t="n">
        <f aca="false">W_PH(X$2,$A128)</f>
        <v>1755.05543572312</v>
      </c>
      <c r="Y128" s="0" t="n">
        <f aca="false">W_PH(Y$2,$A128)</f>
        <v>1754.01258218018</v>
      </c>
      <c r="Z128" s="0" t="n">
        <f aca="false">W_PH(Z$2,$A128)</f>
        <v>1753.01121870773</v>
      </c>
      <c r="AA128" s="0" t="n">
        <f aca="false">W_PH(AA$2,$A128)</f>
        <v>1752.04805185046</v>
      </c>
      <c r="AB128" s="0" t="n">
        <f aca="false">W_PH(AB$2,$A128)</f>
        <v>1751.11981668177</v>
      </c>
      <c r="AC128" s="0" t="n">
        <f aca="false">W_PH(AC$2,$A128)</f>
        <v>1750.223350887</v>
      </c>
      <c r="AD128" s="0" t="n">
        <f aca="false">W_PH(AD$2,$A128)</f>
        <v>1749.35566775387</v>
      </c>
      <c r="AE128" s="0" t="n">
        <f aca="false">W_PH(AE$2,$A128)</f>
        <v>1748.51401225029</v>
      </c>
      <c r="AF128" s="0" t="n">
        <f aca="false">W_PH(AF$2,$A128)</f>
        <v>1747.69589474234</v>
      </c>
      <c r="AG128" s="0" t="n">
        <f aca="false">W_PH(AG$2,$A128)</f>
        <v>1746.89910361419</v>
      </c>
      <c r="AH128" s="0" t="n">
        <f aca="false">W_PH(AH$2,$A128)</f>
        <v>1739.78599659462</v>
      </c>
      <c r="AI128" s="0" t="n">
        <f aca="false">W_PH(AI$2,$A128)</f>
        <v>1733.75102525571</v>
      </c>
      <c r="AJ128" s="0" t="n">
        <f aca="false">W_PH(AJ$2,$A128)</f>
        <v>1728.62906709939</v>
      </c>
      <c r="AK128" s="0" t="n">
        <f aca="false">W_PH(AK$2,$A128)</f>
        <v>1724.23303043409</v>
      </c>
      <c r="AL128" s="0" t="n">
        <f aca="false">W_PH(AL$2,$A128)</f>
        <v>1720.50689534941</v>
      </c>
      <c r="AM128" s="0" t="n">
        <f aca="false">W_PH(AM$2,$A128)</f>
        <v>1717.35379312772</v>
      </c>
      <c r="AN128" s="0" t="n">
        <f aca="false">W_PH(AN$2,$A128)</f>
        <v>1714.74125566922</v>
      </c>
      <c r="AO128" s="0" t="n">
        <f aca="false">W_PH(AO$2,$A128)</f>
        <v>1712.66652112201</v>
      </c>
      <c r="AP128" s="0" t="n">
        <f aca="false">W_PH(AP$2,$A128)</f>
        <v>1711.13247320874</v>
      </c>
      <c r="AQ128" s="0" t="n">
        <f aca="false">W_PH(AQ$2,$A128)</f>
        <v>1723.39102608825</v>
      </c>
      <c r="AR128" s="0" t="n">
        <f aca="false">W_PH(AR$2,$A128)</f>
        <v>1731.29517300681</v>
      </c>
      <c r="AS128" s="0" t="n">
        <f aca="false">W_PH(AS$2,$A128)</f>
        <v>1734.2549059889</v>
      </c>
    </row>
    <row r="129" customFormat="false" ht="12.8" hidden="false" customHeight="false" outlineLevel="0" collapsed="false">
      <c r="A129" s="0" t="n">
        <v>1242.47635425623</v>
      </c>
      <c r="B129" s="0" t="n">
        <f aca="false">W_PH(B$2,$A129)</f>
        <v>2015</v>
      </c>
      <c r="C129" s="0" t="n">
        <f aca="false">W_PH(C$2,$A129)</f>
        <v>1765.25616078388</v>
      </c>
      <c r="D129" s="0" t="n">
        <f aca="false">W_PH(D$2,$A129)</f>
        <v>1765.25508935866</v>
      </c>
      <c r="E129" s="0" t="n">
        <f aca="false">W_PH(E$2,$A129)</f>
        <v>1765.25401797621</v>
      </c>
      <c r="F129" s="0" t="n">
        <f aca="false">W_PH(F$2,$A129)</f>
        <v>1765.25294663654</v>
      </c>
      <c r="G129" s="0" t="n">
        <f aca="false">W_PH(G$2,$A129)</f>
        <v>1765.24223559199</v>
      </c>
      <c r="H129" s="0" t="n">
        <f aca="false">W_PH(H$2,$A129)</f>
        <v>1765.23152882216</v>
      </c>
      <c r="I129" s="0" t="n">
        <f aca="false">W_PH(I$2,$A129)</f>
        <v>1765.22082632436</v>
      </c>
      <c r="J129" s="0" t="n">
        <f aca="false">W_PH(J$2,$A129)</f>
        <v>1765.21012809592</v>
      </c>
      <c r="K129" s="0" t="n">
        <f aca="false">W_PH(K$2,$A129)</f>
        <v>1765.19943413415</v>
      </c>
      <c r="L129" s="0" t="n">
        <f aca="false">W_PH(L$2,$A129)</f>
        <v>1765.18874443635</v>
      </c>
      <c r="M129" s="0" t="n">
        <f aca="false">W_PH(M$2,$A129)</f>
        <v>1765.17805899984</v>
      </c>
      <c r="N129" s="0" t="n">
        <f aca="false">W_PH(N$2,$A129)</f>
        <v>1765.16737782193</v>
      </c>
      <c r="O129" s="0" t="n">
        <f aca="false">W_PH(O$2,$A129)</f>
        <v>1765.15670089994</v>
      </c>
      <c r="P129" s="0" t="n">
        <f aca="false">W_PH(P$2,$A129)</f>
        <v>1765.05016516373</v>
      </c>
      <c r="Q129" s="0" t="n">
        <f aca="false">W_PH(Q$2,$A129)</f>
        <v>1764.94405206009</v>
      </c>
      <c r="R129" s="0" t="n">
        <f aca="false">W_PH(R$2,$A129)</f>
        <v>1764.83835889673</v>
      </c>
      <c r="S129" s="0" t="n">
        <f aca="false">W_PH(S$2,$A129)</f>
        <v>1764.73308297929</v>
      </c>
      <c r="T129" s="0" t="n">
        <f aca="false">W_PH(T$2,$A129)</f>
        <v>1764.62822161155</v>
      </c>
      <c r="U129" s="0" t="n">
        <f aca="false">W_PH(U$2,$A129)</f>
        <v>1764.52377209569</v>
      </c>
      <c r="V129" s="0" t="n">
        <f aca="false">W_PH(V$2,$A129)</f>
        <v>1764.41973173243</v>
      </c>
      <c r="W129" s="0" t="n">
        <f aca="false">W_PH(W$2,$A129)</f>
        <v>1764.31609782112</v>
      </c>
      <c r="X129" s="0" t="n">
        <f aca="false">W_PH(X$2,$A129)</f>
        <v>1764.21286765987</v>
      </c>
      <c r="Y129" s="0" t="n">
        <f aca="false">W_PH(Y$2,$A129)</f>
        <v>1763.20217713136</v>
      </c>
      <c r="Z129" s="0" t="n">
        <f aca="false">W_PH(Z$2,$A129)</f>
        <v>1762.22888376097</v>
      </c>
      <c r="AA129" s="0" t="n">
        <f aca="false">W_PH(AA$2,$A129)</f>
        <v>1761.29028653465</v>
      </c>
      <c r="AB129" s="0" t="n">
        <f aca="false">W_PH(AB$2,$A129)</f>
        <v>1760.38372301891</v>
      </c>
      <c r="AC129" s="0" t="n">
        <f aca="false">W_PH(AC$2,$A129)</f>
        <v>1759.50661399571</v>
      </c>
      <c r="AD129" s="0" t="n">
        <f aca="false">W_PH(AD$2,$A129)</f>
        <v>1758.65650768274</v>
      </c>
      <c r="AE129" s="0" t="n">
        <f aca="false">W_PH(AE$2,$A129)</f>
        <v>1757.83111496461</v>
      </c>
      <c r="AF129" s="0" t="n">
        <f aca="false">W_PH(AF$2,$A129)</f>
        <v>1757.02833218413</v>
      </c>
      <c r="AG129" s="0" t="n">
        <f aca="false">W_PH(AG$2,$A129)</f>
        <v>1756.24625167617</v>
      </c>
      <c r="AH129" s="0" t="n">
        <f aca="false">W_PH(AH$2,$A129)</f>
        <v>1749.27014067791</v>
      </c>
      <c r="AI129" s="0" t="n">
        <f aca="false">W_PH(AI$2,$A129)</f>
        <v>1743.34970599814</v>
      </c>
      <c r="AJ129" s="0" t="n">
        <f aca="false">W_PH(AJ$2,$A129)</f>
        <v>1738.2971429058</v>
      </c>
      <c r="AK129" s="0" t="n">
        <f aca="false">W_PH(AK$2,$A129)</f>
        <v>1733.93965116585</v>
      </c>
      <c r="AL129" s="0" t="n">
        <f aca="false">W_PH(AL$2,$A129)</f>
        <v>1730.23215792234</v>
      </c>
      <c r="AM129" s="0" t="n">
        <f aca="false">W_PH(AM$2,$A129)</f>
        <v>1727.08844220366</v>
      </c>
      <c r="AN129" s="0" t="n">
        <f aca="false">W_PH(AN$2,$A129)</f>
        <v>1724.47849495898</v>
      </c>
      <c r="AO129" s="0" t="n">
        <f aca="false">W_PH(AO$2,$A129)</f>
        <v>1722.39920465041</v>
      </c>
      <c r="AP129" s="0" t="n">
        <f aca="false">W_PH(AP$2,$A129)</f>
        <v>1720.85358669514</v>
      </c>
      <c r="AQ129" s="0" t="n">
        <f aca="false">W_PH(AQ$2,$A129)</f>
        <v>1732.55018950425</v>
      </c>
      <c r="AR129" s="0" t="n">
        <f aca="false">W_PH(AR$2,$A129)</f>
        <v>1740.23165970509</v>
      </c>
      <c r="AS129" s="0" t="n">
        <f aca="false">W_PH(AS$2,$A129)</f>
        <v>1743.11308250976</v>
      </c>
    </row>
    <row r="130" customFormat="false" ht="12.8" hidden="false" customHeight="false" outlineLevel="0" collapsed="false">
      <c r="A130" s="0" t="n">
        <v>1246.77558039553</v>
      </c>
      <c r="B130" s="0" t="n">
        <f aca="false">W_PH(B$2,$A130)</f>
        <v>2015</v>
      </c>
      <c r="C130" s="0" t="n">
        <f aca="false">W_PH(C$2,$A130)</f>
        <v>1774.30662250452</v>
      </c>
      <c r="D130" s="0" t="n">
        <f aca="false">W_PH(D$2,$A130)</f>
        <v>1774.30558884888</v>
      </c>
      <c r="E130" s="0" t="n">
        <f aca="false">W_PH(E$2,$A130)</f>
        <v>1774.30455523146</v>
      </c>
      <c r="F130" s="0" t="n">
        <f aca="false">W_PH(F$2,$A130)</f>
        <v>1774.30352165224</v>
      </c>
      <c r="G130" s="0" t="n">
        <f aca="false">W_PH(G$2,$A130)</f>
        <v>1774.2931879609</v>
      </c>
      <c r="H130" s="0" t="n">
        <f aca="false">W_PH(H$2,$A130)</f>
        <v>1774.28285808774</v>
      </c>
      <c r="I130" s="0" t="n">
        <f aca="false">W_PH(I$2,$A130)</f>
        <v>1774.27253203051</v>
      </c>
      <c r="J130" s="0" t="n">
        <f aca="false">W_PH(J$2,$A130)</f>
        <v>1774.26220978697</v>
      </c>
      <c r="K130" s="0" t="n">
        <f aca="false">W_PH(K$2,$A130)</f>
        <v>1774.25189135488</v>
      </c>
      <c r="L130" s="0" t="n">
        <f aca="false">W_PH(L$2,$A130)</f>
        <v>1774.241576732</v>
      </c>
      <c r="M130" s="0" t="n">
        <f aca="false">W_PH(M$2,$A130)</f>
        <v>1774.23126591609</v>
      </c>
      <c r="N130" s="0" t="n">
        <f aca="false">W_PH(N$2,$A130)</f>
        <v>1774.2209589049</v>
      </c>
      <c r="O130" s="0" t="n">
        <f aca="false">W_PH(O$2,$A130)</f>
        <v>1774.21065569619</v>
      </c>
      <c r="P130" s="0" t="n">
        <f aca="false">W_PH(P$2,$A130)</f>
        <v>1774.1078322522</v>
      </c>
      <c r="Q130" s="0" t="n">
        <f aca="false">W_PH(Q$2,$A130)</f>
        <v>1774.00538658875</v>
      </c>
      <c r="R130" s="0" t="n">
        <f aca="false">W_PH(R$2,$A130)</f>
        <v>1773.90331646128</v>
      </c>
      <c r="S130" s="0" t="n">
        <f aca="false">W_PH(S$2,$A130)</f>
        <v>1773.80161962423</v>
      </c>
      <c r="T130" s="0" t="n">
        <f aca="false">W_PH(T$2,$A130)</f>
        <v>1773.70029383129</v>
      </c>
      <c r="U130" s="0" t="n">
        <f aca="false">W_PH(U$2,$A130)</f>
        <v>1773.59933683562</v>
      </c>
      <c r="V130" s="0" t="n">
        <f aca="false">W_PH(V$2,$A130)</f>
        <v>1773.49874639</v>
      </c>
      <c r="W130" s="0" t="n">
        <f aca="false">W_PH(W$2,$A130)</f>
        <v>1773.39852024702</v>
      </c>
      <c r="X130" s="0" t="n">
        <f aca="false">W_PH(X$2,$A130)</f>
        <v>1773.29865615919</v>
      </c>
      <c r="Y130" s="0" t="n">
        <f aca="false">W_PH(Y$2,$A130)</f>
        <v>1772.31943405509</v>
      </c>
      <c r="Z130" s="0" t="n">
        <f aca="false">W_PH(Z$2,$A130)</f>
        <v>1771.37394945667</v>
      </c>
      <c r="AA130" s="0" t="n">
        <f aca="false">W_PH(AA$2,$A130)</f>
        <v>1770.45997566365</v>
      </c>
      <c r="AB130" s="0" t="n">
        <f aca="false">W_PH(AB$2,$A130)</f>
        <v>1769.57532484169</v>
      </c>
      <c r="AC130" s="0" t="n">
        <f aca="false">W_PH(AC$2,$A130)</f>
        <v>1768.71787565084</v>
      </c>
      <c r="AD130" s="0" t="n">
        <f aca="false">W_PH(AD$2,$A130)</f>
        <v>1767.88560051339</v>
      </c>
      <c r="AE130" s="0" t="n">
        <f aca="false">W_PH(AE$2,$A130)</f>
        <v>1767.07658798473</v>
      </c>
      <c r="AF130" s="0" t="n">
        <f aca="false">W_PH(AF$2,$A130)</f>
        <v>1766.2890581702</v>
      </c>
      <c r="AG130" s="0" t="n">
        <f aca="false">W_PH(AG$2,$A130)</f>
        <v>1765.52137105271</v>
      </c>
      <c r="AH130" s="0" t="n">
        <f aca="false">W_PH(AH$2,$A130)</f>
        <v>1758.66952687592</v>
      </c>
      <c r="AI130" s="0" t="n">
        <f aca="false">W_PH(AI$2,$A130)</f>
        <v>1752.8526578023</v>
      </c>
      <c r="AJ130" s="0" t="n">
        <f aca="false">W_PH(AJ$2,$A130)</f>
        <v>1747.86910171401</v>
      </c>
      <c r="AK130" s="0" t="n">
        <f aca="false">W_PH(AK$2,$A130)</f>
        <v>1743.5557082535</v>
      </c>
      <c r="AL130" s="0" t="n">
        <f aca="false">W_PH(AL$2,$A130)</f>
        <v>1739.87531794417</v>
      </c>
      <c r="AM130" s="0" t="n">
        <f aca="false">W_PH(AM$2,$A130)</f>
        <v>1736.74951086678</v>
      </c>
      <c r="AN130" s="0" t="n">
        <f aca="false">W_PH(AN$2,$A130)</f>
        <v>1734.14977589333</v>
      </c>
      <c r="AO130" s="0" t="n">
        <f aca="false">W_PH(AO$2,$A130)</f>
        <v>1732.07225557182</v>
      </c>
      <c r="AP130" s="0" t="n">
        <f aca="false">W_PH(AP$2,$A130)</f>
        <v>1730.51962159487</v>
      </c>
      <c r="AQ130" s="0" t="n">
        <f aca="false">W_PH(AQ$2,$A130)</f>
        <v>1741.66931960594</v>
      </c>
      <c r="AR130" s="0" t="n">
        <f aca="false">W_PH(AR$2,$A130)</f>
        <v>1749.13457735528</v>
      </c>
      <c r="AS130" s="0" t="n">
        <f aca="false">W_PH(AS$2,$A130)</f>
        <v>1751.94015752702</v>
      </c>
    </row>
    <row r="131" customFormat="false" ht="12.8" hidden="false" customHeight="false" outlineLevel="0" collapsed="false">
      <c r="A131" s="0" t="n">
        <v>1251.07480653482</v>
      </c>
      <c r="B131" s="0" t="n">
        <f aca="false">W_PH(B$2,$A131)</f>
        <v>2015</v>
      </c>
      <c r="C131" s="0" t="n">
        <f aca="false">W_PH(C$2,$A131)</f>
        <v>1783.28785554766</v>
      </c>
      <c r="D131" s="0" t="n">
        <f aca="false">W_PH(D$2,$A131)</f>
        <v>1783.28685818865</v>
      </c>
      <c r="E131" s="0" t="n">
        <f aca="false">W_PH(E$2,$A131)</f>
        <v>1783.28586086382</v>
      </c>
      <c r="F131" s="0" t="n">
        <f aca="false">W_PH(F$2,$A131)</f>
        <v>1783.28486357317</v>
      </c>
      <c r="G131" s="0" t="n">
        <f aca="false">W_PH(G$2,$A131)</f>
        <v>1783.27489254617</v>
      </c>
      <c r="H131" s="0" t="n">
        <f aca="false">W_PH(H$2,$A131)</f>
        <v>1783.26492493516</v>
      </c>
      <c r="I131" s="0" t="n">
        <f aca="false">W_PH(I$2,$A131)</f>
        <v>1783.25496073827</v>
      </c>
      <c r="J131" s="0" t="n">
        <f aca="false">W_PH(J$2,$A131)</f>
        <v>1783.24499995363</v>
      </c>
      <c r="K131" s="0" t="n">
        <f aca="false">W_PH(K$2,$A131)</f>
        <v>1783.23504257937</v>
      </c>
      <c r="L131" s="0" t="n">
        <f aca="false">W_PH(L$2,$A131)</f>
        <v>1783.22508861362</v>
      </c>
      <c r="M131" s="0" t="n">
        <f aca="false">W_PH(M$2,$A131)</f>
        <v>1783.21513805451</v>
      </c>
      <c r="N131" s="0" t="n">
        <f aca="false">W_PH(N$2,$A131)</f>
        <v>1783.20519090018</v>
      </c>
      <c r="O131" s="0" t="n">
        <f aca="false">W_PH(O$2,$A131)</f>
        <v>1783.19524714875</v>
      </c>
      <c r="P131" s="0" t="n">
        <f aca="false">W_PH(P$2,$A131)</f>
        <v>1783.09599638306</v>
      </c>
      <c r="Q131" s="0" t="n">
        <f aca="false">W_PH(Q$2,$A131)</f>
        <v>1782.9970838515</v>
      </c>
      <c r="R131" s="0" t="n">
        <f aca="false">W_PH(R$2,$A131)</f>
        <v>1782.89850768406</v>
      </c>
      <c r="S131" s="0" t="n">
        <f aca="false">W_PH(S$2,$A131)</f>
        <v>1782.80026601039</v>
      </c>
      <c r="T131" s="0" t="n">
        <f aca="false">W_PH(T$2,$A131)</f>
        <v>1782.70235695998</v>
      </c>
      <c r="U131" s="0" t="n">
        <f aca="false">W_PH(U$2,$A131)</f>
        <v>1782.60477866233</v>
      </c>
      <c r="V131" s="0" t="n">
        <f aca="false">W_PH(V$2,$A131)</f>
        <v>1782.50752924716</v>
      </c>
      <c r="W131" s="0" t="n">
        <f aca="false">W_PH(W$2,$A131)</f>
        <v>1782.4106068445</v>
      </c>
      <c r="X131" s="0" t="n">
        <f aca="false">W_PH(X$2,$A131)</f>
        <v>1782.31400958482</v>
      </c>
      <c r="Y131" s="0" t="n">
        <f aca="false">W_PH(Y$2,$A131)</f>
        <v>1781.365509123</v>
      </c>
      <c r="Z131" s="0" t="n">
        <f aca="false">W_PH(Z$2,$A131)</f>
        <v>1780.44747439432</v>
      </c>
      <c r="AA131" s="0" t="n">
        <f aca="false">W_PH(AA$2,$A131)</f>
        <v>1779.55806247486</v>
      </c>
      <c r="AB131" s="0" t="n">
        <f aca="false">W_PH(AB$2,$A131)</f>
        <v>1778.69546499919</v>
      </c>
      <c r="AC131" s="0" t="n">
        <f aca="false">W_PH(AC$2,$A131)</f>
        <v>1777.8579257578</v>
      </c>
      <c r="AD131" s="0" t="n">
        <f aca="false">W_PH(AD$2,$A131)</f>
        <v>1777.04375791145</v>
      </c>
      <c r="AE131" s="0" t="n">
        <f aca="false">W_PH(AE$2,$A131)</f>
        <v>1776.25135847563</v>
      </c>
      <c r="AF131" s="0" t="n">
        <f aca="false">W_PH(AF$2,$A131)</f>
        <v>1775.47921890137</v>
      </c>
      <c r="AG131" s="0" t="n">
        <f aca="false">W_PH(AG$2,$A131)</f>
        <v>1774.72593157435</v>
      </c>
      <c r="AH131" s="0" t="n">
        <f aca="false">W_PH(AH$2,$A131)</f>
        <v>1767.99174316728</v>
      </c>
      <c r="AI131" s="0" t="n">
        <f aca="false">W_PH(AI$2,$A131)</f>
        <v>1762.27102261029</v>
      </c>
      <c r="AJ131" s="0" t="n">
        <f aca="false">W_PH(AJ$2,$A131)</f>
        <v>1757.35632524313</v>
      </c>
      <c r="AK131" s="0" t="n">
        <f aca="false">W_PH(AK$2,$A131)</f>
        <v>1753.09039293815</v>
      </c>
      <c r="AL131" s="0" t="n">
        <f aca="false">W_PH(AL$2,$A131)</f>
        <v>1749.44278677933</v>
      </c>
      <c r="AM131" s="0" t="n">
        <f aca="false">W_PH(AM$2,$A131)</f>
        <v>1746.34089673888</v>
      </c>
      <c r="AN131" s="0" t="n">
        <f aca="false">W_PH(AN$2,$A131)</f>
        <v>1743.75698310262</v>
      </c>
      <c r="AO131" s="0" t="n">
        <f aca="false">W_PH(AO$2,$A131)</f>
        <v>1741.6861328572</v>
      </c>
      <c r="AP131" s="0" t="n">
        <f aca="false">W_PH(AP$2,$A131)</f>
        <v>1740.13030226322</v>
      </c>
      <c r="AQ131" s="0" t="n">
        <f aca="false">W_PH(AQ$2,$A131)</f>
        <v>1750.74920662923</v>
      </c>
      <c r="AR131" s="0" t="n">
        <f aca="false">W_PH(AR$2,$A131)</f>
        <v>1758.00472312039</v>
      </c>
      <c r="AS131" s="0" t="n">
        <f aca="false">W_PH(AS$2,$A131)</f>
        <v>1760.73688972832</v>
      </c>
    </row>
    <row r="132" customFormat="false" ht="12.8" hidden="false" customHeight="false" outlineLevel="0" collapsed="false">
      <c r="A132" s="0" t="n">
        <v>1255.37403267412</v>
      </c>
      <c r="B132" s="0" t="n">
        <f aca="false">W_PH(B$2,$A132)</f>
        <v>2015</v>
      </c>
      <c r="C132" s="0" t="n">
        <f aca="false">W_PH(C$2,$A132)</f>
        <v>1792.20102172152</v>
      </c>
      <c r="D132" s="0" t="n">
        <f aca="false">W_PH(D$2,$A132)</f>
        <v>1792.20005923461</v>
      </c>
      <c r="E132" s="0" t="n">
        <f aca="false">W_PH(E$2,$A132)</f>
        <v>1792.19909677834</v>
      </c>
      <c r="F132" s="0" t="n">
        <f aca="false">W_PH(F$2,$A132)</f>
        <v>1792.1981343527</v>
      </c>
      <c r="G132" s="0" t="n">
        <f aca="false">W_PH(G$2,$A132)</f>
        <v>1792.18851178068</v>
      </c>
      <c r="H132" s="0" t="n">
        <f aca="false">W_PH(H$2,$A132)</f>
        <v>1792.17889227013</v>
      </c>
      <c r="I132" s="0" t="n">
        <f aca="false">W_PH(I$2,$A132)</f>
        <v>1792.16927581948</v>
      </c>
      <c r="J132" s="0" t="n">
        <f aca="false">W_PH(J$2,$A132)</f>
        <v>1792.15966242717</v>
      </c>
      <c r="K132" s="0" t="n">
        <f aca="false">W_PH(K$2,$A132)</f>
        <v>1792.15005209165</v>
      </c>
      <c r="L132" s="0" t="n">
        <f aca="false">W_PH(L$2,$A132)</f>
        <v>1792.14044481136</v>
      </c>
      <c r="M132" s="0" t="n">
        <f aca="false">W_PH(M$2,$A132)</f>
        <v>1792.13084058474</v>
      </c>
      <c r="N132" s="0" t="n">
        <f aca="false">W_PH(N$2,$A132)</f>
        <v>1792.12123941023</v>
      </c>
      <c r="O132" s="0" t="n">
        <f aca="false">W_PH(O$2,$A132)</f>
        <v>1792.11164128628</v>
      </c>
      <c r="P132" s="0" t="n">
        <f aca="false">W_PH(P$2,$A132)</f>
        <v>1792.01582748473</v>
      </c>
      <c r="Q132" s="0" t="n">
        <f aca="false">W_PH(Q$2,$A132)</f>
        <v>1791.92031702534</v>
      </c>
      <c r="R132" s="0" t="n">
        <f aca="false">W_PH(R$2,$A132)</f>
        <v>1791.82510835019</v>
      </c>
      <c r="S132" s="0" t="n">
        <f aca="false">W_PH(S$2,$A132)</f>
        <v>1791.73019990141</v>
      </c>
      <c r="T132" s="0" t="n">
        <f aca="false">W_PH(T$2,$A132)</f>
        <v>1791.63559012125</v>
      </c>
      <c r="U132" s="0" t="n">
        <f aca="false">W_PH(U$2,$A132)</f>
        <v>1791.54127745223</v>
      </c>
      <c r="V132" s="0" t="n">
        <f aca="false">W_PH(V$2,$A132)</f>
        <v>1791.44726033733</v>
      </c>
      <c r="W132" s="0" t="n">
        <f aca="false">W_PH(W$2,$A132)</f>
        <v>1791.35353722002</v>
      </c>
      <c r="X132" s="0" t="n">
        <f aca="false">W_PH(X$2,$A132)</f>
        <v>1791.26010654442</v>
      </c>
      <c r="Y132" s="0" t="n">
        <f aca="false">W_PH(Y$2,$A132)</f>
        <v>1790.34154244301</v>
      </c>
      <c r="Z132" s="0" t="n">
        <f aca="false">W_PH(Z$2,$A132)</f>
        <v>1789.45051949861</v>
      </c>
      <c r="AA132" s="0" t="n">
        <f aca="false">W_PH(AA$2,$A132)</f>
        <v>1788.58550751929</v>
      </c>
      <c r="AB132" s="0" t="n">
        <f aca="false">W_PH(AB$2,$A132)</f>
        <v>1787.7450049338</v>
      </c>
      <c r="AC132" s="0" t="n">
        <f aca="false">W_PH(AC$2,$A132)</f>
        <v>1786.92755032061</v>
      </c>
      <c r="AD132" s="0" t="n">
        <f aca="false">W_PH(AD$2,$A132)</f>
        <v>1786.1317335866</v>
      </c>
      <c r="AE132" s="0" t="n">
        <f aca="false">W_PH(AE$2,$A132)</f>
        <v>1785.3562056049</v>
      </c>
      <c r="AF132" s="0" t="n">
        <f aca="false">W_PH(AF$2,$A132)</f>
        <v>1784.59968566312</v>
      </c>
      <c r="AG132" s="0" t="n">
        <f aca="false">W_PH(AG$2,$A132)</f>
        <v>1783.86096657834</v>
      </c>
      <c r="AH132" s="0" t="n">
        <f aca="false">W_PH(AH$2,$A132)</f>
        <v>1777.24172498371</v>
      </c>
      <c r="AI132" s="0" t="n">
        <f aca="false">W_PH(AI$2,$A132)</f>
        <v>1771.61254377216</v>
      </c>
      <c r="AJ132" s="0" t="n">
        <f aca="false">W_PH(AJ$2,$A132)</f>
        <v>1766.76688984091</v>
      </c>
      <c r="AK132" s="0" t="n">
        <f aca="false">W_PH(AK$2,$A132)</f>
        <v>1762.55051523281</v>
      </c>
      <c r="AL132" s="0" t="n">
        <f aca="false">W_PH(AL$2,$A132)</f>
        <v>1758.93944486582</v>
      </c>
      <c r="AM132" s="0" t="n">
        <f aca="false">W_PH(AM$2,$A132)</f>
        <v>1755.86559364144</v>
      </c>
      <c r="AN132" s="0" t="n">
        <f aca="false">W_PH(AN$2,$A132)</f>
        <v>1753.30151658955</v>
      </c>
      <c r="AO132" s="0" t="n">
        <f aca="false">W_PH(AO$2,$A132)</f>
        <v>1751.24104460325</v>
      </c>
      <c r="AP132" s="0" t="n">
        <f aca="false">W_PH(AP$2,$A132)</f>
        <v>1749.68515003872</v>
      </c>
      <c r="AQ132" s="0" t="n">
        <f aca="false">W_PH(AQ$2,$A132)</f>
        <v>1759.79067353546</v>
      </c>
      <c r="AR132" s="0" t="n">
        <f aca="false">W_PH(AR$2,$A132)</f>
        <v>1766.84285901131</v>
      </c>
      <c r="AS132" s="0" t="n">
        <f aca="false">W_PH(AS$2,$A132)</f>
        <v>1769.50398552454</v>
      </c>
    </row>
    <row r="133" customFormat="false" ht="12.8" hidden="false" customHeight="false" outlineLevel="0" collapsed="false">
      <c r="A133" s="0" t="n">
        <v>1259.67325881341</v>
      </c>
      <c r="B133" s="0" t="n">
        <f aca="false">W_PH(B$2,$A133)</f>
        <v>2015</v>
      </c>
      <c r="C133" s="0" t="n">
        <f aca="false">W_PH(C$2,$A133)</f>
        <v>1801.04724970862</v>
      </c>
      <c r="D133" s="0" t="n">
        <f aca="false">W_PH(D$2,$A133)</f>
        <v>1801.04632071722</v>
      </c>
      <c r="E133" s="0" t="n">
        <f aca="false">W_PH(E$2,$A133)</f>
        <v>1801.04539175332</v>
      </c>
      <c r="F133" s="0" t="n">
        <f aca="false">W_PH(F$2,$A133)</f>
        <v>1801.04446281693</v>
      </c>
      <c r="G133" s="0" t="n">
        <f aca="false">W_PH(G$2,$A133)</f>
        <v>1801.03517496531</v>
      </c>
      <c r="H133" s="0" t="n">
        <f aca="false">W_PH(H$2,$A133)</f>
        <v>1801.02588986249</v>
      </c>
      <c r="I133" s="0" t="n">
        <f aca="false">W_PH(I$2,$A133)</f>
        <v>1801.01660750717</v>
      </c>
      <c r="J133" s="0" t="n">
        <f aca="false">W_PH(J$2,$A133)</f>
        <v>1801.00732789804</v>
      </c>
      <c r="K133" s="0" t="n">
        <f aca="false">W_PH(K$2,$A133)</f>
        <v>1800.99805103381</v>
      </c>
      <c r="L133" s="0" t="n">
        <f aca="false">W_PH(L$2,$A133)</f>
        <v>1800.98877691319</v>
      </c>
      <c r="M133" s="0" t="n">
        <f aca="false">W_PH(M$2,$A133)</f>
        <v>1800.97950553486</v>
      </c>
      <c r="N133" s="0" t="n">
        <f aca="false">W_PH(N$2,$A133)</f>
        <v>1800.97023689754</v>
      </c>
      <c r="O133" s="0" t="n">
        <f aca="false">W_PH(O$2,$A133)</f>
        <v>1800.96097099991</v>
      </c>
      <c r="P133" s="0" t="n">
        <f aca="false">W_PH(P$2,$A133)</f>
        <v>1800.86846242166</v>
      </c>
      <c r="Q133" s="0" t="n">
        <f aca="false">W_PH(Q$2,$A133)</f>
        <v>1800.77622638507</v>
      </c>
      <c r="R133" s="0" t="n">
        <f aca="false">W_PH(R$2,$A133)</f>
        <v>1800.68426159139</v>
      </c>
      <c r="S133" s="0" t="n">
        <f aca="false">W_PH(S$2,$A133)</f>
        <v>1800.59256674206</v>
      </c>
      <c r="T133" s="0" t="n">
        <f aca="false">W_PH(T$2,$A133)</f>
        <v>1800.50114053878</v>
      </c>
      <c r="U133" s="0" t="n">
        <f aca="false">W_PH(U$2,$A133)</f>
        <v>1800.40998168364</v>
      </c>
      <c r="V133" s="0" t="n">
        <f aca="false">W_PH(V$2,$A133)</f>
        <v>1800.31908887919</v>
      </c>
      <c r="W133" s="0" t="n">
        <f aca="false">W_PH(W$2,$A133)</f>
        <v>1800.22846082853</v>
      </c>
      <c r="X133" s="0" t="n">
        <f aca="false">W_PH(X$2,$A133)</f>
        <v>1800.13809623544</v>
      </c>
      <c r="Y133" s="0" t="n">
        <f aca="false">W_PH(Y$2,$A133)</f>
        <v>1799.24865590723</v>
      </c>
      <c r="Z133" s="0" t="n">
        <f aca="false">W_PH(Z$2,$A133)</f>
        <v>1798.38414308665</v>
      </c>
      <c r="AA133" s="0" t="n">
        <f aca="false">W_PH(AA$2,$A133)</f>
        <v>1797.54328358936</v>
      </c>
      <c r="AB133" s="0" t="n">
        <f aca="false">W_PH(AB$2,$A133)</f>
        <v>1796.72482585879</v>
      </c>
      <c r="AC133" s="0" t="n">
        <f aca="false">W_PH(AC$2,$A133)</f>
        <v>1795.92754872042</v>
      </c>
      <c r="AD133" s="0" t="n">
        <f aca="false">W_PH(AD$2,$A133)</f>
        <v>1795.15026887009</v>
      </c>
      <c r="AE133" s="0" t="n">
        <f aca="false">W_PH(AE$2,$A133)</f>
        <v>1794.39184750095</v>
      </c>
      <c r="AF133" s="0" t="n">
        <f aca="false">W_PH(AF$2,$A133)</f>
        <v>1793.65119571684</v>
      </c>
      <c r="AG133" s="0" t="n">
        <f aca="false">W_PH(AG$2,$A133)</f>
        <v>1792.92727863075</v>
      </c>
      <c r="AH133" s="0" t="n">
        <f aca="false">W_PH(AH$2,$A133)</f>
        <v>1786.42266665554</v>
      </c>
      <c r="AI133" s="0" t="n">
        <f aca="false">W_PH(AI$2,$A133)</f>
        <v>1780.8825274123</v>
      </c>
      <c r="AJ133" s="0" t="n">
        <f aca="false">W_PH(AJ$2,$A133)</f>
        <v>1776.10637432453</v>
      </c>
      <c r="AK133" s="0" t="n">
        <f aca="false">W_PH(AK$2,$A133)</f>
        <v>1771.94099758737</v>
      </c>
      <c r="AL133" s="0" t="n">
        <f aca="false">W_PH(AL$2,$A133)</f>
        <v>1768.36893378958</v>
      </c>
      <c r="AM133" s="0" t="n">
        <f aca="false">W_PH(AM$2,$A133)</f>
        <v>1765.32587587627</v>
      </c>
      <c r="AN133" s="0" t="n">
        <f aca="false">W_PH(AN$2,$A133)</f>
        <v>1762.78442557484</v>
      </c>
      <c r="AO133" s="0" t="n">
        <f aca="false">W_PH(AO$2,$A133)</f>
        <v>1760.73707081031</v>
      </c>
      <c r="AP133" s="0" t="n">
        <f aca="false">W_PH(AP$2,$A133)</f>
        <v>1759.18363087055</v>
      </c>
      <c r="AQ133" s="0" t="n">
        <f aca="false">W_PH(AQ$2,$A133)</f>
        <v>1768.79454304655</v>
      </c>
      <c r="AR133" s="0" t="n">
        <f aca="false">W_PH(AR$2,$A133)</f>
        <v>1775.64969318162</v>
      </c>
      <c r="AS133" s="0" t="n">
        <f aca="false">W_PH(AS$2,$A133)</f>
        <v>1778.24208480823</v>
      </c>
    </row>
    <row r="134" customFormat="false" ht="12.8" hidden="false" customHeight="false" outlineLevel="0" collapsed="false">
      <c r="A134" s="0" t="n">
        <v>1263.97248495271</v>
      </c>
      <c r="B134" s="0" t="n">
        <f aca="false">W_PH(B$2,$A134)</f>
        <v>2015</v>
      </c>
      <c r="C134" s="0" t="n">
        <f aca="false">W_PH(C$2,$A134)</f>
        <v>1809.82763623971</v>
      </c>
      <c r="D134" s="0" t="n">
        <f aca="false">W_PH(D$2,$A134)</f>
        <v>1809.82673941465</v>
      </c>
      <c r="E134" s="0" t="n">
        <f aca="false">W_PH(E$2,$A134)</f>
        <v>1809.82584261433</v>
      </c>
      <c r="F134" s="0" t="n">
        <f aca="false">W_PH(F$2,$A134)</f>
        <v>1809.82494583875</v>
      </c>
      <c r="G134" s="0" t="n">
        <f aca="false">W_PH(G$2,$A134)</f>
        <v>1809.8159794435</v>
      </c>
      <c r="H134" s="0" t="n">
        <f aca="false">W_PH(H$2,$A134)</f>
        <v>1809.80701552121</v>
      </c>
      <c r="I134" s="0" t="n">
        <f aca="false">W_PH(I$2,$A134)</f>
        <v>1809.79805407078</v>
      </c>
      <c r="J134" s="0" t="n">
        <f aca="false">W_PH(J$2,$A134)</f>
        <v>1809.78909509112</v>
      </c>
      <c r="K134" s="0" t="n">
        <f aca="false">W_PH(K$2,$A134)</f>
        <v>1809.78013858117</v>
      </c>
      <c r="L134" s="0" t="n">
        <f aca="false">W_PH(L$2,$A134)</f>
        <v>1809.77118453982</v>
      </c>
      <c r="M134" s="0" t="n">
        <f aca="false">W_PH(M$2,$A134)</f>
        <v>1809.762232966</v>
      </c>
      <c r="N134" s="0" t="n">
        <f aca="false">W_PH(N$2,$A134)</f>
        <v>1809.75328385863</v>
      </c>
      <c r="O134" s="0" t="n">
        <f aca="false">W_PH(O$2,$A134)</f>
        <v>1809.74433721661</v>
      </c>
      <c r="P134" s="0" t="n">
        <f aca="false">W_PH(P$2,$A134)</f>
        <v>1809.65500615249</v>
      </c>
      <c r="Q134" s="0" t="n">
        <f aca="false">W_PH(Q$2,$A134)</f>
        <v>1809.56592043128</v>
      </c>
      <c r="R134" s="0" t="n">
        <f aca="false">W_PH(R$2,$A134)</f>
        <v>1809.47707896873</v>
      </c>
      <c r="S134" s="0" t="n">
        <f aca="false">W_PH(S$2,$A134)</f>
        <v>1809.38848068084</v>
      </c>
      <c r="T134" s="0" t="n">
        <f aca="false">W_PH(T$2,$A134)</f>
        <v>1809.30012448393</v>
      </c>
      <c r="U134" s="0" t="n">
        <f aca="false">W_PH(U$2,$A134)</f>
        <v>1809.21200929469</v>
      </c>
      <c r="V134" s="0" t="n">
        <f aca="false">W_PH(V$2,$A134)</f>
        <v>1809.12413403026</v>
      </c>
      <c r="W134" s="0" t="n">
        <f aca="false">W_PH(W$2,$A134)</f>
        <v>1809.03649760827</v>
      </c>
      <c r="X134" s="0" t="n">
        <f aca="false">W_PH(X$2,$A134)</f>
        <v>1808.94909894695</v>
      </c>
      <c r="Y134" s="0" t="n">
        <f aca="false">W_PH(Y$2,$A134)</f>
        <v>1808.08795169649</v>
      </c>
      <c r="Z134" s="0" t="n">
        <f aca="false">W_PH(Z$2,$A134)</f>
        <v>1807.2493968736</v>
      </c>
      <c r="AA134" s="0" t="n">
        <f aca="false">W_PH(AA$2,$A134)</f>
        <v>1806.43237045959</v>
      </c>
      <c r="AB134" s="0" t="n">
        <f aca="false">W_PH(AB$2,$A134)</f>
        <v>1805.63582576026</v>
      </c>
      <c r="AC134" s="0" t="n">
        <f aca="false">W_PH(AC$2,$A134)</f>
        <v>1804.85873874454</v>
      </c>
      <c r="AD134" s="0" t="n">
        <f aca="false">W_PH(AD$2,$A134)</f>
        <v>1804.10011322151</v>
      </c>
      <c r="AE134" s="0" t="n">
        <f aca="false">W_PH(AE$2,$A134)</f>
        <v>1803.35898555895</v>
      </c>
      <c r="AF134" s="0" t="n">
        <f aca="false">W_PH(AF$2,$A134)</f>
        <v>1802.63442875158</v>
      </c>
      <c r="AG134" s="0" t="n">
        <f aca="false">W_PH(AG$2,$A134)</f>
        <v>1801.92555576911</v>
      </c>
      <c r="AH134" s="0" t="n">
        <f aca="false">W_PH(AH$2,$A134)</f>
        <v>1795.5366332053</v>
      </c>
      <c r="AI134" s="0" t="n">
        <f aca="false">W_PH(AI$2,$A134)</f>
        <v>1790.08455356229</v>
      </c>
      <c r="AJ134" s="0" t="n">
        <f aca="false">W_PH(AJ$2,$A134)</f>
        <v>1785.37852185012</v>
      </c>
      <c r="AK134" s="0" t="n">
        <f aca="false">W_PH(AK$2,$A134)</f>
        <v>1781.26530106878</v>
      </c>
      <c r="AL134" s="0" t="n">
        <f aca="false">W_PH(AL$2,$A134)</f>
        <v>1777.73390688905</v>
      </c>
      <c r="AM134" s="0" t="n">
        <f aca="false">W_PH(AM$2,$A134)</f>
        <v>1774.72344302523</v>
      </c>
      <c r="AN134" s="0" t="n">
        <f aca="false">W_PH(AN$2,$A134)</f>
        <v>1772.20649758168</v>
      </c>
      <c r="AO134" s="0" t="n">
        <f aca="false">W_PH(AO$2,$A134)</f>
        <v>1770.17423342395</v>
      </c>
      <c r="AP134" s="0" t="n">
        <f aca="false">W_PH(AP$2,$A134)</f>
        <v>1768.6252386814</v>
      </c>
      <c r="AQ134" s="0" t="n">
        <f aca="false">W_PH(AQ$2,$A134)</f>
        <v>1777.76161658633</v>
      </c>
      <c r="AR134" s="0" t="n">
        <f aca="false">W_PH(AR$2,$A134)</f>
        <v>1784.42587122038</v>
      </c>
      <c r="AS134" s="0" t="n">
        <f aca="false">W_PH(AS$2,$A134)</f>
        <v>1786.95175591215</v>
      </c>
    </row>
    <row r="135" customFormat="false" ht="12.8" hidden="false" customHeight="false" outlineLevel="0" collapsed="false">
      <c r="A135" s="0" t="n">
        <v>1268.271711092</v>
      </c>
      <c r="B135" s="0" t="n">
        <f aca="false">W_PH(B$2,$A135)</f>
        <v>2015</v>
      </c>
      <c r="C135" s="0" t="n">
        <f aca="false">W_PH(C$2,$A135)</f>
        <v>1818.54324724834</v>
      </c>
      <c r="D135" s="0" t="n">
        <f aca="false">W_PH(D$2,$A135)</f>
        <v>1818.54238130744</v>
      </c>
      <c r="E135" s="0" t="n">
        <f aca="false">W_PH(E$2,$A135)</f>
        <v>1818.54151538884</v>
      </c>
      <c r="F135" s="0" t="n">
        <f aca="false">W_PH(F$2,$A135)</f>
        <v>1818.54064949255</v>
      </c>
      <c r="G135" s="0" t="n">
        <f aca="false">W_PH(G$2,$A135)</f>
        <v>1818.5319917562</v>
      </c>
      <c r="H135" s="0" t="n">
        <f aca="false">W_PH(H$2,$A135)</f>
        <v>1818.52333624936</v>
      </c>
      <c r="I135" s="0" t="n">
        <f aca="false">W_PH(I$2,$A135)</f>
        <v>1818.51468297112</v>
      </c>
      <c r="J135" s="0" t="n">
        <f aca="false">W_PH(J$2,$A135)</f>
        <v>1818.50603192057</v>
      </c>
      <c r="K135" s="0" t="n">
        <f aca="false">W_PH(K$2,$A135)</f>
        <v>1818.49738309681</v>
      </c>
      <c r="L135" s="0" t="n">
        <f aca="false">W_PH(L$2,$A135)</f>
        <v>1818.48873649892</v>
      </c>
      <c r="M135" s="0" t="n">
        <f aca="false">W_PH(M$2,$A135)</f>
        <v>1818.48009212601</v>
      </c>
      <c r="N135" s="0" t="n">
        <f aca="false">W_PH(N$2,$A135)</f>
        <v>1818.47144997716</v>
      </c>
      <c r="O135" s="0" t="n">
        <f aca="false">W_PH(O$2,$A135)</f>
        <v>1818.46281005146</v>
      </c>
      <c r="P135" s="0" t="n">
        <f aca="false">W_PH(P$2,$A135)</f>
        <v>1818.37653286843</v>
      </c>
      <c r="Q135" s="0" t="n">
        <f aca="false">W_PH(Q$2,$A135)</f>
        <v>1818.29047700285</v>
      </c>
      <c r="R135" s="0" t="n">
        <f aca="false">W_PH(R$2,$A135)</f>
        <v>1818.20464154754</v>
      </c>
      <c r="S135" s="0" t="n">
        <f aca="false">W_PH(S$2,$A135)</f>
        <v>1818.1190255956</v>
      </c>
      <c r="T135" s="0" t="n">
        <f aca="false">W_PH(T$2,$A135)</f>
        <v>1818.03362824039</v>
      </c>
      <c r="U135" s="0" t="n">
        <f aca="false">W_PH(U$2,$A135)</f>
        <v>1817.94844857563</v>
      </c>
      <c r="V135" s="0" t="n">
        <f aca="false">W_PH(V$2,$A135)</f>
        <v>1817.86348569545</v>
      </c>
      <c r="W135" s="0" t="n">
        <f aca="false">W_PH(W$2,$A135)</f>
        <v>1817.77873869438</v>
      </c>
      <c r="X135" s="0" t="n">
        <f aca="false">W_PH(X$2,$A135)</f>
        <v>1817.69420666746</v>
      </c>
      <c r="Y135" s="0" t="n">
        <f aca="false">W_PH(Y$2,$A135)</f>
        <v>1816.86051129926</v>
      </c>
      <c r="Z135" s="0" t="n">
        <f aca="false">W_PH(Z$2,$A135)</f>
        <v>1816.0473228831</v>
      </c>
      <c r="AA135" s="0" t="n">
        <f aca="false">W_PH(AA$2,$A135)</f>
        <v>1815.25375022121</v>
      </c>
      <c r="AB135" s="0" t="n">
        <f aca="false">W_PH(AB$2,$A135)</f>
        <v>1814.47891509869</v>
      </c>
      <c r="AC135" s="0" t="n">
        <f aca="false">W_PH(AC$2,$A135)</f>
        <v>1813.72195603352</v>
      </c>
      <c r="AD135" s="0" t="n">
        <f aca="false">W_PH(AD$2,$A135)</f>
        <v>1812.9820319637</v>
      </c>
      <c r="AE135" s="0" t="n">
        <f aca="false">W_PH(AE$2,$A135)</f>
        <v>1812.25832572042</v>
      </c>
      <c r="AF135" s="0" t="n">
        <f aca="false">W_PH(AF$2,$A135)</f>
        <v>1811.55004717906</v>
      </c>
      <c r="AG135" s="0" t="n">
        <f aca="false">W_PH(AG$2,$A135)</f>
        <v>1810.85643603775</v>
      </c>
      <c r="AH135" s="0" t="n">
        <f aca="false">W_PH(AH$2,$A135)</f>
        <v>1804.58496520824</v>
      </c>
      <c r="AI135" s="0" t="n">
        <f aca="false">W_PH(AI$2,$A135)</f>
        <v>1799.22099278324</v>
      </c>
      <c r="AJ135" s="0" t="n">
        <f aca="false">W_PH(AJ$2,$A135)</f>
        <v>1794.58576171201</v>
      </c>
      <c r="AK135" s="0" t="n">
        <f aca="false">W_PH(AK$2,$A135)</f>
        <v>1790.52578096124</v>
      </c>
      <c r="AL135" s="0" t="n">
        <f aca="false">W_PH(AL$2,$A135)</f>
        <v>1787.03624181775</v>
      </c>
      <c r="AM135" s="0" t="n">
        <f aca="false">W_PH(AM$2,$A135)</f>
        <v>1784.05953682366</v>
      </c>
      <c r="AN135" s="0" t="n">
        <f aca="false">W_PH(AN$2,$A135)</f>
        <v>1781.56831982279</v>
      </c>
      <c r="AO135" s="0" t="n">
        <f aca="false">W_PH(AO$2,$A135)</f>
        <v>1779.55253404701</v>
      </c>
      <c r="AP135" s="0" t="n">
        <f aca="false">W_PH(AP$2,$A135)</f>
        <v>1778.00953758381</v>
      </c>
      <c r="AQ135" s="0" t="n">
        <f aca="false">W_PH(AQ$2,$A135)</f>
        <v>1786.69266275302</v>
      </c>
      <c r="AR135" s="0" t="n">
        <f aca="false">W_PH(AR$2,$A135)</f>
        <v>1793.1719749415</v>
      </c>
      <c r="AS135" s="0" t="n">
        <f aca="false">W_PH(AS$2,$A135)</f>
        <v>1795.63349729887</v>
      </c>
    </row>
    <row r="136" customFormat="false" ht="12.8" hidden="false" customHeight="false" outlineLevel="0" collapsed="false">
      <c r="A136" s="0" t="n">
        <v>1272.5709372313</v>
      </c>
      <c r="B136" s="0" t="n">
        <f aca="false">W_PH(B$2,$A136)</f>
        <v>2015</v>
      </c>
      <c r="C136" s="0" t="n">
        <f aca="false">W_PH(C$2,$A136)</f>
        <v>1827.19511900306</v>
      </c>
      <c r="D136" s="0" t="n">
        <f aca="false">W_PH(D$2,$A136)</f>
        <v>1827.19428271068</v>
      </c>
      <c r="E136" s="0" t="n">
        <f aca="false">W_PH(E$2,$A136)</f>
        <v>1827.19344643844</v>
      </c>
      <c r="F136" s="0" t="n">
        <f aca="false">W_PH(F$2,$A136)</f>
        <v>1827.19261018636</v>
      </c>
      <c r="G136" s="0" t="n">
        <f aca="false">W_PH(G$2,$A136)</f>
        <v>1827.1842487739</v>
      </c>
      <c r="H136" s="0" t="n">
        <f aca="false">W_PH(H$2,$A136)</f>
        <v>1827.17588937604</v>
      </c>
      <c r="I136" s="0" t="n">
        <f aca="false">W_PH(I$2,$A136)</f>
        <v>1827.16753199201</v>
      </c>
      <c r="J136" s="0" t="n">
        <f aca="false">W_PH(J$2,$A136)</f>
        <v>1827.15917662105</v>
      </c>
      <c r="K136" s="0" t="n">
        <f aca="false">W_PH(K$2,$A136)</f>
        <v>1827.15082326241</v>
      </c>
      <c r="L136" s="0" t="n">
        <f aca="false">W_PH(L$2,$A136)</f>
        <v>1827.14247191531</v>
      </c>
      <c r="M136" s="0" t="n">
        <f aca="false">W_PH(M$2,$A136)</f>
        <v>1827.13412257901</v>
      </c>
      <c r="N136" s="0" t="n">
        <f aca="false">W_PH(N$2,$A136)</f>
        <v>1827.12577525273</v>
      </c>
      <c r="O136" s="0" t="n">
        <f aca="false">W_PH(O$2,$A136)</f>
        <v>1827.11742993572</v>
      </c>
      <c r="P136" s="0" t="n">
        <f aca="false">W_PH(P$2,$A136)</f>
        <v>1827.03408710762</v>
      </c>
      <c r="Q136" s="0" t="n">
        <f aca="false">W_PH(Q$2,$A136)</f>
        <v>1826.95094436835</v>
      </c>
      <c r="R136" s="0" t="n">
        <f aca="false">W_PH(R$2,$A136)</f>
        <v>1826.86800095657</v>
      </c>
      <c r="S136" s="0" t="n">
        <f aca="false">W_PH(S$2,$A136)</f>
        <v>1826.78525611118</v>
      </c>
      <c r="T136" s="0" t="n">
        <f aca="false">W_PH(T$2,$A136)</f>
        <v>1826.70270907134</v>
      </c>
      <c r="U136" s="0" t="n">
        <f aca="false">W_PH(U$2,$A136)</f>
        <v>1826.62035907652</v>
      </c>
      <c r="V136" s="0" t="n">
        <f aca="false">W_PH(V$2,$A136)</f>
        <v>1826.53820536652</v>
      </c>
      <c r="W136" s="0" t="n">
        <f aca="false">W_PH(W$2,$A136)</f>
        <v>1826.4562471815</v>
      </c>
      <c r="X136" s="0" t="n">
        <f aca="false">W_PH(X$2,$A136)</f>
        <v>1826.37448376201</v>
      </c>
      <c r="Y136" s="0" t="n">
        <f aca="false">W_PH(Y$2,$A136)</f>
        <v>1825.56739492195</v>
      </c>
      <c r="Z136" s="0" t="n">
        <f aca="false">W_PH(Z$2,$A136)</f>
        <v>1824.77895113242</v>
      </c>
      <c r="AA136" s="0" t="n">
        <f aca="false">W_PH(AA$2,$A136)</f>
        <v>1824.00840344167</v>
      </c>
      <c r="AB136" s="0" t="n">
        <f aca="false">W_PH(AB$2,$A136)</f>
        <v>1823.2550125211</v>
      </c>
      <c r="AC136" s="0" t="n">
        <f aca="false">W_PH(AC$2,$A136)</f>
        <v>1822.51805134371</v>
      </c>
      <c r="AD136" s="0" t="n">
        <f aca="false">W_PH(AD$2,$A136)</f>
        <v>1821.79680787943</v>
      </c>
      <c r="AE136" s="0" t="n">
        <f aca="false">W_PH(AE$2,$A136)</f>
        <v>1821.09058772545</v>
      </c>
      <c r="AF136" s="0" t="n">
        <f aca="false">W_PH(AF$2,$A136)</f>
        <v>1820.3987166058</v>
      </c>
      <c r="AG136" s="0" t="n">
        <f aca="false">W_PH(AG$2,$A136)</f>
        <v>1819.72054270082</v>
      </c>
      <c r="AH136" s="0" t="n">
        <f aca="false">W_PH(AH$2,$A136)</f>
        <v>1813.5685449334</v>
      </c>
      <c r="AI136" s="0" t="n">
        <f aca="false">W_PH(AI$2,$A136)</f>
        <v>1808.29337803357</v>
      </c>
      <c r="AJ136" s="0" t="n">
        <f aca="false">W_PH(AJ$2,$A136)</f>
        <v>1803.7296086388</v>
      </c>
      <c r="AK136" s="0" t="n">
        <f aca="false">W_PH(AK$2,$A136)</f>
        <v>1799.72397564816</v>
      </c>
      <c r="AL136" s="0" t="n">
        <f aca="false">W_PH(AL$2,$A136)</f>
        <v>1796.27721875158</v>
      </c>
      <c r="AM136" s="0" t="n">
        <f aca="false">W_PH(AM$2,$A136)</f>
        <v>1793.33503758354</v>
      </c>
      <c r="AN136" s="0" t="n">
        <f aca="false">W_PH(AN$2,$A136)</f>
        <v>1790.87032387846</v>
      </c>
      <c r="AO136" s="0" t="n">
        <f aca="false">W_PH(AO$2,$A136)</f>
        <v>1788.87197294117</v>
      </c>
      <c r="AP136" s="0" t="n">
        <f aca="false">W_PH(AP$2,$A136)</f>
        <v>1787.3361789622</v>
      </c>
      <c r="AQ136" s="0" t="n">
        <f aca="false">W_PH(AQ$2,$A136)</f>
        <v>1795.58841288065</v>
      </c>
      <c r="AR136" s="0" t="n">
        <f aca="false">W_PH(AR$2,$A136)</f>
        <v>1801.88852631182</v>
      </c>
      <c r="AS136" s="0" t="n">
        <f aca="false">W_PH(AS$2,$A136)</f>
        <v>1804.287743708</v>
      </c>
    </row>
    <row r="137" customFormat="false" ht="12.8" hidden="false" customHeight="false" outlineLevel="0" collapsed="false">
      <c r="A137" s="0" t="n">
        <v>1276.87016337059</v>
      </c>
      <c r="B137" s="0" t="n">
        <f aca="false">W_PH(B$2,$A137)</f>
        <v>2015</v>
      </c>
      <c r="C137" s="0" t="n">
        <f aca="false">W_PH(C$2,$A137)</f>
        <v>1835.78425921334</v>
      </c>
      <c r="D137" s="0" t="n">
        <f aca="false">W_PH(D$2,$A137)</f>
        <v>1835.78345137989</v>
      </c>
      <c r="E137" s="0" t="n">
        <f aca="false">W_PH(E$2,$A137)</f>
        <v>1835.78264356469</v>
      </c>
      <c r="F137" s="0" t="n">
        <f aca="false">W_PH(F$2,$A137)</f>
        <v>1835.78183576775</v>
      </c>
      <c r="G137" s="0" t="n">
        <f aca="false">W_PH(G$2,$A137)</f>
        <v>1835.77375880219</v>
      </c>
      <c r="H137" s="0" t="n">
        <f aca="false">W_PH(H$2,$A137)</f>
        <v>1835.76568366144</v>
      </c>
      <c r="I137" s="0" t="n">
        <f aca="false">W_PH(I$2,$A137)</f>
        <v>1835.75761034485</v>
      </c>
      <c r="J137" s="0" t="n">
        <f aca="false">W_PH(J$2,$A137)</f>
        <v>1835.74953885178</v>
      </c>
      <c r="K137" s="0" t="n">
        <f aca="false">W_PH(K$2,$A137)</f>
        <v>1835.74146918159</v>
      </c>
      <c r="L137" s="0" t="n">
        <f aca="false">W_PH(L$2,$A137)</f>
        <v>1835.73340133363</v>
      </c>
      <c r="M137" s="0" t="n">
        <f aca="false">W_PH(M$2,$A137)</f>
        <v>1835.72533530726</v>
      </c>
      <c r="N137" s="0" t="n">
        <f aca="false">W_PH(N$2,$A137)</f>
        <v>1835.71727110184</v>
      </c>
      <c r="O137" s="0" t="n">
        <f aca="false">W_PH(O$2,$A137)</f>
        <v>1835.70920871673</v>
      </c>
      <c r="P137" s="0" t="n">
        <f aca="false">W_PH(P$2,$A137)</f>
        <v>1835.62868484148</v>
      </c>
      <c r="Q137" s="0" t="n">
        <f aca="false">W_PH(Q$2,$A137)</f>
        <v>1835.54834229131</v>
      </c>
      <c r="R137" s="0" t="n">
        <f aca="false">W_PH(R$2,$A137)</f>
        <v>1835.46818042479</v>
      </c>
      <c r="S137" s="0" t="n">
        <f aca="false">W_PH(S$2,$A137)</f>
        <v>1835.38819860066</v>
      </c>
      <c r="T137" s="0" t="n">
        <f aca="false">W_PH(T$2,$A137)</f>
        <v>1835.30839617794</v>
      </c>
      <c r="U137" s="0" t="n">
        <f aca="false">W_PH(U$2,$A137)</f>
        <v>1835.22877251589</v>
      </c>
      <c r="V137" s="0" t="n">
        <f aca="false">W_PH(V$2,$A137)</f>
        <v>1835.14932697407</v>
      </c>
      <c r="W137" s="0" t="n">
        <f aca="false">W_PH(W$2,$A137)</f>
        <v>1835.07005891233</v>
      </c>
      <c r="X137" s="0" t="n">
        <f aca="false">W_PH(X$2,$A137)</f>
        <v>1834.99096769083</v>
      </c>
      <c r="Y137" s="0" t="n">
        <f aca="false">W_PH(Y$2,$A137)</f>
        <v>1834.20964118896</v>
      </c>
      <c r="Z137" s="0" t="n">
        <f aca="false">W_PH(Z$2,$A137)</f>
        <v>1833.44529793711</v>
      </c>
      <c r="AA137" s="0" t="n">
        <f aca="false">W_PH(AA$2,$A137)</f>
        <v>1832.69730612559</v>
      </c>
      <c r="AB137" s="0" t="n">
        <f aca="false">W_PH(AB$2,$A137)</f>
        <v>1831.96504108887</v>
      </c>
      <c r="AC137" s="0" t="n">
        <f aca="false">W_PH(AC$2,$A137)</f>
        <v>1831.24788724469</v>
      </c>
      <c r="AD137" s="0" t="n">
        <f aca="false">W_PH(AD$2,$A137)</f>
        <v>1830.54524010653</v>
      </c>
      <c r="AE137" s="0" t="n">
        <f aca="false">W_PH(AE$2,$A137)</f>
        <v>1829.85650832014</v>
      </c>
      <c r="AF137" s="0" t="n">
        <f aca="false">W_PH(AF$2,$A137)</f>
        <v>1829.18111567931</v>
      </c>
      <c r="AG137" s="0" t="n">
        <f aca="false">W_PH(AG$2,$A137)</f>
        <v>1828.5185030878</v>
      </c>
      <c r="AH137" s="0" t="n">
        <f aca="false">W_PH(AH$2,$A137)</f>
        <v>1822.48797124189</v>
      </c>
      <c r="AI137" s="0" t="n">
        <f aca="false">W_PH(AI$2,$A137)</f>
        <v>1817.30267155385</v>
      </c>
      <c r="AJ137" s="0" t="n">
        <f aca="false">W_PH(AJ$2,$A137)</f>
        <v>1812.81096091516</v>
      </c>
      <c r="AK137" s="0" t="n">
        <f aca="false">W_PH(AK$2,$A137)</f>
        <v>1808.86083611298</v>
      </c>
      <c r="AL137" s="0" t="n">
        <f aca="false">W_PH(AL$2,$A137)</f>
        <v>1805.4576679543</v>
      </c>
      <c r="AM137" s="0" t="n">
        <f aca="false">W_PH(AM$2,$A137)</f>
        <v>1802.55054483855</v>
      </c>
      <c r="AN137" s="0" t="n">
        <f aca="false">W_PH(AN$2,$A137)</f>
        <v>1800.11282032646</v>
      </c>
      <c r="AO137" s="0" t="n">
        <f aca="false">W_PH(AO$2,$A137)</f>
        <v>1798.13255794833</v>
      </c>
      <c r="AP137" s="0" t="n">
        <f aca="false">W_PH(AP$2,$A137)</f>
        <v>1796.60490409794</v>
      </c>
      <c r="AQ137" s="0" t="n">
        <f aca="false">W_PH(AQ$2,$A137)</f>
        <v>1804.44956142416</v>
      </c>
      <c r="AR137" s="0" t="n">
        <f aca="false">W_PH(AR$2,$A137)</f>
        <v>1810.57599446382</v>
      </c>
      <c r="AS137" s="0" t="n">
        <f aca="false">W_PH(AS$2,$A137)</f>
        <v>1812.91487481703</v>
      </c>
    </row>
    <row r="138" customFormat="false" ht="12.8" hidden="false" customHeight="false" outlineLevel="0" collapsed="false">
      <c r="A138" s="0" t="n">
        <v>1281.16938950989</v>
      </c>
      <c r="B138" s="0" t="n">
        <f aca="false">W_PH(B$2,$A138)</f>
        <v>2015</v>
      </c>
      <c r="C138" s="0" t="n">
        <f aca="false">W_PH(C$2,$A138)</f>
        <v>1844.31164810752</v>
      </c>
      <c r="D138" s="0" t="n">
        <f aca="false">W_PH(D$2,$A138)</f>
        <v>1844.31086758895</v>
      </c>
      <c r="E138" s="0" t="n">
        <f aca="false">W_PH(E$2,$A138)</f>
        <v>1844.31008708695</v>
      </c>
      <c r="F138" s="0" t="n">
        <f aca="false">W_PH(F$2,$A138)</f>
        <v>1844.30930660153</v>
      </c>
      <c r="G138" s="0" t="n">
        <f aca="false">W_PH(G$2,$A138)</f>
        <v>1844.30150265896</v>
      </c>
      <c r="H138" s="0" t="n">
        <f aca="false">W_PH(H$2,$A138)</f>
        <v>1844.29370037349</v>
      </c>
      <c r="I138" s="0" t="n">
        <f aca="false">W_PH(I$2,$A138)</f>
        <v>1844.28589974459</v>
      </c>
      <c r="J138" s="0" t="n">
        <f aca="false">W_PH(J$2,$A138)</f>
        <v>1844.27810077171</v>
      </c>
      <c r="K138" s="0" t="n">
        <f aca="false">W_PH(K$2,$A138)</f>
        <v>1844.27030345431</v>
      </c>
      <c r="L138" s="0" t="n">
        <f aca="false">W_PH(L$2,$A138)</f>
        <v>1844.26250779184</v>
      </c>
      <c r="M138" s="0" t="n">
        <f aca="false">W_PH(M$2,$A138)</f>
        <v>1844.25471378377</v>
      </c>
      <c r="N138" s="0" t="n">
        <f aca="false">W_PH(N$2,$A138)</f>
        <v>1844.24692142954</v>
      </c>
      <c r="O138" s="0" t="n">
        <f aca="false">W_PH(O$2,$A138)</f>
        <v>1844.23913072861</v>
      </c>
      <c r="P138" s="0" t="n">
        <f aca="false">W_PH(P$2,$A138)</f>
        <v>1844.16131453156</v>
      </c>
      <c r="Q138" s="0" t="n">
        <f aca="false">W_PH(Q$2,$A138)</f>
        <v>1844.08366306735</v>
      </c>
      <c r="R138" s="0" t="n">
        <f aca="false">W_PH(R$2,$A138)</f>
        <v>1844.00617579295</v>
      </c>
      <c r="S138" s="0" t="n">
        <f aca="false">W_PH(S$2,$A138)</f>
        <v>1843.92885216553</v>
      </c>
      <c r="T138" s="0" t="n">
        <f aca="false">W_PH(T$2,$A138)</f>
        <v>1843.85169164249</v>
      </c>
      <c r="U138" s="0" t="n">
        <f aca="false">W_PH(U$2,$A138)</f>
        <v>1843.77469368146</v>
      </c>
      <c r="V138" s="0" t="n">
        <f aca="false">W_PH(V$2,$A138)</f>
        <v>1843.69785774033</v>
      </c>
      <c r="W138" s="0" t="n">
        <f aca="false">W_PH(W$2,$A138)</f>
        <v>1843.62118327722</v>
      </c>
      <c r="X138" s="0" t="n">
        <f aca="false">W_PH(X$2,$A138)</f>
        <v>1843.54466975054</v>
      </c>
      <c r="Y138" s="0" t="n">
        <f aca="false">W_PH(Y$2,$A138)</f>
        <v>1842.78826705293</v>
      </c>
      <c r="Z138" s="0" t="n">
        <f aca="false">W_PH(Z$2,$A138)</f>
        <v>1842.04736469082</v>
      </c>
      <c r="AA138" s="0" t="n">
        <f aca="false">W_PH(AA$2,$A138)</f>
        <v>1841.32142735574</v>
      </c>
      <c r="AB138" s="0" t="n">
        <f aca="false">W_PH(AB$2,$A138)</f>
        <v>1840.60992513745</v>
      </c>
      <c r="AC138" s="0" t="n">
        <f aca="false">W_PH(AC$2,$A138)</f>
        <v>1839.912334942</v>
      </c>
      <c r="AD138" s="0" t="n">
        <f aca="false">W_PH(AD$2,$A138)</f>
        <v>1839.22814201866</v>
      </c>
      <c r="AE138" s="0" t="n">
        <f aca="false">W_PH(AE$2,$A138)</f>
        <v>1838.55684156093</v>
      </c>
      <c r="AF138" s="0" t="n">
        <f aca="false">W_PH(AF$2,$A138)</f>
        <v>1837.89794034778</v>
      </c>
      <c r="AG138" s="0" t="n">
        <f aca="false">W_PH(AG$2,$A138)</f>
        <v>1837.25095839596</v>
      </c>
      <c r="AH138" s="0" t="n">
        <f aca="false">W_PH(AH$2,$A138)</f>
        <v>1831.34367505957</v>
      </c>
      <c r="AI138" s="0" t="n">
        <f aca="false">W_PH(AI$2,$A138)</f>
        <v>1826.24945655381</v>
      </c>
      <c r="AJ138" s="0" t="n">
        <f aca="false">W_PH(AJ$2,$A138)</f>
        <v>1821.8303181913</v>
      </c>
      <c r="AK138" s="0" t="n">
        <f aca="false">W_PH(AK$2,$A138)</f>
        <v>1817.93690471501</v>
      </c>
      <c r="AL138" s="0" t="n">
        <f aca="false">W_PH(AL$2,$A138)</f>
        <v>1814.57809036225</v>
      </c>
      <c r="AM138" s="0" t="n">
        <f aca="false">W_PH(AM$2,$A138)</f>
        <v>1811.70644512391</v>
      </c>
      <c r="AN138" s="0" t="n">
        <f aca="false">W_PH(AN$2,$A138)</f>
        <v>1809.29602710339</v>
      </c>
      <c r="AO138" s="0" t="n">
        <f aca="false">W_PH(AO$2,$A138)</f>
        <v>1807.33430848425</v>
      </c>
      <c r="AP138" s="0" t="n">
        <f aca="false">W_PH(AP$2,$A138)</f>
        <v>1805.81553917026</v>
      </c>
      <c r="AQ138" s="0" t="n">
        <f aca="false">W_PH(AQ$2,$A138)</f>
        <v>1813.27676923663</v>
      </c>
      <c r="AR138" s="0" t="n">
        <f aca="false">W_PH(AR$2,$A138)</f>
        <v>1819.2348041316</v>
      </c>
      <c r="AS138" s="0" t="n">
        <f aca="false">W_PH(AS$2,$A138)</f>
        <v>1821.51522487118</v>
      </c>
    </row>
    <row r="139" customFormat="false" ht="12.8" hidden="false" customHeight="false" outlineLevel="0" collapsed="false">
      <c r="A139" s="0" t="n">
        <v>1285.46861564918</v>
      </c>
      <c r="B139" s="0" t="n">
        <f aca="false">W_PH(B$2,$A139)</f>
        <v>2015</v>
      </c>
      <c r="C139" s="0" t="n">
        <f aca="false">W_PH(C$2,$A139)</f>
        <v>1852.77823948025</v>
      </c>
      <c r="D139" s="0" t="n">
        <f aca="false">W_PH(D$2,$A139)</f>
        <v>1852.77748517744</v>
      </c>
      <c r="E139" s="0" t="n">
        <f aca="false">W_PH(E$2,$A139)</f>
        <v>1852.77673088973</v>
      </c>
      <c r="F139" s="0" t="n">
        <f aca="false">W_PH(F$2,$A139)</f>
        <v>1852.7759766171</v>
      </c>
      <c r="G139" s="0" t="n">
        <f aca="false">W_PH(G$2,$A139)</f>
        <v>1852.76843472092</v>
      </c>
      <c r="H139" s="0" t="n">
        <f aca="false">W_PH(H$2,$A139)</f>
        <v>1852.7608943336</v>
      </c>
      <c r="I139" s="0" t="n">
        <f aca="false">W_PH(I$2,$A139)</f>
        <v>1852.75335545466</v>
      </c>
      <c r="J139" s="0" t="n">
        <f aca="false">W_PH(J$2,$A139)</f>
        <v>1852.74581808364</v>
      </c>
      <c r="K139" s="0" t="n">
        <f aca="false">W_PH(K$2,$A139)</f>
        <v>1852.73828222009</v>
      </c>
      <c r="L139" s="0" t="n">
        <f aca="false">W_PH(L$2,$A139)</f>
        <v>1852.73074786353</v>
      </c>
      <c r="M139" s="0" t="n">
        <f aca="false">W_PH(M$2,$A139)</f>
        <v>1852.72321501352</v>
      </c>
      <c r="N139" s="0" t="n">
        <f aca="false">W_PH(N$2,$A139)</f>
        <v>1852.71568366957</v>
      </c>
      <c r="O139" s="0" t="n">
        <f aca="false">W_PH(O$2,$A139)</f>
        <v>1852.70815383124</v>
      </c>
      <c r="P139" s="0" t="n">
        <f aca="false">W_PH(P$2,$A139)</f>
        <v>1852.6329381548</v>
      </c>
      <c r="Q139" s="0" t="n">
        <f aca="false">W_PH(Q$2,$A139)</f>
        <v>1852.55787253077</v>
      </c>
      <c r="R139" s="0" t="n">
        <f aca="false">W_PH(R$2,$A139)</f>
        <v>1852.48295649684</v>
      </c>
      <c r="S139" s="0" t="n">
        <f aca="false">W_PH(S$2,$A139)</f>
        <v>1852.40818959091</v>
      </c>
      <c r="T139" s="0" t="n">
        <f aca="false">W_PH(T$2,$A139)</f>
        <v>1852.3335713511</v>
      </c>
      <c r="U139" s="0" t="n">
        <f aca="false">W_PH(U$2,$A139)</f>
        <v>1852.25910131576</v>
      </c>
      <c r="V139" s="0" t="n">
        <f aca="false">W_PH(V$2,$A139)</f>
        <v>1852.18477902346</v>
      </c>
      <c r="W139" s="0" t="n">
        <f aca="false">W_PH(W$2,$A139)</f>
        <v>1852.110604013</v>
      </c>
      <c r="X139" s="0" t="n">
        <f aca="false">W_PH(X$2,$A139)</f>
        <v>1852.03657582342</v>
      </c>
      <c r="Y139" s="0" t="n">
        <f aca="false">W_PH(Y$2,$A139)</f>
        <v>1851.30426785404</v>
      </c>
      <c r="Z139" s="0" t="n">
        <f aca="false">W_PH(Z$2,$A139)</f>
        <v>1850.58613699767</v>
      </c>
      <c r="AA139" s="0" t="n">
        <f aca="false">W_PH(AA$2,$A139)</f>
        <v>1849.88172746931</v>
      </c>
      <c r="AB139" s="0" t="n">
        <f aca="false">W_PH(AB$2,$A139)</f>
        <v>1849.19058771446</v>
      </c>
      <c r="AC139" s="0" t="n">
        <f aca="false">W_PH(AC$2,$A139)</f>
        <v>1848.51227145338</v>
      </c>
      <c r="AD139" s="0" t="n">
        <f aca="false">W_PH(AD$2,$A139)</f>
        <v>1847.84633885189</v>
      </c>
      <c r="AE139" s="0" t="n">
        <f aca="false">W_PH(AE$2,$A139)</f>
        <v>1847.19235779149</v>
      </c>
      <c r="AF139" s="0" t="n">
        <f aca="false">W_PH(AF$2,$A139)</f>
        <v>1846.54990521087</v>
      </c>
      <c r="AG139" s="0" t="n">
        <f aca="false">W_PH(AG$2,$A139)</f>
        <v>1845.9185684924</v>
      </c>
      <c r="AH139" s="0" t="n">
        <f aca="false">W_PH(AH$2,$A139)</f>
        <v>1840.13599617953</v>
      </c>
      <c r="AI139" s="0" t="n">
        <f aca="false">W_PH(AI$2,$A139)</f>
        <v>1835.13407513085</v>
      </c>
      <c r="AJ139" s="0" t="n">
        <f aca="false">W_PH(AJ$2,$A139)</f>
        <v>1830.78793739425</v>
      </c>
      <c r="AK139" s="0" t="n">
        <f aca="false">W_PH(AK$2,$A139)</f>
        <v>1826.95245193198</v>
      </c>
      <c r="AL139" s="0" t="n">
        <f aca="false">W_PH(AL$2,$A139)</f>
        <v>1823.63875473898</v>
      </c>
      <c r="AM139" s="0" t="n">
        <f aca="false">W_PH(AM$2,$A139)</f>
        <v>1820.80296879166</v>
      </c>
      <c r="AN139" s="0" t="n">
        <f aca="false">W_PH(AN$2,$A139)</f>
        <v>1818.42009358855</v>
      </c>
      <c r="AO139" s="0" t="n">
        <f aca="false">W_PH(AO$2,$A139)</f>
        <v>1816.47725745878</v>
      </c>
      <c r="AP139" s="0" t="n">
        <f aca="false">W_PH(AP$2,$A139)</f>
        <v>1814.96798680345</v>
      </c>
      <c r="AQ139" s="0" t="n">
        <f aca="false">W_PH(AQ$2,$A139)</f>
        <v>1822.07066821093</v>
      </c>
      <c r="AR139" s="0" t="n">
        <f aca="false">W_PH(AR$2,$A139)</f>
        <v>1827.865344264</v>
      </c>
      <c r="AS139" s="0" t="n">
        <f aca="false">W_PH(AS$2,$A139)</f>
        <v>1830.0890921462</v>
      </c>
    </row>
    <row r="140" customFormat="false" ht="12.8" hidden="false" customHeight="false" outlineLevel="0" collapsed="false">
      <c r="A140" s="0" t="n">
        <v>1289.76784178848</v>
      </c>
      <c r="B140" s="0" t="n">
        <f aca="false">W_PH(B$2,$A140)</f>
        <v>2015</v>
      </c>
      <c r="C140" s="0" t="n">
        <f aca="false">W_PH(C$2,$A140)</f>
        <v>1861.18496170872</v>
      </c>
      <c r="D140" s="0" t="n">
        <f aca="false">W_PH(D$2,$A140)</f>
        <v>1861.18423256682</v>
      </c>
      <c r="E140" s="0" t="n">
        <f aca="false">W_PH(E$2,$A140)</f>
        <v>1861.1835034387</v>
      </c>
      <c r="F140" s="0" t="n">
        <f aca="false">W_PH(F$2,$A140)</f>
        <v>1861.18277432436</v>
      </c>
      <c r="G140" s="0" t="n">
        <f aca="false">W_PH(G$2,$A140)</f>
        <v>1861.17548393882</v>
      </c>
      <c r="H140" s="0" t="n">
        <f aca="false">W_PH(H$2,$A140)</f>
        <v>1861.16819493096</v>
      </c>
      <c r="I140" s="0" t="n">
        <f aca="false">W_PH(I$2,$A140)</f>
        <v>1861.16090730038</v>
      </c>
      <c r="J140" s="0" t="n">
        <f aca="false">W_PH(J$2,$A140)</f>
        <v>1861.15362104667</v>
      </c>
      <c r="K140" s="0" t="n">
        <f aca="false">W_PH(K$2,$A140)</f>
        <v>1861.14633616945</v>
      </c>
      <c r="L140" s="0" t="n">
        <f aca="false">W_PH(L$2,$A140)</f>
        <v>1861.13905266831</v>
      </c>
      <c r="M140" s="0" t="n">
        <f aca="false">W_PH(M$2,$A140)</f>
        <v>1861.13177054287</v>
      </c>
      <c r="N140" s="0" t="n">
        <f aca="false">W_PH(N$2,$A140)</f>
        <v>1861.12448979272</v>
      </c>
      <c r="O140" s="0" t="n">
        <f aca="false">W_PH(O$2,$A140)</f>
        <v>1861.11721041746</v>
      </c>
      <c r="P140" s="0" t="n">
        <f aca="false">W_PH(P$2,$A140)</f>
        <v>1861.04449219706</v>
      </c>
      <c r="Q140" s="0" t="n">
        <f aca="false">W_PH(Q$2,$A140)</f>
        <v>1860.97191103045</v>
      </c>
      <c r="R140" s="0" t="n">
        <f aca="false">W_PH(R$2,$A140)</f>
        <v>1860.89946652153</v>
      </c>
      <c r="S140" s="0" t="n">
        <f aca="false">W_PH(S$2,$A140)</f>
        <v>1860.82715827443</v>
      </c>
      <c r="T140" s="0" t="n">
        <f aca="false">W_PH(T$2,$A140)</f>
        <v>1860.75498589348</v>
      </c>
      <c r="U140" s="0" t="n">
        <f aca="false">W_PH(U$2,$A140)</f>
        <v>1860.68294898324</v>
      </c>
      <c r="V140" s="0" t="n">
        <f aca="false">W_PH(V$2,$A140)</f>
        <v>1860.61104714851</v>
      </c>
      <c r="W140" s="0" t="n">
        <f aca="false">W_PH(W$2,$A140)</f>
        <v>1860.53927999427</v>
      </c>
      <c r="X140" s="0" t="n">
        <f aca="false">W_PH(X$2,$A140)</f>
        <v>1860.4676471258</v>
      </c>
      <c r="Y140" s="0" t="n">
        <f aca="false">W_PH(Y$2,$A140)</f>
        <v>1859.75861748387</v>
      </c>
      <c r="Z140" s="0" t="n">
        <f aca="false">W_PH(Z$2,$A140)</f>
        <v>1859.06258406177</v>
      </c>
      <c r="AA140" s="0" t="n">
        <f aca="false">W_PH(AA$2,$A140)</f>
        <v>1858.37915663713</v>
      </c>
      <c r="AB140" s="0" t="n">
        <f aca="false">W_PH(AB$2,$A140)</f>
        <v>1857.70794848702</v>
      </c>
      <c r="AC140" s="0" t="n">
        <f aca="false">W_PH(AC$2,$A140)</f>
        <v>1857.04857715912</v>
      </c>
      <c r="AD140" s="0" t="n">
        <f aca="false">W_PH(AD$2,$A140)</f>
        <v>1856.40066537456</v>
      </c>
      <c r="AE140" s="0" t="n">
        <f aca="false">W_PH(AE$2,$A140)</f>
        <v>1855.76384203925</v>
      </c>
      <c r="AF140" s="0" t="n">
        <f aca="false">W_PH(AF$2,$A140)</f>
        <v>1855.13774333973</v>
      </c>
      <c r="AG140" s="0" t="n">
        <f aca="false">W_PH(AG$2,$A140)</f>
        <v>1854.52201389958</v>
      </c>
      <c r="AH140" s="0" t="n">
        <f aca="false">W_PH(AH$2,$A140)</f>
        <v>1848.86523469106</v>
      </c>
      <c r="AI140" s="0" t="n">
        <f aca="false">W_PH(AI$2,$A140)</f>
        <v>1843.95672749907</v>
      </c>
      <c r="AJ140" s="0" t="n">
        <f aca="false">W_PH(AJ$2,$A140)</f>
        <v>1839.68394203252</v>
      </c>
      <c r="AK140" s="0" t="n">
        <f aca="false">W_PH(AK$2,$A140)</f>
        <v>1835.90757909598</v>
      </c>
      <c r="AL140" s="0" t="n">
        <f aca="false">W_PH(AL$2,$A140)</f>
        <v>1832.63977478221</v>
      </c>
      <c r="AM140" s="0" t="n">
        <f aca="false">W_PH(AM$2,$A140)</f>
        <v>1829.8402372356</v>
      </c>
      <c r="AN140" s="0" t="n">
        <f aca="false">W_PH(AN$2,$A140)</f>
        <v>1827.48512138165</v>
      </c>
      <c r="AO140" s="0" t="n">
        <f aca="false">W_PH(AO$2,$A140)</f>
        <v>1825.56145255077</v>
      </c>
      <c r="AP140" s="0" t="n">
        <f aca="false">W_PH(AP$2,$A140)</f>
        <v>1824.06221657041</v>
      </c>
      <c r="AQ140" s="0" t="n">
        <f aca="false">W_PH(AQ$2,$A140)</f>
        <v>1830.83186617563</v>
      </c>
      <c r="AR140" s="0" t="n">
        <f aca="false">W_PH(AR$2,$A140)</f>
        <v>1836.46797596612</v>
      </c>
      <c r="AS140" s="0" t="n">
        <f aca="false">W_PH(AS$2,$A140)</f>
        <v>1838.63674749077</v>
      </c>
    </row>
    <row r="141" customFormat="false" ht="12.8" hidden="false" customHeight="false" outlineLevel="0" collapsed="false">
      <c r="A141" s="0" t="n">
        <v>1294.06706792777</v>
      </c>
      <c r="B141" s="0" t="n">
        <f aca="false">W_PH(B$2,$A141)</f>
        <v>2015</v>
      </c>
      <c r="C141" s="0" t="n">
        <f aca="false">W_PH(C$2,$A141)</f>
        <v>1869.53271873603</v>
      </c>
      <c r="D141" s="0" t="n">
        <f aca="false">W_PH(D$2,$A141)</f>
        <v>1869.53201374368</v>
      </c>
      <c r="E141" s="0" t="n">
        <f aca="false">W_PH(E$2,$A141)</f>
        <v>1869.53130876394</v>
      </c>
      <c r="F141" s="0" t="n">
        <f aca="false">W_PH(F$2,$A141)</f>
        <v>1869.53060379683</v>
      </c>
      <c r="G141" s="0" t="n">
        <f aca="false">W_PH(G$2,$A141)</f>
        <v>1869.52355481965</v>
      </c>
      <c r="H141" s="0" t="n">
        <f aca="false">W_PH(H$2,$A141)</f>
        <v>1869.51650710396</v>
      </c>
      <c r="I141" s="0" t="n">
        <f aca="false">W_PH(I$2,$A141)</f>
        <v>1869.50946064942</v>
      </c>
      <c r="J141" s="0" t="n">
        <f aca="false">W_PH(J$2,$A141)</f>
        <v>1869.50241545569</v>
      </c>
      <c r="K141" s="0" t="n">
        <f aca="false">W_PH(K$2,$A141)</f>
        <v>1869.49537152242</v>
      </c>
      <c r="L141" s="0" t="n">
        <f aca="false">W_PH(L$2,$A141)</f>
        <v>1869.48832884928</v>
      </c>
      <c r="M141" s="0" t="n">
        <f aca="false">W_PH(M$2,$A141)</f>
        <v>1869.48128743591</v>
      </c>
      <c r="N141" s="0" t="n">
        <f aca="false">W_PH(N$2,$A141)</f>
        <v>1869.47424728198</v>
      </c>
      <c r="O141" s="0" t="n">
        <f aca="false">W_PH(O$2,$A141)</f>
        <v>1869.46720838715</v>
      </c>
      <c r="P141" s="0" t="n">
        <f aca="false">W_PH(P$2,$A141)</f>
        <v>1869.39688861381</v>
      </c>
      <c r="Q141" s="0" t="n">
        <f aca="false">W_PH(Q$2,$A141)</f>
        <v>1869.32669437385</v>
      </c>
      <c r="R141" s="0" t="n">
        <f aca="false">W_PH(R$2,$A141)</f>
        <v>1869.25662532548</v>
      </c>
      <c r="S141" s="0" t="n">
        <f aca="false">W_PH(S$2,$A141)</f>
        <v>1869.18668112717</v>
      </c>
      <c r="T141" s="0" t="n">
        <f aca="false">W_PH(T$2,$A141)</f>
        <v>1869.11686143761</v>
      </c>
      <c r="U141" s="0" t="n">
        <f aca="false">W_PH(U$2,$A141)</f>
        <v>1869.04716591571</v>
      </c>
      <c r="V141" s="0" t="n">
        <f aca="false">W_PH(V$2,$A141)</f>
        <v>1868.9775942206</v>
      </c>
      <c r="W141" s="0" t="n">
        <f aca="false">W_PH(W$2,$A141)</f>
        <v>1868.90814601169</v>
      </c>
      <c r="X141" s="0" t="n">
        <f aca="false">W_PH(X$2,$A141)</f>
        <v>1868.83882094856</v>
      </c>
      <c r="Y141" s="0" t="n">
        <f aca="false">W_PH(Y$2,$A141)</f>
        <v>1868.152268621</v>
      </c>
      <c r="Z141" s="0" t="n">
        <f aca="false">W_PH(Z$2,$A141)</f>
        <v>1867.47765826107</v>
      </c>
      <c r="AA141" s="0" t="n">
        <f aca="false">W_PH(AA$2,$A141)</f>
        <v>1866.81465373779</v>
      </c>
      <c r="AB141" s="0" t="n">
        <f aca="false">W_PH(AB$2,$A141)</f>
        <v>1866.1629220045</v>
      </c>
      <c r="AC141" s="0" t="n">
        <f aca="false">W_PH(AC$2,$A141)</f>
        <v>1865.52213366736</v>
      </c>
      <c r="AD141" s="0" t="n">
        <f aca="false">W_PH(AD$2,$A141)</f>
        <v>1864.89196368209</v>
      </c>
      <c r="AE141" s="0" t="n">
        <f aca="false">W_PH(AE$2,$A141)</f>
        <v>1864.27209215869</v>
      </c>
      <c r="AF141" s="0" t="n">
        <f aca="false">W_PH(AF$2,$A141)</f>
        <v>1863.66220525287</v>
      </c>
      <c r="AG141" s="0" t="n">
        <f aca="false">W_PH(AG$2,$A141)</f>
        <v>1863.06199612321</v>
      </c>
      <c r="AH141" s="0" t="n">
        <f aca="false">W_PH(AH$2,$A141)</f>
        <v>1857.53168546996</v>
      </c>
      <c r="AI141" s="0" t="n">
        <f aca="false">W_PH(AI$2,$A141)</f>
        <v>1852.71754305266</v>
      </c>
      <c r="AJ141" s="0" t="n">
        <f aca="false">W_PH(AJ$2,$A141)</f>
        <v>1848.51839707734</v>
      </c>
      <c r="AK141" s="0" t="n">
        <f aca="false">W_PH(AK$2,$A141)</f>
        <v>1844.8022941509</v>
      </c>
      <c r="AL141" s="0" t="n">
        <f aca="false">W_PH(AL$2,$A141)</f>
        <v>1841.58116933104</v>
      </c>
      <c r="AM141" s="0" t="n">
        <f aca="false">W_PH(AM$2,$A141)</f>
        <v>1838.81830164944</v>
      </c>
      <c r="AN141" s="0" t="n">
        <f aca="false">W_PH(AN$2,$A141)</f>
        <v>1836.49118222135</v>
      </c>
      <c r="AO141" s="0" t="n">
        <f aca="false">W_PH(AO$2,$A141)</f>
        <v>1834.58695743857</v>
      </c>
      <c r="AP141" s="0" t="n">
        <f aca="false">W_PH(AP$2,$A141)</f>
        <v>1833.09825574534</v>
      </c>
      <c r="AQ141" s="0" t="n">
        <f aca="false">W_PH(AQ$2,$A141)</f>
        <v>1839.44561606417</v>
      </c>
      <c r="AR141" s="0" t="n">
        <f aca="false">W_PH(AR$2,$A141)</f>
        <v>1845.04303926552</v>
      </c>
      <c r="AS141" s="0" t="n">
        <f aca="false">W_PH(AS$2,$A141)</f>
        <v>1847.15844152216</v>
      </c>
    </row>
    <row r="142" customFormat="false" ht="12.8" hidden="false" customHeight="false" outlineLevel="0" collapsed="false">
      <c r="A142" s="0" t="n">
        <v>1298.36629406707</v>
      </c>
      <c r="B142" s="0" t="n">
        <f aca="false">W_PH(B$2,$A142)</f>
        <v>2015</v>
      </c>
      <c r="C142" s="0" t="n">
        <f aca="false">W_PH(C$2,$A142)</f>
        <v>1877.82239102178</v>
      </c>
      <c r="D142" s="0" t="n">
        <f aca="false">W_PH(D$2,$A142)</f>
        <v>1877.82170921028</v>
      </c>
      <c r="E142" s="0" t="n">
        <f aca="false">W_PH(E$2,$A142)</f>
        <v>1877.82102741038</v>
      </c>
      <c r="F142" s="0" t="n">
        <f aca="false">W_PH(F$2,$A142)</f>
        <v>1877.82034562206</v>
      </c>
      <c r="G142" s="0" t="n">
        <f aca="false">W_PH(G$2,$A142)</f>
        <v>1877.81352837615</v>
      </c>
      <c r="H142" s="0" t="n">
        <f aca="false">W_PH(H$2,$A142)</f>
        <v>1877.8067122887</v>
      </c>
      <c r="I142" s="0" t="n">
        <f aca="false">W_PH(I$2,$A142)</f>
        <v>1877.79989735941</v>
      </c>
      <c r="J142" s="0" t="n">
        <f aca="false">W_PH(J$2,$A142)</f>
        <v>1877.793083588</v>
      </c>
      <c r="K142" s="0" t="n">
        <f aca="false">W_PH(K$2,$A142)</f>
        <v>1877.78627097416</v>
      </c>
      <c r="L142" s="0" t="n">
        <f aca="false">W_PH(L$2,$A142)</f>
        <v>1877.77945951759</v>
      </c>
      <c r="M142" s="0" t="n">
        <f aca="false">W_PH(M$2,$A142)</f>
        <v>1877.772649218</v>
      </c>
      <c r="N142" s="0" t="n">
        <f aca="false">W_PH(N$2,$A142)</f>
        <v>1877.76584007508</v>
      </c>
      <c r="O142" s="0" t="n">
        <f aca="false">W_PH(O$2,$A142)</f>
        <v>1877.75903208855</v>
      </c>
      <c r="P142" s="0" t="n">
        <f aca="false">W_PH(P$2,$A142)</f>
        <v>1877.69101575874</v>
      </c>
      <c r="Q142" s="0" t="n">
        <f aca="false">W_PH(Q$2,$A142)</f>
        <v>1877.62311473992</v>
      </c>
      <c r="R142" s="0" t="n">
        <f aca="false">W_PH(R$2,$A142)</f>
        <v>1877.55532873494</v>
      </c>
      <c r="S142" s="0" t="n">
        <f aca="false">W_PH(S$2,$A142)</f>
        <v>1877.4876574469</v>
      </c>
      <c r="T142" s="0" t="n">
        <f aca="false">W_PH(T$2,$A142)</f>
        <v>1877.42010057916</v>
      </c>
      <c r="U142" s="0" t="n">
        <f aca="false">W_PH(U$2,$A142)</f>
        <v>1877.3526578353</v>
      </c>
      <c r="V142" s="0" t="n">
        <f aca="false">W_PH(V$2,$A142)</f>
        <v>1877.28532891915</v>
      </c>
      <c r="W142" s="0" t="n">
        <f aca="false">W_PH(W$2,$A142)</f>
        <v>1877.21811353479</v>
      </c>
      <c r="X142" s="0" t="n">
        <f aca="false">W_PH(X$2,$A142)</f>
        <v>1877.15101138654</v>
      </c>
      <c r="Y142" s="0" t="n">
        <f aca="false">W_PH(Y$2,$A142)</f>
        <v>1876.48615301626</v>
      </c>
      <c r="Z142" s="0" t="n">
        <f aca="false">W_PH(Z$2,$A142)</f>
        <v>1875.83229485427</v>
      </c>
      <c r="AA142" s="0" t="n">
        <f aca="false">W_PH(AA$2,$A142)</f>
        <v>1875.18914544561</v>
      </c>
      <c r="AB142" s="0" t="n">
        <f aca="false">W_PH(AB$2,$A142)</f>
        <v>1874.55641622251</v>
      </c>
      <c r="AC142" s="0" t="n">
        <f aca="false">W_PH(AC$2,$A142)</f>
        <v>1873.93382192051</v>
      </c>
      <c r="AD142" s="0" t="n">
        <f aca="false">W_PH(AD$2,$A142)</f>
        <v>1873.32108111399</v>
      </c>
      <c r="AE142" s="0" t="n">
        <f aca="false">W_PH(AE$2,$A142)</f>
        <v>1872.71791685341</v>
      </c>
      <c r="AF142" s="0" t="n">
        <f aca="false">W_PH(AF$2,$A142)</f>
        <v>1872.12405738576</v>
      </c>
      <c r="AG142" s="0" t="n">
        <f aca="false">W_PH(AG$2,$A142)</f>
        <v>1871.53923693931</v>
      </c>
      <c r="AH142" s="0" t="n">
        <f aca="false">W_PH(AH$2,$A142)</f>
        <v>1866.13566108489</v>
      </c>
      <c r="AI142" s="0" t="n">
        <f aca="false">W_PH(AI$2,$A142)</f>
        <v>1861.41663064678</v>
      </c>
      <c r="AJ142" s="0" t="n">
        <f aca="false">W_PH(AJ$2,$A142)</f>
        <v>1857.29135884095</v>
      </c>
      <c r="AK142" s="0" t="n">
        <f aca="false">W_PH(AK$2,$A142)</f>
        <v>1853.63656636172</v>
      </c>
      <c r="AL142" s="0" t="n">
        <f aca="false">W_PH(AL$2,$A142)</f>
        <v>1850.46290853763</v>
      </c>
      <c r="AM142" s="0" t="n">
        <f aca="false">W_PH(AM$2,$A142)</f>
        <v>1847.73717433289</v>
      </c>
      <c r="AN142" s="0" t="n">
        <f aca="false">W_PH(AN$2,$A142)</f>
        <v>1845.43833326736</v>
      </c>
      <c r="AO142" s="0" t="n">
        <f aca="false">W_PH(AO$2,$A142)</f>
        <v>1843.55385315338</v>
      </c>
      <c r="AP142" s="0" t="n">
        <f aca="false">W_PH(AP$2,$A142)</f>
        <v>1842.07618092802</v>
      </c>
      <c r="AQ142" s="0" t="n">
        <f aca="false">W_PH(AQ$2,$A142)</f>
        <v>1848.10140989047</v>
      </c>
      <c r="AR142" s="0" t="n">
        <f aca="false">W_PH(AR$2,$A142)</f>
        <v>1853.59085848138</v>
      </c>
      <c r="AS142" s="0" t="n">
        <f aca="false">W_PH(AS$2,$A142)</f>
        <v>1855.65441031228</v>
      </c>
    </row>
    <row r="143" customFormat="false" ht="12.8" hidden="false" customHeight="false" outlineLevel="0" collapsed="false">
      <c r="A143" s="0" t="n">
        <v>1302.66552020636</v>
      </c>
      <c r="B143" s="0" t="n">
        <f aca="false">W_PH(B$2,$A143)</f>
        <v>2015</v>
      </c>
      <c r="C143" s="0" t="n">
        <f aca="false">W_PH(C$2,$A143)</f>
        <v>1886.05483645895</v>
      </c>
      <c r="D143" s="0" t="n">
        <f aca="false">W_PH(D$2,$A143)</f>
        <v>1886.05417690134</v>
      </c>
      <c r="E143" s="0" t="n">
        <f aca="false">W_PH(E$2,$A143)</f>
        <v>1886.05351735441</v>
      </c>
      <c r="F143" s="0" t="n">
        <f aca="false">W_PH(F$2,$A143)</f>
        <v>1886.05285781815</v>
      </c>
      <c r="G143" s="0" t="n">
        <f aca="false">W_PH(G$2,$A143)</f>
        <v>1886.0462630425</v>
      </c>
      <c r="H143" s="0" t="n">
        <f aca="false">W_PH(H$2,$A143)</f>
        <v>1886.03966933382</v>
      </c>
      <c r="I143" s="0" t="n">
        <f aca="false">W_PH(I$2,$A143)</f>
        <v>1886.03307669185</v>
      </c>
      <c r="J143" s="0" t="n">
        <f aca="false">W_PH(J$2,$A143)</f>
        <v>1886.02648511632</v>
      </c>
      <c r="K143" s="0" t="n">
        <f aca="false">W_PH(K$2,$A143)</f>
        <v>1886.01989460698</v>
      </c>
      <c r="L143" s="0" t="n">
        <f aca="false">W_PH(L$2,$A143)</f>
        <v>1886.01330516356</v>
      </c>
      <c r="M143" s="0" t="n">
        <f aca="false">W_PH(M$2,$A143)</f>
        <v>1886.00671678581</v>
      </c>
      <c r="N143" s="0" t="n">
        <f aca="false">W_PH(N$2,$A143)</f>
        <v>1886.00012947346</v>
      </c>
      <c r="O143" s="0" t="n">
        <f aca="false">W_PH(O$2,$A143)</f>
        <v>1885.99354322625</v>
      </c>
      <c r="P143" s="0" t="n">
        <f aca="false">W_PH(P$2,$A143)</f>
        <v>1885.92773927959</v>
      </c>
      <c r="Q143" s="0" t="n">
        <f aca="false">W_PH(Q$2,$A143)</f>
        <v>1885.86204156039</v>
      </c>
      <c r="R143" s="0" t="n">
        <f aca="false">W_PH(R$2,$A143)</f>
        <v>1885.79644980824</v>
      </c>
      <c r="S143" s="0" t="n">
        <f aca="false">W_PH(S$2,$A143)</f>
        <v>1885.73096376298</v>
      </c>
      <c r="T143" s="0" t="n">
        <f aca="false">W_PH(T$2,$A143)</f>
        <v>1885.66558316475</v>
      </c>
      <c r="U143" s="0" t="n">
        <f aca="false">W_PH(U$2,$A143)</f>
        <v>1885.60030775391</v>
      </c>
      <c r="V143" s="0" t="n">
        <f aca="false">W_PH(V$2,$A143)</f>
        <v>1885.53513727112</v>
      </c>
      <c r="W143" s="0" t="n">
        <f aca="false">W_PH(W$2,$A143)</f>
        <v>1885.47007145726</v>
      </c>
      <c r="X143" s="0" t="n">
        <f aca="false">W_PH(X$2,$A143)</f>
        <v>1885.4051100535</v>
      </c>
      <c r="Y143" s="0" t="n">
        <f aca="false">W_PH(Y$2,$A143)</f>
        <v>1884.76118181186</v>
      </c>
      <c r="Z143" s="0" t="n">
        <f aca="false">W_PH(Z$2,$A143)</f>
        <v>1884.12741178454</v>
      </c>
      <c r="AA143" s="0" t="n">
        <f aca="false">W_PH(AA$2,$A143)</f>
        <v>1883.50354547455</v>
      </c>
      <c r="AB143" s="0" t="n">
        <f aca="false">W_PH(AB$2,$A143)</f>
        <v>1882.88933121691</v>
      </c>
      <c r="AC143" s="0" t="n">
        <f aca="false">W_PH(AC$2,$A143)</f>
        <v>1882.28452047851</v>
      </c>
      <c r="AD143" s="0" t="n">
        <f aca="false">W_PH(AD$2,$A143)</f>
        <v>1881.6888682661</v>
      </c>
      <c r="AE143" s="0" t="n">
        <f aca="false">W_PH(AE$2,$A143)</f>
        <v>1881.1021336268</v>
      </c>
      <c r="AF143" s="0" t="n">
        <f aca="false">W_PH(AF$2,$A143)</f>
        <v>1880.52408022496</v>
      </c>
      <c r="AG143" s="0" t="n">
        <f aca="false">W_PH(AG$2,$A143)</f>
        <v>1879.95447697901</v>
      </c>
      <c r="AH143" s="0" t="n">
        <f aca="false">W_PH(AH$2,$A143)</f>
        <v>1874.67750656143</v>
      </c>
      <c r="AI143" s="0" t="n">
        <f aca="false">W_PH(AI$2,$A143)</f>
        <v>1870.05411335541</v>
      </c>
      <c r="AJ143" s="0" t="n">
        <f aca="false">W_PH(AJ$2,$A143)</f>
        <v>1866.00290696712</v>
      </c>
      <c r="AK143" s="0" t="n">
        <f aca="false">W_PH(AK$2,$A143)</f>
        <v>1862.41036483974</v>
      </c>
      <c r="AL143" s="0" t="n">
        <f aca="false">W_PH(AL$2,$A143)</f>
        <v>1859.28494854564</v>
      </c>
      <c r="AM143" s="0" t="n">
        <f aca="false">W_PH(AM$2,$A143)</f>
        <v>1856.59685350218</v>
      </c>
      <c r="AN143" s="0" t="n">
        <f aca="false">W_PH(AN$2,$A143)</f>
        <v>1854.32662990087</v>
      </c>
      <c r="AO143" s="0" t="n">
        <f aca="false">W_PH(AO$2,$A143)</f>
        <v>1852.46223952336</v>
      </c>
      <c r="AP143" s="0" t="n">
        <f aca="false">W_PH(AP$2,$A143)</f>
        <v>1850.99611077727</v>
      </c>
      <c r="AQ143" s="0" t="n">
        <f aca="false">W_PH(AQ$2,$A143)</f>
        <v>1856.71856821966</v>
      </c>
      <c r="AR143" s="0" t="n">
        <f aca="false">W_PH(AR$2,$A143)</f>
        <v>1862.01484272348</v>
      </c>
      <c r="AS143" s="0" t="n">
        <f aca="false">W_PH(AS$2,$A143)</f>
        <v>1864.06246035262</v>
      </c>
    </row>
    <row r="144" customFormat="false" ht="12.8" hidden="false" customHeight="false" outlineLevel="0" collapsed="false">
      <c r="A144" s="0" t="n">
        <v>1306.96474634566</v>
      </c>
      <c r="B144" s="0" t="n">
        <f aca="false">W_PH(B$2,$A144)</f>
        <v>2015</v>
      </c>
      <c r="C144" s="0" t="n">
        <f aca="false">W_PH(C$2,$A144)</f>
        <v>1894.23089125752</v>
      </c>
      <c r="D144" s="0" t="n">
        <f aca="false">W_PH(D$2,$A144)</f>
        <v>1894.23025306757</v>
      </c>
      <c r="E144" s="0" t="n">
        <f aca="false">W_PH(E$2,$A144)</f>
        <v>1894.22961488747</v>
      </c>
      <c r="F144" s="0" t="n">
        <f aca="false">W_PH(F$2,$A144)</f>
        <v>1894.22897671724</v>
      </c>
      <c r="G144" s="0" t="n">
        <f aca="false">W_PH(G$2,$A144)</f>
        <v>1894.22259555701</v>
      </c>
      <c r="H144" s="0" t="n">
        <f aca="false">W_PH(H$2,$A144)</f>
        <v>1894.21621538236</v>
      </c>
      <c r="I144" s="0" t="n">
        <f aca="false">W_PH(I$2,$A144)</f>
        <v>1894.20983619305</v>
      </c>
      <c r="J144" s="0" t="n">
        <f aca="false">W_PH(J$2,$A144)</f>
        <v>1894.20345798885</v>
      </c>
      <c r="K144" s="0" t="n">
        <f aca="false">W_PH(K$2,$A144)</f>
        <v>1894.19708076953</v>
      </c>
      <c r="L144" s="0" t="n">
        <f aca="false">W_PH(L$2,$A144)</f>
        <v>1894.19070453486</v>
      </c>
      <c r="M144" s="0" t="n">
        <f aca="false">W_PH(M$2,$A144)</f>
        <v>1894.18432928461</v>
      </c>
      <c r="N144" s="0" t="n">
        <f aca="false">W_PH(N$2,$A144)</f>
        <v>1894.17795501855</v>
      </c>
      <c r="O144" s="0" t="n">
        <f aca="false">W_PH(O$2,$A144)</f>
        <v>1894.17158173644</v>
      </c>
      <c r="P144" s="0" t="n">
        <f aca="false">W_PH(P$2,$A144)</f>
        <v>1894.10790298232</v>
      </c>
      <c r="Q144" s="0" t="n">
        <f aca="false">W_PH(Q$2,$A144)</f>
        <v>1894.04432237055</v>
      </c>
      <c r="R144" s="0" t="n">
        <f aca="false">W_PH(R$2,$A144)</f>
        <v>1893.98083967103</v>
      </c>
      <c r="S144" s="0" t="n">
        <f aca="false">W_PH(S$2,$A144)</f>
        <v>1893.91745465397</v>
      </c>
      <c r="T144" s="0" t="n">
        <f aca="false">W_PH(T$2,$A144)</f>
        <v>1893.85416708986</v>
      </c>
      <c r="U144" s="0" t="n">
        <f aca="false">W_PH(U$2,$A144)</f>
        <v>1893.79097674946</v>
      </c>
      <c r="V144" s="0" t="n">
        <f aca="false">W_PH(V$2,$A144)</f>
        <v>1893.72788340381</v>
      </c>
      <c r="W144" s="0" t="n">
        <f aca="false">W_PH(W$2,$A144)</f>
        <v>1893.66488682424</v>
      </c>
      <c r="X144" s="0" t="n">
        <f aca="false">W_PH(X$2,$A144)</f>
        <v>1893.60198678236</v>
      </c>
      <c r="Y144" s="0" t="n">
        <f aca="false">W_PH(Y$2,$A144)</f>
        <v>1892.9782458853</v>
      </c>
      <c r="Z144" s="0" t="n">
        <f aca="false">W_PH(Z$2,$A144)</f>
        <v>1892.36390955674</v>
      </c>
      <c r="AA144" s="0" t="n">
        <f aca="false">W_PH(AA$2,$A144)</f>
        <v>1891.75875394037</v>
      </c>
      <c r="AB144" s="0" t="n">
        <f aca="false">W_PH(AB$2,$A144)</f>
        <v>1891.16255804094</v>
      </c>
      <c r="AC144" s="0" t="n">
        <f aca="false">W_PH(AC$2,$A144)</f>
        <v>1890.57510393483</v>
      </c>
      <c r="AD144" s="0" t="n">
        <f aca="false">W_PH(AD$2,$A144)</f>
        <v>1889.99617707633</v>
      </c>
      <c r="AE144" s="0" t="n">
        <f aca="false">W_PH(AE$2,$A144)</f>
        <v>1889.42556668593</v>
      </c>
      <c r="AF144" s="0" t="n">
        <f aca="false">W_PH(AF$2,$A144)</f>
        <v>1888.86306620706</v>
      </c>
      <c r="AG144" s="0" t="n">
        <f aca="false">W_PH(AG$2,$A144)</f>
        <v>1888.30847381689</v>
      </c>
      <c r="AH144" s="0" t="n">
        <f aca="false">W_PH(AH$2,$A144)</f>
        <v>1883.15760827753</v>
      </c>
      <c r="AI144" s="0" t="n">
        <f aca="false">W_PH(AI$2,$A144)</f>
        <v>1878.63015154448</v>
      </c>
      <c r="AJ144" s="0" t="n">
        <f aca="false">W_PH(AJ$2,$A144)</f>
        <v>1874.65316381146</v>
      </c>
      <c r="AK144" s="0" t="n">
        <f aca="false">W_PH(AK$2,$A144)</f>
        <v>1871.12368478838</v>
      </c>
      <c r="AL144" s="0" t="n">
        <f aca="false">W_PH(AL$2,$A144)</f>
        <v>1868.04725688536</v>
      </c>
      <c r="AM144" s="0" t="n">
        <f aca="false">W_PH(AM$2,$A144)</f>
        <v>1865.39734251587</v>
      </c>
      <c r="AN144" s="0" t="n">
        <f aca="false">W_PH(AN$2,$A144)</f>
        <v>1863.15613620581</v>
      </c>
      <c r="AO144" s="0" t="n">
        <f aca="false">W_PH(AO$2,$A144)</f>
        <v>1861.31223661089</v>
      </c>
      <c r="AP144" s="0" t="n">
        <f aca="false">W_PH(AP$2,$A144)</f>
        <v>1859.85819988769</v>
      </c>
      <c r="AQ144" s="0" t="n">
        <f aca="false">W_PH(AQ$2,$A144)</f>
        <v>1865.29667995366</v>
      </c>
      <c r="AR144" s="0" t="n">
        <f aca="false">W_PH(AR$2,$A144)</f>
        <v>1870.46585267372</v>
      </c>
      <c r="AS144" s="0" t="n">
        <f aca="false">W_PH(AS$2,$A144)</f>
        <v>1872.46501210638</v>
      </c>
    </row>
    <row r="145" customFormat="false" ht="12.8" hidden="false" customHeight="false" outlineLevel="0" collapsed="false">
      <c r="A145" s="0" t="n">
        <v>1311.26397248495</v>
      </c>
      <c r="B145" s="0" t="n">
        <f aca="false">W_PH(B$2,$A145)</f>
        <v>2015</v>
      </c>
      <c r="C145" s="0" t="n">
        <f aca="false">W_PH(C$2,$A145)</f>
        <v>1902.35137079455</v>
      </c>
      <c r="D145" s="0" t="n">
        <f aca="false">W_PH(D$2,$A145)</f>
        <v>1902.35075312565</v>
      </c>
      <c r="E145" s="0" t="n">
        <f aca="false">W_PH(E$2,$A145)</f>
        <v>1902.35013546588</v>
      </c>
      <c r="F145" s="0" t="n">
        <f aca="false">W_PH(F$2,$A145)</f>
        <v>1902.34951781524</v>
      </c>
      <c r="G145" s="0" t="n">
        <f aca="false">W_PH(G$2,$A145)</f>
        <v>1902.34334181111</v>
      </c>
      <c r="H145" s="0" t="n">
        <f aca="false">W_PH(H$2,$A145)</f>
        <v>1902.33716672</v>
      </c>
      <c r="I145" s="0" t="n">
        <f aca="false">W_PH(I$2,$A145)</f>
        <v>1902.33099254169</v>
      </c>
      <c r="J145" s="0" t="n">
        <f aca="false">W_PH(J$2,$A145)</f>
        <v>1902.32481927599</v>
      </c>
      <c r="K145" s="0" t="n">
        <f aca="false">W_PH(K$2,$A145)</f>
        <v>1902.31864692269</v>
      </c>
      <c r="L145" s="0" t="n">
        <f aca="false">W_PH(L$2,$A145)</f>
        <v>1902.31247548159</v>
      </c>
      <c r="M145" s="0" t="n">
        <f aca="false">W_PH(M$2,$A145)</f>
        <v>1902.30630495247</v>
      </c>
      <c r="N145" s="0" t="n">
        <f aca="false">W_PH(N$2,$A145)</f>
        <v>1902.30013533513</v>
      </c>
      <c r="O145" s="0" t="n">
        <f aca="false">W_PH(O$2,$A145)</f>
        <v>1902.29396662938</v>
      </c>
      <c r="P145" s="0" t="n">
        <f aca="false">W_PH(P$2,$A145)</f>
        <v>1902.23232966337</v>
      </c>
      <c r="Q145" s="0" t="n">
        <f aca="false">W_PH(Q$2,$A145)</f>
        <v>1902.17078362935</v>
      </c>
      <c r="R145" s="0" t="n">
        <f aca="false">W_PH(R$2,$A145)</f>
        <v>1902.10932832236</v>
      </c>
      <c r="S145" s="0" t="n">
        <f aca="false">W_PH(S$2,$A145)</f>
        <v>1902.04796353775</v>
      </c>
      <c r="T145" s="0" t="n">
        <f aca="false">W_PH(T$2,$A145)</f>
        <v>1901.98668907121</v>
      </c>
      <c r="U145" s="0" t="n">
        <f aca="false">W_PH(U$2,$A145)</f>
        <v>1901.92550471869</v>
      </c>
      <c r="V145" s="0" t="n">
        <f aca="false">W_PH(V$2,$A145)</f>
        <v>1901.86441027644</v>
      </c>
      <c r="W145" s="0" t="n">
        <f aca="false">W_PH(W$2,$A145)</f>
        <v>1901.80340554103</v>
      </c>
      <c r="X145" s="0" t="n">
        <f aca="false">W_PH(X$2,$A145)</f>
        <v>1901.7424903093</v>
      </c>
      <c r="Y145" s="0" t="n">
        <f aca="false">W_PH(Y$2,$A145)</f>
        <v>1901.13821621086</v>
      </c>
      <c r="Z145" s="0" t="n">
        <f aca="false">W_PH(Z$2,$A145)</f>
        <v>1900.54267117278</v>
      </c>
      <c r="AA145" s="0" t="n">
        <f aca="false">W_PH(AA$2,$A145)</f>
        <v>1899.9556568164</v>
      </c>
      <c r="AB145" s="0" t="n">
        <f aca="false">W_PH(AB$2,$A145)</f>
        <v>1899.37697769573</v>
      </c>
      <c r="AC145" s="0" t="n">
        <f aca="false">W_PH(AC$2,$A145)</f>
        <v>1898.80644143889</v>
      </c>
      <c r="AD145" s="0" t="n">
        <f aca="false">W_PH(AD$2,$A145)</f>
        <v>1898.24385897284</v>
      </c>
      <c r="AE145" s="0" t="n">
        <f aca="false">W_PH(AE$2,$A145)</f>
        <v>1897.68904481981</v>
      </c>
      <c r="AF145" s="0" t="n">
        <f aca="false">W_PH(AF$2,$A145)</f>
        <v>1897.14181745379</v>
      </c>
      <c r="AG145" s="0" t="n">
        <f aca="false">W_PH(AG$2,$A145)</f>
        <v>1896.6019997048</v>
      </c>
      <c r="AH145" s="0" t="n">
        <f aca="false">W_PH(AH$2,$A145)</f>
        <v>1891.57639855159</v>
      </c>
      <c r="AI145" s="0" t="n">
        <f aca="false">W_PH(AI$2,$A145)</f>
        <v>1887.14495713493</v>
      </c>
      <c r="AJ145" s="0" t="n">
        <f aca="false">W_PH(AJ$2,$A145)</f>
        <v>1883.24230506504</v>
      </c>
      <c r="AK145" s="0" t="n">
        <f aca="false">W_PH(AK$2,$A145)</f>
        <v>1879.77656454751</v>
      </c>
      <c r="AL145" s="0" t="n">
        <f aca="false">W_PH(AL$2,$A145)</f>
        <v>1876.74983046657</v>
      </c>
      <c r="AM145" s="0" t="n">
        <f aca="false">W_PH(AM$2,$A145)</f>
        <v>1874.13866436831</v>
      </c>
      <c r="AN145" s="0" t="n">
        <f aca="false">W_PH(AN$2,$A145)</f>
        <v>1871.9269333206</v>
      </c>
      <c r="AO145" s="0" t="n">
        <f aca="false">W_PH(AO$2,$A145)</f>
        <v>1870.10398604257</v>
      </c>
      <c r="AP145" s="0" t="n">
        <f aca="false">W_PH(AP$2,$A145)</f>
        <v>1868.6626337421</v>
      </c>
      <c r="AQ145" s="0" t="n">
        <f aca="false">W_PH(AQ$2,$A145)</f>
        <v>1873.83552833549</v>
      </c>
      <c r="AR145" s="0" t="n">
        <f aca="false">W_PH(AR$2,$A145)</f>
        <v>1878.88546194648</v>
      </c>
      <c r="AS145" s="0" t="n">
        <f aca="false">W_PH(AS$2,$A145)</f>
        <v>1880.84000844409</v>
      </c>
    </row>
    <row r="146" customFormat="false" ht="12.8" hidden="false" customHeight="false" outlineLevel="0" collapsed="false">
      <c r="A146" s="0" t="n">
        <v>1315.56319862425</v>
      </c>
      <c r="B146" s="0" t="n">
        <f aca="false">W_PH(B$2,$A146)</f>
        <v>2015</v>
      </c>
      <c r="C146" s="0" t="n">
        <f aca="false">W_PH(C$2,$A146)</f>
        <v>1910.4170704314</v>
      </c>
      <c r="D146" s="0" t="n">
        <f aca="false">W_PH(D$2,$A146)</f>
        <v>1910.41647247546</v>
      </c>
      <c r="E146" s="0" t="n">
        <f aca="false">W_PH(E$2,$A146)</f>
        <v>1910.415874528</v>
      </c>
      <c r="F146" s="0" t="n">
        <f aca="false">W_PH(F$2,$A146)</f>
        <v>1910.41527658902</v>
      </c>
      <c r="G146" s="0" t="n">
        <f aca="false">W_PH(G$2,$A146)</f>
        <v>1910.40929766583</v>
      </c>
      <c r="H146" s="0" t="n">
        <f aca="false">W_PH(H$2,$A146)</f>
        <v>1910.40331959084</v>
      </c>
      <c r="I146" s="0" t="n">
        <f aca="false">W_PH(I$2,$A146)</f>
        <v>1910.39734236385</v>
      </c>
      <c r="J146" s="0" t="n">
        <f aca="false">W_PH(J$2,$A146)</f>
        <v>1910.3913659847</v>
      </c>
      <c r="K146" s="0" t="n">
        <f aca="false">W_PH(K$2,$A146)</f>
        <v>1910.38539045318</v>
      </c>
      <c r="L146" s="0" t="n">
        <f aca="false">W_PH(L$2,$A146)</f>
        <v>1910.37941576913</v>
      </c>
      <c r="M146" s="0" t="n">
        <f aca="false">W_PH(M$2,$A146)</f>
        <v>1910.37344193235</v>
      </c>
      <c r="N146" s="0" t="n">
        <f aca="false">W_PH(N$2,$A146)</f>
        <v>1910.36746894265</v>
      </c>
      <c r="O146" s="0" t="n">
        <f aca="false">W_PH(O$2,$A146)</f>
        <v>1910.36149679986</v>
      </c>
      <c r="P146" s="0" t="n">
        <f aca="false">W_PH(P$2,$A146)</f>
        <v>1910.30182191113</v>
      </c>
      <c r="Q146" s="0" t="n">
        <f aca="false">W_PH(Q$2,$A146)</f>
        <v>1910.24223151008</v>
      </c>
      <c r="R146" s="0" t="n">
        <f aca="false">W_PH(R$2,$A146)</f>
        <v>1910.18272541271</v>
      </c>
      <c r="S146" s="0" t="n">
        <f aca="false">W_PH(S$2,$A146)</f>
        <v>1910.12330343536</v>
      </c>
      <c r="T146" s="0" t="n">
        <f aca="false">W_PH(T$2,$A146)</f>
        <v>1910.06396539466</v>
      </c>
      <c r="U146" s="0" t="n">
        <f aca="false">W_PH(U$2,$A146)</f>
        <v>1910.00471110758</v>
      </c>
      <c r="V146" s="0" t="n">
        <f aca="false">W_PH(V$2,$A146)</f>
        <v>1909.94554039139</v>
      </c>
      <c r="W146" s="0" t="n">
        <f aca="false">W_PH(W$2,$A146)</f>
        <v>1909.88645306368</v>
      </c>
      <c r="X146" s="0" t="n">
        <f aca="false">W_PH(X$2,$A146)</f>
        <v>1909.82744894234</v>
      </c>
      <c r="Y146" s="0" t="n">
        <f aca="false">W_PH(Y$2,$A146)</f>
        <v>1909.24194423608</v>
      </c>
      <c r="Z146" s="0" t="n">
        <f aca="false">W_PH(Z$2,$A146)</f>
        <v>1908.66456211657</v>
      </c>
      <c r="AA146" s="0" t="n">
        <f aca="false">W_PH(AA$2,$A146)</f>
        <v>1908.09512546981</v>
      </c>
      <c r="AB146" s="0" t="n">
        <f aca="false">W_PH(AB$2,$A146)</f>
        <v>1907.53346019939</v>
      </c>
      <c r="AC146" s="0" t="n">
        <f aca="false">W_PH(AC$2,$A146)</f>
        <v>1906.97939531412</v>
      </c>
      <c r="AD146" s="0" t="n">
        <f aca="false">W_PH(AD$2,$A146)</f>
        <v>1906.43276308746</v>
      </c>
      <c r="AE146" s="0" t="n">
        <f aca="false">W_PH(AE$2,$A146)</f>
        <v>1905.8933992789</v>
      </c>
      <c r="AF146" s="0" t="n">
        <f aca="false">W_PH(AF$2,$A146)</f>
        <v>1905.36114340725</v>
      </c>
      <c r="AG146" s="0" t="n">
        <f aca="false">W_PH(AG$2,$A146)</f>
        <v>1904.8358390658</v>
      </c>
      <c r="AH146" s="0" t="n">
        <f aca="false">W_PH(AH$2,$A146)</f>
        <v>1899.93435704819</v>
      </c>
      <c r="AI146" s="0" t="n">
        <f aca="false">W_PH(AI$2,$A146)</f>
        <v>1895.59880126381</v>
      </c>
      <c r="AJ146" s="0" t="n">
        <f aca="false">W_PH(AJ$2,$A146)</f>
        <v>1891.77056440135</v>
      </c>
      <c r="AK146" s="0" t="n">
        <f aca="false">W_PH(AK$2,$A146)</f>
        <v>1888.36909583022</v>
      </c>
      <c r="AL146" s="0" t="n">
        <f aca="false">W_PH(AL$2,$A146)</f>
        <v>1885.39270774413</v>
      </c>
      <c r="AM146" s="0" t="n">
        <f aca="false">W_PH(AM$2,$A146)</f>
        <v>1882.82087223348</v>
      </c>
      <c r="AN146" s="0" t="n">
        <f aca="false">W_PH(AN$2,$A146)</f>
        <v>1880.63912587781</v>
      </c>
      <c r="AO146" s="0" t="n">
        <f aca="false">W_PH(AO$2,$A146)</f>
        <v>1878.83765215655</v>
      </c>
      <c r="AP146" s="0" t="n">
        <f aca="false">W_PH(AP$2,$A146)</f>
        <v>1877.40962462992</v>
      </c>
      <c r="AQ146" s="0" t="n">
        <f aca="false">W_PH(AQ$2,$A146)</f>
        <v>1882.33501627912</v>
      </c>
      <c r="AR146" s="0" t="n">
        <f aca="false">W_PH(AR$2,$A146)</f>
        <v>1887.27235960225</v>
      </c>
      <c r="AS146" s="0" t="n">
        <f aca="false">W_PH(AS$2,$A146)</f>
        <v>1889.18532248939</v>
      </c>
    </row>
    <row r="147" customFormat="false" ht="12.8" hidden="false" customHeight="false" outlineLevel="0" collapsed="false">
      <c r="A147" s="0" t="n">
        <v>1319.86242476354</v>
      </c>
      <c r="B147" s="0" t="n">
        <f aca="false">W_PH(B$2,$A147)</f>
        <v>2015</v>
      </c>
      <c r="C147" s="0" t="n">
        <f aca="false">W_PH(C$2,$A147)</f>
        <v>1918.42876629821</v>
      </c>
      <c r="D147" s="0" t="n">
        <f aca="false">W_PH(D$2,$A147)</f>
        <v>1918.42818728443</v>
      </c>
      <c r="E147" s="0" t="n">
        <f aca="false">W_PH(E$2,$A147)</f>
        <v>1918.42760827855</v>
      </c>
      <c r="F147" s="0" t="n">
        <f aca="false">W_PH(F$2,$A147)</f>
        <v>1918.42702928058</v>
      </c>
      <c r="G147" s="0" t="n">
        <f aca="false">W_PH(G$2,$A147)</f>
        <v>1918.42123973548</v>
      </c>
      <c r="H147" s="0" t="n">
        <f aca="false">W_PH(H$2,$A147)</f>
        <v>1918.41545098052</v>
      </c>
      <c r="I147" s="0" t="n">
        <f aca="false">W_PH(I$2,$A147)</f>
        <v>1918.40966301555</v>
      </c>
      <c r="J147" s="0" t="n">
        <f aca="false">W_PH(J$2,$A147)</f>
        <v>1918.40387584038</v>
      </c>
      <c r="K147" s="0" t="n">
        <f aca="false">W_PH(K$2,$A147)</f>
        <v>1918.39808945486</v>
      </c>
      <c r="L147" s="0" t="n">
        <f aca="false">W_PH(L$2,$A147)</f>
        <v>1918.39230385881</v>
      </c>
      <c r="M147" s="0" t="n">
        <f aca="false">W_PH(M$2,$A147)</f>
        <v>1918.38651905208</v>
      </c>
      <c r="N147" s="0" t="n">
        <f aca="false">W_PH(N$2,$A147)</f>
        <v>1918.38073503449</v>
      </c>
      <c r="O147" s="0" t="n">
        <f aca="false">W_PH(O$2,$A147)</f>
        <v>1918.37495180587</v>
      </c>
      <c r="P147" s="0" t="n">
        <f aca="false">W_PH(P$2,$A147)</f>
        <v>1918.31716287666</v>
      </c>
      <c r="Q147" s="0" t="n">
        <f aca="false">W_PH(Q$2,$A147)</f>
        <v>1918.25945266158</v>
      </c>
      <c r="R147" s="0" t="n">
        <f aca="false">W_PH(R$2,$A147)</f>
        <v>1918.20182099423</v>
      </c>
      <c r="S147" s="0" t="n">
        <f aca="false">W_PH(S$2,$A147)</f>
        <v>1918.14426770849</v>
      </c>
      <c r="T147" s="0" t="n">
        <f aca="false">W_PH(T$2,$A147)</f>
        <v>1918.08679263862</v>
      </c>
      <c r="U147" s="0" t="n">
        <f aca="false">W_PH(U$2,$A147)</f>
        <v>1918.02939561916</v>
      </c>
      <c r="V147" s="0" t="n">
        <f aca="false">W_PH(V$2,$A147)</f>
        <v>1917.97207648502</v>
      </c>
      <c r="W147" s="0" t="n">
        <f aca="false">W_PH(W$2,$A147)</f>
        <v>1917.9148350714</v>
      </c>
      <c r="X147" s="0" t="n">
        <f aca="false">W_PH(X$2,$A147)</f>
        <v>1917.85767121386</v>
      </c>
      <c r="Y147" s="0" t="n">
        <f aca="false">W_PH(Y$2,$A147)</f>
        <v>1917.29026226995</v>
      </c>
      <c r="Z147" s="0" t="n">
        <f aca="false">W_PH(Z$2,$A147)</f>
        <v>1916.73043038275</v>
      </c>
      <c r="AA147" s="0" t="n">
        <f aca="false">W_PH(AA$2,$A147)</f>
        <v>1916.17801627045</v>
      </c>
      <c r="AB147" s="0" t="n">
        <f aca="false">W_PH(AB$2,$A147)</f>
        <v>1915.63286374744</v>
      </c>
      <c r="AC147" s="0" t="n">
        <f aca="false">W_PH(AC$2,$A147)</f>
        <v>1915.09481977022</v>
      </c>
      <c r="AD147" s="0" t="n">
        <f aca="false">W_PH(AD$2,$A147)</f>
        <v>1914.56373454466</v>
      </c>
      <c r="AE147" s="0" t="n">
        <f aca="false">W_PH(AE$2,$A147)</f>
        <v>1914.03946168624</v>
      </c>
      <c r="AF147" s="0" t="n">
        <f aca="false">W_PH(AF$2,$A147)</f>
        <v>1913.52185842492</v>
      </c>
      <c r="AG147" s="0" t="n">
        <f aca="false">W_PH(AG$2,$A147)</f>
        <v>1913.01078584633</v>
      </c>
      <c r="AH147" s="0" t="n">
        <f aca="false">W_PH(AH$2,$A147)</f>
        <v>1908.23200984733</v>
      </c>
      <c r="AI147" s="0" t="n">
        <f aca="false">W_PH(AI$2,$A147)</f>
        <v>1903.99201706945</v>
      </c>
      <c r="AJ147" s="0" t="n">
        <f aca="false">W_PH(AJ$2,$A147)</f>
        <v>1900.23823412867</v>
      </c>
      <c r="AK147" s="0" t="n">
        <f aca="false">W_PH(AK$2,$A147)</f>
        <v>1896.90142899015</v>
      </c>
      <c r="AL147" s="0" t="n">
        <f aca="false">W_PH(AL$2,$A147)</f>
        <v>1893.97597635304</v>
      </c>
      <c r="AM147" s="0" t="n">
        <f aca="false">W_PH(AM$2,$A147)</f>
        <v>1891.44405675985</v>
      </c>
      <c r="AN147" s="0" t="n">
        <f aca="false">W_PH(AN$2,$A147)</f>
        <v>1889.29284676228</v>
      </c>
      <c r="AO147" s="0" t="n">
        <f aca="false">W_PH(AO$2,$A147)</f>
        <v>1887.51342291983</v>
      </c>
      <c r="AP147" s="0" t="n">
        <f aca="false">W_PH(AP$2,$A147)</f>
        <v>1886.09940840668</v>
      </c>
      <c r="AQ147" s="0" t="n">
        <f aca="false">W_PH(AQ$2,$A147)</f>
        <v>1890.79511351698</v>
      </c>
      <c r="AR147" s="0" t="n">
        <f aca="false">W_PH(AR$2,$A147)</f>
        <v>1895.62568202485</v>
      </c>
      <c r="AS147" s="0" t="n">
        <f aca="false">W_PH(AS$2,$A147)</f>
        <v>1897.4995224192</v>
      </c>
    </row>
    <row r="148" customFormat="false" ht="12.8" hidden="false" customHeight="false" outlineLevel="0" collapsed="false">
      <c r="A148" s="0" t="n">
        <v>1324.16165090284</v>
      </c>
      <c r="B148" s="0" t="n">
        <f aca="false">W_PH(B$2,$A148)</f>
        <v>2015</v>
      </c>
      <c r="C148" s="0" t="n">
        <f aca="false">W_PH(C$2,$A148)</f>
        <v>1926.38721604656</v>
      </c>
      <c r="D148" s="0" t="n">
        <f aca="false">W_PH(D$2,$A148)</f>
        <v>1926.38665524021</v>
      </c>
      <c r="E148" s="0" t="n">
        <f aca="false">W_PH(E$2,$A148)</f>
        <v>1926.38609444125</v>
      </c>
      <c r="F148" s="0" t="n">
        <f aca="false">W_PH(F$2,$A148)</f>
        <v>1926.38553364966</v>
      </c>
      <c r="G148" s="0" t="n">
        <f aca="false">W_PH(G$2,$A148)</f>
        <v>1926.37992613976</v>
      </c>
      <c r="H148" s="0" t="n">
        <f aca="false">W_PH(H$2,$A148)</f>
        <v>1926.37431936788</v>
      </c>
      <c r="I148" s="0" t="n">
        <f aca="false">W_PH(I$2,$A148)</f>
        <v>1926.36871333386</v>
      </c>
      <c r="J148" s="0" t="n">
        <f aca="false">W_PH(J$2,$A148)</f>
        <v>1926.36310803756</v>
      </c>
      <c r="K148" s="0" t="n">
        <f aca="false">W_PH(K$2,$A148)</f>
        <v>1926.35750347881</v>
      </c>
      <c r="L148" s="0" t="n">
        <f aca="false">W_PH(L$2,$A148)</f>
        <v>1926.35189965747</v>
      </c>
      <c r="M148" s="0" t="n">
        <f aca="false">W_PH(M$2,$A148)</f>
        <v>1926.34629657339</v>
      </c>
      <c r="N148" s="0" t="n">
        <f aca="false">W_PH(N$2,$A148)</f>
        <v>1926.34069422641</v>
      </c>
      <c r="O148" s="0" t="n">
        <f aca="false">W_PH(O$2,$A148)</f>
        <v>1926.33509261637</v>
      </c>
      <c r="P148" s="0" t="n">
        <f aca="false">W_PH(P$2,$A148)</f>
        <v>1926.27911701488</v>
      </c>
      <c r="Q148" s="0" t="n">
        <f aca="false">W_PH(Q$2,$A148)</f>
        <v>1926.22321494131</v>
      </c>
      <c r="R148" s="0" t="n">
        <f aca="false">W_PH(R$2,$A148)</f>
        <v>1926.16738624409</v>
      </c>
      <c r="S148" s="0" t="n">
        <f aca="false">W_PH(S$2,$A148)</f>
        <v>1926.11163077197</v>
      </c>
      <c r="T148" s="0" t="n">
        <f aca="false">W_PH(T$2,$A148)</f>
        <v>1926.05594837404</v>
      </c>
      <c r="U148" s="0" t="n">
        <f aca="false">W_PH(U$2,$A148)</f>
        <v>1926.00033889974</v>
      </c>
      <c r="V148" s="0" t="n">
        <f aca="false">W_PH(V$2,$A148)</f>
        <v>1925.94480219884</v>
      </c>
      <c r="W148" s="0" t="n">
        <f aca="false">W_PH(W$2,$A148)</f>
        <v>1925.88933812144</v>
      </c>
      <c r="X148" s="0" t="n">
        <f aca="false">W_PH(X$2,$A148)</f>
        <v>1925.833946518</v>
      </c>
      <c r="Y148" s="0" t="n">
        <f aca="false">W_PH(Y$2,$A148)</f>
        <v>1925.28398388246</v>
      </c>
      <c r="Z148" s="0" t="n">
        <f aca="false">W_PH(Z$2,$A148)</f>
        <v>1924.7411065471</v>
      </c>
      <c r="AA148" s="0" t="n">
        <f aca="false">W_PH(AA$2,$A148)</f>
        <v>1924.2051702696</v>
      </c>
      <c r="AB148" s="0" t="n">
        <f aca="false">W_PH(AB$2,$A148)</f>
        <v>1923.67603396413</v>
      </c>
      <c r="AC148" s="0" t="n">
        <f aca="false">W_PH(AC$2,$A148)</f>
        <v>1923.15355971506</v>
      </c>
      <c r="AD148" s="0" t="n">
        <f aca="false">W_PH(AD$2,$A148)</f>
        <v>1922.63761284263</v>
      </c>
      <c r="AE148" s="0" t="n">
        <f aca="false">W_PH(AE$2,$A148)</f>
        <v>1922.12806201391</v>
      </c>
      <c r="AF148" s="0" t="n">
        <f aca="false">W_PH(AF$2,$A148)</f>
        <v>1921.62477939174</v>
      </c>
      <c r="AG148" s="0" t="n">
        <f aca="false">W_PH(AG$2,$A148)</f>
        <v>1921.12764081503</v>
      </c>
      <c r="AH148" s="0" t="n">
        <f aca="false">W_PH(AH$2,$A148)</f>
        <v>1916.46992683788</v>
      </c>
      <c r="AI148" s="0" t="n">
        <f aca="false">W_PH(AI$2,$A148)</f>
        <v>1912.32499896473</v>
      </c>
      <c r="AJ148" s="0" t="n">
        <f aca="false">W_PH(AJ$2,$A148)</f>
        <v>1908.64566324924</v>
      </c>
      <c r="AK148" s="0" t="n">
        <f aca="false">W_PH(AK$2,$A148)</f>
        <v>1905.37377471958</v>
      </c>
      <c r="AL148" s="0" t="n">
        <f aca="false">W_PH(AL$2,$A148)</f>
        <v>1902.49977726919</v>
      </c>
      <c r="AM148" s="0" t="n">
        <f aca="false">W_PH(AM$2,$A148)</f>
        <v>1900.00835073168</v>
      </c>
      <c r="AN148" s="0" t="n">
        <f aca="false">W_PH(AN$2,$A148)</f>
        <v>1897.88826042069</v>
      </c>
      <c r="AO148" s="0" t="n">
        <f aca="false">W_PH(AO$2,$A148)</f>
        <v>1896.13151059422</v>
      </c>
      <c r="AP148" s="0" t="n">
        <f aca="false">W_PH(AP$2,$A148)</f>
        <v>1894.73224197073</v>
      </c>
      <c r="AQ148" s="0" t="n">
        <f aca="false">W_PH(AQ$2,$A148)</f>
        <v>1899.21582012608</v>
      </c>
      <c r="AR148" s="0" t="n">
        <f aca="false">W_PH(AR$2,$A148)</f>
        <v>1903.9448577957</v>
      </c>
      <c r="AS148" s="0" t="n">
        <f aca="false">W_PH(AS$2,$A148)</f>
        <v>1905.78164517658</v>
      </c>
    </row>
    <row r="149" customFormat="false" ht="12.8" hidden="false" customHeight="false" outlineLevel="0" collapsed="false">
      <c r="A149" s="0" t="n">
        <v>1328.46087704213</v>
      </c>
      <c r="B149" s="0" t="n">
        <f aca="false">W_PH(B$2,$A149)</f>
        <v>2015</v>
      </c>
      <c r="C149" s="0" t="n">
        <f aca="false">W_PH(C$2,$A149)</f>
        <v>1934.29315957064</v>
      </c>
      <c r="D149" s="0" t="n">
        <f aca="false">W_PH(D$2,$A149)</f>
        <v>1934.29261627177</v>
      </c>
      <c r="E149" s="0" t="n">
        <f aca="false">W_PH(E$2,$A149)</f>
        <v>1934.29207297981</v>
      </c>
      <c r="F149" s="0" t="n">
        <f aca="false">W_PH(F$2,$A149)</f>
        <v>1934.29152969476</v>
      </c>
      <c r="G149" s="0" t="n">
        <f aca="false">W_PH(G$2,$A149)</f>
        <v>1934.28609722443</v>
      </c>
      <c r="H149" s="0" t="n">
        <f aca="false">W_PH(H$2,$A149)</f>
        <v>1934.28066544517</v>
      </c>
      <c r="I149" s="0" t="n">
        <f aca="false">W_PH(I$2,$A149)</f>
        <v>1934.27523435684</v>
      </c>
      <c r="J149" s="0" t="n">
        <f aca="false">W_PH(J$2,$A149)</f>
        <v>1934.2698039593</v>
      </c>
      <c r="K149" s="0" t="n">
        <f aca="false">W_PH(K$2,$A149)</f>
        <v>1934.26437425242</v>
      </c>
      <c r="L149" s="0" t="n">
        <f aca="false">W_PH(L$2,$A149)</f>
        <v>1934.25894523604</v>
      </c>
      <c r="M149" s="0" t="n">
        <f aca="false">W_PH(M$2,$A149)</f>
        <v>1934.25351691004</v>
      </c>
      <c r="N149" s="0" t="n">
        <f aca="false">W_PH(N$2,$A149)</f>
        <v>1934.24808927428</v>
      </c>
      <c r="O149" s="0" t="n">
        <f aca="false">W_PH(O$2,$A149)</f>
        <v>1934.2426623286</v>
      </c>
      <c r="P149" s="0" t="n">
        <f aca="false">W_PH(P$2,$A149)</f>
        <v>1934.18843079633</v>
      </c>
      <c r="Q149" s="0" t="n">
        <f aca="false">W_PH(Q$2,$A149)</f>
        <v>1934.13426812021</v>
      </c>
      <c r="R149" s="0" t="n">
        <f aca="false">W_PH(R$2,$A149)</f>
        <v>1934.0801741613</v>
      </c>
      <c r="S149" s="0" t="n">
        <f aca="false">W_PH(S$2,$A149)</f>
        <v>1934.02614878101</v>
      </c>
      <c r="T149" s="0" t="n">
        <f aca="false">W_PH(T$2,$A149)</f>
        <v>1933.9721918411</v>
      </c>
      <c r="U149" s="0" t="n">
        <f aca="false">W_PH(U$2,$A149)</f>
        <v>1933.91830320367</v>
      </c>
      <c r="V149" s="0" t="n">
        <f aca="false">W_PH(V$2,$A149)</f>
        <v>1933.86448273115</v>
      </c>
      <c r="W149" s="0" t="n">
        <f aca="false">W_PH(W$2,$A149)</f>
        <v>1933.81073028634</v>
      </c>
      <c r="X149" s="0" t="n">
        <f aca="false">W_PH(X$2,$A149)</f>
        <v>1933.75704573235</v>
      </c>
      <c r="Y149" s="0" t="n">
        <f aca="false">W_PH(Y$2,$A149)</f>
        <v>1933.22390431383</v>
      </c>
      <c r="Z149" s="0" t="n">
        <f aca="false">W_PH(Z$2,$A149)</f>
        <v>1932.69740387595</v>
      </c>
      <c r="AA149" s="0" t="n">
        <f aca="false">W_PH(AA$2,$A149)</f>
        <v>1932.17741294652</v>
      </c>
      <c r="AB149" s="0" t="n">
        <f aca="false">W_PH(AB$2,$A149)</f>
        <v>1931.66380324521</v>
      </c>
      <c r="AC149" s="0" t="n">
        <f aca="false">W_PH(AC$2,$A149)</f>
        <v>1931.15644967258</v>
      </c>
      <c r="AD149" s="0" t="n">
        <f aca="false">W_PH(AD$2,$A149)</f>
        <v>1930.65523034302</v>
      </c>
      <c r="AE149" s="0" t="n">
        <f aca="false">W_PH(AE$2,$A149)</f>
        <v>1930.16002665615</v>
      </c>
      <c r="AF149" s="0" t="n">
        <f aca="false">W_PH(AF$2,$A149)</f>
        <v>1929.67072340056</v>
      </c>
      <c r="AG149" s="0" t="n">
        <f aca="false">W_PH(AG$2,$A149)</f>
        <v>1929.18720888442</v>
      </c>
      <c r="AH149" s="0" t="n">
        <f aca="false">W_PH(AH$2,$A149)</f>
        <v>1924.64871795983</v>
      </c>
      <c r="AI149" s="0" t="n">
        <f aca="false">W_PH(AI$2,$A149)</f>
        <v>1920.59819947604</v>
      </c>
      <c r="AJ149" s="0" t="n">
        <f aca="false">W_PH(AJ$2,$A149)</f>
        <v>1916.99325390561</v>
      </c>
      <c r="AK149" s="0" t="n">
        <f aca="false">W_PH(AK$2,$A149)</f>
        <v>1913.78640323433</v>
      </c>
      <c r="AL149" s="0" t="n">
        <f aca="false">W_PH(AL$2,$A149)</f>
        <v>1910.96430634444</v>
      </c>
      <c r="AM149" s="0" t="n">
        <f aca="false">W_PH(AM$2,$A149)</f>
        <v>1908.51393162576</v>
      </c>
      <c r="AN149" s="0" t="n">
        <f aca="false">W_PH(AN$2,$A149)</f>
        <v>1906.42556494426</v>
      </c>
      <c r="AO149" s="0" t="n">
        <f aca="false">W_PH(AO$2,$A149)</f>
        <v>1904.69215214668</v>
      </c>
      <c r="AP149" s="0" t="n">
        <f aca="false">W_PH(AP$2,$A149)</f>
        <v>1903.30840133798</v>
      </c>
      <c r="AQ149" s="0" t="n">
        <f aca="false">W_PH(AQ$2,$A149)</f>
        <v>1907.59714226727</v>
      </c>
      <c r="AR149" s="0" t="n">
        <f aca="false">W_PH(AR$2,$A149)</f>
        <v>1912.22949724303</v>
      </c>
      <c r="AS149" s="0" t="n">
        <f aca="false">W_PH(AS$2,$A149)</f>
        <v>1914.03103313161</v>
      </c>
    </row>
    <row r="150" customFormat="false" ht="12.8" hidden="false" customHeight="false" outlineLevel="0" collapsed="false">
      <c r="A150" s="0" t="n">
        <v>1332.76010318143</v>
      </c>
      <c r="B150" s="0" t="n">
        <f aca="false">W_PH(B$2,$A150)</f>
        <v>2015</v>
      </c>
      <c r="C150" s="0" t="n">
        <f aca="false">W_PH(C$2,$A150)</f>
        <v>1942.14731969801</v>
      </c>
      <c r="D150" s="0" t="n">
        <f aca="false">W_PH(D$2,$A150)</f>
        <v>1942.14679324014</v>
      </c>
      <c r="E150" s="0" t="n">
        <f aca="false">W_PH(E$2,$A150)</f>
        <v>1942.14626678876</v>
      </c>
      <c r="F150" s="0" t="n">
        <f aca="false">W_PH(F$2,$A150)</f>
        <v>1942.14574034386</v>
      </c>
      <c r="G150" s="0" t="n">
        <f aca="false">W_PH(G$2,$A150)</f>
        <v>1942.14047625174</v>
      </c>
      <c r="H150" s="0" t="n">
        <f aca="false">W_PH(H$2,$A150)</f>
        <v>1942.13521280829</v>
      </c>
      <c r="I150" s="0" t="n">
        <f aca="false">W_PH(I$2,$A150)</f>
        <v>1942.12995001337</v>
      </c>
      <c r="J150" s="0" t="n">
        <f aca="false">W_PH(J$2,$A150)</f>
        <v>1942.12468786686</v>
      </c>
      <c r="K150" s="0" t="n">
        <f aca="false">W_PH(K$2,$A150)</f>
        <v>1942.11942636863</v>
      </c>
      <c r="L150" s="0" t="n">
        <f aca="false">W_PH(L$2,$A150)</f>
        <v>1942.11416551855</v>
      </c>
      <c r="M150" s="0" t="n">
        <f aca="false">W_PH(M$2,$A150)</f>
        <v>1942.10890531649</v>
      </c>
      <c r="N150" s="0" t="n">
        <f aca="false">W_PH(N$2,$A150)</f>
        <v>1942.10364576233</v>
      </c>
      <c r="O150" s="0" t="n">
        <f aca="false">W_PH(O$2,$A150)</f>
        <v>1942.09838685593</v>
      </c>
      <c r="P150" s="0" t="n">
        <f aca="false">W_PH(P$2,$A150)</f>
        <v>1942.04583339072</v>
      </c>
      <c r="Q150" s="0" t="n">
        <f aca="false">W_PH(Q$2,$A150)</f>
        <v>1941.99334456075</v>
      </c>
      <c r="R150" s="0" t="n">
        <f aca="false">W_PH(R$2,$A150)</f>
        <v>1941.94092023797</v>
      </c>
      <c r="S150" s="0" t="n">
        <f aca="false">W_PH(S$2,$A150)</f>
        <v>1941.88856029466</v>
      </c>
      <c r="T150" s="0" t="n">
        <f aca="false">W_PH(T$2,$A150)</f>
        <v>1941.83626460348</v>
      </c>
      <c r="U150" s="0" t="n">
        <f aca="false">W_PH(U$2,$A150)</f>
        <v>1941.78403303741</v>
      </c>
      <c r="V150" s="0" t="n">
        <f aca="false">W_PH(V$2,$A150)</f>
        <v>1941.73186546979</v>
      </c>
      <c r="W150" s="0" t="n">
        <f aca="false">W_PH(W$2,$A150)</f>
        <v>1941.67976177428</v>
      </c>
      <c r="X150" s="0" t="n">
        <f aca="false">W_PH(X$2,$A150)</f>
        <v>1941.62772182491</v>
      </c>
      <c r="Y150" s="0" t="n">
        <f aca="false">W_PH(Y$2,$A150)</f>
        <v>1941.11080089324</v>
      </c>
      <c r="Z150" s="0" t="n">
        <f aca="false">W_PH(Z$2,$A150)</f>
        <v>1940.60011847405</v>
      </c>
      <c r="AA150" s="0" t="n">
        <f aca="false">W_PH(AA$2,$A150)</f>
        <v>1940.09555402282</v>
      </c>
      <c r="AB150" s="0" t="n">
        <f aca="false">W_PH(AB$2,$A150)</f>
        <v>1939.5969901947</v>
      </c>
      <c r="AC150" s="0" t="n">
        <f aca="false">W_PH(AC$2,$A150)</f>
        <v>1939.10431281482</v>
      </c>
      <c r="AD150" s="0" t="n">
        <f aca="false">W_PH(AD$2,$A150)</f>
        <v>1938.61741088585</v>
      </c>
      <c r="AE150" s="0" t="n">
        <f aca="false">W_PH(AE$2,$A150)</f>
        <v>1938.1361766279</v>
      </c>
      <c r="AF150" s="0" t="n">
        <f aca="false">W_PH(AF$2,$A150)</f>
        <v>1937.66050554608</v>
      </c>
      <c r="AG150" s="0" t="n">
        <f aca="false">W_PH(AG$2,$A150)</f>
        <v>1937.1902965211</v>
      </c>
      <c r="AH150" s="0" t="n">
        <f aca="false">W_PH(AH$2,$A150)</f>
        <v>1932.7690287164</v>
      </c>
      <c r="AI150" s="0" t="n">
        <f aca="false">W_PH(AI$2,$A150)</f>
        <v>1928.81212449459</v>
      </c>
      <c r="AJ150" s="0" t="n">
        <f aca="false">W_PH(AJ$2,$A150)</f>
        <v>1925.28145689532</v>
      </c>
      <c r="AK150" s="0" t="n">
        <f aca="false">W_PH(AK$2,$A150)</f>
        <v>1922.13964173855</v>
      </c>
      <c r="AL150" s="0" t="n">
        <f aca="false">W_PH(AL$2,$A150)</f>
        <v>1919.36981389366</v>
      </c>
      <c r="AM150" s="0" t="n">
        <f aca="false">W_PH(AM$2,$A150)</f>
        <v>1916.96102251287</v>
      </c>
      <c r="AN150" s="0" t="n">
        <f aca="false">W_PH(AN$2,$A150)</f>
        <v>1914.90499313026</v>
      </c>
      <c r="AO150" s="0" t="n">
        <f aca="false">W_PH(AO$2,$A150)</f>
        <v>1913.19560941232</v>
      </c>
      <c r="AP150" s="0" t="n">
        <f aca="false">W_PH(AP$2,$A150)</f>
        <v>1911.82818020465</v>
      </c>
      <c r="AQ150" s="0" t="n">
        <f aca="false">W_PH(AQ$2,$A150)</f>
        <v>1915.93907695471</v>
      </c>
      <c r="AR150" s="0" t="n">
        <f aca="false">W_PH(AR$2,$A150)</f>
        <v>1920.47931557479</v>
      </c>
      <c r="AS150" s="0" t="n">
        <f aca="false">W_PH(AS$2,$A150)</f>
        <v>1922.24721836174</v>
      </c>
    </row>
    <row r="151" customFormat="false" ht="12.8" hidden="false" customHeight="false" outlineLevel="0" collapsed="false">
      <c r="A151" s="0" t="n">
        <v>1337.05932932072</v>
      </c>
      <c r="B151" s="0" t="n">
        <f aca="false">W_PH(B$2,$A151)</f>
        <v>2015</v>
      </c>
      <c r="C151" s="0" t="n">
        <f aca="false">W_PH(C$2,$A151)</f>
        <v>1949.95040285038</v>
      </c>
      <c r="D151" s="0" t="n">
        <f aca="false">W_PH(D$2,$A151)</f>
        <v>1949.9498925992</v>
      </c>
      <c r="E151" s="0" t="n">
        <f aca="false">W_PH(E$2,$A151)</f>
        <v>1949.94938235411</v>
      </c>
      <c r="F151" s="0" t="n">
        <f aca="false">W_PH(F$2,$A151)</f>
        <v>1949.94887211513</v>
      </c>
      <c r="G151" s="0" t="n">
        <f aca="false">W_PH(G$2,$A151)</f>
        <v>1949.943770061</v>
      </c>
      <c r="H151" s="0" t="n">
        <f aca="false">W_PH(H$2,$A151)</f>
        <v>1949.93866861711</v>
      </c>
      <c r="I151" s="0" t="n">
        <f aca="false">W_PH(I$2,$A151)</f>
        <v>1949.93356778335</v>
      </c>
      <c r="J151" s="0" t="n">
        <f aca="false">W_PH(J$2,$A151)</f>
        <v>1949.92846755959</v>
      </c>
      <c r="K151" s="0" t="n">
        <f aca="false">W_PH(K$2,$A151)</f>
        <v>1949.92336794571</v>
      </c>
      <c r="L151" s="0" t="n">
        <f aca="false">W_PH(L$2,$A151)</f>
        <v>1949.9182689416</v>
      </c>
      <c r="M151" s="0" t="n">
        <f aca="false">W_PH(M$2,$A151)</f>
        <v>1949.91317054713</v>
      </c>
      <c r="N151" s="0" t="n">
        <f aca="false">W_PH(N$2,$A151)</f>
        <v>1949.90807276218</v>
      </c>
      <c r="O151" s="0" t="n">
        <f aca="false">W_PH(O$2,$A151)</f>
        <v>1949.90297558665</v>
      </c>
      <c r="P151" s="0" t="n">
        <f aca="false">W_PH(P$2,$A151)</f>
        <v>1949.85203732248</v>
      </c>
      <c r="Q151" s="0" t="n">
        <f aca="false">W_PH(Q$2,$A151)</f>
        <v>1949.80115986816</v>
      </c>
      <c r="R151" s="0" t="n">
        <f aca="false">W_PH(R$2,$A151)</f>
        <v>1949.75034310511</v>
      </c>
      <c r="S151" s="0" t="n">
        <f aca="false">W_PH(S$2,$A151)</f>
        <v>1949.69958691508</v>
      </c>
      <c r="T151" s="0" t="n">
        <f aca="false">W_PH(T$2,$A151)</f>
        <v>1949.64889118017</v>
      </c>
      <c r="U151" s="0" t="n">
        <f aca="false">W_PH(U$2,$A151)</f>
        <v>1949.59825578282</v>
      </c>
      <c r="V151" s="0" t="n">
        <f aca="false">W_PH(V$2,$A151)</f>
        <v>1949.54768060582</v>
      </c>
      <c r="W151" s="0" t="n">
        <f aca="false">W_PH(W$2,$A151)</f>
        <v>1949.4971655323</v>
      </c>
      <c r="X151" s="0" t="n">
        <f aca="false">W_PH(X$2,$A151)</f>
        <v>1949.44671044574</v>
      </c>
      <c r="Y151" s="0" t="n">
        <f aca="false">W_PH(Y$2,$A151)</f>
        <v>1948.9454334656</v>
      </c>
      <c r="Z151" s="0" t="n">
        <f aca="false">W_PH(Z$2,$A151)</f>
        <v>1948.45002946867</v>
      </c>
      <c r="AA151" s="0" t="n">
        <f aca="false">W_PH(AA$2,$A151)</f>
        <v>1947.96038734293</v>
      </c>
      <c r="AB151" s="0" t="n">
        <f aca="false">W_PH(AB$2,$A151)</f>
        <v>1947.47639915625</v>
      </c>
      <c r="AC151" s="0" t="n">
        <f aca="false">W_PH(AC$2,$A151)</f>
        <v>1946.99796011293</v>
      </c>
      <c r="AD151" s="0" t="n">
        <f aca="false">W_PH(AD$2,$A151)</f>
        <v>1946.52496854169</v>
      </c>
      <c r="AE151" s="0" t="n">
        <f aca="false">W_PH(AE$2,$A151)</f>
        <v>1946.05732591097</v>
      </c>
      <c r="AF151" s="0" t="n">
        <f aca="false">W_PH(AF$2,$A151)</f>
        <v>1945.5949368678</v>
      </c>
      <c r="AG151" s="0" t="n">
        <f aca="false">W_PH(AG$2,$A151)</f>
        <v>1945.13770929635</v>
      </c>
      <c r="AH151" s="0" t="n">
        <f aca="false">W_PH(AH$2,$A151)</f>
        <v>1940.83153528971</v>
      </c>
      <c r="AI151" s="0" t="n">
        <f aca="false">W_PH(AI$2,$A151)</f>
        <v>1936.96732759411</v>
      </c>
      <c r="AJ151" s="0" t="n">
        <f aca="false">W_PH(AJ$2,$A151)</f>
        <v>1933.51076672085</v>
      </c>
      <c r="AK151" s="0" t="n">
        <f aca="false">W_PH(AK$2,$A151)</f>
        <v>1930.43387075934</v>
      </c>
      <c r="AL151" s="0" t="n">
        <f aca="false">W_PH(AL$2,$A151)</f>
        <v>1927.71660286896</v>
      </c>
      <c r="AM151" s="0" t="n">
        <f aca="false">W_PH(AM$2,$A151)</f>
        <v>1925.34989167869</v>
      </c>
      <c r="AN151" s="0" t="n">
        <f aca="false">W_PH(AN$2,$A151)</f>
        <v>1923.32681270552</v>
      </c>
      <c r="AO151" s="0" t="n">
        <f aca="false">W_PH(AO$2,$A151)</f>
        <v>1921.64216902379</v>
      </c>
      <c r="AP151" s="0" t="n">
        <f aca="false">W_PH(AP$2,$A151)</f>
        <v>1920.29188889615</v>
      </c>
      <c r="AQ151" s="0" t="n">
        <f aca="false">W_PH(AQ$2,$A151)</f>
        <v>1924.24160342701</v>
      </c>
      <c r="AR151" s="0" t="n">
        <f aca="false">W_PH(AR$2,$A151)</f>
        <v>1928.69408101766</v>
      </c>
      <c r="AS151" s="0" t="n">
        <f aca="false">W_PH(AS$2,$A151)</f>
        <v>1930.42984263761</v>
      </c>
    </row>
    <row r="152" customFormat="false" ht="12.8" hidden="false" customHeight="false" outlineLevel="0" collapsed="false">
      <c r="A152" s="0" t="n">
        <v>1341.35855546002</v>
      </c>
      <c r="B152" s="0" t="n">
        <f aca="false">W_PH(B$2,$A152)</f>
        <v>2015</v>
      </c>
      <c r="C152" s="0" t="n">
        <f aca="false">W_PH(C$2,$A152)</f>
        <v>1957.70309967577</v>
      </c>
      <c r="D152" s="0" t="n">
        <f aca="false">W_PH(D$2,$A152)</f>
        <v>1957.70260502777</v>
      </c>
      <c r="E152" s="0" t="n">
        <f aca="false">W_PH(E$2,$A152)</f>
        <v>1957.70211038552</v>
      </c>
      <c r="F152" s="0" t="n">
        <f aca="false">W_PH(F$2,$A152)</f>
        <v>1957.70161574903</v>
      </c>
      <c r="G152" s="0" t="n">
        <f aca="false">W_PH(G$2,$A152)</f>
        <v>1957.6966697006</v>
      </c>
      <c r="H152" s="0" t="n">
        <f aca="false">W_PH(H$2,$A152)</f>
        <v>1957.69172422747</v>
      </c>
      <c r="I152" s="0" t="n">
        <f aca="false">W_PH(I$2,$A152)</f>
        <v>1957.68677932955</v>
      </c>
      <c r="J152" s="0" t="n">
        <f aca="false">W_PH(J$2,$A152)</f>
        <v>1957.68183500671</v>
      </c>
      <c r="K152" s="0" t="n">
        <f aca="false">W_PH(K$2,$A152)</f>
        <v>1957.67689125886</v>
      </c>
      <c r="L152" s="0" t="n">
        <f aca="false">W_PH(L$2,$A152)</f>
        <v>1957.67194808587</v>
      </c>
      <c r="M152" s="0" t="n">
        <f aca="false">W_PH(M$2,$A152)</f>
        <v>1957.66700548764</v>
      </c>
      <c r="N152" s="0" t="n">
        <f aca="false">W_PH(N$2,$A152)</f>
        <v>1957.66206346406</v>
      </c>
      <c r="O152" s="0" t="n">
        <f aca="false">W_PH(O$2,$A152)</f>
        <v>1957.65712201501</v>
      </c>
      <c r="P152" s="0" t="n">
        <f aca="false">W_PH(P$2,$A152)</f>
        <v>1957.60773909963</v>
      </c>
      <c r="Q152" s="0" t="n">
        <f aca="false">W_PH(Q$2,$A152)</f>
        <v>1957.55841351612</v>
      </c>
      <c r="R152" s="0" t="n">
        <f aca="false">W_PH(R$2,$A152)</f>
        <v>1957.50914515422</v>
      </c>
      <c r="S152" s="0" t="n">
        <f aca="false">W_PH(S$2,$A152)</f>
        <v>1957.45993390398</v>
      </c>
      <c r="T152" s="0" t="n">
        <f aca="false">W_PH(T$2,$A152)</f>
        <v>1957.41077965581</v>
      </c>
      <c r="U152" s="0" t="n">
        <f aca="false">W_PH(U$2,$A152)</f>
        <v>1957.36168230046</v>
      </c>
      <c r="V152" s="0" t="n">
        <f aca="false">W_PH(V$2,$A152)</f>
        <v>1957.31264172901</v>
      </c>
      <c r="W152" s="0" t="n">
        <f aca="false">W_PH(W$2,$A152)</f>
        <v>1957.26365783288</v>
      </c>
      <c r="X152" s="0" t="n">
        <f aca="false">W_PH(X$2,$A152)</f>
        <v>1957.21473050383</v>
      </c>
      <c r="Y152" s="0" t="n">
        <f aca="false">W_PH(Y$2,$A152)</f>
        <v>1956.72854482589</v>
      </c>
      <c r="Z152" s="0" t="n">
        <f aca="false">W_PH(Z$2,$A152)</f>
        <v>1956.24789922884</v>
      </c>
      <c r="AA152" s="0" t="n">
        <f aca="false">W_PH(AA$2,$A152)</f>
        <v>1955.77269081963</v>
      </c>
      <c r="AB152" s="0" t="n">
        <f aca="false">W_PH(AB$2,$A152)</f>
        <v>1955.30281983953</v>
      </c>
      <c r="AC152" s="0" t="n">
        <f aca="false">W_PH(AC$2,$A152)</f>
        <v>1954.8381896109</v>
      </c>
      <c r="AD152" s="0" t="n">
        <f aca="false">W_PH(AD$2,$A152)</f>
        <v>1954.37870651032</v>
      </c>
      <c r="AE152" s="0" t="n">
        <f aca="false">W_PH(AE$2,$A152)</f>
        <v>1953.92427996502</v>
      </c>
      <c r="AF152" s="0" t="n">
        <f aca="false">W_PH(AF$2,$A152)</f>
        <v>1953.47482246922</v>
      </c>
      <c r="AG152" s="0" t="n">
        <f aca="false">W_PH(AG$2,$A152)</f>
        <v>1953.03024961749</v>
      </c>
      <c r="AH152" s="0" t="n">
        <f aca="false">W_PH(AH$2,$A152)</f>
        <v>1948.83693952207</v>
      </c>
      <c r="AI152" s="0" t="n">
        <f aca="false">W_PH(AI$2,$A152)</f>
        <v>1945.06440391071</v>
      </c>
      <c r="AJ152" s="0" t="n">
        <f aca="false">W_PH(AJ$2,$A152)</f>
        <v>1941.68171649249</v>
      </c>
      <c r="AK152" s="0" t="n">
        <f aca="false">W_PH(AK$2,$A152)</f>
        <v>1938.66951978896</v>
      </c>
      <c r="AL152" s="0" t="n">
        <f aca="false">W_PH(AL$2,$A152)</f>
        <v>1936.00502604188</v>
      </c>
      <c r="AM152" s="0" t="n">
        <f aca="false">W_PH(AM$2,$A152)</f>
        <v>1933.68085127523</v>
      </c>
      <c r="AN152" s="0" t="n">
        <f aca="false">W_PH(AN$2,$A152)</f>
        <v>1931.69132587413</v>
      </c>
      <c r="AO152" s="0" t="n">
        <f aca="false">W_PH(AO$2,$A152)</f>
        <v>1930.03214212498</v>
      </c>
      <c r="AP152" s="0" t="n">
        <f aca="false">W_PH(AP$2,$A152)</f>
        <v>1928.69985361077</v>
      </c>
      <c r="AQ152" s="0" t="n">
        <f aca="false">W_PH(AQ$2,$A152)</f>
        <v>1932.50467927191</v>
      </c>
      <c r="AR152" s="0" t="n">
        <f aca="false">W_PH(AR$2,$A152)</f>
        <v>1936.87358136109</v>
      </c>
      <c r="AS152" s="0" t="n">
        <f aca="false">W_PH(AS$2,$A152)</f>
        <v>1938.57860390183</v>
      </c>
    </row>
    <row r="153" customFormat="false" ht="12.8" hidden="false" customHeight="false" outlineLevel="0" collapsed="false">
      <c r="A153" s="0" t="n">
        <v>1345.65778159931</v>
      </c>
      <c r="B153" s="0" t="n">
        <f aca="false">W_PH(B$2,$A153)</f>
        <v>2015</v>
      </c>
      <c r="C153" s="0" t="n">
        <f aca="false">W_PH(C$2,$A153)</f>
        <v>1965.40608565224</v>
      </c>
      <c r="D153" s="0" t="n">
        <f aca="false">W_PH(D$2,$A153)</f>
        <v>1965.40560603344</v>
      </c>
      <c r="E153" s="0" t="n">
        <f aca="false">W_PH(E$2,$A153)</f>
        <v>1965.40512642008</v>
      </c>
      <c r="F153" s="0" t="n">
        <f aca="false">W_PH(F$2,$A153)</f>
        <v>1965.40464681215</v>
      </c>
      <c r="G153" s="0" t="n">
        <f aca="false">W_PH(G$2,$A153)</f>
        <v>1965.3998510318</v>
      </c>
      <c r="H153" s="0" t="n">
        <f aca="false">W_PH(H$2,$A153)</f>
        <v>1965.3950557949</v>
      </c>
      <c r="I153" s="0" t="n">
        <f aca="false">W_PH(I$2,$A153)</f>
        <v>1965.39026110136</v>
      </c>
      <c r="J153" s="0" t="n">
        <f aca="false">W_PH(J$2,$A153)</f>
        <v>1965.38546695107</v>
      </c>
      <c r="K153" s="0" t="n">
        <f aca="false">W_PH(K$2,$A153)</f>
        <v>1965.38067334392</v>
      </c>
      <c r="L153" s="0" t="n">
        <f aca="false">W_PH(L$2,$A153)</f>
        <v>1965.37588027981</v>
      </c>
      <c r="M153" s="0" t="n">
        <f aca="false">W_PH(M$2,$A153)</f>
        <v>1965.37108775864</v>
      </c>
      <c r="N153" s="0" t="n">
        <f aca="false">W_PH(N$2,$A153)</f>
        <v>1965.3662957803</v>
      </c>
      <c r="O153" s="0" t="n">
        <f aca="false">W_PH(O$2,$A153)</f>
        <v>1965.36150434469</v>
      </c>
      <c r="P153" s="0" t="n">
        <f aca="false">W_PH(P$2,$A153)</f>
        <v>1965.31361981607</v>
      </c>
      <c r="Q153" s="0" t="n">
        <f aca="false">W_PH(Q$2,$A153)</f>
        <v>1965.26578944697</v>
      </c>
      <c r="R153" s="0" t="n">
        <f aca="false">W_PH(R$2,$A153)</f>
        <v>1965.21801313448</v>
      </c>
      <c r="S153" s="0" t="n">
        <f aca="false">W_PH(S$2,$A153)</f>
        <v>1965.17029077606</v>
      </c>
      <c r="T153" s="0" t="n">
        <f aca="false">W_PH(T$2,$A153)</f>
        <v>1965.12262226948</v>
      </c>
      <c r="U153" s="0" t="n">
        <f aca="false">W_PH(U$2,$A153)</f>
        <v>1965.07500751285</v>
      </c>
      <c r="V153" s="0" t="n">
        <f aca="false">W_PH(V$2,$A153)</f>
        <v>1965.02744640461</v>
      </c>
      <c r="W153" s="0" t="n">
        <f aca="false">W_PH(W$2,$A153)</f>
        <v>1964.97993884354</v>
      </c>
      <c r="X153" s="0" t="n">
        <f aca="false">W_PH(X$2,$A153)</f>
        <v>1964.93248472874</v>
      </c>
      <c r="Y153" s="0" t="n">
        <f aca="false">W_PH(Y$2,$A153)</f>
        <v>1964.4608611592</v>
      </c>
      <c r="Z153" s="0" t="n">
        <f aca="false">W_PH(Z$2,$A153)</f>
        <v>1963.99447361679</v>
      </c>
      <c r="AA153" s="0" t="n">
        <f aca="false">W_PH(AA$2,$A153)</f>
        <v>1963.53322644156</v>
      </c>
      <c r="AB153" s="0" t="n">
        <f aca="false">W_PH(AB$2,$A153)</f>
        <v>1963.07702703938</v>
      </c>
      <c r="AC153" s="0" t="n">
        <f aca="false">W_PH(AC$2,$A153)</f>
        <v>1962.62578582209</v>
      </c>
      <c r="AD153" s="0" t="n">
        <f aca="false">W_PH(AD$2,$A153)</f>
        <v>1962.17941616977</v>
      </c>
      <c r="AE153" s="0" t="n">
        <f aca="false">W_PH(AE$2,$A153)</f>
        <v>1961.73783441282</v>
      </c>
      <c r="AF153" s="0" t="n">
        <f aca="false">W_PH(AF$2,$A153)</f>
        <v>1961.30095983099</v>
      </c>
      <c r="AG153" s="0" t="n">
        <f aca="false">W_PH(AG$2,$A153)</f>
        <v>1960.86871466702</v>
      </c>
      <c r="AH153" s="0" t="n">
        <f aca="false">W_PH(AH$2,$A153)</f>
        <v>1956.78596396087</v>
      </c>
      <c r="AI153" s="0" t="n">
        <f aca="false">W_PH(AI$2,$A153)</f>
        <v>1953.10398394803</v>
      </c>
      <c r="AJ153" s="0" t="n">
        <f aca="false">W_PH(AJ$2,$A153)</f>
        <v>1949.79487289468</v>
      </c>
      <c r="AK153" s="0" t="n">
        <f aca="false">W_PH(AK$2,$A153)</f>
        <v>1946.84706255542</v>
      </c>
      <c r="AL153" s="0" t="n">
        <f aca="false">W_PH(AL$2,$A153)</f>
        <v>1944.23548252162</v>
      </c>
      <c r="AM153" s="0" t="n">
        <f aca="false">W_PH(AM$2,$A153)</f>
        <v>1941.95425525675</v>
      </c>
      <c r="AN153" s="0" t="n">
        <f aca="false">W_PH(AN$2,$A153)</f>
        <v>1939.99886832808</v>
      </c>
      <c r="AO153" s="0" t="n">
        <f aca="false">W_PH(AO$2,$A153)</f>
        <v>1938.36586388705</v>
      </c>
      <c r="AP153" s="0" t="n">
        <f aca="false">W_PH(AP$2,$A153)</f>
        <v>1937.0524158762</v>
      </c>
      <c r="AQ153" s="0" t="n">
        <f aca="false">W_PH(AQ$2,$A153)</f>
        <v>1940.72823990036</v>
      </c>
      <c r="AR153" s="0" t="n">
        <f aca="false">W_PH(AR$2,$A153)</f>
        <v>1945.01760385127</v>
      </c>
      <c r="AS153" s="0" t="n">
        <f aca="false">W_PH(AS$2,$A153)</f>
        <v>1946.69322215347</v>
      </c>
    </row>
    <row r="154" customFormat="false" ht="12.8" hidden="false" customHeight="false" outlineLevel="0" collapsed="false">
      <c r="A154" s="0" t="n">
        <v>1349.95700773861</v>
      </c>
      <c r="B154" s="0" t="n">
        <f aca="false">W_PH(B$2,$A154)</f>
        <v>2015</v>
      </c>
      <c r="C154" s="0" t="n">
        <f aca="false">W_PH(C$2,$A154)</f>
        <v>1973.06002166494</v>
      </c>
      <c r="D154" s="0" t="n">
        <f aca="false">W_PH(D$2,$A154)</f>
        <v>1973.05955652953</v>
      </c>
      <c r="E154" s="0" t="n">
        <f aca="false">W_PH(E$2,$A154)</f>
        <v>1973.05909139926</v>
      </c>
      <c r="F154" s="0" t="n">
        <f aca="false">W_PH(F$2,$A154)</f>
        <v>1973.05862627414</v>
      </c>
      <c r="G154" s="0" t="n">
        <f aca="false">W_PH(G$2,$A154)</f>
        <v>1973.05397530584</v>
      </c>
      <c r="H154" s="0" t="n">
        <f aca="false">W_PH(H$2,$A154)</f>
        <v>1973.04932485184</v>
      </c>
      <c r="I154" s="0" t="n">
        <f aca="false">W_PH(I$2,$A154)</f>
        <v>1973.04467491205</v>
      </c>
      <c r="J154" s="0" t="n">
        <f aca="false">W_PH(J$2,$A154)</f>
        <v>1973.04002548637</v>
      </c>
      <c r="K154" s="0" t="n">
        <f aca="false">W_PH(K$2,$A154)</f>
        <v>1973.0353765747</v>
      </c>
      <c r="L154" s="0" t="n">
        <f aca="false">W_PH(L$2,$A154)</f>
        <v>1973.03072817695</v>
      </c>
      <c r="M154" s="0" t="n">
        <f aca="false">W_PH(M$2,$A154)</f>
        <v>1973.02608029303</v>
      </c>
      <c r="N154" s="0" t="n">
        <f aca="false">W_PH(N$2,$A154)</f>
        <v>1973.02143292282</v>
      </c>
      <c r="O154" s="0" t="n">
        <f aca="false">W_PH(O$2,$A154)</f>
        <v>1973.01678606625</v>
      </c>
      <c r="P154" s="0" t="n">
        <f aca="false">W_PH(P$2,$A154)</f>
        <v>1972.97034572872</v>
      </c>
      <c r="Q154" s="0" t="n">
        <f aca="false">W_PH(Q$2,$A154)</f>
        <v>1972.92395664769</v>
      </c>
      <c r="R154" s="0" t="n">
        <f aca="false">W_PH(R$2,$A154)</f>
        <v>1972.87761872689</v>
      </c>
      <c r="S154" s="0" t="n">
        <f aca="false">W_PH(S$2,$A154)</f>
        <v>1972.83133187039</v>
      </c>
      <c r="T154" s="0" t="n">
        <f aca="false">W_PH(T$2,$A154)</f>
        <v>1972.78509598257</v>
      </c>
      <c r="U154" s="0" t="n">
        <f aca="false">W_PH(U$2,$A154)</f>
        <v>1972.73891096817</v>
      </c>
      <c r="V154" s="0" t="n">
        <f aca="false">W_PH(V$2,$A154)</f>
        <v>1972.6927767322</v>
      </c>
      <c r="W154" s="0" t="n">
        <f aca="false">W_PH(W$2,$A154)</f>
        <v>1972.64669318003</v>
      </c>
      <c r="X154" s="0" t="n">
        <f aca="false">W_PH(X$2,$A154)</f>
        <v>1972.60066021733</v>
      </c>
      <c r="Y154" s="0" t="n">
        <f aca="false">W_PH(Y$2,$A154)</f>
        <v>1972.14309248574</v>
      </c>
      <c r="Z154" s="0" t="n">
        <f aca="false">W_PH(Z$2,$A154)</f>
        <v>1971.69048226974</v>
      </c>
      <c r="AA154" s="0" t="n">
        <f aca="false">W_PH(AA$2,$A154)</f>
        <v>1971.24274033994</v>
      </c>
      <c r="AB154" s="0" t="n">
        <f aca="false">W_PH(AB$2,$A154)</f>
        <v>1970.79978044485</v>
      </c>
      <c r="AC154" s="0" t="n">
        <f aca="false">W_PH(AC$2,$A154)</f>
        <v>1970.36151924674</v>
      </c>
      <c r="AD154" s="0" t="n">
        <f aca="false">W_PH(AD$2,$A154)</f>
        <v>1969.92787627642</v>
      </c>
      <c r="AE154" s="0" t="n">
        <f aca="false">W_PH(AE$2,$A154)</f>
        <v>1969.49877390455</v>
      </c>
      <c r="AF154" s="0" t="n">
        <f aca="false">W_PH(AF$2,$A154)</f>
        <v>1969.07413732772</v>
      </c>
      <c r="AG154" s="0" t="n">
        <f aca="false">W_PH(AG$2,$A154)</f>
        <v>1968.65389456684</v>
      </c>
      <c r="AH154" s="0" t="n">
        <f aca="false">W_PH(AH$2,$A154)</f>
        <v>1964.67934711342</v>
      </c>
      <c r="AI154" s="0" t="n">
        <f aca="false">W_PH(AI$2,$A154)</f>
        <v>1961.08672756465</v>
      </c>
      <c r="AJ154" s="0" t="n">
        <f aca="false">W_PH(AJ$2,$A154)</f>
        <v>1957.85083135289</v>
      </c>
      <c r="AK154" s="0" t="n">
        <f aca="false">W_PH(AK$2,$A154)</f>
        <v>1954.96701215567</v>
      </c>
      <c r="AL154" s="0" t="n">
        <f aca="false">W_PH(AL$2,$A154)</f>
        <v>1952.40841386342</v>
      </c>
      <c r="AM154" s="0" t="n">
        <f aca="false">W_PH(AM$2,$A154)</f>
        <v>1950.17049680774</v>
      </c>
      <c r="AN154" s="0" t="n">
        <f aca="false">W_PH(AN$2,$A154)</f>
        <v>1948.24980784075</v>
      </c>
      <c r="AO154" s="0" t="n">
        <f aca="false">W_PH(AO$2,$A154)</f>
        <v>1946.64369284648</v>
      </c>
      <c r="AP154" s="0" t="n">
        <f aca="false">W_PH(AP$2,$A154)</f>
        <v>1945.34993214829</v>
      </c>
      <c r="AQ154" s="0" t="n">
        <f aca="false">W_PH(AQ$2,$A154)</f>
        <v>1948.91220030853</v>
      </c>
      <c r="AR154" s="0" t="n">
        <f aca="false">W_PH(AR$2,$A154)</f>
        <v>1953.1259245887</v>
      </c>
      <c r="AS154" s="0" t="n">
        <f aca="false">W_PH(AS$2,$A154)</f>
        <v>1954.77341931957</v>
      </c>
    </row>
    <row r="155" customFormat="false" ht="12.8" hidden="false" customHeight="false" outlineLevel="0" collapsed="false">
      <c r="A155" s="0" t="n">
        <v>1354.2562338779</v>
      </c>
      <c r="B155" s="0" t="n">
        <f aca="false">W_PH(B$2,$A155)</f>
        <v>2015</v>
      </c>
      <c r="C155" s="0" t="n">
        <f aca="false">W_PH(C$2,$A155)</f>
        <v>1980.66555455651</v>
      </c>
      <c r="D155" s="0" t="n">
        <f aca="false">W_PH(D$2,$A155)</f>
        <v>1980.66510338556</v>
      </c>
      <c r="E155" s="0" t="n">
        <f aca="false">W_PH(E$2,$A155)</f>
        <v>1980.66465221949</v>
      </c>
      <c r="F155" s="0" t="n">
        <f aca="false">W_PH(F$2,$A155)</f>
        <v>1980.6642010583</v>
      </c>
      <c r="G155" s="0" t="n">
        <f aca="false">W_PH(G$2,$A155)</f>
        <v>1980.65968971456</v>
      </c>
      <c r="H155" s="0" t="n">
        <f aca="false">W_PH(H$2,$A155)</f>
        <v>1980.65517885837</v>
      </c>
      <c r="I155" s="0" t="n">
        <f aca="false">W_PH(I$2,$A155)</f>
        <v>1980.65066848963</v>
      </c>
      <c r="J155" s="0" t="n">
        <f aca="false">W_PH(J$2,$A155)</f>
        <v>1980.64615860826</v>
      </c>
      <c r="K155" s="0" t="n">
        <f aca="false">W_PH(K$2,$A155)</f>
        <v>1980.64164921416</v>
      </c>
      <c r="L155" s="0" t="n">
        <f aca="false">W_PH(L$2,$A155)</f>
        <v>1980.63714030724</v>
      </c>
      <c r="M155" s="0" t="n">
        <f aca="false">W_PH(M$2,$A155)</f>
        <v>1980.63263188741</v>
      </c>
      <c r="N155" s="0" t="n">
        <f aca="false">W_PH(N$2,$A155)</f>
        <v>1980.62812395458</v>
      </c>
      <c r="O155" s="0" t="n">
        <f aca="false">W_PH(O$2,$A155)</f>
        <v>1980.62361650866</v>
      </c>
      <c r="P155" s="0" t="n">
        <f aca="false">W_PH(P$2,$A155)</f>
        <v>1980.57856880957</v>
      </c>
      <c r="Q155" s="0" t="n">
        <f aca="false">W_PH(Q$2,$A155)</f>
        <v>1980.53356970183</v>
      </c>
      <c r="R155" s="0" t="n">
        <f aca="false">W_PH(R$2,$A155)</f>
        <v>1980.48861909522</v>
      </c>
      <c r="S155" s="0" t="n">
        <f aca="false">W_PH(S$2,$A155)</f>
        <v>1980.44371689979</v>
      </c>
      <c r="T155" s="0" t="n">
        <f aca="false">W_PH(T$2,$A155)</f>
        <v>1980.39886302595</v>
      </c>
      <c r="U155" s="0" t="n">
        <f aca="false">W_PH(U$2,$A155)</f>
        <v>1980.35405738438</v>
      </c>
      <c r="V155" s="0" t="n">
        <f aca="false">W_PH(V$2,$A155)</f>
        <v>1980.3092998861</v>
      </c>
      <c r="W155" s="0" t="n">
        <f aca="false">W_PH(W$2,$A155)</f>
        <v>1980.26459044242</v>
      </c>
      <c r="X155" s="0" t="n">
        <f aca="false">W_PH(X$2,$A155)</f>
        <v>1980.21992896497</v>
      </c>
      <c r="Y155" s="0" t="n">
        <f aca="false">W_PH(Y$2,$A155)</f>
        <v>1979.77593310851</v>
      </c>
      <c r="Z155" s="0" t="n">
        <f aca="false">W_PH(Z$2,$A155)</f>
        <v>1979.33663890811</v>
      </c>
      <c r="AA155" s="0" t="n">
        <f aca="false">W_PH(AA$2,$A155)</f>
        <v>1978.90196290961</v>
      </c>
      <c r="AB155" s="0" t="n">
        <f aca="false">W_PH(AB$2,$A155)</f>
        <v>1978.47182453285</v>
      </c>
      <c r="AC155" s="0" t="n">
        <f aca="false">W_PH(AC$2,$A155)</f>
        <v>1978.04614600541</v>
      </c>
      <c r="AD155" s="0" t="n">
        <f aca="false">W_PH(AD$2,$A155)</f>
        <v>1977.62485231224</v>
      </c>
      <c r="AE155" s="0" t="n">
        <f aca="false">W_PH(AE$2,$A155)</f>
        <v>1977.20787115945</v>
      </c>
      <c r="AF155" s="0" t="n">
        <f aca="false">W_PH(AF$2,$A155)</f>
        <v>1976.7951329506</v>
      </c>
      <c r="AG155" s="0" t="n">
        <f aca="false">W_PH(AG$2,$A155)</f>
        <v>1976.38657077383</v>
      </c>
      <c r="AH155" s="0" t="n">
        <f aca="false">W_PH(AH$2,$A155)</f>
        <v>1972.5178390119</v>
      </c>
      <c r="AI155" s="0" t="n">
        <f aca="false">W_PH(AI$2,$A155)</f>
        <v>1969.01331831381</v>
      </c>
      <c r="AJ155" s="0" t="n">
        <f aca="false">W_PH(AJ$2,$A155)</f>
        <v>1965.85021148536</v>
      </c>
      <c r="AK155" s="0" t="n">
        <f aca="false">W_PH(AK$2,$A155)</f>
        <v>1963.02991621846</v>
      </c>
      <c r="AL155" s="0" t="n">
        <f aca="false">W_PH(AL$2,$A155)</f>
        <v>1960.52429996202</v>
      </c>
      <c r="AM155" s="0" t="n">
        <f aca="false">W_PH(AM$2,$A155)</f>
        <v>1958.33000542959</v>
      </c>
      <c r="AN155" s="0" t="n">
        <f aca="false">W_PH(AN$2,$A155)</f>
        <v>1956.44454254392</v>
      </c>
      <c r="AO155" s="0" t="n">
        <f aca="false">W_PH(AO$2,$A155)</f>
        <v>1954.86601008312</v>
      </c>
      <c r="AP155" s="0" t="n">
        <f aca="false">W_PH(AP$2,$A155)</f>
        <v>1953.5927734911</v>
      </c>
      <c r="AQ155" s="0" t="n">
        <f aca="false">W_PH(AQ$2,$A155)</f>
        <v>1957.05645832726</v>
      </c>
      <c r="AR155" s="0" t="n">
        <f aca="false">W_PH(AR$2,$A155)</f>
        <v>1961.19830452178</v>
      </c>
      <c r="AS155" s="0" t="n">
        <f aca="false">W_PH(AS$2,$A155)</f>
        <v>1962.8189089986</v>
      </c>
    </row>
    <row r="156" customFormat="false" ht="12.8" hidden="false" customHeight="false" outlineLevel="0" collapsed="false">
      <c r="A156" s="0" t="n">
        <v>1358.5554600172</v>
      </c>
      <c r="B156" s="0" t="n">
        <f aca="false">W_PH(B$2,$A156)</f>
        <v>2015</v>
      </c>
      <c r="C156" s="0" t="n">
        <f aca="false">W_PH(C$2,$A156)</f>
        <v>1988.2233176526</v>
      </c>
      <c r="D156" s="0" t="n">
        <f aca="false">W_PH(D$2,$A156)</f>
        <v>1988.22287995279</v>
      </c>
      <c r="E156" s="0" t="n">
        <f aca="false">W_PH(E$2,$A156)</f>
        <v>1988.22244225761</v>
      </c>
      <c r="F156" s="0" t="n">
        <f aca="false">W_PH(F$2,$A156)</f>
        <v>1988.22200456706</v>
      </c>
      <c r="G156" s="0" t="n">
        <f aca="false">W_PH(G$2,$A156)</f>
        <v>1988.2176279162</v>
      </c>
      <c r="H156" s="0" t="n">
        <f aca="false">W_PH(H$2,$A156)</f>
        <v>1988.21325172823</v>
      </c>
      <c r="I156" s="0" t="n">
        <f aca="false">W_PH(I$2,$A156)</f>
        <v>1988.20887600308</v>
      </c>
      <c r="J156" s="0" t="n">
        <f aca="false">W_PH(J$2,$A156)</f>
        <v>1988.20450074066</v>
      </c>
      <c r="K156" s="0" t="n">
        <f aca="false">W_PH(K$2,$A156)</f>
        <v>1988.20012594089</v>
      </c>
      <c r="L156" s="0" t="n">
        <f aca="false">W_PH(L$2,$A156)</f>
        <v>1988.19575160368</v>
      </c>
      <c r="M156" s="0" t="n">
        <f aca="false">W_PH(M$2,$A156)</f>
        <v>1988.19137772894</v>
      </c>
      <c r="N156" s="0" t="n">
        <f aca="false">W_PH(N$2,$A156)</f>
        <v>1988.18700431659</v>
      </c>
      <c r="O156" s="0" t="n">
        <f aca="false">W_PH(O$2,$A156)</f>
        <v>1988.18263136654</v>
      </c>
      <c r="P156" s="0" t="n">
        <f aca="false">W_PH(P$2,$A156)</f>
        <v>1988.13892727406</v>
      </c>
      <c r="Q156" s="0" t="n">
        <f aca="false">W_PH(Q$2,$A156)</f>
        <v>1988.09526931844</v>
      </c>
      <c r="R156" s="0" t="n">
        <f aca="false">W_PH(R$2,$A156)</f>
        <v>1988.05165741495</v>
      </c>
      <c r="S156" s="0" t="n">
        <f aca="false">W_PH(S$2,$A156)</f>
        <v>1988.00809147916</v>
      </c>
      <c r="T156" s="0" t="n">
        <f aca="false">W_PH(T$2,$A156)</f>
        <v>1987.96457142693</v>
      </c>
      <c r="U156" s="0" t="n">
        <f aca="false">W_PH(U$2,$A156)</f>
        <v>1987.92109717444</v>
      </c>
      <c r="V156" s="0" t="n">
        <f aca="false">W_PH(V$2,$A156)</f>
        <v>1987.87766863815</v>
      </c>
      <c r="W156" s="0" t="n">
        <f aca="false">W_PH(W$2,$A156)</f>
        <v>1987.83428573483</v>
      </c>
      <c r="X156" s="0" t="n">
        <f aca="false">W_PH(X$2,$A156)</f>
        <v>1987.79094838155</v>
      </c>
      <c r="Y156" s="0" t="n">
        <f aca="false">W_PH(Y$2,$A156)</f>
        <v>1987.3600620626</v>
      </c>
      <c r="Z156" s="0" t="n">
        <f aca="false">W_PH(Z$2,$A156)</f>
        <v>1986.93364166769</v>
      </c>
      <c r="AA156" s="0" t="n">
        <f aca="false">W_PH(AA$2,$A156)</f>
        <v>1986.5116089801</v>
      </c>
      <c r="AB156" s="0" t="n">
        <f aca="false">W_PH(AB$2,$A156)</f>
        <v>1986.09388854096</v>
      </c>
      <c r="AC156" s="0" t="n">
        <f aca="false">W_PH(AC$2,$A156)</f>
        <v>1985.68040758223</v>
      </c>
      <c r="AD156" s="0" t="n">
        <f aca="false">W_PH(AD$2,$A156)</f>
        <v>1985.27109597335</v>
      </c>
      <c r="AE156" s="0" t="n">
        <f aca="false">W_PH(AE$2,$A156)</f>
        <v>1984.86588617981</v>
      </c>
      <c r="AF156" s="0" t="n">
        <f aca="false">W_PH(AF$2,$A156)</f>
        <v>1984.46471323255</v>
      </c>
      <c r="AG156" s="0" t="n">
        <f aca="false">W_PH(AG$2,$A156)</f>
        <v>1984.06751470661</v>
      </c>
      <c r="AH156" s="0" t="n">
        <f aca="false">W_PH(AH$2,$A156)</f>
        <v>1980.30219715317</v>
      </c>
      <c r="AI156" s="0" t="n">
        <f aca="false">W_PH(AI$2,$A156)</f>
        <v>1976.88445823944</v>
      </c>
      <c r="AJ156" s="0" t="n">
        <f aca="false">W_PH(AJ$2,$A156)</f>
        <v>1973.79365288833</v>
      </c>
      <c r="AK156" s="0" t="n">
        <f aca="false">W_PH(AK$2,$A156)</f>
        <v>1971.03635221519</v>
      </c>
      <c r="AL156" s="0" t="n">
        <f aca="false">W_PH(AL$2,$A156)</f>
        <v>1968.58365487865</v>
      </c>
      <c r="AM156" s="0" t="n">
        <f aca="false">W_PH(AM$2,$A156)</f>
        <v>1966.43324382013</v>
      </c>
      <c r="AN156" s="0" t="n">
        <f aca="false">W_PH(AN$2,$A156)</f>
        <v>1964.5834989742</v>
      </c>
      <c r="AO156" s="0" t="n">
        <f aca="false">W_PH(AO$2,$A156)</f>
        <v>1963.03321825805</v>
      </c>
      <c r="AP156" s="0" t="n">
        <f aca="false">W_PH(AP$2,$A156)</f>
        <v>1961.78132528908</v>
      </c>
      <c r="AQ156" s="0" t="n">
        <f aca="false">W_PH(AQ$2,$A156)</f>
        <v>1965.16089876073</v>
      </c>
      <c r="AR156" s="0" t="n">
        <f aca="false">W_PH(AR$2,$A156)</f>
        <v>1969.23448985924</v>
      </c>
      <c r="AS156" s="0" t="n">
        <f aca="false">W_PH(AS$2,$A156)</f>
        <v>1970.82939297702</v>
      </c>
    </row>
    <row r="157" customFormat="false" ht="12.8" hidden="false" customHeight="false" outlineLevel="0" collapsed="false">
      <c r="A157" s="0" t="n">
        <v>1362.85468615649</v>
      </c>
      <c r="B157" s="0" t="n">
        <f aca="false">W_PH(B$2,$A157)</f>
        <v>2015</v>
      </c>
      <c r="C157" s="0" t="n">
        <f aca="false">W_PH(C$2,$A157)</f>
        <v>1995.73393126269</v>
      </c>
      <c r="D157" s="0" t="n">
        <f aca="false">W_PH(D$2,$A157)</f>
        <v>1995.73350656503</v>
      </c>
      <c r="E157" s="0" t="n">
        <f aca="false">W_PH(E$2,$A157)</f>
        <v>1995.73308187178</v>
      </c>
      <c r="F157" s="0" t="n">
        <f aca="false">W_PH(F$2,$A157)</f>
        <v>1995.73265718292</v>
      </c>
      <c r="G157" s="0" t="n">
        <f aca="false">W_PH(G$2,$A157)</f>
        <v>1995.7284105365</v>
      </c>
      <c r="H157" s="0" t="n">
        <f aca="false">W_PH(H$2,$A157)</f>
        <v>1995.72416433021</v>
      </c>
      <c r="I157" s="0" t="n">
        <f aca="false">W_PH(I$2,$A157)</f>
        <v>1995.71991856397</v>
      </c>
      <c r="J157" s="0" t="n">
        <f aca="false">W_PH(J$2,$A157)</f>
        <v>1995.71567323771</v>
      </c>
      <c r="K157" s="0" t="n">
        <f aca="false">W_PH(K$2,$A157)</f>
        <v>1995.71142835134</v>
      </c>
      <c r="L157" s="0" t="n">
        <f aca="false">W_PH(L$2,$A157)</f>
        <v>1995.70718390478</v>
      </c>
      <c r="M157" s="0" t="n">
        <f aca="false">W_PH(M$2,$A157)</f>
        <v>1995.70293989796</v>
      </c>
      <c r="N157" s="0" t="n">
        <f aca="false">W_PH(N$2,$A157)</f>
        <v>1995.69869633078</v>
      </c>
      <c r="O157" s="0" t="n">
        <f aca="false">W_PH(O$2,$A157)</f>
        <v>1995.69445320319</v>
      </c>
      <c r="P157" s="0" t="n">
        <f aca="false">W_PH(P$2,$A157)</f>
        <v>1995.65204608608</v>
      </c>
      <c r="Q157" s="0" t="n">
        <f aca="false">W_PH(Q$2,$A157)</f>
        <v>1995.60968283832</v>
      </c>
      <c r="R157" s="0" t="n">
        <f aca="false">W_PH(R$2,$A157)</f>
        <v>1995.56736338026</v>
      </c>
      <c r="S157" s="0" t="n">
        <f aca="false">W_PH(S$2,$A157)</f>
        <v>1995.52508763254</v>
      </c>
      <c r="T157" s="0" t="n">
        <f aca="false">W_PH(T$2,$A157)</f>
        <v>1995.4828555161</v>
      </c>
      <c r="U157" s="0" t="n">
        <f aca="false">W_PH(U$2,$A157)</f>
        <v>1995.44066695215</v>
      </c>
      <c r="V157" s="0" t="n">
        <f aca="false">W_PH(V$2,$A157)</f>
        <v>1995.39852186219</v>
      </c>
      <c r="W157" s="0" t="n">
        <f aca="false">W_PH(W$2,$A157)</f>
        <v>1995.35642016801</v>
      </c>
      <c r="X157" s="0" t="n">
        <f aca="false">W_PH(X$2,$A157)</f>
        <v>1995.31436179167</v>
      </c>
      <c r="Y157" s="0" t="n">
        <f aca="false">W_PH(Y$2,$A157)</f>
        <v>1994.89614356399</v>
      </c>
      <c r="Z157" s="0" t="n">
        <f aca="false">W_PH(Z$2,$A157)</f>
        <v>1994.4821734516</v>
      </c>
      <c r="AA157" s="0" t="n">
        <f aca="false">W_PH(AA$2,$A157)</f>
        <v>1994.07237803117</v>
      </c>
      <c r="AB157" s="0" t="n">
        <f aca="false">W_PH(AB$2,$A157)</f>
        <v>1993.66668651198</v>
      </c>
      <c r="AC157" s="0" t="n">
        <f aca="false">W_PH(AC$2,$A157)</f>
        <v>1993.26503066947</v>
      </c>
      <c r="AD157" s="0" t="n">
        <f aca="false">W_PH(AD$2,$A157)</f>
        <v>1992.86734479035</v>
      </c>
      <c r="AE157" s="0" t="n">
        <f aca="false">W_PH(AE$2,$A157)</f>
        <v>1992.47356562796</v>
      </c>
      <c r="AF157" s="0" t="n">
        <f aca="false">W_PH(AF$2,$A157)</f>
        <v>1992.08363236689</v>
      </c>
      <c r="AG157" s="0" t="n">
        <f aca="false">W_PH(AG$2,$A157)</f>
        <v>1991.69748659569</v>
      </c>
      <c r="AH157" s="0" t="n">
        <f aca="false">W_PH(AH$2,$A157)</f>
        <v>1988.03318284773</v>
      </c>
      <c r="AI157" s="0" t="n">
        <f aca="false">W_PH(AI$2,$A157)</f>
        <v>1984.70086318093</v>
      </c>
      <c r="AJ157" s="0" t="n">
        <f aca="false">W_PH(AJ$2,$A157)</f>
        <v>1981.68181127704</v>
      </c>
      <c r="AK157" s="0" t="n">
        <f aca="false">W_PH(AK$2,$A157)</f>
        <v>1978.98692299844</v>
      </c>
      <c r="AL157" s="0" t="n">
        <f aca="false">W_PH(AL$2,$A157)</f>
        <v>1976.58702271194</v>
      </c>
      <c r="AM157" s="0" t="n">
        <f aca="false">W_PH(AM$2,$A157)</f>
        <v>1974.48070465201</v>
      </c>
      <c r="AN157" s="0" t="n">
        <f aca="false">W_PH(AN$2,$A157)</f>
        <v>1972.66712995991</v>
      </c>
      <c r="AO157" s="0" t="n">
        <f aca="false">W_PH(AO$2,$A157)</f>
        <v>1971.14574052921</v>
      </c>
      <c r="AP157" s="0" t="n">
        <f aca="false">W_PH(AP$2,$A157)</f>
        <v>1969.91598695122</v>
      </c>
      <c r="AQ157" s="0" t="n">
        <f aca="false">W_PH(AQ$2,$A157)</f>
        <v>1973.22539797045</v>
      </c>
      <c r="AR157" s="0" t="n">
        <f aca="false">W_PH(AR$2,$A157)</f>
        <v>1977.2342152861</v>
      </c>
      <c r="AS157" s="0" t="n">
        <f aca="false">W_PH(AS$2,$A157)</f>
        <v>1978.80456220718</v>
      </c>
    </row>
    <row r="158" customFormat="false" ht="12.8" hidden="false" customHeight="false" outlineLevel="0" collapsed="false">
      <c r="A158" s="0" t="n">
        <v>1367.15391229579</v>
      </c>
      <c r="B158" s="0" t="n">
        <f aca="false">W_PH(B$2,$A158)</f>
        <v>2015</v>
      </c>
      <c r="C158" s="0" t="n">
        <f aca="false">W_PH(C$2,$A158)</f>
        <v>2003.19800315778</v>
      </c>
      <c r="D158" s="0" t="n">
        <f aca="false">W_PH(D$2,$A158)</f>
        <v>2003.19759101641</v>
      </c>
      <c r="E158" s="0" t="n">
        <f aca="false">W_PH(E$2,$A158)</f>
        <v>2003.19717887923</v>
      </c>
      <c r="F158" s="0" t="n">
        <f aca="false">W_PH(F$2,$A158)</f>
        <v>2003.19676674624</v>
      </c>
      <c r="G158" s="0" t="n">
        <f aca="false">W_PH(G$2,$A158)</f>
        <v>2003.19264564687</v>
      </c>
      <c r="H158" s="0" t="n">
        <f aca="false">W_PH(H$2,$A158)</f>
        <v>2003.18852496654</v>
      </c>
      <c r="I158" s="0" t="n">
        <f aca="false">W_PH(I$2,$A158)</f>
        <v>2003.18440470517</v>
      </c>
      <c r="J158" s="0" t="n">
        <f aca="false">W_PH(J$2,$A158)</f>
        <v>2003.18028486268</v>
      </c>
      <c r="K158" s="0" t="n">
        <f aca="false">W_PH(K$2,$A158)</f>
        <v>2003.17616543901</v>
      </c>
      <c r="L158" s="0" t="n">
        <f aca="false">W_PH(L$2,$A158)</f>
        <v>2003.17204643407</v>
      </c>
      <c r="M158" s="0" t="n">
        <f aca="false">W_PH(M$2,$A158)</f>
        <v>2003.1679278478</v>
      </c>
      <c r="N158" s="0" t="n">
        <f aca="false">W_PH(N$2,$A158)</f>
        <v>2003.16380968011</v>
      </c>
      <c r="O158" s="0" t="n">
        <f aca="false">W_PH(O$2,$A158)</f>
        <v>2003.15969193093</v>
      </c>
      <c r="P158" s="0" t="n">
        <f aca="false">W_PH(P$2,$A158)</f>
        <v>2003.11853744063</v>
      </c>
      <c r="Q158" s="0" t="n">
        <f aca="false">W_PH(Q$2,$A158)</f>
        <v>2003.07742471865</v>
      </c>
      <c r="R158" s="0" t="n">
        <f aca="false">W_PH(R$2,$A158)</f>
        <v>2003.03635369007</v>
      </c>
      <c r="S158" s="0" t="n">
        <f aca="false">W_PH(S$2,$A158)</f>
        <v>2002.99532428025</v>
      </c>
      <c r="T158" s="0" t="n">
        <f aca="false">W_PH(T$2,$A158)</f>
        <v>2002.95433641484</v>
      </c>
      <c r="U158" s="0" t="n">
        <f aca="false">W_PH(U$2,$A158)</f>
        <v>2002.91339001974</v>
      </c>
      <c r="V158" s="0" t="n">
        <f aca="false">W_PH(V$2,$A158)</f>
        <v>2002.87248502112</v>
      </c>
      <c r="W158" s="0" t="n">
        <f aca="false">W_PH(W$2,$A158)</f>
        <v>2002.83162134544</v>
      </c>
      <c r="X158" s="0" t="n">
        <f aca="false">W_PH(X$2,$A158)</f>
        <v>2002.7907989194</v>
      </c>
      <c r="Y158" s="0" t="n">
        <f aca="false">W_PH(Y$2,$A158)</f>
        <v>2002.3848274564</v>
      </c>
      <c r="Z158" s="0" t="n">
        <f aca="false">W_PH(Z$2,$A158)</f>
        <v>2001.98290229901</v>
      </c>
      <c r="AA158" s="0" t="n">
        <f aca="false">W_PH(AA$2,$A158)</f>
        <v>2001.58495444748</v>
      </c>
      <c r="AB158" s="0" t="n">
        <f aca="false">W_PH(AB$2,$A158)</f>
        <v>2001.19091740342</v>
      </c>
      <c r="AC158" s="0" t="n">
        <f aca="false">W_PH(AC$2,$A158)</f>
        <v>2000.8007271048</v>
      </c>
      <c r="AD158" s="0" t="n">
        <f aca="false">W_PH(AD$2,$A158)</f>
        <v>2000.41432187072</v>
      </c>
      <c r="AE158" s="0" t="n">
        <f aca="false">W_PH(AE$2,$A158)</f>
        <v>2000.03164235512</v>
      </c>
      <c r="AF158" s="0" t="n">
        <f aca="false">W_PH(AF$2,$A158)</f>
        <v>1999.65263150832</v>
      </c>
      <c r="AG158" s="0" t="n">
        <f aca="false">W_PH(AG$2,$A158)</f>
        <v>1999.27723454563</v>
      </c>
      <c r="AH158" s="0" t="n">
        <f aca="false">W_PH(AH$2,$A158)</f>
        <v>1995.71155799044</v>
      </c>
      <c r="AI158" s="0" t="n">
        <f aca="false">W_PH(AI$2,$A158)</f>
        <v>1992.46325860244</v>
      </c>
      <c r="AJ158" s="0" t="n">
        <f aca="false">W_PH(AJ$2,$A158)</f>
        <v>1989.51535498849</v>
      </c>
      <c r="AK158" s="0" t="n">
        <f aca="false">W_PH(AK$2,$A158)</f>
        <v>1986.88225262054</v>
      </c>
      <c r="AL158" s="0" t="n">
        <f aca="false">W_PH(AL$2,$A158)</f>
        <v>1984.53497359475</v>
      </c>
      <c r="AM158" s="0" t="n">
        <f aca="false">W_PH(AM$2,$A158)</f>
        <v>1982.47290733379</v>
      </c>
      <c r="AN158" s="0" t="n">
        <f aca="false">W_PH(AN$2,$A158)</f>
        <v>1980.69591240918</v>
      </c>
      <c r="AO158" s="0" t="n">
        <f aca="false">W_PH(AO$2,$A158)</f>
        <v>1979.20401936434</v>
      </c>
      <c r="AP158" s="0" t="n">
        <f aca="false">W_PH(AP$2,$A158)</f>
        <v>1977.99717157815</v>
      </c>
      <c r="AQ158" s="0" t="n">
        <f aca="false">W_PH(AQ$2,$A158)</f>
        <v>1981.24982858011</v>
      </c>
      <c r="AR158" s="0" t="n">
        <f aca="false">W_PH(AR$2,$A158)</f>
        <v>1985.19720880287</v>
      </c>
      <c r="AS158" s="0" t="n">
        <f aca="false">W_PH(AS$2,$A158)</f>
        <v>1986.74410054461</v>
      </c>
    </row>
    <row r="159" customFormat="false" ht="12.8" hidden="false" customHeight="false" outlineLevel="0" collapsed="false">
      <c r="A159" s="0" t="n">
        <v>1371.45313843508</v>
      </c>
      <c r="B159" s="0" t="n">
        <f aca="false">W_PH(B$2,$A159)</f>
        <v>2015</v>
      </c>
      <c r="C159" s="0" t="n">
        <f aca="false">W_PH(C$2,$A159)</f>
        <v>2010.61612902528</v>
      </c>
      <c r="D159" s="0" t="n">
        <f aca="false">W_PH(D$2,$A159)</f>
        <v>2010.61572901627</v>
      </c>
      <c r="E159" s="0" t="n">
        <f aca="false">W_PH(E$2,$A159)</f>
        <v>2010.61532901125</v>
      </c>
      <c r="F159" s="0" t="n">
        <f aca="false">W_PH(F$2,$A159)</f>
        <v>2010.61492901022</v>
      </c>
      <c r="G159" s="0" t="n">
        <f aca="false">W_PH(G$2,$A159)</f>
        <v>2010.61092921969</v>
      </c>
      <c r="H159" s="0" t="n">
        <f aca="false">W_PH(H$2,$A159)</f>
        <v>2010.60692982859</v>
      </c>
      <c r="I159" s="0" t="n">
        <f aca="false">W_PH(I$2,$A159)</f>
        <v>2010.60293083685</v>
      </c>
      <c r="J159" s="0" t="n">
        <f aca="false">W_PH(J$2,$A159)</f>
        <v>2010.59893224441</v>
      </c>
      <c r="K159" s="0" t="n">
        <f aca="false">W_PH(K$2,$A159)</f>
        <v>2010.59493405119</v>
      </c>
      <c r="L159" s="0" t="n">
        <f aca="false">W_PH(L$2,$A159)</f>
        <v>2010.59093625712</v>
      </c>
      <c r="M159" s="0" t="n">
        <f aca="false">W_PH(M$2,$A159)</f>
        <v>2010.58693886213</v>
      </c>
      <c r="N159" s="0" t="n">
        <f aca="false">W_PH(N$2,$A159)</f>
        <v>2010.58294186615</v>
      </c>
      <c r="O159" s="0" t="n">
        <f aca="false">W_PH(O$2,$A159)</f>
        <v>2010.57894526911</v>
      </c>
      <c r="P159" s="0" t="n">
        <f aca="false">W_PH(P$2,$A159)</f>
        <v>2010.53900122467</v>
      </c>
      <c r="Q159" s="0" t="n">
        <f aca="false">W_PH(Q$2,$A159)</f>
        <v>2010.49909699623</v>
      </c>
      <c r="R159" s="0" t="n">
        <f aca="false">W_PH(R$2,$A159)</f>
        <v>2010.45923251328</v>
      </c>
      <c r="S159" s="0" t="n">
        <f aca="false">W_PH(S$2,$A159)</f>
        <v>2010.41940770562</v>
      </c>
      <c r="T159" s="0" t="n">
        <f aca="false">W_PH(T$2,$A159)</f>
        <v>2010.37962250329</v>
      </c>
      <c r="U159" s="0" t="n">
        <f aca="false">W_PH(U$2,$A159)</f>
        <v>2010.33987683656</v>
      </c>
      <c r="V159" s="0" t="n">
        <f aca="false">W_PH(V$2,$A159)</f>
        <v>2010.300170636</v>
      </c>
      <c r="W159" s="0" t="n">
        <f aca="false">W_PH(W$2,$A159)</f>
        <v>2010.2605038324</v>
      </c>
      <c r="X159" s="0" t="n">
        <f aca="false">W_PH(X$2,$A159)</f>
        <v>2010.22087635682</v>
      </c>
      <c r="Y159" s="0" t="n">
        <f aca="false">W_PH(Y$2,$A159)</f>
        <v>2009.82674965427</v>
      </c>
      <c r="Z159" s="0" t="n">
        <f aca="false">W_PH(Z$2,$A159)</f>
        <v>2009.43648176664</v>
      </c>
      <c r="AA159" s="0" t="n">
        <f aca="false">W_PH(AA$2,$A159)</f>
        <v>2009.05000780664</v>
      </c>
      <c r="AB159" s="0" t="n">
        <f aca="false">W_PH(AB$2,$A159)</f>
        <v>2008.66726525369</v>
      </c>
      <c r="AC159" s="0" t="n">
        <f aca="false">W_PH(AC$2,$A159)</f>
        <v>2008.28819389102</v>
      </c>
      <c r="AD159" s="0" t="n">
        <f aca="false">W_PH(AD$2,$A159)</f>
        <v>2007.91273575113</v>
      </c>
      <c r="AE159" s="0" t="n">
        <f aca="false">W_PH(AE$2,$A159)</f>
        <v>2007.54083506883</v>
      </c>
      <c r="AF159" s="0" t="n">
        <f aca="false">W_PH(AF$2,$A159)</f>
        <v>2007.17243824118</v>
      </c>
      <c r="AG159" s="0" t="n">
        <f aca="false">W_PH(AG$2,$A159)</f>
        <v>2006.80749379348</v>
      </c>
      <c r="AH159" s="0" t="n">
        <f aca="false">W_PH(AH$2,$A159)</f>
        <v>2003.3380822472</v>
      </c>
      <c r="AI159" s="0" t="n">
        <f aca="false">W_PH(AI$2,$A159)</f>
        <v>2000.1723759358</v>
      </c>
      <c r="AJ159" s="0" t="n">
        <f aca="false">W_PH(AJ$2,$A159)</f>
        <v>1997.29496183886</v>
      </c>
      <c r="AK159" s="0" t="n">
        <f aca="false">W_PH(AK$2,$A159)</f>
        <v>1994.72298246199</v>
      </c>
      <c r="AL159" s="0" t="n">
        <f aca="false">W_PH(AL$2,$A159)</f>
        <v>1992.42809987412</v>
      </c>
      <c r="AM159" s="0" t="n">
        <f aca="false">W_PH(AM$2,$A159)</f>
        <v>1990.41039481797</v>
      </c>
      <c r="AN159" s="0" t="n">
        <f aca="false">W_PH(AN$2,$A159)</f>
        <v>1988.67034504833</v>
      </c>
      <c r="AO159" s="0" t="n">
        <f aca="false">W_PH(AO$2,$A159)</f>
        <v>1987.20851526942</v>
      </c>
      <c r="AP159" s="0" t="n">
        <f aca="false">W_PH(AP$2,$A159)</f>
        <v>1986.02530557053</v>
      </c>
      <c r="AQ159" s="0" t="n">
        <f aca="false">W_PH(AQ$2,$A159)</f>
        <v>1989.234064068</v>
      </c>
      <c r="AR159" s="0" t="n">
        <f aca="false">W_PH(AR$2,$A159)</f>
        <v>1993.12319733827</v>
      </c>
      <c r="AS159" s="0" t="n">
        <f aca="false">W_PH(AS$2,$A159)</f>
        <v>1994.64769000908</v>
      </c>
    </row>
    <row r="160" customFormat="false" ht="12.8" hidden="false" customHeight="false" outlineLevel="0" collapsed="false">
      <c r="A160" s="0" t="n">
        <v>1375.75236457438</v>
      </c>
      <c r="B160" s="0" t="n">
        <f aca="false">W_PH(B$2,$A160)</f>
        <v>2015</v>
      </c>
      <c r="C160" s="0" t="n">
        <f aca="false">W_PH(C$2,$A160)</f>
        <v>2017.98889290259</v>
      </c>
      <c r="D160" s="0" t="n">
        <f aca="false">W_PH(D$2,$A160)</f>
        <v>2017.98850462277</v>
      </c>
      <c r="E160" s="0" t="n">
        <f aca="false">W_PH(E$2,$A160)</f>
        <v>2017.98811634677</v>
      </c>
      <c r="F160" s="0" t="n">
        <f aca="false">W_PH(F$2,$A160)</f>
        <v>2017.98772807458</v>
      </c>
      <c r="G160" s="0" t="n">
        <f aca="false">W_PH(G$2,$A160)</f>
        <v>2017.98384556234</v>
      </c>
      <c r="H160" s="0" t="n">
        <f aca="false">W_PH(H$2,$A160)</f>
        <v>2017.97996343128</v>
      </c>
      <c r="I160" s="0" t="n">
        <f aca="false">W_PH(I$2,$A160)</f>
        <v>2017.97608168131</v>
      </c>
      <c r="J160" s="0" t="n">
        <f aca="false">W_PH(J$2,$A160)</f>
        <v>2017.97220031238</v>
      </c>
      <c r="K160" s="0" t="n">
        <f aca="false">W_PH(K$2,$A160)</f>
        <v>2017.96831932442</v>
      </c>
      <c r="L160" s="0" t="n">
        <f aca="false">W_PH(L$2,$A160)</f>
        <v>2017.96443871736</v>
      </c>
      <c r="M160" s="0" t="n">
        <f aca="false">W_PH(M$2,$A160)</f>
        <v>2017.96055849114</v>
      </c>
      <c r="N160" s="0" t="n">
        <f aca="false">W_PH(N$2,$A160)</f>
        <v>2017.95667864568</v>
      </c>
      <c r="O160" s="0" t="n">
        <f aca="false">W_PH(O$2,$A160)</f>
        <v>2017.95279918092</v>
      </c>
      <c r="P160" s="0" t="n">
        <f aca="false">W_PH(P$2,$A160)</f>
        <v>2017.91402545726</v>
      </c>
      <c r="Q160" s="0" t="n">
        <f aca="false">W_PH(Q$2,$A160)</f>
        <v>2017.87528973051</v>
      </c>
      <c r="R160" s="0" t="n">
        <f aca="false">W_PH(R$2,$A160)</f>
        <v>2017.83659193435</v>
      </c>
      <c r="S160" s="0" t="n">
        <f aca="false">W_PH(S$2,$A160)</f>
        <v>2017.79793200272</v>
      </c>
      <c r="T160" s="0" t="n">
        <f aca="false">W_PH(T$2,$A160)</f>
        <v>2017.75930986979</v>
      </c>
      <c r="U160" s="0" t="n">
        <f aca="false">W_PH(U$2,$A160)</f>
        <v>2017.72072546999</v>
      </c>
      <c r="V160" s="0" t="n">
        <f aca="false">W_PH(V$2,$A160)</f>
        <v>2017.68217873797</v>
      </c>
      <c r="W160" s="0" t="n">
        <f aca="false">W_PH(W$2,$A160)</f>
        <v>2017.64366960862</v>
      </c>
      <c r="X160" s="0" t="n">
        <f aca="false">W_PH(X$2,$A160)</f>
        <v>2017.60519801708</v>
      </c>
      <c r="Y160" s="0" t="n">
        <f aca="false">W_PH(Y$2,$A160)</f>
        <v>2017.22253258073</v>
      </c>
      <c r="Z160" s="0" t="n">
        <f aca="false">W_PH(Z$2,$A160)</f>
        <v>2016.84355132011</v>
      </c>
      <c r="AA160" s="0" t="n">
        <f aca="false">W_PH(AA$2,$A160)</f>
        <v>2016.46819319543</v>
      </c>
      <c r="AB160" s="0" t="n">
        <f aca="false">W_PH(AB$2,$A160)</f>
        <v>2016.09639939781</v>
      </c>
      <c r="AC160" s="0" t="n">
        <f aca="false">W_PH(AC$2,$A160)</f>
        <v>2015.728113289</v>
      </c>
      <c r="AD160" s="0" t="n">
        <f aca="false">W_PH(AD$2,$A160)</f>
        <v>2015.36328034816</v>
      </c>
      <c r="AE160" s="0" t="n">
        <f aca="false">W_PH(AE$2,$A160)</f>
        <v>2015.00184812517</v>
      </c>
      <c r="AF160" s="0" t="n">
        <f aca="false">W_PH(AF$2,$A160)</f>
        <v>2014.64376619991</v>
      </c>
      <c r="AG160" s="0" t="n">
        <f aca="false">W_PH(AG$2,$A160)</f>
        <v>2014.28898614688</v>
      </c>
      <c r="AH160" s="0" t="n">
        <f aca="false">W_PH(AH$2,$A160)</f>
        <v>2010.9135106412</v>
      </c>
      <c r="AI160" s="0" t="n">
        <f aca="false">W_PH(AI$2,$A160)</f>
        <v>2007.82894940978</v>
      </c>
      <c r="AJ160" s="0" t="n">
        <f aca="false">W_PH(AJ$2,$A160)</f>
        <v>2005.02131632155</v>
      </c>
      <c r="AK160" s="0" t="n">
        <f aca="false">W_PH(AK$2,$A160)</f>
        <v>2002.509767685</v>
      </c>
      <c r="AL160" s="0" t="n">
        <f aca="false">W_PH(AL$2,$A160)</f>
        <v>2000.26701251442</v>
      </c>
      <c r="AM160" s="0" t="n">
        <f aca="false">W_PH(AM$2,$A160)</f>
        <v>1998.29373050564</v>
      </c>
      <c r="AN160" s="0" t="n">
        <f aca="false">W_PH(AN$2,$A160)</f>
        <v>1996.59094615256</v>
      </c>
      <c r="AO160" s="0" t="n">
        <f aca="false">W_PH(AO$2,$A160)</f>
        <v>1995.15970545167</v>
      </c>
      <c r="AP160" s="0" t="n">
        <f aca="false">W_PH(AP$2,$A160)</f>
        <v>1994.00082816641</v>
      </c>
      <c r="AQ160" s="0" t="n">
        <f aca="false">W_PH(AQ$2,$A160)</f>
        <v>1997.17798308499</v>
      </c>
      <c r="AR160" s="0" t="n">
        <f aca="false">W_PH(AR$2,$A160)</f>
        <v>2001.01191253966</v>
      </c>
      <c r="AS160" s="0" t="n">
        <f aca="false">W_PH(AS$2,$A160)</f>
        <v>2002.51501669219</v>
      </c>
    </row>
    <row r="161" customFormat="false" ht="12.8" hidden="false" customHeight="false" outlineLevel="0" collapsed="false">
      <c r="A161" s="0" t="n">
        <v>1380.05159071367</v>
      </c>
      <c r="B161" s="0" t="n">
        <f aca="false">W_PH(B$2,$A161)</f>
        <v>2015</v>
      </c>
      <c r="C161" s="0" t="n">
        <f aca="false">W_PH(C$2,$A161)</f>
        <v>2025.31686758958</v>
      </c>
      <c r="D161" s="0" t="n">
        <f aca="false">W_PH(D$2,$A161)</f>
        <v>2025.31649065548</v>
      </c>
      <c r="E161" s="0" t="n">
        <f aca="false">W_PH(E$2,$A161)</f>
        <v>2025.31611372502</v>
      </c>
      <c r="F161" s="0" t="n">
        <f aca="false">W_PH(F$2,$A161)</f>
        <v>2025.31573679821</v>
      </c>
      <c r="G161" s="0" t="n">
        <f aca="false">W_PH(G$2,$A161)</f>
        <v>2025.31196773031</v>
      </c>
      <c r="H161" s="0" t="n">
        <f aca="false">W_PH(H$2,$A161)</f>
        <v>2025.30819902652</v>
      </c>
      <c r="I161" s="0" t="n">
        <f aca="false">W_PH(I$2,$A161)</f>
        <v>2025.30443068677</v>
      </c>
      <c r="J161" s="0" t="n">
        <f aca="false">W_PH(J$2,$A161)</f>
        <v>2025.300662711</v>
      </c>
      <c r="K161" s="0" t="n">
        <f aca="false">W_PH(K$2,$A161)</f>
        <v>2025.29689509914</v>
      </c>
      <c r="L161" s="0" t="n">
        <f aca="false">W_PH(L$2,$A161)</f>
        <v>2025.29312785114</v>
      </c>
      <c r="M161" s="0" t="n">
        <f aca="false">W_PH(M$2,$A161)</f>
        <v>2025.28936096693</v>
      </c>
      <c r="N161" s="0" t="n">
        <f aca="false">W_PH(N$2,$A161)</f>
        <v>2025.28559444645</v>
      </c>
      <c r="O161" s="0" t="n">
        <f aca="false">W_PH(O$2,$A161)</f>
        <v>2025.28182828963</v>
      </c>
      <c r="P161" s="0" t="n">
        <f aca="false">W_PH(P$2,$A161)</f>
        <v>2025.24418670925</v>
      </c>
      <c r="Q161" s="0" t="n">
        <f aca="false">W_PH(Q$2,$A161)</f>
        <v>2025.20658142652</v>
      </c>
      <c r="R161" s="0" t="n">
        <f aca="false">W_PH(R$2,$A161)</f>
        <v>2025.16901237908</v>
      </c>
      <c r="S161" s="0" t="n">
        <f aca="false">W_PH(S$2,$A161)</f>
        <v>2025.13147950477</v>
      </c>
      <c r="T161" s="0" t="n">
        <f aca="false">W_PH(T$2,$A161)</f>
        <v>2025.09398274167</v>
      </c>
      <c r="U161" s="0" t="n">
        <f aca="false">W_PH(U$2,$A161)</f>
        <v>2025.05652202812</v>
      </c>
      <c r="V161" s="0" t="n">
        <f aca="false">W_PH(V$2,$A161)</f>
        <v>2025.01909730262</v>
      </c>
      <c r="W161" s="0" t="n">
        <f aca="false">W_PH(W$2,$A161)</f>
        <v>2024.98170850396</v>
      </c>
      <c r="X161" s="0" t="n">
        <f aca="false">W_PH(X$2,$A161)</f>
        <v>2024.94435557111</v>
      </c>
      <c r="Y161" s="0" t="n">
        <f aca="false">W_PH(Y$2,$A161)</f>
        <v>2024.57278559854</v>
      </c>
      <c r="Z161" s="0" t="n">
        <f aca="false">W_PH(Z$2,$A161)</f>
        <v>2024.20473673134</v>
      </c>
      <c r="AA161" s="0" t="n">
        <f aca="false">W_PH(AA$2,$A161)</f>
        <v>2023.84015154841</v>
      </c>
      <c r="AB161" s="0" t="n">
        <f aca="false">W_PH(AB$2,$A161)</f>
        <v>2023.47897472461</v>
      </c>
      <c r="AC161" s="0" t="n">
        <f aca="false">W_PH(AC$2,$A161)</f>
        <v>2023.12115297329</v>
      </c>
      <c r="AD161" s="0" t="n">
        <f aca="false">W_PH(AD$2,$A161)</f>
        <v>2022.76663499487</v>
      </c>
      <c r="AE161" s="0" t="n">
        <f aca="false">W_PH(AE$2,$A161)</f>
        <v>2022.41537143116</v>
      </c>
      <c r="AF161" s="0" t="n">
        <f aca="false">W_PH(AF$2,$A161)</f>
        <v>2022.0673148247</v>
      </c>
      <c r="AG161" s="0" t="n">
        <f aca="false">W_PH(AG$2,$A161)</f>
        <v>2021.72241958288</v>
      </c>
      <c r="AH161" s="0" t="n">
        <f aca="false">W_PH(AH$2,$A161)</f>
        <v>2018.43859151245</v>
      </c>
      <c r="AI161" s="0" t="n">
        <f aca="false">W_PH(AI$2,$A161)</f>
        <v>2015.43371332732</v>
      </c>
      <c r="AJ161" s="0" t="n">
        <f aca="false">W_PH(AJ$2,$A161)</f>
        <v>2012.69510712596</v>
      </c>
      <c r="AK161" s="0" t="n">
        <f aca="false">W_PH(AK$2,$A161)</f>
        <v>2010.24327401429</v>
      </c>
      <c r="AL161" s="0" t="n">
        <f aca="false">W_PH(AL$2,$A161)</f>
        <v>2008.05233774792</v>
      </c>
      <c r="AM161" s="0" t="n">
        <f aca="false">W_PH(AM$2,$A161)</f>
        <v>2006.12349528371</v>
      </c>
      <c r="AN161" s="0" t="n">
        <f aca="false">W_PH(AN$2,$A161)</f>
        <v>2004.45825130218</v>
      </c>
      <c r="AO161" s="0" t="n">
        <f aca="false">W_PH(AO$2,$A161)</f>
        <v>2003.05808243495</v>
      </c>
      <c r="AP161" s="0" t="n">
        <f aca="false">W_PH(AP$2,$A161)</f>
        <v>2001.92419090063</v>
      </c>
      <c r="AQ161" s="0" t="n">
        <f aca="false">W_PH(AQ$2,$A161)</f>
        <v>2005.08147338888</v>
      </c>
      <c r="AR161" s="0" t="n">
        <f aca="false">W_PH(AR$2,$A161)</f>
        <v>2008.86309633519</v>
      </c>
      <c r="AS161" s="0" t="n">
        <f aca="false">W_PH(AS$2,$A161)</f>
        <v>2010.3457767043</v>
      </c>
    </row>
    <row r="162" customFormat="false" ht="12.8" hidden="false" customHeight="false" outlineLevel="0" collapsed="false">
      <c r="A162" s="0" t="n">
        <v>1384.35081685297</v>
      </c>
      <c r="B162" s="0" t="n">
        <f aca="false">W_PH(B$2,$A162)</f>
        <v>2015</v>
      </c>
      <c r="C162" s="0" t="n">
        <f aca="false">W_PH(C$2,$A162)</f>
        <v>2032.60061504163</v>
      </c>
      <c r="D162" s="0" t="n">
        <f aca="false">W_PH(D$2,$A162)</f>
        <v>2032.60024908835</v>
      </c>
      <c r="E162" s="0" t="n">
        <f aca="false">W_PH(E$2,$A162)</f>
        <v>2032.59988313856</v>
      </c>
      <c r="F162" s="0" t="n">
        <f aca="false">W_PH(F$2,$A162)</f>
        <v>2032.59951719225</v>
      </c>
      <c r="G162" s="0" t="n">
        <f aca="false">W_PH(G$2,$A162)</f>
        <v>2032.59585792063</v>
      </c>
      <c r="H162" s="0" t="n">
        <f aca="false">W_PH(H$2,$A162)</f>
        <v>2032.59219899714</v>
      </c>
      <c r="I162" s="0" t="n">
        <f aca="false">W_PH(I$2,$A162)</f>
        <v>2032.58854042171</v>
      </c>
      <c r="J162" s="0" t="n">
        <f aca="false">W_PH(J$2,$A162)</f>
        <v>2032.5848821943</v>
      </c>
      <c r="K162" s="0" t="n">
        <f aca="false">W_PH(K$2,$A162)</f>
        <v>2032.58122431483</v>
      </c>
      <c r="L162" s="0" t="n">
        <f aca="false">W_PH(L$2,$A162)</f>
        <v>2032.57756678325</v>
      </c>
      <c r="M162" s="0" t="n">
        <f aca="false">W_PH(M$2,$A162)</f>
        <v>2032.5739095995</v>
      </c>
      <c r="N162" s="0" t="n">
        <f aca="false">W_PH(N$2,$A162)</f>
        <v>2032.57025276352</v>
      </c>
      <c r="O162" s="0" t="n">
        <f aca="false">W_PH(O$2,$A162)</f>
        <v>2032.56659627526</v>
      </c>
      <c r="P162" s="0" t="n">
        <f aca="false">W_PH(P$2,$A162)</f>
        <v>2032.53005050385</v>
      </c>
      <c r="Q162" s="0" t="n">
        <f aca="false">W_PH(Q$2,$A162)</f>
        <v>2032.49353943897</v>
      </c>
      <c r="R162" s="0" t="n">
        <f aca="false">W_PH(R$2,$A162)</f>
        <v>2032.45706302198</v>
      </c>
      <c r="S162" s="0" t="n">
        <f aca="false">W_PH(S$2,$A162)</f>
        <v>2032.42062119446</v>
      </c>
      <c r="T162" s="0" t="n">
        <f aca="false">W_PH(T$2,$A162)</f>
        <v>2032.38421389818</v>
      </c>
      <c r="U162" s="0" t="n">
        <f aca="false">W_PH(U$2,$A162)</f>
        <v>2032.34784107516</v>
      </c>
      <c r="V162" s="0" t="n">
        <f aca="false">W_PH(V$2,$A162)</f>
        <v>2032.31150266759</v>
      </c>
      <c r="W162" s="0" t="n">
        <f aca="false">W_PH(W$2,$A162)</f>
        <v>2032.27519861791</v>
      </c>
      <c r="X162" s="0" t="n">
        <f aca="false">W_PH(X$2,$A162)</f>
        <v>2032.23892886874</v>
      </c>
      <c r="Y162" s="0" t="n">
        <f aca="false">W_PH(Y$2,$A162)</f>
        <v>2031.87810543335</v>
      </c>
      <c r="Z162" s="0" t="n">
        <f aca="false">W_PH(Z$2,$A162)</f>
        <v>2031.52065047959</v>
      </c>
      <c r="AA162" s="0" t="n">
        <f aca="false">W_PH(AA$2,$A162)</f>
        <v>2031.16651000464</v>
      </c>
      <c r="AB162" s="0" t="n">
        <f aca="false">W_PH(AB$2,$A162)</f>
        <v>2030.81563196894</v>
      </c>
      <c r="AC162" s="0" t="n">
        <f aca="false">W_PH(AC$2,$A162)</f>
        <v>2030.46796624175</v>
      </c>
      <c r="AD162" s="0" t="n">
        <f aca="false">W_PH(AD$2,$A162)</f>
        <v>2030.12346455195</v>
      </c>
      <c r="AE162" s="0" t="n">
        <f aca="false">W_PH(AE$2,$A162)</f>
        <v>2029.78208044367</v>
      </c>
      <c r="AF162" s="0" t="n">
        <f aca="false">W_PH(AF$2,$A162)</f>
        <v>2029.44376923643</v>
      </c>
      <c r="AG162" s="0" t="n">
        <f aca="false">W_PH(AG$2,$A162)</f>
        <v>2029.10848798941</v>
      </c>
      <c r="AH162" s="0" t="n">
        <f aca="false">W_PH(AH$2,$A162)</f>
        <v>2025.91406482081</v>
      </c>
      <c r="AI162" s="0" t="n">
        <f aca="false">W_PH(AI$2,$A162)</f>
        <v>2022.98739974811</v>
      </c>
      <c r="AJ162" s="0" t="n">
        <f aca="false">W_PH(AJ$2,$A162)</f>
        <v>2020.31702495495</v>
      </c>
      <c r="AK162" s="0" t="n">
        <f aca="false">W_PH(AK$2,$A162)</f>
        <v>2017.92417483968</v>
      </c>
      <c r="AL162" s="0" t="n">
        <f aca="false">W_PH(AL$2,$A162)</f>
        <v>2015.7847139868</v>
      </c>
      <c r="AM162" s="0" t="n">
        <f aca="false">W_PH(AM$2,$A162)</f>
        <v>2013.90028472122</v>
      </c>
      <c r="AN162" s="0" t="n">
        <f aca="false">W_PH(AN$2,$A162)</f>
        <v>2012.27281119216</v>
      </c>
      <c r="AO162" s="0" t="n">
        <f aca="false">W_PH(AO$2,$A162)</f>
        <v>2010.90415264543</v>
      </c>
      <c r="AP162" s="0" t="n">
        <f aca="false">W_PH(AP$2,$A162)</f>
        <v>2009.79585698618</v>
      </c>
      <c r="AQ162" s="0" t="n">
        <f aca="false">W_PH(AQ$2,$A162)</f>
        <v>2012.94443532886</v>
      </c>
      <c r="AR162" s="0" t="n">
        <f aca="false">W_PH(AR$2,$A162)</f>
        <v>2016.67650600594</v>
      </c>
      <c r="AS162" s="0" t="n">
        <f aca="false">W_PH(AS$2,$A162)</f>
        <v>2018.13968175798</v>
      </c>
    </row>
    <row r="163" customFormat="false" ht="12.8" hidden="false" customHeight="false" outlineLevel="0" collapsed="false">
      <c r="A163" s="0" t="n">
        <v>1388.65004299226</v>
      </c>
      <c r="B163" s="0" t="n">
        <f aca="false">W_PH(B$2,$A163)</f>
        <v>2015</v>
      </c>
      <c r="C163" s="0" t="n">
        <f aca="false">W_PH(C$2,$A163)</f>
        <v>2039.84068674318</v>
      </c>
      <c r="D163" s="0" t="n">
        <f aca="false">W_PH(D$2,$A163)</f>
        <v>2039.84033142342</v>
      </c>
      <c r="E163" s="0" t="n">
        <f aca="false">W_PH(E$2,$A163)</f>
        <v>2039.83997610699</v>
      </c>
      <c r="F163" s="0" t="n">
        <f aca="false">W_PH(F$2,$A163)</f>
        <v>2039.83962079389</v>
      </c>
      <c r="G163" s="0" t="n">
        <f aca="false">W_PH(G$2,$A163)</f>
        <v>2039.83606784614</v>
      </c>
      <c r="H163" s="0" t="n">
        <f aca="false">W_PH(H$2,$A163)</f>
        <v>2039.83251523153</v>
      </c>
      <c r="I163" s="0" t="n">
        <f aca="false">W_PH(I$2,$A163)</f>
        <v>2039.82896294999</v>
      </c>
      <c r="J163" s="0" t="n">
        <f aca="false">W_PH(J$2,$A163)</f>
        <v>2039.82541100146</v>
      </c>
      <c r="K163" s="0" t="n">
        <f aca="false">W_PH(K$2,$A163)</f>
        <v>2039.8218593859</v>
      </c>
      <c r="L163" s="0" t="n">
        <f aca="false">W_PH(L$2,$A163)</f>
        <v>2039.81830810325</v>
      </c>
      <c r="M163" s="0" t="n">
        <f aca="false">W_PH(M$2,$A163)</f>
        <v>2039.81475715345</v>
      </c>
      <c r="N163" s="0" t="n">
        <f aca="false">W_PH(N$2,$A163)</f>
        <v>2039.81120653645</v>
      </c>
      <c r="O163" s="0" t="n">
        <f aca="false">W_PH(O$2,$A163)</f>
        <v>2039.80765625219</v>
      </c>
      <c r="P163" s="0" t="n">
        <f aca="false">W_PH(P$2,$A163)</f>
        <v>2039.77217169819</v>
      </c>
      <c r="Q163" s="0" t="n">
        <f aca="false">W_PH(Q$2,$A163)</f>
        <v>2039.73672035754</v>
      </c>
      <c r="R163" s="0" t="n">
        <f aca="false">W_PH(R$2,$A163)</f>
        <v>2039.70130217514</v>
      </c>
      <c r="S163" s="0" t="n">
        <f aca="false">W_PH(S$2,$A163)</f>
        <v>2039.66591709609</v>
      </c>
      <c r="T163" s="0" t="n">
        <f aca="false">W_PH(T$2,$A163)</f>
        <v>2039.63056506569</v>
      </c>
      <c r="U163" s="0" t="n">
        <f aca="false">W_PH(U$2,$A163)</f>
        <v>2039.59524602946</v>
      </c>
      <c r="V163" s="0" t="n">
        <f aca="false">W_PH(V$2,$A163)</f>
        <v>2039.55995993309</v>
      </c>
      <c r="W163" s="0" t="n">
        <f aca="false">W_PH(W$2,$A163)</f>
        <v>2039.52470672247</v>
      </c>
      <c r="X163" s="0" t="n">
        <f aca="false">W_PH(X$2,$A163)</f>
        <v>2039.4894863437</v>
      </c>
      <c r="Y163" s="0" t="n">
        <f aca="false">W_PH(Y$2,$A163)</f>
        <v>2039.13907658747</v>
      </c>
      <c r="Z163" s="0" t="n">
        <f aca="false">W_PH(Z$2,$A163)</f>
        <v>2038.7918921529</v>
      </c>
      <c r="AA163" s="0" t="n">
        <f aca="false">W_PH(AA$2,$A163)</f>
        <v>2038.44788227709</v>
      </c>
      <c r="AB163" s="0" t="n">
        <f aca="false">W_PH(AB$2,$A163)</f>
        <v>2038.10699803129</v>
      </c>
      <c r="AC163" s="0" t="n">
        <f aca="false">W_PH(AC$2,$A163)</f>
        <v>2037.76919226947</v>
      </c>
      <c r="AD163" s="0" t="n">
        <f aca="false">W_PH(AD$2,$A163)</f>
        <v>2037.43441958152</v>
      </c>
      <c r="AE163" s="0" t="n">
        <f aca="false">W_PH(AE$2,$A163)</f>
        <v>2037.10263625065</v>
      </c>
      <c r="AF163" s="0" t="n">
        <f aca="false">W_PH(AF$2,$A163)</f>
        <v>2036.77380021466</v>
      </c>
      <c r="AG163" s="0" t="n">
        <f aca="false">W_PH(AG$2,$A163)</f>
        <v>2036.44787103081</v>
      </c>
      <c r="AH163" s="0" t="n">
        <f aca="false">W_PH(AH$2,$A163)</f>
        <v>2033.34066075905</v>
      </c>
      <c r="AI163" s="0" t="n">
        <f aca="false">W_PH(AI$2,$A163)</f>
        <v>2030.4907365317</v>
      </c>
      <c r="AJ163" s="0" t="n">
        <f aca="false">W_PH(AJ$2,$A163)</f>
        <v>2027.88776061646</v>
      </c>
      <c r="AK163" s="0" t="n">
        <f aca="false">W_PH(AK$2,$A163)</f>
        <v>2025.55314862813</v>
      </c>
      <c r="AL163" s="0" t="n">
        <f aca="false">W_PH(AL$2,$A163)</f>
        <v>2023.46478900065</v>
      </c>
      <c r="AM163" s="0" t="n">
        <f aca="false">W_PH(AM$2,$A163)</f>
        <v>2021.62470644159</v>
      </c>
      <c r="AN163" s="0" t="n">
        <f aca="false">W_PH(AN$2,$A163)</f>
        <v>2020.03518951627</v>
      </c>
      <c r="AO163" s="0" t="n">
        <f aca="false">W_PH(AO$2,$A163)</f>
        <v>2018.69843498369</v>
      </c>
      <c r="AP163" s="0" t="n">
        <f aca="false">W_PH(AP$2,$A163)</f>
        <v>2017.61630062085</v>
      </c>
      <c r="AQ163" s="0" t="n">
        <f aca="false">W_PH(AQ$2,$A163)</f>
        <v>2020.7667848439</v>
      </c>
      <c r="AR163" s="0" t="n">
        <f aca="false">W_PH(AR$2,$A163)</f>
        <v>2024.45191861116</v>
      </c>
      <c r="AS163" s="0" t="n">
        <f aca="false">W_PH(AS$2,$A163)</f>
        <v>2025.89646413605</v>
      </c>
    </row>
    <row r="164" customFormat="false" ht="12.8" hidden="false" customHeight="false" outlineLevel="0" collapsed="false">
      <c r="A164" s="0" t="n">
        <v>1392.94926913156</v>
      </c>
      <c r="B164" s="0" t="n">
        <f aca="false">W_PH(B$2,$A164)</f>
        <v>2015</v>
      </c>
      <c r="C164" s="0" t="n">
        <f aca="false">W_PH(C$2,$A164)</f>
        <v>2047.03762406354</v>
      </c>
      <c r="D164" s="0" t="n">
        <f aca="false">W_PH(D$2,$A164)</f>
        <v>2047.03727904657</v>
      </c>
      <c r="E164" s="0" t="n">
        <f aca="false">W_PH(E$2,$A164)</f>
        <v>2047.03693403279</v>
      </c>
      <c r="F164" s="0" t="n">
        <f aca="false">W_PH(F$2,$A164)</f>
        <v>2047.03658902219</v>
      </c>
      <c r="G164" s="0" t="n">
        <f aca="false">W_PH(G$2,$A164)</f>
        <v>2047.03313909176</v>
      </c>
      <c r="H164" s="0" t="n">
        <f aca="false">W_PH(H$2,$A164)</f>
        <v>2047.02968948036</v>
      </c>
      <c r="I164" s="0" t="n">
        <f aca="false">W_PH(I$2,$A164)</f>
        <v>2047.02624018793</v>
      </c>
      <c r="J164" s="0" t="n">
        <f aca="false">W_PH(J$2,$A164)</f>
        <v>2047.02279121443</v>
      </c>
      <c r="K164" s="0" t="n">
        <f aca="false">W_PH(K$2,$A164)</f>
        <v>2047.01934255979</v>
      </c>
      <c r="L164" s="0" t="n">
        <f aca="false">W_PH(L$2,$A164)</f>
        <v>2047.01589422398</v>
      </c>
      <c r="M164" s="0" t="n">
        <f aca="false">W_PH(M$2,$A164)</f>
        <v>2047.01244620693</v>
      </c>
      <c r="N164" s="0" t="n">
        <f aca="false">W_PH(N$2,$A164)</f>
        <v>2047.00899850859</v>
      </c>
      <c r="O164" s="0" t="n">
        <f aca="false">W_PH(O$2,$A164)</f>
        <v>2047.00555112892</v>
      </c>
      <c r="P164" s="0" t="n">
        <f aca="false">W_PH(P$2,$A164)</f>
        <v>2046.97109484723</v>
      </c>
      <c r="Q164" s="0" t="n">
        <f aca="false">W_PH(Q$2,$A164)</f>
        <v>2046.93667037473</v>
      </c>
      <c r="R164" s="0" t="n">
        <f aca="false">W_PH(R$2,$A164)</f>
        <v>2046.90227765968</v>
      </c>
      <c r="S164" s="0" t="n">
        <f aca="false">W_PH(S$2,$A164)</f>
        <v>2046.86791665057</v>
      </c>
      <c r="T164" s="0" t="n">
        <f aca="false">W_PH(T$2,$A164)</f>
        <v>2046.83358729603</v>
      </c>
      <c r="U164" s="0" t="n">
        <f aca="false">W_PH(U$2,$A164)</f>
        <v>2046.79928954491</v>
      </c>
      <c r="V164" s="0" t="n">
        <f aca="false">W_PH(V$2,$A164)</f>
        <v>2046.76502334623</v>
      </c>
      <c r="W164" s="0" t="n">
        <f aca="false">W_PH(W$2,$A164)</f>
        <v>2046.73078864918</v>
      </c>
      <c r="X164" s="0" t="n">
        <f aca="false">W_PH(X$2,$A164)</f>
        <v>2046.69658540315</v>
      </c>
      <c r="Y164" s="0" t="n">
        <f aca="false">W_PH(Y$2,$A164)</f>
        <v>2046.35627174378</v>
      </c>
      <c r="Z164" s="0" t="n">
        <f aca="false">W_PH(Z$2,$A164)</f>
        <v>2046.01904884782</v>
      </c>
      <c r="AA164" s="0" t="n">
        <f aca="false">W_PH(AA$2,$A164)</f>
        <v>2045.6848690313</v>
      </c>
      <c r="AB164" s="0" t="n">
        <f aca="false">W_PH(AB$2,$A164)</f>
        <v>2045.35368631965</v>
      </c>
      <c r="AC164" s="0" t="n">
        <f aca="false">W_PH(AC$2,$A164)</f>
        <v>2045.02545639938</v>
      </c>
      <c r="AD164" s="0" t="n">
        <f aca="false">W_PH(AD$2,$A164)</f>
        <v>2044.70013657385</v>
      </c>
      <c r="AE164" s="0" t="n">
        <f aca="false">W_PH(AE$2,$A164)</f>
        <v>2044.37768572252</v>
      </c>
      <c r="AF164" s="0" t="n">
        <f aca="false">W_PH(AF$2,$A164)</f>
        <v>2044.05806426374</v>
      </c>
      <c r="AG164" s="0" t="n">
        <f aca="false">W_PH(AG$2,$A164)</f>
        <v>2043.74123412057</v>
      </c>
      <c r="AH164" s="0" t="n">
        <f aca="false">W_PH(AH$2,$A164)</f>
        <v>2040.71909864279</v>
      </c>
      <c r="AI164" s="0" t="n">
        <f aca="false">W_PH(AI$2,$A164)</f>
        <v>2037.9444456984</v>
      </c>
      <c r="AJ164" s="0" t="n">
        <f aca="false">W_PH(AJ$2,$A164)</f>
        <v>2035.40800336563</v>
      </c>
      <c r="AK164" s="0" t="n">
        <f aca="false">W_PH(AK$2,$A164)</f>
        <v>2033.13087662936</v>
      </c>
      <c r="AL164" s="0" t="n">
        <f aca="false">W_PH(AL$2,$A164)</f>
        <v>2031.0932173579</v>
      </c>
      <c r="AM164" s="0" t="n">
        <f aca="false">W_PH(AM$2,$A164)</f>
        <v>2029.29737768168</v>
      </c>
      <c r="AN164" s="0" t="n">
        <f aca="false">W_PH(AN$2,$A164)</f>
        <v>2027.74596094323</v>
      </c>
      <c r="AO164" s="0" t="n">
        <f aca="false">W_PH(AO$2,$A164)</f>
        <v>2026.44145939947</v>
      </c>
      <c r="AP164" s="0" t="n">
        <f aca="false">W_PH(AP$2,$A164)</f>
        <v>2025.38600622686</v>
      </c>
      <c r="AQ164" s="0" t="n">
        <f aca="false">W_PH(AQ$2,$A164)</f>
        <v>2028.54845596378</v>
      </c>
      <c r="AR164" s="0" t="n">
        <f aca="false">W_PH(AR$2,$A164)</f>
        <v>2032.18913468834</v>
      </c>
      <c r="AS164" s="0" t="n">
        <f aca="false">W_PH(AS$2,$A164)</f>
        <v>2033.61588090425</v>
      </c>
    </row>
    <row r="165" customFormat="false" ht="12.8" hidden="false" customHeight="false" outlineLevel="0" collapsed="false">
      <c r="A165" s="0" t="n">
        <v>1397.24849527085</v>
      </c>
      <c r="B165" s="0" t="n">
        <f aca="false">W_PH(B$2,$A165)</f>
        <v>2015</v>
      </c>
      <c r="C165" s="0" t="n">
        <f aca="false">W_PH(C$2,$A165)</f>
        <v>2054.19195859488</v>
      </c>
      <c r="D165" s="0" t="n">
        <f aca="false">W_PH(D$2,$A165)</f>
        <v>2054.19162356563</v>
      </c>
      <c r="E165" s="0" t="n">
        <f aca="false">W_PH(E$2,$A165)</f>
        <v>2054.19128853943</v>
      </c>
      <c r="F165" s="0" t="n">
        <f aca="false">W_PH(F$2,$A165)</f>
        <v>2054.1909535163</v>
      </c>
      <c r="G165" s="0" t="n">
        <f aca="false">W_PH(G$2,$A165)</f>
        <v>2054.18760345312</v>
      </c>
      <c r="H165" s="0" t="n">
        <f aca="false">W_PH(H$2,$A165)</f>
        <v>2054.18425369568</v>
      </c>
      <c r="I165" s="0" t="n">
        <f aca="false">W_PH(I$2,$A165)</f>
        <v>2054.18090424393</v>
      </c>
      <c r="J165" s="0" t="n">
        <f aca="false">W_PH(J$2,$A165)</f>
        <v>2054.17755509782</v>
      </c>
      <c r="K165" s="0" t="n">
        <f aca="false">W_PH(K$2,$A165)</f>
        <v>2054.17420625731</v>
      </c>
      <c r="L165" s="0" t="n">
        <f aca="false">W_PH(L$2,$A165)</f>
        <v>2054.17085772234</v>
      </c>
      <c r="M165" s="0" t="n">
        <f aca="false">W_PH(M$2,$A165)</f>
        <v>2054.16750949286</v>
      </c>
      <c r="N165" s="0" t="n">
        <f aca="false">W_PH(N$2,$A165)</f>
        <v>2054.16416156883</v>
      </c>
      <c r="O165" s="0" t="n">
        <f aca="false">W_PH(O$2,$A165)</f>
        <v>2054.1608139502</v>
      </c>
      <c r="P165" s="0" t="n">
        <f aca="false">W_PH(P$2,$A165)</f>
        <v>2054.12735455008</v>
      </c>
      <c r="Q165" s="0" t="n">
        <f aca="false">W_PH(Q$2,$A165)</f>
        <v>2054.0939256362</v>
      </c>
      <c r="R165" s="0" t="n">
        <f aca="false">W_PH(R$2,$A165)</f>
        <v>2054.06052716008</v>
      </c>
      <c r="S165" s="0" t="n">
        <f aca="false">W_PH(S$2,$A165)</f>
        <v>2054.02715907336</v>
      </c>
      <c r="T165" s="0" t="n">
        <f aca="false">W_PH(T$2,$A165)</f>
        <v>2053.99382132791</v>
      </c>
      <c r="U165" s="0" t="n">
        <f aca="false">W_PH(U$2,$A165)</f>
        <v>2053.96051387571</v>
      </c>
      <c r="V165" s="0" t="n">
        <f aca="false">W_PH(V$2,$A165)</f>
        <v>2053.92723666896</v>
      </c>
      <c r="W165" s="0" t="n">
        <f aca="false">W_PH(W$2,$A165)</f>
        <v>2053.89398966001</v>
      </c>
      <c r="X165" s="0" t="n">
        <f aca="false">W_PH(X$2,$A165)</f>
        <v>2053.86077280138</v>
      </c>
      <c r="Y165" s="0" t="n">
        <f aca="false">W_PH(Y$2,$A165)</f>
        <v>2053.5302521583</v>
      </c>
      <c r="Z165" s="0" t="n">
        <f aca="false">W_PH(Z$2,$A165)</f>
        <v>2053.20269556495</v>
      </c>
      <c r="AA165" s="0" t="n">
        <f aca="false">W_PH(AA$2,$A165)</f>
        <v>2052.87805826879</v>
      </c>
      <c r="AB165" s="0" t="n">
        <f aca="false">W_PH(AB$2,$A165)</f>
        <v>2052.55629710702</v>
      </c>
      <c r="AC165" s="0" t="n">
        <f aca="false">W_PH(AC$2,$A165)</f>
        <v>2052.23737046142</v>
      </c>
      <c r="AD165" s="0" t="n">
        <f aca="false">W_PH(AD$2,$A165)</f>
        <v>2051.92123821657</v>
      </c>
      <c r="AE165" s="0" t="n">
        <f aca="false">W_PH(AE$2,$A165)</f>
        <v>2051.60786172124</v>
      </c>
      <c r="AF165" s="0" t="n">
        <f aca="false">W_PH(AF$2,$A165)</f>
        <v>2051.2972037528</v>
      </c>
      <c r="AG165" s="0" t="n">
        <f aca="false">W_PH(AG$2,$A165)</f>
        <v>2050.98922848428</v>
      </c>
      <c r="AH165" s="0" t="n">
        <f aca="false">W_PH(AH$2,$A165)</f>
        <v>2048.05008604403</v>
      </c>
      <c r="AI165" s="0" t="n">
        <f aca="false">W_PH(AI$2,$A165)</f>
        <v>2045.34924206687</v>
      </c>
      <c r="AJ165" s="0" t="n">
        <f aca="false">W_PH(AJ$2,$A165)</f>
        <v>2042.87843947275</v>
      </c>
      <c r="AK165" s="0" t="n">
        <f aca="false">W_PH(AK$2,$A165)</f>
        <v>2040.65804085574</v>
      </c>
      <c r="AL165" s="0" t="n">
        <f aca="false">W_PH(AL$2,$A165)</f>
        <v>2038.67065812334</v>
      </c>
      <c r="AM165" s="0" t="n">
        <f aca="false">W_PH(AM$2,$A165)</f>
        <v>2036.91892304213</v>
      </c>
      <c r="AN165" s="0" t="n">
        <f aca="false">W_PH(AN$2,$A165)</f>
        <v>2035.4057091967</v>
      </c>
      <c r="AO165" s="0" t="n">
        <f aca="false">W_PH(AO$2,$A165)</f>
        <v>2034.13376548239</v>
      </c>
      <c r="AP165" s="0" t="n">
        <f aca="false">W_PH(AP$2,$A165)</f>
        <v>2033.10546763263</v>
      </c>
      <c r="AQ165" s="0" t="n">
        <f aca="false">W_PH(AQ$2,$A165)</f>
        <v>2036.28940281848</v>
      </c>
      <c r="AR165" s="0" t="n">
        <f aca="false">W_PH(AR$2,$A165)</f>
        <v>2039.88798120444</v>
      </c>
      <c r="AS165" s="0" t="n">
        <f aca="false">W_PH(AS$2,$A165)</f>
        <v>2041.2977173079</v>
      </c>
    </row>
    <row r="166" customFormat="false" ht="12.8" hidden="false" customHeight="false" outlineLevel="0" collapsed="false">
      <c r="A166" s="0" t="n">
        <v>1401.54772141015</v>
      </c>
      <c r="B166" s="0" t="n">
        <f aca="false">W_PH(B$2,$A166)</f>
        <v>2015</v>
      </c>
      <c r="C166" s="0" t="n">
        <f aca="false">W_PH(C$2,$A166)</f>
        <v>2061.30421247395</v>
      </c>
      <c r="D166" s="0" t="n">
        <f aca="false">W_PH(D$2,$A166)</f>
        <v>2061.30388713212</v>
      </c>
      <c r="E166" s="0" t="n">
        <f aca="false">W_PH(E$2,$A166)</f>
        <v>2061.30356179322</v>
      </c>
      <c r="F166" s="0" t="n">
        <f aca="false">W_PH(F$2,$A166)</f>
        <v>2061.30323645725</v>
      </c>
      <c r="G166" s="0" t="n">
        <f aca="false">W_PH(G$2,$A166)</f>
        <v>2061.29998325883</v>
      </c>
      <c r="H166" s="0" t="n">
        <f aca="false">W_PH(H$2,$A166)</f>
        <v>2061.29673035361</v>
      </c>
      <c r="I166" s="0" t="n">
        <f aca="false">W_PH(I$2,$A166)</f>
        <v>2061.29347774155</v>
      </c>
      <c r="J166" s="0" t="n">
        <f aca="false">W_PH(J$2,$A166)</f>
        <v>2061.29022542259</v>
      </c>
      <c r="K166" s="0" t="n">
        <f aca="false">W_PH(K$2,$A166)</f>
        <v>2061.28697339669</v>
      </c>
      <c r="L166" s="0" t="n">
        <f aca="false">W_PH(L$2,$A166)</f>
        <v>2061.28372166381</v>
      </c>
      <c r="M166" s="0" t="n">
        <f aca="false">W_PH(M$2,$A166)</f>
        <v>2061.2804702239</v>
      </c>
      <c r="N166" s="0" t="n">
        <f aca="false">W_PH(N$2,$A166)</f>
        <v>2061.27721907692</v>
      </c>
      <c r="O166" s="0" t="n">
        <f aca="false">W_PH(O$2,$A166)</f>
        <v>2061.27396822281</v>
      </c>
      <c r="P166" s="0" t="n">
        <f aca="false">W_PH(P$2,$A166)</f>
        <v>2061.24147578003</v>
      </c>
      <c r="Q166" s="0" t="n">
        <f aca="false">W_PH(Q$2,$A166)</f>
        <v>2061.20901257497</v>
      </c>
      <c r="R166" s="0" t="n">
        <f aca="false">W_PH(R$2,$A166)</f>
        <v>2061.17657856217</v>
      </c>
      <c r="S166" s="0" t="n">
        <f aca="false">W_PH(S$2,$A166)</f>
        <v>2061.14417369636</v>
      </c>
      <c r="T166" s="0" t="n">
        <f aca="false">W_PH(T$2,$A166)</f>
        <v>2061.11179793243</v>
      </c>
      <c r="U166" s="0" t="n">
        <f aca="false">W_PH(U$2,$A166)</f>
        <v>2061.07945122539</v>
      </c>
      <c r="V166" s="0" t="n">
        <f aca="false">W_PH(V$2,$A166)</f>
        <v>2061.04713353046</v>
      </c>
      <c r="W166" s="0" t="n">
        <f aca="false">W_PH(W$2,$A166)</f>
        <v>2061.01484480298</v>
      </c>
      <c r="X166" s="0" t="n">
        <f aca="false">W_PH(X$2,$A166)</f>
        <v>2060.98258499848</v>
      </c>
      <c r="Y166" s="0" t="n">
        <f aca="false">W_PH(Y$2,$A166)</f>
        <v>2060.66156804141</v>
      </c>
      <c r="Z166" s="0" t="n">
        <f aca="false">W_PH(Z$2,$A166)</f>
        <v>2060.34339559876</v>
      </c>
      <c r="AA166" s="0" t="n">
        <f aca="false">W_PH(AA$2,$A166)</f>
        <v>2060.02802571255</v>
      </c>
      <c r="AB166" s="0" t="n">
        <f aca="false">W_PH(AB$2,$A166)</f>
        <v>2059.71541790053</v>
      </c>
      <c r="AC166" s="0" t="n">
        <f aca="false">W_PH(AC$2,$A166)</f>
        <v>2059.40553311394</v>
      </c>
      <c r="AD166" s="0" t="n">
        <f aca="false">W_PH(AD$2,$A166)</f>
        <v>2059.09833369829</v>
      </c>
      <c r="AE166" s="0" t="n">
        <f aca="false">W_PH(AE$2,$A166)</f>
        <v>2058.79378335694</v>
      </c>
      <c r="AF166" s="0" t="n">
        <f aca="false">W_PH(AF$2,$A166)</f>
        <v>2058.49184711718</v>
      </c>
      <c r="AG166" s="0" t="n">
        <f aca="false">W_PH(AG$2,$A166)</f>
        <v>2058.19249129881</v>
      </c>
      <c r="AH166" s="0" t="n">
        <f aca="false">W_PH(AH$2,$A166)</f>
        <v>2055.3343181374</v>
      </c>
      <c r="AI166" s="0" t="n">
        <f aca="false">W_PH(AI$2,$A166)</f>
        <v>2052.70583213214</v>
      </c>
      <c r="AJ166" s="0" t="n">
        <f aca="false">W_PH(AJ$2,$A166)</f>
        <v>2050.29975099457</v>
      </c>
      <c r="AK166" s="0" t="n">
        <f aca="false">W_PH(AK$2,$A166)</f>
        <v>2048.13532231632</v>
      </c>
      <c r="AL166" s="0" t="n">
        <f aca="false">W_PH(AL$2,$A166)</f>
        <v>2046.19777280152</v>
      </c>
      <c r="AM166" s="0" t="n">
        <f aca="false">W_PH(AM$2,$A166)</f>
        <v>2044.48997242959</v>
      </c>
      <c r="AN166" s="0" t="n">
        <f aca="false">W_PH(AN$2,$A166)</f>
        <v>2043.01502524879</v>
      </c>
      <c r="AO166" s="0" t="n">
        <f aca="false">W_PH(AO$2,$A166)</f>
        <v>2041.77590108201</v>
      </c>
      <c r="AP166" s="0" t="n">
        <f aca="false">W_PH(AP$2,$A166)</f>
        <v>2040.77518720832</v>
      </c>
      <c r="AQ166" s="0" t="n">
        <f aca="false">W_PH(AQ$2,$A166)</f>
        <v>2043.98960117524</v>
      </c>
      <c r="AR166" s="0" t="n">
        <f aca="false">W_PH(AR$2,$A166)</f>
        <v>2047.54831377426</v>
      </c>
      <c r="AS166" s="0" t="n">
        <f aca="false">W_PH(AS$2,$A166)</f>
        <v>2048.94178934948</v>
      </c>
    </row>
    <row r="167" customFormat="false" ht="12.8" hidden="false" customHeight="false" outlineLevel="0" collapsed="false">
      <c r="A167" s="0" t="n">
        <v>1405.84694754944</v>
      </c>
      <c r="B167" s="0" t="n">
        <f aca="false">W_PH(B$2,$A167)</f>
        <v>2015</v>
      </c>
      <c r="C167" s="0" t="n">
        <f aca="false">W_PH(C$2,$A167)</f>
        <v>2068.37489868765</v>
      </c>
      <c r="D167" s="0" t="n">
        <f aca="false">W_PH(D$2,$A167)</f>
        <v>2068.37458274684</v>
      </c>
      <c r="E167" s="0" t="n">
        <f aca="false">W_PH(E$2,$A167)</f>
        <v>2068.37426680885</v>
      </c>
      <c r="F167" s="0" t="n">
        <f aca="false">W_PH(F$2,$A167)</f>
        <v>2068.37395087367</v>
      </c>
      <c r="G167" s="0" t="n">
        <f aca="false">W_PH(G$2,$A167)</f>
        <v>2068.37079167664</v>
      </c>
      <c r="H167" s="0" t="n">
        <f aca="false">W_PH(H$2,$A167)</f>
        <v>2068.36763276095</v>
      </c>
      <c r="I167" s="0" t="n">
        <f aca="false">W_PH(I$2,$A167)</f>
        <v>2068.36447412657</v>
      </c>
      <c r="J167" s="0" t="n">
        <f aca="false">W_PH(J$2,$A167)</f>
        <v>2068.36131577344</v>
      </c>
      <c r="K167" s="0" t="n">
        <f aca="false">W_PH(K$2,$A167)</f>
        <v>2068.35815770153</v>
      </c>
      <c r="L167" s="0" t="n">
        <f aca="false">W_PH(L$2,$A167)</f>
        <v>2068.3549999108</v>
      </c>
      <c r="M167" s="0" t="n">
        <f aca="false">W_PH(M$2,$A167)</f>
        <v>2068.35184240119</v>
      </c>
      <c r="N167" s="0" t="n">
        <f aca="false">W_PH(N$2,$A167)</f>
        <v>2068.34868517267</v>
      </c>
      <c r="O167" s="0" t="n">
        <f aca="false">W_PH(O$2,$A167)</f>
        <v>2068.3455282252</v>
      </c>
      <c r="P167" s="0" t="n">
        <f aca="false">W_PH(P$2,$A167)</f>
        <v>2068.31397419852</v>
      </c>
      <c r="Q167" s="0" t="n">
        <f aca="false">W_PH(Q$2,$A167)</f>
        <v>2068.28244822938</v>
      </c>
      <c r="R167" s="0" t="n">
        <f aca="false">W_PH(R$2,$A167)</f>
        <v>2068.25095027527</v>
      </c>
      <c r="S167" s="0" t="n">
        <f aca="false">W_PH(S$2,$A167)</f>
        <v>2068.21948029381</v>
      </c>
      <c r="T167" s="0" t="n">
        <f aca="false">W_PH(T$2,$A167)</f>
        <v>2068.18803824277</v>
      </c>
      <c r="U167" s="0" t="n">
        <f aca="false">W_PH(U$2,$A167)</f>
        <v>2068.15662408008</v>
      </c>
      <c r="V167" s="0" t="n">
        <f aca="false">W_PH(V$2,$A167)</f>
        <v>2068.12523776382</v>
      </c>
      <c r="W167" s="0" t="n">
        <f aca="false">W_PH(W$2,$A167)</f>
        <v>2068.0938792522</v>
      </c>
      <c r="X167" s="0" t="n">
        <f aca="false">W_PH(X$2,$A167)</f>
        <v>2068.06254850358</v>
      </c>
      <c r="Y167" s="0" t="n">
        <f aca="false">W_PH(Y$2,$A167)</f>
        <v>2067.75075892651</v>
      </c>
      <c r="Z167" s="0" t="n">
        <f aca="false">W_PH(Z$2,$A167)</f>
        <v>2067.44170091962</v>
      </c>
      <c r="AA167" s="0" t="n">
        <f aca="false">W_PH(AA$2,$A167)</f>
        <v>2067.13533519116</v>
      </c>
      <c r="AB167" s="0" t="n">
        <f aca="false">W_PH(AB$2,$A167)</f>
        <v>2066.83162381689</v>
      </c>
      <c r="AC167" s="0" t="n">
        <f aca="false">W_PH(AC$2,$A167)</f>
        <v>2066.53053020076</v>
      </c>
      <c r="AD167" s="0" t="n">
        <f aca="false">W_PH(AD$2,$A167)</f>
        <v>2066.2320190382</v>
      </c>
      <c r="AE167" s="0" t="n">
        <f aca="false">W_PH(AE$2,$A167)</f>
        <v>2065.9360562818</v>
      </c>
      <c r="AF167" s="0" t="n">
        <f aca="false">W_PH(AF$2,$A167)</f>
        <v>2065.64260910922</v>
      </c>
      <c r="AG167" s="0" t="n">
        <f aca="false">W_PH(AG$2,$A167)</f>
        <v>2065.35164589334</v>
      </c>
      <c r="AH167" s="0" t="n">
        <f aca="false">W_PH(AH$2,$A167)</f>
        <v>2062.57247722972</v>
      </c>
      <c r="AI167" s="0" t="n">
        <f aca="false">W_PH(AI$2,$A167)</f>
        <v>2060.01491315068</v>
      </c>
      <c r="AJ167" s="0" t="n">
        <f aca="false">W_PH(AJ$2,$A167)</f>
        <v>2057.67261472652</v>
      </c>
      <c r="AK167" s="0" t="n">
        <f aca="false">W_PH(AK$2,$A167)</f>
        <v>2055.56339948346</v>
      </c>
      <c r="AL167" s="0" t="n">
        <f aca="false">W_PH(AL$2,$A167)</f>
        <v>2053.67522351195</v>
      </c>
      <c r="AM167" s="0" t="n">
        <f aca="false">W_PH(AM$2,$A167)</f>
        <v>2052.01115918718</v>
      </c>
      <c r="AN167" s="0" t="n">
        <f aca="false">W_PH(AN$2,$A167)</f>
        <v>2050.57450563197</v>
      </c>
      <c r="AO167" s="0" t="n">
        <f aca="false">W_PH(AO$2,$A167)</f>
        <v>2049.36842096761</v>
      </c>
      <c r="AP167" s="0" t="n">
        <f aca="false">W_PH(AP$2,$A167)</f>
        <v>2048.3956749667</v>
      </c>
      <c r="AQ167" s="0" t="n">
        <f aca="false">W_PH(AQ$2,$A167)</f>
        <v>2051.64904953131</v>
      </c>
      <c r="AR167" s="0" t="n">
        <f aca="false">W_PH(AR$2,$A167)</f>
        <v>2055.17001818736</v>
      </c>
      <c r="AS167" s="0" t="n">
        <f aca="false">W_PH(AS$2,$A167)</f>
        <v>2056.5479455814</v>
      </c>
    </row>
    <row r="168" customFormat="false" ht="12.8" hidden="false" customHeight="false" outlineLevel="0" collapsed="false">
      <c r="A168" s="0" t="n">
        <v>1410.14617368874</v>
      </c>
      <c r="B168" s="0" t="n">
        <f aca="false">W_PH(B$2,$A168)</f>
        <v>2015</v>
      </c>
      <c r="C168" s="0" t="n">
        <f aca="false">W_PH(C$2,$A168)</f>
        <v>2075.40452136365</v>
      </c>
      <c r="D168" s="0" t="n">
        <f aca="false">W_PH(D$2,$A168)</f>
        <v>2075.40421455059</v>
      </c>
      <c r="E168" s="0" t="n">
        <f aca="false">W_PH(E$2,$A168)</f>
        <v>2075.40390774024</v>
      </c>
      <c r="F168" s="0" t="n">
        <f aca="false">W_PH(F$2,$A168)</f>
        <v>2075.40360093259</v>
      </c>
      <c r="G168" s="0" t="n">
        <f aca="false">W_PH(G$2,$A168)</f>
        <v>2075.40053300465</v>
      </c>
      <c r="H168" s="0" t="n">
        <f aca="false">W_PH(H$2,$A168)</f>
        <v>2075.39746534683</v>
      </c>
      <c r="I168" s="0" t="n">
        <f aca="false">W_PH(I$2,$A168)</f>
        <v>2075.3943979591</v>
      </c>
      <c r="J168" s="0" t="n">
        <f aca="false">W_PH(J$2,$A168)</f>
        <v>2075.39133084141</v>
      </c>
      <c r="K168" s="0" t="n">
        <f aca="false">W_PH(K$2,$A168)</f>
        <v>2075.38826399372</v>
      </c>
      <c r="L168" s="0" t="n">
        <f aca="false">W_PH(L$2,$A168)</f>
        <v>2075.38519741599</v>
      </c>
      <c r="M168" s="0" t="n">
        <f aca="false">W_PH(M$2,$A168)</f>
        <v>2075.38213110819</v>
      </c>
      <c r="N168" s="0" t="n">
        <f aca="false">W_PH(N$2,$A168)</f>
        <v>2075.37906507027</v>
      </c>
      <c r="O168" s="0" t="n">
        <f aca="false">W_PH(O$2,$A168)</f>
        <v>2075.37599930219</v>
      </c>
      <c r="P168" s="0" t="n">
        <f aca="false">W_PH(P$2,$A168)</f>
        <v>2075.345356454</v>
      </c>
      <c r="Q168" s="0" t="n">
        <f aca="false">W_PH(Q$2,$A168)</f>
        <v>2075.31474054624</v>
      </c>
      <c r="R168" s="0" t="n">
        <f aca="false">W_PH(R$2,$A168)</f>
        <v>2075.28415153918</v>
      </c>
      <c r="S168" s="0" t="n">
        <f aca="false">W_PH(S$2,$A168)</f>
        <v>2075.25358939323</v>
      </c>
      <c r="T168" s="0" t="n">
        <f aca="false">W_PH(T$2,$A168)</f>
        <v>2075.22305406892</v>
      </c>
      <c r="U168" s="0" t="n">
        <f aca="false">W_PH(U$2,$A168)</f>
        <v>2075.19254552693</v>
      </c>
      <c r="V168" s="0" t="n">
        <f aca="false">W_PH(V$2,$A168)</f>
        <v>2075.16206372808</v>
      </c>
      <c r="W168" s="0" t="n">
        <f aca="false">W_PH(W$2,$A168)</f>
        <v>2075.13160863331</v>
      </c>
      <c r="X168" s="0" t="n">
        <f aca="false">W_PH(X$2,$A168)</f>
        <v>2075.10118020371</v>
      </c>
      <c r="Y168" s="0" t="n">
        <f aca="false">W_PH(Y$2,$A168)</f>
        <v>2074.79835402633</v>
      </c>
      <c r="Z168" s="0" t="n">
        <f aca="false">W_PH(Z$2,$A168)</f>
        <v>2074.49815254726</v>
      </c>
      <c r="AA168" s="0" t="n">
        <f aca="false">W_PH(AA$2,$A168)</f>
        <v>2074.20053901943</v>
      </c>
      <c r="AB168" s="0" t="n">
        <f aca="false">W_PH(AB$2,$A168)</f>
        <v>2073.90547796108</v>
      </c>
      <c r="AC168" s="0" t="n">
        <f aca="false">W_PH(AC$2,$A168)</f>
        <v>2073.61293511924</v>
      </c>
      <c r="AD168" s="0" t="n">
        <f aca="false">W_PH(AD$2,$A168)</f>
        <v>2073.32287743538</v>
      </c>
      <c r="AE168" s="0" t="n">
        <f aca="false">W_PH(AE$2,$A168)</f>
        <v>2073.03527301323</v>
      </c>
      <c r="AF168" s="0" t="n">
        <f aca="false">W_PH(AF$2,$A168)</f>
        <v>2072.75009108856</v>
      </c>
      <c r="AG168" s="0" t="n">
        <f aca="false">W_PH(AG$2,$A168)</f>
        <v>2072.46730200085</v>
      </c>
      <c r="AH168" s="0" t="n">
        <f aca="false">W_PH(AH$2,$A168)</f>
        <v>2069.76523244672</v>
      </c>
      <c r="AI168" s="0" t="n">
        <f aca="false">W_PH(AI$2,$A168)</f>
        <v>2067.27717240424</v>
      </c>
      <c r="AJ168" s="0" t="n">
        <f aca="false">W_PH(AJ$2,$A168)</f>
        <v>2064.99770131602</v>
      </c>
      <c r="AK168" s="0" t="n">
        <f aca="false">W_PH(AK$2,$A168)</f>
        <v>2062.94294697138</v>
      </c>
      <c r="AL168" s="0" t="n">
        <f aca="false">W_PH(AL$2,$A168)</f>
        <v>2061.10367138149</v>
      </c>
      <c r="AM168" s="0" t="n">
        <f aca="false">W_PH(AM$2,$A168)</f>
        <v>2059.48311840775</v>
      </c>
      <c r="AN168" s="0" t="n">
        <f aca="false">W_PH(AN$2,$A168)</f>
        <v>2058.08475087299</v>
      </c>
      <c r="AO168" s="0" t="n">
        <f aca="false">W_PH(AO$2,$A168)</f>
        <v>2056.91188553748</v>
      </c>
      <c r="AP168" s="0" t="n">
        <f aca="false">W_PH(AP$2,$A168)</f>
        <v>2055.96744764179</v>
      </c>
      <c r="AQ168" s="0" t="n">
        <f aca="false">W_PH(AQ$2,$A168)</f>
        <v>2059.26776979731</v>
      </c>
      <c r="AR168" s="0" t="n">
        <f aca="false">W_PH(AR$2,$A168)</f>
        <v>2062.75301130241</v>
      </c>
      <c r="AS168" s="0" t="n">
        <f aca="false">W_PH(AS$2,$A168)</f>
        <v>2064.11606817437</v>
      </c>
    </row>
    <row r="169" customFormat="false" ht="12.8" hidden="false" customHeight="false" outlineLevel="0" collapsed="false">
      <c r="A169" s="0" t="n">
        <v>1414.44539982803</v>
      </c>
      <c r="B169" s="0" t="n">
        <f aca="false">W_PH(B$2,$A169)</f>
        <v>2015</v>
      </c>
      <c r="C169" s="0" t="n">
        <f aca="false">W_PH(C$2,$A169)</f>
        <v>2082.39357604642</v>
      </c>
      <c r="D169" s="0" t="n">
        <f aca="false">W_PH(D$2,$A169)</f>
        <v>2082.39327810019</v>
      </c>
      <c r="E169" s="0" t="n">
        <f aca="false">W_PH(E$2,$A169)</f>
        <v>2082.39298015656</v>
      </c>
      <c r="F169" s="0" t="n">
        <f aca="false">W_PH(F$2,$A169)</f>
        <v>2082.39268221552</v>
      </c>
      <c r="G169" s="0" t="n">
        <f aca="false">W_PH(G$2,$A169)</f>
        <v>2082.38970294785</v>
      </c>
      <c r="H169" s="0" t="n">
        <f aca="false">W_PH(H$2,$A169)</f>
        <v>2082.38672393968</v>
      </c>
      <c r="I169" s="0" t="n">
        <f aca="false">W_PH(I$2,$A169)</f>
        <v>2082.38374519095</v>
      </c>
      <c r="J169" s="0" t="n">
        <f aca="false">W_PH(J$2,$A169)</f>
        <v>2082.38076670164</v>
      </c>
      <c r="K169" s="0" t="n">
        <f aca="false">W_PH(K$2,$A169)</f>
        <v>2082.3777884717</v>
      </c>
      <c r="L169" s="0" t="n">
        <f aca="false">W_PH(L$2,$A169)</f>
        <v>2082.3748105011</v>
      </c>
      <c r="M169" s="0" t="n">
        <f aca="false">W_PH(M$2,$A169)</f>
        <v>2082.3718327898</v>
      </c>
      <c r="N169" s="0" t="n">
        <f aca="false">W_PH(N$2,$A169)</f>
        <v>2082.36885533776</v>
      </c>
      <c r="O169" s="0" t="n">
        <f aca="false">W_PH(O$2,$A169)</f>
        <v>2082.36587814495</v>
      </c>
      <c r="P169" s="0" t="n">
        <f aca="false">W_PH(P$2,$A169)</f>
        <v>2082.3361204661</v>
      </c>
      <c r="Q169" s="0" t="n">
        <f aca="false">W_PH(Q$2,$A169)</f>
        <v>2082.30638866895</v>
      </c>
      <c r="R169" s="0" t="n">
        <f aca="false">W_PH(R$2,$A169)</f>
        <v>2082.27668271642</v>
      </c>
      <c r="S169" s="0" t="n">
        <f aca="false">W_PH(S$2,$A169)</f>
        <v>2082.24700257156</v>
      </c>
      <c r="T169" s="0" t="n">
        <f aca="false">W_PH(T$2,$A169)</f>
        <v>2082.21734819755</v>
      </c>
      <c r="U169" s="0" t="n">
        <f aca="false">W_PH(U$2,$A169)</f>
        <v>2082.18771955767</v>
      </c>
      <c r="V169" s="0" t="n">
        <f aca="false">W_PH(V$2,$A169)</f>
        <v>2082.15811661538</v>
      </c>
      <c r="W169" s="0" t="n">
        <f aca="false">W_PH(W$2,$A169)</f>
        <v>2082.1285393342</v>
      </c>
      <c r="X169" s="0" t="n">
        <f aca="false">W_PH(X$2,$A169)</f>
        <v>2082.09898767783</v>
      </c>
      <c r="Y169" s="0" t="n">
        <f aca="false">W_PH(Y$2,$A169)</f>
        <v>2081.80487257606</v>
      </c>
      <c r="Z169" s="0" t="n">
        <f aca="false">W_PH(Z$2,$A169)</f>
        <v>2081.51328091391</v>
      </c>
      <c r="AA169" s="0" t="n">
        <f aca="false">W_PH(AA$2,$A169)</f>
        <v>2081.22417837307</v>
      </c>
      <c r="AB169" s="0" t="n">
        <f aca="false">W_PH(AB$2,$A169)</f>
        <v>2080.93753180441</v>
      </c>
      <c r="AC169" s="0" t="n">
        <f aca="false">W_PH(AC$2,$A169)</f>
        <v>2080.653309194</v>
      </c>
      <c r="AD169" s="0" t="n">
        <f aca="false">W_PH(AD$2,$A169)</f>
        <v>2080.37147963117</v>
      </c>
      <c r="AE169" s="0" t="n">
        <f aca="false">W_PH(AE$2,$A169)</f>
        <v>2080.09201327832</v>
      </c>
      <c r="AF169" s="0" t="n">
        <f aca="false">W_PH(AF$2,$A169)</f>
        <v>2079.81488134256</v>
      </c>
      <c r="AG169" s="0" t="n">
        <f aca="false">W_PH(AG$2,$A169)</f>
        <v>2079.54005604897</v>
      </c>
      <c r="AH169" s="0" t="n">
        <f aca="false">W_PH(AH$2,$A169)</f>
        <v>2076.91323955256</v>
      </c>
      <c r="AI169" s="0" t="n">
        <f aca="false">W_PH(AI$2,$A169)</f>
        <v>2074.49328661693</v>
      </c>
      <c r="AJ169" s="0" t="n">
        <f aca="false">W_PH(AJ$2,$A169)</f>
        <v>2072.2756745176</v>
      </c>
      <c r="AK169" s="0" t="n">
        <f aca="false">W_PH(AK$2,$A169)</f>
        <v>2070.27463440531</v>
      </c>
      <c r="AL169" s="0" t="n">
        <f aca="false">W_PH(AL$2,$A169)</f>
        <v>2068.48377513741</v>
      </c>
      <c r="AM169" s="0" t="n">
        <f aca="false">W_PH(AM$2,$A169)</f>
        <v>2066.90648542138</v>
      </c>
      <c r="AN169" s="0" t="n">
        <f aca="false">W_PH(AN$2,$A169)</f>
        <v>2065.5463640489</v>
      </c>
      <c r="AO169" s="0" t="n">
        <f aca="false">W_PH(AO$2,$A169)</f>
        <v>2064.40685958489</v>
      </c>
      <c r="AP169" s="0" t="n">
        <f aca="false">W_PH(AP$2,$A169)</f>
        <v>2063.49102775671</v>
      </c>
      <c r="AQ169" s="0" t="n">
        <f aca="false">W_PH(AQ$2,$A169)</f>
        <v>2066.84580760936</v>
      </c>
      <c r="AR169" s="0" t="n">
        <f aca="false">W_PH(AR$2,$A169)</f>
        <v>2070.29724137639</v>
      </c>
      <c r="AS169" s="0" t="n">
        <f aca="false">W_PH(AS$2,$A169)</f>
        <v>2071.64607333562</v>
      </c>
    </row>
    <row r="170" customFormat="false" ht="12.8" hidden="false" customHeight="false" outlineLevel="0" collapsed="false">
      <c r="A170" s="0" t="n">
        <v>1418.74462596733</v>
      </c>
      <c r="B170" s="0" t="n">
        <f aca="false">W_PH(B$2,$A170)</f>
        <v>2015</v>
      </c>
      <c r="C170" s="0" t="n">
        <f aca="false">W_PH(C$2,$A170)</f>
        <v>2089.34254995964</v>
      </c>
      <c r="D170" s="0" t="n">
        <f aca="false">W_PH(D$2,$A170)</f>
        <v>2089.34226063095</v>
      </c>
      <c r="E170" s="0" t="n">
        <f aca="false">W_PH(E$2,$A170)</f>
        <v>2089.34197130474</v>
      </c>
      <c r="F170" s="0" t="n">
        <f aca="false">W_PH(F$2,$A170)</f>
        <v>2089.34168198104</v>
      </c>
      <c r="G170" s="0" t="n">
        <f aca="false">W_PH(G$2,$A170)</f>
        <v>2089.33878888114</v>
      </c>
      <c r="H170" s="0" t="n">
        <f aca="false">W_PH(H$2,$A170)</f>
        <v>2089.33589603063</v>
      </c>
      <c r="I170" s="0" t="n">
        <f aca="false">W_PH(I$2,$A170)</f>
        <v>2089.33300342949</v>
      </c>
      <c r="J170" s="0" t="n">
        <f aca="false">W_PH(J$2,$A170)</f>
        <v>2089.33011107768</v>
      </c>
      <c r="K170" s="0" t="n">
        <f aca="false">W_PH(K$2,$A170)</f>
        <v>2089.32721897516</v>
      </c>
      <c r="L170" s="0" t="n">
        <f aca="false">W_PH(L$2,$A170)</f>
        <v>2089.32432712189</v>
      </c>
      <c r="M170" s="0" t="n">
        <f aca="false">W_PH(M$2,$A170)</f>
        <v>2089.32143551785</v>
      </c>
      <c r="N170" s="0" t="n">
        <f aca="false">W_PH(N$2,$A170)</f>
        <v>2089.318544163</v>
      </c>
      <c r="O170" s="0" t="n">
        <f aca="false">W_PH(O$2,$A170)</f>
        <v>2089.3156530573</v>
      </c>
      <c r="P170" s="0" t="n">
        <f aca="false">W_PH(P$2,$A170)</f>
        <v>2089.28675569607</v>
      </c>
      <c r="Q170" s="0" t="n">
        <f aca="false">W_PH(Q$2,$A170)</f>
        <v>2089.25788321201</v>
      </c>
      <c r="R170" s="0" t="n">
        <f aca="false">W_PH(R$2,$A170)</f>
        <v>2089.22903557058</v>
      </c>
      <c r="S170" s="0" t="n">
        <f aca="false">W_PH(S$2,$A170)</f>
        <v>2089.20021273735</v>
      </c>
      <c r="T170" s="0" t="n">
        <f aca="false">W_PH(T$2,$A170)</f>
        <v>2089.17141467799</v>
      </c>
      <c r="U170" s="0" t="n">
        <f aca="false">W_PH(U$2,$A170)</f>
        <v>2089.14264135832</v>
      </c>
      <c r="V170" s="0" t="n">
        <f aca="false">W_PH(V$2,$A170)</f>
        <v>2089.11389274425</v>
      </c>
      <c r="W170" s="0" t="n">
        <f aca="false">W_PH(W$2,$A170)</f>
        <v>2089.08516880182</v>
      </c>
      <c r="X170" s="0" t="n">
        <f aca="false">W_PH(X$2,$A170)</f>
        <v>2089.05646949717</v>
      </c>
      <c r="Y170" s="0" t="n">
        <f aca="false">W_PH(Y$2,$A170)</f>
        <v>2088.77082416368</v>
      </c>
      <c r="Z170" s="0" t="n">
        <f aca="false">W_PH(Z$2,$A170)</f>
        <v>2088.48760621692</v>
      </c>
      <c r="AA170" s="0" t="n">
        <f aca="false">W_PH(AA$2,$A170)</f>
        <v>2088.20678365616</v>
      </c>
      <c r="AB170" s="0" t="n">
        <f aca="false">W_PH(AB$2,$A170)</f>
        <v>2087.92832555966</v>
      </c>
      <c r="AC170" s="0" t="n">
        <f aca="false">W_PH(AC$2,$A170)</f>
        <v>2087.65220205314</v>
      </c>
      <c r="AD170" s="0" t="n">
        <f aca="false">W_PH(AD$2,$A170)</f>
        <v>2087.37838428007</v>
      </c>
      <c r="AE170" s="0" t="n">
        <f aca="false">W_PH(AE$2,$A170)</f>
        <v>2087.10684437347</v>
      </c>
      <c r="AF170" s="0" t="n">
        <f aca="false">W_PH(AF$2,$A170)</f>
        <v>2086.8375554293</v>
      </c>
      <c r="AG170" s="0" t="n">
        <f aca="false">W_PH(AG$2,$A170)</f>
        <v>2086.57049148133</v>
      </c>
      <c r="AH170" s="0" t="n">
        <f aca="false">W_PH(AH$2,$A170)</f>
        <v>2084.01714088142</v>
      </c>
      <c r="AI170" s="0" t="n">
        <f aca="false">W_PH(AI$2,$A170)</f>
        <v>2081.66392150475</v>
      </c>
      <c r="AJ170" s="0" t="n">
        <f aca="false">W_PH(AJ$2,$A170)</f>
        <v>2079.50719057307</v>
      </c>
      <c r="AK170" s="0" t="n">
        <f aca="false">W_PH(AK$2,$A170)</f>
        <v>2077.55912546225</v>
      </c>
      <c r="AL170" s="0" t="n">
        <f aca="false">W_PH(AL$2,$A170)</f>
        <v>2075.81618988508</v>
      </c>
      <c r="AM170" s="0" t="n">
        <f aca="false">W_PH(AM$2,$A170)</f>
        <v>2074.28189444819</v>
      </c>
      <c r="AN170" s="0" t="n">
        <f aca="false">W_PH(AN$2,$A170)</f>
        <v>2072.95994946437</v>
      </c>
      <c r="AO170" s="0" t="n">
        <f aca="false">W_PH(AO$2,$A170)</f>
        <v>2071.85391112708</v>
      </c>
      <c r="AP170" s="0" t="n">
        <f aca="false">W_PH(AP$2,$A170)</f>
        <v>2070.96694269225</v>
      </c>
      <c r="AQ170" s="0" t="n">
        <f aca="false">W_PH(AQ$2,$A170)</f>
        <v>2074.38323231113</v>
      </c>
      <c r="AR170" s="0" t="n">
        <f aca="false">W_PH(AR$2,$A170)</f>
        <v>2077.80268790153</v>
      </c>
      <c r="AS170" s="0" t="n">
        <f aca="false">W_PH(AS$2,$A170)</f>
        <v>2079.13791115954</v>
      </c>
    </row>
    <row r="171" customFormat="false" ht="12.8" hidden="false" customHeight="false" outlineLevel="0" collapsed="false">
      <c r="A171" s="0" t="n">
        <v>1423.04385210662</v>
      </c>
      <c r="B171" s="0" t="n">
        <f aca="false">W_PH(B$2,$A171)</f>
        <v>2015</v>
      </c>
      <c r="C171" s="0" t="n">
        <f aca="false">W_PH(C$2,$A171)</f>
        <v>2096.25192225529</v>
      </c>
      <c r="D171" s="0" t="n">
        <f aca="false">W_PH(D$2,$A171)</f>
        <v>2096.25164130579</v>
      </c>
      <c r="E171" s="0" t="n">
        <f aca="false">W_PH(E$2,$A171)</f>
        <v>2096.25136035869</v>
      </c>
      <c r="F171" s="0" t="n">
        <f aca="false">W_PH(F$2,$A171)</f>
        <v>2096.25107941399</v>
      </c>
      <c r="G171" s="0" t="n">
        <f aca="false">W_PH(G$2,$A171)</f>
        <v>2096.24827009889</v>
      </c>
      <c r="H171" s="0" t="n">
        <f aca="false">W_PH(H$2,$A171)</f>
        <v>2096.24546102359</v>
      </c>
      <c r="I171" s="0" t="n">
        <f aca="false">W_PH(I$2,$A171)</f>
        <v>2096.24265218808</v>
      </c>
      <c r="J171" s="0" t="n">
        <f aca="false">W_PH(J$2,$A171)</f>
        <v>2096.23984359231</v>
      </c>
      <c r="K171" s="0" t="n">
        <f aca="false">W_PH(K$2,$A171)</f>
        <v>2096.23703523626</v>
      </c>
      <c r="L171" s="0" t="n">
        <f aca="false">W_PH(L$2,$A171)</f>
        <v>2096.2342271199</v>
      </c>
      <c r="M171" s="0" t="n">
        <f aca="false">W_PH(M$2,$A171)</f>
        <v>2096.23141924318</v>
      </c>
      <c r="N171" s="0" t="n">
        <f aca="false">W_PH(N$2,$A171)</f>
        <v>2096.22861160608</v>
      </c>
      <c r="O171" s="0" t="n">
        <f aca="false">W_PH(O$2,$A171)</f>
        <v>2096.22580420857</v>
      </c>
      <c r="P171" s="0" t="n">
        <f aca="false">W_PH(P$2,$A171)</f>
        <v>2096.19774340361</v>
      </c>
      <c r="Q171" s="0" t="n">
        <f aca="false">W_PH(Q$2,$A171)</f>
        <v>2096.1697065218</v>
      </c>
      <c r="R171" s="0" t="n">
        <f aca="false">W_PH(R$2,$A171)</f>
        <v>2096.14169353101</v>
      </c>
      <c r="S171" s="0" t="n">
        <f aca="false">W_PH(S$2,$A171)</f>
        <v>2096.11370439921</v>
      </c>
      <c r="T171" s="0" t="n">
        <f aca="false">W_PH(T$2,$A171)</f>
        <v>2096.08573909448</v>
      </c>
      <c r="U171" s="0" t="n">
        <f aca="false">W_PH(U$2,$A171)</f>
        <v>2096.05779758499</v>
      </c>
      <c r="V171" s="0" t="n">
        <f aca="false">W_PH(V$2,$A171)</f>
        <v>2096.02987983905</v>
      </c>
      <c r="W171" s="0" t="n">
        <f aca="false">W_PH(W$2,$A171)</f>
        <v>2096.00198582505</v>
      </c>
      <c r="X171" s="0" t="n">
        <f aca="false">W_PH(X$2,$A171)</f>
        <v>2095.97411551149</v>
      </c>
      <c r="Y171" s="0" t="n">
        <f aca="false">W_PH(Y$2,$A171)</f>
        <v>2095.69670904689</v>
      </c>
      <c r="Z171" s="0" t="n">
        <f aca="false">W_PH(Z$2,$A171)</f>
        <v>2095.42163875956</v>
      </c>
      <c r="AA171" s="0" t="n">
        <f aca="false">W_PH(AA$2,$A171)</f>
        <v>2095.1488748593</v>
      </c>
      <c r="AB171" s="0" t="n">
        <f aca="false">W_PH(AB$2,$A171)</f>
        <v>2094.87838855047</v>
      </c>
      <c r="AC171" s="0" t="n">
        <f aca="false">W_PH(AC$2,$A171)</f>
        <v>2094.6101520029</v>
      </c>
      <c r="AD171" s="0" t="n">
        <f aca="false">W_PH(AD$2,$A171)</f>
        <v>2094.34413832415</v>
      </c>
      <c r="AE171" s="0" t="n">
        <f aca="false">W_PH(AE$2,$A171)</f>
        <v>2094.08032153327</v>
      </c>
      <c r="AF171" s="0" t="n">
        <f aca="false">W_PH(AF$2,$A171)</f>
        <v>2093.81867653595</v>
      </c>
      <c r="AG171" s="0" t="n">
        <f aca="false">W_PH(AG$2,$A171)</f>
        <v>2093.55917910085</v>
      </c>
      <c r="AH171" s="0" t="n">
        <f aca="false">W_PH(AH$2,$A171)</f>
        <v>2091.07756536195</v>
      </c>
      <c r="AI171" s="0" t="n">
        <f aca="false">W_PH(AI$2,$A171)</f>
        <v>2088.7897314385</v>
      </c>
      <c r="AJ171" s="0" t="n">
        <f aca="false">W_PH(AJ$2,$A171)</f>
        <v>2086.69289770067</v>
      </c>
      <c r="AK171" s="0" t="n">
        <f aca="false">W_PH(AK$2,$A171)</f>
        <v>2084.7970770637</v>
      </c>
      <c r="AL171" s="0" t="n">
        <f aca="false">W_PH(AL$2,$A171)</f>
        <v>2083.10156605334</v>
      </c>
      <c r="AM171" s="0" t="n">
        <f aca="false">W_PH(AM$2,$A171)</f>
        <v>2081.60997740558</v>
      </c>
      <c r="AN171" s="0" t="n">
        <f aca="false">W_PH(AN$2,$A171)</f>
        <v>2080.32611144688</v>
      </c>
      <c r="AO171" s="0" t="n">
        <f aca="false">W_PH(AO$2,$A171)</f>
        <v>2079.25361030131</v>
      </c>
      <c r="AP171" s="0" t="n">
        <f aca="false">W_PH(AP$2,$A171)</f>
        <v>2078.39572376555</v>
      </c>
      <c r="AQ171" s="0" t="n">
        <f aca="false">W_PH(AQ$2,$A171)</f>
        <v>2081.88013664667</v>
      </c>
      <c r="AR171" s="0" t="n">
        <f aca="false">W_PH(AR$2,$A171)</f>
        <v>2085.26936102227</v>
      </c>
      <c r="AS171" s="0" t="n">
        <f aca="false">W_PH(AS$2,$A171)</f>
        <v>2086.59156499465</v>
      </c>
    </row>
    <row r="172" customFormat="false" ht="12.8" hidden="false" customHeight="false" outlineLevel="0" collapsed="false">
      <c r="A172" s="0" t="n">
        <v>1427.34307824592</v>
      </c>
      <c r="B172" s="0" t="n">
        <f aca="false">W_PH(B$2,$A172)</f>
        <v>2015</v>
      </c>
      <c r="C172" s="0" t="n">
        <f aca="false">W_PH(C$2,$A172)</f>
        <v>2103.1221642505</v>
      </c>
      <c r="D172" s="0" t="n">
        <f aca="false">W_PH(D$2,$A172)</f>
        <v>2103.12189145219</v>
      </c>
      <c r="E172" s="0" t="n">
        <f aca="false">W_PH(E$2,$A172)</f>
        <v>2103.12161865618</v>
      </c>
      <c r="F172" s="0" t="n">
        <f aca="false">W_PH(F$2,$A172)</f>
        <v>2103.12134586248</v>
      </c>
      <c r="G172" s="0" t="n">
        <f aca="false">W_PH(G$2,$A172)</f>
        <v>2103.11861805236</v>
      </c>
      <c r="H172" s="0" t="n">
        <f aca="false">W_PH(H$2,$A172)</f>
        <v>2103.11589047294</v>
      </c>
      <c r="I172" s="0" t="n">
        <f aca="false">W_PH(I$2,$A172)</f>
        <v>2103.11316312419</v>
      </c>
      <c r="J172" s="0" t="n">
        <f aca="false">W_PH(J$2,$A172)</f>
        <v>2103.11043600609</v>
      </c>
      <c r="K172" s="0" t="n">
        <f aca="false">W_PH(K$2,$A172)</f>
        <v>2103.1077091186</v>
      </c>
      <c r="L172" s="0" t="n">
        <f aca="false">W_PH(L$2,$A172)</f>
        <v>2103.1049824617</v>
      </c>
      <c r="M172" s="0" t="n">
        <f aca="false">W_PH(M$2,$A172)</f>
        <v>2103.10225603534</v>
      </c>
      <c r="N172" s="0" t="n">
        <f aca="false">W_PH(N$2,$A172)</f>
        <v>2103.09952983951</v>
      </c>
      <c r="O172" s="0" t="n">
        <f aca="false">W_PH(O$2,$A172)</f>
        <v>2103.09680387418</v>
      </c>
      <c r="P172" s="0" t="n">
        <f aca="false">W_PH(P$2,$A172)</f>
        <v>2103.06955689132</v>
      </c>
      <c r="Q172" s="0" t="n">
        <f aca="false">W_PH(Q$2,$A172)</f>
        <v>2103.04233292481</v>
      </c>
      <c r="R172" s="0" t="n">
        <f aca="false">W_PH(R$2,$A172)</f>
        <v>2103.0151319448</v>
      </c>
      <c r="S172" s="0" t="n">
        <f aca="false">W_PH(S$2,$A172)</f>
        <v>2102.98795392156</v>
      </c>
      <c r="T172" s="0" t="n">
        <f aca="false">W_PH(T$2,$A172)</f>
        <v>2102.96079882542</v>
      </c>
      <c r="U172" s="0" t="n">
        <f aca="false">W_PH(U$2,$A172)</f>
        <v>2102.93366662684</v>
      </c>
      <c r="V172" s="0" t="n">
        <f aca="false">W_PH(V$2,$A172)</f>
        <v>2102.90655729637</v>
      </c>
      <c r="W172" s="0" t="n">
        <f aca="false">W_PH(W$2,$A172)</f>
        <v>2102.87947080467</v>
      </c>
      <c r="X172" s="0" t="n">
        <f aca="false">W_PH(X$2,$A172)</f>
        <v>2102.85240712247</v>
      </c>
      <c r="Y172" s="0" t="n">
        <f aca="false">W_PH(Y$2,$A172)</f>
        <v>2102.58301845716</v>
      </c>
      <c r="Z172" s="0" t="n">
        <f aca="false">W_PH(Z$2,$A172)</f>
        <v>2102.31587928003</v>
      </c>
      <c r="AA172" s="0" t="n">
        <f aca="false">W_PH(AA$2,$A172)</f>
        <v>2102.05096190795</v>
      </c>
      <c r="AB172" s="0" t="n">
        <f aca="false">W_PH(AB$2,$A172)</f>
        <v>2101.78823957365</v>
      </c>
      <c r="AC172" s="0" t="n">
        <f aca="false">W_PH(AC$2,$A172)</f>
        <v>2101.52768639868</v>
      </c>
      <c r="AD172" s="0" t="n">
        <f aca="false">W_PH(AD$2,$A172)</f>
        <v>2101.26927736777</v>
      </c>
      <c r="AE172" s="0" t="n">
        <f aca="false">W_PH(AE$2,$A172)</f>
        <v>2101.01298830433</v>
      </c>
      <c r="AF172" s="0" t="n">
        <f aca="false">W_PH(AF$2,$A172)</f>
        <v>2100.75879584722</v>
      </c>
      <c r="AG172" s="0" t="n">
        <f aca="false">W_PH(AG$2,$A172)</f>
        <v>2100.50667742869</v>
      </c>
      <c r="AH172" s="0" t="n">
        <f aca="false">W_PH(AH$2,$A172)</f>
        <v>2098.09512861852</v>
      </c>
      <c r="AI172" s="0" t="n">
        <f aca="false">W_PH(AI$2,$A172)</f>
        <v>2095.87135920497</v>
      </c>
      <c r="AJ172" s="0" t="n">
        <f aca="false">W_PH(AJ$2,$A172)</f>
        <v>2093.83343567981</v>
      </c>
      <c r="AK172" s="0" t="n">
        <f aca="false">W_PH(AK$2,$A172)</f>
        <v>2091.98913870376</v>
      </c>
      <c r="AL172" s="0" t="n">
        <f aca="false">W_PH(AL$2,$A172)</f>
        <v>2090.34054849207</v>
      </c>
      <c r="AM172" s="0" t="n">
        <f aca="false">W_PH(AM$2,$A172)</f>
        <v>2088.89136285934</v>
      </c>
      <c r="AN172" s="0" t="n">
        <f aca="false">W_PH(AN$2,$A172)</f>
        <v>2087.64545325631</v>
      </c>
      <c r="AO172" s="0" t="n">
        <f aca="false">W_PH(AO$2,$A172)</f>
        <v>2086.60652833111</v>
      </c>
      <c r="AP172" s="0" t="n">
        <f aca="false">W_PH(AP$2,$A172)</f>
        <v>2085.77790532865</v>
      </c>
      <c r="AQ172" s="0" t="n">
        <f aca="false">W_PH(AQ$2,$A172)</f>
        <v>2089.33663620545</v>
      </c>
      <c r="AR172" s="0" t="n">
        <f aca="false">W_PH(AR$2,$A172)</f>
        <v>2092.69730060351</v>
      </c>
      <c r="AS172" s="0" t="n">
        <f aca="false">W_PH(AS$2,$A172)</f>
        <v>2094.00705040999</v>
      </c>
    </row>
    <row r="173" customFormat="false" ht="12.8" hidden="false" customHeight="false" outlineLevel="0" collapsed="false">
      <c r="A173" s="0" t="n">
        <v>1431.64230438521</v>
      </c>
      <c r="B173" s="0" t="n">
        <f aca="false">W_PH(B$2,$A173)</f>
        <v>2015</v>
      </c>
      <c r="C173" s="0" t="n">
        <f aca="false">W_PH(C$2,$A173)</f>
        <v>2109.95373965226</v>
      </c>
      <c r="D173" s="0" t="n">
        <f aca="false">W_PH(D$2,$A173)</f>
        <v>2109.95347478683</v>
      </c>
      <c r="E173" s="0" t="n">
        <f aca="false">W_PH(E$2,$A173)</f>
        <v>2109.95320992362</v>
      </c>
      <c r="F173" s="0" t="n">
        <f aca="false">W_PH(F$2,$A173)</f>
        <v>2109.95294506263</v>
      </c>
      <c r="G173" s="0" t="n">
        <f aca="false">W_PH(G$2,$A173)</f>
        <v>2109.95029657487</v>
      </c>
      <c r="H173" s="0" t="n">
        <f aca="false">W_PH(H$2,$A173)</f>
        <v>2109.94764830914</v>
      </c>
      <c r="I173" s="0" t="n">
        <f aca="false">W_PH(I$2,$A173)</f>
        <v>2109.94500026543</v>
      </c>
      <c r="J173" s="0" t="n">
        <f aca="false">W_PH(J$2,$A173)</f>
        <v>2109.9423524437</v>
      </c>
      <c r="K173" s="0" t="n">
        <f aca="false">W_PH(K$2,$A173)</f>
        <v>2109.93970484392</v>
      </c>
      <c r="L173" s="0" t="n">
        <f aca="false">W_PH(L$2,$A173)</f>
        <v>2109.93705746607</v>
      </c>
      <c r="M173" s="0" t="n">
        <f aca="false">W_PH(M$2,$A173)</f>
        <v>2109.93441031012</v>
      </c>
      <c r="N173" s="0" t="n">
        <f aca="false">W_PH(N$2,$A173)</f>
        <v>2109.93176337604</v>
      </c>
      <c r="O173" s="0" t="n">
        <f aca="false">W_PH(O$2,$A173)</f>
        <v>2109.9291166638</v>
      </c>
      <c r="P173" s="0" t="n">
        <f aca="false">W_PH(P$2,$A173)</f>
        <v>2109.90266173668</v>
      </c>
      <c r="Q173" s="0" t="n">
        <f aca="false">W_PH(Q$2,$A173)</f>
        <v>2109.87622896336</v>
      </c>
      <c r="R173" s="0" t="n">
        <f aca="false">W_PH(R$2,$A173)</f>
        <v>2109.84981831617</v>
      </c>
      <c r="S173" s="0" t="n">
        <f aca="false">W_PH(S$2,$A173)</f>
        <v>2109.82342976752</v>
      </c>
      <c r="T173" s="0" t="n">
        <f aca="false">W_PH(T$2,$A173)</f>
        <v>2109.79706328995</v>
      </c>
      <c r="U173" s="0" t="n">
        <f aca="false">W_PH(U$2,$A173)</f>
        <v>2109.77071885605</v>
      </c>
      <c r="V173" s="0" t="n">
        <f aca="false">W_PH(V$2,$A173)</f>
        <v>2109.74439643853</v>
      </c>
      <c r="W173" s="0" t="n">
        <f aca="false">W_PH(W$2,$A173)</f>
        <v>2109.71809601017</v>
      </c>
      <c r="X173" s="0" t="n">
        <f aca="false">W_PH(X$2,$A173)</f>
        <v>2109.69181754386</v>
      </c>
      <c r="Y173" s="0" t="n">
        <f aca="false">W_PH(Y$2,$A173)</f>
        <v>2109.4302348906</v>
      </c>
      <c r="Z173" s="0" t="n">
        <f aca="false">W_PH(Z$2,$A173)</f>
        <v>2109.17081926788</v>
      </c>
      <c r="AA173" s="0" t="n">
        <f aca="false">W_PH(AA$2,$A173)</f>
        <v>2108.91354499961</v>
      </c>
      <c r="AB173" s="0" t="n">
        <f aca="false">W_PH(AB$2,$A173)</f>
        <v>2108.65838725217</v>
      </c>
      <c r="AC173" s="0" t="n">
        <f aca="false">W_PH(AC$2,$A173)</f>
        <v>2108.40532200947</v>
      </c>
      <c r="AD173" s="0" t="n">
        <f aca="false">W_PH(AD$2,$A173)</f>
        <v>2108.15432604908</v>
      </c>
      <c r="AE173" s="0" t="n">
        <f aca="false">W_PH(AE$2,$A173)</f>
        <v>2107.90537691949</v>
      </c>
      <c r="AF173" s="0" t="n">
        <f aca="false">W_PH(AF$2,$A173)</f>
        <v>2107.65845291849</v>
      </c>
      <c r="AG173" s="0" t="n">
        <f aca="false">W_PH(AG$2,$A173)</f>
        <v>2107.41353307244</v>
      </c>
      <c r="AH173" s="0" t="n">
        <f aca="false">W_PH(AH$2,$A173)</f>
        <v>2105.07043313474</v>
      </c>
      <c r="AI173" s="0" t="n">
        <f aca="false">W_PH(AI$2,$A173)</f>
        <v>2102.90943585248</v>
      </c>
      <c r="AJ173" s="0" t="n">
        <f aca="false">W_PH(AJ$2,$A173)</f>
        <v>2100.92943551822</v>
      </c>
      <c r="AK173" s="0" t="n">
        <f aca="false">W_PH(AK$2,$A173)</f>
        <v>2099.13595189578</v>
      </c>
      <c r="AL173" s="0" t="n">
        <f aca="false">W_PH(AL$2,$A173)</f>
        <v>2097.53377570604</v>
      </c>
      <c r="AM173" s="0" t="n">
        <f aca="false">W_PH(AM$2,$A173)</f>
        <v>2096.12667510691</v>
      </c>
      <c r="AN173" s="0" t="n">
        <f aca="false">W_PH(AN$2,$A173)</f>
        <v>2094.91857610313</v>
      </c>
      <c r="AO173" s="0" t="n">
        <f aca="false">W_PH(AO$2,$A173)</f>
        <v>2093.91323656412</v>
      </c>
      <c r="AP173" s="0" t="n">
        <f aca="false">W_PH(AP$2,$A173)</f>
        <v>2093.11402389364</v>
      </c>
      <c r="AQ173" s="0" t="n">
        <f aca="false">W_PH(AQ$2,$A173)</f>
        <v>2096.7528686586</v>
      </c>
      <c r="AR173" s="0" t="n">
        <f aca="false">W_PH(AR$2,$A173)</f>
        <v>2100.08657501656</v>
      </c>
      <c r="AS173" s="0" t="n">
        <f aca="false">W_PH(AS$2,$A173)</f>
        <v>2101.3844138388</v>
      </c>
    </row>
    <row r="174" customFormat="false" ht="12.8" hidden="false" customHeight="false" outlineLevel="0" collapsed="false">
      <c r="A174" s="0" t="n">
        <v>1435.94153052451</v>
      </c>
      <c r="B174" s="0" t="n">
        <f aca="false">W_PH(B$2,$A174)</f>
        <v>2015</v>
      </c>
      <c r="C174" s="0" t="n">
        <f aca="false">W_PH(C$2,$A174)</f>
        <v>2116.74710477106</v>
      </c>
      <c r="D174" s="0" t="n">
        <f aca="false">W_PH(D$2,$A174)</f>
        <v>2116.74684762938</v>
      </c>
      <c r="E174" s="0" t="n">
        <f aca="false">W_PH(E$2,$A174)</f>
        <v>2116.74659048983</v>
      </c>
      <c r="F174" s="0" t="n">
        <f aca="false">W_PH(F$2,$A174)</f>
        <v>2116.74633335243</v>
      </c>
      <c r="G174" s="0" t="n">
        <f aca="false">W_PH(G$2,$A174)</f>
        <v>2116.74376209595</v>
      </c>
      <c r="H174" s="0" t="n">
        <f aca="false">W_PH(H$2,$A174)</f>
        <v>2116.74119105327</v>
      </c>
      <c r="I174" s="0" t="n">
        <f aca="false">W_PH(I$2,$A174)</f>
        <v>2116.73862022435</v>
      </c>
      <c r="J174" s="0" t="n">
        <f aca="false">W_PH(J$2,$A174)</f>
        <v>2116.73604960918</v>
      </c>
      <c r="K174" s="0" t="n">
        <f aca="false">W_PH(K$2,$A174)</f>
        <v>2116.73347920771</v>
      </c>
      <c r="L174" s="0" t="n">
        <f aca="false">W_PH(L$2,$A174)</f>
        <v>2116.73090901994</v>
      </c>
      <c r="M174" s="0" t="n">
        <f aca="false">W_PH(M$2,$A174)</f>
        <v>2116.72833904582</v>
      </c>
      <c r="N174" s="0" t="n">
        <f aca="false">W_PH(N$2,$A174)</f>
        <v>2116.72576928535</v>
      </c>
      <c r="O174" s="0" t="n">
        <f aca="false">W_PH(O$2,$A174)</f>
        <v>2116.72319973848</v>
      </c>
      <c r="P174" s="0" t="n">
        <f aca="false">W_PH(P$2,$A174)</f>
        <v>2116.69751601276</v>
      </c>
      <c r="Q174" s="0" t="n">
        <f aca="false">W_PH(Q$2,$A174)</f>
        <v>2116.67185361987</v>
      </c>
      <c r="R174" s="0" t="n">
        <f aca="false">W_PH(R$2,$A174)</f>
        <v>2116.64621253422</v>
      </c>
      <c r="S174" s="0" t="n">
        <f aca="false">W_PH(S$2,$A174)</f>
        <v>2116.6205927303</v>
      </c>
      <c r="T174" s="0" t="n">
        <f aca="false">W_PH(T$2,$A174)</f>
        <v>2116.59499418268</v>
      </c>
      <c r="U174" s="0" t="n">
        <f aca="false">W_PH(U$2,$A174)</f>
        <v>2116.56941686602</v>
      </c>
      <c r="V174" s="0" t="n">
        <f aca="false">W_PH(V$2,$A174)</f>
        <v>2116.54386075506</v>
      </c>
      <c r="W174" s="0" t="n">
        <f aca="false">W_PH(W$2,$A174)</f>
        <v>2116.51832582462</v>
      </c>
      <c r="X174" s="0" t="n">
        <f aca="false">W_PH(X$2,$A174)</f>
        <v>2116.49281204961</v>
      </c>
      <c r="Y174" s="0" t="n">
        <f aca="false">W_PH(Y$2,$A174)</f>
        <v>2116.23883238624</v>
      </c>
      <c r="Z174" s="0" t="n">
        <f aca="false">W_PH(Z$2,$A174)</f>
        <v>2115.98694126818</v>
      </c>
      <c r="AA174" s="0" t="n">
        <f aca="false">W_PH(AA$2,$A174)</f>
        <v>2115.73711492947</v>
      </c>
      <c r="AB174" s="0" t="n">
        <f aca="false">W_PH(AB$2,$A174)</f>
        <v>2115.48933037842</v>
      </c>
      <c r="AC174" s="0" t="n">
        <f aca="false">W_PH(AC$2,$A174)</f>
        <v>2115.24356537446</v>
      </c>
      <c r="AD174" s="0" t="n">
        <f aca="false">W_PH(AD$2,$A174)</f>
        <v>2114.99979840614</v>
      </c>
      <c r="AE174" s="0" t="n">
        <f aca="false">W_PH(AE$2,$A174)</f>
        <v>2114.75800866991</v>
      </c>
      <c r="AF174" s="0" t="n">
        <f aca="false">W_PH(AF$2,$A174)</f>
        <v>2114.51817605002</v>
      </c>
      <c r="AG174" s="0" t="n">
        <f aca="false">W_PH(AG$2,$A174)</f>
        <v>2114.28028109921</v>
      </c>
      <c r="AH174" s="0" t="n">
        <f aca="false">W_PH(AH$2,$A174)</f>
        <v>2112.00406846734</v>
      </c>
      <c r="AI174" s="0" t="n">
        <f aca="false">W_PH(AI$2,$A174)</f>
        <v>2109.90458060957</v>
      </c>
      <c r="AJ174" s="0" t="n">
        <f aca="false">W_PH(AJ$2,$A174)</f>
        <v>2107.98151919113</v>
      </c>
      <c r="AK174" s="0" t="n">
        <f aca="false">W_PH(AK$2,$A174)</f>
        <v>2106.2381497233</v>
      </c>
      <c r="AL174" s="0" t="n">
        <f aca="false">W_PH(AL$2,$A174)</f>
        <v>2104.6818792109</v>
      </c>
      <c r="AM174" s="0" t="n">
        <f aca="false">W_PH(AM$2,$A174)</f>
        <v>2103.31653338216</v>
      </c>
      <c r="AN174" s="0" t="n">
        <f aca="false">W_PH(AN$2,$A174)</f>
        <v>2102.14607827014</v>
      </c>
      <c r="AO174" s="0" t="n">
        <f aca="false">W_PH(AO$2,$A174)</f>
        <v>2101.17430558219</v>
      </c>
      <c r="AP174" s="0" t="n">
        <f aca="false">W_PH(AP$2,$A174)</f>
        <v>2100.40461729149</v>
      </c>
      <c r="AQ174" s="0" t="n">
        <f aca="false">W_PH(AQ$2,$A174)</f>
        <v>2104.12899282452</v>
      </c>
      <c r="AR174" s="0" t="n">
        <f aca="false">W_PH(AR$2,$A174)</f>
        <v>2107.43727970505</v>
      </c>
      <c r="AS174" s="0" t="n">
        <f aca="false">W_PH(AS$2,$A174)</f>
        <v>2108.7237309727</v>
      </c>
    </row>
    <row r="175" customFormat="false" ht="12.8" hidden="false" customHeight="false" outlineLevel="0" collapsed="false">
      <c r="A175" s="0" t="n">
        <v>1440.2407566638</v>
      </c>
      <c r="B175" s="0" t="n">
        <f aca="false">W_PH(B$2,$A175)</f>
        <v>2015</v>
      </c>
      <c r="C175" s="0" t="n">
        <f aca="false">W_PH(C$2,$A175)</f>
        <v>2123.50270872354</v>
      </c>
      <c r="D175" s="0" t="n">
        <f aca="false">W_PH(D$2,$A175)</f>
        <v>2123.5024591051</v>
      </c>
      <c r="E175" s="0" t="n">
        <f aca="false">W_PH(E$2,$A175)</f>
        <v>2123.50220948871</v>
      </c>
      <c r="F175" s="0" t="n">
        <f aca="false">W_PH(F$2,$A175)</f>
        <v>2123.50195987439</v>
      </c>
      <c r="G175" s="0" t="n">
        <f aca="false">W_PH(G$2,$A175)</f>
        <v>2123.49946384443</v>
      </c>
      <c r="H175" s="0" t="n">
        <f aca="false">W_PH(H$2,$A175)</f>
        <v>2123.49696802041</v>
      </c>
      <c r="I175" s="0" t="n">
        <f aca="false">W_PH(I$2,$A175)</f>
        <v>2123.49447240231</v>
      </c>
      <c r="J175" s="0" t="n">
        <f aca="false">W_PH(J$2,$A175)</f>
        <v>2123.49197699009</v>
      </c>
      <c r="K175" s="0" t="n">
        <f aca="false">W_PH(K$2,$A175)</f>
        <v>2123.48948178375</v>
      </c>
      <c r="L175" s="0" t="n">
        <f aca="false">W_PH(L$2,$A175)</f>
        <v>2123.48698678324</v>
      </c>
      <c r="M175" s="0" t="n">
        <f aca="false">W_PH(M$2,$A175)</f>
        <v>2123.48449198856</v>
      </c>
      <c r="N175" s="0" t="n">
        <f aca="false">W_PH(N$2,$A175)</f>
        <v>2123.48199739966</v>
      </c>
      <c r="O175" s="0" t="n">
        <f aca="false">W_PH(O$2,$A175)</f>
        <v>2123.47950301655</v>
      </c>
      <c r="P175" s="0" t="n">
        <f aca="false">W_PH(P$2,$A175)</f>
        <v>2123.45457049757</v>
      </c>
      <c r="Q175" s="0" t="n">
        <f aca="false">W_PH(Q$2,$A175)</f>
        <v>2123.42965852968</v>
      </c>
      <c r="R175" s="0" t="n">
        <f aca="false">W_PH(R$2,$A175)</f>
        <v>2123.40476708925</v>
      </c>
      <c r="S175" s="0" t="n">
        <f aca="false">W_PH(S$2,$A175)</f>
        <v>2123.37989615271</v>
      </c>
      <c r="T175" s="0" t="n">
        <f aca="false">W_PH(T$2,$A175)</f>
        <v>2123.3550456966</v>
      </c>
      <c r="U175" s="0" t="n">
        <f aca="false">W_PH(U$2,$A175)</f>
        <v>2123.33021569752</v>
      </c>
      <c r="V175" s="0" t="n">
        <f aca="false">W_PH(V$2,$A175)</f>
        <v>2123.30540613215</v>
      </c>
      <c r="W175" s="0" t="n">
        <f aca="false">W_PH(W$2,$A175)</f>
        <v>2123.28061697725</v>
      </c>
      <c r="X175" s="0" t="n">
        <f aca="false">W_PH(X$2,$A175)</f>
        <v>2123.25584820963</v>
      </c>
      <c r="Y175" s="0" t="n">
        <f aca="false">W_PH(Y$2,$A175)</f>
        <v>2123.0092767914</v>
      </c>
      <c r="Z175" s="0" t="n">
        <f aca="false">W_PH(Z$2,$A175)</f>
        <v>2122.76471917271</v>
      </c>
      <c r="AA175" s="0" t="n">
        <f aca="false">W_PH(AA$2,$A175)</f>
        <v>2122.52215340383</v>
      </c>
      <c r="AB175" s="0" t="n">
        <f aca="false">W_PH(AB$2,$A175)</f>
        <v>2122.28155824596</v>
      </c>
      <c r="AC175" s="0" t="n">
        <f aca="false">W_PH(AC$2,$A175)</f>
        <v>2122.04291314983</v>
      </c>
      <c r="AD175" s="0" t="n">
        <f aca="false">W_PH(AD$2,$A175)</f>
        <v>2121.80619823523</v>
      </c>
      <c r="AE175" s="0" t="n">
        <f aca="false">W_PH(AE$2,$A175)</f>
        <v>2121.57139427145</v>
      </c>
      <c r="AF175" s="0" t="n">
        <f aca="false">W_PH(AF$2,$A175)</f>
        <v>2121.33848265846</v>
      </c>
      <c r="AG175" s="0" t="n">
        <f aca="false">W_PH(AG$2,$A175)</f>
        <v>2121.10744540898</v>
      </c>
      <c r="AH175" s="0" t="n">
        <f aca="false">W_PH(AH$2,$A175)</f>
        <v>2118.89661149941</v>
      </c>
      <c r="AI175" s="0" t="n">
        <f aca="false">W_PH(AI$2,$A175)</f>
        <v>2116.85740086642</v>
      </c>
      <c r="AJ175" s="0" t="n">
        <f aca="false">W_PH(AJ$2,$A175)</f>
        <v>2114.99029944183</v>
      </c>
      <c r="AK175" s="0" t="n">
        <f aca="false">W_PH(AK$2,$A175)</f>
        <v>2113.29635648161</v>
      </c>
      <c r="AL175" s="0" t="n">
        <f aca="false">W_PH(AL$2,$A175)</f>
        <v>2111.78548299717</v>
      </c>
      <c r="AM175" s="0" t="n">
        <f aca="false">W_PH(AM$2,$A175)</f>
        <v>2110.46155117</v>
      </c>
      <c r="AN175" s="0" t="n">
        <f aca="false">W_PH(AN$2,$A175)</f>
        <v>2109.32855433077</v>
      </c>
      <c r="AO175" s="0" t="n">
        <f aca="false">W_PH(AO$2,$A175)</f>
        <v>2108.3903043827</v>
      </c>
      <c r="AP175" s="0" t="n">
        <f aca="false">W_PH(AP$2,$A175)</f>
        <v>2107.65022386907</v>
      </c>
      <c r="AQ175" s="0" t="n">
        <f aca="false">W_PH(AQ$2,$A175)</f>
        <v>2111.46518759856</v>
      </c>
      <c r="AR175" s="0" t="n">
        <f aca="false">W_PH(AR$2,$A175)</f>
        <v>2114.74953558628</v>
      </c>
      <c r="AS175" s="0" t="n">
        <f aca="false">W_PH(AS$2,$A175)</f>
        <v>2116.02510497142</v>
      </c>
    </row>
    <row r="176" customFormat="false" ht="12.8" hidden="false" customHeight="false" outlineLevel="0" collapsed="false">
      <c r="A176" s="0" t="n">
        <v>1444.5399828031</v>
      </c>
      <c r="B176" s="0" t="n">
        <f aca="false">W_PH(B$2,$A176)</f>
        <v>2015</v>
      </c>
      <c r="C176" s="0" t="n">
        <f aca="false">W_PH(C$2,$A176)</f>
        <v>2130.22099362516</v>
      </c>
      <c r="D176" s="0" t="n">
        <f aca="false">W_PH(D$2,$A176)</f>
        <v>2130.22075133759</v>
      </c>
      <c r="E176" s="0" t="n">
        <f aca="false">W_PH(E$2,$A176)</f>
        <v>2130.220509052</v>
      </c>
      <c r="F176" s="0" t="n">
        <f aca="false">W_PH(F$2,$A176)</f>
        <v>2130.2202667684</v>
      </c>
      <c r="G176" s="0" t="n">
        <f aca="false">W_PH(G$2,$A176)</f>
        <v>2130.21784404155</v>
      </c>
      <c r="H176" s="0" t="n">
        <f aca="false">W_PH(H$2,$A176)</f>
        <v>2130.21542151316</v>
      </c>
      <c r="I176" s="0" t="n">
        <f aca="false">W_PH(I$2,$A176)</f>
        <v>2130.21299918321</v>
      </c>
      <c r="J176" s="0" t="n">
        <f aca="false">W_PH(J$2,$A176)</f>
        <v>2130.21057705166</v>
      </c>
      <c r="K176" s="0" t="n">
        <f aca="false">W_PH(K$2,$A176)</f>
        <v>2130.20815511851</v>
      </c>
      <c r="L176" s="0" t="n">
        <f aca="false">W_PH(L$2,$A176)</f>
        <v>2130.20573338373</v>
      </c>
      <c r="M176" s="0" t="n">
        <f aca="false">W_PH(M$2,$A176)</f>
        <v>2130.2033118473</v>
      </c>
      <c r="N176" s="0" t="n">
        <f aca="false">W_PH(N$2,$A176)</f>
        <v>2130.20089050919</v>
      </c>
      <c r="O176" s="0" t="n">
        <f aca="false">W_PH(O$2,$A176)</f>
        <v>2130.19846936939</v>
      </c>
      <c r="P176" s="0" t="n">
        <f aca="false">W_PH(P$2,$A176)</f>
        <v>2130.17426887326</v>
      </c>
      <c r="Q176" s="0" t="n">
        <f aca="false">W_PH(Q$2,$A176)</f>
        <v>2130.15008818351</v>
      </c>
      <c r="R176" s="0" t="n">
        <f aca="false">W_PH(R$2,$A176)</f>
        <v>2130.12592727837</v>
      </c>
      <c r="S176" s="0" t="n">
        <f aca="false">W_PH(S$2,$A176)</f>
        <v>2130.10178613614</v>
      </c>
      <c r="T176" s="0" t="n">
        <f aca="false">W_PH(T$2,$A176)</f>
        <v>2130.07766473521</v>
      </c>
      <c r="U176" s="0" t="n">
        <f aca="false">W_PH(U$2,$A176)</f>
        <v>2130.05356305402</v>
      </c>
      <c r="V176" s="0" t="n">
        <f aca="false">W_PH(V$2,$A176)</f>
        <v>2130.02948107109</v>
      </c>
      <c r="W176" s="0" t="n">
        <f aca="false">W_PH(W$2,$A176)</f>
        <v>2130.005418765</v>
      </c>
      <c r="X176" s="0" t="n">
        <f aca="false">W_PH(X$2,$A176)</f>
        <v>2129.98137611441</v>
      </c>
      <c r="Y176" s="0" t="n">
        <f aca="false">W_PH(Y$2,$A176)</f>
        <v>2129.74202601515</v>
      </c>
      <c r="Z176" s="0" t="n">
        <f aca="false">W_PH(Z$2,$A176)</f>
        <v>2129.50461849887</v>
      </c>
      <c r="AA176" s="0" t="n">
        <f aca="false">W_PH(AA$2,$A176)</f>
        <v>2129.26913334121</v>
      </c>
      <c r="AB176" s="0" t="n">
        <f aca="false">W_PH(AB$2,$A176)</f>
        <v>2129.0355509699</v>
      </c>
      <c r="AC176" s="0" t="n">
        <f aca="false">W_PH(AC$2,$A176)</f>
        <v>2128.80385244503</v>
      </c>
      <c r="AD176" s="0" t="n">
        <f aca="false">W_PH(AD$2,$A176)</f>
        <v>2128.57401944015</v>
      </c>
      <c r="AE176" s="0" t="n">
        <f aca="false">W_PH(AE$2,$A176)</f>
        <v>2128.34603422401</v>
      </c>
      <c r="AF176" s="0" t="n">
        <f aca="false">W_PH(AF$2,$A176)</f>
        <v>2128.11987964321</v>
      </c>
      <c r="AG176" s="0" t="n">
        <f aca="false">W_PH(AG$2,$A176)</f>
        <v>2127.8955391054</v>
      </c>
      <c r="AH176" s="0" t="n">
        <f aca="false">W_PH(AH$2,$A176)</f>
        <v>2125.74862672432</v>
      </c>
      <c r="AI176" s="0" t="n">
        <f aca="false">W_PH(AI$2,$A176)</f>
        <v>2123.76849221074</v>
      </c>
      <c r="AJ176" s="0" t="n">
        <f aca="false">W_PH(AJ$2,$A176)</f>
        <v>2121.95637963575</v>
      </c>
      <c r="AK176" s="0" t="n">
        <f aca="false">W_PH(AK$2,$A176)</f>
        <v>2120.31118739804</v>
      </c>
      <c r="AL176" s="0" t="n">
        <f aca="false">W_PH(AL$2,$A176)</f>
        <v>2118.84520309009</v>
      </c>
      <c r="AM176" s="0" t="n">
        <f aca="false">W_PH(AM$2,$A176)</f>
        <v>2117.56233562098</v>
      </c>
      <c r="AN176" s="0" t="n">
        <f aca="false">W_PH(AN$2,$A176)</f>
        <v>2116.46659445795</v>
      </c>
      <c r="AO176" s="0" t="n">
        <f aca="false">W_PH(AO$2,$A176)</f>
        <v>2115.56179963024</v>
      </c>
      <c r="AP176" s="0" t="n">
        <f aca="false">W_PH(AP$2,$A176)</f>
        <v>2114.85138172867</v>
      </c>
      <c r="AQ176" s="0" t="n">
        <f aca="false">W_PH(AQ$2,$A176)</f>
        <v>2118.76165077948</v>
      </c>
      <c r="AR176" s="0" t="n">
        <f aca="false">W_PH(AR$2,$A176)</f>
        <v>2122.02348733874</v>
      </c>
      <c r="AS176" s="0" t="n">
        <f aca="false">W_PH(AS$2,$A176)</f>
        <v>2123.28866454718</v>
      </c>
    </row>
    <row r="177" customFormat="false" ht="12.8" hidden="false" customHeight="false" outlineLevel="0" collapsed="false">
      <c r="A177" s="0" t="n">
        <v>1448.83920894239</v>
      </c>
      <c r="B177" s="0" t="n">
        <f aca="false">W_PH(B$2,$A177)</f>
        <v>2015</v>
      </c>
      <c r="C177" s="0" t="n">
        <f aca="false">W_PH(C$2,$A177)</f>
        <v>2136.90239477293</v>
      </c>
      <c r="D177" s="0" t="n">
        <f aca="false">W_PH(D$2,$A177)</f>
        <v>2136.90215963154</v>
      </c>
      <c r="E177" s="0" t="n">
        <f aca="false">W_PH(E$2,$A177)</f>
        <v>2136.90192449206</v>
      </c>
      <c r="F177" s="0" t="n">
        <f aca="false">W_PH(F$2,$A177)</f>
        <v>2136.9016893545</v>
      </c>
      <c r="G177" s="0" t="n">
        <f aca="false">W_PH(G$2,$A177)</f>
        <v>2136.89933808411</v>
      </c>
      <c r="H177" s="0" t="n">
        <f aca="false">W_PH(H$2,$A177)</f>
        <v>2136.89698700506</v>
      </c>
      <c r="I177" s="0" t="n">
        <f aca="false">W_PH(I$2,$A177)</f>
        <v>2136.89463611731</v>
      </c>
      <c r="J177" s="0" t="n">
        <f aca="false">W_PH(J$2,$A177)</f>
        <v>2136.89228542085</v>
      </c>
      <c r="K177" s="0" t="n">
        <f aca="false">W_PH(K$2,$A177)</f>
        <v>2136.88993491566</v>
      </c>
      <c r="L177" s="0" t="n">
        <f aca="false">W_PH(L$2,$A177)</f>
        <v>2136.88758460171</v>
      </c>
      <c r="M177" s="0" t="n">
        <f aca="false">W_PH(M$2,$A177)</f>
        <v>2136.885234479</v>
      </c>
      <c r="N177" s="0" t="n">
        <f aca="false">W_PH(N$2,$A177)</f>
        <v>2136.88288454749</v>
      </c>
      <c r="O177" s="0" t="n">
        <f aca="false">W_PH(O$2,$A177)</f>
        <v>2136.88053480717</v>
      </c>
      <c r="P177" s="0" t="n">
        <f aca="false">W_PH(P$2,$A177)</f>
        <v>2136.85704791493</v>
      </c>
      <c r="Q177" s="0" t="n">
        <f aca="false">W_PH(Q$2,$A177)</f>
        <v>2136.83358011943</v>
      </c>
      <c r="R177" s="0" t="n">
        <f aca="false">W_PH(R$2,$A177)</f>
        <v>2136.8101314007</v>
      </c>
      <c r="S177" s="0" t="n">
        <f aca="false">W_PH(S$2,$A177)</f>
        <v>2136.78670173878</v>
      </c>
      <c r="T177" s="0" t="n">
        <f aca="false">W_PH(T$2,$A177)</f>
        <v>2136.7632911138</v>
      </c>
      <c r="U177" s="0" t="n">
        <f aca="false">W_PH(U$2,$A177)</f>
        <v>2136.73989950598</v>
      </c>
      <c r="V177" s="0" t="n">
        <f aca="false">W_PH(V$2,$A177)</f>
        <v>2136.71652689555</v>
      </c>
      <c r="W177" s="0" t="n">
        <f aca="false">W_PH(W$2,$A177)</f>
        <v>2136.69317326286</v>
      </c>
      <c r="X177" s="0" t="n">
        <f aca="false">W_PH(X$2,$A177)</f>
        <v>2136.66983858827</v>
      </c>
      <c r="Y177" s="0" t="n">
        <f aca="false">W_PH(Y$2,$A177)</f>
        <v>2136.43753026938</v>
      </c>
      <c r="Z177" s="0" t="n">
        <f aca="false">W_PH(Z$2,$A177)</f>
        <v>2136.20709665591</v>
      </c>
      <c r="AA177" s="0" t="n">
        <f aca="false">W_PH(AA$2,$A177)</f>
        <v>2135.97851916081</v>
      </c>
      <c r="AB177" s="0" t="n">
        <f aca="false">W_PH(AB$2,$A177)</f>
        <v>2135.75177979464</v>
      </c>
      <c r="AC177" s="0" t="n">
        <f aca="false">W_PH(AC$2,$A177)</f>
        <v>2135.52686114734</v>
      </c>
      <c r="AD177" s="0" t="n">
        <f aca="false">W_PH(AD$2,$A177)</f>
        <v>2135.30374637068</v>
      </c>
      <c r="AE177" s="0" t="n">
        <f aca="false">W_PH(AE$2,$A177)</f>
        <v>2135.08241916144</v>
      </c>
      <c r="AF177" s="0" t="n">
        <f aca="false">W_PH(AF$2,$A177)</f>
        <v>2134.8628637452</v>
      </c>
      <c r="AG177" s="0" t="n">
        <f aca="false">W_PH(AG$2,$A177)</f>
        <v>2134.6450648608</v>
      </c>
      <c r="AH177" s="0" t="n">
        <f aca="false">W_PH(AH$2,$A177)</f>
        <v>2132.56066655234</v>
      </c>
      <c r="AI177" s="0" t="n">
        <f aca="false">W_PH(AI$2,$A177)</f>
        <v>2130.63843850984</v>
      </c>
      <c r="AJ177" s="0" t="n">
        <f aca="false">W_PH(AJ$2,$A177)</f>
        <v>2128.88035365986</v>
      </c>
      <c r="AK177" s="0" t="n">
        <f aca="false">W_PH(AK$2,$A177)</f>
        <v>2127.28324842002</v>
      </c>
      <c r="AL177" s="0" t="n">
        <f aca="false">W_PH(AL$2,$A177)</f>
        <v>2125.86164719321</v>
      </c>
      <c r="AM177" s="0" t="n">
        <f aca="false">W_PH(AM$2,$A177)</f>
        <v>2124.61948705505</v>
      </c>
      <c r="AN177" s="0" t="n">
        <f aca="false">W_PH(AN$2,$A177)</f>
        <v>2123.5607838164</v>
      </c>
      <c r="AO177" s="0" t="n">
        <f aca="false">W_PH(AO$2,$A177)</f>
        <v>2122.68935497572</v>
      </c>
      <c r="AP177" s="0" t="n">
        <f aca="false">W_PH(AP$2,$A177)</f>
        <v>2122.00862801219</v>
      </c>
      <c r="AQ177" s="0" t="n">
        <f aca="false">W_PH(AQ$2,$A177)</f>
        <v>2126.01859782174</v>
      </c>
      <c r="AR177" s="0" t="n">
        <f aca="false">W_PH(AR$2,$A177)</f>
        <v>2129.25930161879</v>
      </c>
      <c r="AS177" s="0" t="n">
        <f aca="false">W_PH(AS$2,$A177)</f>
        <v>2130.51456197406</v>
      </c>
    </row>
    <row r="178" customFormat="false" ht="12.8" hidden="false" customHeight="false" outlineLevel="0" collapsed="false">
      <c r="A178" s="0" t="n">
        <v>1453.13843508169</v>
      </c>
      <c r="B178" s="0" t="n">
        <f aca="false">W_PH(B$2,$A178)</f>
        <v>2015</v>
      </c>
      <c r="C178" s="0" t="n">
        <f aca="false">W_PH(C$2,$A178)</f>
        <v>2143.54734081914</v>
      </c>
      <c r="D178" s="0" t="n">
        <f aca="false">W_PH(D$2,$A178)</f>
        <v>2143.54711264649</v>
      </c>
      <c r="E178" s="0" t="n">
        <f aca="false">W_PH(E$2,$A178)</f>
        <v>2143.54688447568</v>
      </c>
      <c r="F178" s="0" t="n">
        <f aca="false">W_PH(F$2,$A178)</f>
        <v>2143.54665630672</v>
      </c>
      <c r="G178" s="0" t="n">
        <f aca="false">W_PH(G$2,$A178)</f>
        <v>2143.54437471861</v>
      </c>
      <c r="H178" s="0" t="n">
        <f aca="false">W_PH(H$2,$A178)</f>
        <v>2143.54209331503</v>
      </c>
      <c r="I178" s="0" t="n">
        <f aca="false">W_PH(I$2,$A178)</f>
        <v>2143.53981209597</v>
      </c>
      <c r="J178" s="0" t="n">
        <f aca="false">W_PH(J$2,$A178)</f>
        <v>2143.5375310614</v>
      </c>
      <c r="K178" s="0" t="n">
        <f aca="false">W_PH(K$2,$A178)</f>
        <v>2143.53525021132</v>
      </c>
      <c r="L178" s="0" t="n">
        <f aca="false">W_PH(L$2,$A178)</f>
        <v>2143.5329695457</v>
      </c>
      <c r="M178" s="0" t="n">
        <f aca="false">W_PH(M$2,$A178)</f>
        <v>2143.53068906452</v>
      </c>
      <c r="N178" s="0" t="n">
        <f aca="false">W_PH(N$2,$A178)</f>
        <v>2143.52840876777</v>
      </c>
      <c r="O178" s="0" t="n">
        <f aca="false">W_PH(O$2,$A178)</f>
        <v>2143.52612865542</v>
      </c>
      <c r="P178" s="0" t="n">
        <f aca="false">W_PH(P$2,$A178)</f>
        <v>2143.50333767027</v>
      </c>
      <c r="Q178" s="0" t="n">
        <f aca="false">W_PH(Q$2,$A178)</f>
        <v>2143.48056510554</v>
      </c>
      <c r="R178" s="0" t="n">
        <f aca="false">W_PH(R$2,$A178)</f>
        <v>2143.45781094291</v>
      </c>
      <c r="S178" s="0" t="n">
        <f aca="false">W_PH(S$2,$A178)</f>
        <v>2143.43507516411</v>
      </c>
      <c r="T178" s="0" t="n">
        <f aca="false">W_PH(T$2,$A178)</f>
        <v>2143.41235775092</v>
      </c>
      <c r="U178" s="0" t="n">
        <f aca="false">W_PH(U$2,$A178)</f>
        <v>2143.3896586852</v>
      </c>
      <c r="V178" s="0" t="n">
        <f aca="false">W_PH(V$2,$A178)</f>
        <v>2143.36697794886</v>
      </c>
      <c r="W178" s="0" t="n">
        <f aca="false">W_PH(W$2,$A178)</f>
        <v>2143.34431552386</v>
      </c>
      <c r="X178" s="0" t="n">
        <f aca="false">W_PH(X$2,$A178)</f>
        <v>2143.32167139223</v>
      </c>
      <c r="Y178" s="0" t="n">
        <f aca="false">W_PH(Y$2,$A178)</f>
        <v>2143.09623229859</v>
      </c>
      <c r="Z178" s="0" t="n">
        <f aca="false">W_PH(Z$2,$A178)</f>
        <v>2142.87260319897</v>
      </c>
      <c r="AA178" s="0" t="n">
        <f aca="false">W_PH(AA$2,$A178)</f>
        <v>2142.65076705851</v>
      </c>
      <c r="AB178" s="0" t="n">
        <f aca="false">W_PH(AB$2,$A178)</f>
        <v>2142.43070738946</v>
      </c>
      <c r="AC178" s="0" t="n">
        <f aca="false">W_PH(AC$2,$A178)</f>
        <v>2142.21240823438</v>
      </c>
      <c r="AD178" s="0" t="n">
        <f aca="false">W_PH(AD$2,$A178)</f>
        <v>2141.99585414991</v>
      </c>
      <c r="AE178" s="0" t="n">
        <f aca="false">W_PH(AE$2,$A178)</f>
        <v>2141.78103019111</v>
      </c>
      <c r="AF178" s="0" t="n">
        <f aca="false">W_PH(AF$2,$A178)</f>
        <v>2141.56792189653</v>
      </c>
      <c r="AG178" s="0" t="n">
        <f aca="false">W_PH(AG$2,$A178)</f>
        <v>2141.35651527367</v>
      </c>
      <c r="AH178" s="0" t="n">
        <f aca="false">W_PH(AH$2,$A178)</f>
        <v>2139.33327163369</v>
      </c>
      <c r="AI178" s="0" t="n">
        <f aca="false">W_PH(AI$2,$A178)</f>
        <v>2137.46781203272</v>
      </c>
      <c r="AJ178" s="0" t="n">
        <f aca="false">W_PH(AJ$2,$A178)</f>
        <v>2135.76280586122</v>
      </c>
      <c r="AK178" s="0" t="n">
        <f aca="false">W_PH(AK$2,$A178)</f>
        <v>2134.21313606169</v>
      </c>
      <c r="AL178" s="0" t="n">
        <f aca="false">W_PH(AL$2,$A178)</f>
        <v>2132.83541440556</v>
      </c>
      <c r="AM178" s="0" t="n">
        <f aca="false">W_PH(AM$2,$A178)</f>
        <v>2131.63359854561</v>
      </c>
      <c r="AN178" s="0" t="n">
        <f aca="false">W_PH(AN$2,$A178)</f>
        <v>2130.61170203212</v>
      </c>
      <c r="AO178" s="0" t="n">
        <f aca="false">W_PH(AO$2,$A178)</f>
        <v>2129.77353044099</v>
      </c>
      <c r="AP178" s="0" t="n">
        <f aca="false">W_PH(AP$2,$A178)</f>
        <v>2129.12249823241</v>
      </c>
      <c r="AQ178" s="0" t="n">
        <f aca="false">W_PH(AQ$2,$A178)</f>
        <v>2133.23626054037</v>
      </c>
      <c r="AR178" s="0" t="n">
        <f aca="false">W_PH(AR$2,$A178)</f>
        <v>2136.45716524529</v>
      </c>
      <c r="AS178" s="0" t="n">
        <f aca="false">W_PH(AS$2,$A178)</f>
        <v>2137.7029710668</v>
      </c>
    </row>
    <row r="179" customFormat="false" ht="12.8" hidden="false" customHeight="false" outlineLevel="0" collapsed="false">
      <c r="A179" s="0" t="n">
        <v>1457.43766122098</v>
      </c>
      <c r="B179" s="0" t="n">
        <f aca="false">W_PH(B$2,$A179)</f>
        <v>2015</v>
      </c>
      <c r="C179" s="0" t="n">
        <f aca="false">W_PH(C$2,$A179)</f>
        <v>2150.15625393613</v>
      </c>
      <c r="D179" s="0" t="n">
        <f aca="false">W_PH(D$2,$A179)</f>
        <v>2150.15603256162</v>
      </c>
      <c r="E179" s="0" t="n">
        <f aca="false">W_PH(E$2,$A179)</f>
        <v>2150.15581118888</v>
      </c>
      <c r="F179" s="0" t="n">
        <f aca="false">W_PH(F$2,$A179)</f>
        <v>2150.15558981793</v>
      </c>
      <c r="G179" s="0" t="n">
        <f aca="false">W_PH(G$2,$A179)</f>
        <v>2150.15337620635</v>
      </c>
      <c r="H179" s="0" t="n">
        <f aca="false">W_PH(H$2,$A179)</f>
        <v>2150.15116277283</v>
      </c>
      <c r="I179" s="0" t="n">
        <f aca="false">W_PH(I$2,$A179)</f>
        <v>2150.14894951735</v>
      </c>
      <c r="J179" s="0" t="n">
        <f aca="false">W_PH(J$2,$A179)</f>
        <v>2150.1467364399</v>
      </c>
      <c r="K179" s="0" t="n">
        <f aca="false">W_PH(K$2,$A179)</f>
        <v>2150.14452354045</v>
      </c>
      <c r="L179" s="0" t="n">
        <f aca="false">W_PH(L$2,$A179)</f>
        <v>2150.142310819</v>
      </c>
      <c r="M179" s="0" t="n">
        <f aca="false">W_PH(M$2,$A179)</f>
        <v>2150.14009827553</v>
      </c>
      <c r="N179" s="0" t="n">
        <f aca="false">W_PH(N$2,$A179)</f>
        <v>2150.13788591002</v>
      </c>
      <c r="O179" s="0" t="n">
        <f aca="false">W_PH(O$2,$A179)</f>
        <v>2150.13567372244</v>
      </c>
      <c r="P179" s="0" t="n">
        <f aca="false">W_PH(P$2,$A179)</f>
        <v>2150.11356162986</v>
      </c>
      <c r="Q179" s="0" t="n">
        <f aca="false">W_PH(Q$2,$A179)</f>
        <v>2150.09146731304</v>
      </c>
      <c r="R179" s="0" t="n">
        <f aca="false">W_PH(R$2,$A179)</f>
        <v>2150.06939075523</v>
      </c>
      <c r="S179" s="0" t="n">
        <f aca="false">W_PH(S$2,$A179)</f>
        <v>2150.04733193973</v>
      </c>
      <c r="T179" s="0" t="n">
        <f aca="false">W_PH(T$2,$A179)</f>
        <v>2150.02529084991</v>
      </c>
      <c r="U179" s="0" t="n">
        <f aca="false">W_PH(U$2,$A179)</f>
        <v>2150.00326746918</v>
      </c>
      <c r="V179" s="0" t="n">
        <f aca="false">W_PH(V$2,$A179)</f>
        <v>2149.98126178101</v>
      </c>
      <c r="W179" s="0" t="n">
        <f aca="false">W_PH(W$2,$A179)</f>
        <v>2149.95927376892</v>
      </c>
      <c r="X179" s="0" t="n">
        <f aca="false">W_PH(X$2,$A179)</f>
        <v>2149.93730341649</v>
      </c>
      <c r="Y179" s="0" t="n">
        <f aca="false">W_PH(Y$2,$A179)</f>
        <v>2149.7185675981</v>
      </c>
      <c r="Z179" s="0" t="n">
        <f aca="false">W_PH(Z$2,$A179)</f>
        <v>2149.50158007097</v>
      </c>
      <c r="AA179" s="0" t="n">
        <f aca="false">W_PH(AA$2,$A179)</f>
        <v>2149.28632527013</v>
      </c>
      <c r="AB179" s="0" t="n">
        <f aca="false">W_PH(AB$2,$A179)</f>
        <v>2149.07278813104</v>
      </c>
      <c r="AC179" s="0" t="n">
        <f aca="false">W_PH(AC$2,$A179)</f>
        <v>2148.86095407398</v>
      </c>
      <c r="AD179" s="0" t="n">
        <f aca="false">W_PH(AD$2,$A179)</f>
        <v>2148.65080898909</v>
      </c>
      <c r="AE179" s="0" t="n">
        <f aca="false">W_PH(AE$2,$A179)</f>
        <v>2148.44233922188</v>
      </c>
      <c r="AF179" s="0" t="n">
        <f aca="false">W_PH(AF$2,$A179)</f>
        <v>2148.23553155935</v>
      </c>
      <c r="AG179" s="0" t="n">
        <f aca="false">W_PH(AG$2,$A179)</f>
        <v>2148.03037321653</v>
      </c>
      <c r="AH179" s="0" t="n">
        <f aca="false">W_PH(AH$2,$A179)</f>
        <v>2146.06697119215</v>
      </c>
      <c r="AI179" s="0" t="n">
        <f aca="false">W_PH(AI$2,$A179)</f>
        <v>2144.2571736054</v>
      </c>
      <c r="AJ179" s="0" t="n">
        <f aca="false">W_PH(AJ$2,$A179)</f>
        <v>2142.60431101856</v>
      </c>
      <c r="AK179" s="0" t="n">
        <f aca="false">W_PH(AK$2,$A179)</f>
        <v>2141.10143730001</v>
      </c>
      <c r="AL179" s="0" t="n">
        <f aca="false">W_PH(AL$2,$A179)</f>
        <v>2139.76709500241</v>
      </c>
      <c r="AM179" s="0" t="n">
        <f aca="false">W_PH(AM$2,$A179)</f>
        <v>2138.60525557447</v>
      </c>
      <c r="AN179" s="0" t="n">
        <f aca="false">W_PH(AN$2,$A179)</f>
        <v>2137.61992273193</v>
      </c>
      <c r="AO179" s="0" t="n">
        <f aca="false">W_PH(AO$2,$A179)</f>
        <v>2136.81488186501</v>
      </c>
      <c r="AP179" s="0" t="n">
        <f aca="false">W_PH(AP$2,$A179)</f>
        <v>2136.19352565132</v>
      </c>
      <c r="AQ179" s="0" t="n">
        <f aca="false">W_PH(AQ$2,$A179)</f>
        <v>2140.41488579111</v>
      </c>
      <c r="AR179" s="0" t="n">
        <f aca="false">W_PH(AR$2,$A179)</f>
        <v>2143.61728338347</v>
      </c>
      <c r="AS179" s="0" t="n">
        <f aca="false">W_PH(AS$2,$A179)</f>
        <v>2144.85408516536</v>
      </c>
    </row>
    <row r="180" customFormat="false" ht="12.8" hidden="false" customHeight="false" outlineLevel="0" collapsed="false">
      <c r="A180" s="0" t="n">
        <v>1461.73688736028</v>
      </c>
      <c r="B180" s="0" t="n">
        <f aca="false">W_PH(B$2,$A180)</f>
        <v>2015</v>
      </c>
      <c r="C180" s="0" t="n">
        <f aca="false">W_PH(C$2,$A180)</f>
        <v>2156.72954997292</v>
      </c>
      <c r="D180" s="0" t="n">
        <f aca="false">W_PH(D$2,$A180)</f>
        <v>2156.72933523242</v>
      </c>
      <c r="E180" s="0" t="n">
        <f aca="false">W_PH(E$2,$A180)</f>
        <v>2156.72912049364</v>
      </c>
      <c r="F180" s="0" t="n">
        <f aca="false">W_PH(F$2,$A180)</f>
        <v>2156.72890575658</v>
      </c>
      <c r="G180" s="0" t="n">
        <f aca="false">W_PH(G$2,$A180)</f>
        <v>2156.7267584805</v>
      </c>
      <c r="H180" s="0" t="n">
        <f aca="false">W_PH(H$2,$A180)</f>
        <v>2156.72461137631</v>
      </c>
      <c r="I180" s="0" t="n">
        <f aca="false">W_PH(I$2,$A180)</f>
        <v>2156.72246444399</v>
      </c>
      <c r="J180" s="0" t="n">
        <f aca="false">W_PH(J$2,$A180)</f>
        <v>2156.72031768353</v>
      </c>
      <c r="K180" s="0" t="n">
        <f aca="false">W_PH(K$2,$A180)</f>
        <v>2156.71817109491</v>
      </c>
      <c r="L180" s="0" t="n">
        <f aca="false">W_PH(L$2,$A180)</f>
        <v>2156.71602467812</v>
      </c>
      <c r="M180" s="0" t="n">
        <f aca="false">W_PH(M$2,$A180)</f>
        <v>2156.71387843314</v>
      </c>
      <c r="N180" s="0" t="n">
        <f aca="false">W_PH(N$2,$A180)</f>
        <v>2156.71173235995</v>
      </c>
      <c r="O180" s="0" t="n">
        <f aca="false">W_PH(O$2,$A180)</f>
        <v>2156.70958645855</v>
      </c>
      <c r="P180" s="0" t="n">
        <f aca="false">W_PH(P$2,$A180)</f>
        <v>2156.6881368891</v>
      </c>
      <c r="Q180" s="0" t="n">
        <f aca="false">W_PH(Q$2,$A180)</f>
        <v>2156.6667044809</v>
      </c>
      <c r="R180" s="0" t="n">
        <f aca="false">W_PH(R$2,$A180)</f>
        <v>2156.6452892187</v>
      </c>
      <c r="S180" s="0" t="n">
        <f aca="false">W_PH(S$2,$A180)</f>
        <v>2156.6238910873</v>
      </c>
      <c r="T180" s="0" t="n">
        <f aca="false">W_PH(T$2,$A180)</f>
        <v>2156.60251007153</v>
      </c>
      <c r="U180" s="0" t="n">
        <f aca="false">W_PH(U$2,$A180)</f>
        <v>2156.58114615629</v>
      </c>
      <c r="V180" s="0" t="n">
        <f aca="false">W_PH(V$2,$A180)</f>
        <v>2156.55979932652</v>
      </c>
      <c r="W180" s="0" t="n">
        <f aca="false">W_PH(W$2,$A180)</f>
        <v>2156.53846956721</v>
      </c>
      <c r="X180" s="0" t="n">
        <f aca="false">W_PH(X$2,$A180)</f>
        <v>2156.5171568634</v>
      </c>
      <c r="Y180" s="0" t="n">
        <f aca="false">W_PH(Y$2,$A180)</f>
        <v>2156.30496462166</v>
      </c>
      <c r="Z180" s="0" t="n">
        <f aca="false">W_PH(Z$2,$A180)</f>
        <v>2156.09446183289</v>
      </c>
      <c r="AA180" s="0" t="n">
        <f aca="false">W_PH(AA$2,$A180)</f>
        <v>2155.88563432266</v>
      </c>
      <c r="AB180" s="0" t="n">
        <f aca="false">W_PH(AB$2,$A180)</f>
        <v>2155.67846837365</v>
      </c>
      <c r="AC180" s="0" t="n">
        <f aca="false">W_PH(AC$2,$A180)</f>
        <v>2155.47295071134</v>
      </c>
      <c r="AD180" s="0" t="n">
        <f aca="false">W_PH(AD$2,$A180)</f>
        <v>2155.26906849012</v>
      </c>
      <c r="AE180" s="0" t="n">
        <f aca="false">W_PH(AE$2,$A180)</f>
        <v>2155.06680927993</v>
      </c>
      <c r="AF180" s="0" t="n">
        <f aca="false">W_PH(AF$2,$A180)</f>
        <v>2154.86616105333</v>
      </c>
      <c r="AG180" s="0" t="n">
        <f aca="false">W_PH(AG$2,$A180)</f>
        <v>2154.66711217306</v>
      </c>
      <c r="AH180" s="0" t="n">
        <f aca="false">W_PH(AH$2,$A180)</f>
        <v>2152.76228336496</v>
      </c>
      <c r="AI180" s="0" t="n">
        <f aca="false">W_PH(AI$2,$A180)</f>
        <v>2151.00707279467</v>
      </c>
      <c r="AJ180" s="0" t="n">
        <f aca="false">W_PH(AJ$2,$A180)</f>
        <v>2149.40543434223</v>
      </c>
      <c r="AK180" s="0" t="n">
        <f aca="false">W_PH(AK$2,$A180)</f>
        <v>2147.94872951362</v>
      </c>
      <c r="AL180" s="0" t="n">
        <f aca="false">W_PH(AL$2,$A180)</f>
        <v>2146.65727027144</v>
      </c>
      <c r="AM180" s="0" t="n">
        <f aca="false">W_PH(AM$2,$A180)</f>
        <v>2145.53503574997</v>
      </c>
      <c r="AN180" s="0" t="n">
        <f aca="false">W_PH(AN$2,$A180)</f>
        <v>2144.58601314737</v>
      </c>
      <c r="AO180" s="0" t="n">
        <f aca="false">W_PH(AO$2,$A180)</f>
        <v>2143.81396040888</v>
      </c>
      <c r="AP180" s="0" t="n">
        <f aca="false">W_PH(AP$2,$A180)</f>
        <v>2143.22224070643</v>
      </c>
      <c r="AQ180" s="0" t="n">
        <f aca="false">W_PH(AQ$2,$A180)</f>
        <v>2147.55473414652</v>
      </c>
      <c r="AR180" s="0" t="n">
        <f aca="false">W_PH(AR$2,$A180)</f>
        <v>2150.73987775567</v>
      </c>
      <c r="AS180" s="0" t="n">
        <f aca="false">W_PH(AS$2,$A180)</f>
        <v>2151.96811515623</v>
      </c>
    </row>
    <row r="181" customFormat="false" ht="12.8" hidden="false" customHeight="false" outlineLevel="0" collapsed="false">
      <c r="A181" s="0" t="n">
        <v>1466.03611349957</v>
      </c>
      <c r="B181" s="0" t="n">
        <f aca="false">W_PH(B$2,$A181)</f>
        <v>2015</v>
      </c>
      <c r="C181" s="0" t="n">
        <f aca="false">W_PH(C$2,$A181)</f>
        <v>2163.26763860385</v>
      </c>
      <c r="D181" s="0" t="n">
        <f aca="false">W_PH(D$2,$A181)</f>
        <v>2163.26743033936</v>
      </c>
      <c r="E181" s="0" t="n">
        <f aca="false">W_PH(E$2,$A181)</f>
        <v>2163.26722207653</v>
      </c>
      <c r="F181" s="0" t="n">
        <f aca="false">W_PH(F$2,$A181)</f>
        <v>2163.26701381536</v>
      </c>
      <c r="G181" s="0" t="n">
        <f aca="false">W_PH(G$2,$A181)</f>
        <v>2163.26493129499</v>
      </c>
      <c r="H181" s="0" t="n">
        <f aca="false">W_PH(H$2,$A181)</f>
        <v>2163.26284894062</v>
      </c>
      <c r="I181" s="0" t="n">
        <f aca="false">W_PH(I$2,$A181)</f>
        <v>2163.26076675224</v>
      </c>
      <c r="J181" s="0" t="n">
        <f aca="false">W_PH(J$2,$A181)</f>
        <v>2163.25868472985</v>
      </c>
      <c r="K181" s="0" t="n">
        <f aca="false">W_PH(K$2,$A181)</f>
        <v>2163.25660287341</v>
      </c>
      <c r="L181" s="0" t="n">
        <f aca="false">W_PH(L$2,$A181)</f>
        <v>2163.25452118292</v>
      </c>
      <c r="M181" s="0" t="n">
        <f aca="false">W_PH(M$2,$A181)</f>
        <v>2163.25243965838</v>
      </c>
      <c r="N181" s="0" t="n">
        <f aca="false">W_PH(N$2,$A181)</f>
        <v>2163.25035829975</v>
      </c>
      <c r="O181" s="0" t="n">
        <f aca="false">W_PH(O$2,$A181)</f>
        <v>2163.24827710703</v>
      </c>
      <c r="P181" s="0" t="n">
        <f aca="false">W_PH(P$2,$A181)</f>
        <v>2163.22747430172</v>
      </c>
      <c r="Q181" s="0" t="n">
        <f aca="false">W_PH(Q$2,$A181)</f>
        <v>2163.20668807195</v>
      </c>
      <c r="R181" s="0" t="n">
        <f aca="false">W_PH(R$2,$A181)</f>
        <v>2163.18591840387</v>
      </c>
      <c r="S181" s="0" t="n">
        <f aca="false">W_PH(S$2,$A181)</f>
        <v>2163.16516528366</v>
      </c>
      <c r="T181" s="0" t="n">
        <f aca="false">W_PH(T$2,$A181)</f>
        <v>2163.14442869758</v>
      </c>
      <c r="U181" s="0" t="n">
        <f aca="false">W_PH(U$2,$A181)</f>
        <v>2163.12370863191</v>
      </c>
      <c r="V181" s="0" t="n">
        <f aca="false">W_PH(V$2,$A181)</f>
        <v>2163.10300507299</v>
      </c>
      <c r="W181" s="0" t="n">
        <f aca="false">W_PH(W$2,$A181)</f>
        <v>2163.0823180072</v>
      </c>
      <c r="X181" s="0" t="n">
        <f aca="false">W_PH(X$2,$A181)</f>
        <v>2163.06164742095</v>
      </c>
      <c r="Y181" s="0" t="n">
        <f aca="false">W_PH(Y$2,$A181)</f>
        <v>2162.85584497829</v>
      </c>
      <c r="Z181" s="0" t="n">
        <f aca="false">W_PH(Z$2,$A181)</f>
        <v>2162.65167588246</v>
      </c>
      <c r="AA181" s="0" t="n">
        <f aca="false">W_PH(AA$2,$A181)</f>
        <v>2162.44912727296</v>
      </c>
      <c r="AB181" s="0" t="n">
        <f aca="false">W_PH(AB$2,$A181)</f>
        <v>2162.24818670637</v>
      </c>
      <c r="AC181" s="0" t="n">
        <f aca="false">W_PH(AC$2,$A181)</f>
        <v>2162.04884214318</v>
      </c>
      <c r="AD181" s="0" t="n">
        <f aca="false">W_PH(AD$2,$A181)</f>
        <v>2161.85108193489</v>
      </c>
      <c r="AE181" s="0" t="n">
        <f aca="false">W_PH(AE$2,$A181)</f>
        <v>2161.65489481169</v>
      </c>
      <c r="AF181" s="0" t="n">
        <f aca="false">W_PH(AF$2,$A181)</f>
        <v>2161.46026987051</v>
      </c>
      <c r="AG181" s="0" t="n">
        <f aca="false">W_PH(AG$2,$A181)</f>
        <v>2161.26719656344</v>
      </c>
      <c r="AH181" s="0" t="n">
        <f aca="false">W_PH(AH$2,$A181)</f>
        <v>2159.41971554467</v>
      </c>
      <c r="AI181" s="0" t="n">
        <f aca="false">W_PH(AI$2,$A181)</f>
        <v>2157.71804811472</v>
      </c>
      <c r="AJ181" s="0" t="n">
        <f aca="false">W_PH(AJ$2,$A181)</f>
        <v>2156.16673149787</v>
      </c>
      <c r="AK181" s="0" t="n">
        <f aca="false">W_PH(AK$2,$A181)</f>
        <v>2154.75558045726</v>
      </c>
      <c r="AL181" s="0" t="n">
        <f aca="false">W_PH(AL$2,$A181)</f>
        <v>2153.50651239623</v>
      </c>
      <c r="AM181" s="0" t="n">
        <f aca="false">W_PH(AM$2,$A181)</f>
        <v>2152.42350858034</v>
      </c>
      <c r="AN181" s="0" t="n">
        <f aca="false">W_PH(AN$2,$A181)</f>
        <v>2151.51053377632</v>
      </c>
      <c r="AO181" s="0" t="n">
        <f aca="false">W_PH(AO$2,$A181)</f>
        <v>2150.77131211539</v>
      </c>
      <c r="AP181" s="0" t="n">
        <f aca="false">W_PH(AP$2,$A181)</f>
        <v>2150.20917048365</v>
      </c>
      <c r="AQ181" s="0" t="n">
        <f aca="false">W_PH(AQ$2,$A181)</f>
        <v>2154.65607858478</v>
      </c>
      <c r="AR181" s="0" t="n">
        <f aca="false">W_PH(AR$2,$A181)</f>
        <v>2157.8251849</v>
      </c>
      <c r="AS181" s="0" t="n">
        <f aca="false">W_PH(AS$2,$A181)</f>
        <v>2159.0452875545</v>
      </c>
    </row>
    <row r="182" customFormat="false" ht="12.8" hidden="false" customHeight="false" outlineLevel="0" collapsed="false">
      <c r="A182" s="0" t="n">
        <v>1470.33533963887</v>
      </c>
      <c r="B182" s="0" t="n">
        <f aca="false">W_PH(B$2,$A182)</f>
        <v>2015</v>
      </c>
      <c r="C182" s="0" t="n">
        <f aca="false">W_PH(C$2,$A182)</f>
        <v>2169.77092346984</v>
      </c>
      <c r="D182" s="0" t="n">
        <f aca="false">W_PH(D$2,$A182)</f>
        <v>2169.77072152916</v>
      </c>
      <c r="E182" s="0" t="n">
        <f aca="false">W_PH(E$2,$A182)</f>
        <v>2169.77051959009</v>
      </c>
      <c r="F182" s="0" t="n">
        <f aca="false">W_PH(F$2,$A182)</f>
        <v>2169.77031765262</v>
      </c>
      <c r="G182" s="0" t="n">
        <f aca="false">W_PH(G$2,$A182)</f>
        <v>2169.76829836615</v>
      </c>
      <c r="H182" s="0" t="n">
        <f aca="false">W_PH(H$2,$A182)</f>
        <v>2169.76627924008</v>
      </c>
      <c r="I182" s="0" t="n">
        <f aca="false">W_PH(I$2,$A182)</f>
        <v>2169.7642602744</v>
      </c>
      <c r="J182" s="0" t="n">
        <f aca="false">W_PH(J$2,$A182)</f>
        <v>2169.76224146909</v>
      </c>
      <c r="K182" s="0" t="n">
        <f aca="false">W_PH(K$2,$A182)</f>
        <v>2169.76022282415</v>
      </c>
      <c r="L182" s="0" t="n">
        <f aca="false">W_PH(L$2,$A182)</f>
        <v>2169.75820433955</v>
      </c>
      <c r="M182" s="0" t="n">
        <f aca="false">W_PH(M$2,$A182)</f>
        <v>2169.75618601529</v>
      </c>
      <c r="N182" s="0" t="n">
        <f aca="false">W_PH(N$2,$A182)</f>
        <v>2169.75416785136</v>
      </c>
      <c r="O182" s="0" t="n">
        <f aca="false">W_PH(O$2,$A182)</f>
        <v>2169.75214984773</v>
      </c>
      <c r="P182" s="0" t="n">
        <f aca="false">W_PH(P$2,$A182)</f>
        <v>2169.73197862584</v>
      </c>
      <c r="Q182" s="0" t="n">
        <f aca="false">W_PH(Q$2,$A182)</f>
        <v>2169.71182342127</v>
      </c>
      <c r="R182" s="0" t="n">
        <f aca="false">W_PH(R$2,$A182)</f>
        <v>2169.69168422149</v>
      </c>
      <c r="S182" s="0" t="n">
        <f aca="false">W_PH(S$2,$A182)</f>
        <v>2169.67156101402</v>
      </c>
      <c r="T182" s="0" t="n">
        <f aca="false">W_PH(T$2,$A182)</f>
        <v>2169.65145378643</v>
      </c>
      <c r="U182" s="0" t="n">
        <f aca="false">W_PH(U$2,$A182)</f>
        <v>2169.63136252632</v>
      </c>
      <c r="V182" s="0" t="n">
        <f aca="false">W_PH(V$2,$A182)</f>
        <v>2169.61128722133</v>
      </c>
      <c r="W182" s="0" t="n">
        <f aca="false">W_PH(W$2,$A182)</f>
        <v>2169.59122785915</v>
      </c>
      <c r="X182" s="0" t="n">
        <f aca="false">W_PH(X$2,$A182)</f>
        <v>2169.57118442751</v>
      </c>
      <c r="Y182" s="0" t="n">
        <f aca="false">W_PH(Y$2,$A182)</f>
        <v>2169.37162361934</v>
      </c>
      <c r="Z182" s="0" t="n">
        <f aca="false">W_PH(Z$2,$A182)</f>
        <v>2169.17364266194</v>
      </c>
      <c r="AA182" s="0" t="n">
        <f aca="false">W_PH(AA$2,$A182)</f>
        <v>2168.97722993498</v>
      </c>
      <c r="AB182" s="0" t="n">
        <f aca="false">W_PH(AB$2,$A182)</f>
        <v>2168.78237419823</v>
      </c>
      <c r="AC182" s="0" t="n">
        <f aca="false">W_PH(AC$2,$A182)</f>
        <v>2168.5890645793</v>
      </c>
      <c r="AD182" s="0" t="n">
        <f aca="false">W_PH(AD$2,$A182)</f>
        <v>2168.39729056181</v>
      </c>
      <c r="AE182" s="0" t="n">
        <f aca="false">W_PH(AE$2,$A182)</f>
        <v>2168.207041974</v>
      </c>
      <c r="AF182" s="0" t="n">
        <f aca="false">W_PH(AF$2,$A182)</f>
        <v>2168.01830897761</v>
      </c>
      <c r="AG182" s="0" t="n">
        <f aca="false">W_PH(AG$2,$A182)</f>
        <v>2167.8310820572</v>
      </c>
      <c r="AH182" s="0" t="n">
        <f aca="false">W_PH(AH$2,$A182)</f>
        <v>2166.03976472018</v>
      </c>
      <c r="AI182" s="0" t="n">
        <f aca="false">W_PH(AI$2,$A182)</f>
        <v>2164.39062725272</v>
      </c>
      <c r="AJ182" s="0" t="n">
        <f aca="false">W_PH(AJ$2,$A182)</f>
        <v>2162.88874865041</v>
      </c>
      <c r="AK182" s="0" t="n">
        <f aca="false">W_PH(AK$2,$A182)</f>
        <v>2161.52254826663</v>
      </c>
      <c r="AL182" s="0" t="n">
        <f aca="false">W_PH(AL$2,$A182)</f>
        <v>2160.31538438069</v>
      </c>
      <c r="AM182" s="0" t="n">
        <f aca="false">W_PH(AM$2,$A182)</f>
        <v>2159.2712352959</v>
      </c>
      <c r="AN182" s="0" t="n">
        <f aca="false">W_PH(AN$2,$A182)</f>
        <v>2158.39403809705</v>
      </c>
      <c r="AO182" s="0" t="n">
        <f aca="false">W_PH(AO$2,$A182)</f>
        <v>2157.68747752005</v>
      </c>
      <c r="AP182" s="0" t="n">
        <f aca="false">W_PH(AP$2,$A182)</f>
        <v>2157.15483823629</v>
      </c>
      <c r="AQ182" s="0" t="n">
        <f aca="false">W_PH(AQ$2,$A182)</f>
        <v>2161.71920320604</v>
      </c>
      <c r="AR182" s="0" t="n">
        <f aca="false">W_PH(AR$2,$A182)</f>
        <v>2164.873454495</v>
      </c>
      <c r="AS182" s="0" t="n">
        <f aca="false">W_PH(AS$2,$A182)</f>
        <v>2166.08584266651</v>
      </c>
    </row>
    <row r="183" customFormat="false" ht="12.8" hidden="false" customHeight="false" outlineLevel="0" collapsed="false">
      <c r="A183" s="0" t="n">
        <v>1474.63456577816</v>
      </c>
      <c r="B183" s="0" t="n">
        <f aca="false">W_PH(B$2,$A183)</f>
        <v>2015</v>
      </c>
      <c r="C183" s="0" t="n">
        <f aca="false">W_PH(C$2,$A183)</f>
        <v>2176.23980231245</v>
      </c>
      <c r="D183" s="0" t="n">
        <f aca="false">W_PH(D$2,$A183)</f>
        <v>2176.23960654888</v>
      </c>
      <c r="E183" s="0" t="n">
        <f aca="false">W_PH(E$2,$A183)</f>
        <v>2176.23941078687</v>
      </c>
      <c r="F183" s="0" t="n">
        <f aca="false">W_PH(F$2,$A183)</f>
        <v>2176.2392150264</v>
      </c>
      <c r="G183" s="0" t="n">
        <f aca="false">W_PH(G$2,$A183)</f>
        <v>2176.23725750703</v>
      </c>
      <c r="H183" s="0" t="n">
        <f aca="false">W_PH(H$2,$A183)</f>
        <v>2176.23530014272</v>
      </c>
      <c r="I183" s="0" t="n">
        <f aca="false">W_PH(I$2,$A183)</f>
        <v>2176.23334293346</v>
      </c>
      <c r="J183" s="0" t="n">
        <f aca="false">W_PH(J$2,$A183)</f>
        <v>2176.23138587923</v>
      </c>
      <c r="K183" s="0" t="n">
        <f aca="false">W_PH(K$2,$A183)</f>
        <v>2176.22942898003</v>
      </c>
      <c r="L183" s="0" t="n">
        <f aca="false">W_PH(L$2,$A183)</f>
        <v>2176.22747223583</v>
      </c>
      <c r="M183" s="0" t="n">
        <f aca="false">W_PH(M$2,$A183)</f>
        <v>2176.22551564664</v>
      </c>
      <c r="N183" s="0" t="n">
        <f aca="false">W_PH(N$2,$A183)</f>
        <v>2176.22355921244</v>
      </c>
      <c r="O183" s="0" t="n">
        <f aca="false">W_PH(O$2,$A183)</f>
        <v>2176.22160293322</v>
      </c>
      <c r="P183" s="0" t="n">
        <f aca="false">W_PH(P$2,$A183)</f>
        <v>2176.20204866232</v>
      </c>
      <c r="Q183" s="0" t="n">
        <f aca="false">W_PH(Q$2,$A183)</f>
        <v>2176.18250987683</v>
      </c>
      <c r="R183" s="0" t="n">
        <f aca="false">W_PH(R$2,$A183)</f>
        <v>2176.16298656549</v>
      </c>
      <c r="S183" s="0" t="n">
        <f aca="false">W_PH(S$2,$A183)</f>
        <v>2176.14347871706</v>
      </c>
      <c r="T183" s="0" t="n">
        <f aca="false">W_PH(T$2,$A183)</f>
        <v>2176.12398632034</v>
      </c>
      <c r="U183" s="0" t="n">
        <f aca="false">W_PH(U$2,$A183)</f>
        <v>2176.10450936418</v>
      </c>
      <c r="V183" s="0" t="n">
        <f aca="false">W_PH(V$2,$A183)</f>
        <v>2176.08504783746</v>
      </c>
      <c r="W183" s="0" t="n">
        <f aca="false">W_PH(W$2,$A183)</f>
        <v>2176.06560172909</v>
      </c>
      <c r="X183" s="0" t="n">
        <f aca="false">W_PH(X$2,$A183)</f>
        <v>2176.04617102802</v>
      </c>
      <c r="Y183" s="0" t="n">
        <f aca="false">W_PH(Y$2,$A183)</f>
        <v>2175.85270901561</v>
      </c>
      <c r="Z183" s="0" t="n">
        <f aca="false">W_PH(Z$2,$A183)</f>
        <v>2175.66077585503</v>
      </c>
      <c r="AA183" s="0" t="n">
        <f aca="false">W_PH(AA$2,$A183)</f>
        <v>2175.47036109518</v>
      </c>
      <c r="AB183" s="0" t="n">
        <f aca="false">W_PH(AB$2,$A183)</f>
        <v>2175.28145463079</v>
      </c>
      <c r="AC183" s="0" t="n">
        <f aca="false">W_PH(AC$2,$A183)</f>
        <v>2175.09404669115</v>
      </c>
      <c r="AD183" s="0" t="n">
        <f aca="false">W_PH(AD$2,$A183)</f>
        <v>2174.90812782917</v>
      </c>
      <c r="AE183" s="0" t="n">
        <f aca="false">W_PH(AE$2,$A183)</f>
        <v>2174.72368891081</v>
      </c>
      <c r="AF183" s="0" t="n">
        <f aca="false">W_PH(AF$2,$A183)</f>
        <v>2174.54072110486</v>
      </c>
      <c r="AG183" s="0" t="n">
        <f aca="false">W_PH(AG$2,$A183)</f>
        <v>2174.35921587299</v>
      </c>
      <c r="AH183" s="0" t="n">
        <f aca="false">W_PH(AH$2,$A183)</f>
        <v>2172.62291781367</v>
      </c>
      <c r="AI183" s="0" t="n">
        <f aca="false">W_PH(AI$2,$A183)</f>
        <v>2171.02532730883</v>
      </c>
      <c r="AJ183" s="0" t="n">
        <f aca="false">W_PH(AJ$2,$A183)</f>
        <v>2169.57202252477</v>
      </c>
      <c r="AK183" s="0" t="n">
        <f aca="false">W_PH(AK$2,$A183)</f>
        <v>2168.25018148835</v>
      </c>
      <c r="AL183" s="0" t="n">
        <f aca="false">W_PH(AL$2,$A183)</f>
        <v>2167.08444000793</v>
      </c>
      <c r="AM183" s="0" t="n">
        <f aca="false">W_PH(AM$2,$A183)</f>
        <v>2166.07876871352</v>
      </c>
      <c r="AN183" s="0" t="n">
        <f aca="false">W_PH(AN$2,$A183)</f>
        <v>2165.23707232892</v>
      </c>
      <c r="AO183" s="0" t="n">
        <f aca="false">W_PH(AO$2,$A183)</f>
        <v>2164.56299130912</v>
      </c>
      <c r="AP183" s="0" t="n">
        <f aca="false">W_PH(AP$2,$A183)</f>
        <v>2164.05976294808</v>
      </c>
      <c r="AQ183" s="0" t="n">
        <f aca="false">W_PH(AQ$2,$A183)</f>
        <v>2168.7444019877</v>
      </c>
      <c r="AR183" s="0" t="n">
        <f aca="false">W_PH(AR$2,$A183)</f>
        <v>2171.88494776302</v>
      </c>
      <c r="AS183" s="0" t="n">
        <f aca="false">W_PH(AS$2,$A183)</f>
        <v>2173.09003284701</v>
      </c>
    </row>
    <row r="184" customFormat="false" ht="12.8" hidden="false" customHeight="false" outlineLevel="0" collapsed="false">
      <c r="A184" s="0" t="n">
        <v>1478.93379191745</v>
      </c>
      <c r="B184" s="0" t="n">
        <f aca="false">W_PH(B$2,$A184)</f>
        <v>2015</v>
      </c>
      <c r="C184" s="0" t="n">
        <f aca="false">W_PH(C$2,$A184)</f>
        <v>2182.6746671014</v>
      </c>
      <c r="D184" s="0" t="n">
        <f aca="false">W_PH(D$2,$A184)</f>
        <v>2182.67447737347</v>
      </c>
      <c r="E184" s="0" t="n">
        <f aca="false">W_PH(E$2,$A184)</f>
        <v>2182.67428764703</v>
      </c>
      <c r="F184" s="0" t="n">
        <f aca="false">W_PH(F$2,$A184)</f>
        <v>2182.6740979221</v>
      </c>
      <c r="G184" s="0" t="n">
        <f aca="false">W_PH(G$2,$A184)</f>
        <v>2182.67220075522</v>
      </c>
      <c r="H184" s="0" t="n">
        <f aca="false">W_PH(H$2,$A184)</f>
        <v>2182.67030373831</v>
      </c>
      <c r="I184" s="0" t="n">
        <f aca="false">W_PH(I$2,$A184)</f>
        <v>2182.66840687136</v>
      </c>
      <c r="J184" s="0" t="n">
        <f aca="false">W_PH(J$2,$A184)</f>
        <v>2182.66651015436</v>
      </c>
      <c r="K184" s="0" t="n">
        <f aca="false">W_PH(K$2,$A184)</f>
        <v>2182.66461358731</v>
      </c>
      <c r="L184" s="0" t="n">
        <f aca="false">W_PH(L$2,$A184)</f>
        <v>2182.66271717018</v>
      </c>
      <c r="M184" s="0" t="n">
        <f aca="false">W_PH(M$2,$A184)</f>
        <v>2182.66082090296</v>
      </c>
      <c r="N184" s="0" t="n">
        <f aca="false">W_PH(N$2,$A184)</f>
        <v>2182.65892478566</v>
      </c>
      <c r="O184" s="0" t="n">
        <f aca="false">W_PH(O$2,$A184)</f>
        <v>2182.65702881826</v>
      </c>
      <c r="P184" s="0" t="n">
        <f aca="false">W_PH(P$2,$A184)</f>
        <v>2182.63807738642</v>
      </c>
      <c r="Q184" s="0" t="n">
        <f aca="false">W_PH(Q$2,$A184)</f>
        <v>2182.61914093332</v>
      </c>
      <c r="R184" s="0" t="n">
        <f aca="false">W_PH(R$2,$A184)</f>
        <v>2182.60021944884</v>
      </c>
      <c r="S184" s="0" t="n">
        <f aca="false">W_PH(S$2,$A184)</f>
        <v>2182.58131292294</v>
      </c>
      <c r="T184" s="0" t="n">
        <f aca="false">W_PH(T$2,$A184)</f>
        <v>2182.56242134558</v>
      </c>
      <c r="U184" s="0" t="n">
        <f aca="false">W_PH(U$2,$A184)</f>
        <v>2182.54354470677</v>
      </c>
      <c r="V184" s="0" t="n">
        <f aca="false">W_PH(V$2,$A184)</f>
        <v>2182.52468299656</v>
      </c>
      <c r="W184" s="0" t="n">
        <f aca="false">W_PH(W$2,$A184)</f>
        <v>2182.50583620502</v>
      </c>
      <c r="X184" s="0" t="n">
        <f aca="false">W_PH(X$2,$A184)</f>
        <v>2182.48700432225</v>
      </c>
      <c r="Y184" s="0" t="n">
        <f aca="false">W_PH(Y$2,$A184)</f>
        <v>2182.29950332549</v>
      </c>
      <c r="Z184" s="0" t="n">
        <f aca="false">W_PH(Z$2,$A184)</f>
        <v>2182.11348257373</v>
      </c>
      <c r="AA184" s="0" t="n">
        <f aca="false">W_PH(AA$2,$A184)</f>
        <v>2181.92893271693</v>
      </c>
      <c r="AB184" s="0" t="n">
        <f aca="false">W_PH(AB$2,$A184)</f>
        <v>2181.74584471916</v>
      </c>
      <c r="AC184" s="0" t="n">
        <f aca="false">W_PH(AC$2,$A184)</f>
        <v>2181.56420984827</v>
      </c>
      <c r="AD184" s="0" t="n">
        <f aca="false">W_PH(AD$2,$A184)</f>
        <v>2181.38401966574</v>
      </c>
      <c r="AE184" s="0" t="n">
        <f aca="false">W_PH(AE$2,$A184)</f>
        <v>2181.20526601699</v>
      </c>
      <c r="AF184" s="0" t="n">
        <f aca="false">W_PH(AF$2,$A184)</f>
        <v>2181.02794102181</v>
      </c>
      <c r="AG184" s="0" t="n">
        <f aca="false">W_PH(AG$2,$A184)</f>
        <v>2180.85203706528</v>
      </c>
      <c r="AH184" s="0" t="n">
        <f aca="false">W_PH(AH$2,$A184)</f>
        <v>2179.16965201181</v>
      </c>
      <c r="AI184" s="0" t="n">
        <f aca="false">W_PH(AI$2,$A184)</f>
        <v>2177.62265504733</v>
      </c>
      <c r="AJ184" s="0" t="n">
        <f aca="false">W_PH(AJ$2,$A184)</f>
        <v>2176.217080481</v>
      </c>
      <c r="AK184" s="0" t="n">
        <f aca="false">W_PH(AK$2,$A184)</f>
        <v>2174.93901913112</v>
      </c>
      <c r="AL184" s="0" t="n">
        <f aca="false">W_PH(AL$2,$A184)</f>
        <v>2173.81422382888</v>
      </c>
      <c r="AM184" s="0" t="n">
        <f aca="false">W_PH(AM$2,$A184)</f>
        <v>2172.84665313813</v>
      </c>
      <c r="AN184" s="0" t="n">
        <f aca="false">W_PH(AN$2,$A184)</f>
        <v>2172.04017523518</v>
      </c>
      <c r="AO184" s="0" t="n">
        <f aca="false">W_PH(AO$2,$A184)</f>
        <v>2171.39838202164</v>
      </c>
      <c r="AP184" s="0" t="n">
        <f aca="false">W_PH(AP$2,$A184)</f>
        <v>2170.92445893876</v>
      </c>
      <c r="AQ184" s="0" t="n">
        <f aca="false">W_PH(AQ$2,$A184)</f>
        <v>2175.73197758845</v>
      </c>
      <c r="AR184" s="0" t="n">
        <f aca="false">W_PH(AR$2,$A184)</f>
        <v>2178.85993596254</v>
      </c>
      <c r="AS184" s="0" t="n">
        <f aca="false">W_PH(AS$2,$A184)</f>
        <v>2180.05812086161</v>
      </c>
    </row>
    <row r="185" customFormat="false" ht="12.8" hidden="false" customHeight="false" outlineLevel="0" collapsed="false">
      <c r="A185" s="0" t="n">
        <v>1483.23301805675</v>
      </c>
      <c r="B185" s="0" t="n">
        <f aca="false">W_PH(B$2,$A185)</f>
        <v>2015</v>
      </c>
      <c r="C185" s="0" t="n">
        <f aca="false">W_PH(C$2,$A185)</f>
        <v>2189.0759041556</v>
      </c>
      <c r="D185" s="0" t="n">
        <f aca="false">W_PH(D$2,$A185)</f>
        <v>2189.07572032678</v>
      </c>
      <c r="E185" s="0" t="n">
        <f aca="false">W_PH(E$2,$A185)</f>
        <v>2189.07553649941</v>
      </c>
      <c r="F185" s="0" t="n">
        <f aca="false">W_PH(F$2,$A185)</f>
        <v>2189.07535267349</v>
      </c>
      <c r="G185" s="0" t="n">
        <f aca="false">W_PH(G$2,$A185)</f>
        <v>2189.0735144941</v>
      </c>
      <c r="H185" s="0" t="n">
        <f aca="false">W_PH(H$2,$A185)</f>
        <v>2189.07167645984</v>
      </c>
      <c r="I185" s="0" t="n">
        <f aca="false">W_PH(I$2,$A185)</f>
        <v>2189.06983857069</v>
      </c>
      <c r="J185" s="0" t="n">
        <f aca="false">W_PH(J$2,$A185)</f>
        <v>2189.06800082666</v>
      </c>
      <c r="K185" s="0" t="n">
        <f aca="false">W_PH(K$2,$A185)</f>
        <v>2189.06616322772</v>
      </c>
      <c r="L185" s="0" t="n">
        <f aca="false">W_PH(L$2,$A185)</f>
        <v>2189.06432577386</v>
      </c>
      <c r="M185" s="0" t="n">
        <f aca="false">W_PH(M$2,$A185)</f>
        <v>2189.06248846509</v>
      </c>
      <c r="N185" s="0" t="n">
        <f aca="false">W_PH(N$2,$A185)</f>
        <v>2189.06065130139</v>
      </c>
      <c r="O185" s="0" t="n">
        <f aca="false">W_PH(O$2,$A185)</f>
        <v>2189.05881428275</v>
      </c>
      <c r="P185" s="0" t="n">
        <f aca="false">W_PH(P$2,$A185)</f>
        <v>2189.04045207273</v>
      </c>
      <c r="Q185" s="0" t="n">
        <f aca="false">W_PH(Q$2,$A185)</f>
        <v>2189.02210435894</v>
      </c>
      <c r="R185" s="0" t="n">
        <f aca="false">W_PH(R$2,$A185)</f>
        <v>2189.00377113238</v>
      </c>
      <c r="S185" s="0" t="n">
        <f aca="false">W_PH(S$2,$A185)</f>
        <v>2188.98545238408</v>
      </c>
      <c r="T185" s="0" t="n">
        <f aca="false">W_PH(T$2,$A185)</f>
        <v>2188.96714810513</v>
      </c>
      <c r="U185" s="0" t="n">
        <f aca="false">W_PH(U$2,$A185)</f>
        <v>2188.94885828663</v>
      </c>
      <c r="V185" s="0" t="n">
        <f aca="false">W_PH(V$2,$A185)</f>
        <v>2188.9305829197</v>
      </c>
      <c r="W185" s="0" t="n">
        <f aca="false">W_PH(W$2,$A185)</f>
        <v>2188.91232199551</v>
      </c>
      <c r="X185" s="0" t="n">
        <f aca="false">W_PH(X$2,$A185)</f>
        <v>2188.89407550527</v>
      </c>
      <c r="Y185" s="0" t="n">
        <f aca="false">W_PH(Y$2,$A185)</f>
        <v>2188.71240255404</v>
      </c>
      <c r="Z185" s="0" t="n">
        <f aca="false">W_PH(Z$2,$A185)</f>
        <v>2188.53216353513</v>
      </c>
      <c r="AA185" s="0" t="n">
        <f aca="false">W_PH(AA$2,$A185)</f>
        <v>2188.35335013407</v>
      </c>
      <c r="AB185" s="0" t="n">
        <f aca="false">W_PH(AB$2,$A185)</f>
        <v>2188.17595432124</v>
      </c>
      <c r="AC185" s="0" t="n">
        <f aca="false">W_PH(AC$2,$A185)</f>
        <v>2187.99996834223</v>
      </c>
      <c r="AD185" s="0" t="n">
        <f aca="false">W_PH(AD$2,$A185)</f>
        <v>2187.82538470863</v>
      </c>
      <c r="AE185" s="0" t="n">
        <f aca="false">W_PH(AE$2,$A185)</f>
        <v>2187.65219618891</v>
      </c>
      <c r="AF185" s="0" t="n">
        <f aca="false">W_PH(AF$2,$A185)</f>
        <v>2187.48039579974</v>
      </c>
      <c r="AG185" s="0" t="n">
        <f aca="false">W_PH(AG$2,$A185)</f>
        <v>2187.30997679745</v>
      </c>
      <c r="AH185" s="0" t="n">
        <f aca="false">W_PH(AH$2,$A185)</f>
        <v>2185.68043508907</v>
      </c>
      <c r="AI185" s="0" t="n">
        <f aca="false">W_PH(AI$2,$A185)</f>
        <v>2184.18310715551</v>
      </c>
      <c r="AJ185" s="0" t="n">
        <f aca="false">W_PH(AJ$2,$A185)</f>
        <v>2182.82444060099</v>
      </c>
      <c r="AK185" s="0" t="n">
        <f aca="false">W_PH(AK$2,$A185)</f>
        <v>2181.58959073418</v>
      </c>
      <c r="AL185" s="0" t="n">
        <f aca="false">W_PH(AL$2,$A185)</f>
        <v>2180.50527117554</v>
      </c>
      <c r="AM185" s="0" t="n">
        <f aca="false">W_PH(AM$2,$A185)</f>
        <v>2179.57542429612</v>
      </c>
      <c r="AN185" s="0" t="n">
        <f aca="false">W_PH(AN$2,$A185)</f>
        <v>2178.80387796291</v>
      </c>
      <c r="AO185" s="0" t="n">
        <f aca="false">W_PH(AO$2,$A185)</f>
        <v>2178.19417179138</v>
      </c>
      <c r="AP185" s="0" t="n">
        <f aca="false">W_PH(AP$2,$A185)</f>
        <v>2177.74943550992</v>
      </c>
      <c r="AQ185" s="0" t="n">
        <f aca="false">W_PH(AQ$2,$A185)</f>
        <v>2182.6822402079</v>
      </c>
      <c r="AR185" s="0" t="n">
        <f aca="false">W_PH(AR$2,$A185)</f>
        <v>2185.79869897565</v>
      </c>
      <c r="AS185" s="0" t="n">
        <f aca="false">W_PH(AS$2,$A185)</f>
        <v>2186.99037836093</v>
      </c>
    </row>
    <row r="186" customFormat="false" ht="12.8" hidden="false" customHeight="false" outlineLevel="0" collapsed="false">
      <c r="A186" s="0" t="n">
        <v>1487.53224419604</v>
      </c>
      <c r="B186" s="0" t="n">
        <f aca="false">W_PH(B$2,$A186)</f>
        <v>2015</v>
      </c>
      <c r="C186" s="0" t="n">
        <f aca="false">W_PH(C$2,$A186)</f>
        <v>2195.44389425815</v>
      </c>
      <c r="D186" s="0" t="n">
        <f aca="false">W_PH(D$2,$A186)</f>
        <v>2195.44371619664</v>
      </c>
      <c r="E186" s="0" t="n">
        <f aca="false">W_PH(E$2,$A186)</f>
        <v>2195.44353813654</v>
      </c>
      <c r="F186" s="0" t="n">
        <f aca="false">W_PH(F$2,$A186)</f>
        <v>2195.44336007784</v>
      </c>
      <c r="G186" s="0" t="n">
        <f aca="false">W_PH(G$2,$A186)</f>
        <v>2195.44157956815</v>
      </c>
      <c r="H186" s="0" t="n">
        <f aca="false">W_PH(H$2,$A186)</f>
        <v>2195.43979919897</v>
      </c>
      <c r="I186" s="0" t="n">
        <f aca="false">W_PH(I$2,$A186)</f>
        <v>2195.4380189703</v>
      </c>
      <c r="J186" s="0" t="n">
        <f aca="false">W_PH(J$2,$A186)</f>
        <v>2195.43623888213</v>
      </c>
      <c r="K186" s="0" t="n">
        <f aca="false">W_PH(K$2,$A186)</f>
        <v>2195.43445893444</v>
      </c>
      <c r="L186" s="0" t="n">
        <f aca="false">W_PH(L$2,$A186)</f>
        <v>2195.43267912724</v>
      </c>
      <c r="M186" s="0" t="n">
        <f aca="false">W_PH(M$2,$A186)</f>
        <v>2195.43089946051</v>
      </c>
      <c r="N186" s="0" t="n">
        <f aca="false">W_PH(N$2,$A186)</f>
        <v>2195.42911993424</v>
      </c>
      <c r="O186" s="0" t="n">
        <f aca="false">W_PH(O$2,$A186)</f>
        <v>2195.42734054843</v>
      </c>
      <c r="P186" s="0" t="n">
        <f aca="false">W_PH(P$2,$A186)</f>
        <v>2195.40955441372</v>
      </c>
      <c r="Q186" s="0" t="n">
        <f aca="false">W_PH(Q$2,$A186)</f>
        <v>2195.39178231593</v>
      </c>
      <c r="R186" s="0" t="n">
        <f aca="false">W_PH(R$2,$A186)</f>
        <v>2195.37402424711</v>
      </c>
      <c r="S186" s="0" t="n">
        <f aca="false">W_PH(S$2,$A186)</f>
        <v>2195.35628019933</v>
      </c>
      <c r="T186" s="0" t="n">
        <f aca="false">W_PH(T$2,$A186)</f>
        <v>2195.3385501647</v>
      </c>
      <c r="U186" s="0" t="n">
        <f aca="false">W_PH(U$2,$A186)</f>
        <v>2195.32083413534</v>
      </c>
      <c r="V186" s="0" t="n">
        <f aca="false">W_PH(V$2,$A186)</f>
        <v>2195.30313210342</v>
      </c>
      <c r="W186" s="0" t="n">
        <f aca="false">W_PH(W$2,$A186)</f>
        <v>2195.28544406111</v>
      </c>
      <c r="X186" s="0" t="n">
        <f aca="false">W_PH(X$2,$A186)</f>
        <v>2195.26777000065</v>
      </c>
      <c r="Y186" s="0" t="n">
        <f aca="false">W_PH(Y$2,$A186)</f>
        <v>2195.0917967037</v>
      </c>
      <c r="Z186" s="0" t="n">
        <f aca="false">W_PH(Z$2,$A186)</f>
        <v>2194.91721322872</v>
      </c>
      <c r="AA186" s="0" t="n">
        <f aca="false">W_PH(AA$2,$A186)</f>
        <v>2194.74401223407</v>
      </c>
      <c r="AB186" s="0" t="n">
        <f aca="false">W_PH(AB$2,$A186)</f>
        <v>2194.57218663582</v>
      </c>
      <c r="AC186" s="0" t="n">
        <f aca="false">W_PH(AC$2,$A186)</f>
        <v>2194.40172959892</v>
      </c>
      <c r="AD186" s="0" t="n">
        <f aca="false">W_PH(AD$2,$A186)</f>
        <v>2194.23263452865</v>
      </c>
      <c r="AE186" s="0" t="n">
        <f aca="false">W_PH(AE$2,$A186)</f>
        <v>2194.06489506224</v>
      </c>
      <c r="AF186" s="0" t="n">
        <f aca="false">W_PH(AF$2,$A186)</f>
        <v>2193.89850506085</v>
      </c>
      <c r="AG186" s="0" t="n">
        <f aca="false">W_PH(AG$2,$A186)</f>
        <v>2193.73345860168</v>
      </c>
      <c r="AH186" s="0" t="n">
        <f aca="false">W_PH(AH$2,$A186)</f>
        <v>2192.15572572166</v>
      </c>
      <c r="AI186" s="0" t="n">
        <f aca="false">W_PH(AI$2,$A186)</f>
        <v>2190.70717050713</v>
      </c>
      <c r="AJ186" s="0" t="n">
        <f aca="false">W_PH(AJ$2,$A186)</f>
        <v>2189.39461178494</v>
      </c>
      <c r="AK186" s="0" t="n">
        <f aca="false">W_PH(AK$2,$A186)</f>
        <v>2188.20241645</v>
      </c>
      <c r="AL186" s="0" t="n">
        <f aca="false">W_PH(AL$2,$A186)</f>
        <v>2187.15810819509</v>
      </c>
      <c r="AM186" s="0" t="n">
        <f aca="false">W_PH(AM$2,$A186)</f>
        <v>2186.26560929624</v>
      </c>
      <c r="AN186" s="0" t="n">
        <f aca="false">W_PH(AN$2,$A186)</f>
        <v>2185.52870391597</v>
      </c>
      <c r="AO186" s="0" t="n">
        <f aca="false">W_PH(AO$2,$A186)</f>
        <v>2184.95087612539</v>
      </c>
      <c r="AP186" s="0" t="n">
        <f aca="false">W_PH(AP$2,$A186)</f>
        <v>2184.53519662879</v>
      </c>
      <c r="AQ186" s="0" t="n">
        <f aca="false">W_PH(AQ$2,$A186)</f>
        <v>2189.59550650713</v>
      </c>
      <c r="AR186" s="0" t="n">
        <f aca="false">W_PH(AR$2,$A186)</f>
        <v>2192.70152399475</v>
      </c>
      <c r="AS186" s="0" t="n">
        <f aca="false">W_PH(AS$2,$A186)</f>
        <v>2193.88708446996</v>
      </c>
    </row>
    <row r="187" customFormat="false" ht="12.8" hidden="false" customHeight="false" outlineLevel="0" collapsed="false">
      <c r="A187" s="0" t="n">
        <v>1491.83147033534</v>
      </c>
      <c r="B187" s="0" t="n">
        <f aca="false">W_PH(B$2,$A187)</f>
        <v>2015</v>
      </c>
      <c r="C187" s="0" t="n">
        <f aca="false">W_PH(C$2,$A187)</f>
        <v>2201.77901276582</v>
      </c>
      <c r="D187" s="0" t="n">
        <f aca="false">W_PH(D$2,$A187)</f>
        <v>2201.77884034433</v>
      </c>
      <c r="E187" s="0" t="n">
        <f aca="false">W_PH(E$2,$A187)</f>
        <v>2201.7786679242</v>
      </c>
      <c r="F187" s="0" t="n">
        <f aca="false">W_PH(F$2,$A187)</f>
        <v>2201.77849550543</v>
      </c>
      <c r="G187" s="0" t="n">
        <f aca="false">W_PH(G$2,$A187)</f>
        <v>2201.77677139261</v>
      </c>
      <c r="H187" s="0" t="n">
        <f aca="false">W_PH(H$2,$A187)</f>
        <v>2201.77504741592</v>
      </c>
      <c r="I187" s="0" t="n">
        <f aca="false">W_PH(I$2,$A187)</f>
        <v>2201.77332357535</v>
      </c>
      <c r="J187" s="0" t="n">
        <f aca="false">W_PH(J$2,$A187)</f>
        <v>2201.7715998709</v>
      </c>
      <c r="K187" s="0" t="n">
        <f aca="false">W_PH(K$2,$A187)</f>
        <v>2201.76987630254</v>
      </c>
      <c r="L187" s="0" t="n">
        <f aca="false">W_PH(L$2,$A187)</f>
        <v>2201.76815287028</v>
      </c>
      <c r="M187" s="0" t="n">
        <f aca="false">W_PH(M$2,$A187)</f>
        <v>2201.76642957412</v>
      </c>
      <c r="N187" s="0" t="n">
        <f aca="false">W_PH(N$2,$A187)</f>
        <v>2201.76470641403</v>
      </c>
      <c r="O187" s="0" t="n">
        <f aca="false">W_PH(O$2,$A187)</f>
        <v>2201.76298339002</v>
      </c>
      <c r="P187" s="0" t="n">
        <f aca="false">W_PH(P$2,$A187)</f>
        <v>2201.7457606326</v>
      </c>
      <c r="Q187" s="0" t="n">
        <f aca="false">W_PH(Q$2,$A187)</f>
        <v>2201.72855147509</v>
      </c>
      <c r="R187" s="0" t="n">
        <f aca="false">W_PH(R$2,$A187)</f>
        <v>2201.71135591051</v>
      </c>
      <c r="S187" s="0" t="n">
        <f aca="false">W_PH(S$2,$A187)</f>
        <v>2201.69417393192</v>
      </c>
      <c r="T187" s="0" t="n">
        <f aca="false">W_PH(T$2,$A187)</f>
        <v>2201.67700553237</v>
      </c>
      <c r="U187" s="0" t="n">
        <f aca="false">W_PH(U$2,$A187)</f>
        <v>2201.65985070496</v>
      </c>
      <c r="V187" s="0" t="n">
        <f aca="false">W_PH(V$2,$A187)</f>
        <v>2201.64270944282</v>
      </c>
      <c r="W187" s="0" t="n">
        <f aca="false">W_PH(W$2,$A187)</f>
        <v>2201.62558173908</v>
      </c>
      <c r="X187" s="0" t="n">
        <f aca="false">W_PH(X$2,$A187)</f>
        <v>2201.60846758691</v>
      </c>
      <c r="Y187" s="0" t="n">
        <f aca="false">W_PH(Y$2,$A187)</f>
        <v>2201.43806991707</v>
      </c>
      <c r="Z187" s="0" t="n">
        <f aca="false">W_PH(Z$2,$A187)</f>
        <v>2201.26902007486</v>
      </c>
      <c r="AA187" s="0" t="n">
        <f aca="false">W_PH(AA$2,$A187)</f>
        <v>2201.1013116313</v>
      </c>
      <c r="AB187" s="0" t="n">
        <f aca="false">W_PH(AB$2,$A187)</f>
        <v>2200.93493839006</v>
      </c>
      <c r="AC187" s="0" t="n">
        <f aca="false">W_PH(AC$2,$A187)</f>
        <v>2200.76989437931</v>
      </c>
      <c r="AD187" s="0" t="n">
        <f aca="false">W_PH(AD$2,$A187)</f>
        <v>2200.60617384383</v>
      </c>
      <c r="AE187" s="0" t="n">
        <f aca="false">W_PH(AE$2,$A187)</f>
        <v>2200.44377123726</v>
      </c>
      <c r="AF187" s="0" t="n">
        <f aca="false">W_PH(AF$2,$A187)</f>
        <v>2200.28268121474</v>
      </c>
      <c r="AG187" s="0" t="n">
        <f aca="false">W_PH(AG$2,$A187)</f>
        <v>2200.12289862559</v>
      </c>
      <c r="AH187" s="0" t="n">
        <f aca="false">W_PH(AH$2,$A187)</f>
        <v>2198.59597379139</v>
      </c>
      <c r="AI187" s="0" t="n">
        <f aca="false">W_PH(AI$2,$A187)</f>
        <v>2197.19532242827</v>
      </c>
      <c r="AJ187" s="0" t="n">
        <f aca="false">W_PH(AJ$2,$A187)</f>
        <v>2195.92809385604</v>
      </c>
      <c r="AK187" s="0" t="n">
        <f aca="false">W_PH(AK$2,$A187)</f>
        <v>2194.77800713874</v>
      </c>
      <c r="AL187" s="0" t="n">
        <f aca="false">W_PH(AL$2,$A187)</f>
        <v>2193.77325190155</v>
      </c>
      <c r="AM187" s="0" t="n">
        <f aca="false">W_PH(AM$2,$A187)</f>
        <v>2192.91772661441</v>
      </c>
      <c r="AN187" s="0" t="n">
        <f aca="false">W_PH(AN$2,$A187)</f>
        <v>2192.21516865744</v>
      </c>
      <c r="AO187" s="0" t="n">
        <f aca="false">W_PH(AO$2,$A187)</f>
        <v>2191.66900371603</v>
      </c>
      <c r="AP187" s="0" t="n">
        <f aca="false">W_PH(AP$2,$A187)</f>
        <v>2191.28224064797</v>
      </c>
      <c r="AQ187" s="0" t="n">
        <f aca="false">W_PH(AQ$2,$A187)</f>
        <v>2196.47209859384</v>
      </c>
      <c r="AR187" s="0" t="n">
        <f aca="false">W_PH(AR$2,$A187)</f>
        <v>2199.56870431016</v>
      </c>
      <c r="AS187" s="0" t="n">
        <f aca="false">W_PH(AS$2,$A187)</f>
        <v>2200.74852449409</v>
      </c>
    </row>
    <row r="188" customFormat="false" ht="12.8" hidden="false" customHeight="false" outlineLevel="0" collapsed="false">
      <c r="A188" s="0" t="n">
        <v>1496.13069647463</v>
      </c>
      <c r="B188" s="0" t="n">
        <f aca="false">W_PH(B$2,$A188)</f>
        <v>2015</v>
      </c>
      <c r="C188" s="0" t="n">
        <f aca="false">W_PH(C$2,$A188)</f>
        <v>2208.08162971292</v>
      </c>
      <c r="D188" s="0" t="n">
        <f aca="false">W_PH(D$2,$A188)</f>
        <v>2208.08146280844</v>
      </c>
      <c r="E188" s="0" t="n">
        <f aca="false">W_PH(E$2,$A188)</f>
        <v>2208.08129590527</v>
      </c>
      <c r="F188" s="0" t="n">
        <f aca="false">W_PH(F$2,$A188)</f>
        <v>2208.08112900343</v>
      </c>
      <c r="G188" s="0" t="n">
        <f aca="false">W_PH(G$2,$A188)</f>
        <v>2208.07946005758</v>
      </c>
      <c r="H188" s="0" t="n">
        <f aca="false">W_PH(H$2,$A188)</f>
        <v>2208.07779124367</v>
      </c>
      <c r="I188" s="0" t="n">
        <f aca="false">W_PH(I$2,$A188)</f>
        <v>2208.07612256172</v>
      </c>
      <c r="J188" s="0" t="n">
        <f aca="false">W_PH(J$2,$A188)</f>
        <v>2208.07445401171</v>
      </c>
      <c r="K188" s="0" t="n">
        <f aca="false">W_PH(K$2,$A188)</f>
        <v>2208.07278559363</v>
      </c>
      <c r="L188" s="0" t="n">
        <f aca="false">W_PH(L$2,$A188)</f>
        <v>2208.07111730748</v>
      </c>
      <c r="M188" s="0" t="n">
        <f aca="false">W_PH(M$2,$A188)</f>
        <v>2208.06944915325</v>
      </c>
      <c r="N188" s="0" t="n">
        <f aca="false">W_PH(N$2,$A188)</f>
        <v>2208.06778113094</v>
      </c>
      <c r="O188" s="0" t="n">
        <f aca="false">W_PH(O$2,$A188)</f>
        <v>2208.06611324054</v>
      </c>
      <c r="P188" s="0" t="n">
        <f aca="false">W_PH(P$2,$A188)</f>
        <v>2208.04944159027</v>
      </c>
      <c r="Q188" s="0" t="n">
        <f aca="false">W_PH(Q$2,$A188)</f>
        <v>2208.03278312434</v>
      </c>
      <c r="R188" s="0" t="n">
        <f aca="false">W_PH(R$2,$A188)</f>
        <v>2208.01613783668</v>
      </c>
      <c r="S188" s="0" t="n">
        <f aca="false">W_PH(S$2,$A188)</f>
        <v>2207.99950572124</v>
      </c>
      <c r="T188" s="0" t="n">
        <f aca="false">W_PH(T$2,$A188)</f>
        <v>2207.982886772</v>
      </c>
      <c r="U188" s="0" t="n">
        <f aca="false">W_PH(U$2,$A188)</f>
        <v>2207.96628098294</v>
      </c>
      <c r="V188" s="0" t="n">
        <f aca="false">W_PH(V$2,$A188)</f>
        <v>2207.94968834809</v>
      </c>
      <c r="W188" s="0" t="n">
        <f aca="false">W_PH(W$2,$A188)</f>
        <v>2207.93310886148</v>
      </c>
      <c r="X188" s="0" t="n">
        <f aca="false">W_PH(X$2,$A188)</f>
        <v>2207.9165425172</v>
      </c>
      <c r="Y188" s="0" t="n">
        <f aca="false">W_PH(Y$2,$A188)</f>
        <v>2207.75160061188</v>
      </c>
      <c r="Z188" s="0" t="n">
        <f aca="false">W_PH(Z$2,$A188)</f>
        <v>2207.58796657429</v>
      </c>
      <c r="AA188" s="0" t="n">
        <f aca="false">W_PH(AA$2,$A188)</f>
        <v>2207.42563483057</v>
      </c>
      <c r="AB188" s="0" t="n">
        <f aca="false">W_PH(AB$2,$A188)</f>
        <v>2207.26460001632</v>
      </c>
      <c r="AC188" s="0" t="n">
        <f aca="false">W_PH(AC$2,$A188)</f>
        <v>2207.10485696906</v>
      </c>
      <c r="AD188" s="0" t="n">
        <f aca="false">W_PH(AD$2,$A188)</f>
        <v>2206.94640072095</v>
      </c>
      <c r="AE188" s="0" t="n">
        <f aca="false">W_PH(AE$2,$A188)</f>
        <v>2206.78922649175</v>
      </c>
      <c r="AF188" s="0" t="n">
        <f aca="false">W_PH(AF$2,$A188)</f>
        <v>2206.63332968188</v>
      </c>
      <c r="AG188" s="0" t="n">
        <f aca="false">W_PH(AG$2,$A188)</f>
        <v>2206.47870586577</v>
      </c>
      <c r="AH188" s="0" t="n">
        <f aca="false">W_PH(AH$2,$A188)</f>
        <v>2205.00162067791</v>
      </c>
      <c r="AI188" s="0" t="n">
        <f aca="false">W_PH(AI$2,$A188)</f>
        <v>2203.64803096283</v>
      </c>
      <c r="AJ188" s="0" t="n">
        <f aca="false">W_PH(AJ$2,$A188)</f>
        <v>2202.42537767133</v>
      </c>
      <c r="AK188" s="0" t="n">
        <f aca="false">W_PH(AK$2,$A188)</f>
        <v>2201.31686447189</v>
      </c>
      <c r="AL188" s="0" t="n">
        <f aca="false">W_PH(AL$2,$A188)</f>
        <v>2200.35121024167</v>
      </c>
      <c r="AM188" s="0" t="n">
        <f aca="false">W_PH(AM$2,$A188)</f>
        <v>2199.53228609854</v>
      </c>
      <c r="AN188" s="0" t="n">
        <f aca="false">W_PH(AN$2,$A188)</f>
        <v>2198.86377983753</v>
      </c>
      <c r="AO188" s="0" t="n">
        <f aca="false">W_PH(AO$2,$A188)</f>
        <v>2198.3490562831</v>
      </c>
      <c r="AP188" s="0" t="n">
        <f aca="false">W_PH(AP$2,$A188)</f>
        <v>2197.99106005824</v>
      </c>
      <c r="AQ188" s="0" t="n">
        <f aca="false">W_PH(AQ$2,$A188)</f>
        <v>2203.31234307359</v>
      </c>
      <c r="AR188" s="0" t="n">
        <f aca="false">W_PH(AR$2,$A188)</f>
        <v>2206.40053819799</v>
      </c>
      <c r="AS188" s="0" t="n">
        <f aca="false">W_PH(AS$2,$A188)</f>
        <v>2207.57498873985</v>
      </c>
    </row>
    <row r="189" customFormat="false" ht="12.8" hidden="false" customHeight="false" outlineLevel="0" collapsed="false">
      <c r="A189" s="0" t="n">
        <v>1500.42992261393</v>
      </c>
      <c r="B189" s="0" t="n">
        <f aca="false">W_PH(B$2,$A189)</f>
        <v>2015</v>
      </c>
      <c r="C189" s="0" t="n">
        <f aca="false">W_PH(C$2,$A189)</f>
        <v>2214.3521099103</v>
      </c>
      <c r="D189" s="0" t="n">
        <f aca="false">W_PH(D$2,$A189)</f>
        <v>2214.35194840391</v>
      </c>
      <c r="E189" s="0" t="n">
        <f aca="false">W_PH(E$2,$A189)</f>
        <v>2214.35178689881</v>
      </c>
      <c r="F189" s="0" t="n">
        <f aca="false">W_PH(F$2,$A189)</f>
        <v>2214.35162539499</v>
      </c>
      <c r="G189" s="0" t="n">
        <f aca="false">W_PH(G$2,$A189)</f>
        <v>2214.35001042717</v>
      </c>
      <c r="H189" s="0" t="n">
        <f aca="false">W_PH(H$2,$A189)</f>
        <v>2214.34839558734</v>
      </c>
      <c r="I189" s="0" t="n">
        <f aca="false">W_PH(I$2,$A189)</f>
        <v>2214.34678087549</v>
      </c>
      <c r="J189" s="0" t="n">
        <f aca="false">W_PH(J$2,$A189)</f>
        <v>2214.34516629161</v>
      </c>
      <c r="K189" s="0" t="n">
        <f aca="false">W_PH(K$2,$A189)</f>
        <v>2214.34355183571</v>
      </c>
      <c r="L189" s="0" t="n">
        <f aca="false">W_PH(L$2,$A189)</f>
        <v>2214.34193750778</v>
      </c>
      <c r="M189" s="0" t="n">
        <f aca="false">W_PH(M$2,$A189)</f>
        <v>2214.34032330781</v>
      </c>
      <c r="N189" s="0" t="n">
        <f aca="false">W_PH(N$2,$A189)</f>
        <v>2214.3387092358</v>
      </c>
      <c r="O189" s="0" t="n">
        <f aca="false">W_PH(O$2,$A189)</f>
        <v>2214.33709529173</v>
      </c>
      <c r="P189" s="0" t="n">
        <f aca="false">W_PH(P$2,$A189)</f>
        <v>2214.32096288727</v>
      </c>
      <c r="Q189" s="0" t="n">
        <f aca="false">W_PH(Q$2,$A189)</f>
        <v>2214.30484327218</v>
      </c>
      <c r="R189" s="0" t="n">
        <f aca="false">W_PH(R$2,$A189)</f>
        <v>2214.28873644124</v>
      </c>
      <c r="S189" s="0" t="n">
        <f aca="false">W_PH(S$2,$A189)</f>
        <v>2214.27264238925</v>
      </c>
      <c r="T189" s="0" t="n">
        <f aca="false">W_PH(T$2,$A189)</f>
        <v>2214.25656111102</v>
      </c>
      <c r="U189" s="0" t="n">
        <f aca="false">W_PH(U$2,$A189)</f>
        <v>2214.2404926014</v>
      </c>
      <c r="V189" s="0" t="n">
        <f aca="false">W_PH(V$2,$A189)</f>
        <v>2214.22443685525</v>
      </c>
      <c r="W189" s="0" t="n">
        <f aca="false">W_PH(W$2,$A189)</f>
        <v>2214.20839386744</v>
      </c>
      <c r="X189" s="0" t="n">
        <f aca="false">W_PH(X$2,$A189)</f>
        <v>2214.19236363289</v>
      </c>
      <c r="Y189" s="0" t="n">
        <f aca="false">W_PH(Y$2,$A189)</f>
        <v>2214.03276160881</v>
      </c>
      <c r="Z189" s="0" t="n">
        <f aca="false">W_PH(Z$2,$A189)</f>
        <v>2213.87442944972</v>
      </c>
      <c r="AA189" s="0" t="n">
        <f aca="false">W_PH(AA$2,$A189)</f>
        <v>2213.71736238184</v>
      </c>
      <c r="AB189" s="0" t="n">
        <f aca="false">W_PH(AB$2,$A189)</f>
        <v>2213.56155581938</v>
      </c>
      <c r="AC189" s="0" t="n">
        <f aca="false">W_PH(AC$2,$A189)</f>
        <v>2213.40700535758</v>
      </c>
      <c r="AD189" s="0" t="n">
        <f aca="false">W_PH(AD$2,$A189)</f>
        <v>2213.25370676606</v>
      </c>
      <c r="AE189" s="0" t="n">
        <f aca="false">W_PH(AE$2,$A189)</f>
        <v>2213.10165598225</v>
      </c>
      <c r="AF189" s="0" t="n">
        <f aca="false">W_PH(AF$2,$A189)</f>
        <v>2212.95084910507</v>
      </c>
      <c r="AG189" s="0" t="n">
        <f aca="false">W_PH(AG$2,$A189)</f>
        <v>2212.80128238876</v>
      </c>
      <c r="AH189" s="0" t="n">
        <f aca="false">W_PH(AH$2,$A189)</f>
        <v>2211.37309953949</v>
      </c>
      <c r="AI189" s="0" t="n">
        <f aca="false">W_PH(AI$2,$A189)</f>
        <v>2210.06575513595</v>
      </c>
      <c r="AJ189" s="0" t="n">
        <f aca="false">W_PH(AJ$2,$A189)</f>
        <v>2208.88694523809</v>
      </c>
      <c r="AK189" s="0" t="n">
        <f aca="false">W_PH(AK$2,$A189)</f>
        <v>2207.81948104348</v>
      </c>
      <c r="AL189" s="0" t="n">
        <f aca="false">W_PH(AL$2,$A189)</f>
        <v>2206.89248217291</v>
      </c>
      <c r="AM189" s="0" t="n">
        <f aca="false">W_PH(AM$2,$A189)</f>
        <v>2206.10978899087</v>
      </c>
      <c r="AN189" s="0" t="n">
        <f aca="false">W_PH(AN$2,$A189)</f>
        <v>2205.47503714451</v>
      </c>
      <c r="AO189" s="0" t="n">
        <f aca="false">W_PH(AO$2,$A189)</f>
        <v>2204.99152844349</v>
      </c>
      <c r="AP189" s="0" t="n">
        <f aca="false">W_PH(AP$2,$A189)</f>
        <v>2204.66214127259</v>
      </c>
      <c r="AQ189" s="0" t="n">
        <f aca="false">W_PH(AQ$2,$A189)</f>
        <v>2210.1165701684</v>
      </c>
      <c r="AR189" s="0" t="n">
        <f aca="false">W_PH(AR$2,$A189)</f>
        <v>2213.19732790664</v>
      </c>
      <c r="AS189" s="0" t="n">
        <f aca="false">W_PH(AS$2,$A189)</f>
        <v>2214.36677144825</v>
      </c>
    </row>
    <row r="190" customFormat="false" ht="12.8" hidden="false" customHeight="false" outlineLevel="0" collapsed="false">
      <c r="A190" s="0" t="n">
        <v>1504.72914875322</v>
      </c>
      <c r="B190" s="0" t="n">
        <f aca="false">W_PH(B$2,$A190)</f>
        <v>2015</v>
      </c>
      <c r="C190" s="0" t="n">
        <f aca="false">W_PH(C$2,$A190)</f>
        <v>2220.59081303928</v>
      </c>
      <c r="D190" s="0" t="n">
        <f aca="false">W_PH(D$2,$A190)</f>
        <v>2220.59065681602</v>
      </c>
      <c r="E190" s="0" t="n">
        <f aca="false">W_PH(E$2,$A190)</f>
        <v>2220.59050059399</v>
      </c>
      <c r="F190" s="0" t="n">
        <f aca="false">W_PH(F$2,$A190)</f>
        <v>2220.59034437321</v>
      </c>
      <c r="G190" s="0" t="n">
        <f aca="false">W_PH(G$2,$A190)</f>
        <v>2220.58878223371</v>
      </c>
      <c r="H190" s="0" t="n">
        <f aca="false">W_PH(H$2,$A190)</f>
        <v>2220.58722021843</v>
      </c>
      <c r="I190" s="0" t="n">
        <f aca="false">W_PH(I$2,$A190)</f>
        <v>2220.58565832737</v>
      </c>
      <c r="J190" s="0" t="n">
        <f aca="false">W_PH(J$2,$A190)</f>
        <v>2220.58409656052</v>
      </c>
      <c r="K190" s="0" t="n">
        <f aca="false">W_PH(K$2,$A190)</f>
        <v>2220.58253491788</v>
      </c>
      <c r="L190" s="0" t="n">
        <f aca="false">W_PH(L$2,$A190)</f>
        <v>2220.58097339944</v>
      </c>
      <c r="M190" s="0" t="n">
        <f aca="false">W_PH(M$2,$A190)</f>
        <v>2220.57941200521</v>
      </c>
      <c r="N190" s="0" t="n">
        <f aca="false">W_PH(N$2,$A190)</f>
        <v>2220.57785073517</v>
      </c>
      <c r="O190" s="0" t="n">
        <f aca="false">W_PH(O$2,$A190)</f>
        <v>2220.57628958932</v>
      </c>
      <c r="P190" s="0" t="n">
        <f aca="false">W_PH(P$2,$A190)</f>
        <v>2220.56068496037</v>
      </c>
      <c r="Q190" s="0" t="n">
        <f aca="false">W_PH(Q$2,$A190)</f>
        <v>2220.54509274564</v>
      </c>
      <c r="R190" s="0" t="n">
        <f aca="false">W_PH(R$2,$A190)</f>
        <v>2220.52951294071</v>
      </c>
      <c r="S190" s="0" t="n">
        <f aca="false">W_PH(S$2,$A190)</f>
        <v>2220.51394554117</v>
      </c>
      <c r="T190" s="0" t="n">
        <f aca="false">W_PH(T$2,$A190)</f>
        <v>2220.49839054262</v>
      </c>
      <c r="U190" s="0" t="n">
        <f aca="false">W_PH(U$2,$A190)</f>
        <v>2220.48284794069</v>
      </c>
      <c r="V190" s="0" t="n">
        <f aca="false">W_PH(V$2,$A190)</f>
        <v>2220.46731773104</v>
      </c>
      <c r="W190" s="0" t="n">
        <f aca="false">W_PH(W$2,$A190)</f>
        <v>2220.45179990932</v>
      </c>
      <c r="X190" s="0" t="n">
        <f aca="false">W_PH(X$2,$A190)</f>
        <v>2220.43629447122</v>
      </c>
      <c r="Y190" s="0" t="n">
        <f aca="false">W_PH(Y$2,$A190)</f>
        <v>2220.28192025231</v>
      </c>
      <c r="Z190" s="0" t="n">
        <f aca="false">W_PH(Z$2,$A190)</f>
        <v>2220.12877977929</v>
      </c>
      <c r="AA190" s="0" t="n">
        <f aca="false">W_PH(AA$2,$A190)</f>
        <v>2219.97686902586</v>
      </c>
      <c r="AB190" s="0" t="n">
        <f aca="false">W_PH(AB$2,$A190)</f>
        <v>2219.82618413383</v>
      </c>
      <c r="AC190" s="0" t="n">
        <f aca="false">W_PH(AC$2,$A190)</f>
        <v>2219.67672140676</v>
      </c>
      <c r="AD190" s="0" t="n">
        <f aca="false">W_PH(AD$2,$A190)</f>
        <v>2219.52847730379</v>
      </c>
      <c r="AE190" s="0" t="n">
        <f aca="false">W_PH(AE$2,$A190)</f>
        <v>2219.38144843364</v>
      </c>
      <c r="AF190" s="0" t="n">
        <f aca="false">W_PH(AF$2,$A190)</f>
        <v>2219.23563154871</v>
      </c>
      <c r="AG190" s="0" t="n">
        <f aca="false">W_PH(AG$2,$A190)</f>
        <v>2219.09102353946</v>
      </c>
      <c r="AH190" s="0" t="n">
        <f aca="false">W_PH(AH$2,$A190)</f>
        <v>2217.71083558107</v>
      </c>
      <c r="AI190" s="0" t="n">
        <f aca="false">W_PH(AI$2,$A190)</f>
        <v>2216.44894521337</v>
      </c>
      <c r="AJ190" s="0" t="n">
        <f aca="false">W_PH(AJ$2,$A190)</f>
        <v>2215.313269834</v>
      </c>
      <c r="AK190" s="0" t="n">
        <f aca="false">W_PH(AK$2,$A190)</f>
        <v>2214.28634048696</v>
      </c>
      <c r="AL190" s="0" t="n">
        <f aca="false">W_PH(AL$2,$A190)</f>
        <v>2213.39755775085</v>
      </c>
      <c r="AM190" s="0" t="n">
        <f aca="false">W_PH(AM$2,$A190)</f>
        <v>2212.65072796478</v>
      </c>
      <c r="AN190" s="0" t="n">
        <f aca="false">W_PH(AN$2,$A190)</f>
        <v>2212.04943227522</v>
      </c>
      <c r="AO190" s="0" t="n">
        <f aca="false">W_PH(AO$2,$A190)</f>
        <v>2211.59690760531</v>
      </c>
      <c r="AP190" s="0" t="n">
        <f aca="false">W_PH(AP$2,$A190)</f>
        <v>2211.29596443875</v>
      </c>
      <c r="AQ190" s="0" t="n">
        <f aca="false">W_PH(AQ$2,$A190)</f>
        <v>2216.88511290151</v>
      </c>
      <c r="AR190" s="0" t="n">
        <f aca="false">W_PH(AR$2,$A190)</f>
        <v>2219.95937873842</v>
      </c>
      <c r="AS190" s="0" t="n">
        <f aca="false">W_PH(AS$2,$A190)</f>
        <v>2221.12416983554</v>
      </c>
    </row>
    <row r="191" customFormat="false" ht="12.8" hidden="false" customHeight="false" outlineLevel="0" collapsed="false">
      <c r="A191" s="0" t="n">
        <v>1509.02837489252</v>
      </c>
      <c r="B191" s="0" t="n">
        <f aca="false">W_PH(B$2,$A191)</f>
        <v>2015</v>
      </c>
      <c r="C191" s="0" t="n">
        <f aca="false">W_PH(C$2,$A191)</f>
        <v>2226.79809374136</v>
      </c>
      <c r="D191" s="0" t="n">
        <f aca="false">W_PH(D$2,$A191)</f>
        <v>2226.79794268998</v>
      </c>
      <c r="E191" s="0" t="n">
        <f aca="false">W_PH(E$2,$A191)</f>
        <v>2226.7977916398</v>
      </c>
      <c r="F191" s="0" t="n">
        <f aca="false">W_PH(F$2,$A191)</f>
        <v>2226.79764059083</v>
      </c>
      <c r="G191" s="0" t="n">
        <f aca="false">W_PH(G$2,$A191)</f>
        <v>2226.79613016749</v>
      </c>
      <c r="H191" s="0" t="n">
        <f aca="false">W_PH(H$2,$A191)</f>
        <v>2226.79461986481</v>
      </c>
      <c r="I191" s="0" t="n">
        <f aca="false">W_PH(I$2,$A191)</f>
        <v>2226.79310968276</v>
      </c>
      <c r="J191" s="0" t="n">
        <f aca="false">W_PH(J$2,$A191)</f>
        <v>2226.79159962136</v>
      </c>
      <c r="K191" s="0" t="n">
        <f aca="false">W_PH(K$2,$A191)</f>
        <v>2226.79008968059</v>
      </c>
      <c r="L191" s="0" t="n">
        <f aca="false">W_PH(L$2,$A191)</f>
        <v>2226.78857986046</v>
      </c>
      <c r="M191" s="0" t="n">
        <f aca="false">W_PH(M$2,$A191)</f>
        <v>2226.78707016096</v>
      </c>
      <c r="N191" s="0" t="n">
        <f aca="false">W_PH(N$2,$A191)</f>
        <v>2226.78556058208</v>
      </c>
      <c r="O191" s="0" t="n">
        <f aca="false">W_PH(O$2,$A191)</f>
        <v>2226.78405112383</v>
      </c>
      <c r="P191" s="0" t="n">
        <f aca="false">W_PH(P$2,$A191)</f>
        <v>2226.76896317469</v>
      </c>
      <c r="Q191" s="0" t="n">
        <f aca="false">W_PH(Q$2,$A191)</f>
        <v>2226.75388728371</v>
      </c>
      <c r="R191" s="0" t="n">
        <f aca="false">W_PH(R$2,$A191)</f>
        <v>2226.73882344719</v>
      </c>
      <c r="S191" s="0" t="n">
        <f aca="false">W_PH(S$2,$A191)</f>
        <v>2226.72377166146</v>
      </c>
      <c r="T191" s="0" t="n">
        <f aca="false">W_PH(T$2,$A191)</f>
        <v>2226.70873192288</v>
      </c>
      <c r="U191" s="0" t="n">
        <f aca="false">W_PH(U$2,$A191)</f>
        <v>2226.6937042278</v>
      </c>
      <c r="V191" s="0" t="n">
        <f aca="false">W_PH(V$2,$A191)</f>
        <v>2226.6786885726</v>
      </c>
      <c r="W191" s="0" t="n">
        <f aca="false">W_PH(W$2,$A191)</f>
        <v>2226.66368495368</v>
      </c>
      <c r="X191" s="0" t="n">
        <f aca="false">W_PH(X$2,$A191)</f>
        <v>2226.64869336744</v>
      </c>
      <c r="Y191" s="0" t="n">
        <f aca="false">W_PH(Y$2,$A191)</f>
        <v>2226.49943852503</v>
      </c>
      <c r="Z191" s="0" t="n">
        <f aca="false">W_PH(Z$2,$A191)</f>
        <v>2226.35138312284</v>
      </c>
      <c r="AA191" s="0" t="n">
        <f aca="false">W_PH(AA$2,$A191)</f>
        <v>2226.20452383183</v>
      </c>
      <c r="AB191" s="0" t="n">
        <f aca="false">W_PH(AB$2,$A191)</f>
        <v>2226.05885747269</v>
      </c>
      <c r="AC191" s="0" t="n">
        <f aca="false">W_PH(AC$2,$A191)</f>
        <v>2225.91438101002</v>
      </c>
      <c r="AD191" s="0" t="n">
        <f aca="false">W_PH(AD$2,$A191)</f>
        <v>2225.7710915466</v>
      </c>
      <c r="AE191" s="0" t="n">
        <f aca="false">W_PH(AE$2,$A191)</f>
        <v>2225.6289863179</v>
      </c>
      <c r="AF191" s="0" t="n">
        <f aca="false">W_PH(AF$2,$A191)</f>
        <v>2225.48806268668</v>
      </c>
      <c r="AG191" s="0" t="n">
        <f aca="false">W_PH(AG$2,$A191)</f>
        <v>2225.34831813775</v>
      </c>
      <c r="AH191" s="0" t="n">
        <f aca="false">W_PH(AH$2,$A191)</f>
        <v>2224.0152463101</v>
      </c>
      <c r="AI191" s="0" t="n">
        <f aca="false">W_PH(AI$2,$A191)</f>
        <v>2222.79804295547</v>
      </c>
      <c r="AJ191" s="0" t="n">
        <f aca="false">W_PH(AJ$2,$A191)</f>
        <v>2221.70481613086</v>
      </c>
      <c r="AK191" s="0" t="n">
        <f aca="false">W_PH(AK$2,$A191)</f>
        <v>2220.71791759675</v>
      </c>
      <c r="AL191" s="0" t="n">
        <f aca="false">W_PH(AL$2,$A191)</f>
        <v>2219.86691822478</v>
      </c>
      <c r="AM191" s="0" t="n">
        <f aca="false">W_PH(AM$2,$A191)</f>
        <v>2219.15558717433</v>
      </c>
      <c r="AN191" s="0" t="n">
        <f aca="false">W_PH(AN$2,$A191)</f>
        <v>2218.58744892329</v>
      </c>
      <c r="AO191" s="0" t="n">
        <f aca="false">W_PH(AO$2,$A191)</f>
        <v>2218.16567388452</v>
      </c>
      <c r="AP191" s="0" t="n">
        <f aca="false">W_PH(AP$2,$A191)</f>
        <v>2217.89300327835</v>
      </c>
      <c r="AQ191" s="0" t="n">
        <f aca="false">W_PH(AQ$2,$A191)</f>
        <v>2223.61830634766</v>
      </c>
      <c r="AR191" s="0" t="n">
        <f aca="false">W_PH(AR$2,$A191)</f>
        <v>2226.68699822234</v>
      </c>
      <c r="AS191" s="0" t="n">
        <f aca="false">W_PH(AS$2,$A191)</f>
        <v>2227.84748323671</v>
      </c>
    </row>
    <row r="192" customFormat="false" ht="12.8" hidden="false" customHeight="false" outlineLevel="0" collapsed="false">
      <c r="A192" s="0" t="n">
        <v>1513.32760103181</v>
      </c>
      <c r="B192" s="0" t="n">
        <f aca="false">W_PH(B$2,$A192)</f>
        <v>2015</v>
      </c>
      <c r="C192" s="0" t="n">
        <f aca="false">W_PH(C$2,$A192)</f>
        <v>2232.97430170322</v>
      </c>
      <c r="D192" s="0" t="n">
        <f aca="false">W_PH(D$2,$A192)</f>
        <v>2232.9741557161</v>
      </c>
      <c r="E192" s="0" t="n">
        <f aca="false">W_PH(E$2,$A192)</f>
        <v>2232.97400973015</v>
      </c>
      <c r="F192" s="0" t="n">
        <f aca="false">W_PH(F$2,$A192)</f>
        <v>2232.97386374537</v>
      </c>
      <c r="G192" s="0" t="n">
        <f aca="false">W_PH(G$2,$A192)</f>
        <v>2232.97240396208</v>
      </c>
      <c r="H192" s="0" t="n">
        <f aca="false">W_PH(H$2,$A192)</f>
        <v>2232.97094429604</v>
      </c>
      <c r="I192" s="0" t="n">
        <f aca="false">W_PH(I$2,$A192)</f>
        <v>2232.96948474727</v>
      </c>
      <c r="J192" s="0" t="n">
        <f aca="false">W_PH(J$2,$A192)</f>
        <v>2232.96802531574</v>
      </c>
      <c r="K192" s="0" t="n">
        <f aca="false">W_PH(K$2,$A192)</f>
        <v>2232.96656600146</v>
      </c>
      <c r="L192" s="0" t="n">
        <f aca="false">W_PH(L$2,$A192)</f>
        <v>2232.96510680443</v>
      </c>
      <c r="M192" s="0" t="n">
        <f aca="false">W_PH(M$2,$A192)</f>
        <v>2232.96364772465</v>
      </c>
      <c r="N192" s="0" t="n">
        <f aca="false">W_PH(N$2,$A192)</f>
        <v>2232.9621887621</v>
      </c>
      <c r="O192" s="0" t="n">
        <f aca="false">W_PH(O$2,$A192)</f>
        <v>2232.96072991679</v>
      </c>
      <c r="P192" s="0" t="n">
        <f aca="false">W_PH(P$2,$A192)</f>
        <v>2232.94614791112</v>
      </c>
      <c r="Q192" s="0" t="n">
        <f aca="false">W_PH(Q$2,$A192)</f>
        <v>2232.93157762588</v>
      </c>
      <c r="R192" s="0" t="n">
        <f aca="false">W_PH(R$2,$A192)</f>
        <v>2232.91701905808</v>
      </c>
      <c r="S192" s="0" t="n">
        <f aca="false">W_PH(S$2,$A192)</f>
        <v>2232.90247220474</v>
      </c>
      <c r="T192" s="0" t="n">
        <f aca="false">W_PH(T$2,$A192)</f>
        <v>2232.8879370629</v>
      </c>
      <c r="U192" s="0" t="n">
        <f aca="false">W_PH(U$2,$A192)</f>
        <v>2232.87341362959</v>
      </c>
      <c r="V192" s="0" t="n">
        <f aca="false">W_PH(V$2,$A192)</f>
        <v>2232.85890190188</v>
      </c>
      <c r="W192" s="0" t="n">
        <f aca="false">W_PH(W$2,$A192)</f>
        <v>2232.84440187684</v>
      </c>
      <c r="X192" s="0" t="n">
        <f aca="false">W_PH(X$2,$A192)</f>
        <v>2232.82991355157</v>
      </c>
      <c r="Y192" s="0" t="n">
        <f aca="false">W_PH(Y$2,$A192)</f>
        <v>2232.68567315585</v>
      </c>
      <c r="Z192" s="0" t="n">
        <f aca="false">W_PH(Z$2,$A192)</f>
        <v>2232.54259964087</v>
      </c>
      <c r="AA192" s="0" t="n">
        <f aca="false">W_PH(AA$2,$A192)</f>
        <v>2232.40069032695</v>
      </c>
      <c r="AB192" s="0" t="n">
        <f aca="false">W_PH(AB$2,$A192)</f>
        <v>2232.25994266714</v>
      </c>
      <c r="AC192" s="0" t="n">
        <f aca="false">W_PH(AC$2,$A192)</f>
        <v>2232.12035424186</v>
      </c>
      <c r="AD192" s="0" t="n">
        <f aca="false">W_PH(AD$2,$A192)</f>
        <v>2231.98192275366</v>
      </c>
      <c r="AE192" s="0" t="n">
        <f aca="false">W_PH(AE$2,$A192)</f>
        <v>2231.84464602215</v>
      </c>
      <c r="AF192" s="0" t="n">
        <f aca="false">W_PH(AF$2,$A192)</f>
        <v>2231.70852197904</v>
      </c>
      <c r="AG192" s="0" t="n">
        <f aca="false">W_PH(AG$2,$A192)</f>
        <v>2231.57354866332</v>
      </c>
      <c r="AH192" s="0" t="n">
        <f aca="false">W_PH(AH$2,$A192)</f>
        <v>2230.28674177933</v>
      </c>
      <c r="AI192" s="0" t="n">
        <f aca="false">W_PH(AI$2,$A192)</f>
        <v>2229.11348186437</v>
      </c>
      <c r="AJ192" s="0" t="n">
        <f aca="false">W_PH(AJ$2,$A192)</f>
        <v>2228.06204032023</v>
      </c>
      <c r="AK192" s="0" t="n">
        <f aca="false">W_PH(AK$2,$A192)</f>
        <v>2227.11467845289</v>
      </c>
      <c r="AL192" s="0" t="n">
        <f aca="false">W_PH(AL$2,$A192)</f>
        <v>2226.30103613924</v>
      </c>
      <c r="AM192" s="0" t="n">
        <f aca="false">W_PH(AM$2,$A192)</f>
        <v>2225.62484231395</v>
      </c>
      <c r="AN192" s="0" t="n">
        <f aca="false">W_PH(AN$2,$A192)</f>
        <v>2225.08956278235</v>
      </c>
      <c r="AO192" s="0" t="n">
        <f aca="false">W_PH(AO$2,$A192)</f>
        <v>2224.6983000412</v>
      </c>
      <c r="AP192" s="0" t="n">
        <f aca="false">W_PH(AP$2,$A192)</f>
        <v>2224.45372495017</v>
      </c>
      <c r="AQ192" s="0" t="n">
        <f aca="false">W_PH(AQ$2,$A192)</f>
        <v>2230.31648694604</v>
      </c>
      <c r="AR192" s="0" t="n">
        <f aca="false">W_PH(AR$2,$A192)</f>
        <v>2233.38049537271</v>
      </c>
      <c r="AS192" s="0" t="n">
        <f aca="false">W_PH(AS$2,$A192)</f>
        <v>2234.5370123449</v>
      </c>
    </row>
    <row r="193" customFormat="false" ht="12.8" hidden="false" customHeight="false" outlineLevel="0" collapsed="false">
      <c r="A193" s="0" t="n">
        <v>1517.62682717111</v>
      </c>
      <c r="B193" s="0" t="n">
        <f aca="false">W_PH(B$2,$A193)</f>
        <v>2015</v>
      </c>
      <c r="C193" s="0" t="n">
        <f aca="false">W_PH(C$2,$A193)</f>
        <v>2239.11978173812</v>
      </c>
      <c r="D193" s="0" t="n">
        <f aca="false">W_PH(D$2,$A193)</f>
        <v>2239.11964071109</v>
      </c>
      <c r="E193" s="0" t="n">
        <f aca="false">W_PH(E$2,$A193)</f>
        <v>2239.1194996852</v>
      </c>
      <c r="F193" s="0" t="n">
        <f aca="false">W_PH(F$2,$A193)</f>
        <v>2239.11935866045</v>
      </c>
      <c r="G193" s="0" t="n">
        <f aca="false">W_PH(G$2,$A193)</f>
        <v>2239.11794847569</v>
      </c>
      <c r="H193" s="0" t="n">
        <f aca="false">W_PH(H$2,$A193)</f>
        <v>2239.11653840497</v>
      </c>
      <c r="I193" s="0" t="n">
        <f aca="false">W_PH(I$2,$A193)</f>
        <v>2239.1151284483</v>
      </c>
      <c r="J193" s="0" t="n">
        <f aca="false">W_PH(J$2,$A193)</f>
        <v>2239.11371860567</v>
      </c>
      <c r="K193" s="0" t="n">
        <f aca="false">W_PH(K$2,$A193)</f>
        <v>2239.11230887708</v>
      </c>
      <c r="L193" s="0" t="n">
        <f aca="false">W_PH(L$2,$A193)</f>
        <v>2239.11089926253</v>
      </c>
      <c r="M193" s="0" t="n">
        <f aca="false">W_PH(M$2,$A193)</f>
        <v>2239.10948976201</v>
      </c>
      <c r="N193" s="0" t="n">
        <f aca="false">W_PH(N$2,$A193)</f>
        <v>2239.10808037553</v>
      </c>
      <c r="O193" s="0" t="n">
        <f aca="false">W_PH(O$2,$A193)</f>
        <v>2239.10667110307</v>
      </c>
      <c r="P193" s="0" t="n">
        <f aca="false">W_PH(P$2,$A193)</f>
        <v>2239.09258464966</v>
      </c>
      <c r="Q193" s="0" t="n">
        <f aca="false">W_PH(Q$2,$A193)</f>
        <v>2239.07850959664</v>
      </c>
      <c r="R193" s="0" t="n">
        <f aca="false">W_PH(R$2,$A193)</f>
        <v>2239.06444594167</v>
      </c>
      <c r="S193" s="0" t="n">
        <f aca="false">W_PH(S$2,$A193)</f>
        <v>2239.05039368239</v>
      </c>
      <c r="T193" s="0" t="n">
        <f aca="false">W_PH(T$2,$A193)</f>
        <v>2239.03635281647</v>
      </c>
      <c r="U193" s="0" t="n">
        <f aca="false">W_PH(U$2,$A193)</f>
        <v>2239.02232334161</v>
      </c>
      <c r="V193" s="0" t="n">
        <f aca="false">W_PH(V$2,$A193)</f>
        <v>2239.00830525549</v>
      </c>
      <c r="W193" s="0" t="n">
        <f aca="false">W_PH(W$2,$A193)</f>
        <v>2238.99429855581</v>
      </c>
      <c r="X193" s="0" t="n">
        <f aca="false">W_PH(X$2,$A193)</f>
        <v>2238.98030324031</v>
      </c>
      <c r="Y193" s="0" t="n">
        <f aca="false">W_PH(Y$2,$A193)</f>
        <v>2238.84097572226</v>
      </c>
      <c r="Z193" s="0" t="n">
        <f aca="false">W_PH(Z$2,$A193)</f>
        <v>2238.70278420706</v>
      </c>
      <c r="AA193" s="0" t="n">
        <f aca="false">W_PH(AA$2,$A193)</f>
        <v>2238.56572661871</v>
      </c>
      <c r="AB193" s="0" t="n">
        <f aca="false">W_PH(AB$2,$A193)</f>
        <v>2238.42980099824</v>
      </c>
      <c r="AC193" s="0" t="n">
        <f aca="false">W_PH(AC$2,$A193)</f>
        <v>2238.29500549873</v>
      </c>
      <c r="AD193" s="0" t="n">
        <f aca="false">W_PH(AD$2,$A193)</f>
        <v>2238.16133838055</v>
      </c>
      <c r="AE193" s="0" t="n">
        <f aca="false">W_PH(AE$2,$A193)</f>
        <v>2238.02879800669</v>
      </c>
      <c r="AF193" s="0" t="n">
        <f aca="false">W_PH(AF$2,$A193)</f>
        <v>2237.89738283817</v>
      </c>
      <c r="AG193" s="0" t="n">
        <f aca="false">W_PH(AG$2,$A193)</f>
        <v>2237.76709142967</v>
      </c>
      <c r="AH193" s="0" t="n">
        <f aca="false">W_PH(AH$2,$A193)</f>
        <v>2236.52572481721</v>
      </c>
      <c r="AI193" s="0" t="n">
        <f aca="false">W_PH(AI$2,$A193)</f>
        <v>2235.39568742357</v>
      </c>
      <c r="AJ193" s="0" t="n">
        <f aca="false">W_PH(AJ$2,$A193)</f>
        <v>2234.38539024115</v>
      </c>
      <c r="AK193" s="0" t="n">
        <f aca="false">W_PH(AK$2,$A193)</f>
        <v>2233.47708054828</v>
      </c>
      <c r="AL193" s="0" t="n">
        <f aca="false">W_PH(AL$2,$A193)</f>
        <v>2232.70037544086</v>
      </c>
      <c r="AM193" s="0" t="n">
        <f aca="false">W_PH(AM$2,$A193)</f>
        <v>2232.0589606873</v>
      </c>
      <c r="AN193" s="0" t="n">
        <f aca="false">W_PH(AN$2,$A193)</f>
        <v>2231.55624156275</v>
      </c>
      <c r="AO193" s="0" t="n">
        <f aca="false">W_PH(AO$2,$A193)</f>
        <v>2231.19525143401</v>
      </c>
      <c r="AP193" s="0" t="n">
        <f aca="false">W_PH(AP$2,$A193)</f>
        <v>2230.97858993588</v>
      </c>
      <c r="AQ193" s="0" t="n">
        <f aca="false">W_PH(AQ$2,$A193)</f>
        <v>2236.97999187397</v>
      </c>
      <c r="AR193" s="0" t="n">
        <f aca="false">W_PH(AR$2,$A193)</f>
        <v>2240.0401800285</v>
      </c>
      <c r="AS193" s="0" t="n">
        <f aca="false">W_PH(AS$2,$A193)</f>
        <v>2241.1930585405</v>
      </c>
    </row>
    <row r="194" customFormat="false" ht="12.8" hidden="false" customHeight="false" outlineLevel="0" collapsed="false">
      <c r="A194" s="0" t="n">
        <v>1521.9260533104</v>
      </c>
      <c r="B194" s="0" t="n">
        <f aca="false">W_PH(B$2,$A194)</f>
        <v>2015</v>
      </c>
      <c r="C194" s="0" t="n">
        <f aca="false">W_PH(C$2,$A194)</f>
        <v>2245.23487386299</v>
      </c>
      <c r="D194" s="0" t="n">
        <f aca="false">W_PH(D$2,$A194)</f>
        <v>2245.23473769522</v>
      </c>
      <c r="E194" s="0" t="n">
        <f aca="false">W_PH(E$2,$A194)</f>
        <v>2245.23460152856</v>
      </c>
      <c r="F194" s="0" t="n">
        <f aca="false">W_PH(F$2,$A194)</f>
        <v>2245.23446536301</v>
      </c>
      <c r="G194" s="0" t="n">
        <f aca="false">W_PH(G$2,$A194)</f>
        <v>2245.23310376855</v>
      </c>
      <c r="H194" s="0" t="n">
        <f aca="false">W_PH(H$2,$A194)</f>
        <v>2245.2317422851</v>
      </c>
      <c r="I194" s="0" t="n">
        <f aca="false">W_PH(I$2,$A194)</f>
        <v>2245.23038091266</v>
      </c>
      <c r="J194" s="0" t="n">
        <f aca="false">W_PH(J$2,$A194)</f>
        <v>2245.22901965122</v>
      </c>
      <c r="K194" s="0" t="n">
        <f aca="false">W_PH(K$2,$A194)</f>
        <v>2245.22765850077</v>
      </c>
      <c r="L194" s="0" t="n">
        <f aca="false">W_PH(L$2,$A194)</f>
        <v>2245.22629746133</v>
      </c>
      <c r="M194" s="0" t="n">
        <f aca="false">W_PH(M$2,$A194)</f>
        <v>2245.22493653288</v>
      </c>
      <c r="N194" s="0" t="n">
        <f aca="false">W_PH(N$2,$A194)</f>
        <v>2245.22357571543</v>
      </c>
      <c r="O194" s="0" t="n">
        <f aca="false">W_PH(O$2,$A194)</f>
        <v>2245.22221500897</v>
      </c>
      <c r="P194" s="0" t="n">
        <f aca="false">W_PH(P$2,$A194)</f>
        <v>2245.2086140486</v>
      </c>
      <c r="Q194" s="0" t="n">
        <f aca="false">W_PH(Q$2,$A194)</f>
        <v>2245.1950241856</v>
      </c>
      <c r="R194" s="0" t="n">
        <f aca="false">W_PH(R$2,$A194)</f>
        <v>2245.18144541819</v>
      </c>
      <c r="S194" s="0" t="n">
        <f aca="false">W_PH(S$2,$A194)</f>
        <v>2245.16787774464</v>
      </c>
      <c r="T194" s="0" t="n">
        <f aca="false">W_PH(T$2,$A194)</f>
        <v>2245.1543211632</v>
      </c>
      <c r="U194" s="0" t="n">
        <f aca="false">W_PH(U$2,$A194)</f>
        <v>2245.14077567213</v>
      </c>
      <c r="V194" s="0" t="n">
        <f aca="false">W_PH(V$2,$A194)</f>
        <v>2245.12724126973</v>
      </c>
      <c r="W194" s="0" t="n">
        <f aca="false">W_PH(W$2,$A194)</f>
        <v>2245.11371795429</v>
      </c>
      <c r="X194" s="0" t="n">
        <f aca="false">W_PH(X$2,$A194)</f>
        <v>2245.10020572411</v>
      </c>
      <c r="Y194" s="0" t="n">
        <f aca="false">W_PH(Y$2,$A194)</f>
        <v>2244.96569274698</v>
      </c>
      <c r="Z194" s="0" t="n">
        <f aca="false">W_PH(Z$2,$A194)</f>
        <v>2244.83228651416</v>
      </c>
      <c r="AA194" s="0" t="n">
        <f aca="false">W_PH(AA$2,$A194)</f>
        <v>2244.69998550983</v>
      </c>
      <c r="AB194" s="0" t="n">
        <f aca="false">W_PH(AB$2,$A194)</f>
        <v>2244.56878832065</v>
      </c>
      <c r="AC194" s="0" t="n">
        <f aca="false">W_PH(AC$2,$A194)</f>
        <v>2244.43869363119</v>
      </c>
      <c r="AD194" s="0" t="n">
        <f aca="false">W_PH(AD$2,$A194)</f>
        <v>2244.30970021959</v>
      </c>
      <c r="AE194" s="0" t="n">
        <f aca="false">W_PH(AE$2,$A194)</f>
        <v>2244.18180695324</v>
      </c>
      <c r="AF194" s="0" t="n">
        <f aca="false">W_PH(AF$2,$A194)</f>
        <v>2244.0550127846</v>
      </c>
      <c r="AG194" s="0" t="n">
        <f aca="false">W_PH(AG$2,$A194)</f>
        <v>2243.92931674714</v>
      </c>
      <c r="AH194" s="0" t="n">
        <f aca="false">W_PH(AH$2,$A194)</f>
        <v>2242.73259124534</v>
      </c>
      <c r="AI194" s="0" t="n">
        <f aca="false">W_PH(AI$2,$A194)</f>
        <v>2241.64507732864</v>
      </c>
      <c r="AJ194" s="0" t="n">
        <f aca="false">W_PH(AJ$2,$A194)</f>
        <v>2240.67530550854</v>
      </c>
      <c r="AK194" s="0" t="n">
        <f aca="false">W_PH(AK$2,$A194)</f>
        <v>2239.80557291729</v>
      </c>
      <c r="AL194" s="0" t="n">
        <f aca="false">W_PH(AL$2,$A194)</f>
        <v>2239.06539158881</v>
      </c>
      <c r="AM194" s="0" t="n">
        <f aca="false">W_PH(AM$2,$A194)</f>
        <v>2238.45840128314</v>
      </c>
      <c r="AN194" s="0" t="n">
        <f aca="false">W_PH(AN$2,$A194)</f>
        <v>2237.98794501961</v>
      </c>
      <c r="AO194" s="0" t="n">
        <f aca="false">W_PH(AO$2,$A194)</f>
        <v>2237.65698599043</v>
      </c>
      <c r="AP194" s="0" t="n">
        <f aca="false">W_PH(AP$2,$A194)</f>
        <v>2237.46805194598</v>
      </c>
      <c r="AQ194" s="0" t="n">
        <f aca="false">W_PH(AQ$2,$A194)</f>
        <v>2243.60915847739</v>
      </c>
      <c r="AR194" s="0" t="n">
        <f aca="false">W_PH(AR$2,$A194)</f>
        <v>2246.66636226704</v>
      </c>
      <c r="AS194" s="0" t="n">
        <f aca="false">W_PH(AS$2,$A194)</f>
        <v>2247.81592330236</v>
      </c>
    </row>
    <row r="195" customFormat="false" ht="12.8" hidden="false" customHeight="false" outlineLevel="0" collapsed="false">
      <c r="A195" s="0" t="n">
        <v>1526.2252794497</v>
      </c>
      <c r="B195" s="0" t="n">
        <f aca="false">W_PH(B$2,$A195)</f>
        <v>2015</v>
      </c>
      <c r="C195" s="0" t="n">
        <f aca="false">W_PH(C$2,$A195)</f>
        <v>2251.31991337238</v>
      </c>
      <c r="D195" s="0" t="n">
        <f aca="false">W_PH(D$2,$A195)</f>
        <v>2251.31978196624</v>
      </c>
      <c r="E195" s="0" t="n">
        <f aca="false">W_PH(E$2,$A195)</f>
        <v>2251.31965056118</v>
      </c>
      <c r="F195" s="0" t="n">
        <f aca="false">W_PH(F$2,$A195)</f>
        <v>2251.3195191572</v>
      </c>
      <c r="G195" s="0" t="n">
        <f aca="false">W_PH(G$2,$A195)</f>
        <v>2251.31820517689</v>
      </c>
      <c r="H195" s="0" t="n">
        <f aca="false">W_PH(H$2,$A195)</f>
        <v>2251.3168913047</v>
      </c>
      <c r="I195" s="0" t="n">
        <f aca="false">W_PH(I$2,$A195)</f>
        <v>2251.31557754064</v>
      </c>
      <c r="J195" s="0" t="n">
        <f aca="false">W_PH(J$2,$A195)</f>
        <v>2251.31426388471</v>
      </c>
      <c r="K195" s="0" t="n">
        <f aca="false">W_PH(K$2,$A195)</f>
        <v>2251.31295033691</v>
      </c>
      <c r="L195" s="0" t="n">
        <f aca="false">W_PH(L$2,$A195)</f>
        <v>2251.31163689723</v>
      </c>
      <c r="M195" s="0" t="n">
        <f aca="false">W_PH(M$2,$A195)</f>
        <v>2251.31032356567</v>
      </c>
      <c r="N195" s="0" t="n">
        <f aca="false">W_PH(N$2,$A195)</f>
        <v>2251.30901034223</v>
      </c>
      <c r="O195" s="0" t="n">
        <f aca="false">W_PH(O$2,$A195)</f>
        <v>2251.30769722691</v>
      </c>
      <c r="P195" s="0" t="n">
        <f aca="false">W_PH(P$2,$A195)</f>
        <v>2251.2945720201</v>
      </c>
      <c r="Q195" s="0" t="n">
        <f aca="false">W_PH(Q$2,$A195)</f>
        <v>2251.28145762397</v>
      </c>
      <c r="R195" s="0" t="n">
        <f aca="false">W_PH(R$2,$A195)</f>
        <v>2251.26835403733</v>
      </c>
      <c r="S195" s="0" t="n">
        <f aca="false">W_PH(S$2,$A195)</f>
        <v>2251.25526125897</v>
      </c>
      <c r="T195" s="0" t="n">
        <f aca="false">W_PH(T$2,$A195)</f>
        <v>2251.24217928769</v>
      </c>
      <c r="U195" s="0" t="n">
        <f aca="false">W_PH(U$2,$A195)</f>
        <v>2251.22910812232</v>
      </c>
      <c r="V195" s="0" t="n">
        <f aca="false">W_PH(V$2,$A195)</f>
        <v>2251.21604776168</v>
      </c>
      <c r="W195" s="0" t="n">
        <f aca="false">W_PH(W$2,$A195)</f>
        <v>2251.2029982046</v>
      </c>
      <c r="X195" s="0" t="n">
        <f aca="false">W_PH(X$2,$A195)</f>
        <v>2251.18995944995</v>
      </c>
      <c r="Y195" s="0" t="n">
        <f aca="false">W_PH(Y$2,$A195)</f>
        <v>2251.06016578959</v>
      </c>
      <c r="Z195" s="0" t="n">
        <f aca="false">W_PH(Z$2,$A195)</f>
        <v>2250.93145117422</v>
      </c>
      <c r="AA195" s="0" t="n">
        <f aca="false">W_PH(AA$2,$A195)</f>
        <v>2250.80381460677</v>
      </c>
      <c r="AB195" s="0" t="n">
        <f aca="false">W_PH(AB$2,$A195)</f>
        <v>2250.67725517919</v>
      </c>
      <c r="AC195" s="0" t="n">
        <f aca="false">W_PH(AC$2,$A195)</f>
        <v>2250.5517720683</v>
      </c>
      <c r="AD195" s="0" t="n">
        <f aca="false">W_PH(AD$2,$A195)</f>
        <v>2250.42736453179</v>
      </c>
      <c r="AE195" s="0" t="n">
        <f aca="false">W_PH(AE$2,$A195)</f>
        <v>2250.30403190424</v>
      </c>
      <c r="AF195" s="0" t="n">
        <f aca="false">W_PH(AF$2,$A195)</f>
        <v>2250.18177359332</v>
      </c>
      <c r="AG195" s="0" t="n">
        <f aca="false">W_PH(AG$2,$A195)</f>
        <v>2250.06058907606</v>
      </c>
      <c r="AH195" s="0" t="n">
        <f aca="false">W_PH(AH$2,$A195)</f>
        <v>2248.90773008381</v>
      </c>
      <c r="AI195" s="0" t="n">
        <f aca="false">W_PH(AI$2,$A195)</f>
        <v>2247.86206170893</v>
      </c>
      <c r="AJ195" s="0" t="n">
        <f aca="false">W_PH(AJ$2,$A195)</f>
        <v>2246.9322176425</v>
      </c>
      <c r="AK195" s="0" t="n">
        <f aca="false">W_PH(AK$2,$A195)</f>
        <v>2246.10059626556</v>
      </c>
      <c r="AL195" s="0" t="n">
        <f aca="false">W_PH(AL$2,$A195)</f>
        <v>2245.39653166835</v>
      </c>
      <c r="AM195" s="0" t="n">
        <f aca="false">W_PH(AM$2,$A195)</f>
        <v>2244.82361485771</v>
      </c>
      <c r="AN195" s="0" t="n">
        <f aca="false">W_PH(AN$2,$A195)</f>
        <v>2244.38512499121</v>
      </c>
      <c r="AO195" s="0" t="n">
        <f aca="false">W_PH(AO$2,$A195)</f>
        <v>2244.08395419151</v>
      </c>
      <c r="AP195" s="0" t="n">
        <f aca="false">W_PH(AP$2,$A195)</f>
        <v>2243.92255784455</v>
      </c>
      <c r="AQ195" s="0" t="n">
        <f aca="false">W_PH(AQ$2,$A195)</f>
        <v>2250.20432375549</v>
      </c>
      <c r="AR195" s="0" t="n">
        <f aca="false">W_PH(AR$2,$A195)</f>
        <v>2253.25935188654</v>
      </c>
      <c r="AS195" s="0" t="n">
        <f aca="false">W_PH(AS$2,$A195)</f>
        <v>2254.4059076944</v>
      </c>
    </row>
    <row r="196" customFormat="false" ht="12.8" hidden="false" customHeight="false" outlineLevel="0" collapsed="false">
      <c r="A196" s="0" t="n">
        <v>1530.52450558899</v>
      </c>
      <c r="B196" s="0" t="n">
        <f aca="false">W_PH(B$2,$A196)</f>
        <v>2015</v>
      </c>
      <c r="C196" s="0" t="n">
        <f aca="false">W_PH(C$2,$A196)</f>
        <v>2257.37523090855</v>
      </c>
      <c r="D196" s="0" t="n">
        <f aca="false">W_PH(D$2,$A196)</f>
        <v>2257.37510416951</v>
      </c>
      <c r="E196" s="0" t="n">
        <f aca="false">W_PH(E$2,$A196)</f>
        <v>2257.37497743151</v>
      </c>
      <c r="F196" s="0" t="n">
        <f aca="false">W_PH(F$2,$A196)</f>
        <v>2257.37485069457</v>
      </c>
      <c r="G196" s="0" t="n">
        <f aca="false">W_PH(G$2,$A196)</f>
        <v>2257.37358338314</v>
      </c>
      <c r="H196" s="0" t="n">
        <f aca="false">W_PH(H$2,$A196)</f>
        <v>2257.37231617713</v>
      </c>
      <c r="I196" s="0" t="n">
        <f aca="false">W_PH(I$2,$A196)</f>
        <v>2257.37104907652</v>
      </c>
      <c r="J196" s="0" t="n">
        <f aca="false">W_PH(J$2,$A196)</f>
        <v>2257.36978208132</v>
      </c>
      <c r="K196" s="0" t="n">
        <f aca="false">W_PH(K$2,$A196)</f>
        <v>2257.36851519153</v>
      </c>
      <c r="L196" s="0" t="n">
        <f aca="false">W_PH(L$2,$A196)</f>
        <v>2257.36724840715</v>
      </c>
      <c r="M196" s="0" t="n">
        <f aca="false">W_PH(M$2,$A196)</f>
        <v>2257.36598172818</v>
      </c>
      <c r="N196" s="0" t="n">
        <f aca="false">W_PH(N$2,$A196)</f>
        <v>2257.36471515461</v>
      </c>
      <c r="O196" s="0" t="n">
        <f aca="false">W_PH(O$2,$A196)</f>
        <v>2257.36344868644</v>
      </c>
      <c r="P196" s="0" t="n">
        <f aca="false">W_PH(P$2,$A196)</f>
        <v>2257.35078980196</v>
      </c>
      <c r="Q196" s="0" t="n">
        <f aca="false">W_PH(Q$2,$A196)</f>
        <v>2257.33814145725</v>
      </c>
      <c r="R196" s="0" t="n">
        <f aca="false">W_PH(R$2,$A196)</f>
        <v>2257.3255036516</v>
      </c>
      <c r="S196" s="0" t="n">
        <f aca="false">W_PH(S$2,$A196)</f>
        <v>2257.31287638432</v>
      </c>
      <c r="T196" s="0" t="n">
        <f aca="false">W_PH(T$2,$A196)</f>
        <v>2257.30025965472</v>
      </c>
      <c r="U196" s="0" t="n">
        <f aca="false">W_PH(U$2,$A196)</f>
        <v>2257.28765346213</v>
      </c>
      <c r="V196" s="0" t="n">
        <f aca="false">W_PH(V$2,$A196)</f>
        <v>2257.27505780588</v>
      </c>
      <c r="W196" s="0" t="n">
        <f aca="false">W_PH(W$2,$A196)</f>
        <v>2257.2624726853</v>
      </c>
      <c r="X196" s="0" t="n">
        <f aca="false">W_PH(X$2,$A196)</f>
        <v>2257.24989809974</v>
      </c>
      <c r="Y196" s="0" t="n">
        <f aca="false">W_PH(Y$2,$A196)</f>
        <v>2257.12473153297</v>
      </c>
      <c r="Z196" s="0" t="n">
        <f aca="false">W_PH(Z$2,$A196)</f>
        <v>2257.00061781285</v>
      </c>
      <c r="AA196" s="0" t="n">
        <f aca="false">W_PH(AA$2,$A196)</f>
        <v>2256.87755642164</v>
      </c>
      <c r="AB196" s="0" t="n">
        <f aca="false">W_PH(AB$2,$A196)</f>
        <v>2256.7555469182</v>
      </c>
      <c r="AC196" s="0" t="n">
        <f aca="false">W_PH(AC$2,$A196)</f>
        <v>2256.63458893418</v>
      </c>
      <c r="AD196" s="0" t="n">
        <f aca="false">W_PH(AD$2,$A196)</f>
        <v>2256.51468217039</v>
      </c>
      <c r="AE196" s="0" t="n">
        <f aca="false">W_PH(AE$2,$A196)</f>
        <v>2256.39582639312</v>
      </c>
      <c r="AF196" s="0" t="n">
        <f aca="false">W_PH(AF$2,$A196)</f>
        <v>2256.27802143067</v>
      </c>
      <c r="AG196" s="0" t="n">
        <f aca="false">W_PH(AG$2,$A196)</f>
        <v>2256.16126716994</v>
      </c>
      <c r="AH196" s="0" t="n">
        <f aca="false">W_PH(AH$2,$A196)</f>
        <v>2255.05152374409</v>
      </c>
      <c r="AI196" s="0" t="n">
        <f aca="false">W_PH(AI$2,$A196)</f>
        <v>2254.04704333929</v>
      </c>
      <c r="AJ196" s="0" t="n">
        <f aca="false">W_PH(AJ$2,$A196)</f>
        <v>2253.15655019741</v>
      </c>
      <c r="AK196" s="0" t="n">
        <f aca="false">W_PH(AK$2,$A196)</f>
        <v>2252.36258309985</v>
      </c>
      <c r="AL196" s="0" t="n">
        <f aca="false">W_PH(AL$2,$A196)</f>
        <v>2251.69423450642</v>
      </c>
      <c r="AM196" s="0" t="n">
        <f aca="false">W_PH(AM$2,$A196)</f>
        <v>2251.1550440218</v>
      </c>
      <c r="AN196" s="0" t="n">
        <f aca="false">W_PH(AN$2,$A196)</f>
        <v>2250.74822544587</v>
      </c>
      <c r="AO196" s="0" t="n">
        <f aca="false">W_PH(AO$2,$A196)</f>
        <v>2250.47659906927</v>
      </c>
      <c r="AP196" s="0" t="n">
        <f aca="false">W_PH(AP$2,$A196)</f>
        <v>2250.34254759058</v>
      </c>
      <c r="AQ196" s="0" t="n">
        <f aca="false">W_PH(AQ$2,$A196)</f>
        <v>2256.7658238952</v>
      </c>
      <c r="AR196" s="0" t="n">
        <f aca="false">W_PH(AR$2,$A196)</f>
        <v>2259.8194579508</v>
      </c>
      <c r="AS196" s="0" t="n">
        <f aca="false">W_PH(AS$2,$A196)</f>
        <v>2260.96331191998</v>
      </c>
    </row>
    <row r="197" customFormat="false" ht="12.8" hidden="false" customHeight="false" outlineLevel="0" collapsed="false">
      <c r="A197" s="0" t="n">
        <v>1534.82373172829</v>
      </c>
      <c r="B197" s="0" t="n">
        <f aca="false">W_PH(B$2,$A197)</f>
        <v>2015</v>
      </c>
      <c r="C197" s="0" t="n">
        <f aca="false">W_PH(C$2,$A197)</f>
        <v>2263.40115252873</v>
      </c>
      <c r="D197" s="0" t="n">
        <f aca="false">W_PH(D$2,$A197)</f>
        <v>2263.40103036522</v>
      </c>
      <c r="E197" s="0" t="n">
        <f aca="false">W_PH(E$2,$A197)</f>
        <v>2263.40090820274</v>
      </c>
      <c r="F197" s="0" t="n">
        <f aca="false">W_PH(F$2,$A197)</f>
        <v>2263.40078604129</v>
      </c>
      <c r="G197" s="0" t="n">
        <f aca="false">W_PH(G$2,$A197)</f>
        <v>2263.39956448334</v>
      </c>
      <c r="H197" s="0" t="n">
        <f aca="false">W_PH(H$2,$A197)</f>
        <v>2263.39834302823</v>
      </c>
      <c r="I197" s="0" t="n">
        <f aca="false">W_PH(I$2,$A197)</f>
        <v>2263.39712167597</v>
      </c>
      <c r="J197" s="0" t="n">
        <f aca="false">W_PH(J$2,$A197)</f>
        <v>2263.39590042655</v>
      </c>
      <c r="K197" s="0" t="n">
        <f aca="false">W_PH(K$2,$A197)</f>
        <v>2263.39467927998</v>
      </c>
      <c r="L197" s="0" t="n">
        <f aca="false">W_PH(L$2,$A197)</f>
        <v>2263.39345823624</v>
      </c>
      <c r="M197" s="0" t="n">
        <f aca="false">W_PH(M$2,$A197)</f>
        <v>2263.39223729535</v>
      </c>
      <c r="N197" s="0" t="n">
        <f aca="false">W_PH(N$2,$A197)</f>
        <v>2263.39101645731</v>
      </c>
      <c r="O197" s="0" t="n">
        <f aca="false">W_PH(O$2,$A197)</f>
        <v>2263.3897957221</v>
      </c>
      <c r="P197" s="0" t="n">
        <f aca="false">W_PH(P$2,$A197)</f>
        <v>2263.37759402635</v>
      </c>
      <c r="Q197" s="0" t="n">
        <f aca="false">W_PH(Q$2,$A197)</f>
        <v>2263.36540261458</v>
      </c>
      <c r="R197" s="0" t="n">
        <f aca="false">W_PH(R$2,$A197)</f>
        <v>2263.35322148656</v>
      </c>
      <c r="S197" s="0" t="n">
        <f aca="false">W_PH(S$2,$A197)</f>
        <v>2263.34105064207</v>
      </c>
      <c r="T197" s="0" t="n">
        <f aca="false">W_PH(T$2,$A197)</f>
        <v>2263.32889008088</v>
      </c>
      <c r="U197" s="0" t="n">
        <f aca="false">W_PH(U$2,$A197)</f>
        <v>2263.31673980279</v>
      </c>
      <c r="V197" s="0" t="n">
        <f aca="false">W_PH(V$2,$A197)</f>
        <v>2263.30459980758</v>
      </c>
      <c r="W197" s="0" t="n">
        <f aca="false">W_PH(W$2,$A197)</f>
        <v>2263.29247009506</v>
      </c>
      <c r="X197" s="0" t="n">
        <f aca="false">W_PH(X$2,$A197)</f>
        <v>2263.28035066503</v>
      </c>
      <c r="Y197" s="0" t="n">
        <f aca="false">W_PH(Y$2,$A197)</f>
        <v>2263.15972186535</v>
      </c>
      <c r="Z197" s="0" t="n">
        <f aca="false">W_PH(Z$2,$A197)</f>
        <v>2263.04012115844</v>
      </c>
      <c r="AA197" s="0" t="n">
        <f aca="false">W_PH(AA$2,$A197)</f>
        <v>2262.92154846841</v>
      </c>
      <c r="AB197" s="0" t="n">
        <f aca="false">W_PH(AB$2,$A197)</f>
        <v>2262.80400378449</v>
      </c>
      <c r="AC197" s="0" t="n">
        <f aca="false">W_PH(AC$2,$A197)</f>
        <v>2262.68748715759</v>
      </c>
      <c r="AD197" s="0" t="n">
        <f aca="false">W_PH(AD$2,$A197)</f>
        <v>2262.57199869689</v>
      </c>
      <c r="AE197" s="0" t="n">
        <f aca="false">W_PH(AE$2,$A197)</f>
        <v>2262.45753856659</v>
      </c>
      <c r="AF197" s="0" t="n">
        <f aca="false">W_PH(AF$2,$A197)</f>
        <v>2262.34410698264</v>
      </c>
      <c r="AG197" s="0" t="n">
        <f aca="false">W_PH(AG$2,$A197)</f>
        <v>2262.23170420966</v>
      </c>
      <c r="AH197" s="0" t="n">
        <f aca="false">W_PH(AH$2,$A197)</f>
        <v>2261.16434821028</v>
      </c>
      <c r="AI197" s="0" t="n">
        <f aca="false">W_PH(AI$2,$A197)</f>
        <v>2260.20041784186</v>
      </c>
      <c r="AJ197" s="0" t="n">
        <f aca="false">W_PH(AJ$2,$A197)</f>
        <v>2259.34871889104</v>
      </c>
      <c r="AK197" s="0" t="n">
        <f aca="false">W_PH(AK$2,$A197)</f>
        <v>2258.5919578582</v>
      </c>
      <c r="AL197" s="0" t="n">
        <f aca="false">W_PH(AL$2,$A197)</f>
        <v>2257.95893078891</v>
      </c>
      <c r="AM197" s="0" t="n">
        <f aca="false">W_PH(AM$2,$A197)</f>
        <v>2257.45312333241</v>
      </c>
      <c r="AN197" s="0" t="n">
        <f aca="false">W_PH(AN$2,$A197)</f>
        <v>2257.07768253663</v>
      </c>
      <c r="AO197" s="0" t="n">
        <f aca="false">W_PH(AO$2,$A197)</f>
        <v>2256.83535621566</v>
      </c>
      <c r="AP197" s="0" t="n">
        <f aca="false">W_PH(AP$2,$A197)</f>
        <v>2256.72845419513</v>
      </c>
      <c r="AQ197" s="0" t="n">
        <f aca="false">W_PH(AQ$2,$A197)</f>
        <v>2263.29399385228</v>
      </c>
      <c r="AR197" s="0" t="n">
        <f aca="false">W_PH(AR$2,$A197)</f>
        <v>2266.34698839065</v>
      </c>
      <c r="AS197" s="0" t="n">
        <f aca="false">W_PH(AS$2,$A197)</f>
        <v>2267.48843493735</v>
      </c>
    </row>
    <row r="198" customFormat="false" ht="12.8" hidden="false" customHeight="false" outlineLevel="0" collapsed="false">
      <c r="A198" s="0" t="n">
        <v>1539.12295786758</v>
      </c>
      <c r="B198" s="0" t="n">
        <f aca="false">W_PH(B$2,$A198)</f>
        <v>2015</v>
      </c>
      <c r="C198" s="0" t="n">
        <f aca="false">W_PH(C$2,$A198)</f>
        <v>2269.39799976901</v>
      </c>
      <c r="D198" s="0" t="n">
        <f aca="false">W_PH(D$2,$A198)</f>
        <v>2269.39788209238</v>
      </c>
      <c r="E198" s="0" t="n">
        <f aca="false">W_PH(E$2,$A198)</f>
        <v>2269.39776441675</v>
      </c>
      <c r="F198" s="0" t="n">
        <f aca="false">W_PH(F$2,$A198)</f>
        <v>2269.39764674212</v>
      </c>
      <c r="G198" s="0" t="n">
        <f aca="false">W_PH(G$2,$A198)</f>
        <v>2269.39647005107</v>
      </c>
      <c r="H198" s="0" t="n">
        <f aca="false">W_PH(H$2,$A198)</f>
        <v>2269.39529346045</v>
      </c>
      <c r="I198" s="0" t="n">
        <f aca="false">W_PH(I$2,$A198)</f>
        <v>2269.39411697026</v>
      </c>
      <c r="J198" s="0" t="n">
        <f aca="false">W_PH(J$2,$A198)</f>
        <v>2269.39294058049</v>
      </c>
      <c r="K198" s="0" t="n">
        <f aca="false">W_PH(K$2,$A198)</f>
        <v>2269.39176429114</v>
      </c>
      <c r="L198" s="0" t="n">
        <f aca="false">W_PH(L$2,$A198)</f>
        <v>2269.39058810222</v>
      </c>
      <c r="M198" s="0" t="n">
        <f aca="false">W_PH(M$2,$A198)</f>
        <v>2269.38941201372</v>
      </c>
      <c r="N198" s="0" t="n">
        <f aca="false">W_PH(N$2,$A198)</f>
        <v>2269.38823602565</v>
      </c>
      <c r="O198" s="0" t="n">
        <f aca="false">W_PH(O$2,$A198)</f>
        <v>2269.387060138</v>
      </c>
      <c r="P198" s="0" t="n">
        <f aca="false">W_PH(P$2,$A198)</f>
        <v>2269.37530678499</v>
      </c>
      <c r="Q198" s="0" t="n">
        <f aca="false">W_PH(Q$2,$A198)</f>
        <v>2269.36356347475</v>
      </c>
      <c r="R198" s="0" t="n">
        <f aca="false">W_PH(R$2,$A198)</f>
        <v>2269.35183020746</v>
      </c>
      <c r="S198" s="0" t="n">
        <f aca="false">W_PH(S$2,$A198)</f>
        <v>2269.34010698334</v>
      </c>
      <c r="T198" s="0" t="n">
        <f aca="false">W_PH(T$2,$A198)</f>
        <v>2269.32839380259</v>
      </c>
      <c r="U198" s="0" t="n">
        <f aca="false">W_PH(U$2,$A198)</f>
        <v>2269.31669066543</v>
      </c>
      <c r="V198" s="0" t="n">
        <f aca="false">W_PH(V$2,$A198)</f>
        <v>2269.30499757207</v>
      </c>
      <c r="W198" s="0" t="n">
        <f aca="false">W_PH(W$2,$A198)</f>
        <v>2269.29331452275</v>
      </c>
      <c r="X198" s="0" t="n">
        <f aca="false">W_PH(X$2,$A198)</f>
        <v>2269.2816415177</v>
      </c>
      <c r="Y198" s="0" t="n">
        <f aca="false">W_PH(Y$2,$A198)</f>
        <v>2269.16546395768</v>
      </c>
      <c r="Z198" s="0" t="n">
        <f aca="false">W_PH(Z$2,$A198)</f>
        <v>2269.05029112607</v>
      </c>
      <c r="AA198" s="0" t="n">
        <f aca="false">W_PH(AA$2,$A198)</f>
        <v>2268.93612335319</v>
      </c>
      <c r="AB198" s="0" t="n">
        <f aca="false">W_PH(AB$2,$A198)</f>
        <v>2268.82296102391</v>
      </c>
      <c r="AC198" s="0" t="n">
        <f aca="false">W_PH(AC$2,$A198)</f>
        <v>2268.71080457451</v>
      </c>
      <c r="AD198" s="0" t="n">
        <f aca="false">W_PH(AD$2,$A198)</f>
        <v>2268.59965448955</v>
      </c>
      <c r="AE198" s="0" t="n">
        <f aca="false">W_PH(AE$2,$A198)</f>
        <v>2268.48951129888</v>
      </c>
      <c r="AF198" s="0" t="n">
        <f aca="false">W_PH(AF$2,$A198)</f>
        <v>2268.3803755747</v>
      </c>
      <c r="AG198" s="0" t="n">
        <f aca="false">W_PH(AG$2,$A198)</f>
        <v>2268.2722479287</v>
      </c>
      <c r="AH198" s="0" t="n">
        <f aca="false">W_PH(AH$2,$A198)</f>
        <v>2267.24657320873</v>
      </c>
      <c r="AI198" s="0" t="n">
        <f aca="false">W_PH(AI$2,$A198)</f>
        <v>2266.32257387738</v>
      </c>
      <c r="AJ198" s="0" t="n">
        <f aca="false">W_PH(AJ$2,$A198)</f>
        <v>2265.50913173279</v>
      </c>
      <c r="AK198" s="0" t="n">
        <f aca="false">W_PH(AK$2,$A198)</f>
        <v>2264.78913703934</v>
      </c>
      <c r="AL198" s="0" t="n">
        <f aca="false">W_PH(AL$2,$A198)</f>
        <v>2264.19104317869</v>
      </c>
      <c r="AM198" s="0" t="n">
        <f aca="false">W_PH(AM$2,$A198)</f>
        <v>2263.71827938745</v>
      </c>
      <c r="AN198" s="0" t="n">
        <f aca="false">W_PH(AN$2,$A198)</f>
        <v>2263.37392466234</v>
      </c>
      <c r="AO198" s="0" t="n">
        <f aca="false">W_PH(AO$2,$A198)</f>
        <v>2263.16065380154</v>
      </c>
      <c r="AP198" s="0" t="n">
        <f aca="false">W_PH(AP$2,$A198)</f>
        <v>2263.08070369202</v>
      </c>
      <c r="AQ198" s="0" t="n">
        <f aca="false">W_PH(AQ$2,$A198)</f>
        <v>2269.78916697493</v>
      </c>
      <c r="AR198" s="0" t="n">
        <f aca="false">W_PH(AR$2,$A198)</f>
        <v>2272.84224965556</v>
      </c>
      <c r="AS198" s="0" t="n">
        <f aca="false">W_PH(AS$2,$A198)</f>
        <v>2273.98157412893</v>
      </c>
    </row>
    <row r="199" customFormat="false" ht="12.8" hidden="false" customHeight="false" outlineLevel="0" collapsed="false">
      <c r="A199" s="0" t="n">
        <v>1543.42218400688</v>
      </c>
      <c r="B199" s="0" t="n">
        <f aca="false">W_PH(B$2,$A199)</f>
        <v>2015</v>
      </c>
      <c r="C199" s="0" t="n">
        <f aca="false">W_PH(C$2,$A199)</f>
        <v>2275.36608970568</v>
      </c>
      <c r="D199" s="0" t="n">
        <f aca="false">W_PH(D$2,$A199)</f>
        <v>2275.36597643004</v>
      </c>
      <c r="E199" s="0" t="n">
        <f aca="false">W_PH(E$2,$A199)</f>
        <v>2275.36586315538</v>
      </c>
      <c r="F199" s="0" t="n">
        <f aca="false">W_PH(F$2,$A199)</f>
        <v>2275.3657498817</v>
      </c>
      <c r="G199" s="0" t="n">
        <f aca="false">W_PH(G$2,$A199)</f>
        <v>2275.36461719889</v>
      </c>
      <c r="H199" s="0" t="n">
        <f aca="false">W_PH(H$2,$A199)</f>
        <v>2275.36348461424</v>
      </c>
      <c r="I199" s="0" t="n">
        <f aca="false">W_PH(I$2,$A199)</f>
        <v>2275.36235212772</v>
      </c>
      <c r="J199" s="0" t="n">
        <f aca="false">W_PH(J$2,$A199)</f>
        <v>2275.36121973936</v>
      </c>
      <c r="K199" s="0" t="n">
        <f aca="false">W_PH(K$2,$A199)</f>
        <v>2275.36008744913</v>
      </c>
      <c r="L199" s="0" t="n">
        <f aca="false">W_PH(L$2,$A199)</f>
        <v>2275.35895525706</v>
      </c>
      <c r="M199" s="0" t="n">
        <f aca="false">W_PH(M$2,$A199)</f>
        <v>2275.35782316313</v>
      </c>
      <c r="N199" s="0" t="n">
        <f aca="false">W_PH(N$2,$A199)</f>
        <v>2275.35669116736</v>
      </c>
      <c r="O199" s="0" t="n">
        <f aca="false">W_PH(O$2,$A199)</f>
        <v>2275.35555926973</v>
      </c>
      <c r="P199" s="0" t="n">
        <f aca="false">W_PH(P$2,$A199)</f>
        <v>2275.34424569175</v>
      </c>
      <c r="Q199" s="0" t="n">
        <f aca="false">W_PH(Q$2,$A199)</f>
        <v>2275.33294192931</v>
      </c>
      <c r="R199" s="0" t="n">
        <f aca="false">W_PH(R$2,$A199)</f>
        <v>2275.32164798299</v>
      </c>
      <c r="S199" s="0" t="n">
        <f aca="false">W_PH(S$2,$A199)</f>
        <v>2275.31036385339</v>
      </c>
      <c r="T199" s="0" t="n">
        <f aca="false">W_PH(T$2,$A199)</f>
        <v>2275.29908954111</v>
      </c>
      <c r="U199" s="0" t="n">
        <f aca="false">W_PH(U$2,$A199)</f>
        <v>2275.28782504676</v>
      </c>
      <c r="V199" s="0" t="n">
        <f aca="false">W_PH(V$2,$A199)</f>
        <v>2275.27657037094</v>
      </c>
      <c r="W199" s="0" t="n">
        <f aca="false">W_PH(W$2,$A199)</f>
        <v>2275.26532551429</v>
      </c>
      <c r="X199" s="0" t="n">
        <f aca="false">W_PH(X$2,$A199)</f>
        <v>2275.25409047742</v>
      </c>
      <c r="Y199" s="0" t="n">
        <f aca="false">W_PH(Y$2,$A199)</f>
        <v>2275.1422803372</v>
      </c>
      <c r="Z199" s="0" t="n">
        <f aca="false">W_PH(Z$2,$A199)</f>
        <v>2275.03145289698</v>
      </c>
      <c r="AA199" s="0" t="n">
        <f aca="false">W_PH(AA$2,$A199)</f>
        <v>2274.92160885947</v>
      </c>
      <c r="AB199" s="0" t="n">
        <f aca="false">W_PH(AB$2,$A199)</f>
        <v>2274.81274897219</v>
      </c>
      <c r="AC199" s="0" t="n">
        <f aca="false">W_PH(AC$2,$A199)</f>
        <v>2274.70487402458</v>
      </c>
      <c r="AD199" s="0" t="n">
        <f aca="false">W_PH(AD$2,$A199)</f>
        <v>2274.59798484516</v>
      </c>
      <c r="AE199" s="0" t="n">
        <f aca="false">W_PH(AE$2,$A199)</f>
        <v>2274.49208229878</v>
      </c>
      <c r="AF199" s="0" t="n">
        <f aca="false">W_PH(AF$2,$A199)</f>
        <v>2274.38716728397</v>
      </c>
      <c r="AG199" s="0" t="n">
        <f aca="false">W_PH(AG$2,$A199)</f>
        <v>2274.28324073029</v>
      </c>
      <c r="AH199" s="0" t="n">
        <f aca="false">W_PH(AH$2,$A199)</f>
        <v>2273.2985623667</v>
      </c>
      <c r="AI199" s="0" t="n">
        <f aca="false">W_PH(AI$2,$A199)</f>
        <v>2272.41389332631</v>
      </c>
      <c r="AJ199" s="0" t="n">
        <f aca="false">W_PH(AJ$2,$A199)</f>
        <v>2271.63818915139</v>
      </c>
      <c r="AK199" s="0" t="n">
        <f aca="false">W_PH(AK$2,$A199)</f>
        <v>2270.95452933157</v>
      </c>
      <c r="AL199" s="0" t="n">
        <f aca="false">W_PH(AL$2,$A199)</f>
        <v>2270.39098643443</v>
      </c>
      <c r="AM199" s="0" t="n">
        <f aca="false">W_PH(AM$2,$A199)</f>
        <v>2269.95093092349</v>
      </c>
      <c r="AN199" s="0" t="n">
        <f aca="false">W_PH(AN$2,$A199)</f>
        <v>2269.63737253461</v>
      </c>
      <c r="AO199" s="0" t="n">
        <f aca="false">W_PH(AO$2,$A199)</f>
        <v>2269.45291260496</v>
      </c>
      <c r="AP199" s="0" t="n">
        <f aca="false">W_PH(AP$2,$A199)</f>
        <v>2269.39971512152</v>
      </c>
      <c r="AQ199" s="0" t="n">
        <f aca="false">W_PH(AQ$2,$A199)</f>
        <v>2276.25167466663</v>
      </c>
      <c r="AR199" s="0" t="n">
        <f aca="false">W_PH(AR$2,$A199)</f>
        <v>2279.30554641048</v>
      </c>
      <c r="AS199" s="0" t="n">
        <f aca="false">W_PH(AS$2,$A199)</f>
        <v>2280.44302501846</v>
      </c>
    </row>
    <row r="200" customFormat="false" ht="12.8" hidden="false" customHeight="false" outlineLevel="0" collapsed="false">
      <c r="A200" s="0" t="n">
        <v>1547.72141014617</v>
      </c>
      <c r="B200" s="0" t="n">
        <f aca="false">W_PH(B$2,$A200)</f>
        <v>2015</v>
      </c>
      <c r="C200" s="0" t="n">
        <f aca="false">W_PH(C$2,$A200)</f>
        <v>2281.30573501355</v>
      </c>
      <c r="D200" s="0" t="n">
        <f aca="false">W_PH(D$2,$A200)</f>
        <v>2281.30562605573</v>
      </c>
      <c r="E200" s="0" t="n">
        <f aca="false">W_PH(E$2,$A200)</f>
        <v>2281.30551709887</v>
      </c>
      <c r="F200" s="0" t="n">
        <f aca="false">W_PH(F$2,$A200)</f>
        <v>2281.30540814297</v>
      </c>
      <c r="G200" s="0" t="n">
        <f aca="false">W_PH(G$2,$A200)</f>
        <v>2281.30431863677</v>
      </c>
      <c r="H200" s="0" t="n">
        <f aca="false">W_PH(H$2,$A200)</f>
        <v>2281.30322922656</v>
      </c>
      <c r="I200" s="0" t="n">
        <f aca="false">W_PH(I$2,$A200)</f>
        <v>2281.30213991236</v>
      </c>
      <c r="J200" s="0" t="n">
        <f aca="false">W_PH(J$2,$A200)</f>
        <v>2281.30105069416</v>
      </c>
      <c r="K200" s="0" t="n">
        <f aca="false">W_PH(K$2,$A200)</f>
        <v>2281.29996157196</v>
      </c>
      <c r="L200" s="0" t="n">
        <f aca="false">W_PH(L$2,$A200)</f>
        <v>2281.29887254577</v>
      </c>
      <c r="M200" s="0" t="n">
        <f aca="false">W_PH(M$2,$A200)</f>
        <v>2281.29778361558</v>
      </c>
      <c r="N200" s="0" t="n">
        <f aca="false">W_PH(N$2,$A200)</f>
        <v>2281.2966947814</v>
      </c>
      <c r="O200" s="0" t="n">
        <f aca="false">W_PH(O$2,$A200)</f>
        <v>2281.29560604322</v>
      </c>
      <c r="P200" s="0" t="n">
        <f aca="false">W_PH(P$2,$A200)</f>
        <v>2281.28472394205</v>
      </c>
      <c r="Q200" s="0" t="n">
        <f aca="false">W_PH(Q$2,$A200)</f>
        <v>2281.27385144261</v>
      </c>
      <c r="R200" s="0" t="n">
        <f aca="false">W_PH(R$2,$A200)</f>
        <v>2281.26298854586</v>
      </c>
      <c r="S200" s="0" t="n">
        <f aca="false">W_PH(S$2,$A200)</f>
        <v>2281.25213525275</v>
      </c>
      <c r="T200" s="0" t="n">
        <f aca="false">W_PH(T$2,$A200)</f>
        <v>2281.24129156424</v>
      </c>
      <c r="U200" s="0" t="n">
        <f aca="false">W_PH(U$2,$A200)</f>
        <v>2281.2304574813</v>
      </c>
      <c r="V200" s="0" t="n">
        <f aca="false">W_PH(V$2,$A200)</f>
        <v>2281.21963300489</v>
      </c>
      <c r="W200" s="0" t="n">
        <f aca="false">W_PH(W$2,$A200)</f>
        <v>2281.208818136</v>
      </c>
      <c r="X200" s="0" t="n">
        <f aca="false">W_PH(X$2,$A200)</f>
        <v>2281.19801287561</v>
      </c>
      <c r="Y200" s="0" t="n">
        <f aca="false">W_PH(Y$2,$A200)</f>
        <v>2281.09048895682</v>
      </c>
      <c r="Z200" s="0" t="n">
        <f aca="false">W_PH(Z$2,$A200)</f>
        <v>2280.98392699333</v>
      </c>
      <c r="AA200" s="0" t="n">
        <f aca="false">W_PH(AA$2,$A200)</f>
        <v>2280.87832802815</v>
      </c>
      <c r="AB200" s="0" t="n">
        <f aca="false">W_PH(AB$2,$A200)</f>
        <v>2280.77369314013</v>
      </c>
      <c r="AC200" s="0" t="n">
        <f aca="false">W_PH(AC$2,$A200)</f>
        <v>2280.67002344126</v>
      </c>
      <c r="AD200" s="0" t="n">
        <f aca="false">W_PH(AD$2,$A200)</f>
        <v>2280.56732007415</v>
      </c>
      <c r="AE200" s="0" t="n">
        <f aca="false">W_PH(AE$2,$A200)</f>
        <v>2280.46558420954</v>
      </c>
      <c r="AF200" s="0" t="n">
        <f aca="false">W_PH(AF$2,$A200)</f>
        <v>2280.36481704378</v>
      </c>
      <c r="AG200" s="0" t="n">
        <f aca="false">W_PH(AG$2,$A200)</f>
        <v>2280.26501979657</v>
      </c>
      <c r="AH200" s="0" t="n">
        <f aca="false">W_PH(AH$2,$A200)</f>
        <v>2279.32067336025</v>
      </c>
      <c r="AI200" s="0" t="n">
        <f aca="false">W_PH(AI$2,$A200)</f>
        <v>2278.47475145925</v>
      </c>
      <c r="AJ200" s="0" t="n">
        <f aca="false">W_PH(AJ$2,$A200)</f>
        <v>2277.73628412109</v>
      </c>
      <c r="AK200" s="0" t="n">
        <f aca="false">W_PH(AK$2,$A200)</f>
        <v>2277.08853574047</v>
      </c>
      <c r="AL200" s="0" t="n">
        <f aca="false">W_PH(AL$2,$A200)</f>
        <v>2276.55916752931</v>
      </c>
      <c r="AM200" s="0" t="n">
        <f aca="false">W_PH(AM$2,$A200)</f>
        <v>2276.15148891552</v>
      </c>
      <c r="AN200" s="0" t="n">
        <f aca="false">W_PH(AN$2,$A200)</f>
        <v>2275.86843924953</v>
      </c>
      <c r="AO200" s="0" t="n">
        <f aca="false">W_PH(AO$2,$A200)</f>
        <v>2275.71254604719</v>
      </c>
      <c r="AP200" s="0" t="n">
        <f aca="false">W_PH(AP$2,$A200)</f>
        <v>2275.68590052531</v>
      </c>
      <c r="AQ200" s="0" t="n">
        <f aca="false">W_PH(AQ$2,$A200)</f>
        <v>2282.68184608402</v>
      </c>
      <c r="AR200" s="0" t="n">
        <f aca="false">W_PH(AR$2,$A200)</f>
        <v>2285.737181272</v>
      </c>
      <c r="AS200" s="0" t="n">
        <f aca="false">W_PH(AS$2,$A200)</f>
        <v>2286.87308102928</v>
      </c>
    </row>
    <row r="201" customFormat="false" ht="12.8" hidden="false" customHeight="false" outlineLevel="0" collapsed="false">
      <c r="A201" s="0" t="n">
        <v>1552.02063628547</v>
      </c>
      <c r="B201" s="0" t="n">
        <f aca="false">W_PH(B$2,$A201)</f>
        <v>2015</v>
      </c>
      <c r="C201" s="0" t="n">
        <f aca="false">W_PH(C$2,$A201)</f>
        <v>2287.2172440221</v>
      </c>
      <c r="D201" s="0" t="n">
        <f aca="false">W_PH(D$2,$A201)</f>
        <v>2287.21713930155</v>
      </c>
      <c r="E201" s="0" t="n">
        <f aca="false">W_PH(E$2,$A201)</f>
        <v>2287.21703458193</v>
      </c>
      <c r="F201" s="0" t="n">
        <f aca="false">W_PH(F$2,$A201)</f>
        <v>2287.21692986326</v>
      </c>
      <c r="G201" s="0" t="n">
        <f aca="false">W_PH(G$2,$A201)</f>
        <v>2287.2158827282</v>
      </c>
      <c r="H201" s="0" t="n">
        <f aca="false">W_PH(H$2,$A201)</f>
        <v>2287.21483568713</v>
      </c>
      <c r="I201" s="0" t="n">
        <f aca="false">W_PH(I$2,$A201)</f>
        <v>2287.21378874005</v>
      </c>
      <c r="J201" s="0" t="n">
        <f aca="false">W_PH(J$2,$A201)</f>
        <v>2287.21274188695</v>
      </c>
      <c r="K201" s="0" t="n">
        <f aca="false">W_PH(K$2,$A201)</f>
        <v>2287.21169512785</v>
      </c>
      <c r="L201" s="0" t="n">
        <f aca="false">W_PH(L$2,$A201)</f>
        <v>2287.21064846273</v>
      </c>
      <c r="M201" s="0" t="n">
        <f aca="false">W_PH(M$2,$A201)</f>
        <v>2287.20960189161</v>
      </c>
      <c r="N201" s="0" t="n">
        <f aca="false">W_PH(N$2,$A201)</f>
        <v>2287.20855541447</v>
      </c>
      <c r="O201" s="0" t="n">
        <f aca="false">W_PH(O$2,$A201)</f>
        <v>2287.20750903134</v>
      </c>
      <c r="P201" s="0" t="n">
        <f aca="false">W_PH(P$2,$A201)</f>
        <v>2287.19705036992</v>
      </c>
      <c r="Q201" s="0" t="n">
        <f aca="false">W_PH(Q$2,$A201)</f>
        <v>2287.18660110934</v>
      </c>
      <c r="R201" s="0" t="n">
        <f aca="false">W_PH(R$2,$A201)</f>
        <v>2287.17616125086</v>
      </c>
      <c r="S201" s="0" t="n">
        <f aca="false">W_PH(S$2,$A201)</f>
        <v>2287.16573079577</v>
      </c>
      <c r="T201" s="0" t="n">
        <f aca="false">W_PH(T$2,$A201)</f>
        <v>2287.15530974537</v>
      </c>
      <c r="U201" s="0" t="n">
        <f aca="false">W_PH(U$2,$A201)</f>
        <v>2287.14489810094</v>
      </c>
      <c r="V201" s="0" t="n">
        <f aca="false">W_PH(V$2,$A201)</f>
        <v>2287.13449586379</v>
      </c>
      <c r="W201" s="0" t="n">
        <f aca="false">W_PH(W$2,$A201)</f>
        <v>2287.1241030352</v>
      </c>
      <c r="X201" s="0" t="n">
        <f aca="false">W_PH(X$2,$A201)</f>
        <v>2287.11371961648</v>
      </c>
      <c r="Y201" s="0" t="n">
        <f aca="false">W_PH(Y$2,$A201)</f>
        <v>2287.01040326111</v>
      </c>
      <c r="Z201" s="0" t="n">
        <f aca="false">W_PH(Z$2,$A201)</f>
        <v>2286.90802934904</v>
      </c>
      <c r="AA201" s="0" t="n">
        <f aca="false">W_PH(AA$2,$A201)</f>
        <v>2286.80659923314</v>
      </c>
      <c r="AB201" s="0" t="n">
        <f aca="false">W_PH(AB$2,$A201)</f>
        <v>2286.70611429381</v>
      </c>
      <c r="AC201" s="0" t="n">
        <f aca="false">W_PH(AC$2,$A201)</f>
        <v>2286.60657593659</v>
      </c>
      <c r="AD201" s="0" t="n">
        <f aca="false">W_PH(AD$2,$A201)</f>
        <v>2286.50798558982</v>
      </c>
      <c r="AE201" s="0" t="n">
        <f aca="false">W_PH(AE$2,$A201)</f>
        <v>2286.4103447024</v>
      </c>
      <c r="AF201" s="0" t="n">
        <f aca="false">W_PH(AF$2,$A201)</f>
        <v>2286.31365474152</v>
      </c>
      <c r="AG201" s="0" t="n">
        <f aca="false">W_PH(AG$2,$A201)</f>
        <v>2286.21791719052</v>
      </c>
      <c r="AH201" s="0" t="n">
        <f aca="false">W_PH(AH$2,$A201)</f>
        <v>2285.31325805207</v>
      </c>
      <c r="AI201" s="0" t="n">
        <f aca="false">W_PH(AI$2,$A201)</f>
        <v>2284.50551709743</v>
      </c>
      <c r="AJ201" s="0" t="n">
        <f aca="false">W_PH(AJ$2,$A201)</f>
        <v>2283.80380228699</v>
      </c>
      <c r="AK201" s="0" t="n">
        <f aca="false">W_PH(AK$2,$A201)</f>
        <v>2283.19154971565</v>
      </c>
      <c r="AL201" s="0" t="n">
        <f aca="false">W_PH(AL$2,$A201)</f>
        <v>2282.69598576992</v>
      </c>
      <c r="AM201" s="0" t="n">
        <f aca="false">W_PH(AM$2,$A201)</f>
        <v>2282.32035667864</v>
      </c>
      <c r="AN201" s="0" t="n">
        <f aca="false">W_PH(AN$2,$A201)</f>
        <v>2282.06753036374</v>
      </c>
      <c r="AO201" s="0" t="n">
        <f aca="false">W_PH(AO$2,$A201)</f>
        <v>2281.93996023634</v>
      </c>
      <c r="AP201" s="0" t="n">
        <f aca="false">W_PH(AP$2,$A201)</f>
        <v>2281.93966495192</v>
      </c>
      <c r="AQ201" s="0" t="n">
        <f aca="false">W_PH(AQ$2,$A201)</f>
        <v>2289.08000786717</v>
      </c>
      <c r="AR201" s="0" t="n">
        <f aca="false">W_PH(AR$2,$A201)</f>
        <v>2292.13745457927</v>
      </c>
      <c r="AS201" s="0" t="n">
        <f aca="false">W_PH(AS$2,$A201)</f>
        <v>2293.27203327854</v>
      </c>
    </row>
    <row r="202" customFormat="false" ht="12.8" hidden="false" customHeight="false" outlineLevel="0" collapsed="false">
      <c r="A202" s="0" t="n">
        <v>1556.31986242476</v>
      </c>
      <c r="B202" s="0" t="n">
        <f aca="false">W_PH(B$2,$A202)</f>
        <v>2015</v>
      </c>
      <c r="C202" s="0" t="n">
        <f aca="false">W_PH(C$2,$A202)</f>
        <v>2293.10092076885</v>
      </c>
      <c r="D202" s="0" t="n">
        <f aca="false">W_PH(D$2,$A202)</f>
        <v>2293.10082020755</v>
      </c>
      <c r="E202" s="0" t="n">
        <f aca="false">W_PH(E$2,$A202)</f>
        <v>2293.10071964717</v>
      </c>
      <c r="F202" s="0" t="n">
        <f aca="false">W_PH(F$2,$A202)</f>
        <v>2293.10061908771</v>
      </c>
      <c r="G202" s="0" t="n">
        <f aca="false">W_PH(G$2,$A202)</f>
        <v>2293.09961354376</v>
      </c>
      <c r="H202" s="0" t="n">
        <f aca="false">W_PH(H$2,$A202)</f>
        <v>2293.0986080919</v>
      </c>
      <c r="I202" s="0" t="n">
        <f aca="false">W_PH(I$2,$A202)</f>
        <v>2293.09760273215</v>
      </c>
      <c r="J202" s="0" t="n">
        <f aca="false">W_PH(J$2,$A202)</f>
        <v>2293.09659746449</v>
      </c>
      <c r="K202" s="0" t="n">
        <f aca="false">W_PH(K$2,$A202)</f>
        <v>2293.09559228892</v>
      </c>
      <c r="L202" s="0" t="n">
        <f aca="false">W_PH(L$2,$A202)</f>
        <v>2293.09458720546</v>
      </c>
      <c r="M202" s="0" t="n">
        <f aca="false">W_PH(M$2,$A202)</f>
        <v>2293.09358221411</v>
      </c>
      <c r="N202" s="0" t="n">
        <f aca="false">W_PH(N$2,$A202)</f>
        <v>2293.09257731485</v>
      </c>
      <c r="O202" s="0" t="n">
        <f aca="false">W_PH(O$2,$A202)</f>
        <v>2293.0915725077</v>
      </c>
      <c r="P202" s="0" t="n">
        <f aca="false">W_PH(P$2,$A202)</f>
        <v>2293.08152950236</v>
      </c>
      <c r="Q202" s="0" t="n">
        <f aca="false">W_PH(Q$2,$A202)</f>
        <v>2293.0714957093</v>
      </c>
      <c r="R202" s="0" t="n">
        <f aca="false">W_PH(R$2,$A202)</f>
        <v>2293.06147113011</v>
      </c>
      <c r="S202" s="0" t="n">
        <f aca="false">W_PH(S$2,$A202)</f>
        <v>2293.05145576637</v>
      </c>
      <c r="T202" s="0" t="n">
        <f aca="false">W_PH(T$2,$A202)</f>
        <v>2293.04144961966</v>
      </c>
      <c r="U202" s="0" t="n">
        <f aca="false">W_PH(U$2,$A202)</f>
        <v>2293.03145269158</v>
      </c>
      <c r="V202" s="0" t="n">
        <f aca="false">W_PH(V$2,$A202)</f>
        <v>2293.02146498371</v>
      </c>
      <c r="W202" s="0" t="n">
        <f aca="false">W_PH(W$2,$A202)</f>
        <v>2293.01148649765</v>
      </c>
      <c r="X202" s="0" t="n">
        <f aca="false">W_PH(X$2,$A202)</f>
        <v>2293.001517235</v>
      </c>
      <c r="Y202" s="0" t="n">
        <f aca="false">W_PH(Y$2,$A202)</f>
        <v>2292.90233224869</v>
      </c>
      <c r="Z202" s="0" t="n">
        <f aca="false">W_PH(Z$2,$A202)</f>
        <v>2292.8040713765</v>
      </c>
      <c r="AA202" s="0" t="n">
        <f aca="false">W_PH(AA$2,$A202)</f>
        <v>2292.70673625225</v>
      </c>
      <c r="AB202" s="0" t="n">
        <f aca="false">W_PH(AB$2,$A202)</f>
        <v>2292.61032852971</v>
      </c>
      <c r="AC202" s="0" t="n">
        <f aca="false">W_PH(AC$2,$A202)</f>
        <v>2292.51484988041</v>
      </c>
      <c r="AD202" s="0" t="n">
        <f aca="false">W_PH(AD$2,$A202)</f>
        <v>2292.42030199154</v>
      </c>
      <c r="AE202" s="0" t="n">
        <f aca="false">W_PH(AE$2,$A202)</f>
        <v>2292.32668656384</v>
      </c>
      <c r="AF202" s="0" t="n">
        <f aca="false">W_PH(AF$2,$A202)</f>
        <v>2292.23400530964</v>
      </c>
      <c r="AG202" s="0" t="n">
        <f aca="false">W_PH(AG$2,$A202)</f>
        <v>2292.14225995085</v>
      </c>
      <c r="AH202" s="0" t="n">
        <f aca="false">W_PH(AH$2,$A202)</f>
        <v>2291.27666261948</v>
      </c>
      <c r="AI202" s="0" t="n">
        <f aca="false">W_PH(AI$2,$A202)</f>
        <v>2290.50655276274</v>
      </c>
      <c r="AJ202" s="0" t="n">
        <f aca="false">W_PH(AJ$2,$A202)</f>
        <v>2289.84112208843</v>
      </c>
      <c r="AK202" s="0" t="n">
        <f aca="false">W_PH(AK$2,$A202)</f>
        <v>2289.26395727587</v>
      </c>
      <c r="AL202" s="0" t="n">
        <f aca="false">W_PH(AL$2,$A202)</f>
        <v>2288.80183291441</v>
      </c>
      <c r="AM202" s="0" t="n">
        <f aca="false">W_PH(AM$2,$A202)</f>
        <v>2288.45792997082</v>
      </c>
      <c r="AN202" s="0" t="n">
        <f aca="false">W_PH(AN$2,$A202)</f>
        <v>2288.23504397406</v>
      </c>
      <c r="AO202" s="0" t="n">
        <f aca="false">W_PH(AO$2,$A202)</f>
        <v>2288.13555401696</v>
      </c>
      <c r="AP202" s="0" t="n">
        <f aca="false">W_PH(AP$2,$A202)</f>
        <v>2288.16140647142</v>
      </c>
      <c r="AQ202" s="0" t="n">
        <f aca="false">W_PH(AQ$2,$A202)</f>
        <v>2295.44648389813</v>
      </c>
      <c r="AR202" s="0" t="n">
        <f aca="false">W_PH(AR$2,$A202)</f>
        <v>2298.50666419454</v>
      </c>
      <c r="AS202" s="0" t="n">
        <f aca="false">W_PH(AS$2,$A202)</f>
        <v>2299.64017040172</v>
      </c>
    </row>
    <row r="203" customFormat="false" ht="12.8" hidden="false" customHeight="false" outlineLevel="0" collapsed="false">
      <c r="A203" s="0" t="n">
        <v>1560.61908856406</v>
      </c>
      <c r="B203" s="0" t="n">
        <f aca="false">W_PH(B$2,$A203)</f>
        <v>2015</v>
      </c>
      <c r="C203" s="0" t="n">
        <f aca="false">W_PH(C$2,$A203)</f>
        <v>2298.95706505082</v>
      </c>
      <c r="D203" s="0" t="n">
        <f aca="false">W_PH(D$2,$A203)</f>
        <v>2298.95696857323</v>
      </c>
      <c r="E203" s="0" t="n">
        <f aca="false">W_PH(E$2,$A203)</f>
        <v>2298.95687209654</v>
      </c>
      <c r="F203" s="0" t="n">
        <f aca="false">W_PH(F$2,$A203)</f>
        <v>2298.95677562075</v>
      </c>
      <c r="G203" s="0" t="n">
        <f aca="false">W_PH(G$2,$A203)</f>
        <v>2298.95581091252</v>
      </c>
      <c r="H203" s="0" t="n">
        <f aca="false">W_PH(H$2,$A203)</f>
        <v>2298.95484629462</v>
      </c>
      <c r="I203" s="0" t="n">
        <f aca="false">W_PH(I$2,$A203)</f>
        <v>2298.95388176705</v>
      </c>
      <c r="J203" s="0" t="n">
        <f aca="false">W_PH(J$2,$A203)</f>
        <v>2298.9529173298</v>
      </c>
      <c r="K203" s="0" t="n">
        <f aca="false">W_PH(K$2,$A203)</f>
        <v>2298.95195298288</v>
      </c>
      <c r="L203" s="0" t="n">
        <f aca="false">W_PH(L$2,$A203)</f>
        <v>2298.95098872629</v>
      </c>
      <c r="M203" s="0" t="n">
        <f aca="false">W_PH(M$2,$A203)</f>
        <v>2298.95002456003</v>
      </c>
      <c r="N203" s="0" t="n">
        <f aca="false">W_PH(N$2,$A203)</f>
        <v>2298.94906048411</v>
      </c>
      <c r="O203" s="0" t="n">
        <f aca="false">W_PH(O$2,$A203)</f>
        <v>2298.94809649852</v>
      </c>
      <c r="P203" s="0" t="n">
        <f aca="false">W_PH(P$2,$A203)</f>
        <v>2298.93846161149</v>
      </c>
      <c r="Q203" s="0" t="n">
        <f aca="false">W_PH(Q$2,$A203)</f>
        <v>2298.92883576005</v>
      </c>
      <c r="R203" s="0" t="n">
        <f aca="false">W_PH(R$2,$A203)</f>
        <v>2298.91921894606</v>
      </c>
      <c r="S203" s="0" t="n">
        <f aca="false">W_PH(S$2,$A203)</f>
        <v>2298.90961117136</v>
      </c>
      <c r="T203" s="0" t="n">
        <f aca="false">W_PH(T$2,$A203)</f>
        <v>2298.9000124378</v>
      </c>
      <c r="U203" s="0" t="n">
        <f aca="false">W_PH(U$2,$A203)</f>
        <v>2298.89042274726</v>
      </c>
      <c r="V203" s="0" t="n">
        <f aca="false">W_PH(V$2,$A203)</f>
        <v>2298.88084210158</v>
      </c>
      <c r="W203" s="0" t="n">
        <f aca="false">W_PH(W$2,$A203)</f>
        <v>2298.87127050262</v>
      </c>
      <c r="X203" s="0" t="n">
        <f aca="false">W_PH(X$2,$A203)</f>
        <v>2298.86170795225</v>
      </c>
      <c r="Y203" s="0" t="n">
        <f aca="false">W_PH(Y$2,$A203)</f>
        <v>2298.76658053159</v>
      </c>
      <c r="Z203" s="0" t="n">
        <f aca="false">W_PH(Z$2,$A203)</f>
        <v>2298.67236002979</v>
      </c>
      <c r="AA203" s="0" t="n">
        <f aca="false">W_PH(AA$2,$A203)</f>
        <v>2298.5790483343</v>
      </c>
      <c r="AB203" s="0" t="n">
        <f aca="false">W_PH(AB$2,$A203)</f>
        <v>2298.48664734553</v>
      </c>
      <c r="AC203" s="0" t="n">
        <f aca="false">W_PH(AC$2,$A203)</f>
        <v>2298.39515897489</v>
      </c>
      <c r="AD203" s="0" t="n">
        <f aca="false">W_PH(AD$2,$A203)</f>
        <v>2298.30458514287</v>
      </c>
      <c r="AE203" s="0" t="n">
        <f aca="false">W_PH(AE$2,$A203)</f>
        <v>2298.21492777715</v>
      </c>
      <c r="AF203" s="0" t="n">
        <f aca="false">W_PH(AF$2,$A203)</f>
        <v>2298.12618881081</v>
      </c>
      <c r="AG203" s="0" t="n">
        <f aca="false">W_PH(AG$2,$A203)</f>
        <v>2298.03837018051</v>
      </c>
      <c r="AH203" s="0" t="n">
        <f aca="false">W_PH(AH$2,$A203)</f>
        <v>2297.21122767339</v>
      </c>
      <c r="AI203" s="0" t="n">
        <f aca="false">W_PH(AI$2,$A203)</f>
        <v>2296.47821481821</v>
      </c>
      <c r="AJ203" s="0" t="n">
        <f aca="false">W_PH(AJ$2,$A203)</f>
        <v>2295.84861488113</v>
      </c>
      <c r="AK203" s="0" t="n">
        <f aca="false">W_PH(AK$2,$A203)</f>
        <v>2295.30613713291</v>
      </c>
      <c r="AL203" s="0" t="n">
        <f aca="false">W_PH(AL$2,$A203)</f>
        <v>2294.87709329037</v>
      </c>
      <c r="AM203" s="0" t="n">
        <f aca="false">W_PH(AM$2,$A203)</f>
        <v>2294.56459709694</v>
      </c>
      <c r="AN203" s="0" t="n">
        <f aca="false">W_PH(AN$2,$A203)</f>
        <v>2294.37137080034</v>
      </c>
      <c r="AO203" s="0" t="n">
        <f aca="false">W_PH(AO$2,$A203)</f>
        <v>2294.29971902568</v>
      </c>
      <c r="AP203" s="0" t="n">
        <f aca="false">W_PH(AP$2,$A203)</f>
        <v>2294.35151619876</v>
      </c>
      <c r="AQ203" s="0" t="n">
        <f aca="false">W_PH(AQ$2,$A203)</f>
        <v>2301.7815950856</v>
      </c>
      <c r="AR203" s="0" t="n">
        <f aca="false">W_PH(AR$2,$A203)</f>
        <v>2304.84510532972</v>
      </c>
      <c r="AS203" s="0" t="n">
        <f aca="false">W_PH(AS$2,$A203)</f>
        <v>2305.97777840295</v>
      </c>
    </row>
    <row r="204" customFormat="false" ht="12.8" hidden="false" customHeight="false" outlineLevel="0" collapsed="false">
      <c r="A204" s="0" t="n">
        <v>1564.91831470335</v>
      </c>
      <c r="B204" s="0" t="n">
        <f aca="false">W_PH(B$2,$A204)</f>
        <v>2015</v>
      </c>
      <c r="C204" s="0" t="n">
        <f aca="false">W_PH(C$2,$A204)</f>
        <v>2304.78597247363</v>
      </c>
      <c r="D204" s="0" t="n">
        <f aca="false">W_PH(D$2,$A204)</f>
        <v>2304.78588000659</v>
      </c>
      <c r="E204" s="0" t="n">
        <f aca="false">W_PH(E$2,$A204)</f>
        <v>2304.78578754043</v>
      </c>
      <c r="F204" s="0" t="n">
        <f aca="false">W_PH(F$2,$A204)</f>
        <v>2304.78569507517</v>
      </c>
      <c r="G204" s="0" t="n">
        <f aca="false">W_PH(G$2,$A204)</f>
        <v>2304.78477047125</v>
      </c>
      <c r="H204" s="0" t="n">
        <f aca="false">W_PH(H$2,$A204)</f>
        <v>2304.78384595599</v>
      </c>
      <c r="I204" s="0" t="n">
        <f aca="false">W_PH(I$2,$A204)</f>
        <v>2304.7829215294</v>
      </c>
      <c r="J204" s="0" t="n">
        <f aca="false">W_PH(J$2,$A204)</f>
        <v>2304.78199719148</v>
      </c>
      <c r="K204" s="0" t="n">
        <f aca="false">W_PH(K$2,$A204)</f>
        <v>2304.78107294223</v>
      </c>
      <c r="L204" s="0" t="n">
        <f aca="false">W_PH(L$2,$A204)</f>
        <v>2304.78014878166</v>
      </c>
      <c r="M204" s="0" t="n">
        <f aca="false">W_PH(M$2,$A204)</f>
        <v>2304.77922470976</v>
      </c>
      <c r="N204" s="0" t="n">
        <f aca="false">W_PH(N$2,$A204)</f>
        <v>2304.77830072654</v>
      </c>
      <c r="O204" s="0" t="n">
        <f aca="false">W_PH(O$2,$A204)</f>
        <v>2304.77737683199</v>
      </c>
      <c r="P204" s="0" t="n">
        <f aca="false">W_PH(P$2,$A204)</f>
        <v>2304.76814276438</v>
      </c>
      <c r="Q204" s="0" t="n">
        <f aca="false">W_PH(Q$2,$A204)</f>
        <v>2304.75891756701</v>
      </c>
      <c r="R204" s="0" t="n">
        <f aca="false">W_PH(R$2,$A204)</f>
        <v>2304.74970124197</v>
      </c>
      <c r="S204" s="0" t="n">
        <f aca="false">W_PH(S$2,$A204)</f>
        <v>2304.74049379136</v>
      </c>
      <c r="T204" s="0" t="n">
        <f aca="false">W_PH(T$2,$A204)</f>
        <v>2304.73129521727</v>
      </c>
      <c r="U204" s="0" t="n">
        <f aca="false">W_PH(U$2,$A204)</f>
        <v>2304.7221055218</v>
      </c>
      <c r="V204" s="0" t="n">
        <f aca="false">W_PH(V$2,$A204)</f>
        <v>2304.71292470705</v>
      </c>
      <c r="W204" s="0" t="n">
        <f aca="false">W_PH(W$2,$A204)</f>
        <v>2304.70375277512</v>
      </c>
      <c r="X204" s="0" t="n">
        <f aca="false">W_PH(X$2,$A204)</f>
        <v>2304.69458972811</v>
      </c>
      <c r="Y204" s="0" t="n">
        <f aca="false">W_PH(Y$2,$A204)</f>
        <v>2304.60344839138</v>
      </c>
      <c r="Z204" s="0" t="n">
        <f aca="false">W_PH(Z$2,$A204)</f>
        <v>2304.51319786432</v>
      </c>
      <c r="AA204" s="0" t="n">
        <f aca="false">W_PH(AA$2,$A204)</f>
        <v>2304.42384026211</v>
      </c>
      <c r="AB204" s="0" t="n">
        <f aca="false">W_PH(AB$2,$A204)</f>
        <v>2304.33537770652</v>
      </c>
      <c r="AC204" s="0" t="n">
        <f aca="false">W_PH(AC$2,$A204)</f>
        <v>2304.24781232408</v>
      </c>
      <c r="AD204" s="0" t="n">
        <f aca="false">W_PH(AD$2,$A204)</f>
        <v>2304.16114624443</v>
      </c>
      <c r="AE204" s="0" t="n">
        <f aca="false">W_PH(AE$2,$A204)</f>
        <v>2304.07538159853</v>
      </c>
      <c r="AF204" s="0" t="n">
        <f aca="false">W_PH(AF$2,$A204)</f>
        <v>2303.99052051711</v>
      </c>
      <c r="AG204" s="0" t="n">
        <f aca="false">W_PH(AG$2,$A204)</f>
        <v>2303.90656512897</v>
      </c>
      <c r="AH204" s="0" t="n">
        <f aca="false">W_PH(AH$2,$A204)</f>
        <v>2303.11728836824</v>
      </c>
      <c r="AI204" s="0" t="n">
        <f aca="false">W_PH(AI$2,$A204)</f>
        <v>2302.42085359865</v>
      </c>
      <c r="AJ204" s="0" t="n">
        <f aca="false">W_PH(AJ$2,$A204)</f>
        <v>2301.82664505726</v>
      </c>
      <c r="AK204" s="0" t="n">
        <f aca="false">W_PH(AK$2,$A204)</f>
        <v>2301.3184608136</v>
      </c>
      <c r="AL204" s="0" t="n">
        <f aca="false">W_PH(AL$2,$A204)</f>
        <v>2300.9221439117</v>
      </c>
      <c r="AM204" s="0" t="n">
        <f aca="false">W_PH(AM$2,$A204)</f>
        <v>2300.64073901324</v>
      </c>
      <c r="AN204" s="0" t="n">
        <f aca="false">W_PH(AN$2,$A204)</f>
        <v>2300.47689427088</v>
      </c>
      <c r="AO204" s="0" t="n">
        <f aca="false">W_PH(AO$2,$A204)</f>
        <v>2300.43283975152</v>
      </c>
      <c r="AP204" s="0" t="n">
        <f aca="false">W_PH(AP$2,$A204)</f>
        <v>2300.51037832445</v>
      </c>
      <c r="AQ204" s="0" t="n">
        <f aca="false">W_PH(AQ$2,$A204)</f>
        <v>2308.08565917202</v>
      </c>
      <c r="AR204" s="0" t="n">
        <f aca="false">W_PH(AR$2,$A204)</f>
        <v>2311.15307039435</v>
      </c>
      <c r="AS204" s="0" t="n">
        <f aca="false">W_PH(AS$2,$A204)</f>
        <v>2312.28514052645</v>
      </c>
    </row>
    <row r="205" customFormat="false" ht="12.8" hidden="false" customHeight="false" outlineLevel="0" collapsed="false">
      <c r="A205" s="0" t="n">
        <v>1569.21754084265</v>
      </c>
      <c r="B205" s="0" t="n">
        <f aca="false">W_PH(B$2,$A205)</f>
        <v>2015</v>
      </c>
      <c r="C205" s="0" t="n">
        <f aca="false">W_PH(C$2,$A205)</f>
        <v>2310.58793449876</v>
      </c>
      <c r="D205" s="0" t="n">
        <f aca="false">W_PH(D$2,$A205)</f>
        <v>2310.58784597145</v>
      </c>
      <c r="E205" s="0" t="n">
        <f aca="false">W_PH(E$2,$A205)</f>
        <v>2310.58775744501</v>
      </c>
      <c r="F205" s="0" t="n">
        <f aca="false">W_PH(F$2,$A205)</f>
        <v>2310.58766891944</v>
      </c>
      <c r="G205" s="0" t="n">
        <f aca="false">W_PH(G$2,$A205)</f>
        <v>2310.58678371168</v>
      </c>
      <c r="H205" s="0" t="n">
        <f aca="false">W_PH(H$2,$A205)</f>
        <v>2310.58589859103</v>
      </c>
      <c r="I205" s="0" t="n">
        <f aca="false">W_PH(I$2,$A205)</f>
        <v>2310.5850135575</v>
      </c>
      <c r="J205" s="0" t="n">
        <f aca="false">W_PH(J$2,$A205)</f>
        <v>2310.58412861109</v>
      </c>
      <c r="K205" s="0" t="n">
        <f aca="false">W_PH(K$2,$A205)</f>
        <v>2310.5832437518</v>
      </c>
      <c r="L205" s="0" t="n">
        <f aca="false">W_PH(L$2,$A205)</f>
        <v>2310.58235897964</v>
      </c>
      <c r="M205" s="0" t="n">
        <f aca="false">W_PH(M$2,$A205)</f>
        <v>2310.5814742946</v>
      </c>
      <c r="N205" s="0" t="n">
        <f aca="false">W_PH(N$2,$A205)</f>
        <v>2310.5805896967</v>
      </c>
      <c r="O205" s="0" t="n">
        <f aca="false">W_PH(O$2,$A205)</f>
        <v>2310.57970518592</v>
      </c>
      <c r="P205" s="0" t="n">
        <f aca="false">W_PH(P$2,$A205)</f>
        <v>2310.57086487095</v>
      </c>
      <c r="Q205" s="0" t="n">
        <f aca="false">W_PH(Q$2,$A205)</f>
        <v>2310.56203327171</v>
      </c>
      <c r="R205" s="0" t="n">
        <f aca="false">W_PH(R$2,$A205)</f>
        <v>2310.55321039051</v>
      </c>
      <c r="S205" s="0" t="n">
        <f aca="false">W_PH(S$2,$A205)</f>
        <v>2310.54439622967</v>
      </c>
      <c r="T205" s="0" t="n">
        <f aca="false">W_PH(T$2,$A205)</f>
        <v>2310.53559079149</v>
      </c>
      <c r="U205" s="0" t="n">
        <f aca="false">W_PH(U$2,$A205)</f>
        <v>2310.52679407829</v>
      </c>
      <c r="V205" s="0" t="n">
        <f aca="false">W_PH(V$2,$A205)</f>
        <v>2310.51800609239</v>
      </c>
      <c r="W205" s="0" t="n">
        <f aca="false">W_PH(W$2,$A205)</f>
        <v>2310.50922683609</v>
      </c>
      <c r="X205" s="0" t="n">
        <f aca="false">W_PH(X$2,$A205)</f>
        <v>2310.5004563117</v>
      </c>
      <c r="Y205" s="0" t="n">
        <f aca="false">W_PH(Y$2,$A205)</f>
        <v>2310.41323183272</v>
      </c>
      <c r="Z205" s="0" t="n">
        <f aca="false">W_PH(Z$2,$A205)</f>
        <v>2310.32688309339</v>
      </c>
      <c r="AA205" s="0" t="n">
        <f aca="false">W_PH(AA$2,$A205)</f>
        <v>2310.24141241213</v>
      </c>
      <c r="AB205" s="0" t="n">
        <f aca="false">W_PH(AB$2,$A205)</f>
        <v>2310.15682210807</v>
      </c>
      <c r="AC205" s="0" t="n">
        <f aca="false">W_PH(AC$2,$A205)</f>
        <v>2310.07311449951</v>
      </c>
      <c r="AD205" s="0" t="n">
        <f aca="false">W_PH(AD$2,$A205)</f>
        <v>2309.99029190229</v>
      </c>
      <c r="AE205" s="0" t="n">
        <f aca="false">W_PH(AE$2,$A205)</f>
        <v>2309.90835662831</v>
      </c>
      <c r="AF205" s="0" t="n">
        <f aca="false">W_PH(AF$2,$A205)</f>
        <v>2309.82731098402</v>
      </c>
      <c r="AG205" s="0" t="n">
        <f aca="false">W_PH(AG$2,$A205)</f>
        <v>2309.74715726898</v>
      </c>
      <c r="AH205" s="0" t="n">
        <f aca="false">W_PH(AH$2,$A205)</f>
        <v>2308.99517450405</v>
      </c>
      <c r="AI205" s="0" t="n">
        <f aca="false">W_PH(AI$2,$A205)</f>
        <v>2308.33481353235</v>
      </c>
      <c r="AJ205" s="0" t="n">
        <f aca="false">W_PH(AJ$2,$A205)</f>
        <v>2307.77557016393</v>
      </c>
      <c r="AK205" s="0" t="n">
        <f aca="false">W_PH(AK$2,$A205)</f>
        <v>2307.30129278041</v>
      </c>
      <c r="AL205" s="0" t="n">
        <f aca="false">W_PH(AL$2,$A205)</f>
        <v>2306.93735459471</v>
      </c>
      <c r="AM205" s="0" t="n">
        <f aca="false">W_PH(AM$2,$A205)</f>
        <v>2306.68672943248</v>
      </c>
      <c r="AN205" s="0" t="n">
        <f aca="false">W_PH(AN$2,$A205)</f>
        <v>2306.5519906102</v>
      </c>
      <c r="AO205" s="0" t="n">
        <f aca="false">W_PH(AO$2,$A205)</f>
        <v>2306.53529360098</v>
      </c>
      <c r="AP205" s="0" t="n">
        <f aca="false">W_PH(AP$2,$A205)</f>
        <v>2306.6383701524</v>
      </c>
      <c r="AQ205" s="0" t="n">
        <f aca="false">W_PH(AQ$2,$A205)</f>
        <v>2314.35899056127</v>
      </c>
      <c r="AR205" s="0" t="n">
        <f aca="false">W_PH(AR$2,$A205)</f>
        <v>2317.43084886226</v>
      </c>
      <c r="AS205" s="0" t="n">
        <f aca="false">W_PH(AS$2,$A205)</f>
        <v>2318.56253714568</v>
      </c>
    </row>
    <row r="206" customFormat="false" ht="12.8" hidden="false" customHeight="false" outlineLevel="0" collapsed="false">
      <c r="A206" s="0" t="n">
        <v>1573.51676698194</v>
      </c>
      <c r="B206" s="0" t="n">
        <f aca="false">W_PH(B$2,$A206)</f>
        <v>2015</v>
      </c>
      <c r="C206" s="0" t="n">
        <f aca="false">W_PH(C$2,$A206)</f>
        <v>2316.3632384888</v>
      </c>
      <c r="D206" s="0" t="n">
        <f aca="false">W_PH(D$2,$A206)</f>
        <v>2316.36315383266</v>
      </c>
      <c r="E206" s="0" t="n">
        <f aca="false">W_PH(E$2,$A206)</f>
        <v>2316.36306917738</v>
      </c>
      <c r="F206" s="0" t="n">
        <f aca="false">W_PH(F$2,$A206)</f>
        <v>2316.36298452296</v>
      </c>
      <c r="G206" s="0" t="n">
        <f aca="false">W_PH(G$2,$A206)</f>
        <v>2316.36213802583</v>
      </c>
      <c r="H206" s="0" t="n">
        <f aca="false">W_PH(H$2,$A206)</f>
        <v>2316.36129161438</v>
      </c>
      <c r="I206" s="0" t="n">
        <f aca="false">W_PH(I$2,$A206)</f>
        <v>2316.3604452886</v>
      </c>
      <c r="J206" s="0" t="n">
        <f aca="false">W_PH(J$2,$A206)</f>
        <v>2316.35959904849</v>
      </c>
      <c r="K206" s="0" t="n">
        <f aca="false">W_PH(K$2,$A206)</f>
        <v>2316.35875289407</v>
      </c>
      <c r="L206" s="0" t="n">
        <f aca="false">W_PH(L$2,$A206)</f>
        <v>2316.35790682532</v>
      </c>
      <c r="M206" s="0" t="n">
        <f aca="false">W_PH(M$2,$A206)</f>
        <v>2316.35706084226</v>
      </c>
      <c r="N206" s="0" t="n">
        <f aca="false">W_PH(N$2,$A206)</f>
        <v>2316.35621494488</v>
      </c>
      <c r="O206" s="0" t="n">
        <f aca="false">W_PH(O$2,$A206)</f>
        <v>2316.35536913319</v>
      </c>
      <c r="P206" s="0" t="n">
        <f aca="false">W_PH(P$2,$A206)</f>
        <v>2316.34691572972</v>
      </c>
      <c r="Q206" s="0" t="n">
        <f aca="false">W_PH(Q$2,$A206)</f>
        <v>2316.33847089783</v>
      </c>
      <c r="R206" s="0" t="n">
        <f aca="false">W_PH(R$2,$A206)</f>
        <v>2316.33003464003</v>
      </c>
      <c r="S206" s="0" t="n">
        <f aca="false">W_PH(S$2,$A206)</f>
        <v>2316.32160695883</v>
      </c>
      <c r="T206" s="0" t="n">
        <f aca="false">W_PH(T$2,$A206)</f>
        <v>2316.31318785672</v>
      </c>
      <c r="U206" s="0" t="n">
        <f aca="false">W_PH(U$2,$A206)</f>
        <v>2316.30477733622</v>
      </c>
      <c r="V206" s="0" t="n">
        <f aca="false">W_PH(V$2,$A206)</f>
        <v>2316.29637539982</v>
      </c>
      <c r="W206" s="0" t="n">
        <f aca="false">W_PH(W$2,$A206)</f>
        <v>2316.28798205003</v>
      </c>
      <c r="X206" s="0" t="n">
        <f aca="false">W_PH(X$2,$A206)</f>
        <v>2316.27959728934</v>
      </c>
      <c r="Y206" s="0" t="n">
        <f aca="false">W_PH(Y$2,$A206)</f>
        <v>2316.19622263413</v>
      </c>
      <c r="Z206" s="0" t="n">
        <f aca="false">W_PH(Z$2,$A206)</f>
        <v>2316.11370964168</v>
      </c>
      <c r="AA206" s="0" t="n">
        <f aca="false">W_PH(AA$2,$A206)</f>
        <v>2316.03206081048</v>
      </c>
      <c r="AB206" s="0" t="n">
        <f aca="false">W_PH(AB$2,$A206)</f>
        <v>2315.95127863443</v>
      </c>
      <c r="AC206" s="0" t="n">
        <f aca="false">W_PH(AC$2,$A206)</f>
        <v>2315.87136560138</v>
      </c>
      <c r="AD206" s="0" t="n">
        <f aca="false">W_PH(AD$2,$A206)</f>
        <v>2315.79232419178</v>
      </c>
      <c r="AE206" s="0" t="n">
        <f aca="false">W_PH(AE$2,$A206)</f>
        <v>2315.71415687723</v>
      </c>
      <c r="AF206" s="0" t="n">
        <f aca="false">W_PH(AF$2,$A206)</f>
        <v>2315.63686611923</v>
      </c>
      <c r="AG206" s="0" t="n">
        <f aca="false">W_PH(AG$2,$A206)</f>
        <v>2315.56045436782</v>
      </c>
      <c r="AH206" s="0" t="n">
        <f aca="false">W_PH(AH$2,$A206)</f>
        <v>2314.84521062038</v>
      </c>
      <c r="AI206" s="0" t="n">
        <f aca="false">W_PH(AI$2,$A206)</f>
        <v>2314.22043325362</v>
      </c>
      <c r="AJ206" s="0" t="n">
        <f aca="false">W_PH(AJ$2,$A206)</f>
        <v>2313.6957410194</v>
      </c>
      <c r="AK206" s="0" t="n">
        <f aca="false">W_PH(AK$2,$A206)</f>
        <v>2313.25499054998</v>
      </c>
      <c r="AL206" s="0" t="n">
        <f aca="false">W_PH(AL$2,$A206)</f>
        <v>2312.92308807305</v>
      </c>
      <c r="AM206" s="0" t="n">
        <f aca="false">W_PH(AM$2,$A206)</f>
        <v>2312.70293492897</v>
      </c>
      <c r="AN206" s="0" t="n">
        <f aca="false">W_PH(AN$2,$A206)</f>
        <v>2312.59702892856</v>
      </c>
      <c r="AO206" s="0" t="n">
        <f aca="false">W_PH(AO$2,$A206)</f>
        <v>2312.60745096675</v>
      </c>
      <c r="AP206" s="0" t="n">
        <f aca="false">W_PH(AP$2,$A206)</f>
        <v>2312.73586214366</v>
      </c>
      <c r="AQ206" s="0" t="n">
        <f aca="false">W_PH(AQ$2,$A206)</f>
        <v>2320.60190016401</v>
      </c>
      <c r="AR206" s="0" t="n">
        <f aca="false">W_PH(AR$2,$A206)</f>
        <v>2323.67872715315</v>
      </c>
      <c r="AS206" s="0" t="n">
        <f aca="false">W_PH(AS$2,$A206)</f>
        <v>2324.81024566625</v>
      </c>
    </row>
    <row r="207" customFormat="false" ht="12.8" hidden="false" customHeight="false" outlineLevel="0" collapsed="false">
      <c r="A207" s="0" t="n">
        <v>1577.81599312124</v>
      </c>
      <c r="B207" s="0" t="n">
        <f aca="false">W_PH(B$2,$A207)</f>
        <v>2015</v>
      </c>
      <c r="C207" s="0" t="n">
        <f aca="false">W_PH(C$2,$A207)</f>
        <v>2322.11216775112</v>
      </c>
      <c r="D207" s="0" t="n">
        <f aca="false">W_PH(D$2,$A207)</f>
        <v>2322.1120868998</v>
      </c>
      <c r="E207" s="0" t="n">
        <f aca="false">W_PH(E$2,$A207)</f>
        <v>2322.11200604932</v>
      </c>
      <c r="F207" s="0" t="n">
        <f aca="false">W_PH(F$2,$A207)</f>
        <v>2322.11192519968</v>
      </c>
      <c r="G207" s="0" t="n">
        <f aca="false">W_PH(G$2,$A207)</f>
        <v>2322.11111674968</v>
      </c>
      <c r="H207" s="0" t="n">
        <f aca="false">W_PH(H$2,$A207)</f>
        <v>2322.11030838401</v>
      </c>
      <c r="I207" s="0" t="n">
        <f aca="false">W_PH(I$2,$A207)</f>
        <v>2322.10950010267</v>
      </c>
      <c r="J207" s="0" t="n">
        <f aca="false">W_PH(J$2,$A207)</f>
        <v>2322.10869190566</v>
      </c>
      <c r="K207" s="0" t="n">
        <f aca="false">W_PH(K$2,$A207)</f>
        <v>2322.10788379298</v>
      </c>
      <c r="L207" s="0" t="n">
        <f aca="false">W_PH(L$2,$A207)</f>
        <v>2322.10707576463</v>
      </c>
      <c r="M207" s="0" t="n">
        <f aca="false">W_PH(M$2,$A207)</f>
        <v>2322.10626782063</v>
      </c>
      <c r="N207" s="0" t="n">
        <f aca="false">W_PH(N$2,$A207)</f>
        <v>2322.10545996096</v>
      </c>
      <c r="O207" s="0" t="n">
        <f aca="false">W_PH(O$2,$A207)</f>
        <v>2322.10465218564</v>
      </c>
      <c r="P207" s="0" t="n">
        <f aca="false">W_PH(P$2,$A207)</f>
        <v>2322.09657907194</v>
      </c>
      <c r="Q207" s="0" t="n">
        <f aca="false">W_PH(Q$2,$A207)</f>
        <v>2322.08851439557</v>
      </c>
      <c r="R207" s="0" t="n">
        <f aca="false">W_PH(R$2,$A207)</f>
        <v>2322.0804581592</v>
      </c>
      <c r="S207" s="0" t="n">
        <f aca="false">W_PH(S$2,$A207)</f>
        <v>2322.0724103655</v>
      </c>
      <c r="T207" s="0" t="n">
        <f aca="false">W_PH(T$2,$A207)</f>
        <v>2322.06437101715</v>
      </c>
      <c r="U207" s="0" t="n">
        <f aca="false">W_PH(U$2,$A207)</f>
        <v>2322.05634011682</v>
      </c>
      <c r="V207" s="0" t="n">
        <f aca="false">W_PH(V$2,$A207)</f>
        <v>2322.04831766718</v>
      </c>
      <c r="W207" s="0" t="n">
        <f aca="false">W_PH(W$2,$A207)</f>
        <v>2322.04030367089</v>
      </c>
      <c r="X207" s="0" t="n">
        <f aca="false">W_PH(X$2,$A207)</f>
        <v>2322.03229813063</v>
      </c>
      <c r="Y207" s="0" t="n">
        <f aca="false">W_PH(Y$2,$A207)</f>
        <v>2321.95270839637</v>
      </c>
      <c r="Z207" s="0" t="n">
        <f aca="false">W_PH(Z$2,$A207)</f>
        <v>2321.87396719598</v>
      </c>
      <c r="AA207" s="0" t="n">
        <f aca="false">W_PH(AA$2,$A207)</f>
        <v>2321.79607718613</v>
      </c>
      <c r="AB207" s="0" t="n">
        <f aca="false">W_PH(AB$2,$A207)</f>
        <v>2321.71904101407</v>
      </c>
      <c r="AC207" s="0" t="n">
        <f aca="false">W_PH(AC$2,$A207)</f>
        <v>2321.64286131632</v>
      </c>
      <c r="AD207" s="0" t="n">
        <f aca="false">W_PH(AD$2,$A207)</f>
        <v>2321.56754071742</v>
      </c>
      <c r="AE207" s="0" t="n">
        <f aca="false">W_PH(AE$2,$A207)</f>
        <v>2321.49308182869</v>
      </c>
      <c r="AF207" s="0" t="n">
        <f aca="false">W_PH(AF$2,$A207)</f>
        <v>2321.41948724706</v>
      </c>
      <c r="AG207" s="0" t="n">
        <f aca="false">W_PH(AG$2,$A207)</f>
        <v>2321.34675955387</v>
      </c>
      <c r="AH207" s="0" t="n">
        <f aca="false">W_PH(AH$2,$A207)</f>
        <v>2320.66771608337</v>
      </c>
      <c r="AI207" s="0" t="n">
        <f aca="false">W_PH(AI$2,$A207)</f>
        <v>2320.07804570726</v>
      </c>
      <c r="AJ207" s="0" t="n">
        <f aca="false">W_PH(AJ$2,$A207)</f>
        <v>2319.58750182759</v>
      </c>
      <c r="AK207" s="0" t="n">
        <f aca="false">W_PH(AK$2,$A207)</f>
        <v>2319.17990481007</v>
      </c>
      <c r="AL207" s="0" t="n">
        <f aca="false">W_PH(AL$2,$A207)</f>
        <v>2318.87970011164</v>
      </c>
      <c r="AM207" s="0" t="n">
        <f aca="false">W_PH(AM$2,$A207)</f>
        <v>2318.68971504396</v>
      </c>
      <c r="AN207" s="0" t="n">
        <f aca="false">W_PH(AN$2,$A207)</f>
        <v>2318.61237131327</v>
      </c>
      <c r="AO207" s="0" t="n">
        <f aca="false">W_PH(AO$2,$A207)</f>
        <v>2318.64967530012</v>
      </c>
      <c r="AP207" s="0" t="n">
        <f aca="false">W_PH(AP$2,$A207)</f>
        <v>2318.80321796589</v>
      </c>
      <c r="AQ207" s="0" t="n">
        <f aca="false">W_PH(AQ$2,$A207)</f>
        <v>2326.814695259</v>
      </c>
      <c r="AR207" s="0" t="n">
        <f aca="false">W_PH(AR$2,$A207)</f>
        <v>2329.89698852696</v>
      </c>
      <c r="AS207" s="0" t="n">
        <f aca="false">W_PH(AS$2,$A207)</f>
        <v>2331.02854044019</v>
      </c>
    </row>
    <row r="208" customFormat="false" ht="12.8" hidden="false" customHeight="false" outlineLevel="0" collapsed="false">
      <c r="A208" s="0" t="n">
        <v>1582.11521926053</v>
      </c>
      <c r="B208" s="0" t="n">
        <f aca="false">W_PH(B$2,$A208)</f>
        <v>2015</v>
      </c>
      <c r="C208" s="0" t="n">
        <f aca="false">W_PH(C$2,$A208)</f>
        <v>2327.83500157965</v>
      </c>
      <c r="D208" s="0" t="n">
        <f aca="false">W_PH(D$2,$A208)</f>
        <v>2327.83492446892</v>
      </c>
      <c r="E208" s="0" t="n">
        <f aca="false">W_PH(E$2,$A208)</f>
        <v>2327.83484735902</v>
      </c>
      <c r="F208" s="0" t="n">
        <f aca="false">W_PH(F$2,$A208)</f>
        <v>2327.83477024995</v>
      </c>
      <c r="G208" s="0" t="n">
        <f aca="false">W_PH(G$2,$A208)</f>
        <v>2327.83399920498</v>
      </c>
      <c r="H208" s="0" t="n">
        <f aca="false">W_PH(H$2,$A208)</f>
        <v>2327.83322824308</v>
      </c>
      <c r="I208" s="0" t="n">
        <f aca="false">W_PH(I$2,$A208)</f>
        <v>2327.83245736426</v>
      </c>
      <c r="J208" s="0" t="n">
        <f aca="false">W_PH(J$2,$A208)</f>
        <v>2327.83168656851</v>
      </c>
      <c r="K208" s="0" t="n">
        <f aca="false">W_PH(K$2,$A208)</f>
        <v>2327.83091585585</v>
      </c>
      <c r="L208" s="0" t="n">
        <f aca="false">W_PH(L$2,$A208)</f>
        <v>2327.83014522628</v>
      </c>
      <c r="M208" s="0" t="n">
        <f aca="false">W_PH(M$2,$A208)</f>
        <v>2327.82937467979</v>
      </c>
      <c r="N208" s="0" t="n">
        <f aca="false">W_PH(N$2,$A208)</f>
        <v>2327.82860421639</v>
      </c>
      <c r="O208" s="0" t="n">
        <f aca="false">W_PH(O$2,$A208)</f>
        <v>2327.82783383609</v>
      </c>
      <c r="P208" s="0" t="n">
        <f aca="false">W_PH(P$2,$A208)</f>
        <v>2327.82013460384</v>
      </c>
      <c r="Q208" s="0" t="n">
        <f aca="false">W_PH(Q$2,$A208)</f>
        <v>2327.81244368409</v>
      </c>
      <c r="R208" s="0" t="n">
        <f aca="false">W_PH(R$2,$A208)</f>
        <v>2327.80476107964</v>
      </c>
      <c r="S208" s="0" t="n">
        <f aca="false">W_PH(S$2,$A208)</f>
        <v>2327.79708679333</v>
      </c>
      <c r="T208" s="0" t="n">
        <f aca="false">W_PH(T$2,$A208)</f>
        <v>2327.78942082796</v>
      </c>
      <c r="U208" s="0" t="n">
        <f aca="false">W_PH(U$2,$A208)</f>
        <v>2327.78176318637</v>
      </c>
      <c r="V208" s="0" t="n">
        <f aca="false">W_PH(V$2,$A208)</f>
        <v>2327.77411387135</v>
      </c>
      <c r="W208" s="0" t="n">
        <f aca="false">W_PH(W$2,$A208)</f>
        <v>2327.76647288573</v>
      </c>
      <c r="X208" s="0" t="n">
        <f aca="false">W_PH(X$2,$A208)</f>
        <v>2327.75884023233</v>
      </c>
      <c r="Y208" s="0" t="n">
        <f aca="false">W_PH(Y$2,$A208)</f>
        <v>2327.68297258847</v>
      </c>
      <c r="Z208" s="0" t="n">
        <f aca="false">W_PH(Z$2,$A208)</f>
        <v>2327.60794125326</v>
      </c>
      <c r="AA208" s="0" t="n">
        <f aca="false">W_PH(AA$2,$A208)</f>
        <v>2327.5337490209</v>
      </c>
      <c r="AB208" s="0" t="n">
        <f aca="false">W_PH(AB$2,$A208)</f>
        <v>2327.4603986718</v>
      </c>
      <c r="AC208" s="0" t="n">
        <f aca="false">W_PH(AC$2,$A208)</f>
        <v>2327.38789297138</v>
      </c>
      <c r="AD208" s="0" t="n">
        <f aca="false">W_PH(AD$2,$A208)</f>
        <v>2327.31623466894</v>
      </c>
      <c r="AE208" s="0" t="n">
        <f aca="false">W_PH(AE$2,$A208)</f>
        <v>2327.2454264966</v>
      </c>
      <c r="AF208" s="0" t="n">
        <f aca="false">W_PH(AF$2,$A208)</f>
        <v>2327.17547116821</v>
      </c>
      <c r="AG208" s="0" t="n">
        <f aca="false">W_PH(AG$2,$A208)</f>
        <v>2327.10637137832</v>
      </c>
      <c r="AH208" s="0" t="n">
        <f aca="false">W_PH(AH$2,$A208)</f>
        <v>2326.46300516563</v>
      </c>
      <c r="AI208" s="0" t="n">
        <f aca="false">W_PH(AI$2,$A208)</f>
        <v>2325.90797824472</v>
      </c>
      <c r="AJ208" s="0" t="n">
        <f aca="false">W_PH(AJ$2,$A208)</f>
        <v>2325.45119029021</v>
      </c>
      <c r="AK208" s="0" t="n">
        <f aca="false">W_PH(AK$2,$A208)</f>
        <v>2325.07637953442</v>
      </c>
      <c r="AL208" s="0" t="n">
        <f aca="false">W_PH(AL$2,$A208)</f>
        <v>2324.8075396192</v>
      </c>
      <c r="AM208" s="0" t="n">
        <f aca="false">W_PH(AM$2,$A208)</f>
        <v>2324.64742239058</v>
      </c>
      <c r="AN208" s="0" t="n">
        <f aca="false">W_PH(AN$2,$A208)</f>
        <v>2324.59837292102</v>
      </c>
      <c r="AO208" s="0" t="n">
        <f aca="false">W_PH(AO$2,$A208)</f>
        <v>2324.66232318616</v>
      </c>
      <c r="AP208" s="0" t="n">
        <f aca="false">W_PH(AP$2,$A208)</f>
        <v>2324.84079454758</v>
      </c>
      <c r="AQ208" s="0" t="n">
        <f aca="false">W_PH(AQ$2,$A208)</f>
        <v>2332.9976793681</v>
      </c>
      <c r="AR208" s="0" t="n">
        <f aca="false">W_PH(AR$2,$A208)</f>
        <v>2336.08591298823</v>
      </c>
      <c r="AS208" s="0" t="n">
        <f aca="false">W_PH(AS$2,$A208)</f>
        <v>2337.21769268842</v>
      </c>
    </row>
    <row r="209" customFormat="false" ht="12.8" hidden="false" customHeight="false" outlineLevel="0" collapsed="false">
      <c r="A209" s="0" t="n">
        <v>1586.41444539983</v>
      </c>
      <c r="B209" s="0" t="n">
        <f aca="false">W_PH(B$2,$A209)</f>
        <v>2015</v>
      </c>
      <c r="C209" s="0" t="n">
        <f aca="false">W_PH(C$2,$A209)</f>
        <v>2333.53201529532</v>
      </c>
      <c r="D209" s="0" t="n">
        <f aca="false">W_PH(D$2,$A209)</f>
        <v>2333.53194186305</v>
      </c>
      <c r="E209" s="0" t="n">
        <f aca="false">W_PH(E$2,$A209)</f>
        <v>2333.5318684316</v>
      </c>
      <c r="F209" s="0" t="n">
        <f aca="false">W_PH(F$2,$A209)</f>
        <v>2333.53179500097</v>
      </c>
      <c r="G209" s="0" t="n">
        <f aca="false">W_PH(G$2,$A209)</f>
        <v>2333.53106073973</v>
      </c>
      <c r="H209" s="0" t="n">
        <f aca="false">W_PH(H$2,$A209)</f>
        <v>2333.5303265604</v>
      </c>
      <c r="I209" s="0" t="n">
        <f aca="false">W_PH(I$2,$A209)</f>
        <v>2333.52959246299</v>
      </c>
      <c r="J209" s="0" t="n">
        <f aca="false">W_PH(J$2,$A209)</f>
        <v>2333.5288584475</v>
      </c>
      <c r="K209" s="0" t="n">
        <f aca="false">W_PH(K$2,$A209)</f>
        <v>2333.52812451393</v>
      </c>
      <c r="L209" s="0" t="n">
        <f aca="false">W_PH(L$2,$A209)</f>
        <v>2333.52739066228</v>
      </c>
      <c r="M209" s="0" t="n">
        <f aca="false">W_PH(M$2,$A209)</f>
        <v>2333.52665689256</v>
      </c>
      <c r="N209" s="0" t="n">
        <f aca="false">W_PH(N$2,$A209)</f>
        <v>2333.52592320478</v>
      </c>
      <c r="O209" s="0" t="n">
        <f aca="false">W_PH(O$2,$A209)</f>
        <v>2333.52518959892</v>
      </c>
      <c r="P209" s="0" t="n">
        <f aca="false">W_PH(P$2,$A209)</f>
        <v>2333.51785804738</v>
      </c>
      <c r="Q209" s="0" t="n">
        <f aca="false">W_PH(Q$2,$A209)</f>
        <v>2333.51053469246</v>
      </c>
      <c r="R209" s="0" t="n">
        <f aca="false">W_PH(R$2,$A209)</f>
        <v>2333.50321953709</v>
      </c>
      <c r="S209" s="0" t="n">
        <f aca="false">W_PH(S$2,$A209)</f>
        <v>2333.49591258424</v>
      </c>
      <c r="T209" s="0" t="n">
        <f aca="false">W_PH(T$2,$A209)</f>
        <v>2333.48861383684</v>
      </c>
      <c r="U209" s="0" t="n">
        <f aca="false">W_PH(U$2,$A209)</f>
        <v>2333.48132329784</v>
      </c>
      <c r="V209" s="0" t="n">
        <f aca="false">W_PH(V$2,$A209)</f>
        <v>2333.47404097017</v>
      </c>
      <c r="W209" s="0" t="n">
        <f aca="false">W_PH(W$2,$A209)</f>
        <v>2333.46676685679</v>
      </c>
      <c r="X209" s="0" t="n">
        <f aca="false">W_PH(X$2,$A209)</f>
        <v>2333.45950096063</v>
      </c>
      <c r="Y209" s="0" t="n">
        <f aca="false">W_PH(Y$2,$A209)</f>
        <v>2333.38729459174</v>
      </c>
      <c r="Z209" s="0" t="n">
        <f aca="false">W_PH(Z$2,$A209)</f>
        <v>2333.31591316646</v>
      </c>
      <c r="AA209" s="0" t="n">
        <f aca="false">W_PH(AA$2,$A209)</f>
        <v>2333.24535959705</v>
      </c>
      <c r="AB209" s="0" t="n">
        <f aca="false">W_PH(AB$2,$A209)</f>
        <v>2333.17563677802</v>
      </c>
      <c r="AC209" s="0" t="n">
        <f aca="false">W_PH(AC$2,$A209)</f>
        <v>2333.10674758504</v>
      </c>
      <c r="AD209" s="0" t="n">
        <f aca="false">W_PH(AD$2,$A209)</f>
        <v>2333.03869487395</v>
      </c>
      <c r="AE209" s="0" t="n">
        <f aca="false">W_PH(AE$2,$A209)</f>
        <v>2332.9714814798</v>
      </c>
      <c r="AF209" s="0" t="n">
        <f aca="false">W_PH(AF$2,$A209)</f>
        <v>2332.90511021592</v>
      </c>
      <c r="AG209" s="0" t="n">
        <f aca="false">W_PH(AG$2,$A209)</f>
        <v>2332.83958387295</v>
      </c>
      <c r="AH209" s="0" t="n">
        <f aca="false">W_PH(AH$2,$A209)</f>
        <v>2332.23138712022</v>
      </c>
      <c r="AI209" s="0" t="n">
        <f aca="false">W_PH(AI$2,$A209)</f>
        <v>2331.710552713</v>
      </c>
      <c r="AJ209" s="0" t="n">
        <f aca="false">W_PH(AJ$2,$A209)</f>
        <v>2331.28713771702</v>
      </c>
      <c r="AK209" s="0" t="n">
        <f aca="false">W_PH(AK$2,$A209)</f>
        <v>2330.94475209594</v>
      </c>
      <c r="AL209" s="0" t="n">
        <f aca="false">W_PH(AL$2,$A209)</f>
        <v>2330.70694875968</v>
      </c>
      <c r="AM209" s="0" t="n">
        <f aca="false">W_PH(AM$2,$A209)</f>
        <v>2330.57640275868</v>
      </c>
      <c r="AN209" s="0" t="n">
        <f aca="false">W_PH(AN$2,$A209)</f>
        <v>2330.55538207148</v>
      </c>
      <c r="AO209" s="0" t="n">
        <f aca="false">W_PH(AO$2,$A209)</f>
        <v>2330.64574442177</v>
      </c>
      <c r="AP209" s="0" t="n">
        <f aca="false">W_PH(AP$2,$A209)</f>
        <v>2330.84894213688</v>
      </c>
      <c r="AQ209" s="0" t="n">
        <f aca="false">W_PH(AQ$2,$A209)</f>
        <v>2339.15115214369</v>
      </c>
      <c r="AR209" s="0" t="n">
        <f aca="false">W_PH(AR$2,$A209)</f>
        <v>2342.24577719876</v>
      </c>
      <c r="AS209" s="0" t="n">
        <f aca="false">W_PH(AS$2,$A209)</f>
        <v>2343.37797042988</v>
      </c>
    </row>
    <row r="210" customFormat="false" ht="12.8" hidden="false" customHeight="false" outlineLevel="0" collapsed="false">
      <c r="A210" s="0" t="n">
        <v>1590.71367153912</v>
      </c>
      <c r="B210" s="0" t="n">
        <f aca="false">W_PH(B$2,$A210)</f>
        <v>2015</v>
      </c>
      <c r="C210" s="0" t="n">
        <f aca="false">W_PH(C$2,$A210)</f>
        <v>2339.20348028485</v>
      </c>
      <c r="D210" s="0" t="n">
        <f aca="false">W_PH(D$2,$A210)</f>
        <v>2339.20341047093</v>
      </c>
      <c r="E210" s="0" t="n">
        <f aca="false">W_PH(E$2,$A210)</f>
        <v>2339.20334065783</v>
      </c>
      <c r="F210" s="0" t="n">
        <f aca="false">W_PH(F$2,$A210)</f>
        <v>2339.20327084553</v>
      </c>
      <c r="G210" s="0" t="n">
        <f aca="false">W_PH(G$2,$A210)</f>
        <v>2339.20257276698</v>
      </c>
      <c r="H210" s="0" t="n">
        <f aca="false">W_PH(H$2,$A210)</f>
        <v>2339.20187476927</v>
      </c>
      <c r="I210" s="0" t="n">
        <f aca="false">W_PH(I$2,$A210)</f>
        <v>2339.20117685241</v>
      </c>
      <c r="J210" s="0" t="n">
        <f aca="false">W_PH(J$2,$A210)</f>
        <v>2339.20047901638</v>
      </c>
      <c r="K210" s="0" t="n">
        <f aca="false">W_PH(K$2,$A210)</f>
        <v>2339.19978126121</v>
      </c>
      <c r="L210" s="0" t="n">
        <f aca="false">W_PH(L$2,$A210)</f>
        <v>2339.19908358688</v>
      </c>
      <c r="M210" s="0" t="n">
        <f aca="false">W_PH(M$2,$A210)</f>
        <v>2339.1983859934</v>
      </c>
      <c r="N210" s="0" t="n">
        <f aca="false">W_PH(N$2,$A210)</f>
        <v>2339.19768848078</v>
      </c>
      <c r="O210" s="0" t="n">
        <f aca="false">W_PH(O$2,$A210)</f>
        <v>2339.19699104902</v>
      </c>
      <c r="P210" s="0" t="n">
        <f aca="false">W_PH(P$2,$A210)</f>
        <v>2339.19002117934</v>
      </c>
      <c r="Q210" s="0" t="n">
        <f aca="false">W_PH(Q$2,$A210)</f>
        <v>2339.1830593989</v>
      </c>
      <c r="R210" s="0" t="n">
        <f aca="false">W_PH(R$2,$A210)</f>
        <v>2339.17610571078</v>
      </c>
      <c r="S210" s="0" t="n">
        <f aca="false">W_PH(S$2,$A210)</f>
        <v>2339.16916011801</v>
      </c>
      <c r="T210" s="0" t="n">
        <f aca="false">W_PH(T$2,$A210)</f>
        <v>2339.16222262367</v>
      </c>
      <c r="U210" s="0" t="n">
        <f aca="false">W_PH(U$2,$A210)</f>
        <v>2339.15529323079</v>
      </c>
      <c r="V210" s="0" t="n">
        <f aca="false">W_PH(V$2,$A210)</f>
        <v>2339.14837194242</v>
      </c>
      <c r="W210" s="0" t="n">
        <f aca="false">W_PH(W$2,$A210)</f>
        <v>2339.14145876163</v>
      </c>
      <c r="X210" s="0" t="n">
        <f aca="false">W_PH(X$2,$A210)</f>
        <v>2339.13455369144</v>
      </c>
      <c r="Y210" s="0" t="n">
        <f aca="false">W_PH(Y$2,$A210)</f>
        <v>2339.0659497416</v>
      </c>
      <c r="Z210" s="0" t="n">
        <f aca="false">W_PH(Z$2,$A210)</f>
        <v>2338.99816018782</v>
      </c>
      <c r="AA210" s="0" t="n">
        <f aca="false">W_PH(AA$2,$A210)</f>
        <v>2338.93118804208</v>
      </c>
      <c r="AB210" s="0" t="n">
        <f aca="false">W_PH(AB$2,$A210)</f>
        <v>2338.86503629502</v>
      </c>
      <c r="AC210" s="0" t="n">
        <f aca="false">W_PH(AC$2,$A210)</f>
        <v>2338.79970791499</v>
      </c>
      <c r="AD210" s="0" t="n">
        <f aca="false">W_PH(AD$2,$A210)</f>
        <v>2338.73520584719</v>
      </c>
      <c r="AE210" s="0" t="n">
        <f aca="false">W_PH(AE$2,$A210)</f>
        <v>2338.67153301277</v>
      </c>
      <c r="AF210" s="0" t="n">
        <f aca="false">W_PH(AF$2,$A210)</f>
        <v>2338.60869230805</v>
      </c>
      <c r="AG210" s="0" t="n">
        <f aca="false">W_PH(AG$2,$A210)</f>
        <v>2338.54668660364</v>
      </c>
      <c r="AH210" s="0" t="n">
        <f aca="false">W_PH(AH$2,$A210)</f>
        <v>2337.97316624842</v>
      </c>
      <c r="AI210" s="0" t="n">
        <f aca="false">W_PH(AI$2,$A210)</f>
        <v>2337.48608553619</v>
      </c>
      <c r="AJ210" s="0" t="n">
        <f aca="false">W_PH(AJ$2,$A210)</f>
        <v>2337.09566913366</v>
      </c>
      <c r="AK210" s="0" t="n">
        <f aca="false">W_PH(AK$2,$A210)</f>
        <v>2336.78535337761</v>
      </c>
      <c r="AL210" s="0" t="n">
        <f aca="false">W_PH(AL$2,$A210)</f>
        <v>2336.57826306206</v>
      </c>
      <c r="AM210" s="0" t="n">
        <f aca="false">W_PH(AM$2,$A210)</f>
        <v>2336.47699521904</v>
      </c>
      <c r="AN210" s="0" t="n">
        <f aca="false">W_PH(AN$2,$A210)</f>
        <v>2336.48374034145</v>
      </c>
      <c r="AO210" s="0" t="n">
        <f aca="false">W_PH(AO$2,$A210)</f>
        <v>2336.60028209576</v>
      </c>
      <c r="AP210" s="0" t="n">
        <f aca="false">W_PH(AP$2,$A210)</f>
        <v>2336.82800436416</v>
      </c>
      <c r="AQ210" s="0" t="n">
        <f aca="false">W_PH(AQ$2,$A210)</f>
        <v>2345.27540926653</v>
      </c>
      <c r="AR210" s="0" t="n">
        <f aca="false">W_PH(AR$2,$A210)</f>
        <v>2348.37685439662</v>
      </c>
      <c r="AS210" s="0" t="n">
        <f aca="false">W_PH(AS$2,$A210)</f>
        <v>2349.5096384148</v>
      </c>
    </row>
    <row r="211" customFormat="false" ht="12.8" hidden="false" customHeight="false" outlineLevel="0" collapsed="false">
      <c r="A211" s="0" t="n">
        <v>1595.01289767842</v>
      </c>
      <c r="B211" s="0" t="n">
        <f aca="false">W_PH(B$2,$A211)</f>
        <v>2015</v>
      </c>
      <c r="C211" s="0" t="n">
        <f aca="false">W_PH(C$2,$A211)</f>
        <v>2344.84966403836</v>
      </c>
      <c r="D211" s="0" t="n">
        <f aca="false">W_PH(D$2,$A211)</f>
        <v>2344.84959778465</v>
      </c>
      <c r="E211" s="0" t="n">
        <f aca="false">W_PH(E$2,$A211)</f>
        <v>2344.84953153174</v>
      </c>
      <c r="F211" s="0" t="n">
        <f aca="false">W_PH(F$2,$A211)</f>
        <v>2344.84946527963</v>
      </c>
      <c r="G211" s="0" t="n">
        <f aca="false">W_PH(G$2,$A211)</f>
        <v>2344.84880280244</v>
      </c>
      <c r="H211" s="0" t="n">
        <f aca="false">W_PH(H$2,$A211)</f>
        <v>2344.84814040509</v>
      </c>
      <c r="I211" s="0" t="n">
        <f aca="false">W_PH(I$2,$A211)</f>
        <v>2344.84747808759</v>
      </c>
      <c r="J211" s="0" t="n">
        <f aca="false">W_PH(J$2,$A211)</f>
        <v>2344.84681584993</v>
      </c>
      <c r="K211" s="0" t="n">
        <f aca="false">W_PH(K$2,$A211)</f>
        <v>2344.84615369213</v>
      </c>
      <c r="L211" s="0" t="n">
        <f aca="false">W_PH(L$2,$A211)</f>
        <v>2344.84549161418</v>
      </c>
      <c r="M211" s="0" t="n">
        <f aca="false">W_PH(M$2,$A211)</f>
        <v>2344.84482961609</v>
      </c>
      <c r="N211" s="0" t="n">
        <f aca="false">W_PH(N$2,$A211)</f>
        <v>2344.84416769787</v>
      </c>
      <c r="O211" s="0" t="n">
        <f aca="false">W_PH(O$2,$A211)</f>
        <v>2344.84350585951</v>
      </c>
      <c r="P211" s="0" t="n">
        <f aca="false">W_PH(P$2,$A211)</f>
        <v>2344.83689186916</v>
      </c>
      <c r="Q211" s="0" t="n">
        <f aca="false">W_PH(Q$2,$A211)</f>
        <v>2344.83028586878</v>
      </c>
      <c r="R211" s="0" t="n">
        <f aca="false">W_PH(R$2,$A211)</f>
        <v>2344.82368786152</v>
      </c>
      <c r="S211" s="0" t="n">
        <f aca="false">W_PH(S$2,$A211)</f>
        <v>2344.81709785051</v>
      </c>
      <c r="T211" s="0" t="n">
        <f aca="false">W_PH(T$2,$A211)</f>
        <v>2344.81051583891</v>
      </c>
      <c r="U211" s="0" t="n">
        <f aca="false">W_PH(U$2,$A211)</f>
        <v>2344.80394182984</v>
      </c>
      <c r="V211" s="0" t="n">
        <f aca="false">W_PH(V$2,$A211)</f>
        <v>2344.79737582646</v>
      </c>
      <c r="W211" s="0" t="n">
        <f aca="false">W_PH(W$2,$A211)</f>
        <v>2344.79081783189</v>
      </c>
      <c r="X211" s="0" t="n">
        <f aca="false">W_PH(X$2,$A211)</f>
        <v>2344.78426784926</v>
      </c>
      <c r="Y211" s="0" t="n">
        <f aca="false">W_PH(Y$2,$A211)</f>
        <v>2344.71920936778</v>
      </c>
      <c r="Z211" s="0" t="n">
        <f aca="false">W_PH(Z$2,$A211)</f>
        <v>2344.65495551038</v>
      </c>
      <c r="AA211" s="0" t="n">
        <f aca="false">W_PH(AA$2,$A211)</f>
        <v>2344.5915093715</v>
      </c>
      <c r="AB211" s="0" t="n">
        <f aca="false">W_PH(AB$2,$A211)</f>
        <v>2344.52887402102</v>
      </c>
      <c r="AC211" s="0" t="n">
        <f aca="false">W_PH(AC$2,$A211)</f>
        <v>2344.46705250342</v>
      </c>
      <c r="AD211" s="0" t="n">
        <f aca="false">W_PH(AD$2,$A211)</f>
        <v>2344.40604783705</v>
      </c>
      <c r="AE211" s="0" t="n">
        <f aca="false">W_PH(AE$2,$A211)</f>
        <v>2344.34586301334</v>
      </c>
      <c r="AF211" s="0" t="n">
        <f aca="false">W_PH(AF$2,$A211)</f>
        <v>2344.28650099608</v>
      </c>
      <c r="AG211" s="0" t="n">
        <f aca="false">W_PH(AG$2,$A211)</f>
        <v>2344.22796472069</v>
      </c>
      <c r="AH211" s="0" t="n">
        <f aca="false">W_PH(AH$2,$A211)</f>
        <v>2343.68864196233</v>
      </c>
      <c r="AI211" s="0" t="n">
        <f aca="false">W_PH(AI$2,$A211)</f>
        <v>2343.23488779067</v>
      </c>
      <c r="AJ211" s="0" t="n">
        <f aca="false">W_PH(AJ$2,$A211)</f>
        <v>2342.87710338754</v>
      </c>
      <c r="AK211" s="0" t="n">
        <f aca="false">W_PH(AK$2,$A211)</f>
        <v>2342.5985078818</v>
      </c>
      <c r="AL211" s="0" t="n">
        <f aca="false">W_PH(AL$2,$A211)</f>
        <v>2342.42181152898</v>
      </c>
      <c r="AM211" s="0" t="n">
        <f aca="false">W_PH(AM$2,$A211)</f>
        <v>2342.34953222719</v>
      </c>
      <c r="AN211" s="0" t="n">
        <f aca="false">W_PH(AN$2,$A211)</f>
        <v>2342.3837826598</v>
      </c>
      <c r="AO211" s="0" t="n">
        <f aca="false">W_PH(AO$2,$A211)</f>
        <v>2342.52627267108</v>
      </c>
      <c r="AP211" s="0" t="n">
        <f aca="false">W_PH(AP$2,$A211)</f>
        <v>2342.77831830821</v>
      </c>
      <c r="AQ211" s="0" t="n">
        <f aca="false">W_PH(AQ$2,$A211)</f>
        <v>2351.37074235333</v>
      </c>
      <c r="AR211" s="0" t="n">
        <f aca="false">W_PH(AR$2,$A211)</f>
        <v>2354.47941432031</v>
      </c>
      <c r="AS211" s="0" t="n">
        <f aca="false">W_PH(AS$2,$A211)</f>
        <v>2355.61295806138</v>
      </c>
    </row>
    <row r="212" customFormat="false" ht="12.8" hidden="false" customHeight="false" outlineLevel="0" collapsed="false">
      <c r="A212" s="0" t="n">
        <v>1599.31212381771</v>
      </c>
      <c r="B212" s="0" t="n">
        <f aca="false">W_PH(B$2,$A212)</f>
        <v>2015</v>
      </c>
      <c r="C212" s="0" t="n">
        <f aca="false">W_PH(C$2,$A212)</f>
        <v>2350.47083018543</v>
      </c>
      <c r="D212" s="0" t="n">
        <f aca="false">W_PH(D$2,$A212)</f>
        <v>2350.47076743571</v>
      </c>
      <c r="E212" s="0" t="n">
        <f aca="false">W_PH(E$2,$A212)</f>
        <v>2350.47070468678</v>
      </c>
      <c r="F212" s="0" t="n">
        <f aca="false">W_PH(F$2,$A212)</f>
        <v>2350.47064193863</v>
      </c>
      <c r="G212" s="0" t="n">
        <f aca="false">W_PH(G$2,$A212)</f>
        <v>2350.4700145006</v>
      </c>
      <c r="H212" s="0" t="n">
        <f aca="false">W_PH(H$2,$A212)</f>
        <v>2350.46938714148</v>
      </c>
      <c r="I212" s="0" t="n">
        <f aca="false">W_PH(I$2,$A212)</f>
        <v>2350.4687598613</v>
      </c>
      <c r="J212" s="0" t="n">
        <f aca="false">W_PH(J$2,$A212)</f>
        <v>2350.46813266005</v>
      </c>
      <c r="K212" s="0" t="n">
        <f aca="false">W_PH(K$2,$A212)</f>
        <v>2350.46750553774</v>
      </c>
      <c r="L212" s="0" t="n">
        <f aca="false">W_PH(L$2,$A212)</f>
        <v>2350.46687849436</v>
      </c>
      <c r="M212" s="0" t="n">
        <f aca="false">W_PH(M$2,$A212)</f>
        <v>2350.46625152992</v>
      </c>
      <c r="N212" s="0" t="n">
        <f aca="false">W_PH(N$2,$A212)</f>
        <v>2350.46562464443</v>
      </c>
      <c r="O212" s="0" t="n">
        <f aca="false">W_PH(O$2,$A212)</f>
        <v>2350.46499783789</v>
      </c>
      <c r="P212" s="0" t="n">
        <f aca="false">W_PH(P$2,$A212)</f>
        <v>2350.45873411529</v>
      </c>
      <c r="Q212" s="0" t="n">
        <f aca="false">W_PH(Q$2,$A212)</f>
        <v>2350.45247829101</v>
      </c>
      <c r="R212" s="0" t="n">
        <f aca="false">W_PH(R$2,$A212)</f>
        <v>2350.44623036829</v>
      </c>
      <c r="S212" s="0" t="n">
        <f aca="false">W_PH(S$2,$A212)</f>
        <v>2350.43999035033</v>
      </c>
      <c r="T212" s="0" t="n">
        <f aca="false">W_PH(T$2,$A212)</f>
        <v>2350.43375824035</v>
      </c>
      <c r="U212" s="0" t="n">
        <f aca="false">W_PH(U$2,$A212)</f>
        <v>2350.42753404156</v>
      </c>
      <c r="V212" s="0" t="n">
        <f aca="false">W_PH(V$2,$A212)</f>
        <v>2350.42131775718</v>
      </c>
      <c r="W212" s="0" t="n">
        <f aca="false">W_PH(W$2,$A212)</f>
        <v>2350.4151093904</v>
      </c>
      <c r="X212" s="0" t="n">
        <f aca="false">W_PH(X$2,$A212)</f>
        <v>2350.40890894443</v>
      </c>
      <c r="Y212" s="0" t="n">
        <f aca="false">W_PH(Y$2,$A212)</f>
        <v>2350.34734083255</v>
      </c>
      <c r="Z212" s="0" t="n">
        <f aca="false">W_PH(Z$2,$A212)</f>
        <v>2350.28656830726</v>
      </c>
      <c r="AA212" s="0" t="n">
        <f aca="false">W_PH(AA$2,$A212)</f>
        <v>2350.22659452919</v>
      </c>
      <c r="AB212" s="0" t="n">
        <f aca="false">W_PH(AB$2,$A212)</f>
        <v>2350.16742263156</v>
      </c>
      <c r="AC212" s="0" t="n">
        <f aca="false">W_PH(AC$2,$A212)</f>
        <v>2350.10905571943</v>
      </c>
      <c r="AD212" s="0" t="n">
        <f aca="false">W_PH(AD$2,$A212)</f>
        <v>2350.05149686908</v>
      </c>
      <c r="AE212" s="0" t="n">
        <f aca="false">W_PH(AE$2,$A212)</f>
        <v>2349.9947491273</v>
      </c>
      <c r="AF212" s="0" t="n">
        <f aca="false">W_PH(AF$2,$A212)</f>
        <v>2349.93881551077</v>
      </c>
      <c r="AG212" s="0" t="n">
        <f aca="false">W_PH(AG$2,$A212)</f>
        <v>2349.88369900542</v>
      </c>
      <c r="AH212" s="0" t="n">
        <f aca="false">W_PH(AH$2,$A212)</f>
        <v>2349.37810884242</v>
      </c>
      <c r="AI212" s="0" t="n">
        <f aca="false">W_PH(AI$2,$A212)</f>
        <v>2348.95726527391</v>
      </c>
      <c r="AJ212" s="0" t="n">
        <f aca="false">W_PH(AJ$2,$A212)</f>
        <v>2348.63175325127</v>
      </c>
      <c r="AK212" s="0" t="n">
        <f aca="false">W_PH(AK$2,$A212)</f>
        <v>2348.38453383723</v>
      </c>
      <c r="AL212" s="0" t="n">
        <f aca="false">W_PH(AL$2,$A212)</f>
        <v>2348.23791674366</v>
      </c>
      <c r="AM212" s="0" t="n">
        <f aca="false">W_PH(AM$2,$A212)</f>
        <v>2348.19433972631</v>
      </c>
      <c r="AN212" s="0" t="n">
        <f aca="false">W_PH(AN$2,$A212)</f>
        <v>2348.2558374026</v>
      </c>
      <c r="AO212" s="0" t="n">
        <f aca="false">W_PH(AO$2,$A212)</f>
        <v>2348.42404606852</v>
      </c>
      <c r="AP212" s="0" t="n">
        <f aca="false">W_PH(AP$2,$A212)</f>
        <v>2348.70021456532</v>
      </c>
      <c r="AQ212" s="0" t="n">
        <f aca="false">W_PH(AQ$2,$A212)</f>
        <v>2357.43743887242</v>
      </c>
      <c r="AR212" s="0" t="n">
        <f aca="false">W_PH(AR$2,$A212)</f>
        <v>2360.55372313671</v>
      </c>
      <c r="AS212" s="0" t="n">
        <f aca="false">W_PH(AS$2,$A212)</f>
        <v>2361.68818739404</v>
      </c>
    </row>
    <row r="213" customFormat="false" ht="12.8" hidden="false" customHeight="false" outlineLevel="0" collapsed="false">
      <c r="A213" s="0" t="n">
        <v>1603.61134995701</v>
      </c>
      <c r="B213" s="0" t="n">
        <f aca="false">W_PH(B$2,$A213)</f>
        <v>2015</v>
      </c>
      <c r="C213" s="0" t="n">
        <f aca="false">W_PH(C$2,$A213)</f>
        <v>2356.06723853023</v>
      </c>
      <c r="D213" s="0" t="n">
        <f aca="false">W_PH(D$2,$A213)</f>
        <v>2356.06717923013</v>
      </c>
      <c r="E213" s="0" t="n">
        <f aca="false">W_PH(E$2,$A213)</f>
        <v>2356.0671199308</v>
      </c>
      <c r="F213" s="0" t="n">
        <f aca="false">W_PH(F$2,$A213)</f>
        <v>2356.06706063226</v>
      </c>
      <c r="G213" s="0" t="n">
        <f aca="false">W_PH(G$2,$A213)</f>
        <v>2356.0664676898</v>
      </c>
      <c r="H213" s="0" t="n">
        <f aca="false">W_PH(H$2,$A213)</f>
        <v>2356.06587482542</v>
      </c>
      <c r="I213" s="0" t="n">
        <f aca="false">W_PH(I$2,$A213)</f>
        <v>2356.06528203913</v>
      </c>
      <c r="J213" s="0" t="n">
        <f aca="false">W_PH(J$2,$A213)</f>
        <v>2356.06468933092</v>
      </c>
      <c r="K213" s="0" t="n">
        <f aca="false">W_PH(K$2,$A213)</f>
        <v>2356.0640967008</v>
      </c>
      <c r="L213" s="0" t="n">
        <f aca="false">W_PH(L$2,$A213)</f>
        <v>2356.06350414877</v>
      </c>
      <c r="M213" s="0" t="n">
        <f aca="false">W_PH(M$2,$A213)</f>
        <v>2356.06291167484</v>
      </c>
      <c r="N213" s="0" t="n">
        <f aca="false">W_PH(N$2,$A213)</f>
        <v>2356.06231927901</v>
      </c>
      <c r="O213" s="0" t="n">
        <f aca="false">W_PH(O$2,$A213)</f>
        <v>2356.06172696128</v>
      </c>
      <c r="P213" s="0" t="n">
        <f aca="false">W_PH(P$2,$A213)</f>
        <v>2356.05580808039</v>
      </c>
      <c r="Q213" s="0" t="n">
        <f aca="false">W_PH(Q$2,$A213)</f>
        <v>2356.04989701342</v>
      </c>
      <c r="R213" s="0" t="n">
        <f aca="false">W_PH(R$2,$A213)</f>
        <v>2356.04399376363</v>
      </c>
      <c r="S213" s="0" t="n">
        <f aca="false">W_PH(S$2,$A213)</f>
        <v>2356.03809833431</v>
      </c>
      <c r="T213" s="0" t="n">
        <f aca="false">W_PH(T$2,$A213)</f>
        <v>2356.03221072873</v>
      </c>
      <c r="U213" s="0" t="n">
        <f aca="false">W_PH(U$2,$A213)</f>
        <v>2356.02633095014</v>
      </c>
      <c r="V213" s="0" t="n">
        <f aca="false">W_PH(V$2,$A213)</f>
        <v>2356.02045900182</v>
      </c>
      <c r="W213" s="0" t="n">
        <f aca="false">W_PH(W$2,$A213)</f>
        <v>2356.01459488704</v>
      </c>
      <c r="X213" s="0" t="n">
        <f aca="false">W_PH(X$2,$A213)</f>
        <v>2356.00873860904</v>
      </c>
      <c r="Y213" s="0" t="n">
        <f aca="false">W_PH(Y$2,$A213)</f>
        <v>2355.95060756763</v>
      </c>
      <c r="Z213" s="0" t="n">
        <f aca="false">W_PH(Z$2,$A213)</f>
        <v>2355.89326376944</v>
      </c>
      <c r="AA213" s="0" t="n">
        <f aca="false">W_PH(AA$2,$A213)</f>
        <v>2355.83671042604</v>
      </c>
      <c r="AB213" s="0" t="n">
        <f aca="false">W_PH(AB$2,$A213)</f>
        <v>2355.78095071903</v>
      </c>
      <c r="AC213" s="0" t="n">
        <f aca="false">W_PH(AC$2,$A213)</f>
        <v>2355.72598779948</v>
      </c>
      <c r="AD213" s="0" t="n">
        <f aca="false">W_PH(AD$2,$A213)</f>
        <v>2355.67182478726</v>
      </c>
      <c r="AE213" s="0" t="n">
        <f aca="false">W_PH(AE$2,$A213)</f>
        <v>2355.61846477052</v>
      </c>
      <c r="AF213" s="0" t="n">
        <f aca="false">W_PH(AF$2,$A213)</f>
        <v>2355.56591080512</v>
      </c>
      <c r="AG213" s="0" t="n">
        <f aca="false">W_PH(AG$2,$A213)</f>
        <v>2355.51416591408</v>
      </c>
      <c r="AH213" s="0" t="n">
        <f aca="false">W_PH(AH$2,$A213)</f>
        <v>2355.04185669051</v>
      </c>
      <c r="AI213" s="0" t="n">
        <f aca="false">W_PH(AI$2,$A213)</f>
        <v>2354.65351856783</v>
      </c>
      <c r="AJ213" s="0" t="n">
        <f aca="false">W_PH(AJ$2,$A213)</f>
        <v>2354.35992552413</v>
      </c>
      <c r="AK213" s="0" t="n">
        <f aca="false">W_PH(AK$2,$A213)</f>
        <v>2354.14374330425</v>
      </c>
      <c r="AL213" s="0" t="n">
        <f aca="false">W_PH(AL$2,$A213)</f>
        <v>2354.02689497549</v>
      </c>
      <c r="AM213" s="0" t="n">
        <f aca="false">W_PH(AM$2,$A213)</f>
        <v>2354.01173724965</v>
      </c>
      <c r="AN213" s="0" t="n">
        <f aca="false">W_PH(AN$2,$A213)</f>
        <v>2354.10022648857</v>
      </c>
      <c r="AO213" s="0" t="n">
        <f aca="false">W_PH(AO$2,$A213)</f>
        <v>2354.29392575192</v>
      </c>
      <c r="AP213" s="0" t="n">
        <f aca="false">W_PH(AP$2,$A213)</f>
        <v>2354.59401732129</v>
      </c>
      <c r="AQ213" s="0" t="n">
        <f aca="false">W_PH(AQ$2,$A213)</f>
        <v>2363.475782067</v>
      </c>
      <c r="AR213" s="0" t="n">
        <f aca="false">W_PH(AR$2,$A213)</f>
        <v>2366.60004337208</v>
      </c>
      <c r="AS213" s="0" t="n">
        <f aca="false">W_PH(AS$2,$A213)</f>
        <v>2367.73558098277</v>
      </c>
    </row>
    <row r="214" customFormat="false" ht="12.8" hidden="false" customHeight="false" outlineLevel="0" collapsed="false">
      <c r="A214" s="0" t="n">
        <v>1607.9105760963</v>
      </c>
      <c r="B214" s="0" t="n">
        <f aca="false">W_PH(B$2,$A214)</f>
        <v>2015</v>
      </c>
      <c r="C214" s="0" t="n">
        <f aca="false">W_PH(C$2,$A214)</f>
        <v>2361.63914508522</v>
      </c>
      <c r="D214" s="0" t="n">
        <f aca="false">W_PH(D$2,$A214)</f>
        <v>2361.63908918218</v>
      </c>
      <c r="E214" s="0" t="n">
        <f aca="false">W_PH(E$2,$A214)</f>
        <v>2361.63903327992</v>
      </c>
      <c r="F214" s="0" t="n">
        <f aca="false">W_PH(F$2,$A214)</f>
        <v>2361.63897737843</v>
      </c>
      <c r="G214" s="0" t="n">
        <f aca="false">W_PH(G$2,$A214)</f>
        <v>2361.63841840605</v>
      </c>
      <c r="H214" s="0" t="n">
        <f aca="false">W_PH(H$2,$A214)</f>
        <v>2361.63785951097</v>
      </c>
      <c r="I214" s="0" t="n">
        <f aca="false">W_PH(I$2,$A214)</f>
        <v>2361.6373006932</v>
      </c>
      <c r="J214" s="0" t="n">
        <f aca="false">W_PH(J$2,$A214)</f>
        <v>2361.63674195274</v>
      </c>
      <c r="K214" s="0" t="n">
        <f aca="false">W_PH(K$2,$A214)</f>
        <v>2361.63618328959</v>
      </c>
      <c r="L214" s="0" t="n">
        <f aca="false">W_PH(L$2,$A214)</f>
        <v>2361.63562470376</v>
      </c>
      <c r="M214" s="0" t="n">
        <f aca="false">W_PH(M$2,$A214)</f>
        <v>2361.63506619525</v>
      </c>
      <c r="N214" s="0" t="n">
        <f aca="false">W_PH(N$2,$A214)</f>
        <v>2361.63450776406</v>
      </c>
      <c r="O214" s="0" t="n">
        <f aca="false">W_PH(O$2,$A214)</f>
        <v>2361.6339494102</v>
      </c>
      <c r="P214" s="0" t="n">
        <f aca="false">W_PH(P$2,$A214)</f>
        <v>2361.62837012528</v>
      </c>
      <c r="Q214" s="0" t="n">
        <f aca="false">W_PH(Q$2,$A214)</f>
        <v>2361.62279857668</v>
      </c>
      <c r="R214" s="0" t="n">
        <f aca="false">W_PH(R$2,$A214)</f>
        <v>2361.61723476769</v>
      </c>
      <c r="S214" s="0" t="n">
        <f aca="false">W_PH(S$2,$A214)</f>
        <v>2361.61167870165</v>
      </c>
      <c r="T214" s="0" t="n">
        <f aca="false">W_PH(T$2,$A214)</f>
        <v>2361.60613038187</v>
      </c>
      <c r="U214" s="0" t="n">
        <f aca="false">W_PH(U$2,$A214)</f>
        <v>2361.60058981165</v>
      </c>
      <c r="V214" s="0" t="n">
        <f aca="false">W_PH(V$2,$A214)</f>
        <v>2361.5950569943</v>
      </c>
      <c r="W214" s="0" t="n">
        <f aca="false">W_PH(W$2,$A214)</f>
        <v>2361.58953193313</v>
      </c>
      <c r="X214" s="0" t="n">
        <f aca="false">W_PH(X$2,$A214)</f>
        <v>2361.58401463143</v>
      </c>
      <c r="Y214" s="0" t="n">
        <f aca="false">W_PH(Y$2,$A214)</f>
        <v>2361.52926910934</v>
      </c>
      <c r="Z214" s="0" t="n">
        <f aca="false">W_PH(Z$2,$A214)</f>
        <v>2361.47530314164</v>
      </c>
      <c r="AA214" s="0" t="n">
        <f aca="false">W_PH(AA$2,$A214)</f>
        <v>2361.42211997652</v>
      </c>
      <c r="AB214" s="0" t="n">
        <f aca="false">W_PH(AB$2,$A214)</f>
        <v>2361.36972283</v>
      </c>
      <c r="AC214" s="0" t="n">
        <f aca="false">W_PH(AC$2,$A214)</f>
        <v>2361.31811488536</v>
      </c>
      <c r="AD214" s="0" t="n">
        <f aca="false">W_PH(AD$2,$A214)</f>
        <v>2361.2672992927</v>
      </c>
      <c r="AE214" s="0" t="n">
        <f aca="false">W_PH(AE$2,$A214)</f>
        <v>2361.21727916838</v>
      </c>
      <c r="AF214" s="0" t="n">
        <f aca="false">W_PH(AF$2,$A214)</f>
        <v>2361.16805759457</v>
      </c>
      <c r="AG214" s="0" t="n">
        <f aca="false">W_PH(AG$2,$A214)</f>
        <v>2361.11963761877</v>
      </c>
      <c r="AH214" s="0" t="n">
        <f aca="false">W_PH(AH$2,$A214)</f>
        <v>2360.68017057865</v>
      </c>
      <c r="AI214" s="0" t="n">
        <f aca="false">W_PH(AI$2,$A214)</f>
        <v>2360.32394309669</v>
      </c>
      <c r="AJ214" s="0" t="n">
        <f aca="false">W_PH(AJ$2,$A214)</f>
        <v>2360.061921131</v>
      </c>
      <c r="AK214" s="0" t="n">
        <f aca="false">W_PH(AK$2,$A214)</f>
        <v>2359.87644227784</v>
      </c>
      <c r="AL214" s="0" t="n">
        <f aca="false">W_PH(AL$2,$A214)</f>
        <v>2359.78905628391</v>
      </c>
      <c r="AM214" s="0" t="n">
        <f aca="false">W_PH(AM$2,$A214)</f>
        <v>2359.80203802175</v>
      </c>
      <c r="AN214" s="0" t="n">
        <f aca="false">W_PH(AN$2,$A214)</f>
        <v>2359.91726547441</v>
      </c>
      <c r="AO214" s="0" t="n">
        <f aca="false">W_PH(AO$2,$A214)</f>
        <v>2360.13622881434</v>
      </c>
      <c r="AP214" s="0" t="n">
        <f aca="false">W_PH(AP$2,$A214)</f>
        <v>2360.46004442546</v>
      </c>
      <c r="AQ214" s="0" t="n">
        <f aca="false">W_PH(AQ$2,$A214)</f>
        <v>2369.48605088478</v>
      </c>
      <c r="AR214" s="0" t="n">
        <f aca="false">W_PH(AR$2,$A214)</f>
        <v>2372.6186338453</v>
      </c>
      <c r="AS214" s="0" t="n">
        <f aca="false">W_PH(AS$2,$A214)</f>
        <v>2373.75538988265</v>
      </c>
    </row>
    <row r="215" customFormat="false" ht="12.8" hidden="false" customHeight="false" outlineLevel="0" collapsed="false">
      <c r="A215" s="0" t="n">
        <v>1612.2098022356</v>
      </c>
      <c r="B215" s="0" t="n">
        <f aca="false">W_PH(B$2,$A215)</f>
        <v>2015</v>
      </c>
      <c r="C215" s="0" t="n">
        <f aca="false">W_PH(C$2,$A215)</f>
        <v>2367.18680210404</v>
      </c>
      <c r="D215" s="0" t="n">
        <f aca="false">W_PH(D$2,$A215)</f>
        <v>2367.18674954727</v>
      </c>
      <c r="E215" s="0" t="n">
        <f aca="false">W_PH(E$2,$A215)</f>
        <v>2367.18669699127</v>
      </c>
      <c r="F215" s="0" t="n">
        <f aca="false">W_PH(F$2,$A215)</f>
        <v>2367.18664443604</v>
      </c>
      <c r="G215" s="0" t="n">
        <f aca="false">W_PH(G$2,$A215)</f>
        <v>2367.1861189258</v>
      </c>
      <c r="H215" s="0" t="n">
        <f aca="false">W_PH(H$2,$A215)</f>
        <v>2367.18559349216</v>
      </c>
      <c r="I215" s="0" t="n">
        <f aca="false">W_PH(I$2,$A215)</f>
        <v>2367.18506813511</v>
      </c>
      <c r="J215" s="0" t="n">
        <f aca="false">W_PH(J$2,$A215)</f>
        <v>2367.18454285466</v>
      </c>
      <c r="K215" s="0" t="n">
        <f aca="false">W_PH(K$2,$A215)</f>
        <v>2367.18401765081</v>
      </c>
      <c r="L215" s="0" t="n">
        <f aca="false">W_PH(L$2,$A215)</f>
        <v>2367.18349252356</v>
      </c>
      <c r="M215" s="0" t="n">
        <f aca="false">W_PH(M$2,$A215)</f>
        <v>2367.18296747292</v>
      </c>
      <c r="N215" s="0" t="n">
        <f aca="false">W_PH(N$2,$A215)</f>
        <v>2367.18244249889</v>
      </c>
      <c r="O215" s="0" t="n">
        <f aca="false">W_PH(O$2,$A215)</f>
        <v>2367.18191760148</v>
      </c>
      <c r="P215" s="0" t="n">
        <f aca="false">W_PH(P$2,$A215)</f>
        <v>2367.17667284186</v>
      </c>
      <c r="Q215" s="0" t="n">
        <f aca="false">W_PH(Q$2,$A215)</f>
        <v>2367.17143574736</v>
      </c>
      <c r="R215" s="0" t="n">
        <f aca="false">W_PH(R$2,$A215)</f>
        <v>2367.16620632131</v>
      </c>
      <c r="S215" s="0" t="n">
        <f aca="false">W_PH(S$2,$A215)</f>
        <v>2367.16098456706</v>
      </c>
      <c r="T215" s="0" t="n">
        <f aca="false">W_PH(T$2,$A215)</f>
        <v>2367.15577048795</v>
      </c>
      <c r="U215" s="0" t="n">
        <f aca="false">W_PH(U$2,$A215)</f>
        <v>2367.15056408732</v>
      </c>
      <c r="V215" s="0" t="n">
        <f aca="false">W_PH(V$2,$A215)</f>
        <v>2367.14536536849</v>
      </c>
      <c r="W215" s="0" t="n">
        <f aca="false">W_PH(W$2,$A215)</f>
        <v>2367.14017433481</v>
      </c>
      <c r="X215" s="0" t="n">
        <f aca="false">W_PH(X$2,$A215)</f>
        <v>2367.13499098959</v>
      </c>
      <c r="Y215" s="0" t="n">
        <f aca="false">W_PH(Y$2,$A215)</f>
        <v>2367.08358113259</v>
      </c>
      <c r="Z215" s="0" t="n">
        <f aca="false">W_PH(Z$2,$A215)</f>
        <v>2367.03294375689</v>
      </c>
      <c r="AA215" s="0" t="n">
        <f aca="false">W_PH(AA$2,$A215)</f>
        <v>2366.98308213389</v>
      </c>
      <c r="AB215" s="0" t="n">
        <f aca="false">W_PH(AB$2,$A215)</f>
        <v>2366.93399950086</v>
      </c>
      <c r="AC215" s="0" t="n">
        <f aca="false">W_PH(AC$2,$A215)</f>
        <v>2366.88569906052</v>
      </c>
      <c r="AD215" s="0" t="n">
        <f aca="false">W_PH(AD$2,$A215)</f>
        <v>2366.83818398055</v>
      </c>
      <c r="AE215" s="0" t="n">
        <f aca="false">W_PH(AE$2,$A215)</f>
        <v>2366.79145739324</v>
      </c>
      <c r="AF215" s="0" t="n">
        <f aca="false">W_PH(AF$2,$A215)</f>
        <v>2366.74552239499</v>
      </c>
      <c r="AG215" s="0" t="n">
        <f aca="false">W_PH(AG$2,$A215)</f>
        <v>2366.70038204602</v>
      </c>
      <c r="AH215" s="0" t="n">
        <f aca="false">W_PH(AH$2,$A215)</f>
        <v>2366.29333089425</v>
      </c>
      <c r="AI215" s="0" t="n">
        <f aca="false">W_PH(AI$2,$A215)</f>
        <v>2365.96882918044</v>
      </c>
      <c r="AJ215" s="0" t="n">
        <f aca="false">W_PH(AJ$2,$A215)</f>
        <v>2365.73803521943</v>
      </c>
      <c r="AK215" s="0" t="n">
        <f aca="false">W_PH(AK$2,$A215)</f>
        <v>2365.58293078883</v>
      </c>
      <c r="AL215" s="0" t="n">
        <f aca="false">W_PH(AL$2,$A215)</f>
        <v>2365.52470462078</v>
      </c>
      <c r="AM215" s="0" t="n">
        <f aca="false">W_PH(AM$2,$A215)</f>
        <v>2365.56554905895</v>
      </c>
      <c r="AN215" s="0" t="n">
        <f aca="false">W_PH(AN$2,$A215)</f>
        <v>2365.70726365023</v>
      </c>
      <c r="AO215" s="0" t="n">
        <f aca="false">W_PH(AO$2,$A215)</f>
        <v>2365.95126606529</v>
      </c>
      <c r="AP215" s="0" t="n">
        <f aca="false">W_PH(AP$2,$A215)</f>
        <v>2366.29860746705</v>
      </c>
      <c r="AQ215" s="0" t="n">
        <f aca="false">W_PH(AQ$2,$A215)</f>
        <v>2375.46851991373</v>
      </c>
      <c r="AR215" s="0" t="n">
        <f aca="false">W_PH(AR$2,$A215)</f>
        <v>2378.6097496029</v>
      </c>
      <c r="AS215" s="0" t="n">
        <f aca="false">W_PH(AS$2,$A215)</f>
        <v>2379.74786157336</v>
      </c>
    </row>
    <row r="216" customFormat="false" ht="12.8" hidden="false" customHeight="false" outlineLevel="0" collapsed="false">
      <c r="A216" s="0" t="n">
        <v>1616.50902837489</v>
      </c>
      <c r="B216" s="0" t="n">
        <f aca="false">W_PH(B$2,$A216)</f>
        <v>2015</v>
      </c>
      <c r="C216" s="0" t="n">
        <f aca="false">W_PH(C$2,$A216)</f>
        <v>2372.71045811318</v>
      </c>
      <c r="D216" s="0" t="n">
        <f aca="false">W_PH(D$2,$A216)</f>
        <v>2372.71040885359</v>
      </c>
      <c r="E216" s="0" t="n">
        <f aca="false">W_PH(E$2,$A216)</f>
        <v>2372.71035959476</v>
      </c>
      <c r="F216" s="0" t="n">
        <f aca="false">W_PH(F$2,$A216)</f>
        <v>2372.71031033668</v>
      </c>
      <c r="G216" s="0" t="n">
        <f aca="false">W_PH(G$2,$A216)</f>
        <v>2372.7098177977</v>
      </c>
      <c r="H216" s="0" t="n">
        <f aca="false">W_PH(H$2,$A216)</f>
        <v>2372.70932533466</v>
      </c>
      <c r="I216" s="0" t="n">
        <f aca="false">W_PH(I$2,$A216)</f>
        <v>2372.70883294757</v>
      </c>
      <c r="J216" s="0" t="n">
        <f aca="false">W_PH(J$2,$A216)</f>
        <v>2372.70834063642</v>
      </c>
      <c r="K216" s="0" t="n">
        <f aca="false">W_PH(K$2,$A216)</f>
        <v>2372.70784840121</v>
      </c>
      <c r="L216" s="0" t="n">
        <f aca="false">W_PH(L$2,$A216)</f>
        <v>2372.70735624196</v>
      </c>
      <c r="M216" s="0" t="n">
        <f aca="false">W_PH(M$2,$A216)</f>
        <v>2372.70686415867</v>
      </c>
      <c r="N216" s="0" t="n">
        <f aca="false">W_PH(N$2,$A216)</f>
        <v>2372.70637215133</v>
      </c>
      <c r="O216" s="0" t="n">
        <f aca="false">W_PH(O$2,$A216)</f>
        <v>2372.70588021996</v>
      </c>
      <c r="P216" s="0" t="n">
        <f aca="false">W_PH(P$2,$A216)</f>
        <v>2372.70096508487</v>
      </c>
      <c r="Q216" s="0" t="n">
        <f aca="false">W_PH(Q$2,$A216)</f>
        <v>2372.69605754971</v>
      </c>
      <c r="R216" s="0" t="n">
        <f aca="false">W_PH(R$2,$A216)</f>
        <v>2372.69115761784</v>
      </c>
      <c r="S216" s="0" t="n">
        <f aca="false">W_PH(S$2,$A216)</f>
        <v>2372.6862652926</v>
      </c>
      <c r="T216" s="0" t="n">
        <f aca="false">W_PH(T$2,$A216)</f>
        <v>2372.68138057736</v>
      </c>
      <c r="U216" s="0" t="n">
        <f aca="false">W_PH(U$2,$A216)</f>
        <v>2372.67650347546</v>
      </c>
      <c r="V216" s="0" t="n">
        <f aca="false">W_PH(V$2,$A216)</f>
        <v>2372.67163399026</v>
      </c>
      <c r="W216" s="0" t="n">
        <f aca="false">W_PH(W$2,$A216)</f>
        <v>2372.66677212509</v>
      </c>
      <c r="X216" s="0" t="n">
        <f aca="false">W_PH(X$2,$A216)</f>
        <v>2372.6619178833</v>
      </c>
      <c r="Y216" s="0" t="n">
        <f aca="false">W_PH(Y$2,$A216)</f>
        <v>2372.61379548345</v>
      </c>
      <c r="Z216" s="0" t="n">
        <f aca="false">W_PH(Z$2,$A216)</f>
        <v>2372.56643906951</v>
      </c>
      <c r="AA216" s="0" t="n">
        <f aca="false">W_PH(AA$2,$A216)</f>
        <v>2372.51985192352</v>
      </c>
      <c r="AB216" s="0" t="n">
        <f aca="false">W_PH(AB$2,$A216)</f>
        <v>2372.47403729175</v>
      </c>
      <c r="AC216" s="0" t="n">
        <f aca="false">W_PH(AC$2,$A216)</f>
        <v>2372.42899838429</v>
      </c>
      <c r="AD216" s="0" t="n">
        <f aca="false">W_PH(AD$2,$A216)</f>
        <v>2372.38473837469</v>
      </c>
      <c r="AE216" s="0" t="n">
        <f aca="false">W_PH(AE$2,$A216)</f>
        <v>2372.34126039959</v>
      </c>
      <c r="AF216" s="0" t="n">
        <f aca="false">W_PH(AF$2,$A216)</f>
        <v>2372.29856755841</v>
      </c>
      <c r="AG216" s="0" t="n">
        <f aca="false">W_PH(AG$2,$A216)</f>
        <v>2372.25666291299</v>
      </c>
      <c r="AH216" s="0" t="n">
        <f aca="false">W_PH(AH$2,$A216)</f>
        <v>2371.8816133817</v>
      </c>
      <c r="AI216" s="0" t="n">
        <f aca="false">W_PH(AI$2,$A216)</f>
        <v>2371.5884620835</v>
      </c>
      <c r="AJ216" s="0" t="n">
        <f aca="false">W_PH(AJ$2,$A216)</f>
        <v>2371.38855725417</v>
      </c>
      <c r="AK216" s="0" t="n">
        <f aca="false">W_PH(AK$2,$A216)</f>
        <v>2371.26350300287</v>
      </c>
      <c r="AL216" s="0" t="n">
        <f aca="false">W_PH(AL$2,$A216)</f>
        <v>2371.23413793105</v>
      </c>
      <c r="AM216" s="0" t="n">
        <f aca="false">W_PH(AM$2,$A216)</f>
        <v>2371.30257126868</v>
      </c>
      <c r="AN216" s="0" t="n">
        <f aca="false">W_PH(AN$2,$A216)</f>
        <v>2371.47052413443</v>
      </c>
      <c r="AO216" s="0" t="n">
        <f aca="false">W_PH(AO$2,$A216)</f>
        <v>2371.73934211842</v>
      </c>
      <c r="AP216" s="0" t="n">
        <f aca="false">W_PH(AP$2,$A216)</f>
        <v>2372.11001185296</v>
      </c>
      <c r="AQ216" s="0" t="n">
        <f aca="false">W_PH(AQ$2,$A216)</f>
        <v>2381.42345932311</v>
      </c>
      <c r="AR216" s="0" t="n">
        <f aca="false">W_PH(AR$2,$A216)</f>
        <v>2384.57364185544</v>
      </c>
      <c r="AS216" s="0" t="n">
        <f aca="false">W_PH(AS$2,$A216)</f>
        <v>2385.71323989794</v>
      </c>
    </row>
    <row r="217" customFormat="false" ht="12.8" hidden="false" customHeight="false" outlineLevel="0" collapsed="false">
      <c r="A217" s="0" t="n">
        <v>1620.80825451419</v>
      </c>
      <c r="B217" s="0" t="n">
        <f aca="false">W_PH(B$2,$A217)</f>
        <v>2015</v>
      </c>
      <c r="C217" s="0" t="n">
        <f aca="false">W_PH(C$2,$A217)</f>
        <v>2378.21035794285</v>
      </c>
      <c r="D217" s="0" t="n">
        <f aca="false">W_PH(D$2,$A217)</f>
        <v>2378.21031193299</v>
      </c>
      <c r="E217" s="0" t="n">
        <f aca="false">W_PH(E$2,$A217)</f>
        <v>2378.21026592389</v>
      </c>
      <c r="F217" s="0" t="n">
        <f aca="false">W_PH(F$2,$A217)</f>
        <v>2378.21021991554</v>
      </c>
      <c r="G217" s="0" t="n">
        <f aca="false">W_PH(G$2,$A217)</f>
        <v>2378.20975987345</v>
      </c>
      <c r="H217" s="0" t="n">
        <f aca="false">W_PH(H$2,$A217)</f>
        <v>2378.20929990671</v>
      </c>
      <c r="I217" s="0" t="n">
        <f aca="false">W_PH(I$2,$A217)</f>
        <v>2378.20884001532</v>
      </c>
      <c r="J217" s="0" t="n">
        <f aca="false">W_PH(J$2,$A217)</f>
        <v>2378.20838019928</v>
      </c>
      <c r="K217" s="0" t="n">
        <f aca="false">W_PH(K$2,$A217)</f>
        <v>2378.20792045859</v>
      </c>
      <c r="L217" s="0" t="n">
        <f aca="false">W_PH(L$2,$A217)</f>
        <v>2378.20746079325</v>
      </c>
      <c r="M217" s="0" t="n">
        <f aca="false">W_PH(M$2,$A217)</f>
        <v>2378.20700120328</v>
      </c>
      <c r="N217" s="0" t="n">
        <f aca="false">W_PH(N$2,$A217)</f>
        <v>2378.20654168867</v>
      </c>
      <c r="O217" s="0" t="n">
        <f aca="false">W_PH(O$2,$A217)</f>
        <v>2378.20608224942</v>
      </c>
      <c r="P217" s="0" t="n">
        <f aca="false">W_PH(P$2,$A217)</f>
        <v>2378.20149200287</v>
      </c>
      <c r="Q217" s="0" t="n">
        <f aca="false">W_PH(Q$2,$A217)</f>
        <v>2378.19690929668</v>
      </c>
      <c r="R217" s="0" t="n">
        <f aca="false">W_PH(R$2,$A217)</f>
        <v>2378.1923341342</v>
      </c>
      <c r="S217" s="0" t="n">
        <f aca="false">W_PH(S$2,$A217)</f>
        <v>2378.1877665188</v>
      </c>
      <c r="T217" s="0" t="n">
        <f aca="false">W_PH(T$2,$A217)</f>
        <v>2378.18320645383</v>
      </c>
      <c r="U217" s="0" t="n">
        <f aca="false">W_PH(U$2,$A217)</f>
        <v>2378.17865394265</v>
      </c>
      <c r="V217" s="0" t="n">
        <f aca="false">W_PH(V$2,$A217)</f>
        <v>2378.1741089886</v>
      </c>
      <c r="W217" s="0" t="n">
        <f aca="false">W_PH(W$2,$A217)</f>
        <v>2378.16957159504</v>
      </c>
      <c r="X217" s="0" t="n">
        <f aca="false">W_PH(X$2,$A217)</f>
        <v>2378.1650417653</v>
      </c>
      <c r="Y217" s="0" t="n">
        <f aca="false">W_PH(Y$2,$A217)</f>
        <v>2378.12016021068</v>
      </c>
      <c r="Z217" s="0" t="n">
        <f aca="false">W_PH(Z$2,$A217)</f>
        <v>2378.07603868697</v>
      </c>
      <c r="AA217" s="0" t="n">
        <f aca="false">W_PH(AA$2,$A217)</f>
        <v>2378.03268047516</v>
      </c>
      <c r="AB217" s="0" t="n">
        <f aca="false">W_PH(AB$2,$A217)</f>
        <v>2377.99008881904</v>
      </c>
      <c r="AC217" s="0" t="n">
        <f aca="false">W_PH(AC$2,$A217)</f>
        <v>2377.94826692485</v>
      </c>
      <c r="AD217" s="0" t="n">
        <f aca="false">W_PH(AD$2,$A217)</f>
        <v>2377.90721796098</v>
      </c>
      <c r="AE217" s="0" t="n">
        <f aca="false">W_PH(AE$2,$A217)</f>
        <v>2377.86694505772</v>
      </c>
      <c r="AF217" s="0" t="n">
        <f aca="false">W_PH(AF$2,$A217)</f>
        <v>2377.8274513069</v>
      </c>
      <c r="AG217" s="0" t="n">
        <f aca="false">W_PH(AG$2,$A217)</f>
        <v>2377.78873976171</v>
      </c>
      <c r="AH217" s="0" t="n">
        <f aca="false">W_PH(AH$2,$A217)</f>
        <v>2377.4452891812</v>
      </c>
      <c r="AI217" s="0" t="n">
        <f aca="false">W_PH(AI$2,$A217)</f>
        <v>2377.18312205996</v>
      </c>
      <c r="AJ217" s="0" t="n">
        <f aca="false">W_PH(AJ$2,$A217)</f>
        <v>2377.01377110976</v>
      </c>
      <c r="AK217" s="0" t="n">
        <f aca="false">W_PH(AK$2,$A217)</f>
        <v>2376.91844731765</v>
      </c>
      <c r="AL217" s="0" t="n">
        <f aca="false">W_PH(AL$2,$A217)</f>
        <v>2376.9176482519</v>
      </c>
      <c r="AM217" s="0" t="n">
        <f aca="false">W_PH(AM$2,$A217)</f>
        <v>2377.0133995478</v>
      </c>
      <c r="AN217" s="0" t="n">
        <f aca="false">W_PH(AN$2,$A217)</f>
        <v>2377.20734396846</v>
      </c>
      <c r="AO217" s="0" t="n">
        <f aca="false">W_PH(AO$2,$A217)</f>
        <v>2377.50075547989</v>
      </c>
      <c r="AP217" s="0" t="n">
        <f aca="false">W_PH(AP$2,$A217)</f>
        <v>2377.89455688721</v>
      </c>
      <c r="AQ217" s="0" t="n">
        <f aca="false">W_PH(AQ$2,$A217)</f>
        <v>2387.3511348095</v>
      </c>
      <c r="AR217" s="0" t="n">
        <f aca="false">W_PH(AR$2,$A217)</f>
        <v>2390.51055791516</v>
      </c>
      <c r="AS217" s="0" t="n">
        <f aca="false">W_PH(AS$2,$A217)</f>
        <v>2391.6517650013</v>
      </c>
    </row>
    <row r="218" customFormat="false" ht="12.8" hidden="false" customHeight="false" outlineLevel="0" collapsed="false">
      <c r="A218" s="0" t="n">
        <v>1625.10748065348</v>
      </c>
      <c r="B218" s="0" t="n">
        <f aca="false">W_PH(B$2,$A218)</f>
        <v>2015</v>
      </c>
      <c r="C218" s="0" t="n">
        <f aca="false">W_PH(C$2,$A218)</f>
        <v>2383.68674275681</v>
      </c>
      <c r="D218" s="0" t="n">
        <f aca="false">W_PH(D$2,$A218)</f>
        <v>2383.68669995085</v>
      </c>
      <c r="E218" s="0" t="n">
        <f aca="false">W_PH(E$2,$A218)</f>
        <v>2383.68665714564</v>
      </c>
      <c r="F218" s="0" t="n">
        <f aca="false">W_PH(F$2,$A218)</f>
        <v>2383.68661434117</v>
      </c>
      <c r="G218" s="0" t="n">
        <f aca="false">W_PH(G$2,$A218)</f>
        <v>2383.68618633764</v>
      </c>
      <c r="H218" s="0" t="n">
        <f aca="false">W_PH(H$2,$A218)</f>
        <v>2383.6857584089</v>
      </c>
      <c r="I218" s="0" t="n">
        <f aca="false">W_PH(I$2,$A218)</f>
        <v>2383.68533055497</v>
      </c>
      <c r="J218" s="0" t="n">
        <f aca="false">W_PH(J$2,$A218)</f>
        <v>2383.68490277585</v>
      </c>
      <c r="K218" s="0" t="n">
        <f aca="false">W_PH(K$2,$A218)</f>
        <v>2383.68447507154</v>
      </c>
      <c r="L218" s="0" t="n">
        <f aca="false">W_PH(L$2,$A218)</f>
        <v>2383.68404744204</v>
      </c>
      <c r="M218" s="0" t="n">
        <f aca="false">W_PH(M$2,$A218)</f>
        <v>2383.68361988736</v>
      </c>
      <c r="N218" s="0" t="n">
        <f aca="false">W_PH(N$2,$A218)</f>
        <v>2383.68319240749</v>
      </c>
      <c r="O218" s="0" t="n">
        <f aca="false">W_PH(O$2,$A218)</f>
        <v>2383.68276500245</v>
      </c>
      <c r="P218" s="0" t="n">
        <f aca="false">W_PH(P$2,$A218)</f>
        <v>2383.67849506808</v>
      </c>
      <c r="Q218" s="0" t="n">
        <f aca="false">W_PH(Q$2,$A218)</f>
        <v>2383.67423261973</v>
      </c>
      <c r="R218" s="0" t="n">
        <f aca="false">W_PH(R$2,$A218)</f>
        <v>2383.66997766077</v>
      </c>
      <c r="S218" s="0" t="n">
        <f aca="false">W_PH(S$2,$A218)</f>
        <v>2383.66573019454</v>
      </c>
      <c r="T218" s="0" t="n">
        <f aca="false">W_PH(T$2,$A218)</f>
        <v>2383.66149022439</v>
      </c>
      <c r="U218" s="0" t="n">
        <f aca="false">W_PH(U$2,$A218)</f>
        <v>2383.65725775366</v>
      </c>
      <c r="V218" s="0" t="n">
        <f aca="false">W_PH(V$2,$A218)</f>
        <v>2383.6530327857</v>
      </c>
      <c r="W218" s="0" t="n">
        <f aca="false">W_PH(W$2,$A218)</f>
        <v>2383.64881532383</v>
      </c>
      <c r="X218" s="0" t="n">
        <f aca="false">W_PH(X$2,$A218)</f>
        <v>2383.6446053714</v>
      </c>
      <c r="Y218" s="0" t="n">
        <f aca="false">W_PH(Y$2,$A218)</f>
        <v>2383.60291959599</v>
      </c>
      <c r="Z218" s="0" t="n">
        <f aca="false">W_PH(Z$2,$A218)</f>
        <v>2383.56198840042</v>
      </c>
      <c r="AA218" s="0" t="n">
        <f aca="false">W_PH(AA$2,$A218)</f>
        <v>2383.52181505368</v>
      </c>
      <c r="AB218" s="0" t="n">
        <f aca="false">W_PH(AB$2,$A218)</f>
        <v>2383.48240278635</v>
      </c>
      <c r="AC218" s="0" t="n">
        <f aca="false">W_PH(AC$2,$A218)</f>
        <v>2383.44375479038</v>
      </c>
      <c r="AD218" s="0" t="n">
        <f aca="false">W_PH(AD$2,$A218)</f>
        <v>2383.40587421876</v>
      </c>
      <c r="AE218" s="0" t="n">
        <f aca="false">W_PH(AE$2,$A218)</f>
        <v>2383.36876418534</v>
      </c>
      <c r="AF218" s="0" t="n">
        <f aca="false">W_PH(AF$2,$A218)</f>
        <v>2383.33242776461</v>
      </c>
      <c r="AG218" s="0" t="n">
        <f aca="false">W_PH(AG$2,$A218)</f>
        <v>2383.29686799143</v>
      </c>
      <c r="AH218" s="0" t="n">
        <f aca="false">W_PH(AH$2,$A218)</f>
        <v>2382.9846248646</v>
      </c>
      <c r="AI218" s="0" t="n">
        <f aca="false">W_PH(AI$2,$A218)</f>
        <v>2382.75308439494</v>
      </c>
      <c r="AJ218" s="0" t="n">
        <f aca="false">W_PH(AJ$2,$A218)</f>
        <v>2382.61395516073</v>
      </c>
      <c r="AK218" s="0" t="n">
        <f aca="false">W_PH(AK$2,$A218)</f>
        <v>2382.54804645781</v>
      </c>
      <c r="AL218" s="0" t="n">
        <f aca="false">W_PH(AL$2,$A218)</f>
        <v>2382.57552181003</v>
      </c>
      <c r="AM218" s="0" t="n">
        <f aca="false">W_PH(AM$2,$A218)</f>
        <v>2382.69832287958</v>
      </c>
      <c r="AN218" s="0" t="n">
        <f aca="false">W_PH(AN$2,$A218)</f>
        <v>2382.91801421078</v>
      </c>
      <c r="AO218" s="0" t="n">
        <f aca="false">W_PH(AO$2,$A218)</f>
        <v>2383.23579863675</v>
      </c>
      <c r="AP218" s="0" t="n">
        <f aca="false">W_PH(AP$2,$A218)</f>
        <v>2383.65253585135</v>
      </c>
      <c r="AQ218" s="0" t="n">
        <f aca="false">W_PH(AQ$2,$A218)</f>
        <v>2393.25180754734</v>
      </c>
      <c r="AR218" s="0" t="n">
        <f aca="false">W_PH(AR$2,$A218)</f>
        <v>2396.42074113464</v>
      </c>
      <c r="AS218" s="0" t="n">
        <f aca="false">W_PH(AS$2,$A218)</f>
        <v>2397.56367326788</v>
      </c>
    </row>
    <row r="219" customFormat="false" ht="12.8" hidden="false" customHeight="false" outlineLevel="0" collapsed="false">
      <c r="A219" s="0" t="n">
        <v>1629.40670679278</v>
      </c>
      <c r="B219" s="0" t="n">
        <f aca="false">W_PH(B$2,$A219)</f>
        <v>2015</v>
      </c>
      <c r="C219" s="0" t="n">
        <f aca="false">W_PH(C$2,$A219)</f>
        <v>2389.13985008155</v>
      </c>
      <c r="D219" s="0" t="n">
        <f aca="false">W_PH(D$2,$A219)</f>
        <v>2389.1398104352</v>
      </c>
      <c r="E219" s="0" t="n">
        <f aca="false">W_PH(E$2,$A219)</f>
        <v>2389.13977078958</v>
      </c>
      <c r="F219" s="0" t="n">
        <f aca="false">W_PH(F$2,$A219)</f>
        <v>2389.13973114472</v>
      </c>
      <c r="G219" s="0" t="n">
        <f aca="false">W_PH(G$2,$A219)</f>
        <v>2389.13933473689</v>
      </c>
      <c r="H219" s="0" t="n">
        <f aca="false">W_PH(H$2,$A219)</f>
        <v>2389.13893840338</v>
      </c>
      <c r="I219" s="0" t="n">
        <f aca="false">W_PH(I$2,$A219)</f>
        <v>2389.13854214417</v>
      </c>
      <c r="J219" s="0" t="n">
        <f aca="false">W_PH(J$2,$A219)</f>
        <v>2389.13814595927</v>
      </c>
      <c r="K219" s="0" t="n">
        <f aca="false">W_PH(K$2,$A219)</f>
        <v>2389.13774984869</v>
      </c>
      <c r="L219" s="0" t="n">
        <f aca="false">W_PH(L$2,$A219)</f>
        <v>2389.13735381243</v>
      </c>
      <c r="M219" s="0" t="n">
        <f aca="false">W_PH(M$2,$A219)</f>
        <v>2389.13695785049</v>
      </c>
      <c r="N219" s="0" t="n">
        <f aca="false">W_PH(N$2,$A219)</f>
        <v>2389.13656196288</v>
      </c>
      <c r="O219" s="0" t="n">
        <f aca="false">W_PH(O$2,$A219)</f>
        <v>2389.1361661496</v>
      </c>
      <c r="P219" s="0" t="n">
        <f aca="false">W_PH(P$2,$A219)</f>
        <v>2389.13221210559</v>
      </c>
      <c r="Q219" s="0" t="n">
        <f aca="false">W_PH(Q$2,$A219)</f>
        <v>2389.12826549815</v>
      </c>
      <c r="R219" s="0" t="n">
        <f aca="false">W_PH(R$2,$A219)</f>
        <v>2389.12432633062</v>
      </c>
      <c r="S219" s="0" t="n">
        <f aca="false">W_PH(S$2,$A219)</f>
        <v>2389.12039460633</v>
      </c>
      <c r="T219" s="0" t="n">
        <f aca="false">W_PH(T$2,$A219)</f>
        <v>2389.1164703286</v>
      </c>
      <c r="U219" s="0" t="n">
        <f aca="false">W_PH(U$2,$A219)</f>
        <v>2389.11255350076</v>
      </c>
      <c r="V219" s="0" t="n">
        <f aca="false">W_PH(V$2,$A219)</f>
        <v>2389.10864412613</v>
      </c>
      <c r="W219" s="0" t="n">
        <f aca="false">W_PH(W$2,$A219)</f>
        <v>2389.10474220802</v>
      </c>
      <c r="X219" s="0" t="n">
        <f aca="false">W_PH(X$2,$A219)</f>
        <v>2389.10084774975</v>
      </c>
      <c r="Y219" s="0" t="n">
        <f aca="false">W_PH(Y$2,$A219)</f>
        <v>2389.06231418358</v>
      </c>
      <c r="Z219" s="0" t="n">
        <f aca="false">W_PH(Z$2,$A219)</f>
        <v>2389.02453021433</v>
      </c>
      <c r="AA219" s="0" t="n">
        <f aca="false">W_PH(AA$2,$A219)</f>
        <v>2388.98749908882</v>
      </c>
      <c r="AB219" s="0" t="n">
        <f aca="false">W_PH(AB$2,$A219)</f>
        <v>2388.9512240145</v>
      </c>
      <c r="AC219" s="0" t="n">
        <f aca="false">W_PH(AC$2,$A219)</f>
        <v>2388.91570815924</v>
      </c>
      <c r="AD219" s="0" t="n">
        <f aca="false">W_PH(AD$2,$A219)</f>
        <v>2388.88095465109</v>
      </c>
      <c r="AE219" s="0" t="n">
        <f aca="false">W_PH(AE$2,$A219)</f>
        <v>2388.84696657817</v>
      </c>
      <c r="AF219" s="0" t="n">
        <f aca="false">W_PH(AF$2,$A219)</f>
        <v>2388.81374698841</v>
      </c>
      <c r="AG219" s="0" t="n">
        <f aca="false">W_PH(AG$2,$A219)</f>
        <v>2388.78129888947</v>
      </c>
      <c r="AH219" s="0" t="n">
        <f aca="false">W_PH(AH$2,$A219)</f>
        <v>2388.49988246917</v>
      </c>
      <c r="AI219" s="0" t="n">
        <f aca="false">W_PH(AI$2,$A219)</f>
        <v>2388.29861944318</v>
      </c>
      <c r="AJ219" s="0" t="n">
        <f aca="false">W_PH(AJ$2,$A219)</f>
        <v>2388.18938236987</v>
      </c>
      <c r="AK219" s="0" t="n">
        <f aca="false">W_PH(AK$2,$A219)</f>
        <v>2388.15257756818</v>
      </c>
      <c r="AL219" s="0" t="n">
        <f aca="false">W_PH(AL$2,$A219)</f>
        <v>2388.20803911739</v>
      </c>
      <c r="AM219" s="0" t="n">
        <f aca="false">W_PH(AM$2,$A219)</f>
        <v>2388.35762442959</v>
      </c>
      <c r="AN219" s="0" t="n">
        <f aca="false">W_PH(AN$2,$A219)</f>
        <v>2388.60282003046</v>
      </c>
      <c r="AO219" s="0" t="n">
        <f aca="false">W_PH(AO$2,$A219)</f>
        <v>2388.94475814574</v>
      </c>
      <c r="AP219" s="0" t="n">
        <f aca="false">W_PH(AP$2,$A219)</f>
        <v>2389.38423608604</v>
      </c>
      <c r="AQ219" s="0" t="n">
        <f aca="false">W_PH(AQ$2,$A219)</f>
        <v>2399.12573414391</v>
      </c>
      <c r="AR219" s="0" t="n">
        <f aca="false">W_PH(AR$2,$A219)</f>
        <v>2402.30443084665</v>
      </c>
      <c r="AS219" s="0" t="n">
        <f aca="false">W_PH(AS$2,$A219)</f>
        <v>2403.4491972591</v>
      </c>
    </row>
    <row r="220" customFormat="false" ht="12.8" hidden="false" customHeight="false" outlineLevel="0" collapsed="false">
      <c r="A220" s="0" t="n">
        <v>1633.70593293207</v>
      </c>
      <c r="B220" s="0" t="n">
        <f aca="false">W_PH(B$2,$A220)</f>
        <v>2015</v>
      </c>
      <c r="C220" s="0" t="n">
        <f aca="false">W_PH(C$2,$A220)</f>
        <v>2394.56991383446</v>
      </c>
      <c r="D220" s="0" t="n">
        <f aca="false">W_PH(D$2,$A220)</f>
        <v>2394.56987730492</v>
      </c>
      <c r="E220" s="0" t="n">
        <f aca="false">W_PH(E$2,$A220)</f>
        <v>2394.56984077612</v>
      </c>
      <c r="F220" s="0" t="n">
        <f aca="false">W_PH(F$2,$A220)</f>
        <v>2394.56980424807</v>
      </c>
      <c r="G220" s="0" t="n">
        <f aca="false">W_PH(G$2,$A220)</f>
        <v>2394.56943900811</v>
      </c>
      <c r="H220" s="0" t="n">
        <f aca="false">W_PH(H$2,$A220)</f>
        <v>2394.56907384201</v>
      </c>
      <c r="I220" s="0" t="n">
        <f aca="false">W_PH(I$2,$A220)</f>
        <v>2394.56870874977</v>
      </c>
      <c r="J220" s="0" t="n">
        <f aca="false">W_PH(J$2,$A220)</f>
        <v>2394.56834373139</v>
      </c>
      <c r="K220" s="0" t="n">
        <f aca="false">W_PH(K$2,$A220)</f>
        <v>2394.56797878688</v>
      </c>
      <c r="L220" s="0" t="n">
        <f aca="false">W_PH(L$2,$A220)</f>
        <v>2394.56761391623</v>
      </c>
      <c r="M220" s="0" t="n">
        <f aca="false">W_PH(M$2,$A220)</f>
        <v>2394.56724911946</v>
      </c>
      <c r="N220" s="0" t="n">
        <f aca="false">W_PH(N$2,$A220)</f>
        <v>2394.56688439657</v>
      </c>
      <c r="O220" s="0" t="n">
        <f aca="false">W_PH(O$2,$A220)</f>
        <v>2394.56651974756</v>
      </c>
      <c r="P220" s="0" t="n">
        <f aca="false">W_PH(P$2,$A220)</f>
        <v>2394.56287732156</v>
      </c>
      <c r="Q220" s="0" t="n">
        <f aca="false">W_PH(Q$2,$A220)</f>
        <v>2394.55924228718</v>
      </c>
      <c r="R220" s="0" t="n">
        <f aca="false">W_PH(R$2,$A220)</f>
        <v>2394.55561464774</v>
      </c>
      <c r="S220" s="0" t="n">
        <f aca="false">W_PH(S$2,$A220)</f>
        <v>2394.55199440652</v>
      </c>
      <c r="T220" s="0" t="n">
        <f aca="false">W_PH(T$2,$A220)</f>
        <v>2394.54838156683</v>
      </c>
      <c r="U220" s="0" t="n">
        <f aca="false">W_PH(U$2,$A220)</f>
        <v>2394.54477613196</v>
      </c>
      <c r="V220" s="0" t="n">
        <f aca="false">W_PH(V$2,$A220)</f>
        <v>2394.5411781052</v>
      </c>
      <c r="W220" s="0" t="n">
        <f aca="false">W_PH(W$2,$A220)</f>
        <v>2394.53758748984</v>
      </c>
      <c r="X220" s="0" t="n">
        <f aca="false">W_PH(X$2,$A220)</f>
        <v>2394.53400428915</v>
      </c>
      <c r="Y220" s="0" t="n">
        <f aca="false">W_PH(Y$2,$A220)</f>
        <v>2394.49858080842</v>
      </c>
      <c r="Z220" s="0" t="n">
        <f aca="false">W_PH(Z$2,$A220)</f>
        <v>2394.46390237489</v>
      </c>
      <c r="AA220" s="0" t="n">
        <f aca="false">W_PH(AA$2,$A220)</f>
        <v>2394.42997220378</v>
      </c>
      <c r="AB220" s="0" t="n">
        <f aca="false">W_PH(AB$2,$A220)</f>
        <v>2394.39679347012</v>
      </c>
      <c r="AC220" s="0" t="n">
        <f aca="false">W_PH(AC$2,$A220)</f>
        <v>2394.36436930866</v>
      </c>
      <c r="AD220" s="0" t="n">
        <f aca="false">W_PH(AD$2,$A220)</f>
        <v>2394.33270281368</v>
      </c>
      <c r="AE220" s="0" t="n">
        <f aca="false">W_PH(AE$2,$A220)</f>
        <v>2394.30179703883</v>
      </c>
      <c r="AF220" s="0" t="n">
        <f aca="false">W_PH(AF$2,$A220)</f>
        <v>2394.27165499706</v>
      </c>
      <c r="AG220" s="0" t="n">
        <f aca="false">W_PH(AG$2,$A220)</f>
        <v>2394.24227966045</v>
      </c>
      <c r="AH220" s="0" t="n">
        <f aca="false">W_PH(AH$2,$A220)</f>
        <v>2393.99131952903</v>
      </c>
      <c r="AI220" s="0" t="n">
        <f aca="false">W_PH(AI$2,$A220)</f>
        <v>2393.81999266474</v>
      </c>
      <c r="AJ220" s="0" t="n">
        <f aca="false">W_PH(AJ$2,$A220)</f>
        <v>2393.74032037409</v>
      </c>
      <c r="AK220" s="0" t="n">
        <f aca="false">W_PH(AK$2,$A220)</f>
        <v>2393.73231230471</v>
      </c>
      <c r="AL220" s="0" t="n">
        <f aca="false">W_PH(AL$2,$A220)</f>
        <v>2393.81547506511</v>
      </c>
      <c r="AM220" s="0" t="n">
        <f aca="false">W_PH(AM$2,$A220)</f>
        <v>2393.99158164017</v>
      </c>
      <c r="AN220" s="0" t="n">
        <f aca="false">W_PH(AN$2,$A220)</f>
        <v>2394.26204079978</v>
      </c>
      <c r="AO220" s="0" t="n">
        <f aca="false">W_PH(AO$2,$A220)</f>
        <v>2394.62791472169</v>
      </c>
      <c r="AP220" s="0" t="n">
        <f aca="false">W_PH(AP$2,$A220)</f>
        <v>2395.08993907311</v>
      </c>
      <c r="AQ220" s="0" t="n">
        <f aca="false">W_PH(AQ$2,$A220)</f>
        <v>2404.97316659828</v>
      </c>
      <c r="AR220" s="0" t="n">
        <f aca="false">W_PH(AR$2,$A220)</f>
        <v>2408.1618623051</v>
      </c>
      <c r="AS220" s="0" t="n">
        <f aca="false">W_PH(AS$2,$A220)</f>
        <v>2409.30856565035</v>
      </c>
    </row>
    <row r="221" customFormat="false" ht="12.8" hidden="false" customHeight="false" outlineLevel="0" collapsed="false">
      <c r="A221" s="0" t="n">
        <v>1638.00515907137</v>
      </c>
      <c r="B221" s="0" t="n">
        <f aca="false">W_PH(B$2,$A221)</f>
        <v>2015</v>
      </c>
      <c r="C221" s="0" t="n">
        <f aca="false">W_PH(C$2,$A221)</f>
        <v>2399.97716435146</v>
      </c>
      <c r="D221" s="0" t="n">
        <f aca="false">W_PH(D$2,$A221)</f>
        <v>2399.97713089741</v>
      </c>
      <c r="E221" s="0" t="n">
        <f aca="false">W_PH(E$2,$A221)</f>
        <v>2399.97709744409</v>
      </c>
      <c r="F221" s="0" t="n">
        <f aca="false">W_PH(F$2,$A221)</f>
        <v>2399.9770639915</v>
      </c>
      <c r="G221" s="0" t="n">
        <f aca="false">W_PH(G$2,$A221)</f>
        <v>2399.97672950605</v>
      </c>
      <c r="H221" s="0" t="n">
        <f aca="false">W_PH(H$2,$A221)</f>
        <v>2399.97639509404</v>
      </c>
      <c r="I221" s="0" t="n">
        <f aca="false">W_PH(I$2,$A221)</f>
        <v>2399.97606075549</v>
      </c>
      <c r="J221" s="0" t="n">
        <f aca="false">W_PH(J$2,$A221)</f>
        <v>2399.97572649039</v>
      </c>
      <c r="K221" s="0" t="n">
        <f aca="false">W_PH(K$2,$A221)</f>
        <v>2399.97539229876</v>
      </c>
      <c r="L221" s="0" t="n">
        <f aca="false">W_PH(L$2,$A221)</f>
        <v>2399.97505818058</v>
      </c>
      <c r="M221" s="0" t="n">
        <f aca="false">W_PH(M$2,$A221)</f>
        <v>2399.97472413587</v>
      </c>
      <c r="N221" s="0" t="n">
        <f aca="false">W_PH(N$2,$A221)</f>
        <v>2399.97439016463</v>
      </c>
      <c r="O221" s="0" t="n">
        <f aca="false">W_PH(O$2,$A221)</f>
        <v>2399.97405626686</v>
      </c>
      <c r="P221" s="0" t="n">
        <f aca="false">W_PH(P$2,$A221)</f>
        <v>2399.97072133088</v>
      </c>
      <c r="Q221" s="0" t="n">
        <f aca="false">W_PH(Q$2,$A221)</f>
        <v>2399.96739374572</v>
      </c>
      <c r="R221" s="0" t="n">
        <f aca="false">W_PH(R$2,$A221)</f>
        <v>2399.96407351466</v>
      </c>
      <c r="S221" s="0" t="n">
        <f aca="false">W_PH(S$2,$A221)</f>
        <v>2399.96076064096</v>
      </c>
      <c r="T221" s="0" t="n">
        <f aca="false">W_PH(T$2,$A221)</f>
        <v>2399.95745512787</v>
      </c>
      <c r="U221" s="0" t="n">
        <f aca="false">W_PH(U$2,$A221)</f>
        <v>2399.95415697865</v>
      </c>
      <c r="V221" s="0" t="n">
        <f aca="false">W_PH(V$2,$A221)</f>
        <v>2399.95086619655</v>
      </c>
      <c r="W221" s="0" t="n">
        <f aca="false">W_PH(W$2,$A221)</f>
        <v>2399.94758278481</v>
      </c>
      <c r="X221" s="0" t="n">
        <f aca="false">W_PH(X$2,$A221)</f>
        <v>2399.94430674668</v>
      </c>
      <c r="Y221" s="0" t="n">
        <f aca="false">W_PH(Y$2,$A221)</f>
        <v>2399.911952624</v>
      </c>
      <c r="Z221" s="0" t="n">
        <f aca="false">W_PH(Z$2,$A221)</f>
        <v>2399.88033939782</v>
      </c>
      <c r="AA221" s="0" t="n">
        <f aca="false">W_PH(AA$2,$A221)</f>
        <v>2399.84947024297</v>
      </c>
      <c r="AB221" s="0" t="n">
        <f aca="false">W_PH(AB$2,$A221)</f>
        <v>2399.81934829351</v>
      </c>
      <c r="AC221" s="0" t="n">
        <f aca="false">W_PH(AC$2,$A221)</f>
        <v>2399.78997664268</v>
      </c>
      <c r="AD221" s="0" t="n">
        <f aca="false">W_PH(AD$2,$A221)</f>
        <v>2399.76135834275</v>
      </c>
      <c r="AE221" s="0" t="n">
        <f aca="false">W_PH(AE$2,$A221)</f>
        <v>2399.73349640491</v>
      </c>
      <c r="AF221" s="0" t="n">
        <f aca="false">W_PH(AF$2,$A221)</f>
        <v>2399.70639379922</v>
      </c>
      <c r="AG221" s="0" t="n">
        <f aca="false">W_PH(AG$2,$A221)</f>
        <v>2399.68005345451</v>
      </c>
      <c r="AH221" s="0" t="n">
        <f aca="false">W_PH(AH$2,$A221)</f>
        <v>2399.45918910509</v>
      </c>
      <c r="AI221" s="0" t="n">
        <f aca="false">W_PH(AI$2,$A221)</f>
        <v>2399.31746465853</v>
      </c>
      <c r="AJ221" s="0" t="n">
        <f aca="false">W_PH(AJ$2,$A221)</f>
        <v>2399.26703156853</v>
      </c>
      <c r="AK221" s="0" t="n">
        <f aca="false">W_PH(AK$2,$A221)</f>
        <v>2399.28751692368</v>
      </c>
      <c r="AL221" s="0" t="n">
        <f aca="false">W_PH(AL$2,$A221)</f>
        <v>2399.39809901578</v>
      </c>
      <c r="AM221" s="0" t="n">
        <f aca="false">W_PH(AM$2,$A221)</f>
        <v>2399.6004663237</v>
      </c>
      <c r="AN221" s="0" t="n">
        <f aca="false">W_PH(AN$2,$A221)</f>
        <v>2399.89595018621</v>
      </c>
      <c r="AO221" s="0" t="n">
        <f aca="false">W_PH(AO$2,$A221)</f>
        <v>2400.28554332605</v>
      </c>
      <c r="AP221" s="0" t="n">
        <f aca="false">W_PH(AP$2,$A221)</f>
        <v>2400.76992051834</v>
      </c>
      <c r="AQ221" s="0" t="n">
        <f aca="false">W_PH(AQ$2,$A221)</f>
        <v>2410.79435226436</v>
      </c>
      <c r="AR221" s="0" t="n">
        <f aca="false">W_PH(AR$2,$A221)</f>
        <v>2413.99326662741</v>
      </c>
      <c r="AS221" s="0" t="n">
        <f aca="false">W_PH(AS$2,$A221)</f>
        <v>2415.14200316821</v>
      </c>
    </row>
    <row r="222" customFormat="false" ht="12.8" hidden="false" customHeight="false" outlineLevel="0" collapsed="false">
      <c r="A222" s="0" t="n">
        <v>1642.30438521066</v>
      </c>
      <c r="B222" s="0" t="n">
        <f aca="false">W_PH(B$2,$A222)</f>
        <v>2015</v>
      </c>
      <c r="C222" s="0" t="n">
        <f aca="false">W_PH(C$2,$A222)</f>
        <v>2405.3618284138</v>
      </c>
      <c r="D222" s="0" t="n">
        <f aca="false">W_PH(D$2,$A222)</f>
        <v>2405.36179799528</v>
      </c>
      <c r="E222" s="0" t="n">
        <f aca="false">W_PH(E$2,$A222)</f>
        <v>2405.3617675775</v>
      </c>
      <c r="F222" s="0" t="n">
        <f aca="false">W_PH(F$2,$A222)</f>
        <v>2405.36173716045</v>
      </c>
      <c r="G222" s="0" t="n">
        <f aca="false">W_PH(G$2,$A222)</f>
        <v>2405.36143303011</v>
      </c>
      <c r="H222" s="0" t="n">
        <f aca="false">W_PH(H$2,$A222)</f>
        <v>2405.36112897285</v>
      </c>
      <c r="I222" s="0" t="n">
        <f aca="false">W_PH(I$2,$A222)</f>
        <v>2405.36082498867</v>
      </c>
      <c r="J222" s="0" t="n">
        <f aca="false">W_PH(J$2,$A222)</f>
        <v>2405.36052107759</v>
      </c>
      <c r="K222" s="0" t="n">
        <f aca="false">W_PH(K$2,$A222)</f>
        <v>2405.36021723959</v>
      </c>
      <c r="L222" s="0" t="n">
        <f aca="false">W_PH(L$2,$A222)</f>
        <v>2405.35991347468</v>
      </c>
      <c r="M222" s="0" t="n">
        <f aca="false">W_PH(M$2,$A222)</f>
        <v>2405.35960978288</v>
      </c>
      <c r="N222" s="0" t="n">
        <f aca="false">W_PH(N$2,$A222)</f>
        <v>2405.35930616417</v>
      </c>
      <c r="O222" s="0" t="n">
        <f aca="false">W_PH(O$2,$A222)</f>
        <v>2405.35900261856</v>
      </c>
      <c r="P222" s="0" t="n">
        <f aca="false">W_PH(P$2,$A222)</f>
        <v>2405.35597118388</v>
      </c>
      <c r="Q222" s="0" t="n">
        <f aca="false">W_PH(Q$2,$A222)</f>
        <v>2405.35294706304</v>
      </c>
      <c r="R222" s="0" t="n">
        <f aca="false">W_PH(R$2,$A222)</f>
        <v>2405.34993025925</v>
      </c>
      <c r="S222" s="0" t="n">
        <f aca="false">W_PH(S$2,$A222)</f>
        <v>2405.34692077574</v>
      </c>
      <c r="T222" s="0" t="n">
        <f aca="false">W_PH(T$2,$A222)</f>
        <v>2405.34391861571</v>
      </c>
      <c r="U222" s="0" t="n">
        <f aca="false">W_PH(U$2,$A222)</f>
        <v>2405.34092378237</v>
      </c>
      <c r="V222" s="0" t="n">
        <f aca="false">W_PH(V$2,$A222)</f>
        <v>2405.33793627892</v>
      </c>
      <c r="W222" s="0" t="n">
        <f aca="false">W_PH(W$2,$A222)</f>
        <v>2405.33495610856</v>
      </c>
      <c r="X222" s="0" t="n">
        <f aca="false">W_PH(X$2,$A222)</f>
        <v>2405.33198327449</v>
      </c>
      <c r="Y222" s="0" t="n">
        <f aca="false">W_PH(Y$2,$A222)</f>
        <v>2405.30265912908</v>
      </c>
      <c r="Z222" s="0" t="n">
        <f aca="false">W_PH(Z$2,$A222)</f>
        <v>2405.27407209507</v>
      </c>
      <c r="AA222" s="0" t="n">
        <f aca="false">W_PH(AA$2,$A222)</f>
        <v>2405.24622529878</v>
      </c>
      <c r="AB222" s="0" t="n">
        <f aca="false">W_PH(AB$2,$A222)</f>
        <v>2405.2191218254</v>
      </c>
      <c r="AC222" s="0" t="n">
        <f aca="false">W_PH(AC$2,$A222)</f>
        <v>2405.19276471888</v>
      </c>
      <c r="AD222" s="0" t="n">
        <f aca="false">W_PH(AD$2,$A222)</f>
        <v>2405.16715698191</v>
      </c>
      <c r="AE222" s="0" t="n">
        <f aca="false">W_PH(AE$2,$A222)</f>
        <v>2405.14230157577</v>
      </c>
      <c r="AF222" s="0" t="n">
        <f aca="false">W_PH(AF$2,$A222)</f>
        <v>2405.11820142039</v>
      </c>
      <c r="AG222" s="0" t="n">
        <f aca="false">W_PH(AG$2,$A222)</f>
        <v>2405.09485939421</v>
      </c>
      <c r="AH222" s="0" t="n">
        <f aca="false">W_PH(AH$2,$A222)</f>
        <v>2404.90373981316</v>
      </c>
      <c r="AI222" s="0" t="n">
        <f aca="false">W_PH(AI$2,$A222)</f>
        <v>2404.79129119371</v>
      </c>
      <c r="AJ222" s="0" t="n">
        <f aca="false">W_PH(AJ$2,$A222)</f>
        <v>2404.76977318824</v>
      </c>
      <c r="AK222" s="0" t="n">
        <f aca="false">W_PH(AK$2,$A222)</f>
        <v>2404.81845236874</v>
      </c>
      <c r="AL222" s="0" t="n">
        <f aca="false">W_PH(AL$2,$A222)</f>
        <v>2404.95617489383</v>
      </c>
      <c r="AM222" s="0" t="n">
        <f aca="false">W_PH(AM$2,$A222)</f>
        <v>2405.18454475427</v>
      </c>
      <c r="AN222" s="0" t="n">
        <f aca="false">W_PH(AN$2,$A222)</f>
        <v>2405.50481624332</v>
      </c>
      <c r="AO222" s="0" t="n">
        <f aca="false">W_PH(AO$2,$A222)</f>
        <v>2405.91791325473</v>
      </c>
      <c r="AP222" s="0" t="n">
        <f aca="false">W_PH(AP$2,$A222)</f>
        <v>2406.4244504344</v>
      </c>
      <c r="AQ222" s="0" t="n">
        <f aca="false">W_PH(AQ$2,$A222)</f>
        <v>2416.58953381762</v>
      </c>
      <c r="AR222" s="0" t="n">
        <f aca="false">W_PH(AR$2,$A222)</f>
        <v>2419.79887073826</v>
      </c>
      <c r="AS222" s="0" t="n">
        <f aca="false">W_PH(AS$2,$A222)</f>
        <v>2420.94973052786</v>
      </c>
    </row>
    <row r="223" customFormat="false" ht="12.8" hidden="false" customHeight="false" outlineLevel="0" collapsed="false">
      <c r="A223" s="0" t="n">
        <v>1646.60361134996</v>
      </c>
      <c r="B223" s="0" t="n">
        <f aca="false">W_PH(B$2,$A223)</f>
        <v>2015</v>
      </c>
      <c r="C223" s="0" t="n">
        <f aca="false">W_PH(C$2,$A223)</f>
        <v>2410.72412927426</v>
      </c>
      <c r="D223" s="0" t="n">
        <f aca="false">W_PH(D$2,$A223)</f>
        <v>2410.72410185269</v>
      </c>
      <c r="E223" s="0" t="n">
        <f aca="false">W_PH(E$2,$A223)</f>
        <v>2410.72407443185</v>
      </c>
      <c r="F223" s="0" t="n">
        <f aca="false">W_PH(F$2,$A223)</f>
        <v>2410.72404701173</v>
      </c>
      <c r="G223" s="0" t="n">
        <f aca="false">W_PH(G$2,$A223)</f>
        <v>2410.72377285059</v>
      </c>
      <c r="H223" s="0" t="n">
        <f aca="false">W_PH(H$2,$A223)</f>
        <v>2410.72349876219</v>
      </c>
      <c r="I223" s="0" t="n">
        <f aca="false">W_PH(I$2,$A223)</f>
        <v>2410.72322474654</v>
      </c>
      <c r="J223" s="0" t="n">
        <f aca="false">W_PH(J$2,$A223)</f>
        <v>2410.72295080364</v>
      </c>
      <c r="K223" s="0" t="n">
        <f aca="false">W_PH(K$2,$A223)</f>
        <v>2410.7226769335</v>
      </c>
      <c r="L223" s="0" t="n">
        <f aca="false">W_PH(L$2,$A223)</f>
        <v>2410.72240313612</v>
      </c>
      <c r="M223" s="0" t="n">
        <f aca="false">W_PH(M$2,$A223)</f>
        <v>2410.7221294115</v>
      </c>
      <c r="N223" s="0" t="n">
        <f aca="false">W_PH(N$2,$A223)</f>
        <v>2410.72185575965</v>
      </c>
      <c r="O223" s="0" t="n">
        <f aca="false">W_PH(O$2,$A223)</f>
        <v>2410.72158218056</v>
      </c>
      <c r="P223" s="0" t="n">
        <f aca="false">W_PH(P$2,$A223)</f>
        <v>2410.71885039265</v>
      </c>
      <c r="Q223" s="0" t="n">
        <f aca="false">W_PH(Q$2,$A223)</f>
        <v>2410.71612588506</v>
      </c>
      <c r="R223" s="0" t="n">
        <f aca="false">W_PH(R$2,$A223)</f>
        <v>2410.71340866095</v>
      </c>
      <c r="S223" s="0" t="n">
        <f aca="false">W_PH(S$2,$A223)</f>
        <v>2410.71069872348</v>
      </c>
      <c r="T223" s="0" t="n">
        <f aca="false">W_PH(T$2,$A223)</f>
        <v>2410.7079960758</v>
      </c>
      <c r="U223" s="0" t="n">
        <f aca="false">W_PH(U$2,$A223)</f>
        <v>2410.70530072108</v>
      </c>
      <c r="V223" s="0" t="n">
        <f aca="false">W_PH(V$2,$A223)</f>
        <v>2410.70261266244</v>
      </c>
      <c r="W223" s="0" t="n">
        <f aca="false">W_PH(W$2,$A223)</f>
        <v>2410.69993190304</v>
      </c>
      <c r="X223" s="0" t="n">
        <f aca="false">W_PH(X$2,$A223)</f>
        <v>2410.69725844602</v>
      </c>
      <c r="Y223" s="0" t="n">
        <f aca="false">W_PH(Y$2,$A223)</f>
        <v>2410.6709261939</v>
      </c>
      <c r="Z223" s="0" t="n">
        <f aca="false">W_PH(Z$2,$A223)</f>
        <v>2410.64532760101</v>
      </c>
      <c r="AA223" s="0" t="n">
        <f aca="false">W_PH(AA$2,$A223)</f>
        <v>2410.62046573775</v>
      </c>
      <c r="AB223" s="0" t="n">
        <f aca="false">W_PH(AB$2,$A223)</f>
        <v>2410.59634363308</v>
      </c>
      <c r="AC223" s="0" t="n">
        <f aca="false">W_PH(AC$2,$A223)</f>
        <v>2410.57296427455</v>
      </c>
      <c r="AD223" s="0" t="n">
        <f aca="false">W_PH(AD$2,$A223)</f>
        <v>2410.55033060824</v>
      </c>
      <c r="AE223" s="0" t="n">
        <f aca="false">W_PH(AE$2,$A223)</f>
        <v>2410.52844553871</v>
      </c>
      <c r="AF223" s="0" t="n">
        <f aca="false">W_PH(AF$2,$A223)</f>
        <v>2410.50731192902</v>
      </c>
      <c r="AG223" s="0" t="n">
        <f aca="false">W_PH(AG$2,$A223)</f>
        <v>2410.48693260071</v>
      </c>
      <c r="AH223" s="0" t="n">
        <f aca="false">W_PH(AH$2,$A223)</f>
        <v>2410.32521585118</v>
      </c>
      <c r="AI223" s="0" t="n">
        <f aca="false">W_PH(AI$2,$A223)</f>
        <v>2410.24172323969</v>
      </c>
      <c r="AJ223" s="0" t="n">
        <f aca="false">W_PH(AJ$2,$A223)</f>
        <v>2410.24879738814</v>
      </c>
      <c r="AK223" s="0" t="n">
        <f aca="false">W_PH(AK$2,$A223)</f>
        <v>2410.3253743562</v>
      </c>
      <c r="AL223" s="0" t="n">
        <f aca="false">W_PH(AL$2,$A223)</f>
        <v>2410.4899612744</v>
      </c>
      <c r="AM223" s="0" t="n">
        <f aca="false">W_PH(AM$2,$A223)</f>
        <v>2410.74407775812</v>
      </c>
      <c r="AN223" s="0" t="n">
        <f aca="false">W_PH(AN$2,$A223)</f>
        <v>2411.08890150077</v>
      </c>
      <c r="AO223" s="0" t="n">
        <f aca="false">W_PH(AO$2,$A223)</f>
        <v>2411.52528822582</v>
      </c>
      <c r="AP223" s="0" t="n">
        <f aca="false">W_PH(AP$2,$A223)</f>
        <v>2412.05379322413</v>
      </c>
      <c r="AQ223" s="0" t="n">
        <f aca="false">W_PH(AQ$2,$A223)</f>
        <v>2422.35894922569</v>
      </c>
      <c r="AR223" s="0" t="n">
        <f aca="false">W_PH(AR$2,$A223)</f>
        <v>2425.57889731529</v>
      </c>
      <c r="AS223" s="0" t="n">
        <f aca="false">W_PH(AS$2,$A223)</f>
        <v>2426.73196437138</v>
      </c>
    </row>
    <row r="224" customFormat="false" ht="12.8" hidden="false" customHeight="false" outlineLevel="0" collapsed="false">
      <c r="A224" s="0" t="n">
        <v>1650.90283748925</v>
      </c>
      <c r="B224" s="0" t="n">
        <f aca="false">W_PH(B$2,$A224)</f>
        <v>2015</v>
      </c>
      <c r="C224" s="0" t="n">
        <f aca="false">W_PH(C$2,$A224)</f>
        <v>2416.06428668269</v>
      </c>
      <c r="D224" s="0" t="n">
        <f aca="false">W_PH(D$2,$A224)</f>
        <v>2416.06426222076</v>
      </c>
      <c r="E224" s="0" t="n">
        <f aca="false">W_PH(E$2,$A224)</f>
        <v>2416.06423775956</v>
      </c>
      <c r="F224" s="0" t="n">
        <f aca="false">W_PH(F$2,$A224)</f>
        <v>2416.06421329908</v>
      </c>
      <c r="G224" s="0" t="n">
        <f aca="false">W_PH(G$2,$A224)</f>
        <v>2416.06396873417</v>
      </c>
      <c r="H224" s="0" t="n">
        <f aca="false">W_PH(H$2,$A224)</f>
        <v>2416.06372424169</v>
      </c>
      <c r="I224" s="0" t="n">
        <f aca="false">W_PH(I$2,$A224)</f>
        <v>2416.06347982166</v>
      </c>
      <c r="J224" s="0" t="n">
        <f aca="false">W_PH(J$2,$A224)</f>
        <v>2416.06323547408</v>
      </c>
      <c r="K224" s="0" t="n">
        <f aca="false">W_PH(K$2,$A224)</f>
        <v>2416.06299119895</v>
      </c>
      <c r="L224" s="0" t="n">
        <f aca="false">W_PH(L$2,$A224)</f>
        <v>2416.06274699628</v>
      </c>
      <c r="M224" s="0" t="n">
        <f aca="false">W_PH(M$2,$A224)</f>
        <v>2416.06250286607</v>
      </c>
      <c r="N224" s="0" t="n">
        <f aca="false">W_PH(N$2,$A224)</f>
        <v>2416.06225880832</v>
      </c>
      <c r="O224" s="0" t="n">
        <f aca="false">W_PH(O$2,$A224)</f>
        <v>2416.06201482304</v>
      </c>
      <c r="P224" s="0" t="n">
        <f aca="false">W_PH(P$2,$A224)</f>
        <v>2416.05957895646</v>
      </c>
      <c r="Q224" s="0" t="n">
        <f aca="false">W_PH(Q$2,$A224)</f>
        <v>2416.05715033982</v>
      </c>
      <c r="R224" s="0" t="n">
        <f aca="false">W_PH(R$2,$A224)</f>
        <v>2416.05472897621</v>
      </c>
      <c r="S224" s="0" t="n">
        <f aca="false">W_PH(S$2,$A224)</f>
        <v>2416.05231486874</v>
      </c>
      <c r="T224" s="0" t="n">
        <f aca="false">W_PH(T$2,$A224)</f>
        <v>2416.04990802049</v>
      </c>
      <c r="U224" s="0" t="n">
        <f aca="false">W_PH(U$2,$A224)</f>
        <v>2416.04750843455</v>
      </c>
      <c r="V224" s="0" t="n">
        <f aca="false">W_PH(V$2,$A224)</f>
        <v>2416.04511611401</v>
      </c>
      <c r="W224" s="0" t="n">
        <f aca="false">W_PH(W$2,$A224)</f>
        <v>2416.04273106195</v>
      </c>
      <c r="X224" s="0" t="n">
        <f aca="false">W_PH(X$2,$A224)</f>
        <v>2416.04035328144</v>
      </c>
      <c r="Y224" s="0" t="n">
        <f aca="false">W_PH(Y$2,$A224)</f>
        <v>2416.01697608555</v>
      </c>
      <c r="Z224" s="0" t="n">
        <f aca="false">W_PH(Z$2,$A224)</f>
        <v>2415.99432939784</v>
      </c>
      <c r="AA224" s="0" t="n">
        <f aca="false">W_PH(AA$2,$A224)</f>
        <v>2415.97241622588</v>
      </c>
      <c r="AB224" s="0" t="n">
        <f aca="false">W_PH(AB$2,$A224)</f>
        <v>2415.95123953572</v>
      </c>
      <c r="AC224" s="0" t="n">
        <f aca="false">W_PH(AC$2,$A224)</f>
        <v>2415.93080225194</v>
      </c>
      <c r="AD224" s="0" t="n">
        <f aca="false">W_PH(AD$2,$A224)</f>
        <v>2415.91110725757</v>
      </c>
      <c r="AE224" s="0" t="n">
        <f aca="false">W_PH(AE$2,$A224)</f>
        <v>2415.89215739416</v>
      </c>
      <c r="AF224" s="0" t="n">
        <f aca="false">W_PH(AF$2,$A224)</f>
        <v>2415.87395546177</v>
      </c>
      <c r="AG224" s="0" t="n">
        <f aca="false">W_PH(AG$2,$A224)</f>
        <v>2415.85650421898</v>
      </c>
      <c r="AH224" s="0" t="n">
        <f aca="false">W_PH(AH$2,$A224)</f>
        <v>2415.72385702506</v>
      </c>
      <c r="AI224" s="0" t="n">
        <f aca="false">W_PH(AI$2,$A224)</f>
        <v>2415.66900699454</v>
      </c>
      <c r="AJ224" s="0" t="n">
        <f aca="false">W_PH(AJ$2,$A224)</f>
        <v>2415.70435132074</v>
      </c>
      <c r="AK224" s="0" t="n">
        <f aca="false">W_PH(AK$2,$A224)</f>
        <v>2415.80853345815</v>
      </c>
      <c r="AL224" s="0" t="n">
        <f aca="false">W_PH(AL$2,$A224)</f>
        <v>2415.99971147016</v>
      </c>
      <c r="AM224" s="0" t="n">
        <f aca="false">W_PH(AM$2,$A224)</f>
        <v>2416.27932080242</v>
      </c>
      <c r="AN224" s="0" t="n">
        <f aca="false">W_PH(AN$2,$A224)</f>
        <v>2416.6484630531</v>
      </c>
      <c r="AO224" s="0" t="n">
        <f aca="false">W_PH(AO$2,$A224)</f>
        <v>2417.10792646642</v>
      </c>
      <c r="AP224" s="0" t="n">
        <f aca="false">W_PH(AP$2,$A224)</f>
        <v>2417.65820776355</v>
      </c>
      <c r="AQ224" s="0" t="n">
        <f aca="false">W_PH(AQ$2,$A224)</f>
        <v>2428.10283172255</v>
      </c>
      <c r="AR224" s="0" t="n">
        <f aca="false">W_PH(AR$2,$A224)</f>
        <v>2431.33356473655</v>
      </c>
      <c r="AS224" s="0" t="n">
        <f aca="false">W_PH(AS$2,$A224)</f>
        <v>2432.48891720695</v>
      </c>
    </row>
    <row r="225" customFormat="false" ht="12.8" hidden="false" customHeight="false" outlineLevel="0" collapsed="false">
      <c r="A225" s="0" t="n">
        <v>1655.20206362855</v>
      </c>
      <c r="B225" s="0" t="n">
        <f aca="false">W_PH(B$2,$A225)</f>
        <v>2015</v>
      </c>
      <c r="C225" s="0" t="n">
        <f aca="false">W_PH(C$2,$A225)</f>
        <v>2421.38251691103</v>
      </c>
      <c r="D225" s="0" t="n">
        <f aca="false">W_PH(D$2,$A225)</f>
        <v>2421.3824953727</v>
      </c>
      <c r="E225" s="0" t="n">
        <f aca="false">W_PH(E$2,$A225)</f>
        <v>2421.38247383509</v>
      </c>
      <c r="F225" s="0" t="n">
        <f aca="false">W_PH(F$2,$A225)</f>
        <v>2421.3824522982</v>
      </c>
      <c r="G225" s="0" t="n">
        <f aca="false">W_PH(G$2,$A225)</f>
        <v>2421.38223696898</v>
      </c>
      <c r="H225" s="0" t="n">
        <f aca="false">W_PH(H$2,$A225)</f>
        <v>2421.38202171192</v>
      </c>
      <c r="I225" s="0" t="n">
        <f aca="false">W_PH(I$2,$A225)</f>
        <v>2421.38180652705</v>
      </c>
      <c r="J225" s="0" t="n">
        <f aca="false">W_PH(J$2,$A225)</f>
        <v>2421.38159141434</v>
      </c>
      <c r="K225" s="0" t="n">
        <f aca="false">W_PH(K$2,$A225)</f>
        <v>2421.38137637381</v>
      </c>
      <c r="L225" s="0" t="n">
        <f aca="false">W_PH(L$2,$A225)</f>
        <v>2421.38116140547</v>
      </c>
      <c r="M225" s="0" t="n">
        <f aca="false">W_PH(M$2,$A225)</f>
        <v>2421.38094650931</v>
      </c>
      <c r="N225" s="0" t="n">
        <f aca="false">W_PH(N$2,$A225)</f>
        <v>2421.38073168534</v>
      </c>
      <c r="O225" s="0" t="n">
        <f aca="false">W_PH(O$2,$A225)</f>
        <v>2421.38051693355</v>
      </c>
      <c r="P225" s="0" t="n">
        <f aca="false">W_PH(P$2,$A225)</f>
        <v>2421.37837338686</v>
      </c>
      <c r="Q225" s="0" t="n">
        <f aca="false">W_PH(Q$2,$A225)</f>
        <v>2421.37623706253</v>
      </c>
      <c r="R225" s="0" t="n">
        <f aca="false">W_PH(R$2,$A225)</f>
        <v>2421.3741079636</v>
      </c>
      <c r="S225" s="0" t="n">
        <f aca="false">W_PH(S$2,$A225)</f>
        <v>2421.3719860931</v>
      </c>
      <c r="T225" s="0" t="n">
        <f aca="false">W_PH(T$2,$A225)</f>
        <v>2421.36987145405</v>
      </c>
      <c r="U225" s="0" t="n">
        <f aca="false">W_PH(U$2,$A225)</f>
        <v>2421.36776404947</v>
      </c>
      <c r="V225" s="0" t="n">
        <f aca="false">W_PH(V$2,$A225)</f>
        <v>2421.36566388237</v>
      </c>
      <c r="W225" s="0" t="n">
        <f aca="false">W_PH(W$2,$A225)</f>
        <v>2421.36357095577</v>
      </c>
      <c r="X225" s="0" t="n">
        <f aca="false">W_PH(X$2,$A225)</f>
        <v>2421.36148527268</v>
      </c>
      <c r="Y225" s="0" t="n">
        <f aca="false">W_PH(Y$2,$A225)</f>
        <v>2421.34102749299</v>
      </c>
      <c r="Z225" s="0" t="n">
        <f aca="false">W_PH(Z$2,$A225)</f>
        <v>2421.32129734045</v>
      </c>
      <c r="AA225" s="0" t="n">
        <f aca="false">W_PH(AA$2,$A225)</f>
        <v>2421.30229775352</v>
      </c>
      <c r="AB225" s="0" t="n">
        <f aca="false">W_PH(AB$2,$A225)</f>
        <v>2421.28403162921</v>
      </c>
      <c r="AC225" s="0" t="n">
        <f aca="false">W_PH(AC$2,$A225)</f>
        <v>2421.26650182306</v>
      </c>
      <c r="AD225" s="0" t="n">
        <f aca="false">W_PH(AD$2,$A225)</f>
        <v>2421.24971114922</v>
      </c>
      <c r="AE225" s="0" t="n">
        <f aca="false">W_PH(AE$2,$A225)</f>
        <v>2421.23366238045</v>
      </c>
      <c r="AF225" s="0" t="n">
        <f aca="false">W_PH(AF$2,$A225)</f>
        <v>2421.21835824818</v>
      </c>
      <c r="AG225" s="0" t="n">
        <f aca="false">W_PH(AG$2,$A225)</f>
        <v>2421.20380144254</v>
      </c>
      <c r="AH225" s="0" t="n">
        <f aca="false">W_PH(AH$2,$A225)</f>
        <v>2421.0998987741</v>
      </c>
      <c r="AI225" s="0" t="n">
        <f aca="false">W_PH(AI$2,$A225)</f>
        <v>2421.07338391265</v>
      </c>
      <c r="AJ225" s="0" t="n">
        <f aca="false">W_PH(AJ$2,$A225)</f>
        <v>2421.1366772121</v>
      </c>
      <c r="AK225" s="0" t="n">
        <f aca="false">W_PH(AK$2,$A225)</f>
        <v>2421.26817518396</v>
      </c>
      <c r="AL225" s="0" t="n">
        <f aca="false">W_PH(AL$2,$A225)</f>
        <v>2421.48567361666</v>
      </c>
      <c r="AM225" s="0" t="n">
        <f aca="false">W_PH(AM$2,$A225)</f>
        <v>2421.79052408268</v>
      </c>
      <c r="AN225" s="0" t="n">
        <f aca="false">W_PH(AN$2,$A225)</f>
        <v>2422.18375264755</v>
      </c>
      <c r="AO225" s="0" t="n">
        <f aca="false">W_PH(AO$2,$A225)</f>
        <v>2422.66608079898</v>
      </c>
      <c r="AP225" s="0" t="n">
        <f aca="false">W_PH(AP$2,$A225)</f>
        <v>2423.23794748501</v>
      </c>
      <c r="AQ225" s="0" t="n">
        <f aca="false">W_PH(AQ$2,$A225)</f>
        <v>2433.82140978653</v>
      </c>
      <c r="AR225" s="0" t="n">
        <f aca="false">W_PH(AR$2,$A225)</f>
        <v>2437.06308703044</v>
      </c>
      <c r="AS225" s="0" t="n">
        <f aca="false">W_PH(AS$2,$A225)</f>
        <v>2438.22079734974</v>
      </c>
    </row>
    <row r="226" customFormat="false" ht="12.8" hidden="false" customHeight="false" outlineLevel="0" collapsed="false">
      <c r="A226" s="0" t="n">
        <v>1659.50128976784</v>
      </c>
      <c r="B226" s="0" t="n">
        <f aca="false">W_PH(B$2,$A226)</f>
        <v>2015</v>
      </c>
      <c r="C226" s="0" t="n">
        <f aca="false">W_PH(C$2,$A226)</f>
        <v>2426.67903277771</v>
      </c>
      <c r="D226" s="0" t="n">
        <f aca="false">W_PH(D$2,$A226)</f>
        <v>2426.67901412811</v>
      </c>
      <c r="E226" s="0" t="n">
        <f aca="false">W_PH(E$2,$A226)</f>
        <v>2426.67899547922</v>
      </c>
      <c r="F226" s="0" t="n">
        <f aca="false">W_PH(F$2,$A226)</f>
        <v>2426.67897683105</v>
      </c>
      <c r="G226" s="0" t="n">
        <f aca="false">W_PH(G$2,$A226)</f>
        <v>2426.67879038894</v>
      </c>
      <c r="H226" s="0" t="n">
        <f aca="false">W_PH(H$2,$A226)</f>
        <v>2426.67860401874</v>
      </c>
      <c r="I226" s="0" t="n">
        <f aca="false">W_PH(I$2,$A226)</f>
        <v>2426.67841772046</v>
      </c>
      <c r="J226" s="0" t="n">
        <f aca="false">W_PH(J$2,$A226)</f>
        <v>2426.67823149412</v>
      </c>
      <c r="K226" s="0" t="n">
        <f aca="false">W_PH(K$2,$A226)</f>
        <v>2426.67804533969</v>
      </c>
      <c r="L226" s="0" t="n">
        <f aca="false">W_PH(L$2,$A226)</f>
        <v>2426.67785925721</v>
      </c>
      <c r="M226" s="0" t="n">
        <f aca="false">W_PH(M$2,$A226)</f>
        <v>2426.67767324665</v>
      </c>
      <c r="N226" s="0" t="n">
        <f aca="false">W_PH(N$2,$A226)</f>
        <v>2426.67748730803</v>
      </c>
      <c r="O226" s="0" t="n">
        <f aca="false">W_PH(O$2,$A226)</f>
        <v>2426.67730144136</v>
      </c>
      <c r="P226" s="0" t="n">
        <f aca="false">W_PH(P$2,$A226)</f>
        <v>2426.67544673197</v>
      </c>
      <c r="Q226" s="0" t="n">
        <f aca="false">W_PH(Q$2,$A226)</f>
        <v>2426.67359921989</v>
      </c>
      <c r="R226" s="0" t="n">
        <f aca="false">W_PH(R$2,$A226)</f>
        <v>2426.67175890807</v>
      </c>
      <c r="S226" s="0" t="n">
        <f aca="false">W_PH(S$2,$A226)</f>
        <v>2426.66992579947</v>
      </c>
      <c r="T226" s="0" t="n">
        <f aca="false">W_PH(T$2,$A226)</f>
        <v>2426.66809989703</v>
      </c>
      <c r="U226" s="0" t="n">
        <f aca="false">W_PH(U$2,$A226)</f>
        <v>2426.6662812037</v>
      </c>
      <c r="V226" s="0" t="n">
        <f aca="false">W_PH(V$2,$A226)</f>
        <v>2426.66446972242</v>
      </c>
      <c r="W226" s="0" t="n">
        <f aca="false">W_PH(W$2,$A226)</f>
        <v>2426.66266545611</v>
      </c>
      <c r="X226" s="0" t="n">
        <f aca="false">W_PH(X$2,$A226)</f>
        <v>2426.66086840773</v>
      </c>
      <c r="Y226" s="0" t="n">
        <f aca="false">W_PH(Y$2,$A226)</f>
        <v>2426.64329555127</v>
      </c>
      <c r="Z226" s="0" t="n">
        <f aca="false">W_PH(Z$2,$A226)</f>
        <v>2426.62644768068</v>
      </c>
      <c r="AA226" s="0" t="n">
        <f aca="false">W_PH(AA$2,$A226)</f>
        <v>2426.61032765957</v>
      </c>
      <c r="AB226" s="0" t="n">
        <f aca="false">W_PH(AB$2,$A226)</f>
        <v>2426.59493831026</v>
      </c>
      <c r="AC226" s="0" t="n">
        <f aca="false">W_PH(AC$2,$A226)</f>
        <v>2426.58028241382</v>
      </c>
      <c r="AD226" s="0" t="n">
        <f aca="false">W_PH(AD$2,$A226)</f>
        <v>2426.56636271011</v>
      </c>
      <c r="AE226" s="0" t="n">
        <f aca="false">W_PH(AE$2,$A226)</f>
        <v>2426.55318189789</v>
      </c>
      <c r="AF226" s="0" t="n">
        <f aca="false">W_PH(AF$2,$A226)</f>
        <v>2426.54074263481</v>
      </c>
      <c r="AG226" s="0" t="n">
        <f aca="false">W_PH(AG$2,$A226)</f>
        <v>2426.52904753754</v>
      </c>
      <c r="AH226" s="0" t="n">
        <f aca="false">W_PH(AH$2,$A226)</f>
        <v>2426.45357219555</v>
      </c>
      <c r="AI226" s="0" t="n">
        <f aca="false">W_PH(AI$2,$A226)</f>
        <v>2426.45509073142</v>
      </c>
      <c r="AJ226" s="0" t="n">
        <f aca="false">W_PH(AJ$2,$A226)</f>
        <v>2426.54601243565</v>
      </c>
      <c r="AK226" s="0" t="n">
        <f aca="false">W_PH(AK$2,$A226)</f>
        <v>2426.70454005955</v>
      </c>
      <c r="AL226" s="0" t="n">
        <f aca="false">W_PH(AL$2,$A226)</f>
        <v>2426.94809075564</v>
      </c>
      <c r="AM226" s="0" t="n">
        <f aca="false">W_PH(AM$2,$A226)</f>
        <v>2427.27793260853</v>
      </c>
      <c r="AN226" s="0" t="n">
        <f aca="false">W_PH(AN$2,$A226)</f>
        <v>2427.69501677045</v>
      </c>
      <c r="AO226" s="0" t="n">
        <f aca="false">W_PH(AO$2,$A226)</f>
        <v>2428.19999872668</v>
      </c>
      <c r="AP226" s="0" t="n">
        <f aca="false">W_PH(AP$2,$A226)</f>
        <v>2428.79326045979</v>
      </c>
      <c r="AQ226" s="0" t="n">
        <f aca="false">W_PH(AQ$2,$A226)</f>
        <v>2439.51490712174</v>
      </c>
      <c r="AR226" s="0" t="n">
        <f aca="false">W_PH(AR$2,$A226)</f>
        <v>2442.767673828</v>
      </c>
      <c r="AS226" s="0" t="n">
        <f aca="false">W_PH(AS$2,$A226)</f>
        <v>2443.92780886447</v>
      </c>
    </row>
    <row r="227" customFormat="false" ht="12.8" hidden="false" customHeight="false" outlineLevel="0" collapsed="false">
      <c r="A227" s="0" t="n">
        <v>1663.80051590714</v>
      </c>
      <c r="B227" s="0" t="n">
        <f aca="false">W_PH(B$2,$A227)</f>
        <v>2015</v>
      </c>
      <c r="C227" s="0" t="n">
        <f aca="false">W_PH(C$2,$A227)</f>
        <v>2431.95404367159</v>
      </c>
      <c r="D227" s="0" t="n">
        <f aca="false">W_PH(D$2,$A227)</f>
        <v>2431.954027877</v>
      </c>
      <c r="E227" s="0" t="n">
        <f aca="false">W_PH(E$2,$A227)</f>
        <v>2431.95401208312</v>
      </c>
      <c r="F227" s="0" t="n">
        <f aca="false">W_PH(F$2,$A227)</f>
        <v>2431.95399628996</v>
      </c>
      <c r="G227" s="0" t="n">
        <f aca="false">W_PH(G$2,$A227)</f>
        <v>2431.95383839777</v>
      </c>
      <c r="H227" s="0" t="n">
        <f aca="false">W_PH(H$2,$A227)</f>
        <v>2431.95368057727</v>
      </c>
      <c r="I227" s="0" t="n">
        <f aca="false">W_PH(I$2,$A227)</f>
        <v>2431.95352282846</v>
      </c>
      <c r="J227" s="0" t="n">
        <f aca="false">W_PH(J$2,$A227)</f>
        <v>2431.95336515136</v>
      </c>
      <c r="K227" s="0" t="n">
        <f aca="false">W_PH(K$2,$A227)</f>
        <v>2431.95320754596</v>
      </c>
      <c r="L227" s="0" t="n">
        <f aca="false">W_PH(L$2,$A227)</f>
        <v>2431.95305001226</v>
      </c>
      <c r="M227" s="0" t="n">
        <f aca="false">W_PH(M$2,$A227)</f>
        <v>2431.95289255026</v>
      </c>
      <c r="N227" s="0" t="n">
        <f aca="false">W_PH(N$2,$A227)</f>
        <v>2431.95273515998</v>
      </c>
      <c r="O227" s="0" t="n">
        <f aca="false">W_PH(O$2,$A227)</f>
        <v>2431.95257784141</v>
      </c>
      <c r="P227" s="0" t="n">
        <f aca="false">W_PH(P$2,$A227)</f>
        <v>2431.95100860054</v>
      </c>
      <c r="Q227" s="0" t="n">
        <f aca="false">W_PH(Q$2,$A227)</f>
        <v>2431.94944653412</v>
      </c>
      <c r="R227" s="0" t="n">
        <f aca="false">W_PH(R$2,$A227)</f>
        <v>2431.94789164501</v>
      </c>
      <c r="S227" s="0" t="n">
        <f aca="false">W_PH(S$2,$A227)</f>
        <v>2431.9463439361</v>
      </c>
      <c r="T227" s="0" t="n">
        <f aca="false">W_PH(T$2,$A227)</f>
        <v>2431.94480341024</v>
      </c>
      <c r="U227" s="0" t="n">
        <f aca="false">W_PH(U$2,$A227)</f>
        <v>2431.94327007031</v>
      </c>
      <c r="V227" s="0" t="n">
        <f aca="false">W_PH(V$2,$A227)</f>
        <v>2431.94174391915</v>
      </c>
      <c r="W227" s="0" t="n">
        <f aca="false">W_PH(W$2,$A227)</f>
        <v>2431.94022495963</v>
      </c>
      <c r="X227" s="0" t="n">
        <f aca="false">W_PH(X$2,$A227)</f>
        <v>2431.9387131946</v>
      </c>
      <c r="Y227" s="0" t="n">
        <f aca="false">W_PH(Y$2,$A227)</f>
        <v>2431.92399186553</v>
      </c>
      <c r="Z227" s="0" t="n">
        <f aca="false">W_PH(Z$2,$A227)</f>
        <v>2431.90999309125</v>
      </c>
      <c r="AA227" s="0" t="n">
        <f aca="false">W_PH(AA$2,$A227)</f>
        <v>2431.89671965534</v>
      </c>
      <c r="AB227" s="0" t="n">
        <f aca="false">W_PH(AB$2,$A227)</f>
        <v>2431.88417430034</v>
      </c>
      <c r="AC227" s="0" t="n">
        <f aca="false">W_PH(AC$2,$A227)</f>
        <v>2431.87235972786</v>
      </c>
      <c r="AD227" s="0" t="n">
        <f aca="false">W_PH(AD$2,$A227)</f>
        <v>2431.86127859862</v>
      </c>
      <c r="AE227" s="0" t="n">
        <f aca="false">W_PH(AE$2,$A227)</f>
        <v>2431.85093353258</v>
      </c>
      <c r="AF227" s="0" t="n">
        <f aca="false">W_PH(AF$2,$A227)</f>
        <v>2431.841327109</v>
      </c>
      <c r="AG227" s="0" t="n">
        <f aca="false">W_PH(AG$2,$A227)</f>
        <v>2431.83246186651</v>
      </c>
      <c r="AH227" s="0" t="n">
        <f aca="false">W_PH(AH$2,$A227)</f>
        <v>2431.78510406895</v>
      </c>
      <c r="AI227" s="0" t="n">
        <f aca="false">W_PH(AI$2,$A227)</f>
        <v>2431.81435949772</v>
      </c>
      <c r="AJ227" s="0" t="n">
        <f aca="false">W_PH(AJ$2,$A227)</f>
        <v>2431.93258958441</v>
      </c>
      <c r="AK227" s="0" t="n">
        <f aca="false">W_PH(AK$2,$A227)</f>
        <v>2432.11786370518</v>
      </c>
      <c r="AL227" s="0" t="n">
        <f aca="false">W_PH(AL$2,$A227)</f>
        <v>2432.3872009168</v>
      </c>
      <c r="AM227" s="0" t="n">
        <f aca="false">W_PH(AM$2,$A227)</f>
        <v>2432.741786288</v>
      </c>
      <c r="AN227" s="0" t="n">
        <f aca="false">W_PH(AN$2,$A227)</f>
        <v>2433.18249673255</v>
      </c>
      <c r="AO227" s="0" t="n">
        <f aca="false">W_PH(AO$2,$A227)</f>
        <v>2433.7099225181</v>
      </c>
      <c r="AP227" s="0" t="n">
        <f aca="false">W_PH(AP$2,$A227)</f>
        <v>2434.32438948047</v>
      </c>
      <c r="AQ227" s="0" t="n">
        <f aca="false">W_PH(AQ$2,$A227)</f>
        <v>2445.18354264334</v>
      </c>
      <c r="AR227" s="0" t="n">
        <f aca="false">W_PH(AR$2,$A227)</f>
        <v>2448.44753031807</v>
      </c>
      <c r="AS227" s="0" t="n">
        <f aca="false">W_PH(AS$2,$A227)</f>
        <v>2449.61015151043</v>
      </c>
    </row>
    <row r="228" customFormat="false" ht="12.8" hidden="false" customHeight="false" outlineLevel="0" collapsed="false">
      <c r="A228" s="0" t="n">
        <v>1668.09974204643</v>
      </c>
      <c r="B228" s="0" t="n">
        <f aca="false">W_PH(B$2,$A228)</f>
        <v>2015</v>
      </c>
      <c r="C228" s="0" t="n">
        <f aca="false">W_PH(C$2,$A228)</f>
        <v>2437.20775557534</v>
      </c>
      <c r="D228" s="0" t="n">
        <f aca="false">W_PH(D$2,$A228)</f>
        <v>2437.20774260312</v>
      </c>
      <c r="E228" s="0" t="n">
        <f aca="false">W_PH(E$2,$A228)</f>
        <v>2437.20772963162</v>
      </c>
      <c r="F228" s="0" t="n">
        <f aca="false">W_PH(F$2,$A228)</f>
        <v>2437.20771666084</v>
      </c>
      <c r="G228" s="0" t="n">
        <f aca="false">W_PH(G$2,$A228)</f>
        <v>2437.2075869923</v>
      </c>
      <c r="H228" s="0" t="n">
        <f aca="false">W_PH(H$2,$A228)</f>
        <v>2437.20745739525</v>
      </c>
      <c r="I228" s="0" t="n">
        <f aca="false">W_PH(I$2,$A228)</f>
        <v>2437.20732786969</v>
      </c>
      <c r="J228" s="0" t="n">
        <f aca="false">W_PH(J$2,$A228)</f>
        <v>2437.20719841562</v>
      </c>
      <c r="K228" s="0" t="n">
        <f aca="false">W_PH(K$2,$A228)</f>
        <v>2437.20706903303</v>
      </c>
      <c r="L228" s="0" t="n">
        <f aca="false">W_PH(L$2,$A228)</f>
        <v>2437.20693972195</v>
      </c>
      <c r="M228" s="0" t="n">
        <f aca="false">W_PH(M$2,$A228)</f>
        <v>2437.20681048236</v>
      </c>
      <c r="N228" s="0" t="n">
        <f aca="false">W_PH(N$2,$A228)</f>
        <v>2437.20668131428</v>
      </c>
      <c r="O228" s="0" t="n">
        <f aca="false">W_PH(O$2,$A228)</f>
        <v>2437.2065522177</v>
      </c>
      <c r="P228" s="0" t="n">
        <f aca="false">W_PH(P$2,$A228)</f>
        <v>2437.20526518523</v>
      </c>
      <c r="Q228" s="0" t="n">
        <f aca="false">W_PH(Q$2,$A228)</f>
        <v>2437.20398530624</v>
      </c>
      <c r="R228" s="0" t="n">
        <f aca="false">W_PH(R$2,$A228)</f>
        <v>2437.20271258352</v>
      </c>
      <c r="S228" s="0" t="n">
        <f aca="false">W_PH(S$2,$A228)</f>
        <v>2437.20144701987</v>
      </c>
      <c r="T228" s="0" t="n">
        <f aca="false">W_PH(T$2,$A228)</f>
        <v>2437.20018861805</v>
      </c>
      <c r="U228" s="0" t="n">
        <f aca="false">W_PH(U$2,$A228)</f>
        <v>2437.19893738085</v>
      </c>
      <c r="V228" s="0" t="n">
        <f aca="false">W_PH(V$2,$A228)</f>
        <v>2437.19769331104</v>
      </c>
      <c r="W228" s="0" t="n">
        <f aca="false">W_PH(W$2,$A228)</f>
        <v>2437.1964564114</v>
      </c>
      <c r="X228" s="0" t="n">
        <f aca="false">W_PH(X$2,$A228)</f>
        <v>2437.19522668468</v>
      </c>
      <c r="Y228" s="0" t="n">
        <f aca="false">W_PH(Y$2,$A228)</f>
        <v>2437.18332453424</v>
      </c>
      <c r="Z228" s="0" t="n">
        <f aca="false">W_PH(Z$2,$A228)</f>
        <v>2437.17214268904</v>
      </c>
      <c r="AA228" s="0" t="n">
        <f aca="false">W_PH(AA$2,$A228)</f>
        <v>2437.16168384789</v>
      </c>
      <c r="AB228" s="0" t="n">
        <f aca="false">W_PH(AB$2,$A228)</f>
        <v>2437.15195066895</v>
      </c>
      <c r="AC228" s="0" t="n">
        <f aca="false">W_PH(AC$2,$A228)</f>
        <v>2437.14294576986</v>
      </c>
      <c r="AD228" s="0" t="n">
        <f aca="false">W_PH(AD$2,$A228)</f>
        <v>2437.13467172783</v>
      </c>
      <c r="AE228" s="0" t="n">
        <f aca="false">W_PH(AE$2,$A228)</f>
        <v>2437.12713107973</v>
      </c>
      <c r="AF228" s="0" t="n">
        <f aca="false">W_PH(AF$2,$A228)</f>
        <v>2437.1203263222</v>
      </c>
      <c r="AG228" s="0" t="n">
        <f aca="false">W_PH(AG$2,$A228)</f>
        <v>2437.11425991175</v>
      </c>
      <c r="AH228" s="0" t="n">
        <f aca="false">W_PH(AH$2,$A228)</f>
        <v>2437.09471688016</v>
      </c>
      <c r="AI228" s="0" t="n">
        <f aca="false">W_PH(AI$2,$A228)</f>
        <v>2437.15141759384</v>
      </c>
      <c r="AJ228" s="0" t="n">
        <f aca="false">W_PH(AJ$2,$A228)</f>
        <v>2437.29663654107</v>
      </c>
      <c r="AK228" s="0" t="n">
        <f aca="false">W_PH(AK$2,$A228)</f>
        <v>2437.50837691101</v>
      </c>
      <c r="AL228" s="0" t="n">
        <f aca="false">W_PH(AL$2,$A228)</f>
        <v>2437.80323719765</v>
      </c>
      <c r="AM228" s="0" t="n">
        <f aca="false">W_PH(AM$2,$A228)</f>
        <v>2438.18232001012</v>
      </c>
      <c r="AN228" s="0" t="n">
        <f aca="false">W_PH(AN$2,$A228)</f>
        <v>2438.64642875283</v>
      </c>
      <c r="AO228" s="0" t="n">
        <f aca="false">W_PH(AO$2,$A228)</f>
        <v>2439.19608929076</v>
      </c>
      <c r="AP228" s="0" t="n">
        <f aca="false">W_PH(AP$2,$A228)</f>
        <v>2439.83157214257</v>
      </c>
      <c r="AQ228" s="0" t="n">
        <f aca="false">W_PH(AQ$2,$A228)</f>
        <v>2450.82753046625</v>
      </c>
      <c r="AR228" s="0" t="n">
        <f aca="false">W_PH(AR$2,$A228)</f>
        <v>2454.10285720542</v>
      </c>
      <c r="AS228" s="0" t="n">
        <f aca="false">W_PH(AS$2,$A228)</f>
        <v>2455.26802068889</v>
      </c>
    </row>
    <row r="229" customFormat="false" ht="12.8" hidden="false" customHeight="false" outlineLevel="0" collapsed="false">
      <c r="A229" s="0" t="n">
        <v>1672.39896818573</v>
      </c>
      <c r="B229" s="0" t="n">
        <f aca="false">W_PH(B$2,$A229)</f>
        <v>2015</v>
      </c>
      <c r="C229" s="0" t="n">
        <f aca="false">W_PH(C$2,$A229)</f>
        <v>2442.44037108845</v>
      </c>
      <c r="D229" s="0" t="n">
        <f aca="false">W_PH(D$2,$A229)</f>
        <v>2442.44036090703</v>
      </c>
      <c r="E229" s="0" t="n">
        <f aca="false">W_PH(E$2,$A229)</f>
        <v>2442.44035072632</v>
      </c>
      <c r="F229" s="0" t="n">
        <f aca="false">W_PH(F$2,$A229)</f>
        <v>2442.44034054632</v>
      </c>
      <c r="G229" s="0" t="n">
        <f aca="false">W_PH(G$2,$A229)</f>
        <v>2442.44023878557</v>
      </c>
      <c r="H229" s="0" t="n">
        <f aca="false">W_PH(H$2,$A229)</f>
        <v>2442.44013709611</v>
      </c>
      <c r="I229" s="0" t="n">
        <f aca="false">W_PH(I$2,$A229)</f>
        <v>2442.44003547794</v>
      </c>
      <c r="J229" s="0" t="n">
        <f aca="false">W_PH(J$2,$A229)</f>
        <v>2442.43993393107</v>
      </c>
      <c r="K229" s="0" t="n">
        <f aca="false">W_PH(K$2,$A229)</f>
        <v>2442.43983245551</v>
      </c>
      <c r="L229" s="0" t="n">
        <f aca="false">W_PH(L$2,$A229)</f>
        <v>2442.43973105124</v>
      </c>
      <c r="M229" s="0" t="n">
        <f aca="false">W_PH(M$2,$A229)</f>
        <v>2442.43962971829</v>
      </c>
      <c r="N229" s="0" t="n">
        <f aca="false">W_PH(N$2,$A229)</f>
        <v>2442.43952845664</v>
      </c>
      <c r="O229" s="0" t="n">
        <f aca="false">W_PH(O$2,$A229)</f>
        <v>2442.4394272663</v>
      </c>
      <c r="P229" s="0" t="n">
        <f aca="false">W_PH(P$2,$A229)</f>
        <v>2442.43841928567</v>
      </c>
      <c r="Q229" s="0" t="n">
        <f aca="false">W_PH(Q$2,$A229)</f>
        <v>2442.43741843917</v>
      </c>
      <c r="R229" s="0" t="n">
        <f aca="false">W_PH(R$2,$A229)</f>
        <v>2442.43642472951</v>
      </c>
      <c r="S229" s="0" t="n">
        <f aca="false">W_PH(S$2,$A229)</f>
        <v>2442.43543815938</v>
      </c>
      <c r="T229" s="0" t="n">
        <f aca="false">W_PH(T$2,$A229)</f>
        <v>2442.43445873147</v>
      </c>
      <c r="U229" s="0" t="n">
        <f aca="false">W_PH(U$2,$A229)</f>
        <v>2442.43348644848</v>
      </c>
      <c r="V229" s="0" t="n">
        <f aca="false">W_PH(V$2,$A229)</f>
        <v>2442.43252131308</v>
      </c>
      <c r="W229" s="0" t="n">
        <f aca="false">W_PH(W$2,$A229)</f>
        <v>2442.43156332796</v>
      </c>
      <c r="X229" s="0" t="n">
        <f aca="false">W_PH(X$2,$A229)</f>
        <v>2442.43061249579</v>
      </c>
      <c r="Y229" s="0" t="n">
        <f aca="false">W_PH(Y$2,$A229)</f>
        <v>2442.4214981724</v>
      </c>
      <c r="Z229" s="0" t="n">
        <f aca="false">W_PH(Z$2,$A229)</f>
        <v>2442.41310205825</v>
      </c>
      <c r="AA229" s="0" t="n">
        <f aca="false">W_PH(AA$2,$A229)</f>
        <v>2442.40542676315</v>
      </c>
      <c r="AB229" s="0" t="n">
        <f aca="false">W_PH(AB$2,$A229)</f>
        <v>2442.39847485676</v>
      </c>
      <c r="AC229" s="0" t="n">
        <f aca="false">W_PH(AC$2,$A229)</f>
        <v>2442.39224886873</v>
      </c>
      <c r="AD229" s="0" t="n">
        <f aca="false">W_PH(AD$2,$A229)</f>
        <v>2442.3867512888</v>
      </c>
      <c r="AE229" s="0" t="n">
        <f aca="false">W_PH(AE$2,$A229)</f>
        <v>2442.38198456688</v>
      </c>
      <c r="AF229" s="0" t="n">
        <f aca="false">W_PH(AF$2,$A229)</f>
        <v>2442.37795111326</v>
      </c>
      <c r="AG229" s="0" t="n">
        <f aca="false">W_PH(AG$2,$A229)</f>
        <v>2442.37465329865</v>
      </c>
      <c r="AH229" s="0" t="n">
        <f aca="false">W_PH(AH$2,$A229)</f>
        <v>2442.38262884545</v>
      </c>
      <c r="AI229" s="0" t="n">
        <f aca="false">W_PH(AI$2,$A229)</f>
        <v>2442.46648776367</v>
      </c>
      <c r="AJ229" s="0" t="n">
        <f aca="false">W_PH(AJ$2,$A229)</f>
        <v>2442.63837654654</v>
      </c>
      <c r="AK229" s="0" t="n">
        <f aca="false">W_PH(AK$2,$A229)</f>
        <v>2442.87630571115</v>
      </c>
      <c r="AL229" s="0" t="n">
        <f aca="false">W_PH(AL$2,$A229)</f>
        <v>2443.19642784173</v>
      </c>
      <c r="AM229" s="0" t="n">
        <f aca="false">W_PH(AM$2,$A229)</f>
        <v>2443.59976372604</v>
      </c>
      <c r="AN229" s="0" t="n">
        <f aca="false">W_PH(AN$2,$A229)</f>
        <v>2444.0870440411</v>
      </c>
      <c r="AO229" s="0" t="n">
        <f aca="false">W_PH(AO$2,$A229)</f>
        <v>2444.65873109369</v>
      </c>
      <c r="AP229" s="0" t="n">
        <f aca="false">W_PH(AP$2,$A229)</f>
        <v>2445.31504092576</v>
      </c>
      <c r="AQ229" s="0" t="n">
        <f aca="false">W_PH(AQ$2,$A229)</f>
        <v>2456.44707989755</v>
      </c>
      <c r="AR229" s="0" t="n">
        <f aca="false">W_PH(AR$2,$A229)</f>
        <v>2459.73385067219</v>
      </c>
      <c r="AS229" s="0" t="n">
        <f aca="false">W_PH(AS$2,$A229)</f>
        <v>2460.90160739368</v>
      </c>
    </row>
    <row r="230" customFormat="false" ht="12.8" hidden="false" customHeight="false" outlineLevel="0" collapsed="false">
      <c r="A230" s="0" t="n">
        <v>1676.69819432502</v>
      </c>
      <c r="B230" s="0" t="n">
        <f aca="false">W_PH(B$2,$A230)</f>
        <v>2015</v>
      </c>
      <c r="C230" s="0" t="n">
        <f aca="false">W_PH(C$2,$A230)</f>
        <v>2447.65208944971</v>
      </c>
      <c r="D230" s="0" t="n">
        <f aca="false">W_PH(D$2,$A230)</f>
        <v>2447.65208202848</v>
      </c>
      <c r="E230" s="0" t="n">
        <f aca="false">W_PH(E$2,$A230)</f>
        <v>2447.65207460796</v>
      </c>
      <c r="F230" s="0" t="n">
        <f aca="false">W_PH(F$2,$A230)</f>
        <v>2447.65206718815</v>
      </c>
      <c r="G230" s="0" t="n">
        <f aca="false">W_PH(G$2,$A230)</f>
        <v>2447.65199302919</v>
      </c>
      <c r="H230" s="0" t="n">
        <f aca="false">W_PH(H$2,$A230)</f>
        <v>2447.65191894134</v>
      </c>
      <c r="I230" s="0" t="n">
        <f aca="false">W_PH(I$2,$A230)</f>
        <v>2447.65184492461</v>
      </c>
      <c r="J230" s="0" t="n">
        <f aca="false">W_PH(J$2,$A230)</f>
        <v>2447.651770979</v>
      </c>
      <c r="K230" s="0" t="n">
        <f aca="false">W_PH(K$2,$A230)</f>
        <v>2447.65169710451</v>
      </c>
      <c r="L230" s="0" t="n">
        <f aca="false">W_PH(L$2,$A230)</f>
        <v>2447.65162330115</v>
      </c>
      <c r="M230" s="0" t="n">
        <f aca="false">W_PH(M$2,$A230)</f>
        <v>2447.65154956891</v>
      </c>
      <c r="N230" s="0" t="n">
        <f aca="false">W_PH(N$2,$A230)</f>
        <v>2447.6514759078</v>
      </c>
      <c r="O230" s="0" t="n">
        <f aca="false">W_PH(O$2,$A230)</f>
        <v>2447.65140231783</v>
      </c>
      <c r="P230" s="0" t="n">
        <f aca="false">W_PH(P$2,$A230)</f>
        <v>2447.65067033094</v>
      </c>
      <c r="Q230" s="0" t="n">
        <f aca="false">W_PH(Q$2,$A230)</f>
        <v>2447.64994546017</v>
      </c>
      <c r="R230" s="0" t="n">
        <f aca="false">W_PH(R$2,$A230)</f>
        <v>2447.64922770813</v>
      </c>
      <c r="S230" s="0" t="n">
        <f aca="false">W_PH(S$2,$A230)</f>
        <v>2447.64851707743</v>
      </c>
      <c r="T230" s="0" t="n">
        <f aca="false">W_PH(T$2,$A230)</f>
        <v>2447.64781357065</v>
      </c>
      <c r="U230" s="0" t="n">
        <f aca="false">W_PH(U$2,$A230)</f>
        <v>2447.64711719039</v>
      </c>
      <c r="V230" s="0" t="n">
        <f aca="false">W_PH(V$2,$A230)</f>
        <v>2447.64642793925</v>
      </c>
      <c r="W230" s="0" t="n">
        <f aca="false">W_PH(W$2,$A230)</f>
        <v>2447.64574581981</v>
      </c>
      <c r="X230" s="0" t="n">
        <f aca="false">W_PH(X$2,$A230)</f>
        <v>2447.64507083466</v>
      </c>
      <c r="Y230" s="0" t="n">
        <f aca="false">W_PH(Y$2,$A230)</f>
        <v>2447.63871393399</v>
      </c>
      <c r="Z230" s="0" t="n">
        <f aca="false">W_PH(Z$2,$A230)</f>
        <v>2447.63307327295</v>
      </c>
      <c r="AA230" s="0" t="n">
        <f aca="false">W_PH(AA$2,$A230)</f>
        <v>2447.62815136858</v>
      </c>
      <c r="AB230" s="0" t="n">
        <f aca="false">W_PH(AB$2,$A230)</f>
        <v>2447.62395069837</v>
      </c>
      <c r="AC230" s="0" t="n">
        <f aca="false">W_PH(AC$2,$A230)</f>
        <v>2447.62047370037</v>
      </c>
      <c r="AD230" s="0" t="n">
        <f aca="false">W_PH(AD$2,$A230)</f>
        <v>2447.61772277332</v>
      </c>
      <c r="AE230" s="0" t="n">
        <f aca="false">W_PH(AE$2,$A230)</f>
        <v>2447.6157002768</v>
      </c>
      <c r="AF230" s="0" t="n">
        <f aca="false">W_PH(AF$2,$A230)</f>
        <v>2447.61440853136</v>
      </c>
      <c r="AG230" s="0" t="n">
        <f aca="false">W_PH(AG$2,$A230)</f>
        <v>2447.61384981863</v>
      </c>
      <c r="AH230" s="0" t="n">
        <f aca="false">W_PH(AH$2,$A230)</f>
        <v>2447.64905393553</v>
      </c>
      <c r="AI230" s="0" t="n">
        <f aca="false">W_PH(AI$2,$A230)</f>
        <v>2447.75978813887</v>
      </c>
      <c r="AJ230" s="0" t="n">
        <f aca="false">W_PH(AJ$2,$A230)</f>
        <v>2447.95802826651</v>
      </c>
      <c r="AK230" s="0" t="n">
        <f aca="false">W_PH(AK$2,$A230)</f>
        <v>2448.22187145575</v>
      </c>
      <c r="AL230" s="0" t="n">
        <f aca="false">W_PH(AL$2,$A230)</f>
        <v>2448.56699631499</v>
      </c>
      <c r="AM230" s="0" t="n">
        <f aca="false">W_PH(AM$2,$A230)</f>
        <v>2448.99434252839</v>
      </c>
      <c r="AN230" s="0" t="n">
        <f aca="false">W_PH(AN$2,$A230)</f>
        <v>2449.50456887909</v>
      </c>
      <c r="AO230" s="0" t="n">
        <f aca="false">W_PH(AO$2,$A230)</f>
        <v>2450.09807498889</v>
      </c>
      <c r="AP230" s="0" t="n">
        <f aca="false">W_PH(AP$2,$A230)</f>
        <v>2450.77502327411</v>
      </c>
      <c r="AQ230" s="0" t="n">
        <f aca="false">W_PH(AQ$2,$A230)</f>
        <v>2462.04239543243</v>
      </c>
      <c r="AR230" s="0" t="n">
        <f aca="false">W_PH(AR$2,$A230)</f>
        <v>2465.34070234271</v>
      </c>
      <c r="AS230" s="0" t="n">
        <f aca="false">W_PH(AS$2,$A230)</f>
        <v>2466.51109816479</v>
      </c>
    </row>
    <row r="231" customFormat="false" ht="12.8" hidden="false" customHeight="false" outlineLevel="0" collapsed="false">
      <c r="A231" s="0" t="n">
        <v>1680.99742046432</v>
      </c>
      <c r="B231" s="0" t="n">
        <f aca="false">W_PH(B$2,$A231)</f>
        <v>2015</v>
      </c>
      <c r="C231" s="0" t="n">
        <f aca="false">W_PH(C$2,$A231)</f>
        <v>2452.84310655937</v>
      </c>
      <c r="D231" s="0" t="n">
        <f aca="false">W_PH(D$2,$A231)</f>
        <v>2452.84310186868</v>
      </c>
      <c r="E231" s="0" t="n">
        <f aca="false">W_PH(E$2,$A231)</f>
        <v>2452.84309717869</v>
      </c>
      <c r="F231" s="0" t="n">
        <f aca="false">W_PH(F$2,$A231)</f>
        <v>2452.84309248941</v>
      </c>
      <c r="G231" s="0" t="n">
        <f aca="false">W_PH(G$2,$A231)</f>
        <v>2452.84304563562</v>
      </c>
      <c r="H231" s="0" t="n">
        <f aca="false">W_PH(H$2,$A231)</f>
        <v>2452.84299885278</v>
      </c>
      <c r="I231" s="0" t="n">
        <f aca="false">W_PH(I$2,$A231)</f>
        <v>2452.84295214089</v>
      </c>
      <c r="J231" s="0" t="n">
        <f aca="false">W_PH(J$2,$A231)</f>
        <v>2452.84290549995</v>
      </c>
      <c r="K231" s="0" t="n">
        <f aca="false">W_PH(K$2,$A231)</f>
        <v>2452.84285892997</v>
      </c>
      <c r="L231" s="0" t="n">
        <f aca="false">W_PH(L$2,$A231)</f>
        <v>2452.84281243094</v>
      </c>
      <c r="M231" s="0" t="n">
        <f aca="false">W_PH(M$2,$A231)</f>
        <v>2452.84276600287</v>
      </c>
      <c r="N231" s="0" t="n">
        <f aca="false">W_PH(N$2,$A231)</f>
        <v>2452.84271964576</v>
      </c>
      <c r="O231" s="0" t="n">
        <f aca="false">W_PH(O$2,$A231)</f>
        <v>2452.84267335961</v>
      </c>
      <c r="P231" s="0" t="n">
        <f aca="false">W_PH(P$2,$A231)</f>
        <v>2452.84221440175</v>
      </c>
      <c r="Q231" s="0" t="n">
        <f aca="false">W_PH(Q$2,$A231)</f>
        <v>2452.84176254306</v>
      </c>
      <c r="R231" s="0" t="n">
        <f aca="false">W_PH(R$2,$A231)</f>
        <v>2452.84131778605</v>
      </c>
      <c r="S231" s="0" t="n">
        <f aca="false">W_PH(S$2,$A231)</f>
        <v>2452.84088013322</v>
      </c>
      <c r="T231" s="0" t="n">
        <f aca="false">W_PH(T$2,$A231)</f>
        <v>2452.84044958708</v>
      </c>
      <c r="U231" s="0" t="n">
        <f aca="false">W_PH(U$2,$A231)</f>
        <v>2452.84002615013</v>
      </c>
      <c r="V231" s="0" t="n">
        <f aca="false">W_PH(V$2,$A231)</f>
        <v>2452.83960982485</v>
      </c>
      <c r="W231" s="0" t="n">
        <f aca="false">W_PH(W$2,$A231)</f>
        <v>2452.83920061373</v>
      </c>
      <c r="X231" s="0" t="n">
        <f aca="false">W_PH(X$2,$A231)</f>
        <v>2452.83879851927</v>
      </c>
      <c r="Y231" s="0" t="n">
        <f aca="false">W_PH(Y$2,$A231)</f>
        <v>2452.83516953443</v>
      </c>
      <c r="Z231" s="0" t="n">
        <f aca="false">W_PH(Z$2,$A231)</f>
        <v>2452.83225491962</v>
      </c>
      <c r="AA231" s="0" t="n">
        <f aca="false">W_PH(AA$2,$A231)</f>
        <v>2452.83005709578</v>
      </c>
      <c r="AB231" s="0" t="n">
        <f aca="false">W_PH(AB$2,$A231)</f>
        <v>2452.82857844496</v>
      </c>
      <c r="AC231" s="0" t="n">
        <f aca="false">W_PH(AC$2,$A231)</f>
        <v>2452.82782131042</v>
      </c>
      <c r="AD231" s="0" t="n">
        <f aca="false">W_PH(AD$2,$A231)</f>
        <v>2452.82778799685</v>
      </c>
      <c r="AE231" s="0" t="n">
        <f aca="false">W_PH(AE$2,$A231)</f>
        <v>2452.82848077043</v>
      </c>
      <c r="AF231" s="0" t="n">
        <f aca="false">W_PH(AF$2,$A231)</f>
        <v>2452.82990185903</v>
      </c>
      <c r="AG231" s="0" t="n">
        <f aca="false">W_PH(AG$2,$A231)</f>
        <v>2452.83205345235</v>
      </c>
      <c r="AH231" s="0" t="n">
        <f aca="false">W_PH(AH$2,$A231)</f>
        <v>2452.89420190002</v>
      </c>
      <c r="AI231" s="0" t="n">
        <f aca="false">W_PH(AI$2,$A231)</f>
        <v>2453.03153226557</v>
      </c>
      <c r="AJ231" s="0" t="n">
        <f aca="false">W_PH(AJ$2,$A231)</f>
        <v>2453.25580585651</v>
      </c>
      <c r="AK231" s="0" t="n">
        <f aca="false">W_PH(AK$2,$A231)</f>
        <v>2453.54529088141</v>
      </c>
      <c r="AL231" s="0" t="n">
        <f aca="false">W_PH(AL$2,$A231)</f>
        <v>2453.91516138048</v>
      </c>
      <c r="AM231" s="0" t="n">
        <f aca="false">W_PH(AM$2,$A231)</f>
        <v>2454.3662767292</v>
      </c>
      <c r="AN231" s="0" t="n">
        <f aca="false">W_PH(AN$2,$A231)</f>
        <v>2454.89922470018</v>
      </c>
      <c r="AO231" s="0" t="n">
        <f aca="false">W_PH(AO$2,$A231)</f>
        <v>2455.51434313162</v>
      </c>
      <c r="AP231" s="0" t="n">
        <f aca="false">W_PH(AP$2,$A231)</f>
        <v>2456.21174167569</v>
      </c>
      <c r="AQ231" s="0" t="n">
        <f aca="false">W_PH(AQ$2,$A231)</f>
        <v>2467.61367675374</v>
      </c>
      <c r="AR231" s="0" t="n">
        <f aca="false">W_PH(AR$2,$A231)</f>
        <v>2470.92359925209</v>
      </c>
      <c r="AS231" s="0" t="n">
        <f aca="false">W_PH(AS$2,$A231)</f>
        <v>2472.09667504579</v>
      </c>
    </row>
    <row r="232" customFormat="false" ht="12.8" hidden="false" customHeight="false" outlineLevel="0" collapsed="false">
      <c r="A232" s="0" t="n">
        <v>1685.29664660361</v>
      </c>
      <c r="B232" s="0" t="n">
        <f aca="false">W_PH(B$2,$A232)</f>
        <v>2015</v>
      </c>
      <c r="C232" s="0" t="n">
        <f aca="false">W_PH(C$2,$A232)</f>
        <v>2458.01361500081</v>
      </c>
      <c r="D232" s="0" t="n">
        <f aca="false">W_PH(D$2,$A232)</f>
        <v>2458.01361301187</v>
      </c>
      <c r="E232" s="0" t="n">
        <f aca="false">W_PH(E$2,$A232)</f>
        <v>2458.01361102363</v>
      </c>
      <c r="F232" s="0" t="n">
        <f aca="false">W_PH(F$2,$A232)</f>
        <v>2458.0136090361</v>
      </c>
      <c r="G232" s="0" t="n">
        <f aca="false">W_PH(G$2,$A232)</f>
        <v>2458.01358919974</v>
      </c>
      <c r="H232" s="0" t="n">
        <f aca="false">W_PH(H$2,$A232)</f>
        <v>2458.01356943417</v>
      </c>
      <c r="I232" s="0" t="n">
        <f aca="false">W_PH(I$2,$A232)</f>
        <v>2458.01354973938</v>
      </c>
      <c r="J232" s="0" t="n">
        <f aca="false">W_PH(J$2,$A232)</f>
        <v>2458.01353011539</v>
      </c>
      <c r="K232" s="0" t="n">
        <f aca="false">W_PH(K$2,$A232)</f>
        <v>2458.01351056219</v>
      </c>
      <c r="L232" s="0" t="n">
        <f aca="false">W_PH(L$2,$A232)</f>
        <v>2458.01349107979</v>
      </c>
      <c r="M232" s="0" t="n">
        <f aca="false">W_PH(M$2,$A232)</f>
        <v>2458.01347166819</v>
      </c>
      <c r="N232" s="0" t="n">
        <f aca="false">W_PH(N$2,$A232)</f>
        <v>2458.01345232739</v>
      </c>
      <c r="O232" s="0" t="n">
        <f aca="false">W_PH(O$2,$A232)</f>
        <v>2458.01343305739</v>
      </c>
      <c r="P232" s="0" t="n">
        <f aca="false">W_PH(P$2,$A232)</f>
        <v>2458.01324425214</v>
      </c>
      <c r="Q232" s="0" t="n">
        <f aca="false">W_PH(Q$2,$A232)</f>
        <v>2458.0130625299</v>
      </c>
      <c r="R232" s="0" t="n">
        <f aca="false">W_PH(R$2,$A232)</f>
        <v>2458.0128878931</v>
      </c>
      <c r="S232" s="0" t="n">
        <f aca="false">W_PH(S$2,$A232)</f>
        <v>2458.01272034412</v>
      </c>
      <c r="T232" s="0" t="n">
        <f aca="false">W_PH(T$2,$A232)</f>
        <v>2458.01255988538</v>
      </c>
      <c r="U232" s="0" t="n">
        <f aca="false">W_PH(U$2,$A232)</f>
        <v>2458.01240651926</v>
      </c>
      <c r="V232" s="0" t="n">
        <f aca="false">W_PH(V$2,$A232)</f>
        <v>2458.01226024817</v>
      </c>
      <c r="W232" s="0" t="n">
        <f aca="false">W_PH(W$2,$A232)</f>
        <v>2458.01212107449</v>
      </c>
      <c r="X232" s="0" t="n">
        <f aca="false">W_PH(X$2,$A232)</f>
        <v>2458.0119890006</v>
      </c>
      <c r="Y232" s="0" t="n">
        <f aca="false">W_PH(Y$2,$A232)</f>
        <v>2458.01105927251</v>
      </c>
      <c r="Z232" s="0" t="n">
        <f aca="false">W_PH(Z$2,$A232)</f>
        <v>2458.01084211922</v>
      </c>
      <c r="AA232" s="0" t="n">
        <f aca="false">W_PH(AA$2,$A232)</f>
        <v>2458.01133986266</v>
      </c>
      <c r="AB232" s="0" t="n">
        <f aca="false">W_PH(AB$2,$A232)</f>
        <v>2458.0125547866</v>
      </c>
      <c r="AC232" s="0" t="n">
        <f aca="false">W_PH(AC$2,$A232)</f>
        <v>2458.01448913677</v>
      </c>
      <c r="AD232" s="0" t="n">
        <f aca="false">W_PH(AD$2,$A232)</f>
        <v>2458.01714512105</v>
      </c>
      <c r="AE232" s="0" t="n">
        <f aca="false">W_PH(AE$2,$A232)</f>
        <v>2458.02052490961</v>
      </c>
      <c r="AF232" s="0" t="n">
        <f aca="false">W_PH(AF$2,$A232)</f>
        <v>2458.02463063508</v>
      </c>
      <c r="AG232" s="0" t="n">
        <f aca="false">W_PH(AG$2,$A232)</f>
        <v>2458.02946439269</v>
      </c>
      <c r="AH232" s="0" t="n">
        <f aca="false">W_PH(AH$2,$A232)</f>
        <v>2458.11827829202</v>
      </c>
      <c r="AI232" s="0" t="n">
        <f aca="false">W_PH(AI$2,$A232)</f>
        <v>2458.28192913146</v>
      </c>
      <c r="AJ232" s="0" t="n">
        <f aca="false">W_PH(AJ$2,$A232)</f>
        <v>2458.53191902514</v>
      </c>
      <c r="AK232" s="0" t="n">
        <f aca="false">W_PH(AK$2,$A232)</f>
        <v>2458.84677617979</v>
      </c>
      <c r="AL232" s="0" t="n">
        <f aca="false">W_PH(AL$2,$A232)</f>
        <v>2459.24113717133</v>
      </c>
      <c r="AM232" s="0" t="n">
        <f aca="false">W_PH(AM$2,$A232)</f>
        <v>2459.71578193593</v>
      </c>
      <c r="AN232" s="0" t="n">
        <f aca="false">W_PH(AN$2,$A232)</f>
        <v>2460.27122816755</v>
      </c>
      <c r="AO232" s="0" t="n">
        <f aca="false">W_PH(AO$2,$A232)</f>
        <v>2460.90775284939</v>
      </c>
      <c r="AP232" s="0" t="n">
        <f aca="false">W_PH(AP$2,$A232)</f>
        <v>2461.62541374114</v>
      </c>
      <c r="AQ232" s="0" t="n">
        <f aca="false">W_PH(AQ$2,$A232)</f>
        <v>2473.16111873497</v>
      </c>
      <c r="AR232" s="0" t="n">
        <f aca="false">W_PH(AR$2,$A232)</f>
        <v>2476.48272381852</v>
      </c>
      <c r="AS232" s="0" t="n">
        <f aca="false">W_PH(AS$2,$A232)</f>
        <v>2477.65851554476</v>
      </c>
    </row>
    <row r="233" customFormat="false" ht="12.8" hidden="false" customHeight="false" outlineLevel="0" collapsed="false">
      <c r="A233" s="0" t="n">
        <v>1689.59587274291</v>
      </c>
      <c r="B233" s="0" t="n">
        <f aca="false">W_PH(B$2,$A233)</f>
        <v>2015</v>
      </c>
      <c r="C233" s="0" t="n">
        <f aca="false">W_PH(C$2,$A233)</f>
        <v>2463.16380406193</v>
      </c>
      <c r="D233" s="0" t="n">
        <f aca="false">W_PH(D$2,$A233)</f>
        <v>2463.1638047468</v>
      </c>
      <c r="E233" s="0" t="n">
        <f aca="false">W_PH(E$2,$A233)</f>
        <v>2463.16380543238</v>
      </c>
      <c r="F233" s="0" t="n">
        <f aca="false">W_PH(F$2,$A233)</f>
        <v>2463.16380611866</v>
      </c>
      <c r="G233" s="0" t="n">
        <f aca="false">W_PH(G$2,$A233)</f>
        <v>2463.16381302034</v>
      </c>
      <c r="H233" s="0" t="n">
        <f aca="false">W_PH(H$2,$A233)</f>
        <v>2463.16381999264</v>
      </c>
      <c r="I233" s="0" t="n">
        <f aca="false">W_PH(I$2,$A233)</f>
        <v>2463.16382703559</v>
      </c>
      <c r="J233" s="0" t="n">
        <f aca="false">W_PH(J$2,$A233)</f>
        <v>2463.16383414917</v>
      </c>
      <c r="K233" s="0" t="n">
        <f aca="false">W_PH(K$2,$A233)</f>
        <v>2463.16384133339</v>
      </c>
      <c r="L233" s="0" t="n">
        <f aca="false">W_PH(L$2,$A233)</f>
        <v>2463.16384858825</v>
      </c>
      <c r="M233" s="0" t="n">
        <f aca="false">W_PH(M$2,$A233)</f>
        <v>2463.16385591375</v>
      </c>
      <c r="N233" s="0" t="n">
        <f aca="false">W_PH(N$2,$A233)</f>
        <v>2463.16386330991</v>
      </c>
      <c r="O233" s="0" t="n">
        <f aca="false">W_PH(O$2,$A233)</f>
        <v>2463.16387077671</v>
      </c>
      <c r="P233" s="0" t="n">
        <f aca="false">W_PH(P$2,$A233)</f>
        <v>2463.1639493309</v>
      </c>
      <c r="Q233" s="0" t="n">
        <f aca="false">W_PH(Q$2,$A233)</f>
        <v>2463.1640349525</v>
      </c>
      <c r="R233" s="0" t="n">
        <f aca="false">W_PH(R$2,$A233)</f>
        <v>2463.16412764381</v>
      </c>
      <c r="S233" s="0" t="n">
        <f aca="false">W_PH(S$2,$A233)</f>
        <v>2463.16422740714</v>
      </c>
      <c r="T233" s="0" t="n">
        <f aca="false">W_PH(T$2,$A233)</f>
        <v>2463.16433424478</v>
      </c>
      <c r="U233" s="0" t="n">
        <f aca="false">W_PH(U$2,$A233)</f>
        <v>2463.16444815903</v>
      </c>
      <c r="V233" s="0" t="n">
        <f aca="false">W_PH(V$2,$A233)</f>
        <v>2463.16456915217</v>
      </c>
      <c r="W233" s="0" t="n">
        <f aca="false">W_PH(W$2,$A233)</f>
        <v>2463.16469722649</v>
      </c>
      <c r="X233" s="0" t="n">
        <f aca="false">W_PH(X$2,$A233)</f>
        <v>2463.16483238428</v>
      </c>
      <c r="Y233" s="0" t="n">
        <f aca="false">W_PH(Y$2,$A233)</f>
        <v>2463.16657405214</v>
      </c>
      <c r="Z233" s="0" t="n">
        <f aca="false">W_PH(Z$2,$A233)</f>
        <v>2463.16902654913</v>
      </c>
      <c r="AA233" s="0" t="n">
        <f aca="false">W_PH(AA$2,$A233)</f>
        <v>2463.17219209564</v>
      </c>
      <c r="AB233" s="0" t="n">
        <f aca="false">W_PH(AB$2,$A233)</f>
        <v>2463.17607287469</v>
      </c>
      <c r="AC233" s="0" t="n">
        <f aca="false">W_PH(AC$2,$A233)</f>
        <v>2463.18067103207</v>
      </c>
      <c r="AD233" s="0" t="n">
        <f aca="false">W_PH(AD$2,$A233)</f>
        <v>2463.18598867656</v>
      </c>
      <c r="AE233" s="0" t="n">
        <f aca="false">W_PH(AE$2,$A233)</f>
        <v>2463.19202788003</v>
      </c>
      <c r="AF233" s="0" t="n">
        <f aca="false">W_PH(AF$2,$A233)</f>
        <v>2463.19879067764</v>
      </c>
      <c r="AG233" s="0" t="n">
        <f aca="false">W_PH(AG$2,$A233)</f>
        <v>2463.20627906803</v>
      </c>
      <c r="AH233" s="0" t="n">
        <f aca="false">W_PH(AH$2,$A233)</f>
        <v>2463.32148449335</v>
      </c>
      <c r="AI233" s="0" t="n">
        <f aca="false">W_PH(AI$2,$A233)</f>
        <v>2463.51118319364</v>
      </c>
      <c r="AJ233" s="0" t="n">
        <f aca="false">W_PH(AJ$2,$A233)</f>
        <v>2463.78657309579</v>
      </c>
      <c r="AK233" s="0" t="n">
        <f aca="false">W_PH(AK$2,$A233)</f>
        <v>2464.12653506465</v>
      </c>
      <c r="AL233" s="0" t="n">
        <f aca="false">W_PH(AL$2,$A233)</f>
        <v>2464.54513326203</v>
      </c>
      <c r="AM233" s="0" t="n">
        <f aca="false">W_PH(AM$2,$A233)</f>
        <v>2465.04306912615</v>
      </c>
      <c r="AN233" s="0" t="n">
        <f aca="false">W_PH(AN$2,$A233)</f>
        <v>2465.62079125102</v>
      </c>
      <c r="AO233" s="0" t="n">
        <f aca="false">W_PH(AO$2,$A233)</f>
        <v>2466.27851671979</v>
      </c>
      <c r="AP233" s="0" t="n">
        <f aca="false">W_PH(AP$2,$A233)</f>
        <v>2467.01625228131</v>
      </c>
      <c r="AQ233" s="0" t="n">
        <f aca="false">W_PH(AQ$2,$A233)</f>
        <v>2478.68491144688</v>
      </c>
      <c r="AR233" s="0" t="n">
        <f aca="false">W_PH(AR$2,$A233)</f>
        <v>2482.0182538196</v>
      </c>
      <c r="AS233" s="0" t="n">
        <f aca="false">W_PH(AS$2,$A233)</f>
        <v>2483.19679259945</v>
      </c>
    </row>
    <row r="234" customFormat="false" ht="12.8" hidden="false" customHeight="false" outlineLevel="0" collapsed="false">
      <c r="A234" s="0" t="n">
        <v>1693.8950988822</v>
      </c>
      <c r="B234" s="0" t="n">
        <f aca="false">W_PH(B$2,$A234)</f>
        <v>2015</v>
      </c>
      <c r="C234" s="0" t="n">
        <f aca="false">W_PH(C$2,$A234)</f>
        <v>2468.29385975609</v>
      </c>
      <c r="D234" s="0" t="n">
        <f aca="false">W_PH(D$2,$A234)</f>
        <v>2468.29386308762</v>
      </c>
      <c r="E234" s="0" t="n">
        <f aca="false">W_PH(E$2,$A234)</f>
        <v>2468.29386641986</v>
      </c>
      <c r="F234" s="0" t="n">
        <f aca="false">W_PH(F$2,$A234)</f>
        <v>2468.2938697528</v>
      </c>
      <c r="G234" s="0" t="n">
        <f aca="false">W_PH(G$2,$A234)</f>
        <v>2468.29390312098</v>
      </c>
      <c r="H234" s="0" t="n">
        <f aca="false">W_PH(H$2,$A234)</f>
        <v>2468.29393655964</v>
      </c>
      <c r="I234" s="0" t="n">
        <f aca="false">W_PH(I$2,$A234)</f>
        <v>2468.29397006878</v>
      </c>
      <c r="J234" s="0" t="n">
        <f aca="false">W_PH(J$2,$A234)</f>
        <v>2468.2940036484</v>
      </c>
      <c r="K234" s="0" t="n">
        <f aca="false">W_PH(K$2,$A234)</f>
        <v>2468.29403729852</v>
      </c>
      <c r="L234" s="0" t="n">
        <f aca="false">W_PH(L$2,$A234)</f>
        <v>2468.29407101912</v>
      </c>
      <c r="M234" s="0" t="n">
        <f aca="false">W_PH(M$2,$A234)</f>
        <v>2468.29410481022</v>
      </c>
      <c r="N234" s="0" t="n">
        <f aca="false">W_PH(N$2,$A234)</f>
        <v>2468.29413867181</v>
      </c>
      <c r="O234" s="0" t="n">
        <f aca="false">W_PH(O$2,$A234)</f>
        <v>2468.2941726039</v>
      </c>
      <c r="P234" s="0" t="n">
        <f aca="false">W_PH(P$2,$A234)</f>
        <v>2468.29451580259</v>
      </c>
      <c r="Q234" s="0" t="n">
        <f aca="false">W_PH(Q$2,$A234)</f>
        <v>2468.29486605337</v>
      </c>
      <c r="R234" s="0" t="n">
        <f aca="false">W_PH(R$2,$A234)</f>
        <v>2468.29522335844</v>
      </c>
      <c r="S234" s="0" t="n">
        <f aca="false">W_PH(S$2,$A234)</f>
        <v>2468.29558772</v>
      </c>
      <c r="T234" s="0" t="n">
        <f aca="false">W_PH(T$2,$A234)</f>
        <v>2468.29595914024</v>
      </c>
      <c r="U234" s="0" t="n">
        <f aca="false">W_PH(U$2,$A234)</f>
        <v>2468.29633762135</v>
      </c>
      <c r="V234" s="0" t="n">
        <f aca="false">W_PH(V$2,$A234)</f>
        <v>2468.29672316551</v>
      </c>
      <c r="W234" s="0" t="n">
        <f aca="false">W_PH(W$2,$A234)</f>
        <v>2468.29711577491</v>
      </c>
      <c r="X234" s="0" t="n">
        <f aca="false">W_PH(X$2,$A234)</f>
        <v>2468.29751545172</v>
      </c>
      <c r="Y234" s="0" t="n">
        <f aca="false">W_PH(Y$2,$A234)</f>
        <v>2468.30190140385</v>
      </c>
      <c r="Z234" s="0" t="n">
        <f aca="false">W_PH(Z$2,$A234)</f>
        <v>2468.30699646488</v>
      </c>
      <c r="AA234" s="0" t="n">
        <f aca="false">W_PH(AA$2,$A234)</f>
        <v>2468.31280275153</v>
      </c>
      <c r="AB234" s="0" t="n">
        <f aca="false">W_PH(AB$2,$A234)</f>
        <v>2468.31932234399</v>
      </c>
      <c r="AC234" s="0" t="n">
        <f aca="false">W_PH(AC$2,$A234)</f>
        <v>2468.3265572861</v>
      </c>
      <c r="AD234" s="0" t="n">
        <f aca="false">W_PH(AD$2,$A234)</f>
        <v>2468.33450958554</v>
      </c>
      <c r="AE234" s="0" t="n">
        <f aca="false">W_PH(AE$2,$A234)</f>
        <v>2468.34318121395</v>
      </c>
      <c r="AF234" s="0" t="n">
        <f aca="false">W_PH(AF$2,$A234)</f>
        <v>2468.35257410719</v>
      </c>
      <c r="AG234" s="0" t="n">
        <f aca="false">W_PH(AG$2,$A234)</f>
        <v>2468.36269016546</v>
      </c>
      <c r="AH234" s="0" t="n">
        <f aca="false">W_PH(AH$2,$A234)</f>
        <v>2468.50401774016</v>
      </c>
      <c r="AI234" s="0" t="n">
        <f aca="false">W_PH(AI$2,$A234)</f>
        <v>2468.71949440725</v>
      </c>
      <c r="AJ234" s="0" t="n">
        <f aca="false">W_PH(AJ$2,$A234)</f>
        <v>2469.01996906665</v>
      </c>
      <c r="AK234" s="0" t="n">
        <f aca="false">W_PH(AK$2,$A234)</f>
        <v>2469.38477083702</v>
      </c>
      <c r="AL234" s="0" t="n">
        <f aca="false">W_PH(AL$2,$A234)</f>
        <v>2469.82735473793</v>
      </c>
      <c r="AM234" s="0" t="n">
        <f aca="false">W_PH(AM$2,$A234)</f>
        <v>2470.34834472033</v>
      </c>
      <c r="AN234" s="0" t="n">
        <f aca="false">W_PH(AN$2,$A234)</f>
        <v>2470.94812130212</v>
      </c>
      <c r="AO234" s="0" t="n">
        <f aca="false">W_PH(AO$2,$A234)</f>
        <v>2471.62684264691</v>
      </c>
      <c r="AP234" s="0" t="n">
        <f aca="false">W_PH(AP$2,$A234)</f>
        <v>2472.38446538382</v>
      </c>
      <c r="AQ234" s="0" t="n">
        <f aca="false">W_PH(AQ$2,$A234)</f>
        <v>2484.18524016742</v>
      </c>
      <c r="AR234" s="0" t="n">
        <f aca="false">W_PH(AR$2,$A234)</f>
        <v>2487.53036237264</v>
      </c>
      <c r="AS234" s="0" t="n">
        <f aca="false">W_PH(AS$2,$A234)</f>
        <v>2488.71167454642</v>
      </c>
    </row>
    <row r="235" customFormat="false" ht="12.8" hidden="false" customHeight="false" outlineLevel="0" collapsed="false">
      <c r="A235" s="0" t="n">
        <v>1698.1943250215</v>
      </c>
      <c r="B235" s="0" t="n">
        <f aca="false">W_PH(B$2,$A235)</f>
        <v>2015</v>
      </c>
      <c r="C235" s="0" t="n">
        <f aca="false">W_PH(C$2,$A235)</f>
        <v>2473.40396484287</v>
      </c>
      <c r="D235" s="0" t="n">
        <f aca="false">W_PH(D$2,$A235)</f>
        <v>2473.40397079464</v>
      </c>
      <c r="E235" s="0" t="n">
        <f aca="false">W_PH(E$2,$A235)</f>
        <v>2473.40397674712</v>
      </c>
      <c r="F235" s="0" t="n">
        <f aca="false">W_PH(F$2,$A235)</f>
        <v>2473.4039827003</v>
      </c>
      <c r="G235" s="0" t="n">
        <f aca="false">W_PH(G$2,$A235)</f>
        <v>2473.4040422708</v>
      </c>
      <c r="H235" s="0" t="n">
        <f aca="false">W_PH(H$2,$A235)</f>
        <v>2473.40410191163</v>
      </c>
      <c r="I235" s="0" t="n">
        <f aca="false">W_PH(I$2,$A235)</f>
        <v>2473.40416162279</v>
      </c>
      <c r="J235" s="0" t="n">
        <f aca="false">W_PH(J$2,$A235)</f>
        <v>2473.40422140428</v>
      </c>
      <c r="K235" s="0" t="n">
        <f aca="false">W_PH(K$2,$A235)</f>
        <v>2473.40428125611</v>
      </c>
      <c r="L235" s="0" t="n">
        <f aca="false">W_PH(L$2,$A235)</f>
        <v>2473.40434117829</v>
      </c>
      <c r="M235" s="0" t="n">
        <f aca="false">W_PH(M$2,$A235)</f>
        <v>2473.4044011708</v>
      </c>
      <c r="N235" s="0" t="n">
        <f aca="false">W_PH(N$2,$A235)</f>
        <v>2473.40446123365</v>
      </c>
      <c r="O235" s="0" t="n">
        <f aca="false">W_PH(O$2,$A235)</f>
        <v>2473.40452136685</v>
      </c>
      <c r="P235" s="0" t="n">
        <f aca="false">W_PH(P$2,$A235)</f>
        <v>2473.40512656831</v>
      </c>
      <c r="Q235" s="0" t="n">
        <f aca="false">W_PH(Q$2,$A235)</f>
        <v>2473.4057388066</v>
      </c>
      <c r="R235" s="0" t="n">
        <f aca="false">W_PH(R$2,$A235)</f>
        <v>2473.40635808381</v>
      </c>
      <c r="S235" s="0" t="n">
        <f aca="false">W_PH(S$2,$A235)</f>
        <v>2473.40698440203</v>
      </c>
      <c r="T235" s="0" t="n">
        <f aca="false">W_PH(T$2,$A235)</f>
        <v>2473.40761776336</v>
      </c>
      <c r="U235" s="0" t="n">
        <f aca="false">W_PH(U$2,$A235)</f>
        <v>2473.40825816986</v>
      </c>
      <c r="V235" s="0" t="n">
        <f aca="false">W_PH(V$2,$A235)</f>
        <v>2473.40890562362</v>
      </c>
      <c r="W235" s="0" t="n">
        <f aca="false">W_PH(W$2,$A235)</f>
        <v>2473.40956012671</v>
      </c>
      <c r="X235" s="0" t="n">
        <f aca="false">W_PH(X$2,$A235)</f>
        <v>2473.4102216812</v>
      </c>
      <c r="Y235" s="0" t="n">
        <f aca="false">W_PH(Y$2,$A235)</f>
        <v>2473.41722550606</v>
      </c>
      <c r="Z235" s="0" t="n">
        <f aca="false">W_PH(Z$2,$A235)</f>
        <v>2473.42493672174</v>
      </c>
      <c r="AA235" s="0" t="n">
        <f aca="false">W_PH(AA$2,$A235)</f>
        <v>2473.43335733948</v>
      </c>
      <c r="AB235" s="0" t="n">
        <f aca="false">W_PH(AB$2,$A235)</f>
        <v>2473.44248933493</v>
      </c>
      <c r="AC235" s="0" t="n">
        <f aca="false">W_PH(AC$2,$A235)</f>
        <v>2473.45233464827</v>
      </c>
      <c r="AD235" s="0" t="n">
        <f aca="false">W_PH(AD$2,$A235)</f>
        <v>2473.46289518445</v>
      </c>
      <c r="AE235" s="0" t="n">
        <f aca="false">W_PH(AE$2,$A235)</f>
        <v>2473.47417281334</v>
      </c>
      <c r="AF235" s="0" t="n">
        <f aca="false">W_PH(AF$2,$A235)</f>
        <v>2473.4861693699</v>
      </c>
      <c r="AG235" s="0" t="n">
        <f aca="false">W_PH(AG$2,$A235)</f>
        <v>2473.49888665441</v>
      </c>
      <c r="AH235" s="0" t="n">
        <f aca="false">W_PH(AH$2,$A235)</f>
        <v>2473.6660711493</v>
      </c>
      <c r="AI235" s="0" t="n">
        <f aca="false">W_PH(AI$2,$A235)</f>
        <v>2473.90705825502</v>
      </c>
      <c r="AJ235" s="0" t="n">
        <f aca="false">W_PH(AJ$2,$A235)</f>
        <v>2474.23230366936</v>
      </c>
      <c r="AK235" s="0" t="n">
        <f aca="false">W_PH(AK$2,$A235)</f>
        <v>2474.62168244899</v>
      </c>
      <c r="AL235" s="0" t="n">
        <f aca="false">W_PH(AL$2,$A235)</f>
        <v>2475.08800226328</v>
      </c>
      <c r="AM235" s="0" t="n">
        <f aca="false">W_PH(AM$2,$A235)</f>
        <v>2475.63181065323</v>
      </c>
      <c r="AN235" s="0" t="n">
        <f aca="false">W_PH(AN$2,$A235)</f>
        <v>2476.25342112793</v>
      </c>
      <c r="AO235" s="0" t="n">
        <f aca="false">W_PH(AO$2,$A235)</f>
        <v>2476.9529339365</v>
      </c>
      <c r="AP235" s="0" t="n">
        <f aca="false">W_PH(AP$2,$A235)</f>
        <v>2477.73025648858</v>
      </c>
      <c r="AQ235" s="0" t="n">
        <f aca="false">W_PH(AQ$2,$A235)</f>
        <v>2489.66228539517</v>
      </c>
      <c r="AR235" s="0" t="n">
        <f aca="false">W_PH(AR$2,$A235)</f>
        <v>2493.01921791928</v>
      </c>
      <c r="AS235" s="0" t="n">
        <f aca="false">W_PH(AS$2,$A235)</f>
        <v>2494.20332509476</v>
      </c>
    </row>
    <row r="236" customFormat="false" ht="12.8" hidden="false" customHeight="false" outlineLevel="0" collapsed="false">
      <c r="A236" s="0" t="n">
        <v>1702.49355116079</v>
      </c>
      <c r="B236" s="0" t="n">
        <f aca="false">W_PH(B$2,$A236)</f>
        <v>2015</v>
      </c>
      <c r="C236" s="0" t="n">
        <f aca="false">W_PH(C$2,$A236)</f>
        <v>2478.4942988483</v>
      </c>
      <c r="D236" s="0" t="n">
        <f aca="false">W_PH(D$2,$A236)</f>
        <v>2478.49430739458</v>
      </c>
      <c r="E236" s="0" t="n">
        <f aca="false">W_PH(E$2,$A236)</f>
        <v>2478.49431594157</v>
      </c>
      <c r="F236" s="0" t="n">
        <f aca="false">W_PH(F$2,$A236)</f>
        <v>2478.49432448926</v>
      </c>
      <c r="G236" s="0" t="n">
        <f aca="false">W_PH(G$2,$A236)</f>
        <v>2478.49441000475</v>
      </c>
      <c r="H236" s="0" t="n">
        <f aca="false">W_PH(H$2,$A236)</f>
        <v>2478.49449559043</v>
      </c>
      <c r="I236" s="0" t="n">
        <f aca="false">W_PH(I$2,$A236)</f>
        <v>2478.49458124628</v>
      </c>
      <c r="J236" s="0" t="n">
        <f aca="false">W_PH(J$2,$A236)</f>
        <v>2478.49466697232</v>
      </c>
      <c r="K236" s="0" t="n">
        <f aca="false">W_PH(K$2,$A236)</f>
        <v>2478.49475276853</v>
      </c>
      <c r="L236" s="0" t="n">
        <f aca="false">W_PH(L$2,$A236)</f>
        <v>2478.49483863494</v>
      </c>
      <c r="M236" s="0" t="n">
        <f aca="false">W_PH(M$2,$A236)</f>
        <v>2478.49492457153</v>
      </c>
      <c r="N236" s="0" t="n">
        <f aca="false">W_PH(N$2,$A236)</f>
        <v>2478.49501057832</v>
      </c>
      <c r="O236" s="0" t="n">
        <f aca="false">W_PH(O$2,$A236)</f>
        <v>2478.49509665529</v>
      </c>
      <c r="P236" s="0" t="n">
        <f aca="false">W_PH(P$2,$A236)</f>
        <v>2478.49596128605</v>
      </c>
      <c r="Q236" s="0" t="n">
        <f aca="false">W_PH(Q$2,$A236)</f>
        <v>2478.49683293821</v>
      </c>
      <c r="R236" s="0" t="n">
        <f aca="false">W_PH(R$2,$A236)</f>
        <v>2478.49771161374</v>
      </c>
      <c r="S236" s="0" t="n">
        <f aca="false">W_PH(S$2,$A236)</f>
        <v>2478.49859731463</v>
      </c>
      <c r="T236" s="0" t="n">
        <f aca="false">W_PH(T$2,$A236)</f>
        <v>2478.49949004285</v>
      </c>
      <c r="U236" s="0" t="n">
        <f aca="false">W_PH(U$2,$A236)</f>
        <v>2478.50038980038</v>
      </c>
      <c r="V236" s="0" t="n">
        <f aca="false">W_PH(V$2,$A236)</f>
        <v>2478.50129658918</v>
      </c>
      <c r="W236" s="0" t="n">
        <f aca="false">W_PH(W$2,$A236)</f>
        <v>2478.50221041123</v>
      </c>
      <c r="X236" s="0" t="n">
        <f aca="false">W_PH(X$2,$A236)</f>
        <v>2478.50313126847</v>
      </c>
      <c r="Y236" s="0" t="n">
        <f aca="false">W_PH(Y$2,$A236)</f>
        <v>2478.51272720612</v>
      </c>
      <c r="Z236" s="0" t="n">
        <f aca="false">W_PH(Z$2,$A236)</f>
        <v>2478.52302879607</v>
      </c>
      <c r="AA236" s="0" t="n">
        <f aca="false">W_PH(AA$2,$A236)</f>
        <v>2478.53403794266</v>
      </c>
      <c r="AB236" s="0" t="n">
        <f aca="false">W_PH(AB$2,$A236)</f>
        <v>2478.54575651556</v>
      </c>
      <c r="AC236" s="0" t="n">
        <f aca="false">W_PH(AC$2,$A236)</f>
        <v>2478.55818634996</v>
      </c>
      <c r="AD236" s="0" t="n">
        <f aca="false">W_PH(AD$2,$A236)</f>
        <v>2478.57132924678</v>
      </c>
      <c r="AE236" s="0" t="n">
        <f aca="false">W_PH(AE$2,$A236)</f>
        <v>2478.58518697282</v>
      </c>
      <c r="AF236" s="0" t="n">
        <f aca="false">W_PH(AF$2,$A236)</f>
        <v>2478.59976126095</v>
      </c>
      <c r="AG236" s="0" t="n">
        <f aca="false">W_PH(AG$2,$A236)</f>
        <v>2478.61505381032</v>
      </c>
      <c r="AH236" s="0" t="n">
        <f aca="false">W_PH(AH$2,$A236)</f>
        <v>2478.80783374518</v>
      </c>
      <c r="AI236" s="0" t="n">
        <f aca="false">W_PH(AI$2,$A236)</f>
        <v>2479.07406577775</v>
      </c>
      <c r="AJ236" s="0" t="n">
        <f aca="false">W_PH(AJ$2,$A236)</f>
        <v>2479.42376942594</v>
      </c>
      <c r="AK236" s="0" t="n">
        <f aca="false">W_PH(AK$2,$A236)</f>
        <v>2479.83746456564</v>
      </c>
      <c r="AL236" s="0" t="n">
        <f aca="false">W_PH(AL$2,$A236)</f>
        <v>2480.32727214736</v>
      </c>
      <c r="AM236" s="0" t="n">
        <f aca="false">W_PH(AM$2,$A236)</f>
        <v>2480.89366444341</v>
      </c>
      <c r="AN236" s="0" t="n">
        <f aca="false">W_PH(AN$2,$A236)</f>
        <v>2481.53688906311</v>
      </c>
      <c r="AO236" s="0" t="n">
        <f aca="false">W_PH(AO$2,$A236)</f>
        <v>2482.2569893696</v>
      </c>
      <c r="AP236" s="0" t="n">
        <f aca="false">W_PH(AP$2,$A236)</f>
        <v>2483.05382446201</v>
      </c>
      <c r="AQ236" s="0" t="n">
        <f aca="false">W_PH(AQ$2,$A236)</f>
        <v>2495.11622286596</v>
      </c>
      <c r="AR236" s="0" t="n">
        <f aca="false">W_PH(AR$2,$A236)</f>
        <v>2498.48498421404</v>
      </c>
      <c r="AS236" s="0" t="n">
        <f aca="false">W_PH(AS$2,$A236)</f>
        <v>2499.67190330396</v>
      </c>
    </row>
    <row r="237" customFormat="false" ht="12.8" hidden="false" customHeight="false" outlineLevel="0" collapsed="false">
      <c r="A237" s="0" t="n">
        <v>1706.79277730009</v>
      </c>
      <c r="B237" s="0" t="n">
        <f aca="false">W_PH(B$2,$A237)</f>
        <v>2015</v>
      </c>
      <c r="C237" s="0" t="n">
        <f aca="false">W_PH(C$2,$A237)</f>
        <v>2483.56503808502</v>
      </c>
      <c r="D237" s="0" t="n">
        <f aca="false">W_PH(D$2,$A237)</f>
        <v>2483.56504920072</v>
      </c>
      <c r="E237" s="0" t="n">
        <f aca="false">W_PH(E$2,$A237)</f>
        <v>2483.56506031712</v>
      </c>
      <c r="F237" s="0" t="n">
        <f aca="false">W_PH(F$2,$A237)</f>
        <v>2483.56507143423</v>
      </c>
      <c r="G237" s="0" t="n">
        <f aca="false">W_PH(G$2,$A237)</f>
        <v>2483.56518264376</v>
      </c>
      <c r="H237" s="0" t="n">
        <f aca="false">W_PH(H$2,$A237)</f>
        <v>2483.56529392332</v>
      </c>
      <c r="I237" s="0" t="n">
        <f aca="false">W_PH(I$2,$A237)</f>
        <v>2483.5654052729</v>
      </c>
      <c r="J237" s="0" t="n">
        <f aca="false">W_PH(J$2,$A237)</f>
        <v>2483.5655166925</v>
      </c>
      <c r="K237" s="0" t="n">
        <f aca="false">W_PH(K$2,$A237)</f>
        <v>2483.56562818213</v>
      </c>
      <c r="L237" s="0" t="n">
        <f aca="false">W_PH(L$2,$A237)</f>
        <v>2483.5657397418</v>
      </c>
      <c r="M237" s="0" t="n">
        <f aca="false">W_PH(M$2,$A237)</f>
        <v>2483.56585137149</v>
      </c>
      <c r="N237" s="0" t="n">
        <f aca="false">W_PH(N$2,$A237)</f>
        <v>2483.56596307121</v>
      </c>
      <c r="O237" s="0" t="n">
        <f aca="false">W_PH(O$2,$A237)</f>
        <v>2483.56607484097</v>
      </c>
      <c r="P237" s="0" t="n">
        <f aca="false">W_PH(P$2,$A237)</f>
        <v>2483.56719639092</v>
      </c>
      <c r="Q237" s="0" t="n">
        <f aca="false">W_PH(Q$2,$A237)</f>
        <v>2483.56832494641</v>
      </c>
      <c r="R237" s="0" t="n">
        <f aca="false">W_PH(R$2,$A237)</f>
        <v>2483.56946050934</v>
      </c>
      <c r="S237" s="0" t="n">
        <f aca="false">W_PH(S$2,$A237)</f>
        <v>2483.57060308156</v>
      </c>
      <c r="T237" s="0" t="n">
        <f aca="false">W_PH(T$2,$A237)</f>
        <v>2483.57175266495</v>
      </c>
      <c r="U237" s="0" t="n">
        <f aca="false">W_PH(U$2,$A237)</f>
        <v>2483.57290926136</v>
      </c>
      <c r="V237" s="0" t="n">
        <f aca="false">W_PH(V$2,$A237)</f>
        <v>2483.57407287266</v>
      </c>
      <c r="W237" s="0" t="n">
        <f aca="false">W_PH(W$2,$A237)</f>
        <v>2483.5752435007</v>
      </c>
      <c r="X237" s="0" t="n">
        <f aca="false">W_PH(X$2,$A237)</f>
        <v>2483.57642114733</v>
      </c>
      <c r="Y237" s="0" t="n">
        <f aca="false">W_PH(Y$2,$A237)</f>
        <v>2483.58858404128</v>
      </c>
      <c r="Z237" s="0" t="n">
        <f aca="false">W_PH(Z$2,$A237)</f>
        <v>2483.60145080675</v>
      </c>
      <c r="AA237" s="0" t="n">
        <f aca="false">W_PH(AA$2,$A237)</f>
        <v>2483.61502324003</v>
      </c>
      <c r="AB237" s="0" t="n">
        <f aca="false">W_PH(AB$2,$A237)</f>
        <v>2483.62930310377</v>
      </c>
      <c r="AC237" s="0" t="n">
        <f aca="false">W_PH(AC$2,$A237)</f>
        <v>2483.64429212712</v>
      </c>
      <c r="AD237" s="0" t="n">
        <f aca="false">W_PH(AD$2,$A237)</f>
        <v>2483.65999200597</v>
      </c>
      <c r="AE237" s="0" t="n">
        <f aca="false">W_PH(AE$2,$A237)</f>
        <v>2483.67640440307</v>
      </c>
      <c r="AF237" s="0" t="n">
        <f aca="false">W_PH(AF$2,$A237)</f>
        <v>2483.69353094827</v>
      </c>
      <c r="AG237" s="0" t="n">
        <f aca="false">W_PH(AG$2,$A237)</f>
        <v>2483.71137323871</v>
      </c>
      <c r="AH237" s="0" t="n">
        <f aca="false">W_PH(AH$2,$A237)</f>
        <v>2483.92949048762</v>
      </c>
      <c r="AI237" s="0" t="n">
        <f aca="false">W_PH(AI$2,$A237)</f>
        <v>2484.22070360602</v>
      </c>
      <c r="AJ237" s="0" t="n">
        <f aca="false">W_PH(AJ$2,$A237)</f>
        <v>2484.59455470452</v>
      </c>
      <c r="AK237" s="0" t="n">
        <f aca="false">W_PH(AK$2,$A237)</f>
        <v>2485.03230762567</v>
      </c>
      <c r="AL237" s="0" t="n">
        <f aca="false">W_PH(AL$2,$A237)</f>
        <v>2485.54535640924</v>
      </c>
      <c r="AM237" s="0" t="n">
        <f aca="false">W_PH(AM$2,$A237)</f>
        <v>2486.1340992614</v>
      </c>
      <c r="AN237" s="0" t="n">
        <f aca="false">W_PH(AN$2,$A237)</f>
        <v>2486.7987190406</v>
      </c>
      <c r="AO237" s="0" t="n">
        <f aca="false">W_PH(AO$2,$A237)</f>
        <v>2487.53920327497</v>
      </c>
      <c r="AP237" s="0" t="n">
        <f aca="false">W_PH(AP$2,$A237)</f>
        <v>2488.35536367029</v>
      </c>
      <c r="AQ237" s="0" t="n">
        <f aca="false">W_PH(AQ$2,$A237)</f>
        <v>2500.54722357295</v>
      </c>
      <c r="AR237" s="0" t="n">
        <f aca="false">W_PH(AR$2,$A237)</f>
        <v>2503.92782031739</v>
      </c>
      <c r="AS237" s="0" t="n">
        <f aca="false">W_PH(AS$2,$A237)</f>
        <v>2505.11756356657</v>
      </c>
    </row>
    <row r="238" customFormat="false" ht="12.8" hidden="false" customHeight="false" outlineLevel="0" collapsed="false">
      <c r="A238" s="0" t="n">
        <v>1711.09200343938</v>
      </c>
      <c r="B238" s="0" t="n">
        <f aca="false">W_PH(B$2,$A238)</f>
        <v>2015</v>
      </c>
      <c r="C238" s="0" t="n">
        <f aca="false">W_PH(C$2,$A238)</f>
        <v>2488.61635567196</v>
      </c>
      <c r="D238" s="0" t="n">
        <f aca="false">W_PH(D$2,$A238)</f>
        <v>2488.61636933257</v>
      </c>
      <c r="E238" s="0" t="n">
        <f aca="false">W_PH(E$2,$A238)</f>
        <v>2488.61638299388</v>
      </c>
      <c r="F238" s="0" t="n">
        <f aca="false">W_PH(F$2,$A238)</f>
        <v>2488.61639665589</v>
      </c>
      <c r="G238" s="0" t="n">
        <f aca="false">W_PH(G$2,$A238)</f>
        <v>2488.61653331438</v>
      </c>
      <c r="H238" s="0" t="n">
        <f aca="false">W_PH(H$2,$A238)</f>
        <v>2488.61667004273</v>
      </c>
      <c r="I238" s="0" t="n">
        <f aca="false">W_PH(I$2,$A238)</f>
        <v>2488.61680684094</v>
      </c>
      <c r="J238" s="0" t="n">
        <f aca="false">W_PH(J$2,$A238)</f>
        <v>2488.61694370902</v>
      </c>
      <c r="K238" s="0" t="n">
        <f aca="false">W_PH(K$2,$A238)</f>
        <v>2488.61708064696</v>
      </c>
      <c r="L238" s="0" t="n">
        <f aca="false">W_PH(L$2,$A238)</f>
        <v>2488.61721765476</v>
      </c>
      <c r="M238" s="0" t="n">
        <f aca="false">W_PH(M$2,$A238)</f>
        <v>2488.61735473244</v>
      </c>
      <c r="N238" s="0" t="n">
        <f aca="false">W_PH(N$2,$A238)</f>
        <v>2488.61749187998</v>
      </c>
      <c r="O238" s="0" t="n">
        <f aca="false">W_PH(O$2,$A238)</f>
        <v>2488.6176290974</v>
      </c>
      <c r="P238" s="0" t="n">
        <f aca="false">W_PH(P$2,$A238)</f>
        <v>2488.61900511487</v>
      </c>
      <c r="Q238" s="0" t="n">
        <f aca="false">W_PH(Q$2,$A238)</f>
        <v>2488.62038812145</v>
      </c>
      <c r="R238" s="0" t="n">
        <f aca="false">W_PH(R$2,$A238)</f>
        <v>2488.62177811888</v>
      </c>
      <c r="S238" s="0" t="n">
        <f aca="false">W_PH(S$2,$A238)</f>
        <v>2488.62317510893</v>
      </c>
      <c r="T238" s="0" t="n">
        <f aca="false">W_PH(T$2,$A238)</f>
        <v>2488.62457909336</v>
      </c>
      <c r="U238" s="0" t="n">
        <f aca="false">W_PH(U$2,$A238)</f>
        <v>2488.62599007391</v>
      </c>
      <c r="V238" s="0" t="n">
        <f aca="false">W_PH(V$2,$A238)</f>
        <v>2488.62740805233</v>
      </c>
      <c r="W238" s="0" t="n">
        <f aca="false">W_PH(W$2,$A238)</f>
        <v>2488.62883303036</v>
      </c>
      <c r="X238" s="0" t="n">
        <f aca="false">W_PH(X$2,$A238)</f>
        <v>2488.63026500976</v>
      </c>
      <c r="Y238" s="0" t="n">
        <f aca="false">W_PH(Y$2,$A238)</f>
        <v>2488.64497025931</v>
      </c>
      <c r="Z238" s="0" t="n">
        <f aca="false">W_PH(Z$2,$A238)</f>
        <v>2488.66037753621</v>
      </c>
      <c r="AA238" s="0" t="n">
        <f aca="false">W_PH(AA$2,$A238)</f>
        <v>2488.67648852793</v>
      </c>
      <c r="AB238" s="0" t="n">
        <f aca="false">W_PH(AB$2,$A238)</f>
        <v>2488.69330488931</v>
      </c>
      <c r="AC238" s="0" t="n">
        <f aca="false">W_PH(AC$2,$A238)</f>
        <v>2488.71082824274</v>
      </c>
      <c r="AD238" s="0" t="n">
        <f aca="false">W_PH(AD$2,$A238)</f>
        <v>2488.72906017834</v>
      </c>
      <c r="AE238" s="0" t="n">
        <f aca="false">W_PH(AE$2,$A238)</f>
        <v>2488.74800225415</v>
      </c>
      <c r="AF238" s="0" t="n">
        <f aca="false">W_PH(AF$2,$A238)</f>
        <v>2488.76765599634</v>
      </c>
      <c r="AG238" s="0" t="n">
        <f aca="false">W_PH(AG$2,$A238)</f>
        <v>2488.78802289942</v>
      </c>
      <c r="AH238" s="0" t="n">
        <f aca="false">W_PH(AH$2,$A238)</f>
        <v>2489.03122230018</v>
      </c>
      <c r="AI238" s="0" t="n">
        <f aca="false">W_PH(AI$2,$A238)</f>
        <v>2489.34715399285</v>
      </c>
      <c r="AJ238" s="0" t="n">
        <f aca="false">W_PH(AJ$2,$A238)</f>
        <v>2489.74484377338</v>
      </c>
      <c r="AK238" s="0" t="n">
        <f aca="false">W_PH(AK$2,$A238)</f>
        <v>2490.2063979002</v>
      </c>
      <c r="AL238" s="0" t="n">
        <f aca="false">W_PH(AL$2,$A238)</f>
        <v>2490.74244284073</v>
      </c>
      <c r="AM238" s="0" t="n">
        <f aca="false">W_PH(AM$2,$A238)</f>
        <v>2491.35330399601</v>
      </c>
      <c r="AN238" s="0" t="n">
        <f aca="false">W_PH(AN$2,$A238)</f>
        <v>2492.0391006606</v>
      </c>
      <c r="AO238" s="0" t="n">
        <f aca="false">W_PH(AO$2,$A238)</f>
        <v>2492.79976559989</v>
      </c>
      <c r="AP238" s="0" t="n">
        <f aca="false">W_PH(AP$2,$A238)</f>
        <v>2493.63506405108</v>
      </c>
      <c r="AQ238" s="0" t="n">
        <f aca="false">W_PH(AQ$2,$A238)</f>
        <v>2505.95545378956</v>
      </c>
      <c r="AR238" s="0" t="n">
        <f aca="false">W_PH(AR$2,$A238)</f>
        <v>2509.3478805928</v>
      </c>
      <c r="AS238" s="0" t="n">
        <f aca="false">W_PH(AS$2,$A238)</f>
        <v>2510.54045559518</v>
      </c>
    </row>
    <row r="239" customFormat="false" ht="12.8" hidden="false" customHeight="false" outlineLevel="0" collapsed="false">
      <c r="A239" s="0" t="n">
        <v>1715.39122957868</v>
      </c>
      <c r="B239" s="0" t="n">
        <f aca="false">W_PH(B$2,$A239)</f>
        <v>2015</v>
      </c>
      <c r="C239" s="0" t="n">
        <f aca="false">W_PH(C$2,$A239)</f>
        <v>2493.6484215539</v>
      </c>
      <c r="D239" s="0" t="n">
        <f aca="false">W_PH(D$2,$A239)</f>
        <v>2493.64843773545</v>
      </c>
      <c r="E239" s="0" t="n">
        <f aca="false">W_PH(E$2,$A239)</f>
        <v>2493.6484539177</v>
      </c>
      <c r="F239" s="0" t="n">
        <f aca="false">W_PH(F$2,$A239)</f>
        <v>2493.64847010064</v>
      </c>
      <c r="G239" s="0" t="n">
        <f aca="false">W_PH(G$2,$A239)</f>
        <v>2493.6486319684</v>
      </c>
      <c r="H239" s="0" t="n">
        <f aca="false">W_PH(H$2,$A239)</f>
        <v>2493.64879390586</v>
      </c>
      <c r="I239" s="0" t="n">
        <f aca="false">W_PH(I$2,$A239)</f>
        <v>2493.648955913</v>
      </c>
      <c r="J239" s="0" t="n">
        <f aca="false">W_PH(J$2,$A239)</f>
        <v>2493.64911798983</v>
      </c>
      <c r="K239" s="0" t="n">
        <f aca="false">W_PH(K$2,$A239)</f>
        <v>2493.64928013636</v>
      </c>
      <c r="L239" s="0" t="n">
        <f aca="false">W_PH(L$2,$A239)</f>
        <v>2493.64944235258</v>
      </c>
      <c r="M239" s="0" t="n">
        <f aca="false">W_PH(M$2,$A239)</f>
        <v>2493.6496046385</v>
      </c>
      <c r="N239" s="0" t="n">
        <f aca="false">W_PH(N$2,$A239)</f>
        <v>2493.64976699411</v>
      </c>
      <c r="O239" s="0" t="n">
        <f aca="false">W_PH(O$2,$A239)</f>
        <v>2493.64992941943</v>
      </c>
      <c r="P239" s="0" t="n">
        <f aca="false">W_PH(P$2,$A239)</f>
        <v>2493.65155750645</v>
      </c>
      <c r="Q239" s="0" t="n">
        <f aca="false">W_PH(Q$2,$A239)</f>
        <v>2493.65319256529</v>
      </c>
      <c r="R239" s="0" t="n">
        <f aca="false">W_PH(R$2,$A239)</f>
        <v>2493.65483459759</v>
      </c>
      <c r="S239" s="0" t="n">
        <f aca="false">W_PH(S$2,$A239)</f>
        <v>2493.656483605</v>
      </c>
      <c r="T239" s="0" t="n">
        <f aca="false">W_PH(T$2,$A239)</f>
        <v>2493.65813958916</v>
      </c>
      <c r="U239" s="0" t="n">
        <f aca="false">W_PH(U$2,$A239)</f>
        <v>2493.65980255172</v>
      </c>
      <c r="V239" s="0" t="n">
        <f aca="false">W_PH(V$2,$A239)</f>
        <v>2493.6614724943</v>
      </c>
      <c r="W239" s="0" t="n">
        <f aca="false">W_PH(W$2,$A239)</f>
        <v>2493.66314941855</v>
      </c>
      <c r="X239" s="0" t="n">
        <f aca="false">W_PH(X$2,$A239)</f>
        <v>2493.66483332609</v>
      </c>
      <c r="Y239" s="0" t="n">
        <f aca="false">W_PH(Y$2,$A239)</f>
        <v>2493.68205683916</v>
      </c>
      <c r="Z239" s="0" t="n">
        <f aca="false">W_PH(Z$2,$A239)</f>
        <v>2493.69998045169</v>
      </c>
      <c r="AA239" s="0" t="n">
        <f aca="false">W_PH(AA$2,$A239)</f>
        <v>2493.7186057418</v>
      </c>
      <c r="AB239" s="0" t="n">
        <f aca="false">W_PH(AB$2,$A239)</f>
        <v>2493.73793425605</v>
      </c>
      <c r="AC239" s="0" t="n">
        <f aca="false">W_PH(AC$2,$A239)</f>
        <v>2493.75796750958</v>
      </c>
      <c r="AD239" s="0" t="n">
        <f aca="false">W_PH(AD$2,$A239)</f>
        <v>2493.77870698632</v>
      </c>
      <c r="AE239" s="0" t="n">
        <f aca="false">W_PH(AE$2,$A239)</f>
        <v>2493.80015413922</v>
      </c>
      <c r="AF239" s="0" t="n">
        <f aca="false">W_PH(AF$2,$A239)</f>
        <v>2493.82231039039</v>
      </c>
      <c r="AG239" s="0" t="n">
        <f aca="false">W_PH(AG$2,$A239)</f>
        <v>2493.84517713131</v>
      </c>
      <c r="AH239" s="0" t="n">
        <f aca="false">W_PH(AH$2,$A239)</f>
        <v>2494.11320609954</v>
      </c>
      <c r="AI239" s="0" t="n">
        <f aca="false">W_PH(AI$2,$A239)</f>
        <v>2494.45359484769</v>
      </c>
      <c r="AJ239" s="0" t="n">
        <f aca="false">W_PH(AJ$2,$A239)</f>
        <v>2494.87481685393</v>
      </c>
      <c r="AK239" s="0" t="n">
        <f aca="false">W_PH(AK$2,$A239)</f>
        <v>2495.3599175504</v>
      </c>
      <c r="AL239" s="0" t="n">
        <f aca="false">W_PH(AL$2,$A239)</f>
        <v>2495.91871506799</v>
      </c>
      <c r="AM239" s="0" t="n">
        <f aca="false">W_PH(AM$2,$A239)</f>
        <v>2496.55146331929</v>
      </c>
      <c r="AN239" s="0" t="n">
        <f aca="false">W_PH(AN$2,$A239)</f>
        <v>2497.25821925818</v>
      </c>
      <c r="AO239" s="0" t="n">
        <f aca="false">W_PH(AO$2,$A239)</f>
        <v>2498.03886197971</v>
      </c>
      <c r="AP239" s="0" t="n">
        <f aca="false">W_PH(AP$2,$A239)</f>
        <v>2498.89311118426</v>
      </c>
      <c r="AQ239" s="0" t="n">
        <f aca="false">W_PH(AQ$2,$A239)</f>
        <v>2511.3410750958</v>
      </c>
      <c r="AR239" s="0" t="n">
        <f aca="false">W_PH(AR$2,$A239)</f>
        <v>2514.74531470819</v>
      </c>
      <c r="AS239" s="0" t="n">
        <f aca="false">W_PH(AS$2,$A239)</f>
        <v>2515.94072441423</v>
      </c>
    </row>
    <row r="240" customFormat="false" ht="12.8" hidden="false" customHeight="false" outlineLevel="0" collapsed="false">
      <c r="A240" s="0" t="n">
        <v>1719.69045571797</v>
      </c>
      <c r="B240" s="0" t="n">
        <f aca="false">W_PH(B$2,$A240)</f>
        <v>2015</v>
      </c>
      <c r="C240" s="0" t="n">
        <f aca="false">W_PH(C$2,$A240)</f>
        <v>2498.66140252062</v>
      </c>
      <c r="D240" s="0" t="n">
        <f aca="false">W_PH(D$2,$A240)</f>
        <v>2498.66142119963</v>
      </c>
      <c r="E240" s="0" t="n">
        <f aca="false">W_PH(E$2,$A240)</f>
        <v>2498.66143987934</v>
      </c>
      <c r="F240" s="0" t="n">
        <f aca="false">W_PH(F$2,$A240)</f>
        <v>2498.66145855975</v>
      </c>
      <c r="G240" s="0" t="n">
        <f aca="false">W_PH(G$2,$A240)</f>
        <v>2498.66164540201</v>
      </c>
      <c r="H240" s="0" t="n">
        <f aca="false">W_PH(H$2,$A240)</f>
        <v>2498.66183231378</v>
      </c>
      <c r="I240" s="0" t="n">
        <f aca="false">W_PH(I$2,$A240)</f>
        <v>2498.66201929506</v>
      </c>
      <c r="J240" s="0" t="n">
        <f aca="false">W_PH(J$2,$A240)</f>
        <v>2498.66220634586</v>
      </c>
      <c r="K240" s="0" t="n">
        <f aca="false">W_PH(K$2,$A240)</f>
        <v>2498.66239346616</v>
      </c>
      <c r="L240" s="0" t="n">
        <f aca="false">W_PH(L$2,$A240)</f>
        <v>2498.66258065598</v>
      </c>
      <c r="M240" s="0" t="n">
        <f aca="false">W_PH(M$2,$A240)</f>
        <v>2498.66276791531</v>
      </c>
      <c r="N240" s="0" t="n">
        <f aca="false">W_PH(N$2,$A240)</f>
        <v>2498.66295524416</v>
      </c>
      <c r="O240" s="0" t="n">
        <f aca="false">W_PH(O$2,$A240)</f>
        <v>2498.66314264252</v>
      </c>
      <c r="P240" s="0" t="n">
        <f aca="false">W_PH(P$2,$A240)</f>
        <v>2498.66502045002</v>
      </c>
      <c r="Q240" s="0" t="n">
        <f aca="false">W_PH(Q$2,$A240)</f>
        <v>2498.66690521101</v>
      </c>
      <c r="R240" s="0" t="n">
        <f aca="false">W_PH(R$2,$A240)</f>
        <v>2498.66879692704</v>
      </c>
      <c r="S240" s="0" t="n">
        <f aca="false">W_PH(S$2,$A240)</f>
        <v>2498.67069559964</v>
      </c>
      <c r="T240" s="0" t="n">
        <f aca="false">W_PH(T$2,$A240)</f>
        <v>2498.67260123034</v>
      </c>
      <c r="U240" s="0" t="n">
        <f aca="false">W_PH(U$2,$A240)</f>
        <v>2498.67451382067</v>
      </c>
      <c r="V240" s="0" t="n">
        <f aca="false">W_PH(V$2,$A240)</f>
        <v>2498.67643337217</v>
      </c>
      <c r="W240" s="0" t="n">
        <f aca="false">W_PH(W$2,$A240)</f>
        <v>2498.67835988634</v>
      </c>
      <c r="X240" s="0" t="n">
        <f aca="false">W_PH(X$2,$A240)</f>
        <v>2498.6802933647</v>
      </c>
      <c r="Y240" s="0" t="n">
        <f aca="false">W_PH(Y$2,$A240)</f>
        <v>2498.70001151134</v>
      </c>
      <c r="Z240" s="0" t="n">
        <f aca="false">W_PH(Z$2,$A240)</f>
        <v>2498.72042772615</v>
      </c>
      <c r="AA240" s="0" t="n">
        <f aca="false">W_PH(AA$2,$A240)</f>
        <v>2498.74154347769</v>
      </c>
      <c r="AB240" s="0" t="n">
        <f aca="false">W_PH(AB$2,$A240)</f>
        <v>2498.76336020401</v>
      </c>
      <c r="AC240" s="0" t="n">
        <f aca="false">W_PH(AC$2,$A240)</f>
        <v>2498.78587931281</v>
      </c>
      <c r="AD240" s="0" t="n">
        <f aca="false">W_PH(AD$2,$A240)</f>
        <v>2498.80910218171</v>
      </c>
      <c r="AE240" s="0" t="n">
        <f aca="false">W_PH(AE$2,$A240)</f>
        <v>2498.83303015836</v>
      </c>
      <c r="AF240" s="0" t="n">
        <f aca="false">W_PH(AF$2,$A240)</f>
        <v>2498.85766456069</v>
      </c>
      <c r="AG240" s="0" t="n">
        <f aca="false">W_PH(AG$2,$A240)</f>
        <v>2498.88300667708</v>
      </c>
      <c r="AH240" s="0" t="n">
        <f aca="false">W_PH(AH$2,$A240)</f>
        <v>2499.17561482547</v>
      </c>
      <c r="AI240" s="0" t="n">
        <f aca="false">W_PH(AI$2,$A240)</f>
        <v>2499.54019977144</v>
      </c>
      <c r="AJ240" s="0" t="n">
        <f aca="false">W_PH(AJ$2,$A240)</f>
        <v>2499.98465017203</v>
      </c>
      <c r="AK240" s="0" t="n">
        <f aca="false">W_PH(AK$2,$A240)</f>
        <v>2500.49304468335</v>
      </c>
      <c r="AL240" s="0" t="n">
        <f aca="false">W_PH(AL$2,$A240)</f>
        <v>2501.07435261133</v>
      </c>
      <c r="AM240" s="0" t="n">
        <f aca="false">W_PH(AM$2,$A240)</f>
        <v>2501.7287577497</v>
      </c>
      <c r="AN240" s="0" t="n">
        <f aca="false">W_PH(AN$2,$A240)</f>
        <v>2502.45625596917</v>
      </c>
      <c r="AO240" s="0" t="n">
        <f aca="false">W_PH(AO$2,$A240)</f>
        <v>2503.25667380576</v>
      </c>
      <c r="AP240" s="0" t="n">
        <f aca="false">W_PH(AP$2,$A240)</f>
        <v>2504.12968636113</v>
      </c>
      <c r="AQ240" s="0" t="n">
        <f aca="false">W_PH(AQ$2,$A240)</f>
        <v>2516.70424440724</v>
      </c>
      <c r="AR240" s="0" t="n">
        <f aca="false">W_PH(AR$2,$A240)</f>
        <v>2520.12026764139</v>
      </c>
      <c r="AS240" s="0" t="n">
        <f aca="false">W_PH(AS$2,$A240)</f>
        <v>2521.31851035611</v>
      </c>
    </row>
    <row r="241" customFormat="false" ht="12.8" hidden="false" customHeight="false" outlineLevel="0" collapsed="false">
      <c r="A241" s="0" t="n">
        <v>1723.98968185727</v>
      </c>
      <c r="B241" s="0" t="n">
        <f aca="false">W_PH(B$2,$A241)</f>
        <v>2015</v>
      </c>
      <c r="C241" s="0" t="n">
        <f aca="false">W_PH(C$2,$A241)</f>
        <v>2503.65546222598</v>
      </c>
      <c r="D241" s="0" t="n">
        <f aca="false">W_PH(D$2,$A241)</f>
        <v>2503.65548337943</v>
      </c>
      <c r="E241" s="0" t="n">
        <f aca="false">W_PH(E$2,$A241)</f>
        <v>2503.65550453357</v>
      </c>
      <c r="F241" s="0" t="n">
        <f aca="false">W_PH(F$2,$A241)</f>
        <v>2503.6555256884</v>
      </c>
      <c r="G241" s="0" t="n">
        <f aca="false">W_PH(G$2,$A241)</f>
        <v>2503.65573727485</v>
      </c>
      <c r="H241" s="0" t="n">
        <f aca="false">W_PH(H$2,$A241)</f>
        <v>2503.65594893061</v>
      </c>
      <c r="I241" s="0" t="n">
        <f aca="false">W_PH(I$2,$A241)</f>
        <v>2503.65616065568</v>
      </c>
      <c r="J241" s="0" t="n">
        <f aca="false">W_PH(J$2,$A241)</f>
        <v>2503.65637245007</v>
      </c>
      <c r="K241" s="0" t="n">
        <f aca="false">W_PH(K$2,$A241)</f>
        <v>2503.65658431379</v>
      </c>
      <c r="L241" s="0" t="n">
        <f aca="false">W_PH(L$2,$A241)</f>
        <v>2503.65679624682</v>
      </c>
      <c r="M241" s="0" t="n">
        <f aca="false">W_PH(M$2,$A241)</f>
        <v>2503.65700824917</v>
      </c>
      <c r="N241" s="0" t="n">
        <f aca="false">W_PH(N$2,$A241)</f>
        <v>2503.65722032084</v>
      </c>
      <c r="O241" s="0" t="n">
        <f aca="false">W_PH(O$2,$A241)</f>
        <v>2503.65743246184</v>
      </c>
      <c r="P241" s="0" t="n">
        <f aca="false">W_PH(P$2,$A241)</f>
        <v>2503.65955768495</v>
      </c>
      <c r="Q241" s="0" t="n">
        <f aca="false">W_PH(Q$2,$A241)</f>
        <v>2503.66168984202</v>
      </c>
      <c r="R241" s="0" t="n">
        <f aca="false">W_PH(R$2,$A241)</f>
        <v>2503.66382893447</v>
      </c>
      <c r="S241" s="0" t="n">
        <f aca="false">W_PH(S$2,$A241)</f>
        <v>2503.66597496374</v>
      </c>
      <c r="T241" s="0" t="n">
        <f aca="false">W_PH(T$2,$A241)</f>
        <v>2503.66812793123</v>
      </c>
      <c r="U241" s="0" t="n">
        <f aca="false">W_PH(U$2,$A241)</f>
        <v>2503.67028783837</v>
      </c>
      <c r="V241" s="0" t="n">
        <f aca="false">W_PH(V$2,$A241)</f>
        <v>2503.67245468658</v>
      </c>
      <c r="W241" s="0" t="n">
        <f aca="false">W_PH(W$2,$A241)</f>
        <v>2503.67462847725</v>
      </c>
      <c r="X241" s="0" t="n">
        <f aca="false">W_PH(X$2,$A241)</f>
        <v>2503.6768092118</v>
      </c>
      <c r="Y241" s="0" t="n">
        <f aca="false">W_PH(Y$2,$A241)</f>
        <v>2503.69899877829</v>
      </c>
      <c r="Z241" s="0" t="n">
        <f aca="false">W_PH(Z$2,$A241)</f>
        <v>2503.72188425933</v>
      </c>
      <c r="AA241" s="0" t="n">
        <f aca="false">W_PH(AA$2,$A241)</f>
        <v>2503.74546701395</v>
      </c>
      <c r="AB241" s="0" t="n">
        <f aca="false">W_PH(AB$2,$A241)</f>
        <v>2503.76974837172</v>
      </c>
      <c r="AC241" s="0" t="n">
        <f aca="false">W_PH(AC$2,$A241)</f>
        <v>2503.79472963301</v>
      </c>
      <c r="AD241" s="0" t="n">
        <f aca="false">W_PH(AD$2,$A241)</f>
        <v>2503.82041206916</v>
      </c>
      <c r="AE241" s="0" t="n">
        <f aca="false">W_PH(AE$2,$A241)</f>
        <v>2503.84679692266</v>
      </c>
      <c r="AF241" s="0" t="n">
        <f aca="false">W_PH(AF$2,$A241)</f>
        <v>2503.87388540736</v>
      </c>
      <c r="AG241" s="0" t="n">
        <f aca="false">W_PH(AG$2,$A241)</f>
        <v>2503.90167870868</v>
      </c>
      <c r="AH241" s="0" t="n">
        <f aca="false">W_PH(AH$2,$A241)</f>
        <v>2504.21861747189</v>
      </c>
      <c r="AI241" s="0" t="n">
        <f aca="false">W_PH(AI$2,$A241)</f>
        <v>2504.60713809292</v>
      </c>
      <c r="AJ241" s="0" t="n">
        <f aca="false">W_PH(AJ$2,$A241)</f>
        <v>2505.07451600836</v>
      </c>
      <c r="AK241" s="0" t="n">
        <f aca="false">W_PH(AK$2,$A241)</f>
        <v>2505.60595340677</v>
      </c>
      <c r="AL241" s="0" t="n">
        <f aca="false">W_PH(AL$2,$A241)</f>
        <v>2506.20953094374</v>
      </c>
      <c r="AM241" s="0" t="n">
        <f aca="false">W_PH(AM$2,$A241)</f>
        <v>2506.88536371394</v>
      </c>
      <c r="AN241" s="0" t="n">
        <f aca="false">W_PH(AN$2,$A241)</f>
        <v>2507.63338779469</v>
      </c>
      <c r="AO241" s="0" t="n">
        <f aca="false">W_PH(AO$2,$A241)</f>
        <v>2508.45337829199</v>
      </c>
      <c r="AP241" s="0" t="n">
        <f aca="false">W_PH(AP$2,$A241)</f>
        <v>2509.34496665247</v>
      </c>
      <c r="AQ241" s="0" t="n">
        <f aca="false">W_PH(AQ$2,$A241)</f>
        <v>2522.04511400711</v>
      </c>
      <c r="AR241" s="0" t="n">
        <f aca="false">W_PH(AR$2,$A241)</f>
        <v>2525.47287968987</v>
      </c>
      <c r="AS241" s="0" t="n">
        <f aca="false">W_PH(AS$2,$A241)</f>
        <v>2526.67394906212</v>
      </c>
    </row>
    <row r="242" customFormat="false" ht="12.8" hidden="false" customHeight="false" outlineLevel="0" collapsed="false">
      <c r="A242" s="0" t="n">
        <v>1728.28890799656</v>
      </c>
      <c r="B242" s="0" t="n">
        <f aca="false">W_PH(B$2,$A242)</f>
        <v>2015</v>
      </c>
      <c r="C242" s="0" t="n">
        <f aca="false">W_PH(C$2,$A242)</f>
        <v>2508.63076120658</v>
      </c>
      <c r="D242" s="0" t="n">
        <f aca="false">W_PH(D$2,$A242)</f>
        <v>2508.63078481183</v>
      </c>
      <c r="E242" s="0" t="n">
        <f aca="false">W_PH(E$2,$A242)</f>
        <v>2508.63080841777</v>
      </c>
      <c r="F242" s="0" t="n">
        <f aca="false">W_PH(F$2,$A242)</f>
        <v>2508.63083202439</v>
      </c>
      <c r="G242" s="0" t="n">
        <f aca="false">W_PH(G$2,$A242)</f>
        <v>2508.63106812869</v>
      </c>
      <c r="H242" s="0" t="n">
        <f aca="false">W_PH(H$2,$A242)</f>
        <v>2508.63130430209</v>
      </c>
      <c r="I242" s="0" t="n">
        <f aca="false">W_PH(I$2,$A242)</f>
        <v>2508.6315405446</v>
      </c>
      <c r="J242" s="0" t="n">
        <f aca="false">W_PH(J$2,$A242)</f>
        <v>2508.63177685622</v>
      </c>
      <c r="K242" s="0" t="n">
        <f aca="false">W_PH(K$2,$A242)</f>
        <v>2508.63201323695</v>
      </c>
      <c r="L242" s="0" t="n">
        <f aca="false">W_PH(L$2,$A242)</f>
        <v>2508.63224968679</v>
      </c>
      <c r="M242" s="0" t="n">
        <f aca="false">W_PH(M$2,$A242)</f>
        <v>2508.63248620574</v>
      </c>
      <c r="N242" s="0" t="n">
        <f aca="false">W_PH(N$2,$A242)</f>
        <v>2508.63272279381</v>
      </c>
      <c r="O242" s="0" t="n">
        <f aca="false">W_PH(O$2,$A242)</f>
        <v>2508.63295945099</v>
      </c>
      <c r="P242" s="0" t="n">
        <f aca="false">W_PH(P$2,$A242)</f>
        <v>2508.63532982447</v>
      </c>
      <c r="Q242" s="0" t="n">
        <f aca="false">W_PH(Q$2,$A242)</f>
        <v>2508.63770711096</v>
      </c>
      <c r="R242" s="0" t="n">
        <f aca="false">W_PH(R$2,$A242)</f>
        <v>2508.64009131178</v>
      </c>
      <c r="S242" s="0" t="n">
        <f aca="false">W_PH(S$2,$A242)</f>
        <v>2508.64248242824</v>
      </c>
      <c r="T242" s="0" t="n">
        <f aca="false">W_PH(T$2,$A242)</f>
        <v>2508.64488046164</v>
      </c>
      <c r="U242" s="0" t="n">
        <f aca="false">W_PH(U$2,$A242)</f>
        <v>2508.6472854133</v>
      </c>
      <c r="V242" s="0" t="n">
        <f aca="false">W_PH(V$2,$A242)</f>
        <v>2508.6496972845</v>
      </c>
      <c r="W242" s="0" t="n">
        <f aca="false">W_PH(W$2,$A242)</f>
        <v>2508.65211607657</v>
      </c>
      <c r="X242" s="0" t="n">
        <f aca="false">W_PH(X$2,$A242)</f>
        <v>2508.65454179078</v>
      </c>
      <c r="Y242" s="0" t="n">
        <f aca="false">W_PH(Y$2,$A242)</f>
        <v>2508.67917993449</v>
      </c>
      <c r="Z242" s="0" t="n">
        <f aca="false">W_PH(Z$2,$A242)</f>
        <v>2508.70451169857</v>
      </c>
      <c r="AA242" s="0" t="n">
        <f aca="false">W_PH(AA$2,$A242)</f>
        <v>2508.73053833274</v>
      </c>
      <c r="AB242" s="0" t="n">
        <f aca="false">W_PH(AB$2,$A242)</f>
        <v>2508.75726105844</v>
      </c>
      <c r="AC242" s="0" t="n">
        <f aca="false">W_PH(AC$2,$A242)</f>
        <v>2508.78468106899</v>
      </c>
      <c r="AD242" s="0" t="n">
        <f aca="false">W_PH(AD$2,$A242)</f>
        <v>2508.81279952979</v>
      </c>
      <c r="AE242" s="0" t="n">
        <f aca="false">W_PH(AE$2,$A242)</f>
        <v>2508.84161757848</v>
      </c>
      <c r="AF242" s="0" t="n">
        <f aca="false">W_PH(AF$2,$A242)</f>
        <v>2508.8711363252</v>
      </c>
      <c r="AG242" s="0" t="n">
        <f aca="false">W_PH(AG$2,$A242)</f>
        <v>2508.90135685274</v>
      </c>
      <c r="AH242" s="0" t="n">
        <f aca="false">W_PH(AH$2,$A242)</f>
        <v>2509.24237911842</v>
      </c>
      <c r="AI242" s="0" t="n">
        <f aca="false">W_PH(AI$2,$A242)</f>
        <v>2509.65457490625</v>
      </c>
      <c r="AJ242" s="0" t="n">
        <f aca="false">W_PH(AJ$2,$A242)</f>
        <v>2510.14458274723</v>
      </c>
      <c r="AK242" s="0" t="n">
        <f aca="false">W_PH(AK$2,$A242)</f>
        <v>2510.69881388208</v>
      </c>
      <c r="AL242" s="0" t="n">
        <f aca="false">W_PH(AL$2,$A242)</f>
        <v>2511.32442154778</v>
      </c>
      <c r="AM242" s="0" t="n">
        <f aca="false">W_PH(AM$2,$A242)</f>
        <v>2512.02145360703</v>
      </c>
      <c r="AN242" s="0" t="n">
        <f aca="false">W_PH(AN$2,$A242)</f>
        <v>2512.789787664</v>
      </c>
      <c r="AO242" s="0" t="n">
        <f aca="false">W_PH(AO$2,$A242)</f>
        <v>2513.62914853997</v>
      </c>
      <c r="AP242" s="0" t="n">
        <f aca="false">W_PH(AP$2,$A242)</f>
        <v>2514.53912497511</v>
      </c>
      <c r="AQ242" s="0" t="n">
        <f aca="false">W_PH(AQ$2,$A242)</f>
        <v>2527.36383158082</v>
      </c>
      <c r="AR242" s="0" t="n">
        <f aca="false">W_PH(AR$2,$A242)</f>
        <v>2530.80328648425</v>
      </c>
      <c r="AS242" s="0" t="n">
        <f aca="false">W_PH(AS$2,$A242)</f>
        <v>2532.00717148754</v>
      </c>
    </row>
    <row r="243" customFormat="false" ht="12.8" hidden="false" customHeight="false" outlineLevel="0" collapsed="false">
      <c r="A243" s="0" t="n">
        <v>1732.58813413586</v>
      </c>
      <c r="B243" s="0" t="n">
        <f aca="false">W_PH(B$2,$A243)</f>
        <v>2015</v>
      </c>
      <c r="C243" s="0" t="n">
        <f aca="false">W_PH(C$2,$A243)</f>
        <v>2513.58745690038</v>
      </c>
      <c r="D243" s="0" t="n">
        <f aca="false">W_PH(D$2,$A243)</f>
        <v>2513.58748293515</v>
      </c>
      <c r="E243" s="0" t="n">
        <f aca="false">W_PH(E$2,$A243)</f>
        <v>2513.58750897061</v>
      </c>
      <c r="F243" s="0" t="n">
        <f aca="false">W_PH(F$2,$A243)</f>
        <v>2513.58753500675</v>
      </c>
      <c r="G243" s="0" t="n">
        <f aca="false">W_PH(G$2,$A243)</f>
        <v>2513.58779540609</v>
      </c>
      <c r="H243" s="0" t="n">
        <f aca="false">W_PH(H$2,$A243)</f>
        <v>2513.58805587432</v>
      </c>
      <c r="I243" s="0" t="n">
        <f aca="false">W_PH(I$2,$A243)</f>
        <v>2513.58831641143</v>
      </c>
      <c r="J243" s="0" t="n">
        <f aca="false">W_PH(J$2,$A243)</f>
        <v>2513.58857701742</v>
      </c>
      <c r="K243" s="0" t="n">
        <f aca="false">W_PH(K$2,$A243)</f>
        <v>2513.5888376923</v>
      </c>
      <c r="L243" s="0" t="n">
        <f aca="false">W_PH(L$2,$A243)</f>
        <v>2513.58909843607</v>
      </c>
      <c r="M243" s="0" t="n">
        <f aca="false">W_PH(M$2,$A243)</f>
        <v>2513.58935924873</v>
      </c>
      <c r="N243" s="0" t="n">
        <f aca="false">W_PH(N$2,$A243)</f>
        <v>2513.58962013027</v>
      </c>
      <c r="O243" s="0" t="n">
        <f aca="false">W_PH(O$2,$A243)</f>
        <v>2513.58988108071</v>
      </c>
      <c r="P243" s="0" t="n">
        <f aca="false">W_PH(P$2,$A243)</f>
        <v>2513.5924943744</v>
      </c>
      <c r="Q243" s="0" t="n">
        <f aca="false">W_PH(Q$2,$A243)</f>
        <v>2513.59511455856</v>
      </c>
      <c r="R243" s="0" t="n">
        <f aca="false">W_PH(R$2,$A243)</f>
        <v>2513.5977416344</v>
      </c>
      <c r="S243" s="0" t="n">
        <f aca="false">W_PH(S$2,$A243)</f>
        <v>2513.60037560312</v>
      </c>
      <c r="T243" s="0" t="n">
        <f aca="false">W_PH(T$2,$A243)</f>
        <v>2513.60301646591</v>
      </c>
      <c r="U243" s="0" t="n">
        <f aca="false">W_PH(U$2,$A243)</f>
        <v>2513.60566422397</v>
      </c>
      <c r="V243" s="0" t="n">
        <f aca="false">W_PH(V$2,$A243)</f>
        <v>2513.60831887849</v>
      </c>
      <c r="W243" s="0" t="n">
        <f aca="false">W_PH(W$2,$A243)</f>
        <v>2513.61098043066</v>
      </c>
      <c r="X243" s="0" t="n">
        <f aca="false">W_PH(X$2,$A243)</f>
        <v>2513.61364888167</v>
      </c>
      <c r="Y243" s="0" t="n">
        <f aca="false">W_PH(Y$2,$A243)</f>
        <v>2513.64071308669</v>
      </c>
      <c r="Z243" s="0" t="n">
        <f aca="false">W_PH(Z$2,$A243)</f>
        <v>2513.66846845972</v>
      </c>
      <c r="AA243" s="0" t="n">
        <f aca="false">W_PH(AA$2,$A243)</f>
        <v>2513.69691614174</v>
      </c>
      <c r="AB243" s="0" t="n">
        <f aca="false">W_PH(AB$2,$A243)</f>
        <v>2513.72605724657</v>
      </c>
      <c r="AC243" s="0" t="n">
        <f aca="false">W_PH(AC$2,$A243)</f>
        <v>2513.755892861</v>
      </c>
      <c r="AD243" s="0" t="n">
        <f aca="false">W_PH(AD$2,$A243)</f>
        <v>2513.78642404503</v>
      </c>
      <c r="AE243" s="0" t="n">
        <f aca="false">W_PH(AE$2,$A243)</f>
        <v>2513.81765183204</v>
      </c>
      <c r="AF243" s="0" t="n">
        <f aca="false">W_PH(AF$2,$A243)</f>
        <v>2513.849577229</v>
      </c>
      <c r="AG243" s="0" t="n">
        <f aca="false">W_PH(AG$2,$A243)</f>
        <v>2513.88220121663</v>
      </c>
      <c r="AH243" s="0" t="n">
        <f aca="false">W_PH(AH$2,$A243)</f>
        <v>2514.24706096303</v>
      </c>
      <c r="AI243" s="0" t="n">
        <f aca="false">W_PH(AI$2,$A243)</f>
        <v>2514.68267110973</v>
      </c>
      <c r="AJ243" s="0" t="n">
        <f aca="false">W_PH(AJ$2,$A243)</f>
        <v>2515.19501492448</v>
      </c>
      <c r="AK243" s="0" t="n">
        <f aca="false">W_PH(AK$2,$A243)</f>
        <v>2515.77179237637</v>
      </c>
      <c r="AL243" s="0" t="n">
        <f aca="false">W_PH(AL$2,$A243)</f>
        <v>2516.41919197113</v>
      </c>
      <c r="AM243" s="0" t="n">
        <f aca="false">W_PH(AM$2,$A243)</f>
        <v>2517.13719585114</v>
      </c>
      <c r="AN243" s="0" t="n">
        <f aca="false">W_PH(AN$2,$A243)</f>
        <v>2517.92562449599</v>
      </c>
      <c r="AO243" s="0" t="n">
        <f aca="false">W_PH(AO$2,$A243)</f>
        <v>2518.78415360264</v>
      </c>
      <c r="AP243" s="0" t="n">
        <f aca="false">W_PH(AP$2,$A243)</f>
        <v>2519.71233015731</v>
      </c>
      <c r="AQ243" s="0" t="n">
        <f aca="false">W_PH(AQ$2,$A243)</f>
        <v>2532.66054025342</v>
      </c>
      <c r="AR243" s="0" t="n">
        <f aca="false">W_PH(AR$2,$A243)</f>
        <v>2536.11161900608</v>
      </c>
      <c r="AS243" s="0" t="n">
        <f aca="false">W_PH(AS$2,$A243)</f>
        <v>2537.31830391145</v>
      </c>
    </row>
    <row r="244" customFormat="false" ht="12.8" hidden="false" customHeight="false" outlineLevel="0" collapsed="false">
      <c r="A244" s="0" t="n">
        <v>1736.88736027515</v>
      </c>
      <c r="B244" s="0" t="n">
        <f aca="false">W_PH(B$2,$A244)</f>
        <v>2015</v>
      </c>
      <c r="C244" s="0" t="n">
        <f aca="false">W_PH(C$2,$A244)</f>
        <v>2518.52570366492</v>
      </c>
      <c r="D244" s="0" t="n">
        <f aca="false">W_PH(D$2,$A244)</f>
        <v>2518.52573210724</v>
      </c>
      <c r="E244" s="0" t="n">
        <f aca="false">W_PH(E$2,$A244)</f>
        <v>2518.52576055024</v>
      </c>
      <c r="F244" s="0" t="n">
        <f aca="false">W_PH(F$2,$A244)</f>
        <v>2518.52578899393</v>
      </c>
      <c r="G244" s="0" t="n">
        <f aca="false">W_PH(G$2,$A244)</f>
        <v>2518.52607346861</v>
      </c>
      <c r="H244" s="0" t="n">
        <f aca="false">W_PH(H$2,$A244)</f>
        <v>2518.52635801192</v>
      </c>
      <c r="I244" s="0" t="n">
        <f aca="false">W_PH(I$2,$A244)</f>
        <v>2518.52664262388</v>
      </c>
      <c r="J244" s="0" t="n">
        <f aca="false">W_PH(J$2,$A244)</f>
        <v>2518.52692730448</v>
      </c>
      <c r="K244" s="0" t="n">
        <f aca="false">W_PH(K$2,$A244)</f>
        <v>2518.52721205373</v>
      </c>
      <c r="L244" s="0" t="n">
        <f aca="false">W_PH(L$2,$A244)</f>
        <v>2518.52749687162</v>
      </c>
      <c r="M244" s="0" t="n">
        <f aca="false">W_PH(M$2,$A244)</f>
        <v>2518.52778175817</v>
      </c>
      <c r="N244" s="0" t="n">
        <f aca="false">W_PH(N$2,$A244)</f>
        <v>2518.52806671336</v>
      </c>
      <c r="O244" s="0" t="n">
        <f aca="false">W_PH(O$2,$A244)</f>
        <v>2518.5283517372</v>
      </c>
      <c r="P244" s="0" t="n">
        <f aca="false">W_PH(P$2,$A244)</f>
        <v>2518.53120575157</v>
      </c>
      <c r="Q244" s="0" t="n">
        <f aca="false">W_PH(Q$2,$A244)</f>
        <v>2518.53406663211</v>
      </c>
      <c r="R244" s="0" t="n">
        <f aca="false">W_PH(R$2,$A244)</f>
        <v>2518.53693437991</v>
      </c>
      <c r="S244" s="0" t="n">
        <f aca="false">W_PH(S$2,$A244)</f>
        <v>2518.53980899607</v>
      </c>
      <c r="T244" s="0" t="n">
        <f aca="false">W_PH(T$2,$A244)</f>
        <v>2518.54269048167</v>
      </c>
      <c r="U244" s="0" t="n">
        <f aca="false">W_PH(U$2,$A244)</f>
        <v>2518.5455788378</v>
      </c>
      <c r="V244" s="0" t="n">
        <f aca="false">W_PH(V$2,$A244)</f>
        <v>2518.54847406553</v>
      </c>
      <c r="W244" s="0" t="n">
        <f aca="false">W_PH(W$2,$A244)</f>
        <v>2518.55137616594</v>
      </c>
      <c r="X244" s="0" t="n">
        <f aca="false">W_PH(X$2,$A244)</f>
        <v>2518.55428514012</v>
      </c>
      <c r="Y244" s="0" t="n">
        <f aca="false">W_PH(Y$2,$A244)</f>
        <v>2518.58375317371</v>
      </c>
      <c r="Z244" s="0" t="n">
        <f aca="false">W_PH(Z$2,$A244)</f>
        <v>2518.61390974791</v>
      </c>
      <c r="AA244" s="0" t="n">
        <f aca="false">W_PH(AA$2,$A244)</f>
        <v>2518.64475589568</v>
      </c>
      <c r="AB244" s="0" t="n">
        <f aca="false">W_PH(AB$2,$A244)</f>
        <v>2518.67629262396</v>
      </c>
      <c r="AC244" s="0" t="n">
        <f aca="false">W_PH(AC$2,$A244)</f>
        <v>2518.7085209138</v>
      </c>
      <c r="AD244" s="0" t="n">
        <f aca="false">W_PH(AD$2,$A244)</f>
        <v>2518.74144172054</v>
      </c>
      <c r="AE244" s="0" t="n">
        <f aca="false">W_PH(AE$2,$A244)</f>
        <v>2518.77505597408</v>
      </c>
      <c r="AF244" s="0" t="n">
        <f aca="false">W_PH(AF$2,$A244)</f>
        <v>2518.80936457895</v>
      </c>
      <c r="AG244" s="0" t="n">
        <f aca="false">W_PH(AG$2,$A244)</f>
        <v>2518.84436841461</v>
      </c>
      <c r="AH244" s="0" t="n">
        <f aca="false">W_PH(AH$2,$A244)</f>
        <v>2519.23282035525</v>
      </c>
      <c r="AI244" s="0" t="n">
        <f aca="false">W_PH(AI$2,$A244)</f>
        <v>2519.69158344554</v>
      </c>
      <c r="AJ244" s="0" t="n">
        <f aca="false">W_PH(AJ$2,$A244)</f>
        <v>2520.22597327395</v>
      </c>
      <c r="AK244" s="0" t="n">
        <f aca="false">W_PH(AK$2,$A244)</f>
        <v>2520.82505131284</v>
      </c>
      <c r="AL244" s="0" t="n">
        <f aca="false">W_PH(AL$2,$A244)</f>
        <v>2521.4940058806</v>
      </c>
      <c r="AM244" s="0" t="n">
        <f aca="false">W_PH(AM$2,$A244)</f>
        <v>2522.23275495266</v>
      </c>
      <c r="AN244" s="0" t="n">
        <f aca="false">W_PH(AN$2,$A244)</f>
        <v>2523.04106325904</v>
      </c>
      <c r="AO244" s="0" t="n">
        <f aca="false">W_PH(AO$2,$A244)</f>
        <v>2523.91855854637</v>
      </c>
      <c r="AP244" s="0" t="n">
        <f aca="false">W_PH(AP$2,$A244)</f>
        <v>2524.86474700262</v>
      </c>
      <c r="AQ244" s="0" t="n">
        <f aca="false">W_PH(AQ$2,$A244)</f>
        <v>2537.93537862919</v>
      </c>
      <c r="AR244" s="0" t="n">
        <f aca="false">W_PH(AR$2,$A244)</f>
        <v>2541.39800360904</v>
      </c>
      <c r="AS244" s="0" t="n">
        <f aca="false">W_PH(AS$2,$A244)</f>
        <v>2542.6074679505</v>
      </c>
    </row>
    <row r="245" customFormat="false" ht="12.8" hidden="false" customHeight="false" outlineLevel="0" collapsed="false">
      <c r="A245" s="0" t="n">
        <v>1741.18658641445</v>
      </c>
      <c r="B245" s="0" t="n">
        <f aca="false">W_PH(B$2,$A245)</f>
        <v>2015</v>
      </c>
      <c r="C245" s="0" t="n">
        <f aca="false">W_PH(C$2,$A245)</f>
        <v>2523.44565279551</v>
      </c>
      <c r="D245" s="0" t="n">
        <f aca="false">W_PH(D$2,$A245)</f>
        <v>2523.44568362368</v>
      </c>
      <c r="E245" s="0" t="n">
        <f aca="false">W_PH(E$2,$A245)</f>
        <v>2523.44571445253</v>
      </c>
      <c r="F245" s="0" t="n">
        <f aca="false">W_PH(F$2,$A245)</f>
        <v>2523.44574528206</v>
      </c>
      <c r="G245" s="0" t="n">
        <f aca="false">W_PH(G$2,$A245)</f>
        <v>2523.446053615</v>
      </c>
      <c r="H245" s="0" t="n">
        <f aca="false">W_PH(H$2,$A245)</f>
        <v>2523.44636201632</v>
      </c>
      <c r="I245" s="0" t="n">
        <f aca="false">W_PH(I$2,$A245)</f>
        <v>2523.44667048603</v>
      </c>
      <c r="J245" s="0" t="n">
        <f aca="false">W_PH(J$2,$A245)</f>
        <v>2523.44697902412</v>
      </c>
      <c r="K245" s="0" t="n">
        <f aca="false">W_PH(K$2,$A245)</f>
        <v>2523.44728763059</v>
      </c>
      <c r="L245" s="0" t="n">
        <f aca="false">W_PH(L$2,$A245)</f>
        <v>2523.44759630545</v>
      </c>
      <c r="M245" s="0" t="n">
        <f aca="false">W_PH(M$2,$A245)</f>
        <v>2523.44790504869</v>
      </c>
      <c r="N245" s="0" t="n">
        <f aca="false">W_PH(N$2,$A245)</f>
        <v>2523.44821386033</v>
      </c>
      <c r="O245" s="0" t="n">
        <f aca="false">W_PH(O$2,$A245)</f>
        <v>2523.44852274035</v>
      </c>
      <c r="P245" s="0" t="n">
        <f aca="false">W_PH(P$2,$A245)</f>
        <v>2523.45161530215</v>
      </c>
      <c r="Q245" s="0" t="n">
        <f aca="false">W_PH(Q$2,$A245)</f>
        <v>2523.45471470389</v>
      </c>
      <c r="R245" s="0" t="n">
        <f aca="false">W_PH(R$2,$A245)</f>
        <v>2523.45782094655</v>
      </c>
      <c r="S245" s="0" t="n">
        <f aca="false">W_PH(S$2,$A245)</f>
        <v>2523.46093403111</v>
      </c>
      <c r="T245" s="0" t="n">
        <f aca="false">W_PH(T$2,$A245)</f>
        <v>2523.46405395856</v>
      </c>
      <c r="U245" s="0" t="n">
        <f aca="false">W_PH(U$2,$A245)</f>
        <v>2523.46718072986</v>
      </c>
      <c r="V245" s="0" t="n">
        <f aca="false">W_PH(V$2,$A245)</f>
        <v>2523.47031434598</v>
      </c>
      <c r="W245" s="0" t="n">
        <f aca="false">W_PH(W$2,$A245)</f>
        <v>2523.4734548079</v>
      </c>
      <c r="X245" s="0" t="n">
        <f aca="false">W_PH(X$2,$A245)</f>
        <v>2523.47660211659</v>
      </c>
      <c r="Y245" s="0" t="n">
        <f aca="false">W_PH(Y$2,$A245)</f>
        <v>2523.50845198652</v>
      </c>
      <c r="Z245" s="0" t="n">
        <f aca="false">W_PH(Z$2,$A245)</f>
        <v>2523.54098757836</v>
      </c>
      <c r="AA245" s="0" t="n">
        <f aca="false">W_PH(AA$2,$A245)</f>
        <v>2523.57420981802</v>
      </c>
      <c r="AB245" s="0" t="n">
        <f aca="false">W_PH(AB$2,$A245)</f>
        <v>2523.60811960652</v>
      </c>
      <c r="AC245" s="0" t="n">
        <f aca="false">W_PH(AC$2,$A245)</f>
        <v>2523.64271782009</v>
      </c>
      <c r="AD245" s="0" t="n">
        <f aca="false">W_PH(AD$2,$A245)</f>
        <v>2523.67800531044</v>
      </c>
      <c r="AE245" s="0" t="n">
        <f aca="false">W_PH(AE$2,$A245)</f>
        <v>2523.71398290486</v>
      </c>
      <c r="AF245" s="0" t="n">
        <f aca="false">W_PH(AF$2,$A245)</f>
        <v>2523.7506514065</v>
      </c>
      <c r="AG245" s="0" t="n">
        <f aca="false">W_PH(AG$2,$A245)</f>
        <v>2523.78801159445</v>
      </c>
      <c r="AH245" s="0" t="n">
        <f aca="false">W_PH(AH$2,$A245)</f>
        <v>2524.19981083034</v>
      </c>
      <c r="AI245" s="0" t="n">
        <f aca="false">W_PH(AI$2,$A245)</f>
        <v>2524.68146454091</v>
      </c>
      <c r="AJ245" s="0" t="n">
        <f aca="false">W_PH(AJ$2,$A245)</f>
        <v>2525.23761477301</v>
      </c>
      <c r="AK245" s="0" t="n">
        <f aca="false">W_PH(AK$2,$A245)</f>
        <v>2525.85874932015</v>
      </c>
      <c r="AL245" s="0" t="n">
        <f aca="false">W_PH(AL$2,$A245)</f>
        <v>2526.5490231149</v>
      </c>
      <c r="AM245" s="0" t="n">
        <f aca="false">W_PH(AM$2,$A245)</f>
        <v>2527.3082915581</v>
      </c>
      <c r="AN245" s="0" t="n">
        <f aca="false">W_PH(AN$2,$A245)</f>
        <v>2528.13626502955</v>
      </c>
      <c r="AO245" s="0" t="n">
        <f aca="false">W_PH(AO$2,$A245)</f>
        <v>2529.0325245118</v>
      </c>
      <c r="AP245" s="0" t="n">
        <f aca="false">W_PH(AP$2,$A245)</f>
        <v>2529.99653635247</v>
      </c>
      <c r="AQ245" s="0" t="n">
        <f aca="false">W_PH(AQ$2,$A245)</f>
        <v>2543.18848083384</v>
      </c>
      <c r="AR245" s="0" t="n">
        <f aca="false">W_PH(AR$2,$A245)</f>
        <v>2546.66256204416</v>
      </c>
      <c r="AS245" s="0" t="n">
        <f aca="false">W_PH(AS$2,$A245)</f>
        <v>2547.87478057719</v>
      </c>
    </row>
    <row r="246" customFormat="false" ht="12.8" hidden="false" customHeight="false" outlineLevel="0" collapsed="false">
      <c r="A246" s="0" t="n">
        <v>1745.48581255374</v>
      </c>
      <c r="B246" s="0" t="n">
        <f aca="false">W_PH(B$2,$A246)</f>
        <v>2015</v>
      </c>
      <c r="C246" s="0" t="n">
        <f aca="false">W_PH(C$2,$A246)</f>
        <v>2528.3474525431</v>
      </c>
      <c r="D246" s="0" t="n">
        <f aca="false">W_PH(D$2,$A246)</f>
        <v>2528.34748573563</v>
      </c>
      <c r="E246" s="0" t="n">
        <f aca="false">W_PH(E$2,$A246)</f>
        <v>2528.34751892884</v>
      </c>
      <c r="F246" s="0" t="n">
        <f aca="false">W_PH(F$2,$A246)</f>
        <v>2528.34755212273</v>
      </c>
      <c r="G246" s="0" t="n">
        <f aca="false">W_PH(G$2,$A246)</f>
        <v>2528.3478840991</v>
      </c>
      <c r="H246" s="0" t="n">
        <f aca="false">W_PH(H$2,$A246)</f>
        <v>2528.34821614357</v>
      </c>
      <c r="I246" s="0" t="n">
        <f aca="false">W_PH(I$2,$A246)</f>
        <v>2528.34854825614</v>
      </c>
      <c r="J246" s="0" t="n">
        <f aca="false">W_PH(J$2,$A246)</f>
        <v>2528.34888043681</v>
      </c>
      <c r="K246" s="0" t="n">
        <f aca="false">W_PH(K$2,$A246)</f>
        <v>2528.34921268558</v>
      </c>
      <c r="L246" s="0" t="n">
        <f aca="false">W_PH(L$2,$A246)</f>
        <v>2528.34954500246</v>
      </c>
      <c r="M246" s="0" t="n">
        <f aca="false">W_PH(M$2,$A246)</f>
        <v>2528.34987738744</v>
      </c>
      <c r="N246" s="0" t="n">
        <f aca="false">W_PH(N$2,$A246)</f>
        <v>2528.35020984053</v>
      </c>
      <c r="O246" s="0" t="n">
        <f aca="false">W_PH(O$2,$A246)</f>
        <v>2528.35054236172</v>
      </c>
      <c r="P246" s="0" t="n">
        <f aca="false">W_PH(P$2,$A246)</f>
        <v>2528.35387131972</v>
      </c>
      <c r="Q246" s="0" t="n">
        <f aca="false">W_PH(Q$2,$A246)</f>
        <v>2528.35720708934</v>
      </c>
      <c r="R246" s="0" t="n">
        <f aca="false">W_PH(R$2,$A246)</f>
        <v>2528.36054967144</v>
      </c>
      <c r="S246" s="0" t="n">
        <f aca="false">W_PH(S$2,$A246)</f>
        <v>2528.36389906691</v>
      </c>
      <c r="T246" s="0" t="n">
        <f aca="false">W_PH(T$2,$A246)</f>
        <v>2528.36725527661</v>
      </c>
      <c r="U246" s="0" t="n">
        <f aca="false">W_PH(U$2,$A246)</f>
        <v>2528.37061830141</v>
      </c>
      <c r="V246" s="0" t="n">
        <f aca="false">W_PH(V$2,$A246)</f>
        <v>2528.37398814217</v>
      </c>
      <c r="W246" s="0" t="n">
        <f aca="false">W_PH(W$2,$A246)</f>
        <v>2528.37736479976</v>
      </c>
      <c r="X246" s="0" t="n">
        <f aca="false">W_PH(X$2,$A246)</f>
        <v>2528.38074827503</v>
      </c>
      <c r="Y246" s="0" t="n">
        <f aca="false">W_PH(Y$2,$A246)</f>
        <v>2528.41495818788</v>
      </c>
      <c r="Z246" s="0" t="n">
        <f aca="false">W_PH(Z$2,$A246)</f>
        <v>2528.44985079703</v>
      </c>
      <c r="AA246" s="0" t="n">
        <f aca="false">W_PH(AA$2,$A246)</f>
        <v>2528.48542692252</v>
      </c>
      <c r="AB246" s="0" t="n">
        <f aca="false">W_PH(AB$2,$A246)</f>
        <v>2528.52168736058</v>
      </c>
      <c r="AC246" s="0" t="n">
        <f aca="false">W_PH(AC$2,$A246)</f>
        <v>2528.55863288383</v>
      </c>
      <c r="AD246" s="0" t="n">
        <f aca="false">W_PH(AD$2,$A246)</f>
        <v>2528.59626424142</v>
      </c>
      <c r="AE246" s="0" t="n">
        <f aca="false">W_PH(AE$2,$A246)</f>
        <v>2528.63458215928</v>
      </c>
      <c r="AF246" s="0" t="n">
        <f aca="false">W_PH(AF$2,$A246)</f>
        <v>2528.67358734022</v>
      </c>
      <c r="AG246" s="0" t="n">
        <f aca="false">W_PH(AG$2,$A246)</f>
        <v>2528.71328046418</v>
      </c>
      <c r="AH246" s="0" t="n">
        <f aca="false">W_PH(AH$2,$A246)</f>
        <v>2529.14818214389</v>
      </c>
      <c r="AI246" s="0" t="n">
        <f aca="false">W_PH(AI$2,$A246)</f>
        <v>2529.65246295002</v>
      </c>
      <c r="AJ246" s="0" t="n">
        <f aca="false">W_PH(AJ$2,$A246)</f>
        <v>2530.23009268692</v>
      </c>
      <c r="AK246" s="0" t="n">
        <f aca="false">W_PH(AK$2,$A246)</f>
        <v>2530.87304128039</v>
      </c>
      <c r="AL246" s="0" t="n">
        <f aca="false">W_PH(AL$2,$A246)</f>
        <v>2531.58439973592</v>
      </c>
      <c r="AM246" s="0" t="n">
        <f aca="false">W_PH(AM$2,$A246)</f>
        <v>2532.36396250833</v>
      </c>
      <c r="AN246" s="0" t="n">
        <f aca="false">W_PH(AN$2,$A246)</f>
        <v>2533.21138704888</v>
      </c>
      <c r="AO246" s="0" t="n">
        <f aca="false">W_PH(AO$2,$A246)</f>
        <v>2534.12620877308</v>
      </c>
      <c r="AP246" s="0" t="n">
        <f aca="false">W_PH(AP$2,$A246)</f>
        <v>2535.10785514741</v>
      </c>
      <c r="AQ246" s="0" t="n">
        <f aca="false">W_PH(AQ$2,$A246)</f>
        <v>2548.41997655867</v>
      </c>
      <c r="AR246" s="0" t="n">
        <f aca="false">W_PH(AR$2,$A246)</f>
        <v>2015</v>
      </c>
      <c r="AS246" s="0" t="n">
        <f aca="false">W_PH(AS$2,$A246)</f>
        <v>2015</v>
      </c>
    </row>
    <row r="247" customFormat="false" ht="12.8" hidden="false" customHeight="false" outlineLevel="0" collapsed="false">
      <c r="A247" s="0" t="n">
        <v>1749.78503869304</v>
      </c>
      <c r="B247" s="0" t="n">
        <f aca="false">W_PH(B$2,$A247)</f>
        <v>2015</v>
      </c>
      <c r="C247" s="0" t="n">
        <f aca="false">W_PH(C$2,$A247)</f>
        <v>2533.23124813206</v>
      </c>
      <c r="D247" s="0" t="n">
        <f aca="false">W_PH(D$2,$A247)</f>
        <v>2533.23128366765</v>
      </c>
      <c r="E247" s="0" t="n">
        <f aca="false">W_PH(E$2,$A247)</f>
        <v>2533.23131920392</v>
      </c>
      <c r="F247" s="0" t="n">
        <f aca="false">W_PH(F$2,$A247)</f>
        <v>2533.23135474086</v>
      </c>
      <c r="G247" s="0" t="n">
        <f aca="false">W_PH(G$2,$A247)</f>
        <v>2533.23171014762</v>
      </c>
      <c r="H247" s="0" t="n">
        <f aca="false">W_PH(H$2,$A247)</f>
        <v>2533.23206562218</v>
      </c>
      <c r="I247" s="0" t="n">
        <f aca="false">W_PH(I$2,$A247)</f>
        <v>2533.23242116453</v>
      </c>
      <c r="J247" s="0" t="n">
        <f aca="false">W_PH(J$2,$A247)</f>
        <v>2533.23277677468</v>
      </c>
      <c r="K247" s="0" t="n">
        <f aca="false">W_PH(K$2,$A247)</f>
        <v>2533.23313245263</v>
      </c>
      <c r="L247" s="0" t="n">
        <f aca="false">W_PH(L$2,$A247)</f>
        <v>2533.23348819838</v>
      </c>
      <c r="M247" s="0" t="n">
        <f aca="false">W_PH(M$2,$A247)</f>
        <v>2533.23384401193</v>
      </c>
      <c r="N247" s="0" t="n">
        <f aca="false">W_PH(N$2,$A247)</f>
        <v>2533.23419989328</v>
      </c>
      <c r="O247" s="0" t="n">
        <f aca="false">W_PH(O$2,$A247)</f>
        <v>2533.23455584243</v>
      </c>
      <c r="P247" s="0" t="n">
        <f aca="false">W_PH(P$2,$A247)</f>
        <v>2533.23811906325</v>
      </c>
      <c r="Q247" s="0" t="n">
        <f aca="false">W_PH(Q$2,$A247)</f>
        <v>2533.24168906511</v>
      </c>
      <c r="R247" s="0" t="n">
        <f aca="false">W_PH(R$2,$A247)</f>
        <v>2533.2452658488</v>
      </c>
      <c r="S247" s="0" t="n">
        <f aca="false">W_PH(S$2,$A247)</f>
        <v>2533.24884941507</v>
      </c>
      <c r="T247" s="0" t="n">
        <f aca="false">W_PH(T$2,$A247)</f>
        <v>2533.25243976468</v>
      </c>
      <c r="U247" s="0" t="n">
        <f aca="false">W_PH(U$2,$A247)</f>
        <v>2533.2560368984</v>
      </c>
      <c r="V247" s="0" t="n">
        <f aca="false">W_PH(V$2,$A247)</f>
        <v>2533.25964081698</v>
      </c>
      <c r="W247" s="0" t="n">
        <f aca="false">W_PH(W$2,$A247)</f>
        <v>2533.26325152119</v>
      </c>
      <c r="X247" s="0" t="n">
        <f aca="false">W_PH(X$2,$A247)</f>
        <v>2533.26686901177</v>
      </c>
      <c r="Y247" s="0" t="n">
        <f aca="false">W_PH(Y$2,$A247)</f>
        <v>2533.30341733213</v>
      </c>
      <c r="Z247" s="0" t="n">
        <f aca="false">W_PH(Z$2,$A247)</f>
        <v>2533.34064510135</v>
      </c>
      <c r="AA247" s="0" t="n">
        <f aca="false">W_PH(AA$2,$A247)</f>
        <v>2533.37855303491</v>
      </c>
      <c r="AB247" s="0" t="n">
        <f aca="false">W_PH(AB$2,$A247)</f>
        <v>2533.41714182562</v>
      </c>
      <c r="AC247" s="0" t="n">
        <f aca="false">W_PH(AC$2,$A247)</f>
        <v>2533.45641214378</v>
      </c>
      <c r="AD247" s="0" t="n">
        <f aca="false">W_PH(AD$2,$A247)</f>
        <v>2533.49636463737</v>
      </c>
      <c r="AE247" s="0" t="n">
        <f aca="false">W_PH(AE$2,$A247)</f>
        <v>2533.5369999322</v>
      </c>
      <c r="AF247" s="0" t="n">
        <f aca="false">W_PH(AF$2,$A247)</f>
        <v>2533.57831863215</v>
      </c>
      <c r="AG247" s="0" t="n">
        <f aca="false">W_PH(AG$2,$A247)</f>
        <v>2533.62032131927</v>
      </c>
      <c r="AH247" s="0" t="n">
        <f aca="false">W_PH(AH$2,$A247)</f>
        <v>2534.07808030742</v>
      </c>
      <c r="AI247" s="0" t="n">
        <f aca="false">W_PH(AI$2,$A247)</f>
        <v>2534.60472319711</v>
      </c>
      <c r="AJ247" s="0" t="n">
        <f aca="false">W_PH(AJ$2,$A247)</f>
        <v>2535.20355661218</v>
      </c>
      <c r="AK247" s="0" t="n">
        <f aca="false">W_PH(AK$2,$A247)</f>
        <v>2535.86807837595</v>
      </c>
      <c r="AL247" s="0" t="n">
        <f aca="false">W_PH(AL$2,$A247)</f>
        <v>2536.60028807881</v>
      </c>
      <c r="AM247" s="0" t="n">
        <f aca="false">W_PH(AM$2,$A247)</f>
        <v>2537.39992089159</v>
      </c>
      <c r="AN247" s="0" t="n">
        <f aca="false">W_PH(AN$2,$A247)</f>
        <v>2538.26658277898</v>
      </c>
      <c r="AO247" s="0" t="n">
        <f aca="false">W_PH(AO$2,$A247)</f>
        <v>2539.19976479583</v>
      </c>
      <c r="AP247" s="0" t="n">
        <f aca="false">W_PH(AP$2,$A247)</f>
        <v>2540.19885648691</v>
      </c>
      <c r="AQ247" s="0" t="n">
        <f aca="false">W_PH(AQ$2,$A247)</f>
        <v>2015</v>
      </c>
      <c r="AR247" s="0" t="n">
        <f aca="false">W_PH(AR$2,$A247)</f>
        <v>2015</v>
      </c>
      <c r="AS247" s="0" t="n">
        <f aca="false">W_PH(AS$2,$A247)</f>
        <v>2015</v>
      </c>
    </row>
    <row r="248" customFormat="false" ht="12.8" hidden="false" customHeight="false" outlineLevel="0" collapsed="false">
      <c r="A248" s="0" t="n">
        <v>1754.08426483233</v>
      </c>
      <c r="B248" s="0" t="n">
        <f aca="false">W_PH(B$2,$A248)</f>
        <v>2015</v>
      </c>
      <c r="C248" s="0" t="n">
        <f aca="false">W_PH(C$2,$A248)</f>
        <v>2538.09718177765</v>
      </c>
      <c r="D248" s="0" t="n">
        <f aca="false">W_PH(D$2,$A248)</f>
        <v>2538.09721963514</v>
      </c>
      <c r="E248" s="0" t="n">
        <f aca="false">W_PH(E$2,$A248)</f>
        <v>2538.09725749331</v>
      </c>
      <c r="F248" s="0" t="n">
        <f aca="false">W_PH(F$2,$A248)</f>
        <v>2538.09729535215</v>
      </c>
      <c r="G248" s="0" t="n">
        <f aca="false">W_PH(G$2,$A248)</f>
        <v>2538.09767397766</v>
      </c>
      <c r="H248" s="0" t="n">
        <f aca="false">W_PH(H$2,$A248)</f>
        <v>2538.09805267065</v>
      </c>
      <c r="I248" s="0" t="n">
        <f aca="false">W_PH(I$2,$A248)</f>
        <v>2538.0984314311</v>
      </c>
      <c r="J248" s="0" t="n">
        <f aca="false">W_PH(J$2,$A248)</f>
        <v>2538.09881025902</v>
      </c>
      <c r="K248" s="0" t="n">
        <f aca="false">W_PH(K$2,$A248)</f>
        <v>2538.09918915442</v>
      </c>
      <c r="L248" s="0" t="n">
        <f aca="false">W_PH(L$2,$A248)</f>
        <v>2538.09956811728</v>
      </c>
      <c r="M248" s="0" t="n">
        <f aca="false">W_PH(M$2,$A248)</f>
        <v>2538.09994714762</v>
      </c>
      <c r="N248" s="0" t="n">
        <f aca="false">W_PH(N$2,$A248)</f>
        <v>2538.10032624543</v>
      </c>
      <c r="O248" s="0" t="n">
        <f aca="false">W_PH(O$2,$A248)</f>
        <v>2538.10070541072</v>
      </c>
      <c r="P248" s="0" t="n">
        <f aca="false">W_PH(P$2,$A248)</f>
        <v>2538.10450077477</v>
      </c>
      <c r="Q248" s="0" t="n">
        <f aca="false">W_PH(Q$2,$A248)</f>
        <v>2538.10830288691</v>
      </c>
      <c r="R248" s="0" t="n">
        <f aca="false">W_PH(R$2,$A248)</f>
        <v>2538.11211174782</v>
      </c>
      <c r="S248" s="0" t="n">
        <f aca="false">W_PH(S$2,$A248)</f>
        <v>2538.11592735814</v>
      </c>
      <c r="T248" s="0" t="n">
        <f aca="false">W_PH(T$2,$A248)</f>
        <v>2538.11974971854</v>
      </c>
      <c r="U248" s="0" t="n">
        <f aca="false">W_PH(U$2,$A248)</f>
        <v>2538.12357882967</v>
      </c>
      <c r="V248" s="0" t="n">
        <f aca="false">W_PH(V$2,$A248)</f>
        <v>2538.12741469218</v>
      </c>
      <c r="W248" s="0" t="n">
        <f aca="false">W_PH(W$2,$A248)</f>
        <v>2538.13125730672</v>
      </c>
      <c r="X248" s="0" t="n">
        <f aca="false">W_PH(X$2,$A248)</f>
        <v>2538.13510667395</v>
      </c>
      <c r="Y248" s="0" t="n">
        <f aca="false">W_PH(Y$2,$A248)</f>
        <v>2538.17397188478</v>
      </c>
      <c r="Z248" s="0" t="n">
        <f aca="false">W_PH(Z$2,$A248)</f>
        <v>2538.21351306081</v>
      </c>
      <c r="AA248" s="0" t="n">
        <f aca="false">W_PH(AA$2,$A248)</f>
        <v>2538.2537308145</v>
      </c>
      <c r="AB248" s="0" t="n">
        <f aca="false">W_PH(AB$2,$A248)</f>
        <v>2538.29462573674</v>
      </c>
      <c r="AC248" s="0" t="n">
        <f aca="false">W_PH(AC$2,$A248)</f>
        <v>2538.33619839705</v>
      </c>
      <c r="AD248" s="0" t="n">
        <f aca="false">W_PH(AD$2,$A248)</f>
        <v>2538.37844934369</v>
      </c>
      <c r="AE248" s="0" t="n">
        <f aca="false">W_PH(AE$2,$A248)</f>
        <v>2538.42137910392</v>
      </c>
      <c r="AF248" s="0" t="n">
        <f aca="false">W_PH(AF$2,$A248)</f>
        <v>2538.46498818411</v>
      </c>
      <c r="AG248" s="0" t="n">
        <f aca="false">W_PH(AG$2,$A248)</f>
        <v>2538.5092770699</v>
      </c>
      <c r="AH248" s="0" t="n">
        <f aca="false">W_PH(AH$2,$A248)</f>
        <v>2538.98964762424</v>
      </c>
      <c r="AI248" s="0" t="n">
        <f aca="false">W_PH(AI$2,$A248)</f>
        <v>2539.53838582038</v>
      </c>
      <c r="AJ248" s="0" t="n">
        <f aca="false">W_PH(AJ$2,$A248)</f>
        <v>2540.15815251883</v>
      </c>
      <c r="AK248" s="0" t="n">
        <f aca="false">W_PH(AK$2,$A248)</f>
        <v>2540.84400813513</v>
      </c>
      <c r="AL248" s="0" t="n">
        <f aca="false">W_PH(AL$2,$A248)</f>
        <v>2541.59683680069</v>
      </c>
      <c r="AM248" s="0" t="n">
        <f aca="false">W_PH(AM$2,$A248)</f>
        <v>2542.41631609503</v>
      </c>
      <c r="AN248" s="0" t="n">
        <f aca="false">W_PH(AN$2,$A248)</f>
        <v>2543.30200195649</v>
      </c>
      <c r="AO248" s="0" t="n">
        <f aca="false">W_PH(AO$2,$A248)</f>
        <v>2544.2533422935</v>
      </c>
      <c r="AP248" s="0" t="n">
        <f aca="false">W_PH(AP$2,$A248)</f>
        <v>2545.26968968788</v>
      </c>
      <c r="AQ248" s="0" t="n">
        <f aca="false">W_PH(AQ$2,$A248)</f>
        <v>2015</v>
      </c>
      <c r="AR248" s="0" t="n">
        <f aca="false">W_PH(AR$2,$A248)</f>
        <v>2015</v>
      </c>
      <c r="AS248" s="0" t="n">
        <f aca="false">W_PH(AS$2,$A248)</f>
        <v>2015</v>
      </c>
    </row>
    <row r="249" customFormat="false" ht="12.8" hidden="false" customHeight="false" outlineLevel="0" collapsed="false">
      <c r="A249" s="0" t="n">
        <v>1758.38349097163</v>
      </c>
      <c r="B249" s="0" t="n">
        <f aca="false">W_PH(B$2,$A249)</f>
        <v>2015</v>
      </c>
      <c r="C249" s="0" t="n">
        <f aca="false">W_PH(C$2,$A249)</f>
        <v>2542.94539270354</v>
      </c>
      <c r="D249" s="0" t="n">
        <f aca="false">W_PH(D$2,$A249)</f>
        <v>2542.94543286187</v>
      </c>
      <c r="E249" s="0" t="n">
        <f aca="false">W_PH(E$2,$A249)</f>
        <v>2542.94547302087</v>
      </c>
      <c r="F249" s="0" t="n">
        <f aca="false">W_PH(F$2,$A249)</f>
        <v>2542.94551318054</v>
      </c>
      <c r="G249" s="0" t="n">
        <f aca="false">W_PH(G$2,$A249)</f>
        <v>2542.94591481418</v>
      </c>
      <c r="H249" s="0" t="n">
        <f aca="false">W_PH(H$2,$A249)</f>
        <v>2542.94631651494</v>
      </c>
      <c r="I249" s="0" t="n">
        <f aca="false">W_PH(I$2,$A249)</f>
        <v>2542.94671828281</v>
      </c>
      <c r="J249" s="0" t="n">
        <f aca="false">W_PH(J$2,$A249)</f>
        <v>2542.9471201178</v>
      </c>
      <c r="K249" s="0" t="n">
        <f aca="false">W_PH(K$2,$A249)</f>
        <v>2542.9475220199</v>
      </c>
      <c r="L249" s="0" t="n">
        <f aca="false">W_PH(L$2,$A249)</f>
        <v>2542.94792398913</v>
      </c>
      <c r="M249" s="0" t="n">
        <f aca="false">W_PH(M$2,$A249)</f>
        <v>2542.94832602547</v>
      </c>
      <c r="N249" s="0" t="n">
        <f aca="false">W_PH(N$2,$A249)</f>
        <v>2542.94872812894</v>
      </c>
      <c r="O249" s="0" t="n">
        <f aca="false">W_PH(O$2,$A249)</f>
        <v>2542.94913029952</v>
      </c>
      <c r="P249" s="0" t="n">
        <f aca="false">W_PH(P$2,$A249)</f>
        <v>2542.95315569707</v>
      </c>
      <c r="Q249" s="0" t="n">
        <f aca="false">W_PH(Q$2,$A249)</f>
        <v>2542.95718780724</v>
      </c>
      <c r="R249" s="0" t="n">
        <f aca="false">W_PH(R$2,$A249)</f>
        <v>2542.96122663058</v>
      </c>
      <c r="S249" s="0" t="n">
        <f aca="false">W_PH(S$2,$A249)</f>
        <v>2542.96527216764</v>
      </c>
      <c r="T249" s="0" t="n">
        <f aca="false">W_PH(T$2,$A249)</f>
        <v>2542.96932441898</v>
      </c>
      <c r="U249" s="0" t="n">
        <f aca="false">W_PH(U$2,$A249)</f>
        <v>2542.97338338515</v>
      </c>
      <c r="V249" s="0" t="n">
        <f aca="false">W_PH(V$2,$A249)</f>
        <v>2542.9774490667</v>
      </c>
      <c r="W249" s="0" t="n">
        <f aca="false">W_PH(W$2,$A249)</f>
        <v>2542.98152146417</v>
      </c>
      <c r="X249" s="0" t="n">
        <f aca="false">W_PH(X$2,$A249)</f>
        <v>2542.98560057812</v>
      </c>
      <c r="Y249" s="0" t="n">
        <f aca="false">W_PH(Y$2,$A249)</f>
        <v>2543.02676124205</v>
      </c>
      <c r="Z249" s="0" t="n">
        <f aca="false">W_PH(Z$2,$A249)</f>
        <v>2543.06859413757</v>
      </c>
      <c r="AA249" s="0" t="n">
        <f aca="false">W_PH(AA$2,$A249)</f>
        <v>2543.11109977579</v>
      </c>
      <c r="AB249" s="0" t="n">
        <f aca="false">W_PH(AB$2,$A249)</f>
        <v>2543.1542786474</v>
      </c>
      <c r="AC249" s="0" t="n">
        <f aca="false">W_PH(AC$2,$A249)</f>
        <v>2543.19813122276</v>
      </c>
      <c r="AD249" s="0" t="n">
        <f aca="false">W_PH(AD$2,$A249)</f>
        <v>2543.24265795214</v>
      </c>
      <c r="AE249" s="0" t="n">
        <f aca="false">W_PH(AE$2,$A249)</f>
        <v>2543.28785926583</v>
      </c>
      <c r="AF249" s="0" t="n">
        <f aca="false">W_PH(AF$2,$A249)</f>
        <v>2543.33373557434</v>
      </c>
      <c r="AG249" s="0" t="n">
        <f aca="false">W_PH(AG$2,$A249)</f>
        <v>2543.38028726857</v>
      </c>
      <c r="AH249" s="0" t="n">
        <f aca="false">W_PH(AH$2,$A249)</f>
        <v>2543.88302272616</v>
      </c>
      <c r="AI249" s="0" t="n">
        <f aca="false">W_PH(AI$2,$A249)</f>
        <v>2544.45358741684</v>
      </c>
      <c r="AJ249" s="0" t="n">
        <f aca="false">W_PH(AJ$2,$A249)</f>
        <v>2545.09402279183</v>
      </c>
      <c r="AK249" s="0" t="n">
        <f aca="false">W_PH(AK$2,$A249)</f>
        <v>2545.80097447676</v>
      </c>
      <c r="AL249" s="0" t="n">
        <f aca="false">W_PH(AL$2,$A249)</f>
        <v>2546.57419092819</v>
      </c>
      <c r="AM249" s="0" t="n">
        <f aca="false">W_PH(AM$2,$A249)</f>
        <v>2547.41329385502</v>
      </c>
      <c r="AN249" s="0" t="n">
        <f aca="false">W_PH(AN$2,$A249)</f>
        <v>2548.31779064564</v>
      </c>
      <c r="AO249" s="0" t="n">
        <f aca="false">W_PH(AO$2,$A249)</f>
        <v>2549.28708728266</v>
      </c>
      <c r="AP249" s="0" t="n">
        <f aca="false">W_PH(AP$2,$A249)</f>
        <v>2550.3205003418</v>
      </c>
      <c r="AQ249" s="0" t="n">
        <f aca="false">W_PH(AQ$2,$A249)</f>
        <v>2015</v>
      </c>
      <c r="AR249" s="0" t="n">
        <f aca="false">W_PH(AR$2,$A249)</f>
        <v>2015</v>
      </c>
      <c r="AS249" s="0" t="n">
        <f aca="false">W_PH(AS$2,$A249)</f>
        <v>2015</v>
      </c>
    </row>
    <row r="250" customFormat="false" ht="12.8" hidden="false" customHeight="false" outlineLevel="0" collapsed="false">
      <c r="A250" s="0" t="n">
        <v>1762.68271711092</v>
      </c>
      <c r="B250" s="0" t="n">
        <f aca="false">W_PH(B$2,$A250)</f>
        <v>2015</v>
      </c>
      <c r="C250" s="0" t="n">
        <f aca="false">W_PH(C$2,$A250)</f>
        <v>2547.77601715891</v>
      </c>
      <c r="D250" s="0" t="n">
        <f aca="false">W_PH(D$2,$A250)</f>
        <v>2547.77605959708</v>
      </c>
      <c r="E250" s="0" t="n">
        <f aca="false">W_PH(E$2,$A250)</f>
        <v>2547.77610203591</v>
      </c>
      <c r="F250" s="0" t="n">
        <f aca="false">W_PH(F$2,$A250)</f>
        <v>2547.77614447542</v>
      </c>
      <c r="G250" s="0" t="n">
        <f aca="false">W_PH(G$2,$A250)</f>
        <v>2547.77656890717</v>
      </c>
      <c r="H250" s="0" t="n">
        <f aca="false">W_PH(H$2,$A250)</f>
        <v>2547.77699340566</v>
      </c>
      <c r="I250" s="0" t="n">
        <f aca="false">W_PH(I$2,$A250)</f>
        <v>2547.77741797089</v>
      </c>
      <c r="J250" s="0" t="n">
        <f aca="false">W_PH(J$2,$A250)</f>
        <v>2547.77784260285</v>
      </c>
      <c r="K250" s="0" t="n">
        <f aca="false">W_PH(K$2,$A250)</f>
        <v>2547.77826730155</v>
      </c>
      <c r="L250" s="0" t="n">
        <f aca="false">W_PH(L$2,$A250)</f>
        <v>2547.77869206699</v>
      </c>
      <c r="M250" s="0" t="n">
        <f aca="false">W_PH(M$2,$A250)</f>
        <v>2547.77911689917</v>
      </c>
      <c r="N250" s="0" t="n">
        <f aca="false">W_PH(N$2,$A250)</f>
        <v>2547.77954179808</v>
      </c>
      <c r="O250" s="0" t="n">
        <f aca="false">W_PH(O$2,$A250)</f>
        <v>2547.77996676374</v>
      </c>
      <c r="P250" s="0" t="n">
        <f aca="false">W_PH(P$2,$A250)</f>
        <v>2547.78422009108</v>
      </c>
      <c r="Q250" s="0" t="n">
        <f aca="false">W_PH(Q$2,$A250)</f>
        <v>2547.78848009289</v>
      </c>
      <c r="R250" s="0" t="n">
        <f aca="false">W_PH(R$2,$A250)</f>
        <v>2547.79274676961</v>
      </c>
      <c r="S250" s="0" t="n">
        <f aca="false">W_PH(S$2,$A250)</f>
        <v>2547.7970201217</v>
      </c>
      <c r="T250" s="0" t="n">
        <f aca="false">W_PH(T$2,$A250)</f>
        <v>2547.80130014962</v>
      </c>
      <c r="U250" s="0" t="n">
        <f aca="false">W_PH(U$2,$A250)</f>
        <v>2547.80558685381</v>
      </c>
      <c r="V250" s="0" t="n">
        <f aca="false">W_PH(V$2,$A250)</f>
        <v>2547.80988023473</v>
      </c>
      <c r="W250" s="0" t="n">
        <f aca="false">W_PH(W$2,$A250)</f>
        <v>2547.8141802928</v>
      </c>
      <c r="X250" s="0" t="n">
        <f aca="false">W_PH(X$2,$A250)</f>
        <v>2547.81848702849</v>
      </c>
      <c r="Y250" s="0" t="n">
        <f aca="false">W_PH(Y$2,$A250)</f>
        <v>2547.86192175027</v>
      </c>
      <c r="Z250" s="0" t="n">
        <f aca="false">W_PH(Z$2,$A250)</f>
        <v>2547.9060247069</v>
      </c>
      <c r="AA250" s="0" t="n">
        <f aca="false">W_PH(AA$2,$A250)</f>
        <v>2547.95079631003</v>
      </c>
      <c r="AB250" s="0" t="n">
        <f aca="false">W_PH(AB$2,$A250)</f>
        <v>2547.99623695194</v>
      </c>
      <c r="AC250" s="0" t="n">
        <f aca="false">W_PH(AC$2,$A250)</f>
        <v>2548.04234700571</v>
      </c>
      <c r="AD250" s="0" t="n">
        <f aca="false">W_PH(AD$2,$A250)</f>
        <v>2548.08912682536</v>
      </c>
      <c r="AE250" s="0" t="n">
        <f aca="false">W_PH(AE$2,$A250)</f>
        <v>2548.13657674605</v>
      </c>
      <c r="AF250" s="0" t="n">
        <f aca="false">W_PH(AF$2,$A250)</f>
        <v>2548.18469708422</v>
      </c>
      <c r="AG250" s="0" t="n">
        <f aca="false">W_PH(AG$2,$A250)</f>
        <v>2548.23348813776</v>
      </c>
      <c r="AH250" s="0" t="n">
        <f aca="false">W_PH(AH$2,$A250)</f>
        <v>2548.75834061042</v>
      </c>
      <c r="AI250" s="0" t="n">
        <f aca="false">W_PH(AI$2,$A250)</f>
        <v>2549.35046068768</v>
      </c>
      <c r="AJ250" s="0" t="n">
        <f aca="false">W_PH(AJ$2,$A250)</f>
        <v>2550.01130627141</v>
      </c>
      <c r="AK250" s="0" t="n">
        <f aca="false">W_PH(AK$2,$A250)</f>
        <v>2550.73911775358</v>
      </c>
      <c r="AL250" s="0" t="n">
        <f aca="false">W_PH(AL$2,$A250)</f>
        <v>2551.53249190371</v>
      </c>
      <c r="AM250" s="0" t="n">
        <f aca="false">W_PH(AM$2,$A250)</f>
        <v>2552.39099630607</v>
      </c>
      <c r="AN250" s="0" t="n">
        <f aca="false">W_PH(AN$2,$A250)</f>
        <v>2553.31409128961</v>
      </c>
      <c r="AO250" s="0" t="n">
        <f aca="false">W_PH(AO$2,$A250)</f>
        <v>2554.30114213655</v>
      </c>
      <c r="AP250" s="0" t="n">
        <f aca="false">W_PH(AP$2,$A250)</f>
        <v>2555.35143037051</v>
      </c>
      <c r="AQ250" s="0" t="n">
        <f aca="false">W_PH(AQ$2,$A250)</f>
        <v>2015</v>
      </c>
      <c r="AR250" s="0" t="n">
        <f aca="false">W_PH(AR$2,$A250)</f>
        <v>2015</v>
      </c>
      <c r="AS250" s="0" t="n">
        <f aca="false">W_PH(AS$2,$A250)</f>
        <v>2015</v>
      </c>
    </row>
    <row r="251" customFormat="false" ht="12.8" hidden="false" customHeight="false" outlineLevel="0" collapsed="false">
      <c r="A251" s="0" t="n">
        <v>1766.98194325022</v>
      </c>
      <c r="B251" s="0" t="n">
        <f aca="false">W_PH(B$2,$A251)</f>
        <v>2015</v>
      </c>
      <c r="C251" s="0" t="n">
        <f aca="false">W_PH(C$2,$A251)</f>
        <v>2552.58918843565</v>
      </c>
      <c r="D251" s="0" t="n">
        <f aca="false">W_PH(D$2,$A251)</f>
        <v>2552.58923313268</v>
      </c>
      <c r="E251" s="0" t="n">
        <f aca="false">W_PH(E$2,$A251)</f>
        <v>2552.58927783038</v>
      </c>
      <c r="F251" s="0" t="n">
        <f aca="false">W_PH(F$2,$A251)</f>
        <v>2552.58932252874</v>
      </c>
      <c r="G251" s="0" t="n">
        <f aca="false">W_PH(G$2,$A251)</f>
        <v>2552.58976954884</v>
      </c>
      <c r="H251" s="0" t="n">
        <f aca="false">W_PH(H$2,$A251)</f>
        <v>2552.59021663527</v>
      </c>
      <c r="I251" s="0" t="n">
        <f aca="false">W_PH(I$2,$A251)</f>
        <v>2552.59066378803</v>
      </c>
      <c r="J251" s="0" t="n">
        <f aca="false">W_PH(J$2,$A251)</f>
        <v>2552.59111100712</v>
      </c>
      <c r="K251" s="0" t="n">
        <f aca="false">W_PH(K$2,$A251)</f>
        <v>2552.59155829254</v>
      </c>
      <c r="L251" s="0" t="n">
        <f aca="false">W_PH(L$2,$A251)</f>
        <v>2552.59200564429</v>
      </c>
      <c r="M251" s="0" t="n">
        <f aca="false">W_PH(M$2,$A251)</f>
        <v>2552.59245306236</v>
      </c>
      <c r="N251" s="0" t="n">
        <f aca="false">W_PH(N$2,$A251)</f>
        <v>2552.59290054677</v>
      </c>
      <c r="O251" s="0" t="n">
        <f aca="false">W_PH(O$2,$A251)</f>
        <v>2552.59334809752</v>
      </c>
      <c r="P251" s="0" t="n">
        <f aca="false">W_PH(P$2,$A251)</f>
        <v>2552.59782725322</v>
      </c>
      <c r="Q251" s="0" t="n">
        <f aca="false">W_PH(Q$2,$A251)</f>
        <v>2552.60231304244</v>
      </c>
      <c r="R251" s="0" t="n">
        <f aca="false">W_PH(R$2,$A251)</f>
        <v>2552.60680546555</v>
      </c>
      <c r="S251" s="0" t="n">
        <f aca="false">W_PH(S$2,$A251)</f>
        <v>2552.61130452287</v>
      </c>
      <c r="T251" s="0" t="n">
        <f aca="false">W_PH(T$2,$A251)</f>
        <v>2552.61581021478</v>
      </c>
      <c r="U251" s="0" t="n">
        <f aca="false">W_PH(U$2,$A251)</f>
        <v>2552.62032254162</v>
      </c>
      <c r="V251" s="0" t="n">
        <f aca="false">W_PH(V$2,$A251)</f>
        <v>2552.62484150374</v>
      </c>
      <c r="W251" s="0" t="n">
        <f aca="false">W_PH(W$2,$A251)</f>
        <v>2552.62936710149</v>
      </c>
      <c r="X251" s="0" t="n">
        <f aca="false">W_PH(X$2,$A251)</f>
        <v>2552.63389933521</v>
      </c>
      <c r="Y251" s="0" t="n">
        <f aca="false">W_PH(Y$2,$A251)</f>
        <v>2552.67958672527</v>
      </c>
      <c r="Z251" s="0" t="n">
        <f aca="false">W_PH(Z$2,$A251)</f>
        <v>2552.72593807777</v>
      </c>
      <c r="AA251" s="0" t="n">
        <f aca="false">W_PH(AA$2,$A251)</f>
        <v>2552.77295370685</v>
      </c>
      <c r="AB251" s="0" t="n">
        <f aca="false">W_PH(AB$2,$A251)</f>
        <v>2552.82063390839</v>
      </c>
      <c r="AC251" s="0" t="n">
        <f aca="false">W_PH(AC$2,$A251)</f>
        <v>2552.86897896012</v>
      </c>
      <c r="AD251" s="0" t="n">
        <f aca="false">W_PH(AD$2,$A251)</f>
        <v>2552.9179891218</v>
      </c>
      <c r="AE251" s="0" t="n">
        <f aca="false">W_PH(AE$2,$A251)</f>
        <v>2552.96766463538</v>
      </c>
      <c r="AF251" s="0" t="n">
        <f aca="false">W_PH(AF$2,$A251)</f>
        <v>2553.01800572514</v>
      </c>
      <c r="AG251" s="0" t="n">
        <f aca="false">W_PH(AG$2,$A251)</f>
        <v>2553.06901259787</v>
      </c>
      <c r="AH251" s="0" t="n">
        <f aca="false">W_PH(AH$2,$A251)</f>
        <v>2553.61573267723</v>
      </c>
      <c r="AI251" s="0" t="n">
        <f aca="false">W_PH(AI$2,$A251)</f>
        <v>2554.22913448448</v>
      </c>
      <c r="AJ251" s="0" t="n">
        <f aca="false">W_PH(AJ$2,$A251)</f>
        <v>2554.91013829267</v>
      </c>
      <c r="AK251" s="0" t="n">
        <f aca="false">W_PH(AK$2,$A251)</f>
        <v>2555.65857479473</v>
      </c>
      <c r="AL251" s="0" t="n">
        <f aca="false">W_PH(AL$2,$A251)</f>
        <v>2556.47187763062</v>
      </c>
      <c r="AM251" s="0" t="n">
        <f aca="false">W_PH(AM$2,$A251)</f>
        <v>2557.34956202854</v>
      </c>
      <c r="AN251" s="0" t="n">
        <f aca="false">W_PH(AN$2,$A251)</f>
        <v>2558.2910427607</v>
      </c>
      <c r="AO251" s="0" t="n">
        <f aca="false">W_PH(AO$2,$A251)</f>
        <v>2559.29564563762</v>
      </c>
      <c r="AP251" s="0" t="n">
        <f aca="false">W_PH(AP$2,$A251)</f>
        <v>2560.36261808076</v>
      </c>
      <c r="AQ251" s="0" t="n">
        <f aca="false">W_PH(AQ$2,$A251)</f>
        <v>2015</v>
      </c>
      <c r="AR251" s="0" t="n">
        <f aca="false">W_PH(AR$2,$A251)</f>
        <v>2015</v>
      </c>
      <c r="AS251" s="0" t="n">
        <f aca="false">W_PH(AS$2,$A251)</f>
        <v>2015</v>
      </c>
    </row>
    <row r="252" customFormat="false" ht="12.8" hidden="false" customHeight="false" outlineLevel="0" collapsed="false">
      <c r="A252" s="0" t="n">
        <v>1771.28116938951</v>
      </c>
      <c r="B252" s="0" t="n">
        <f aca="false">W_PH(B$2,$A252)</f>
        <v>2015</v>
      </c>
      <c r="C252" s="0" t="n">
        <f aca="false">W_PH(C$2,$A252)</f>
        <v>2557.3850368852</v>
      </c>
      <c r="D252" s="0" t="n">
        <f aca="false">W_PH(D$2,$A252)</f>
        <v>2557.38508382011</v>
      </c>
      <c r="E252" s="0" t="n">
        <f aca="false">W_PH(E$2,$A252)</f>
        <v>2557.38513075569</v>
      </c>
      <c r="F252" s="0" t="n">
        <f aca="false">W_PH(F$2,$A252)</f>
        <v>2557.38517769192</v>
      </c>
      <c r="G252" s="0" t="n">
        <f aca="false">W_PH(G$2,$A252)</f>
        <v>2557.38564709049</v>
      </c>
      <c r="H252" s="0" t="n">
        <f aca="false">W_PH(H$2,$A252)</f>
        <v>2557.38611655495</v>
      </c>
      <c r="I252" s="0" t="n">
        <f aca="false">W_PH(I$2,$A252)</f>
        <v>2557.3865860853</v>
      </c>
      <c r="J252" s="0" t="n">
        <f aca="false">W_PH(J$2,$A252)</f>
        <v>2557.38705568155</v>
      </c>
      <c r="K252" s="0" t="n">
        <f aca="false">W_PH(K$2,$A252)</f>
        <v>2557.38752534369</v>
      </c>
      <c r="L252" s="0" t="n">
        <f aca="false">W_PH(L$2,$A252)</f>
        <v>2557.38799507172</v>
      </c>
      <c r="M252" s="0" t="n">
        <f aca="false">W_PH(M$2,$A252)</f>
        <v>2557.38846486564</v>
      </c>
      <c r="N252" s="0" t="n">
        <f aca="false">W_PH(N$2,$A252)</f>
        <v>2557.38893472546</v>
      </c>
      <c r="O252" s="0" t="n">
        <f aca="false">W_PH(O$2,$A252)</f>
        <v>2557.38940465117</v>
      </c>
      <c r="P252" s="0" t="n">
        <f aca="false">W_PH(P$2,$A252)</f>
        <v>2557.39410753251</v>
      </c>
      <c r="Q252" s="0" t="n">
        <f aca="false">W_PH(Q$2,$A252)</f>
        <v>2557.3988170035</v>
      </c>
      <c r="R252" s="0" t="n">
        <f aca="false">W_PH(R$2,$A252)</f>
        <v>2557.40353306441</v>
      </c>
      <c r="S252" s="0" t="n">
        <f aca="false">W_PH(S$2,$A252)</f>
        <v>2557.40825571549</v>
      </c>
      <c r="T252" s="0" t="n">
        <f aca="false">W_PH(T$2,$A252)</f>
        <v>2557.41298495701</v>
      </c>
      <c r="U252" s="0" t="n">
        <f aca="false">W_PH(U$2,$A252)</f>
        <v>2557.4177207892</v>
      </c>
      <c r="V252" s="0" t="n">
        <f aca="false">W_PH(V$2,$A252)</f>
        <v>2557.42246321233</v>
      </c>
      <c r="W252" s="0" t="n">
        <f aca="false">W_PH(W$2,$A252)</f>
        <v>2557.42721222664</v>
      </c>
      <c r="X252" s="0" t="n">
        <f aca="false">W_PH(X$2,$A252)</f>
        <v>2557.43196783238</v>
      </c>
      <c r="Y252" s="0" t="n">
        <f aca="false">W_PH(Y$2,$A252)</f>
        <v>2557.47988647161</v>
      </c>
      <c r="Z252" s="0" t="n">
        <f aca="false">W_PH(Z$2,$A252)</f>
        <v>2557.52846451311</v>
      </c>
      <c r="AA252" s="0" t="n">
        <f aca="false">W_PH(AA$2,$A252)</f>
        <v>2557.57770217569</v>
      </c>
      <c r="AB252" s="0" t="n">
        <f aca="false">W_PH(AB$2,$A252)</f>
        <v>2557.62759966093</v>
      </c>
      <c r="AC252" s="0" t="n">
        <f aca="false">W_PH(AC$2,$A252)</f>
        <v>2557.67815715331</v>
      </c>
      <c r="AD252" s="0" t="n">
        <f aca="false">W_PH(AD$2,$A252)</f>
        <v>2557.72937482042</v>
      </c>
      <c r="AE252" s="0" t="n">
        <f aca="false">W_PH(AE$2,$A252)</f>
        <v>2557.78125281304</v>
      </c>
      <c r="AF252" s="0" t="n">
        <f aca="false">W_PH(AF$2,$A252)</f>
        <v>2557.83379126536</v>
      </c>
      <c r="AG252" s="0" t="n">
        <f aca="false">W_PH(AG$2,$A252)</f>
        <v>2557.8869902951</v>
      </c>
      <c r="AH252" s="0" t="n">
        <f aca="false">W_PH(AH$2,$A252)</f>
        <v>2558.45532676748</v>
      </c>
      <c r="AI252" s="0" t="n">
        <f aca="false">W_PH(AI$2,$A252)</f>
        <v>2559.08973385578</v>
      </c>
      <c r="AJ252" s="0" t="n">
        <f aca="false">W_PH(AJ$2,$A252)</f>
        <v>2559.79065072415</v>
      </c>
      <c r="AK252" s="0" t="n">
        <f aca="false">W_PH(AK$2,$A252)</f>
        <v>2560.55947894706</v>
      </c>
      <c r="AL252" s="0" t="n">
        <f aca="false">W_PH(AL$2,$A252)</f>
        <v>2561.39248251715</v>
      </c>
      <c r="AM252" s="0" t="n">
        <f aca="false">W_PH(AM$2,$A252)</f>
        <v>2562.28912609513</v>
      </c>
      <c r="AN252" s="0" t="n">
        <f aca="false">W_PH(AN$2,$A252)</f>
        <v>2563.24878040915</v>
      </c>
      <c r="AO252" s="0" t="n">
        <f aca="false">W_PH(AO$2,$A252)</f>
        <v>2564.65987416827</v>
      </c>
      <c r="AP252" s="0" t="n">
        <f aca="false">W_PH(AP$2,$A252)</f>
        <v>2015</v>
      </c>
      <c r="AQ252" s="0" t="n">
        <f aca="false">W_PH(AQ$2,$A252)</f>
        <v>2015</v>
      </c>
      <c r="AR252" s="0" t="n">
        <f aca="false">W_PH(AR$2,$A252)</f>
        <v>2015</v>
      </c>
      <c r="AS252" s="0" t="n">
        <f aca="false">W_PH(AS$2,$A252)</f>
        <v>2015</v>
      </c>
    </row>
    <row r="253" customFormat="false" ht="12.8" hidden="false" customHeight="false" outlineLevel="0" collapsed="false">
      <c r="A253" s="0" t="n">
        <v>1775.5803955288</v>
      </c>
      <c r="B253" s="0" t="n">
        <f aca="false">W_PH(B$2,$A253)</f>
        <v>2015</v>
      </c>
      <c r="C253" s="0" t="n">
        <f aca="false">W_PH(C$2,$A253)</f>
        <v>2562.16368993543</v>
      </c>
      <c r="D253" s="0" t="n">
        <f aca="false">W_PH(D$2,$A253)</f>
        <v>2562.1637390872</v>
      </c>
      <c r="E253" s="0" t="n">
        <f aca="false">W_PH(E$2,$A253)</f>
        <v>2562.16378823961</v>
      </c>
      <c r="F253" s="0" t="n">
        <f aca="false">W_PH(F$2,$A253)</f>
        <v>2562.16383739268</v>
      </c>
      <c r="G253" s="0" t="n">
        <f aca="false">W_PH(G$2,$A253)</f>
        <v>2562.16432895938</v>
      </c>
      <c r="H253" s="0" t="n">
        <f aca="false">W_PH(H$2,$A253)</f>
        <v>2562.1648205915</v>
      </c>
      <c r="I253" s="0" t="n">
        <f aca="false">W_PH(I$2,$A253)</f>
        <v>2562.16531228904</v>
      </c>
      <c r="J253" s="0" t="n">
        <f aca="false">W_PH(J$2,$A253)</f>
        <v>2562.16580405201</v>
      </c>
      <c r="K253" s="0" t="n">
        <f aca="false">W_PH(K$2,$A253)</f>
        <v>2562.1662958804</v>
      </c>
      <c r="L253" s="0" t="n">
        <f aca="false">W_PH(L$2,$A253)</f>
        <v>2562.16678777422</v>
      </c>
      <c r="M253" s="0" t="n">
        <f aca="false">W_PH(M$2,$A253)</f>
        <v>2562.16727973347</v>
      </c>
      <c r="N253" s="0" t="n">
        <f aca="false">W_PH(N$2,$A253)</f>
        <v>2562.16777175814</v>
      </c>
      <c r="O253" s="0" t="n">
        <f aca="false">W_PH(O$2,$A253)</f>
        <v>2562.16826384824</v>
      </c>
      <c r="P253" s="0" t="n">
        <f aca="false">W_PH(P$2,$A253)</f>
        <v>2562.17318834766</v>
      </c>
      <c r="Q253" s="0" t="n">
        <f aca="false">W_PH(Q$2,$A253)</f>
        <v>2562.17811938986</v>
      </c>
      <c r="R253" s="0" t="n">
        <f aca="false">W_PH(R$2,$A253)</f>
        <v>2562.18305697498</v>
      </c>
      <c r="S253" s="0" t="n">
        <f aca="false">W_PH(S$2,$A253)</f>
        <v>2562.18800110319</v>
      </c>
      <c r="T253" s="0" t="n">
        <f aca="false">W_PH(T$2,$A253)</f>
        <v>2562.19295177466</v>
      </c>
      <c r="U253" s="0" t="n">
        <f aca="false">W_PH(U$2,$A253)</f>
        <v>2562.19790898953</v>
      </c>
      <c r="V253" s="0" t="n">
        <f aca="false">W_PH(V$2,$A253)</f>
        <v>2562.20287274797</v>
      </c>
      <c r="W253" s="0" t="n">
        <f aca="false">W_PH(W$2,$A253)</f>
        <v>2562.20784305012</v>
      </c>
      <c r="X253" s="0" t="n">
        <f aca="false">W_PH(X$2,$A253)</f>
        <v>2562.21281989615</v>
      </c>
      <c r="Y253" s="0" t="n">
        <f aca="false">W_PH(Y$2,$A253)</f>
        <v>2562.26294830173</v>
      </c>
      <c r="Z253" s="0" t="n">
        <f aca="false">W_PH(Z$2,$A253)</f>
        <v>2562.31373125022</v>
      </c>
      <c r="AA253" s="0" t="n">
        <f aca="false">W_PH(AA$2,$A253)</f>
        <v>2562.36516886733</v>
      </c>
      <c r="AB253" s="0" t="n">
        <f aca="false">W_PH(AB$2,$A253)</f>
        <v>2562.41726126257</v>
      </c>
      <c r="AC253" s="0" t="n">
        <f aca="false">W_PH(AC$2,$A253)</f>
        <v>2562.47000852944</v>
      </c>
      <c r="AD253" s="0" t="n">
        <f aca="false">W_PH(AD$2,$A253)</f>
        <v>2562.52341074552</v>
      </c>
      <c r="AE253" s="0" t="n">
        <f aca="false">W_PH(AE$2,$A253)</f>
        <v>2562.57746797266</v>
      </c>
      <c r="AF253" s="0" t="n">
        <f aca="false">W_PH(AF$2,$A253)</f>
        <v>2562.63218025708</v>
      </c>
      <c r="AG253" s="0" t="n">
        <f aca="false">W_PH(AG$2,$A253)</f>
        <v>2562.68754762956</v>
      </c>
      <c r="AH253" s="0" t="n">
        <f aca="false">W_PH(AH$2,$A253)</f>
        <v>2563.27724720077</v>
      </c>
      <c r="AI253" s="0" t="n">
        <f aca="false">W_PH(AI$2,$A253)</f>
        <v>2563.93238009412</v>
      </c>
      <c r="AJ253" s="0" t="n">
        <f aca="false">W_PH(AJ$2,$A253)</f>
        <v>2564.65297200571</v>
      </c>
      <c r="AK253" s="0" t="n">
        <f aca="false">W_PH(AK$2,$A253)</f>
        <v>2565.44196011563</v>
      </c>
      <c r="AL253" s="0" t="n">
        <f aca="false">W_PH(AL$2,$A253)</f>
        <v>2566.29443751938</v>
      </c>
      <c r="AM253" s="0" t="n">
        <f aca="false">W_PH(AM$2,$A253)</f>
        <v>2567.42272792306</v>
      </c>
      <c r="AN253" s="0" t="n">
        <f aca="false">W_PH(AN$2,$A253)</f>
        <v>2568.47557955385</v>
      </c>
      <c r="AO253" s="0" t="n">
        <f aca="false">W_PH(AO$2,$A253)</f>
        <v>2569.61608327278</v>
      </c>
      <c r="AP253" s="0" t="n">
        <f aca="false">W_PH(AP$2,$A253)</f>
        <v>2015</v>
      </c>
      <c r="AQ253" s="0" t="n">
        <f aca="false">W_PH(AQ$2,$A253)</f>
        <v>2015</v>
      </c>
      <c r="AR253" s="0" t="n">
        <f aca="false">W_PH(AR$2,$A253)</f>
        <v>2015</v>
      </c>
      <c r="AS253" s="0" t="n">
        <f aca="false">W_PH(AS$2,$A253)</f>
        <v>2015</v>
      </c>
    </row>
    <row r="254" customFormat="false" ht="12.8" hidden="false" customHeight="false" outlineLevel="0" collapsed="false">
      <c r="A254" s="0" t="n">
        <v>1779.8796216681</v>
      </c>
      <c r="B254" s="0" t="n">
        <f aca="false">W_PH(B$2,$A254)</f>
        <v>2015</v>
      </c>
      <c r="C254" s="0" t="n">
        <f aca="false">W_PH(C$2,$A254)</f>
        <v>2566.92527210732</v>
      </c>
      <c r="D254" s="0" t="n">
        <f aca="false">W_PH(D$2,$A254)</f>
        <v>2566.92532345482</v>
      </c>
      <c r="E254" s="0" t="n">
        <f aca="false">W_PH(E$2,$A254)</f>
        <v>2566.92537480297</v>
      </c>
      <c r="F254" s="0" t="n">
        <f aca="false">W_PH(F$2,$A254)</f>
        <v>2566.92542615176</v>
      </c>
      <c r="G254" s="0" t="n">
        <f aca="false">W_PH(G$2,$A254)</f>
        <v>2566.92593967544</v>
      </c>
      <c r="H254" s="0" t="n">
        <f aca="false">W_PH(H$2,$A254)</f>
        <v>2566.92645326404</v>
      </c>
      <c r="I254" s="0" t="n">
        <f aca="false">W_PH(I$2,$A254)</f>
        <v>2566.92696691757</v>
      </c>
      <c r="J254" s="0" t="n">
        <f aca="false">W_PH(J$2,$A254)</f>
        <v>2566.92748063602</v>
      </c>
      <c r="K254" s="0" t="n">
        <f aca="false">W_PH(K$2,$A254)</f>
        <v>2566.9279944194</v>
      </c>
      <c r="L254" s="0" t="n">
        <f aca="false">W_PH(L$2,$A254)</f>
        <v>2566.92850826771</v>
      </c>
      <c r="M254" s="0" t="n">
        <f aca="false">W_PH(M$2,$A254)</f>
        <v>2566.92902218094</v>
      </c>
      <c r="N254" s="0" t="n">
        <f aca="false">W_PH(N$2,$A254)</f>
        <v>2566.9295361591</v>
      </c>
      <c r="O254" s="0" t="n">
        <f aca="false">W_PH(O$2,$A254)</f>
        <v>2566.93005020218</v>
      </c>
      <c r="P254" s="0" t="n">
        <f aca="false">W_PH(P$2,$A254)</f>
        <v>2566.93519420401</v>
      </c>
      <c r="Q254" s="0" t="n">
        <f aca="false">W_PH(Q$2,$A254)</f>
        <v>2566.94034469857</v>
      </c>
      <c r="R254" s="0" t="n">
        <f aca="false">W_PH(R$2,$A254)</f>
        <v>2566.94550168592</v>
      </c>
      <c r="S254" s="0" t="n">
        <f aca="false">W_PH(S$2,$A254)</f>
        <v>2566.95066516615</v>
      </c>
      <c r="T254" s="0" t="n">
        <f aca="false">W_PH(T$2,$A254)</f>
        <v>2566.9558351393</v>
      </c>
      <c r="U254" s="0" t="n">
        <f aca="false">W_PH(U$2,$A254)</f>
        <v>2566.96101160546</v>
      </c>
      <c r="V254" s="0" t="n">
        <f aca="false">W_PH(V$2,$A254)</f>
        <v>2566.96619456467</v>
      </c>
      <c r="W254" s="0" t="n">
        <f aca="false">W_PH(W$2,$A254)</f>
        <v>2566.97138401701</v>
      </c>
      <c r="X254" s="0" t="n">
        <f aca="false">W_PH(X$2,$A254)</f>
        <v>2566.97657996254</v>
      </c>
      <c r="Y254" s="0" t="n">
        <f aca="false">W_PH(Y$2,$A254)</f>
        <v>2567.02889655509</v>
      </c>
      <c r="Z254" s="0" t="n">
        <f aca="false">W_PH(Z$2,$A254)</f>
        <v>2567.081862521</v>
      </c>
      <c r="AA254" s="0" t="n">
        <f aca="false">W_PH(AA$2,$A254)</f>
        <v>2567.13547789525</v>
      </c>
      <c r="AB254" s="0" t="n">
        <f aca="false">W_PH(AB$2,$A254)</f>
        <v>2567.18974269771</v>
      </c>
      <c r="AC254" s="0" t="n">
        <f aca="false">W_PH(AC$2,$A254)</f>
        <v>2567.24465693319</v>
      </c>
      <c r="AD254" s="0" t="n">
        <f aca="false">W_PH(AD$2,$A254)</f>
        <v>2567.3002205916</v>
      </c>
      <c r="AE254" s="0" t="n">
        <f aca="false">W_PH(AE$2,$A254)</f>
        <v>2567.35643364813</v>
      </c>
      <c r="AF254" s="0" t="n">
        <f aca="false">W_PH(AF$2,$A254)</f>
        <v>2567.41329606333</v>
      </c>
      <c r="AG254" s="0" t="n">
        <f aca="false">W_PH(AG$2,$A254)</f>
        <v>2567.47080778332</v>
      </c>
      <c r="AH254" s="0" t="n">
        <f aca="false">W_PH(AH$2,$A254)</f>
        <v>2568.0816148136</v>
      </c>
      <c r="AI254" s="0" t="n">
        <f aca="false">W_PH(AI$2,$A254)</f>
        <v>2568.75719078329</v>
      </c>
      <c r="AJ254" s="0" t="n">
        <f aca="false">W_PH(AJ$2,$A254)</f>
        <v>2569.49722718554</v>
      </c>
      <c r="AK254" s="0" t="n">
        <f aca="false">W_PH(AK$2,$A254)</f>
        <v>2570.42735812587</v>
      </c>
      <c r="AL254" s="0" t="n">
        <f aca="false">W_PH(AL$2,$A254)</f>
        <v>2571.34344334433</v>
      </c>
      <c r="AM254" s="0" t="n">
        <f aca="false">W_PH(AM$2,$A254)</f>
        <v>2572.331438</v>
      </c>
      <c r="AN254" s="0" t="n">
        <f aca="false">W_PH(AN$2,$A254)</f>
        <v>2573.39873508869</v>
      </c>
      <c r="AO254" s="0" t="n">
        <f aca="false">W_PH(AO$2,$A254)</f>
        <v>2574.55262391033</v>
      </c>
      <c r="AP254" s="0" t="n">
        <f aca="false">W_PH(AP$2,$A254)</f>
        <v>2015</v>
      </c>
      <c r="AQ254" s="0" t="n">
        <f aca="false">W_PH(AQ$2,$A254)</f>
        <v>2015</v>
      </c>
      <c r="AR254" s="0" t="n">
        <f aca="false">W_PH(AR$2,$A254)</f>
        <v>2015</v>
      </c>
      <c r="AS254" s="0" t="n">
        <f aca="false">W_PH(AS$2,$A254)</f>
        <v>2015</v>
      </c>
    </row>
    <row r="255" customFormat="false" ht="12.8" hidden="false" customHeight="false" outlineLevel="0" collapsed="false">
      <c r="A255" s="0" t="n">
        <v>1784.17884780739</v>
      </c>
      <c r="B255" s="0" t="n">
        <f aca="false">W_PH(B$2,$A255)</f>
        <v>2015</v>
      </c>
      <c r="C255" s="0" t="n">
        <f aca="false">W_PH(C$2,$A255)</f>
        <v>2571.66990503144</v>
      </c>
      <c r="D255" s="0" t="n">
        <f aca="false">W_PH(D$2,$A255)</f>
        <v>2571.66995855345</v>
      </c>
      <c r="E255" s="0" t="n">
        <f aca="false">W_PH(E$2,$A255)</f>
        <v>2571.6700120761</v>
      </c>
      <c r="F255" s="0" t="n">
        <f aca="false">W_PH(F$2,$A255)</f>
        <v>2571.6700655994</v>
      </c>
      <c r="G255" s="0" t="n">
        <f aca="false">W_PH(G$2,$A255)</f>
        <v>2571.67060086778</v>
      </c>
      <c r="H255" s="0" t="n">
        <f aca="false">W_PH(H$2,$A255)</f>
        <v>2571.67113620056</v>
      </c>
      <c r="I255" s="0" t="n">
        <f aca="false">W_PH(I$2,$A255)</f>
        <v>2571.67167159774</v>
      </c>
      <c r="J255" s="0" t="n">
        <f aca="false">W_PH(J$2,$A255)</f>
        <v>2571.67220705931</v>
      </c>
      <c r="K255" s="0" t="n">
        <f aca="false">W_PH(K$2,$A255)</f>
        <v>2571.67274258527</v>
      </c>
      <c r="L255" s="0" t="n">
        <f aca="false">W_PH(L$2,$A255)</f>
        <v>2571.67327817563</v>
      </c>
      <c r="M255" s="0" t="n">
        <f aca="false">W_PH(M$2,$A255)</f>
        <v>2571.67381383039</v>
      </c>
      <c r="N255" s="0" t="n">
        <f aca="false">W_PH(N$2,$A255)</f>
        <v>2571.67434954954</v>
      </c>
      <c r="O255" s="0" t="n">
        <f aca="false">W_PH(O$2,$A255)</f>
        <v>2571.67488533308</v>
      </c>
      <c r="P255" s="0" t="n">
        <f aca="false">W_PH(P$2,$A255)</f>
        <v>2571.68024671021</v>
      </c>
      <c r="Q255" s="0" t="n">
        <f aca="false">W_PH(Q$2,$A255)</f>
        <v>2571.68561452679</v>
      </c>
      <c r="R255" s="0" t="n">
        <f aca="false">W_PH(R$2,$A255)</f>
        <v>2571.69098878278</v>
      </c>
      <c r="S255" s="0" t="n">
        <f aca="false">W_PH(S$2,$A255)</f>
        <v>2571.69636947817</v>
      </c>
      <c r="T255" s="0" t="n">
        <f aca="false">W_PH(T$2,$A255)</f>
        <v>2571.70175661293</v>
      </c>
      <c r="U255" s="0" t="n">
        <f aca="false">W_PH(U$2,$A255)</f>
        <v>2571.70715018704</v>
      </c>
      <c r="V255" s="0" t="n">
        <f aca="false">W_PH(V$2,$A255)</f>
        <v>2571.71255020047</v>
      </c>
      <c r="W255" s="0" t="n">
        <f aca="false">W_PH(W$2,$A255)</f>
        <v>2571.71795665319</v>
      </c>
      <c r="X255" s="0" t="n">
        <f aca="false">W_PH(X$2,$A255)</f>
        <v>2571.72336954518</v>
      </c>
      <c r="Y255" s="0" t="n">
        <f aca="false">W_PH(Y$2,$A255)</f>
        <v>2571.77785261701</v>
      </c>
      <c r="Z255" s="0" t="n">
        <f aca="false">W_PH(Z$2,$A255)</f>
        <v>2571.832979572</v>
      </c>
      <c r="AA255" s="0" t="n">
        <f aca="false">W_PH(AA$2,$A255)</f>
        <v>2571.88875035696</v>
      </c>
      <c r="AB255" s="0" t="n">
        <f aca="false">W_PH(AB$2,$A255)</f>
        <v>2571.94516490453</v>
      </c>
      <c r="AC255" s="0" t="n">
        <f aca="false">W_PH(AC$2,$A255)</f>
        <v>2572.00222313329</v>
      </c>
      <c r="AD255" s="0" t="n">
        <f aca="false">W_PH(AD$2,$A255)</f>
        <v>2572.05992494794</v>
      </c>
      <c r="AE255" s="0" t="n">
        <f aca="false">W_PH(AE$2,$A255)</f>
        <v>2572.11827023939</v>
      </c>
      <c r="AF255" s="0" t="n">
        <f aca="false">W_PH(AF$2,$A255)</f>
        <v>2572.17725888493</v>
      </c>
      <c r="AG255" s="0" t="n">
        <f aca="false">W_PH(AG$2,$A255)</f>
        <v>2572.23689074832</v>
      </c>
      <c r="AH255" s="0" t="n">
        <f aca="false">W_PH(AH$2,$A255)</f>
        <v>2572.86854699751</v>
      </c>
      <c r="AI255" s="0" t="n">
        <f aca="false">W_PH(AI$2,$A255)</f>
        <v>2573.6044201499</v>
      </c>
      <c r="AJ255" s="0" t="n">
        <f aca="false">W_PH(AJ$2,$A255)</f>
        <v>2574.41697259917</v>
      </c>
      <c r="AK255" s="0" t="n">
        <f aca="false">W_PH(AK$2,$A255)</f>
        <v>2575.28561522115</v>
      </c>
      <c r="AL255" s="0" t="n">
        <f aca="false">W_PH(AL$2,$A255)</f>
        <v>2576.21784604271</v>
      </c>
      <c r="AM255" s="0" t="n">
        <f aca="false">W_PH(AM$2,$A255)</f>
        <v>2577.2210662537</v>
      </c>
      <c r="AN255" s="0" t="n">
        <f aca="false">W_PH(AN$2,$A255)</f>
        <v>2578.30260974032</v>
      </c>
      <c r="AO255" s="0" t="n">
        <f aca="false">W_PH(AO$2,$A255)</f>
        <v>2579.4696986118</v>
      </c>
      <c r="AP255" s="0" t="n">
        <f aca="false">W_PH(AP$2,$A255)</f>
        <v>2015</v>
      </c>
      <c r="AQ255" s="0" t="n">
        <f aca="false">W_PH(AQ$2,$A255)</f>
        <v>2015</v>
      </c>
      <c r="AR255" s="0" t="n">
        <f aca="false">W_PH(AR$2,$A255)</f>
        <v>2015</v>
      </c>
      <c r="AS255" s="0" t="n">
        <f aca="false">W_PH(AS$2,$A255)</f>
        <v>2015</v>
      </c>
    </row>
    <row r="256" customFormat="false" ht="12.8" hidden="false" customHeight="false" outlineLevel="0" collapsed="false">
      <c r="A256" s="0" t="n">
        <v>1788.47807394669</v>
      </c>
      <c r="B256" s="0" t="n">
        <f aca="false">W_PH(B$2,$A256)</f>
        <v>2015</v>
      </c>
      <c r="C256" s="0" t="n">
        <f aca="false">W_PH(C$2,$A256)</f>
        <v>2576.39770746451</v>
      </c>
      <c r="D256" s="0" t="n">
        <f aca="false">W_PH(D$2,$A256)</f>
        <v>2576.39776313967</v>
      </c>
      <c r="E256" s="0" t="n">
        <f aca="false">W_PH(E$2,$A256)</f>
        <v>2576.39781881545</v>
      </c>
      <c r="F256" s="0" t="n">
        <f aca="false">W_PH(F$2,$A256)</f>
        <v>2576.39787449188</v>
      </c>
      <c r="G256" s="0" t="n">
        <f aca="false">W_PH(G$2,$A256)</f>
        <v>2576.39843129127</v>
      </c>
      <c r="H256" s="0" t="n">
        <f aca="false">W_PH(H$2,$A256)</f>
        <v>2576.39898815449</v>
      </c>
      <c r="I256" s="0" t="n">
        <f aca="false">W_PH(I$2,$A256)</f>
        <v>2576.39954508154</v>
      </c>
      <c r="J256" s="0" t="n">
        <f aca="false">W_PH(J$2,$A256)</f>
        <v>2576.40010207242</v>
      </c>
      <c r="K256" s="0" t="n">
        <f aca="false">W_PH(K$2,$A256)</f>
        <v>2576.40065912712</v>
      </c>
      <c r="L256" s="0" t="n">
        <f aca="false">W_PH(L$2,$A256)</f>
        <v>2576.40121624566</v>
      </c>
      <c r="M256" s="0" t="n">
        <f aca="false">W_PH(M$2,$A256)</f>
        <v>2576.40177342802</v>
      </c>
      <c r="N256" s="0" t="n">
        <f aca="false">W_PH(N$2,$A256)</f>
        <v>2576.40233067422</v>
      </c>
      <c r="O256" s="0" t="n">
        <f aca="false">W_PH(O$2,$A256)</f>
        <v>2576.40288798424</v>
      </c>
      <c r="P256" s="0" t="n">
        <f aca="false">W_PH(P$2,$A256)</f>
        <v>2576.40846459507</v>
      </c>
      <c r="Q256" s="0" t="n">
        <f aca="false">W_PH(Q$2,$A256)</f>
        <v>2576.41404758869</v>
      </c>
      <c r="R256" s="0" t="n">
        <f aca="false">W_PH(R$2,$A256)</f>
        <v>2576.419636965</v>
      </c>
      <c r="S256" s="0" t="n">
        <f aca="false">W_PH(S$2,$A256)</f>
        <v>2576.42523272388</v>
      </c>
      <c r="T256" s="0" t="n">
        <f aca="false">W_PH(T$2,$A256)</f>
        <v>2576.43083486524</v>
      </c>
      <c r="U256" s="0" t="n">
        <f aca="false">W_PH(U$2,$A256)</f>
        <v>2576.43644338895</v>
      </c>
      <c r="V256" s="0" t="n">
        <f aca="false">W_PH(V$2,$A256)</f>
        <v>2576.44205829489</v>
      </c>
      <c r="W256" s="0" t="n">
        <f aca="false">W_PH(W$2,$A256)</f>
        <v>2576.44767958296</v>
      </c>
      <c r="X256" s="0" t="n">
        <f aca="false">W_PH(X$2,$A256)</f>
        <v>2576.45330725304</v>
      </c>
      <c r="Y256" s="0" t="n">
        <f aca="false">W_PH(Y$2,$A256)</f>
        <v>2576.31505111026</v>
      </c>
      <c r="Z256" s="0" t="n">
        <f aca="false">W_PH(Z$2,$A256)</f>
        <v>2576.38532812866</v>
      </c>
      <c r="AA256" s="0" t="n">
        <f aca="false">W_PH(AA$2,$A256)</f>
        <v>2576.45587698893</v>
      </c>
      <c r="AB256" s="0" t="n">
        <f aca="false">W_PH(AB$2,$A256)</f>
        <v>2576.52669611645</v>
      </c>
      <c r="AC256" s="0" t="n">
        <f aca="false">W_PH(AC$2,$A256)</f>
        <v>2576.59780386114</v>
      </c>
      <c r="AD256" s="0" t="n">
        <f aca="false">W_PH(AD$2,$A256)</f>
        <v>2576.66919860446</v>
      </c>
      <c r="AE256" s="0" t="n">
        <f aca="false">W_PH(AE$2,$A256)</f>
        <v>2576.74089368615</v>
      </c>
      <c r="AF256" s="0" t="n">
        <f aca="false">W_PH(AF$2,$A256)</f>
        <v>2576.81290245112</v>
      </c>
      <c r="AG256" s="0" t="n">
        <f aca="false">W_PH(AG$2,$A256)</f>
        <v>2576.88521820405</v>
      </c>
      <c r="AH256" s="0" t="n">
        <f aca="false">W_PH(AH$2,$A256)</f>
        <v>2577.62750648612</v>
      </c>
      <c r="AI256" s="0" t="n">
        <f aca="false">W_PH(AI$2,$A256)</f>
        <v>2578.40988385498</v>
      </c>
      <c r="AJ256" s="0" t="n">
        <f aca="false">W_PH(AJ$2,$A256)</f>
        <v>2579.24001435567</v>
      </c>
      <c r="AK256" s="0" t="n">
        <f aca="false">W_PH(AK$2,$A256)</f>
        <v>2580.1254328098</v>
      </c>
      <c r="AL256" s="0" t="n">
        <f aca="false">W_PH(AL$2,$A256)</f>
        <v>2581.07358288195</v>
      </c>
      <c r="AM256" s="0" t="n">
        <f aca="false">W_PH(AM$2,$A256)</f>
        <v>2582.09181473879</v>
      </c>
      <c r="AN256" s="0" t="n">
        <f aca="false">W_PH(AN$2,$A256)</f>
        <v>2583.1874036386</v>
      </c>
      <c r="AO256" s="0" t="n">
        <f aca="false">W_PH(AO$2,$A256)</f>
        <v>2584.3675263725</v>
      </c>
      <c r="AP256" s="0" t="n">
        <f aca="false">W_PH(AP$2,$A256)</f>
        <v>2015</v>
      </c>
      <c r="AQ256" s="0" t="n">
        <f aca="false">W_PH(AQ$2,$A256)</f>
        <v>2015</v>
      </c>
      <c r="AR256" s="0" t="n">
        <f aca="false">W_PH(AR$2,$A256)</f>
        <v>2015</v>
      </c>
      <c r="AS256" s="0" t="n">
        <f aca="false">W_PH(AS$2,$A256)</f>
        <v>2015</v>
      </c>
    </row>
    <row r="257" customFormat="false" ht="12.8" hidden="false" customHeight="false" outlineLevel="0" collapsed="false">
      <c r="A257" s="0" t="n">
        <v>1792.77730008598</v>
      </c>
      <c r="B257" s="0" t="n">
        <f aca="false">W_PH(B$2,$A257)</f>
        <v>2015</v>
      </c>
      <c r="C257" s="0" t="n">
        <f aca="false">W_PH(C$2,$A257)</f>
        <v>2580.90748282994</v>
      </c>
      <c r="D257" s="0" t="n">
        <f aca="false">W_PH(D$2,$A257)</f>
        <v>2580.90755102101</v>
      </c>
      <c r="E257" s="0" t="n">
        <f aca="false">W_PH(E$2,$A257)</f>
        <v>2580.90762912192</v>
      </c>
      <c r="F257" s="0" t="n">
        <f aca="false">W_PH(F$2,$A257)</f>
        <v>2580.90769731369</v>
      </c>
      <c r="G257" s="0" t="n">
        <f aca="false">W_PH(G$2,$A257)</f>
        <v>2580.90841888858</v>
      </c>
      <c r="H257" s="0" t="n">
        <f aca="false">W_PH(H$2,$A257)</f>
        <v>2580.90913058875</v>
      </c>
      <c r="I257" s="0" t="n">
        <f aca="false">W_PH(I$2,$A257)</f>
        <v>2580.90984232371</v>
      </c>
      <c r="J257" s="0" t="n">
        <f aca="false">W_PH(J$2,$A257)</f>
        <v>2580.91056400334</v>
      </c>
      <c r="K257" s="0" t="n">
        <f aca="false">W_PH(K$2,$A257)</f>
        <v>2580.911275808</v>
      </c>
      <c r="L257" s="0" t="n">
        <f aca="false">W_PH(L$2,$A257)</f>
        <v>2580.91199755753</v>
      </c>
      <c r="M257" s="0" t="n">
        <f aca="false">W_PH(M$2,$A257)</f>
        <v>2580.91270943194</v>
      </c>
      <c r="N257" s="0" t="n">
        <f aca="false">W_PH(N$2,$A257)</f>
        <v>2580.9134312514</v>
      </c>
      <c r="O257" s="0" t="n">
        <f aca="false">W_PH(O$2,$A257)</f>
        <v>2580.91414319559</v>
      </c>
      <c r="P257" s="0" t="n">
        <f aca="false">W_PH(P$2,$A257)</f>
        <v>2580.92130420068</v>
      </c>
      <c r="Q257" s="0" t="n">
        <f aca="false">W_PH(Q$2,$A257)</f>
        <v>2580.92846870712</v>
      </c>
      <c r="R257" s="0" t="n">
        <f aca="false">W_PH(R$2,$A257)</f>
        <v>2580.93563672355</v>
      </c>
      <c r="S257" s="0" t="n">
        <f aca="false">W_PH(S$2,$A257)</f>
        <v>2580.94280825862</v>
      </c>
      <c r="T257" s="0" t="n">
        <f aca="false">W_PH(T$2,$A257)</f>
        <v>2580.94998332099</v>
      </c>
      <c r="U257" s="0" t="n">
        <f aca="false">W_PH(U$2,$A257)</f>
        <v>2580.9571619193</v>
      </c>
      <c r="V257" s="0" t="n">
        <f aca="false">W_PH(V$2,$A257)</f>
        <v>2580.96433414566</v>
      </c>
      <c r="W257" s="0" t="n">
        <f aca="false">W_PH(W$2,$A257)</f>
        <v>2580.9715198409</v>
      </c>
      <c r="X257" s="0" t="n">
        <f aca="false">W_PH(X$2,$A257)</f>
        <v>2580.97869917971</v>
      </c>
      <c r="Y257" s="0" t="n">
        <f aca="false">W_PH(Y$2,$A257)</f>
        <v>2581.05066049264</v>
      </c>
      <c r="Z257" s="0" t="n">
        <f aca="false">W_PH(Z$2,$A257)</f>
        <v>2581.12287796491</v>
      </c>
      <c r="AA257" s="0" t="n">
        <f aca="false">W_PH(AA$2,$A257)</f>
        <v>2581.19535992674</v>
      </c>
      <c r="AB257" s="0" t="n">
        <f aca="false">W_PH(AB$2,$A257)</f>
        <v>2581.26811469568</v>
      </c>
      <c r="AC257" s="0" t="n">
        <f aca="false">W_PH(AC$2,$A257)</f>
        <v>2581.34114061393</v>
      </c>
      <c r="AD257" s="0" t="n">
        <f aca="false">W_PH(AD$2,$A257)</f>
        <v>2581.41445591886</v>
      </c>
      <c r="AE257" s="0" t="n">
        <f aca="false">W_PH(AE$2,$A257)</f>
        <v>2581.48806889038</v>
      </c>
      <c r="AF257" s="0" t="n">
        <f aca="false">W_PH(AF$2,$A257)</f>
        <v>2581.56198779591</v>
      </c>
      <c r="AG257" s="0" t="n">
        <f aca="false">W_PH(AG$2,$A257)</f>
        <v>2581.6362108923</v>
      </c>
      <c r="AH257" s="0" t="n">
        <f aca="false">W_PH(AH$2,$A257)</f>
        <v>2582.39718569936</v>
      </c>
      <c r="AI257" s="0" t="n">
        <f aca="false">W_PH(AI$2,$A257)</f>
        <v>2583.19759578612</v>
      </c>
      <c r="AJ257" s="0" t="n">
        <f aca="false">W_PH(AJ$2,$A257)</f>
        <v>2584.04503448376</v>
      </c>
      <c r="AK257" s="0" t="n">
        <f aca="false">W_PH(AK$2,$A257)</f>
        <v>2584.94699001455</v>
      </c>
      <c r="AL257" s="0" t="n">
        <f aca="false">W_PH(AL$2,$A257)</f>
        <v>2585.9108319427</v>
      </c>
      <c r="AM257" s="0" t="n">
        <f aca="false">W_PH(AM$2,$A257)</f>
        <v>2586.94387042319</v>
      </c>
      <c r="AN257" s="0" t="n">
        <f aca="false">W_PH(AN$2,$A257)</f>
        <v>2588.05332280259</v>
      </c>
      <c r="AO257" s="0" t="n">
        <f aca="false">W_PH(AO$2,$A257)</f>
        <v>2589.24631044844</v>
      </c>
      <c r="AP257" s="0" t="n">
        <f aca="false">W_PH(AP$2,$A257)</f>
        <v>2015</v>
      </c>
      <c r="AQ257" s="0" t="n">
        <f aca="false">W_PH(AQ$2,$A257)</f>
        <v>2015</v>
      </c>
      <c r="AR257" s="0" t="n">
        <f aca="false">W_PH(AR$2,$A257)</f>
        <v>2015</v>
      </c>
      <c r="AS257" s="0" t="n">
        <f aca="false">W_PH(AS$2,$A257)</f>
        <v>2015</v>
      </c>
    </row>
    <row r="258" customFormat="false" ht="12.8" hidden="false" customHeight="false" outlineLevel="0" collapsed="false">
      <c r="A258" s="0" t="n">
        <v>1797.07652622528</v>
      </c>
      <c r="B258" s="0" t="n">
        <f aca="false">W_PH(B$2,$A258)</f>
        <v>2015</v>
      </c>
      <c r="C258" s="0" t="n">
        <f aca="false">W_PH(C$2,$A258)</f>
        <v>2585.62248381654</v>
      </c>
      <c r="D258" s="0" t="n">
        <f aca="false">W_PH(D$2,$A258)</f>
        <v>2585.62255622444</v>
      </c>
      <c r="E258" s="0" t="n">
        <f aca="false">W_PH(E$2,$A258)</f>
        <v>2585.62262863268</v>
      </c>
      <c r="F258" s="0" t="n">
        <f aca="false">W_PH(F$2,$A258)</f>
        <v>2585.62270104126</v>
      </c>
      <c r="G258" s="0" t="n">
        <f aca="false">W_PH(G$2,$A258)</f>
        <v>2585.62343503236</v>
      </c>
      <c r="H258" s="0" t="n">
        <f aca="false">W_PH(H$2,$A258)</f>
        <v>2585.62416905759</v>
      </c>
      <c r="I258" s="0" t="n">
        <f aca="false">W_PH(I$2,$A258)</f>
        <v>2585.62490311694</v>
      </c>
      <c r="J258" s="0" t="n">
        <f aca="false">W_PH(J$2,$A258)</f>
        <v>2585.62564215388</v>
      </c>
      <c r="K258" s="0" t="n">
        <f aca="false">W_PH(K$2,$A258)</f>
        <v>2585.62638122506</v>
      </c>
      <c r="L258" s="0" t="n">
        <f aca="false">W_PH(L$2,$A258)</f>
        <v>2585.62711538695</v>
      </c>
      <c r="M258" s="0" t="n">
        <f aca="false">W_PH(M$2,$A258)</f>
        <v>2585.62784958301</v>
      </c>
      <c r="N258" s="0" t="n">
        <f aca="false">W_PH(N$2,$A258)</f>
        <v>2585.62858381324</v>
      </c>
      <c r="O258" s="0" t="n">
        <f aca="false">W_PH(O$2,$A258)</f>
        <v>2585.62931807766</v>
      </c>
      <c r="P258" s="0" t="n">
        <f aca="false">W_PH(P$2,$A258)</f>
        <v>2585.636672492</v>
      </c>
      <c r="Q258" s="0" t="n">
        <f aca="false">W_PH(Q$2,$A258)</f>
        <v>2585.64403033586</v>
      </c>
      <c r="R258" s="0" t="n">
        <f aca="false">W_PH(R$2,$A258)</f>
        <v>2585.6513916178</v>
      </c>
      <c r="S258" s="0" t="n">
        <f aca="false">W_PH(S$2,$A258)</f>
        <v>2585.65875634639</v>
      </c>
      <c r="T258" s="0" t="n">
        <f aca="false">W_PH(T$2,$A258)</f>
        <v>2585.66612453019</v>
      </c>
      <c r="U258" s="0" t="n">
        <f aca="false">W_PH(U$2,$A258)</f>
        <v>2585.67348628516</v>
      </c>
      <c r="V258" s="0" t="n">
        <f aca="false">W_PH(V$2,$A258)</f>
        <v>2585.68086140418</v>
      </c>
      <c r="W258" s="0" t="n">
        <f aca="false">W_PH(W$2,$A258)</f>
        <v>2585.68823010972</v>
      </c>
      <c r="X258" s="0" t="n">
        <f aca="false">W_PH(X$2,$A258)</f>
        <v>2585.69560230295</v>
      </c>
      <c r="Y258" s="0" t="n">
        <f aca="false">W_PH(Y$2,$A258)</f>
        <v>2585.7694882272</v>
      </c>
      <c r="Z258" s="0" t="n">
        <f aca="false">W_PH(Z$2,$A258)</f>
        <v>2585.84361331597</v>
      </c>
      <c r="AA258" s="0" t="n">
        <f aca="false">W_PH(AA$2,$A258)</f>
        <v>2585.91800563184</v>
      </c>
      <c r="AB258" s="0" t="n">
        <f aca="false">W_PH(AB$2,$A258)</f>
        <v>2585.99265357409</v>
      </c>
      <c r="AC258" s="0" t="n">
        <f aca="false">W_PH(AC$2,$A258)</f>
        <v>2586.06758521576</v>
      </c>
      <c r="AD258" s="0" t="n">
        <f aca="false">W_PH(AD$2,$A258)</f>
        <v>2586.14278889672</v>
      </c>
      <c r="AE258" s="0" t="n">
        <f aca="false">W_PH(AE$2,$A258)</f>
        <v>2586.21828274418</v>
      </c>
      <c r="AF258" s="0" t="n">
        <f aca="false">W_PH(AF$2,$A258)</f>
        <v>2586.29407494302</v>
      </c>
      <c r="AG258" s="0" t="n">
        <f aca="false">W_PH(AG$2,$A258)</f>
        <v>2586.37017366609</v>
      </c>
      <c r="AH258" s="0" t="n">
        <f aca="false">W_PH(AH$2,$A258)</f>
        <v>2587.14955773526</v>
      </c>
      <c r="AI258" s="0" t="n">
        <f aca="false">W_PH(AI$2,$A258)</f>
        <v>2587.96773169561</v>
      </c>
      <c r="AJ258" s="0" t="n">
        <f aca="false">W_PH(AJ$2,$A258)</f>
        <v>2588.83222926766</v>
      </c>
      <c r="AK258" s="0" t="n">
        <f aca="false">W_PH(AK$2,$A258)</f>
        <v>2589.75048265375</v>
      </c>
      <c r="AL258" s="0" t="n">
        <f aca="false">W_PH(AL$2,$A258)</f>
        <v>2590.72979841745</v>
      </c>
      <c r="AM258" s="0" t="n">
        <f aca="false">W_PH(AM$2,$A258)</f>
        <v>2591.77743689942</v>
      </c>
      <c r="AN258" s="0" t="n">
        <f aca="false">W_PH(AN$2,$A258)</f>
        <v>2592.90055799534</v>
      </c>
      <c r="AO258" s="0" t="n">
        <f aca="false">W_PH(AO$2,$A258)</f>
        <v>2594.10624930022</v>
      </c>
      <c r="AP258" s="0" t="n">
        <f aca="false">W_PH(AP$2,$A258)</f>
        <v>2015</v>
      </c>
      <c r="AQ258" s="0" t="n">
        <f aca="false">W_PH(AQ$2,$A258)</f>
        <v>2015</v>
      </c>
      <c r="AR258" s="0" t="n">
        <f aca="false">W_PH(AR$2,$A258)</f>
        <v>2015</v>
      </c>
      <c r="AS258" s="0" t="n">
        <f aca="false">W_PH(AS$2,$A258)</f>
        <v>2015</v>
      </c>
    </row>
    <row r="259" customFormat="false" ht="12.8" hidden="false" customHeight="false" outlineLevel="0" collapsed="false">
      <c r="A259" s="0" t="n">
        <v>1801.37575236457</v>
      </c>
      <c r="B259" s="0" t="n">
        <f aca="false">W_PH(B$2,$A259)</f>
        <v>2015</v>
      </c>
      <c r="C259" s="0" t="n">
        <f aca="false">W_PH(C$2,$A259)</f>
        <v>2590.32091889008</v>
      </c>
      <c r="D259" s="0" t="n">
        <f aca="false">W_PH(D$2,$A259)</f>
        <v>2590.32099544253</v>
      </c>
      <c r="E259" s="0" t="n">
        <f aca="false">W_PH(E$2,$A259)</f>
        <v>2590.32107199532</v>
      </c>
      <c r="F259" s="0" t="n">
        <f aca="false">W_PH(F$2,$A259)</f>
        <v>2590.32114854845</v>
      </c>
      <c r="G259" s="0" t="n">
        <f aca="false">W_PH(G$2,$A259)</f>
        <v>2590.32189437037</v>
      </c>
      <c r="H259" s="0" t="n">
        <f aca="false">W_PH(H$2,$A259)</f>
        <v>2590.3226500896</v>
      </c>
      <c r="I259" s="0" t="n">
        <f aca="false">W_PH(I$2,$A259)</f>
        <v>2590.3234058423</v>
      </c>
      <c r="J259" s="0" t="n">
        <f aca="false">W_PH(J$2,$A259)</f>
        <v>2590.32416162849</v>
      </c>
      <c r="K259" s="0" t="n">
        <f aca="false">W_PH(K$2,$A259)</f>
        <v>2590.32491744818</v>
      </c>
      <c r="L259" s="0" t="n">
        <f aca="false">W_PH(L$2,$A259)</f>
        <v>2590.32567330137</v>
      </c>
      <c r="M259" s="0" t="n">
        <f aca="false">W_PH(M$2,$A259)</f>
        <v>2590.32641932364</v>
      </c>
      <c r="N259" s="0" t="n">
        <f aca="false">W_PH(N$2,$A259)</f>
        <v>2590.32717524378</v>
      </c>
      <c r="O259" s="0" t="n">
        <f aca="false">W_PH(O$2,$A259)</f>
        <v>2590.32793119745</v>
      </c>
      <c r="P259" s="0" t="n">
        <f aca="false">W_PH(P$2,$A259)</f>
        <v>2590.33547284917</v>
      </c>
      <c r="Q259" s="0" t="n">
        <f aca="false">W_PH(Q$2,$A259)</f>
        <v>2590.34302772605</v>
      </c>
      <c r="R259" s="0" t="n">
        <f aca="false">W_PH(R$2,$A259)</f>
        <v>2590.35057610475</v>
      </c>
      <c r="S259" s="0" t="n">
        <f aca="false">W_PH(S$2,$A259)</f>
        <v>2590.35812785921</v>
      </c>
      <c r="T259" s="0" t="n">
        <f aca="false">W_PH(T$2,$A259)</f>
        <v>2590.36568299791</v>
      </c>
      <c r="U259" s="0" t="n">
        <f aca="false">W_PH(U$2,$A259)</f>
        <v>2590.37323659442</v>
      </c>
      <c r="V259" s="0" t="n">
        <f aca="false">W_PH(V$2,$A259)</f>
        <v>2590.38079359125</v>
      </c>
      <c r="W259" s="0" t="n">
        <f aca="false">W_PH(W$2,$A259)</f>
        <v>2590.38835893263</v>
      </c>
      <c r="X259" s="0" t="n">
        <f aca="false">W_PH(X$2,$A259)</f>
        <v>2590.39591781974</v>
      </c>
      <c r="Y259" s="0" t="n">
        <f aca="false">W_PH(Y$2,$A259)</f>
        <v>2590.47168657331</v>
      </c>
      <c r="Z259" s="0" t="n">
        <f aca="false">W_PH(Z$2,$A259)</f>
        <v>2590.54769746801</v>
      </c>
      <c r="AA259" s="0" t="n">
        <f aca="false">W_PH(AA$2,$A259)</f>
        <v>2590.62396856512</v>
      </c>
      <c r="AB259" s="0" t="n">
        <f aca="false">W_PH(AB$2,$A259)</f>
        <v>2590.70048822775</v>
      </c>
      <c r="AC259" s="0" t="n">
        <f aca="false">W_PH(AC$2,$A259)</f>
        <v>2590.77728440025</v>
      </c>
      <c r="AD259" s="0" t="n">
        <f aca="false">W_PH(AD$2,$A259)</f>
        <v>2590.85435531167</v>
      </c>
      <c r="AE259" s="0" t="n">
        <f aca="false">W_PH(AE$2,$A259)</f>
        <v>2590.93170907754</v>
      </c>
      <c r="AF259" s="0" t="n">
        <f aca="false">W_PH(AF$2,$A259)</f>
        <v>2591.00935380167</v>
      </c>
      <c r="AG259" s="0" t="n">
        <f aca="false">W_PH(AG$2,$A259)</f>
        <v>2591.08728762627</v>
      </c>
      <c r="AH259" s="0" t="n">
        <f aca="false">W_PH(AH$2,$A259)</f>
        <v>2591.88479453507</v>
      </c>
      <c r="AI259" s="0" t="n">
        <f aca="false">W_PH(AI$2,$A259)</f>
        <v>2592.72047395591</v>
      </c>
      <c r="AJ259" s="0" t="n">
        <f aca="false">W_PH(AJ$2,$A259)</f>
        <v>2593.60178089049</v>
      </c>
      <c r="AK259" s="0" t="n">
        <f aca="false">W_PH(AK$2,$A259)</f>
        <v>2594.5360921973</v>
      </c>
      <c r="AL259" s="0" t="n">
        <f aca="false">W_PH(AL$2,$A259)</f>
        <v>2595.53067280137</v>
      </c>
      <c r="AM259" s="0" t="n">
        <f aca="false">W_PH(AM$2,$A259)</f>
        <v>2596.59271329713</v>
      </c>
      <c r="AN259" s="0" t="n">
        <f aca="false">W_PH(AN$2,$A259)</f>
        <v>2597.7293165816</v>
      </c>
      <c r="AO259" s="0" t="n">
        <f aca="false">W_PH(AO$2,$A259)</f>
        <v>2598.94753672583</v>
      </c>
      <c r="AP259" s="0" t="n">
        <f aca="false">W_PH(AP$2,$A259)</f>
        <v>2015</v>
      </c>
      <c r="AQ259" s="0" t="n">
        <f aca="false">W_PH(AQ$2,$A259)</f>
        <v>2015</v>
      </c>
      <c r="AR259" s="0" t="n">
        <f aca="false">W_PH(AR$2,$A259)</f>
        <v>2015</v>
      </c>
      <c r="AS259" s="0" t="n">
        <f aca="false">W_PH(AS$2,$A259)</f>
        <v>2015</v>
      </c>
    </row>
    <row r="260" customFormat="false" ht="12.8" hidden="false" customHeight="false" outlineLevel="0" collapsed="false">
      <c r="A260" s="0" t="n">
        <v>1805.67497850387</v>
      </c>
      <c r="B260" s="0" t="n">
        <f aca="false">W_PH(B$2,$A260)</f>
        <v>2015</v>
      </c>
      <c r="C260" s="0" t="n">
        <f aca="false">W_PH(C$2,$A260)</f>
        <v>2595.00295507709</v>
      </c>
      <c r="D260" s="0" t="n">
        <f aca="false">W_PH(D$2,$A260)</f>
        <v>2595.00303570333</v>
      </c>
      <c r="E260" s="0" t="n">
        <f aca="false">W_PH(E$2,$A260)</f>
        <v>2595.0031163299</v>
      </c>
      <c r="F260" s="0" t="n">
        <f aca="false">W_PH(F$2,$A260)</f>
        <v>2595.00318711543</v>
      </c>
      <c r="G260" s="0" t="n">
        <f aca="false">W_PH(G$2,$A260)</f>
        <v>2595.00396387835</v>
      </c>
      <c r="H260" s="0" t="n">
        <f aca="false">W_PH(H$2,$A260)</f>
        <v>2595.00473083254</v>
      </c>
      <c r="I260" s="0" t="n">
        <f aca="false">W_PH(I$2,$A260)</f>
        <v>2595.00550766104</v>
      </c>
      <c r="J260" s="0" t="n">
        <f aca="false">W_PH(J$2,$A260)</f>
        <v>2595.00628452238</v>
      </c>
      <c r="K260" s="0" t="n">
        <f aca="false">W_PH(K$2,$A260)</f>
        <v>2595.00705157477</v>
      </c>
      <c r="L260" s="0" t="n">
        <f aca="false">W_PH(L$2,$A260)</f>
        <v>2595.00782850173</v>
      </c>
      <c r="M260" s="0" t="n">
        <f aca="false">W_PH(M$2,$A260)</f>
        <v>2595.00859561959</v>
      </c>
      <c r="N260" s="0" t="n">
        <f aca="false">W_PH(N$2,$A260)</f>
        <v>2595.00937261222</v>
      </c>
      <c r="O260" s="0" t="n">
        <f aca="false">W_PH(O$2,$A260)</f>
        <v>2595.01014963773</v>
      </c>
      <c r="P260" s="0" t="n">
        <f aca="false">W_PH(P$2,$A260)</f>
        <v>2595.01787248838</v>
      </c>
      <c r="Q260" s="0" t="n">
        <f aca="false">W_PH(Q$2,$A260)</f>
        <v>2595.02560847209</v>
      </c>
      <c r="R260" s="0" t="n">
        <f aca="false">W_PH(R$2,$A260)</f>
        <v>2595.03334775511</v>
      </c>
      <c r="S260" s="0" t="n">
        <f aca="false">W_PH(S$2,$A260)</f>
        <v>2595.04108050028</v>
      </c>
      <c r="T260" s="0" t="n">
        <f aca="false">W_PH(T$2,$A260)</f>
        <v>2595.04882640624</v>
      </c>
      <c r="U260" s="0" t="n">
        <f aca="false">W_PH(U$2,$A260)</f>
        <v>2595.05656578941</v>
      </c>
      <c r="V260" s="0" t="n">
        <f aca="false">W_PH(V$2,$A260)</f>
        <v>2595.06431342779</v>
      </c>
      <c r="W260" s="0" t="n">
        <f aca="false">W_PH(W$2,$A260)</f>
        <v>2595.07206440655</v>
      </c>
      <c r="X260" s="0" t="n">
        <f aca="false">W_PH(X$2,$A260)</f>
        <v>2595.07981380917</v>
      </c>
      <c r="Y260" s="0" t="n">
        <f aca="false">W_PH(Y$2,$A260)</f>
        <v>2595.15743466406</v>
      </c>
      <c r="Z260" s="0" t="n">
        <f aca="false">W_PH(Z$2,$A260)</f>
        <v>2595.23530075141</v>
      </c>
      <c r="AA260" s="0" t="n">
        <f aca="false">W_PH(AA$2,$A260)</f>
        <v>2595.31342017839</v>
      </c>
      <c r="AB260" s="0" t="n">
        <f aca="false">W_PH(AB$2,$A260)</f>
        <v>2595.39178127293</v>
      </c>
      <c r="AC260" s="0" t="n">
        <f aca="false">W_PH(AC$2,$A260)</f>
        <v>2595.47041679884</v>
      </c>
      <c r="AD260" s="0" t="n">
        <f aca="false">W_PH(AD$2,$A260)</f>
        <v>2595.54931999015</v>
      </c>
      <c r="AE260" s="0" t="n">
        <f aca="false">W_PH(AE$2,$A260)</f>
        <v>2595.6284939278</v>
      </c>
      <c r="AF260" s="0" t="n">
        <f aca="false">W_PH(AF$2,$A260)</f>
        <v>2595.70796149987</v>
      </c>
      <c r="AG260" s="0" t="n">
        <f aca="false">W_PH(AG$2,$A260)</f>
        <v>2595.78772081839</v>
      </c>
      <c r="AH260" s="0" t="n">
        <f aca="false">W_PH(AH$2,$A260)</f>
        <v>2596.60308482977</v>
      </c>
      <c r="AI260" s="0" t="n">
        <f aca="false">W_PH(AI$2,$A260)</f>
        <v>2597.45599132733</v>
      </c>
      <c r="AJ260" s="0" t="n">
        <f aca="false">W_PH(AJ$2,$A260)</f>
        <v>2598.35386784615</v>
      </c>
      <c r="AK260" s="0" t="n">
        <f aca="false">W_PH(AK$2,$A260)</f>
        <v>2599.30400652818</v>
      </c>
      <c r="AL260" s="0" t="n">
        <f aca="false">W_PH(AL$2,$A260)</f>
        <v>2600.31363115632</v>
      </c>
      <c r="AM260" s="0" t="n">
        <f aca="false">W_PH(AM$2,$A260)</f>
        <v>2601.3898735756</v>
      </c>
      <c r="AN260" s="0" t="n">
        <f aca="false">W_PH(AN$2,$A260)</f>
        <v>2602.53979085731</v>
      </c>
      <c r="AO260" s="0" t="n">
        <f aca="false">W_PH(AO$2,$A260)</f>
        <v>2603.77038311735</v>
      </c>
      <c r="AP260" s="0" t="n">
        <f aca="false">W_PH(AP$2,$A260)</f>
        <v>2015</v>
      </c>
      <c r="AQ260" s="0" t="n">
        <f aca="false">W_PH(AQ$2,$A260)</f>
        <v>2015</v>
      </c>
      <c r="AR260" s="0" t="n">
        <f aca="false">W_PH(AR$2,$A260)</f>
        <v>2015</v>
      </c>
      <c r="AS260" s="0" t="n">
        <f aca="false">W_PH(AS$2,$A260)</f>
        <v>2015</v>
      </c>
    </row>
    <row r="261" customFormat="false" ht="12.8" hidden="false" customHeight="false" outlineLevel="0" collapsed="false">
      <c r="A261" s="0" t="n">
        <v>1809.97420464316</v>
      </c>
      <c r="B261" s="0" t="n">
        <f aca="false">W_PH(B$2,$A261)</f>
        <v>2015</v>
      </c>
      <c r="C261" s="0" t="n">
        <f aca="false">W_PH(C$2,$A261)</f>
        <v>2599.66875664287</v>
      </c>
      <c r="D261" s="0" t="n">
        <f aca="false">W_PH(D$2,$A261)</f>
        <v>2599.6688412736</v>
      </c>
      <c r="E261" s="0" t="n">
        <f aca="false">W_PH(E$2,$A261)</f>
        <v>2599.6689160855</v>
      </c>
      <c r="F261" s="0" t="n">
        <f aca="false">W_PH(F$2,$A261)</f>
        <v>2599.6689958073</v>
      </c>
      <c r="G261" s="0" t="n">
        <f aca="false">W_PH(G$2,$A261)</f>
        <v>2599.66978813336</v>
      </c>
      <c r="H261" s="0" t="n">
        <f aca="false">W_PH(H$2,$A261)</f>
        <v>2599.67057558185</v>
      </c>
      <c r="I261" s="0" t="n">
        <f aca="false">W_PH(I$2,$A261)</f>
        <v>2599.6713728818</v>
      </c>
      <c r="J261" s="0" t="n">
        <f aca="false">W_PH(J$2,$A261)</f>
        <v>2599.67216039446</v>
      </c>
      <c r="K261" s="0" t="n">
        <f aca="false">W_PH(K$2,$A261)</f>
        <v>2599.67294793916</v>
      </c>
      <c r="L261" s="0" t="n">
        <f aca="false">W_PH(L$2,$A261)</f>
        <v>2599.67374533559</v>
      </c>
      <c r="M261" s="0" t="n">
        <f aca="false">W_PH(M$2,$A261)</f>
        <v>2599.6745329445</v>
      </c>
      <c r="N261" s="0" t="n">
        <f aca="false">W_PH(N$2,$A261)</f>
        <v>2599.67533040532</v>
      </c>
      <c r="O261" s="0" t="n">
        <f aca="false">W_PH(O$2,$A261)</f>
        <v>2599.67611807847</v>
      </c>
      <c r="P261" s="0" t="n">
        <f aca="false">W_PH(P$2,$A261)</f>
        <v>2599.68403585937</v>
      </c>
      <c r="Q261" s="0" t="n">
        <f aca="false">W_PH(Q$2,$A261)</f>
        <v>2599.69194704274</v>
      </c>
      <c r="R261" s="0" t="n">
        <f aca="false">W_PH(R$2,$A261)</f>
        <v>2599.69987127926</v>
      </c>
      <c r="S261" s="0" t="n">
        <f aca="false">W_PH(S$2,$A261)</f>
        <v>2599.70778893318</v>
      </c>
      <c r="T261" s="0" t="n">
        <f aca="false">W_PH(T$2,$A261)</f>
        <v>2599.71571965852</v>
      </c>
      <c r="U261" s="0" t="n">
        <f aca="false">W_PH(U$2,$A261)</f>
        <v>2599.72364381619</v>
      </c>
      <c r="V261" s="0" t="n">
        <f aca="false">W_PH(V$2,$A261)</f>
        <v>2599.73157123776</v>
      </c>
      <c r="W261" s="0" t="n">
        <f aca="false">W_PH(W$2,$A261)</f>
        <v>2599.73950193154</v>
      </c>
      <c r="X261" s="0" t="n">
        <f aca="false">W_PH(X$2,$A261)</f>
        <v>2599.74743590582</v>
      </c>
      <c r="Y261" s="0" t="n">
        <f aca="false">W_PH(Y$2,$A261)</f>
        <v>2599.82688904977</v>
      </c>
      <c r="Z261" s="0" t="n">
        <f aca="false">W_PH(Z$2,$A261)</f>
        <v>2599.90658080253</v>
      </c>
      <c r="AA261" s="0" t="n">
        <f aca="false">W_PH(AA$2,$A261)</f>
        <v>2599.9865093384</v>
      </c>
      <c r="AB261" s="0" t="n">
        <f aca="false">W_PH(AB$2,$A261)</f>
        <v>2600.0666974394</v>
      </c>
      <c r="AC261" s="0" t="n">
        <f aca="false">W_PH(AC$2,$A261)</f>
        <v>2600.14713831846</v>
      </c>
      <c r="AD261" s="0" t="n">
        <f aca="false">W_PH(AD$2,$A261)</f>
        <v>2600.22784488257</v>
      </c>
      <c r="AE261" s="0" t="n">
        <f aca="false">W_PH(AE$2,$A261)</f>
        <v>2600.30882015825</v>
      </c>
      <c r="AF261" s="0" t="n">
        <f aca="false">W_PH(AF$2,$A261)</f>
        <v>2600.39008198586</v>
      </c>
      <c r="AG261" s="0" t="n">
        <f aca="false">W_PH(AG$2,$A261)</f>
        <v>2600.47162842259</v>
      </c>
      <c r="AH261" s="0" t="n">
        <f aca="false">W_PH(AH$2,$A261)</f>
        <v>2601.30457405627</v>
      </c>
      <c r="AI261" s="0" t="n">
        <f aca="false">W_PH(AI$2,$A261)</f>
        <v>2602.17446937686</v>
      </c>
      <c r="AJ261" s="0" t="n">
        <f aca="false">W_PH(AJ$2,$A261)</f>
        <v>2603.08866503211</v>
      </c>
      <c r="AK261" s="0" t="n">
        <f aca="false">W_PH(AK$2,$A261)</f>
        <v>2604.05440967142</v>
      </c>
      <c r="AL261" s="0" t="n">
        <f aca="false">W_PH(AL$2,$A261)</f>
        <v>2605.07886628499</v>
      </c>
      <c r="AM261" s="0" t="n">
        <f aca="false">W_PH(AM$2,$A261)</f>
        <v>2606.16911886188</v>
      </c>
      <c r="AN261" s="0" t="n">
        <f aca="false">W_PH(AN$2,$A261)</f>
        <v>2607.332168791</v>
      </c>
      <c r="AO261" s="0" t="n">
        <f aca="false">W_PH(AO$2,$A261)</f>
        <v>2608.57496260006</v>
      </c>
      <c r="AP261" s="0" t="n">
        <f aca="false">W_PH(AP$2,$A261)</f>
        <v>2015</v>
      </c>
      <c r="AQ261" s="0" t="n">
        <f aca="false">W_PH(AQ$2,$A261)</f>
        <v>2015</v>
      </c>
      <c r="AR261" s="0" t="n">
        <f aca="false">W_PH(AR$2,$A261)</f>
        <v>2015</v>
      </c>
      <c r="AS261" s="0" t="n">
        <f aca="false">W_PH(AS$2,$A261)</f>
        <v>2015</v>
      </c>
    </row>
    <row r="262" customFormat="false" ht="12.8" hidden="false" customHeight="false" outlineLevel="0" collapsed="false">
      <c r="A262" s="0" t="n">
        <v>1814.27343078246</v>
      </c>
      <c r="B262" s="0" t="n">
        <f aca="false">W_PH(B$2,$A262)</f>
        <v>2015</v>
      </c>
      <c r="C262" s="0" t="n">
        <f aca="false">W_PH(C$2,$A262)</f>
        <v>2604.31847535566</v>
      </c>
      <c r="D262" s="0" t="n">
        <f aca="false">W_PH(D$2,$A262)</f>
        <v>2604.31856392302</v>
      </c>
      <c r="E262" s="0" t="n">
        <f aca="false">W_PH(E$2,$A262)</f>
        <v>2604.3186426935</v>
      </c>
      <c r="F262" s="0" t="n">
        <f aca="false">W_PH(F$2,$A262)</f>
        <v>2604.3187214643</v>
      </c>
      <c r="G262" s="0" t="n">
        <f aca="false">W_PH(G$2,$A262)</f>
        <v>2604.3195287839</v>
      </c>
      <c r="H262" s="0" t="n">
        <f aca="false">W_PH(H$2,$A262)</f>
        <v>2604.3203361349</v>
      </c>
      <c r="I262" s="0" t="n">
        <f aca="false">W_PH(I$2,$A262)</f>
        <v>2604.32115331477</v>
      </c>
      <c r="J262" s="0" t="n">
        <f aca="false">W_PH(J$2,$A262)</f>
        <v>2604.32196072868</v>
      </c>
      <c r="K262" s="0" t="n">
        <f aca="false">W_PH(K$2,$A262)</f>
        <v>2604.32276817402</v>
      </c>
      <c r="L262" s="0" t="n">
        <f aca="false">W_PH(L$2,$A262)</f>
        <v>2604.32357565079</v>
      </c>
      <c r="M262" s="0" t="n">
        <f aca="false">W_PH(M$2,$A262)</f>
        <v>2604.32438315901</v>
      </c>
      <c r="N262" s="0" t="n">
        <f aca="false">W_PH(N$2,$A262)</f>
        <v>2604.32520049654</v>
      </c>
      <c r="O262" s="0" t="n">
        <f aca="false">W_PH(O$2,$A262)</f>
        <v>2604.32600806775</v>
      </c>
      <c r="P262" s="0" t="n">
        <f aca="false">W_PH(P$2,$A262)</f>
        <v>2604.33410510947</v>
      </c>
      <c r="Q262" s="0" t="n">
        <f aca="false">W_PH(Q$2,$A262)</f>
        <v>2604.34219550985</v>
      </c>
      <c r="R262" s="0" t="n">
        <f aca="false">W_PH(R$2,$A262)</f>
        <v>2604.35029887549</v>
      </c>
      <c r="S262" s="0" t="n">
        <f aca="false">W_PH(S$2,$A262)</f>
        <v>2604.35840541585</v>
      </c>
      <c r="T262" s="0" t="n">
        <f aca="false">W_PH(T$2,$A262)</f>
        <v>2604.36650533706</v>
      </c>
      <c r="U262" s="0" t="n">
        <f aca="false">W_PH(U$2,$A262)</f>
        <v>2604.37461825067</v>
      </c>
      <c r="V262" s="0" t="n">
        <f aca="false">W_PH(V$2,$A262)</f>
        <v>2604.3827245599</v>
      </c>
      <c r="W262" s="0" t="n">
        <f aca="false">W_PH(W$2,$A262)</f>
        <v>2604.39083407506</v>
      </c>
      <c r="X262" s="0" t="n">
        <f aca="false">W_PH(X$2,$A262)</f>
        <v>2604.39894680436</v>
      </c>
      <c r="Y262" s="0" t="n">
        <f aca="false">W_PH(Y$2,$A262)</f>
        <v>2604.48020361312</v>
      </c>
      <c r="Z262" s="0" t="n">
        <f aca="false">W_PH(Z$2,$A262)</f>
        <v>2604.56169256147</v>
      </c>
      <c r="AA262" s="0" t="n">
        <f aca="false">W_PH(AA$2,$A262)</f>
        <v>2604.64342159748</v>
      </c>
      <c r="AB262" s="0" t="n">
        <f aca="false">W_PH(AB$2,$A262)</f>
        <v>2604.72538881987</v>
      </c>
      <c r="AC262" s="0" t="n">
        <f aca="false">W_PH(AC$2,$A262)</f>
        <v>2604.80761197679</v>
      </c>
      <c r="AD262" s="0" t="n">
        <f aca="false">W_PH(AD$2,$A262)</f>
        <v>2604.89009898359</v>
      </c>
      <c r="AE262" s="0" t="n">
        <f aca="false">W_PH(AE$2,$A262)</f>
        <v>2604.97284788166</v>
      </c>
      <c r="AF262" s="0" t="n">
        <f aca="false">W_PH(AF$2,$A262)</f>
        <v>2605.05587641142</v>
      </c>
      <c r="AG262" s="0" t="n">
        <f aca="false">W_PH(AG$2,$A262)</f>
        <v>2605.13918257631</v>
      </c>
      <c r="AH262" s="0" t="n">
        <f aca="false">W_PH(AH$2,$A262)</f>
        <v>2605.98944461563</v>
      </c>
      <c r="AI262" s="0" t="n">
        <f aca="false">W_PH(AI$2,$A262)</f>
        <v>2606.87607013513</v>
      </c>
      <c r="AJ262" s="0" t="n">
        <f aca="false">W_PH(AJ$2,$A262)</f>
        <v>2607.80635396121</v>
      </c>
      <c r="AK262" s="0" t="n">
        <f aca="false">W_PH(AK$2,$A262)</f>
        <v>2608.7874818932</v>
      </c>
      <c r="AL262" s="0" t="n">
        <f aca="false">W_PH(AL$2,$A262)</f>
        <v>2609.8265669859</v>
      </c>
      <c r="AM262" s="0" t="n">
        <f aca="false">W_PH(AM$2,$A262)</f>
        <v>2610.93063569058</v>
      </c>
      <c r="AN262" s="0" t="n">
        <f aca="false">W_PH(AN$2,$A262)</f>
        <v>2612.10663935379</v>
      </c>
      <c r="AO262" s="0" t="n">
        <f aca="false">W_PH(AO$2,$A262)</f>
        <v>2613.36147664066</v>
      </c>
      <c r="AP262" s="0" t="n">
        <f aca="false">W_PH(AP$2,$A262)</f>
        <v>2015</v>
      </c>
      <c r="AQ262" s="0" t="n">
        <f aca="false">W_PH(AQ$2,$A262)</f>
        <v>2015</v>
      </c>
      <c r="AR262" s="0" t="n">
        <f aca="false">W_PH(AR$2,$A262)</f>
        <v>2015</v>
      </c>
      <c r="AS262" s="0" t="n">
        <f aca="false">W_PH(AS$2,$A262)</f>
        <v>2015</v>
      </c>
    </row>
    <row r="263" customFormat="false" ht="12.8" hidden="false" customHeight="false" outlineLevel="0" collapsed="false">
      <c r="A263" s="0" t="n">
        <v>1818.57265692175</v>
      </c>
      <c r="B263" s="0" t="n">
        <f aca="false">W_PH(B$2,$A263)</f>
        <v>2015</v>
      </c>
      <c r="C263" s="0" t="n">
        <f aca="false">W_PH(C$2,$A263)</f>
        <v>2608.95227020602</v>
      </c>
      <c r="D263" s="0" t="n">
        <f aca="false">W_PH(D$2,$A263)</f>
        <v>2608.95235286806</v>
      </c>
      <c r="E263" s="0" t="n">
        <f aca="false">W_PH(E$2,$A263)</f>
        <v>2608.95243553041</v>
      </c>
      <c r="F263" s="0" t="n">
        <f aca="false">W_PH(F$2,$A263)</f>
        <v>2608.95251819307</v>
      </c>
      <c r="G263" s="0" t="n">
        <f aca="false">W_PH(G$2,$A263)</f>
        <v>2608.95334483655</v>
      </c>
      <c r="H263" s="0" t="n">
        <f aca="false">W_PH(H$2,$A263)</f>
        <v>2608.95417151083</v>
      </c>
      <c r="I263" s="0" t="n">
        <f aca="false">W_PH(I$2,$A263)</f>
        <v>2608.95500310377</v>
      </c>
      <c r="J263" s="0" t="n">
        <f aca="false">W_PH(J$2,$A263)</f>
        <v>2608.95583472759</v>
      </c>
      <c r="K263" s="0" t="n">
        <f aca="false">W_PH(K$2,$A263)</f>
        <v>2608.95666149437</v>
      </c>
      <c r="L263" s="0" t="n">
        <f aca="false">W_PH(L$2,$A263)</f>
        <v>2608.95748829196</v>
      </c>
      <c r="M263" s="0" t="n">
        <f aca="false">W_PH(M$2,$A263)</f>
        <v>2608.95831512038</v>
      </c>
      <c r="N263" s="0" t="n">
        <f aca="false">W_PH(N$2,$A263)</f>
        <v>2608.95914197964</v>
      </c>
      <c r="O263" s="0" t="n">
        <f aca="false">W_PH(O$2,$A263)</f>
        <v>2608.95996886975</v>
      </c>
      <c r="P263" s="0" t="n">
        <f aca="false">W_PH(P$2,$A263)</f>
        <v>2608.9682394691</v>
      </c>
      <c r="Q263" s="0" t="n">
        <f aca="false">W_PH(Q$2,$A263)</f>
        <v>2608.97651316196</v>
      </c>
      <c r="R263" s="0" t="n">
        <f aca="false">W_PH(R$2,$A263)</f>
        <v>2608.98478995645</v>
      </c>
      <c r="S263" s="0" t="n">
        <f aca="false">W_PH(S$2,$A263)</f>
        <v>2608.99306986072</v>
      </c>
      <c r="T263" s="0" t="n">
        <f aca="false">W_PH(T$2,$A263)</f>
        <v>2609.0013528829</v>
      </c>
      <c r="U263" s="0" t="n">
        <f aca="false">W_PH(U$2,$A263)</f>
        <v>2609.00963903114</v>
      </c>
      <c r="V263" s="0" t="n">
        <f aca="false">W_PH(V$2,$A263)</f>
        <v>2609.01792831356</v>
      </c>
      <c r="W263" s="0" t="n">
        <f aca="false">W_PH(W$2,$A263)</f>
        <v>2609.0262207383</v>
      </c>
      <c r="X263" s="0" t="n">
        <f aca="false">W_PH(X$2,$A263)</f>
        <v>2609.03450652994</v>
      </c>
      <c r="Y263" s="0" t="n">
        <f aca="false">W_PH(Y$2,$A263)</f>
        <v>2609.11753942001</v>
      </c>
      <c r="Z263" s="0" t="n">
        <f aca="false">W_PH(Z$2,$A263)</f>
        <v>2609.20079813189</v>
      </c>
      <c r="AA263" s="0" t="n">
        <f aca="false">W_PH(AA$2,$A263)</f>
        <v>2609.28428563223</v>
      </c>
      <c r="AB263" s="0" t="n">
        <f aca="false">W_PH(AB$2,$A263)</f>
        <v>2609.36801467686</v>
      </c>
      <c r="AC263" s="0" t="n">
        <f aca="false">W_PH(AC$2,$A263)</f>
        <v>2609.45199802727</v>
      </c>
      <c r="AD263" s="0" t="n">
        <f aca="false">W_PH(AD$2,$A263)</f>
        <v>2609.53622878596</v>
      </c>
      <c r="AE263" s="0" t="n">
        <f aca="false">W_PH(AE$2,$A263)</f>
        <v>2609.62072459731</v>
      </c>
      <c r="AF263" s="0" t="n">
        <f aca="false">W_PH(AF$2,$A263)</f>
        <v>2609.70549327916</v>
      </c>
      <c r="AG263" s="0" t="n">
        <f aca="false">W_PH(AG$2,$A263)</f>
        <v>2609.79053278223</v>
      </c>
      <c r="AH263" s="0" t="n">
        <f aca="false">W_PH(AH$2,$A263)</f>
        <v>2610.65785583504</v>
      </c>
      <c r="AI263" s="0" t="n">
        <f aca="false">W_PH(AI$2,$A263)</f>
        <v>2611.56096749256</v>
      </c>
      <c r="AJ263" s="0" t="n">
        <f aca="false">W_PH(AJ$2,$A263)</f>
        <v>2612.50710252615</v>
      </c>
      <c r="AK263" s="0" t="n">
        <f aca="false">W_PH(AK$2,$A263)</f>
        <v>2613.50339979683</v>
      </c>
      <c r="AL263" s="0" t="n">
        <f aca="false">W_PH(AL$2,$A263)</f>
        <v>2614.55689766024</v>
      </c>
      <c r="AM263" s="0" t="n">
        <f aca="false">W_PH(AM$2,$A263)</f>
        <v>2615.67459626551</v>
      </c>
      <c r="AN263" s="0" t="n">
        <f aca="false">W_PH(AN$2,$A263)</f>
        <v>2616.86338735685</v>
      </c>
      <c r="AO263" s="0" t="n">
        <f aca="false">W_PH(AO$2,$A263)</f>
        <v>2618.13010134388</v>
      </c>
      <c r="AP263" s="0" t="n">
        <f aca="false">W_PH(AP$2,$A263)</f>
        <v>2015</v>
      </c>
      <c r="AQ263" s="0" t="n">
        <f aca="false">W_PH(AQ$2,$A263)</f>
        <v>2015</v>
      </c>
      <c r="AR263" s="0" t="n">
        <f aca="false">W_PH(AR$2,$A263)</f>
        <v>2015</v>
      </c>
      <c r="AS263" s="0" t="n">
        <f aca="false">W_PH(AS$2,$A263)</f>
        <v>2015</v>
      </c>
    </row>
    <row r="264" customFormat="false" ht="12.8" hidden="false" customHeight="false" outlineLevel="0" collapsed="false">
      <c r="A264" s="0" t="n">
        <v>1822.87188306105</v>
      </c>
      <c r="B264" s="0" t="n">
        <f aca="false">W_PH(B$2,$A264)</f>
        <v>2015</v>
      </c>
      <c r="C264" s="0" t="n">
        <f aca="false">W_PH(C$2,$A264)</f>
        <v>2613.57029760143</v>
      </c>
      <c r="D264" s="0" t="n">
        <f aca="false">W_PH(D$2,$A264)</f>
        <v>2613.57038409</v>
      </c>
      <c r="E264" s="0" t="n">
        <f aca="false">W_PH(E$2,$A264)</f>
        <v>2613.57046082489</v>
      </c>
      <c r="F264" s="0" t="n">
        <f aca="false">W_PH(F$2,$A264)</f>
        <v>2613.57054731407</v>
      </c>
      <c r="G264" s="0" t="n">
        <f aca="false">W_PH(G$2,$A264)</f>
        <v>2613.57139271444</v>
      </c>
      <c r="H264" s="0" t="n">
        <f aca="false">W_PH(H$2,$A264)</f>
        <v>2613.572238145</v>
      </c>
      <c r="I264" s="0" t="n">
        <f aca="false">W_PH(I$2,$A264)</f>
        <v>2613.57308360576</v>
      </c>
      <c r="J264" s="0" t="n">
        <f aca="false">W_PH(J$2,$A264)</f>
        <v>2613.57392909671</v>
      </c>
      <c r="K264" s="0" t="n">
        <f aca="false">W_PH(K$2,$A264)</f>
        <v>2613.57477461787</v>
      </c>
      <c r="L264" s="0" t="n">
        <f aca="false">W_PH(L$2,$A264)</f>
        <v>2613.57562016925</v>
      </c>
      <c r="M264" s="0" t="n">
        <f aca="false">W_PH(M$2,$A264)</f>
        <v>2613.57646575086</v>
      </c>
      <c r="N264" s="0" t="n">
        <f aca="false">W_PH(N$2,$A264)</f>
        <v>2613.57730648538</v>
      </c>
      <c r="O264" s="0" t="n">
        <f aca="false">W_PH(O$2,$A264)</f>
        <v>2613.57814725006</v>
      </c>
      <c r="P264" s="0" t="n">
        <f aca="false">W_PH(P$2,$A264)</f>
        <v>2613.58660045731</v>
      </c>
      <c r="Q264" s="0" t="n">
        <f aca="false">W_PH(Q$2,$A264)</f>
        <v>2613.59505181856</v>
      </c>
      <c r="R264" s="0" t="n">
        <f aca="false">W_PH(R$2,$A264)</f>
        <v>2613.60350134067</v>
      </c>
      <c r="S264" s="0" t="n">
        <f aca="false">W_PH(S$2,$A264)</f>
        <v>2613.61195878843</v>
      </c>
      <c r="T264" s="0" t="n">
        <f aca="false">W_PH(T$2,$A264)</f>
        <v>2613.62041929172</v>
      </c>
      <c r="U264" s="0" t="n">
        <f aca="false">W_PH(U$2,$A264)</f>
        <v>2613.62887309906</v>
      </c>
      <c r="V264" s="0" t="n">
        <f aca="false">W_PH(V$2,$A264)</f>
        <v>2613.63733973679</v>
      </c>
      <c r="W264" s="0" t="n">
        <f aca="false">W_PH(W$2,$A264)</f>
        <v>2613.64579969307</v>
      </c>
      <c r="X264" s="0" t="n">
        <f aca="false">W_PH(X$2,$A264)</f>
        <v>2613.65427249745</v>
      </c>
      <c r="Y264" s="0" t="n">
        <f aca="false">W_PH(Y$2,$A264)</f>
        <v>2613.73904512872</v>
      </c>
      <c r="Z264" s="0" t="n">
        <f aca="false">W_PH(Z$2,$A264)</f>
        <v>2613.8240471745</v>
      </c>
      <c r="AA264" s="0" t="n">
        <f aca="false">W_PH(AA$2,$A264)</f>
        <v>2613.90927666735</v>
      </c>
      <c r="AB264" s="0" t="n">
        <f aca="false">W_PH(AB$2,$A264)</f>
        <v>2613.99473159739</v>
      </c>
      <c r="AC264" s="0" t="n">
        <f aca="false">W_PH(AC$2,$A264)</f>
        <v>2614.08043931851</v>
      </c>
      <c r="AD264" s="0" t="n">
        <f aca="false">W_PH(AD$2,$A264)</f>
        <v>2614.16639780827</v>
      </c>
      <c r="AE264" s="0" t="n">
        <f aca="false">W_PH(AE$2,$A264)</f>
        <v>2614.25261482004</v>
      </c>
      <c r="AF264" s="0" t="n">
        <f aca="false">W_PH(AF$2,$A264)</f>
        <v>2614.33909809697</v>
      </c>
      <c r="AG264" s="0" t="n">
        <f aca="false">W_PH(AG$2,$A264)</f>
        <v>2614.4258455381</v>
      </c>
      <c r="AH264" s="0" t="n">
        <f aca="false">W_PH(AH$2,$A264)</f>
        <v>2615.30996906566</v>
      </c>
      <c r="AI264" s="0" t="n">
        <f aca="false">W_PH(AI$2,$A264)</f>
        <v>2616.22932210883</v>
      </c>
      <c r="AJ264" s="0" t="n">
        <f aca="false">W_PH(AJ$2,$A264)</f>
        <v>2617.19108535651</v>
      </c>
      <c r="AK264" s="0" t="n">
        <f aca="false">W_PH(AK$2,$A264)</f>
        <v>2618.20232627025</v>
      </c>
      <c r="AL264" s="0" t="n">
        <f aca="false">W_PH(AL$2,$A264)</f>
        <v>2619.27004979894</v>
      </c>
      <c r="AM264" s="0" t="n">
        <f aca="false">W_PH(AM$2,$A264)</f>
        <v>2620.40118959406</v>
      </c>
      <c r="AN264" s="0" t="n">
        <f aca="false">W_PH(AN$2,$A264)</f>
        <v>2621.60258319646</v>
      </c>
      <c r="AO264" s="0" t="n">
        <f aca="false">W_PH(AO$2,$A264)</f>
        <v>2622.88104006681</v>
      </c>
      <c r="AP264" s="0" t="n">
        <f aca="false">W_PH(AP$2,$A264)</f>
        <v>2015</v>
      </c>
      <c r="AQ264" s="0" t="n">
        <f aca="false">W_PH(AQ$2,$A264)</f>
        <v>2015</v>
      </c>
      <c r="AR264" s="0" t="n">
        <f aca="false">W_PH(AR$2,$A264)</f>
        <v>2015</v>
      </c>
      <c r="AS264" s="0" t="n">
        <f aca="false">W_PH(AS$2,$A264)</f>
        <v>2015</v>
      </c>
    </row>
    <row r="265" customFormat="false" ht="12.8" hidden="false" customHeight="false" outlineLevel="0" collapsed="false">
      <c r="A265" s="0" t="n">
        <v>1827.17110920034</v>
      </c>
      <c r="B265" s="0" t="n">
        <f aca="false">W_PH(B$2,$A265)</f>
        <v>2015</v>
      </c>
      <c r="C265" s="0" t="n">
        <f aca="false">W_PH(C$2,$A265)</f>
        <v>2618.17269195789</v>
      </c>
      <c r="D265" s="0" t="n">
        <f aca="false">W_PH(D$2,$A265)</f>
        <v>2618.17278220897</v>
      </c>
      <c r="E265" s="0" t="n">
        <f aca="false">W_PH(E$2,$A265)</f>
        <v>2618.17287246035</v>
      </c>
      <c r="F265" s="0" t="n">
        <f aca="false">W_PH(F$2,$A265)</f>
        <v>2618.1729529793</v>
      </c>
      <c r="G265" s="0" t="n">
        <f aca="false">W_PH(G$2,$A265)</f>
        <v>2618.17381658141</v>
      </c>
      <c r="H265" s="0" t="n">
        <f aca="false">W_PH(H$2,$A265)</f>
        <v>2618.17468021311</v>
      </c>
      <c r="I265" s="0" t="n">
        <f aca="false">W_PH(I$2,$A265)</f>
        <v>2618.17554387441</v>
      </c>
      <c r="J265" s="0" t="n">
        <f aca="false">W_PH(J$2,$A265)</f>
        <v>2618.17639783226</v>
      </c>
      <c r="K265" s="0" t="n">
        <f aca="false">W_PH(K$2,$A265)</f>
        <v>2618.1772615527</v>
      </c>
      <c r="L265" s="0" t="n">
        <f aca="false">W_PH(L$2,$A265)</f>
        <v>2618.17812530276</v>
      </c>
      <c r="M265" s="0" t="n">
        <f aca="false">W_PH(M$2,$A265)</f>
        <v>2618.17898908245</v>
      </c>
      <c r="N265" s="0" t="n">
        <f aca="false">W_PH(N$2,$A265)</f>
        <v>2618.17985289178</v>
      </c>
      <c r="O265" s="0" t="n">
        <f aca="false">W_PH(O$2,$A265)</f>
        <v>2618.18071186404</v>
      </c>
      <c r="P265" s="0" t="n">
        <f aca="false">W_PH(P$2,$A265)</f>
        <v>2618.18933728431</v>
      </c>
      <c r="Q265" s="0" t="n">
        <f aca="false">W_PH(Q$2,$A265)</f>
        <v>2618.19796080805</v>
      </c>
      <c r="R265" s="0" t="n">
        <f aca="false">W_PH(R$2,$A265)</f>
        <v>2618.20658730998</v>
      </c>
      <c r="S265" s="0" t="n">
        <f aca="false">W_PH(S$2,$A265)</f>
        <v>2618.21520706144</v>
      </c>
      <c r="T265" s="0" t="n">
        <f aca="false">W_PH(T$2,$A265)</f>
        <v>2618.22383954286</v>
      </c>
      <c r="U265" s="0" t="n">
        <f aca="false">W_PH(U$2,$A265)</f>
        <v>2618.23247502639</v>
      </c>
      <c r="V265" s="0" t="n">
        <f aca="false">W_PH(V$2,$A265)</f>
        <v>2618.24110378101</v>
      </c>
      <c r="W265" s="0" t="n">
        <f aca="false">W_PH(W$2,$A265)</f>
        <v>2618.24974529189</v>
      </c>
      <c r="X265" s="0" t="n">
        <f aca="false">W_PH(X$2,$A265)</f>
        <v>2618.25838008824</v>
      </c>
      <c r="Y265" s="0" t="n">
        <f aca="false">W_PH(Y$2,$A265)</f>
        <v>2618.34487665304</v>
      </c>
      <c r="Z265" s="0" t="n">
        <f aca="false">W_PH(Z$2,$A265)</f>
        <v>2618.43159658735</v>
      </c>
      <c r="AA265" s="0" t="n">
        <f aca="false">W_PH(AA$2,$A265)</f>
        <v>2618.51852810595</v>
      </c>
      <c r="AB265" s="0" t="n">
        <f aca="false">W_PH(AB$2,$A265)</f>
        <v>2618.60569843914</v>
      </c>
      <c r="AC265" s="0" t="n">
        <f aca="false">W_PH(AC$2,$A265)</f>
        <v>2618.69310553011</v>
      </c>
      <c r="AD265" s="0" t="n">
        <f aca="false">W_PH(AD$2,$A265)</f>
        <v>2618.78076685644</v>
      </c>
      <c r="AE265" s="0" t="n">
        <f aca="false">W_PH(AE$2,$A265)</f>
        <v>2618.86867052975</v>
      </c>
      <c r="AF265" s="0" t="n">
        <f aca="false">W_PH(AF$2,$A265)</f>
        <v>2618.95684380361</v>
      </c>
      <c r="AG265" s="0" t="n">
        <f aca="false">W_PH(AG$2,$A265)</f>
        <v>2619.04527473837</v>
      </c>
      <c r="AH265" s="0" t="n">
        <f aca="false">W_PH(AH$2,$A265)</f>
        <v>2619.94595263741</v>
      </c>
      <c r="AI265" s="0" t="n">
        <f aca="false">W_PH(AI$2,$A265)</f>
        <v>2620.8813115163</v>
      </c>
      <c r="AJ265" s="0" t="n">
        <f aca="false">W_PH(AJ$2,$A265)</f>
        <v>2621.85846368501</v>
      </c>
      <c r="AK265" s="0" t="n">
        <f aca="false">W_PH(AK$2,$A265)</f>
        <v>2622.88445118553</v>
      </c>
      <c r="AL265" s="0" t="n">
        <f aca="false">W_PH(AL$2,$A265)</f>
        <v>2623.96620088402</v>
      </c>
      <c r="AM265" s="0" t="n">
        <f aca="false">W_PH(AM$2,$A265)</f>
        <v>2625.11059050037</v>
      </c>
      <c r="AN265" s="0" t="n">
        <f aca="false">W_PH(AN$2,$A265)</f>
        <v>2626.3244244549</v>
      </c>
      <c r="AO265" s="0" t="n">
        <f aca="false">W_PH(AO$2,$A265)</f>
        <v>2627.61446063215</v>
      </c>
      <c r="AP265" s="0" t="n">
        <f aca="false">W_PH(AP$2,$A265)</f>
        <v>2015</v>
      </c>
      <c r="AQ265" s="0" t="n">
        <f aca="false">W_PH(AQ$2,$A265)</f>
        <v>2015</v>
      </c>
      <c r="AR265" s="0" t="n">
        <f aca="false">W_PH(AR$2,$A265)</f>
        <v>2015</v>
      </c>
      <c r="AS265" s="0" t="n">
        <f aca="false">W_PH(AS$2,$A265)</f>
        <v>2015</v>
      </c>
    </row>
    <row r="266" customFormat="false" ht="12.8" hidden="false" customHeight="false" outlineLevel="0" collapsed="false">
      <c r="A266" s="0" t="n">
        <v>1831.47033533964</v>
      </c>
      <c r="B266" s="0" t="n">
        <f aca="false">W_PH(B$2,$A266)</f>
        <v>2015</v>
      </c>
      <c r="C266" s="0" t="n">
        <f aca="false">W_PH(C$2,$A266)</f>
        <v>2622.75962423594</v>
      </c>
      <c r="D266" s="0" t="n">
        <f aca="false">W_PH(D$2,$A266)</f>
        <v>2622.75970847513</v>
      </c>
      <c r="E266" s="0" t="n">
        <f aca="false">W_PH(E$2,$A266)</f>
        <v>2622.75980242629</v>
      </c>
      <c r="F266" s="0" t="n">
        <f aca="false">W_PH(F$2,$A266)</f>
        <v>2622.75988666605</v>
      </c>
      <c r="G266" s="0" t="n">
        <f aca="false">W_PH(G$2,$A266)</f>
        <v>2622.76076792637</v>
      </c>
      <c r="H266" s="0" t="n">
        <f aca="false">W_PH(H$2,$A266)</f>
        <v>2622.7616492157</v>
      </c>
      <c r="I266" s="0" t="n">
        <f aca="false">W_PH(I$2,$A266)</f>
        <v>2622.76252082211</v>
      </c>
      <c r="J266" s="0" t="n">
        <f aca="false">W_PH(J$2,$A266)</f>
        <v>2622.7634021694</v>
      </c>
      <c r="K266" s="0" t="n">
        <f aca="false">W_PH(K$2,$A266)</f>
        <v>2622.76428354571</v>
      </c>
      <c r="L266" s="0" t="n">
        <f aca="false">W_PH(L$2,$A266)</f>
        <v>2622.76516495106</v>
      </c>
      <c r="M266" s="0" t="n">
        <f aca="false">W_PH(M$2,$A266)</f>
        <v>2622.7660366732</v>
      </c>
      <c r="N266" s="0" t="n">
        <f aca="false">W_PH(N$2,$A266)</f>
        <v>2622.76691813657</v>
      </c>
      <c r="O266" s="0" t="n">
        <f aca="false">W_PH(O$2,$A266)</f>
        <v>2622.767799629</v>
      </c>
      <c r="P266" s="0" t="n">
        <f aca="false">W_PH(P$2,$A266)</f>
        <v>2622.77658701374</v>
      </c>
      <c r="Q266" s="0" t="n">
        <f aca="false">W_PH(Q$2,$A266)</f>
        <v>2622.78538702244</v>
      </c>
      <c r="R266" s="0" t="n">
        <f aca="false">W_PH(R$2,$A266)</f>
        <v>2622.79418023586</v>
      </c>
      <c r="S266" s="0" t="n">
        <f aca="false">W_PH(S$2,$A266)</f>
        <v>2622.80297637507</v>
      </c>
      <c r="T266" s="0" t="n">
        <f aca="false">W_PH(T$2,$A266)</f>
        <v>2622.81177544798</v>
      </c>
      <c r="U266" s="0" t="n">
        <f aca="false">W_PH(U$2,$A266)</f>
        <v>2622.82057746248</v>
      </c>
      <c r="V266" s="0" t="n">
        <f aca="false">W_PH(V$2,$A266)</f>
        <v>2622.82938242648</v>
      </c>
      <c r="W266" s="0" t="n">
        <f aca="false">W_PH(W$2,$A266)</f>
        <v>2622.83819034787</v>
      </c>
      <c r="X266" s="0" t="n">
        <f aca="false">W_PH(X$2,$A266)</f>
        <v>2622.84699151513</v>
      </c>
      <c r="Y266" s="0" t="n">
        <f aca="false">W_PH(Y$2,$A266)</f>
        <v>2622.93518738368</v>
      </c>
      <c r="Z266" s="0" t="n">
        <f aca="false">W_PH(Z$2,$A266)</f>
        <v>2623.02359098466</v>
      </c>
      <c r="AA266" s="0" t="n">
        <f aca="false">W_PH(AA$2,$A266)</f>
        <v>2623.11220996414</v>
      </c>
      <c r="AB266" s="0" t="n">
        <f aca="false">W_PH(AB$2,$A266)</f>
        <v>2623.20106170905</v>
      </c>
      <c r="AC266" s="0" t="n">
        <f aca="false">W_PH(AC$2,$A266)</f>
        <v>2623.2901489901</v>
      </c>
      <c r="AD266" s="0" t="n">
        <f aca="false">W_PH(AD$2,$A266)</f>
        <v>2623.37947455275</v>
      </c>
      <c r="AE266" s="0" t="n">
        <f aca="false">W_PH(AE$2,$A266)</f>
        <v>2623.46905089114</v>
      </c>
      <c r="AF266" s="0" t="n">
        <f aca="false">W_PH(AF$2,$A266)</f>
        <v>2623.55888072365</v>
      </c>
      <c r="AG266" s="0" t="n">
        <f aca="false">W_PH(AG$2,$A266)</f>
        <v>2623.64897163825</v>
      </c>
      <c r="AH266" s="0" t="n">
        <f aca="false">W_PH(AH$2,$A266)</f>
        <v>2624.56595221115</v>
      </c>
      <c r="AI266" s="0" t="n">
        <f aca="false">W_PH(AI$2,$A266)</f>
        <v>2625.51708023564</v>
      </c>
      <c r="AJ266" s="0" t="n">
        <f aca="false">W_PH(AJ$2,$A266)</f>
        <v>2626.50941561202</v>
      </c>
      <c r="AK266" s="0" t="n">
        <f aca="false">W_PH(AK$2,$A266)</f>
        <v>2627.54993053183</v>
      </c>
      <c r="AL266" s="0" t="n">
        <f aca="false">W_PH(AL$2,$A266)</f>
        <v>2628.64550446021</v>
      </c>
      <c r="AM266" s="0" t="n">
        <f aca="false">W_PH(AM$2,$A266)</f>
        <v>2629.80297010753</v>
      </c>
      <c r="AN266" s="0" t="n">
        <f aca="false">W_PH(AN$2,$A266)</f>
        <v>2631.02908917795</v>
      </c>
      <c r="AO266" s="0" t="n">
        <f aca="false">W_PH(AO$2,$A266)</f>
        <v>2632.33053740132</v>
      </c>
      <c r="AP266" s="0" t="n">
        <f aca="false">W_PH(AP$2,$A266)</f>
        <v>2015</v>
      </c>
      <c r="AQ266" s="0" t="n">
        <f aca="false">W_PH(AQ$2,$A266)</f>
        <v>2015</v>
      </c>
      <c r="AR266" s="0" t="n">
        <f aca="false">W_PH(AR$2,$A266)</f>
        <v>2015</v>
      </c>
      <c r="AS266" s="0" t="n">
        <f aca="false">W_PH(AS$2,$A266)</f>
        <v>2015</v>
      </c>
    </row>
    <row r="267" customFormat="false" ht="12.8" hidden="false" customHeight="false" outlineLevel="0" collapsed="false">
      <c r="A267" s="0" t="n">
        <v>1835.76956147893</v>
      </c>
      <c r="B267" s="0" t="n">
        <f aca="false">W_PH(B$2,$A267)</f>
        <v>2015</v>
      </c>
      <c r="C267" s="0" t="n">
        <f aca="false">W_PH(C$2,$A267)</f>
        <v>2627.33122404728</v>
      </c>
      <c r="D267" s="0" t="n">
        <f aca="false">W_PH(D$2,$A267)</f>
        <v>2627.3313119456</v>
      </c>
      <c r="E267" s="0" t="n">
        <f aca="false">W_PH(E$2,$A267)</f>
        <v>2627.33139984421</v>
      </c>
      <c r="F267" s="0" t="n">
        <f aca="false">W_PH(F$2,$A267)</f>
        <v>2627.33149743399</v>
      </c>
      <c r="G267" s="0" t="n">
        <f aca="false">W_PH(G$2,$A267)</f>
        <v>2627.33238612938</v>
      </c>
      <c r="H267" s="0" t="n">
        <f aca="false">W_PH(H$2,$A267)</f>
        <v>2627.33328454409</v>
      </c>
      <c r="I267" s="0" t="n">
        <f aca="false">W_PH(I$2,$A267)</f>
        <v>2627.33418298724</v>
      </c>
      <c r="J267" s="0" t="n">
        <f aca="false">W_PH(J$2,$A267)</f>
        <v>2627.33507661323</v>
      </c>
      <c r="K267" s="0" t="n">
        <f aca="false">W_PH(K$2,$A267)</f>
        <v>2627.3359702676</v>
      </c>
      <c r="L267" s="0" t="n">
        <f aca="false">W_PH(L$2,$A267)</f>
        <v>2627.33686879602</v>
      </c>
      <c r="M267" s="0" t="n">
        <f aca="false">W_PH(M$2,$A267)</f>
        <v>2627.33776735291</v>
      </c>
      <c r="N267" s="0" t="n">
        <f aca="false">W_PH(N$2,$A267)</f>
        <v>2627.33865624677</v>
      </c>
      <c r="O267" s="0" t="n">
        <f aca="false">W_PH(O$2,$A267)</f>
        <v>2627.33955486054</v>
      </c>
      <c r="P267" s="0" t="n">
        <f aca="false">W_PH(P$2,$A267)</f>
        <v>2627.3485134895</v>
      </c>
      <c r="Q267" s="0" t="n">
        <f aca="false">W_PH(Q$2,$A267)</f>
        <v>2627.35747497073</v>
      </c>
      <c r="R267" s="0" t="n">
        <f aca="false">W_PH(R$2,$A267)</f>
        <v>2627.36643931207</v>
      </c>
      <c r="S267" s="0" t="n">
        <f aca="false">W_PH(S$2,$A267)</f>
        <v>2627.37540652135</v>
      </c>
      <c r="T267" s="0" t="n">
        <f aca="false">W_PH(T$2,$A267)</f>
        <v>2627.38436691096</v>
      </c>
      <c r="U267" s="0" t="n">
        <f aca="false">W_PH(U$2,$A267)</f>
        <v>2627.39333987881</v>
      </c>
      <c r="V267" s="0" t="n">
        <f aca="false">W_PH(V$2,$A267)</f>
        <v>2627.4023060411</v>
      </c>
      <c r="W267" s="0" t="n">
        <f aca="false">W_PH(W$2,$A267)</f>
        <v>2627.41128479882</v>
      </c>
      <c r="X267" s="0" t="n">
        <f aca="false">W_PH(X$2,$A267)</f>
        <v>2627.42025676507</v>
      </c>
      <c r="Y267" s="0" t="n">
        <f aca="false">W_PH(Y$2,$A267)</f>
        <v>2627.51011853787</v>
      </c>
      <c r="Z267" s="0" t="n">
        <f aca="false">W_PH(Z$2,$A267)</f>
        <v>2627.60018228692</v>
      </c>
      <c r="AA267" s="0" t="n">
        <f aca="false">W_PH(AA$2,$A267)</f>
        <v>2627.6904653075</v>
      </c>
      <c r="AB267" s="0" t="n">
        <f aca="false">W_PH(AB$2,$A267)</f>
        <v>2627.78097518687</v>
      </c>
      <c r="AC267" s="0" t="n">
        <f aca="false">W_PH(AC$2,$A267)</f>
        <v>2627.87170976586</v>
      </c>
      <c r="AD267" s="0" t="n">
        <f aca="false">W_PH(AD$2,$A267)</f>
        <v>2627.96268633434</v>
      </c>
      <c r="AE267" s="0" t="n">
        <f aca="false">W_PH(AE$2,$A267)</f>
        <v>2628.05390269897</v>
      </c>
      <c r="AF267" s="0" t="n">
        <f aca="false">W_PH(AF$2,$A267)</f>
        <v>2628.1453663863</v>
      </c>
      <c r="AG267" s="0" t="n">
        <f aca="false">W_PH(AG$2,$A267)</f>
        <v>2628.23709468103</v>
      </c>
      <c r="AH267" s="0" t="n">
        <f aca="false">W_PH(AH$2,$A267)</f>
        <v>2629.17014029544</v>
      </c>
      <c r="AI267" s="0" t="n">
        <f aca="false">W_PH(AI$2,$A267)</f>
        <v>2630.13680468593</v>
      </c>
      <c r="AJ267" s="0" t="n">
        <f aca="false">W_PH(AJ$2,$A267)</f>
        <v>2631.14409595967</v>
      </c>
      <c r="AK267" s="0" t="n">
        <f aca="false">W_PH(AK$2,$A267)</f>
        <v>2632.19892716396</v>
      </c>
      <c r="AL267" s="0" t="n">
        <f aca="false">W_PH(AL$2,$A267)</f>
        <v>2633.30814118849</v>
      </c>
      <c r="AM267" s="0" t="n">
        <f aca="false">W_PH(AM$2,$A267)</f>
        <v>2634.47851124537</v>
      </c>
      <c r="AN267" s="0" t="n">
        <f aca="false">W_PH(AN$2,$A267)</f>
        <v>2635.71673106404</v>
      </c>
      <c r="AO267" s="0" t="n">
        <f aca="false">W_PH(AO$2,$A267)</f>
        <v>2637.0294615683</v>
      </c>
      <c r="AP267" s="0" t="n">
        <f aca="false">W_PH(AP$2,$A267)</f>
        <v>2015</v>
      </c>
      <c r="AQ267" s="0" t="n">
        <f aca="false">W_PH(AQ$2,$A267)</f>
        <v>2015</v>
      </c>
      <c r="AR267" s="0" t="n">
        <f aca="false">W_PH(AR$2,$A267)</f>
        <v>2015</v>
      </c>
      <c r="AS267" s="0" t="n">
        <f aca="false">W_PH(AS$2,$A267)</f>
        <v>2015</v>
      </c>
    </row>
    <row r="268" customFormat="false" ht="12.8" hidden="false" customHeight="false" outlineLevel="0" collapsed="false">
      <c r="A268" s="0" t="n">
        <v>1840.06878761823</v>
      </c>
      <c r="B268" s="0" t="n">
        <f aca="false">W_PH(B$2,$A268)</f>
        <v>2015</v>
      </c>
      <c r="C268" s="0" t="n">
        <f aca="false">W_PH(C$2,$A268)</f>
        <v>2631.88764781591</v>
      </c>
      <c r="D268" s="0" t="n">
        <f aca="false">W_PH(D$2,$A268)</f>
        <v>2631.88773931294</v>
      </c>
      <c r="E268" s="0" t="n">
        <f aca="false">W_PH(E$2,$A268)</f>
        <v>2631.88783081025</v>
      </c>
      <c r="F268" s="0" t="n">
        <f aca="false">W_PH(F$2,$A268)</f>
        <v>2631.88792230783</v>
      </c>
      <c r="G268" s="0" t="n">
        <f aca="false">W_PH(G$2,$A268)</f>
        <v>2631.88883246384</v>
      </c>
      <c r="H268" s="0" t="n">
        <f aca="false">W_PH(H$2,$A268)</f>
        <v>2631.88974264763</v>
      </c>
      <c r="I268" s="0" t="n">
        <f aca="false">W_PH(I$2,$A268)</f>
        <v>2631.89065769448</v>
      </c>
      <c r="J268" s="0" t="n">
        <f aca="false">W_PH(J$2,$A268)</f>
        <v>2631.8915727692</v>
      </c>
      <c r="K268" s="0" t="n">
        <f aca="false">W_PH(K$2,$A268)</f>
        <v>2631.89247820113</v>
      </c>
      <c r="L268" s="0" t="n">
        <f aca="false">W_PH(L$2,$A268)</f>
        <v>2631.89339333155</v>
      </c>
      <c r="M268" s="0" t="n">
        <f aca="false">W_PH(M$2,$A268)</f>
        <v>2631.89430848987</v>
      </c>
      <c r="N268" s="0" t="n">
        <f aca="false">W_PH(N$2,$A268)</f>
        <v>2631.89521400519</v>
      </c>
      <c r="O268" s="0" t="n">
        <f aca="false">W_PH(O$2,$A268)</f>
        <v>2631.89612921926</v>
      </c>
      <c r="P268" s="0" t="n">
        <f aca="false">W_PH(P$2,$A268)</f>
        <v>2631.90525388176</v>
      </c>
      <c r="Q268" s="0" t="n">
        <f aca="false">W_PH(Q$2,$A268)</f>
        <v>2631.91438133973</v>
      </c>
      <c r="R268" s="0" t="n">
        <f aca="false">W_PH(R$2,$A268)</f>
        <v>2631.92351160093</v>
      </c>
      <c r="S268" s="0" t="n">
        <f aca="false">W_PH(S$2,$A268)</f>
        <v>2631.93263499909</v>
      </c>
      <c r="T268" s="0" t="n">
        <f aca="false">W_PH(T$2,$A268)</f>
        <v>2631.94177088924</v>
      </c>
      <c r="U268" s="0" t="n">
        <f aca="false">W_PH(U$2,$A268)</f>
        <v>2631.95089993033</v>
      </c>
      <c r="V268" s="0" t="n">
        <f aca="false">W_PH(V$2,$A268)</f>
        <v>2631.96004148042</v>
      </c>
      <c r="W268" s="0" t="n">
        <f aca="false">W_PH(W$2,$A268)</f>
        <v>2631.96917619543</v>
      </c>
      <c r="X268" s="0" t="n">
        <f aca="false">W_PH(X$2,$A268)</f>
        <v>2631.97831375863</v>
      </c>
      <c r="Y268" s="0" t="n">
        <f aca="false">W_PH(Y$2,$A268)</f>
        <v>2632.06981868873</v>
      </c>
      <c r="Z268" s="0" t="n">
        <f aca="false">W_PH(Z$2,$A268)</f>
        <v>2632.16151997638</v>
      </c>
      <c r="AA268" s="0" t="n">
        <f aca="false">W_PH(AA$2,$A268)</f>
        <v>2632.2534445252</v>
      </c>
      <c r="AB268" s="0" t="n">
        <f aca="false">W_PH(AB$2,$A268)</f>
        <v>2632.3455804577</v>
      </c>
      <c r="AC268" s="0" t="n">
        <f aca="false">W_PH(AC$2,$A268)</f>
        <v>2632.43793525796</v>
      </c>
      <c r="AD268" s="0" t="n">
        <f aca="false">W_PH(AD$2,$A268)</f>
        <v>2632.53053584729</v>
      </c>
      <c r="AE268" s="0" t="n">
        <f aca="false">W_PH(AE$2,$A268)</f>
        <v>2632.62337027526</v>
      </c>
      <c r="AF268" s="0" t="n">
        <f aca="false">W_PH(AF$2,$A268)</f>
        <v>2632.71644599851</v>
      </c>
      <c r="AG268" s="0" t="n">
        <f aca="false">W_PH(AG$2,$A268)</f>
        <v>2632.80978021045</v>
      </c>
      <c r="AH268" s="0" t="n">
        <f aca="false">W_PH(AH$2,$A268)</f>
        <v>2633.7586521322</v>
      </c>
      <c r="AI268" s="0" t="n">
        <f aca="false">W_PH(AI$2,$A268)</f>
        <v>2634.74063841242</v>
      </c>
      <c r="AJ268" s="0" t="n">
        <f aca="false">W_PH(AJ$2,$A268)</f>
        <v>2635.76267647382</v>
      </c>
      <c r="AK268" s="0" t="n">
        <f aca="false">W_PH(AK$2,$A268)</f>
        <v>2636.83162581209</v>
      </c>
      <c r="AL268" s="0" t="n">
        <f aca="false">W_PH(AL$2,$A268)</f>
        <v>2637.95428819233</v>
      </c>
      <c r="AM268" s="0" t="n">
        <f aca="false">W_PH(AM$2,$A268)</f>
        <v>2639.13737270307</v>
      </c>
      <c r="AN268" s="0" t="n">
        <f aca="false">W_PH(AN$2,$A268)</f>
        <v>2640.38754134064</v>
      </c>
      <c r="AO268" s="0" t="n">
        <f aca="false">W_PH(AO$2,$A268)</f>
        <v>2641.71139970593</v>
      </c>
      <c r="AP268" s="0" t="n">
        <f aca="false">W_PH(AP$2,$A268)</f>
        <v>2015</v>
      </c>
      <c r="AQ268" s="0" t="n">
        <f aca="false">W_PH(AQ$2,$A268)</f>
        <v>2015</v>
      </c>
      <c r="AR268" s="0" t="n">
        <f aca="false">W_PH(AR$2,$A268)</f>
        <v>2015</v>
      </c>
      <c r="AS268" s="0" t="n">
        <f aca="false">W_PH(AS$2,$A268)</f>
        <v>2015</v>
      </c>
    </row>
    <row r="269" customFormat="false" ht="12.8" hidden="false" customHeight="false" outlineLevel="0" collapsed="false">
      <c r="A269" s="0" t="n">
        <v>1844.36801375752</v>
      </c>
      <c r="B269" s="0" t="n">
        <f aca="false">W_PH(B$2,$A269)</f>
        <v>2015</v>
      </c>
      <c r="C269" s="0" t="n">
        <f aca="false">W_PH(C$2,$A269)</f>
        <v>2636.42903027032</v>
      </c>
      <c r="D269" s="0" t="n">
        <f aca="false">W_PH(D$2,$A269)</f>
        <v>2636.42912530682</v>
      </c>
      <c r="E269" s="0" t="n">
        <f aca="false">W_PH(E$2,$A269)</f>
        <v>2636.42922034359</v>
      </c>
      <c r="F269" s="0" t="n">
        <f aca="false">W_PH(F$2,$A269)</f>
        <v>2636.42930573072</v>
      </c>
      <c r="G269" s="0" t="n">
        <f aca="false">W_PH(G$2,$A269)</f>
        <v>2636.43023681633</v>
      </c>
      <c r="H269" s="0" t="n">
        <f aca="false">W_PH(H$2,$A269)</f>
        <v>2636.43116792925</v>
      </c>
      <c r="I269" s="0" t="n">
        <f aca="false">W_PH(I$2,$A269)</f>
        <v>2636.4320942444</v>
      </c>
      <c r="J269" s="0" t="n">
        <f aca="false">W_PH(J$2,$A269)</f>
        <v>2636.43302058679</v>
      </c>
      <c r="K269" s="0" t="n">
        <f aca="false">W_PH(K$2,$A269)</f>
        <v>2636.43395178158</v>
      </c>
      <c r="L269" s="0" t="n">
        <f aca="false">W_PH(L$2,$A269)</f>
        <v>2636.43488300371</v>
      </c>
      <c r="M269" s="0" t="n">
        <f aca="false">W_PH(M$2,$A269)</f>
        <v>2636.43580460273</v>
      </c>
      <c r="N269" s="0" t="n">
        <f aca="false">W_PH(N$2,$A269)</f>
        <v>2636.43673587947</v>
      </c>
      <c r="O269" s="0" t="n">
        <f aca="false">W_PH(O$2,$A269)</f>
        <v>2636.43766718356</v>
      </c>
      <c r="P269" s="0" t="n">
        <f aca="false">W_PH(P$2,$A269)</f>
        <v>2636.44695277675</v>
      </c>
      <c r="Q269" s="0" t="n">
        <f aca="false">W_PH(Q$2,$A269)</f>
        <v>2636.45624110951</v>
      </c>
      <c r="R269" s="0" t="n">
        <f aca="false">W_PH(R$2,$A269)</f>
        <v>2636.46553218951</v>
      </c>
      <c r="S269" s="0" t="n">
        <f aca="false">W_PH(S$2,$A269)</f>
        <v>2636.47482119764</v>
      </c>
      <c r="T269" s="0" t="n">
        <f aca="false">W_PH(T$2,$A269)</f>
        <v>2636.48411296761</v>
      </c>
      <c r="U269" s="0" t="n">
        <f aca="false">W_PH(U$2,$A269)</f>
        <v>2636.49341233464</v>
      </c>
      <c r="V269" s="0" t="n">
        <f aca="false">W_PH(V$2,$A269)</f>
        <v>2636.50270482379</v>
      </c>
      <c r="W269" s="0" t="n">
        <f aca="false">W_PH(W$2,$A269)</f>
        <v>2636.51200975364</v>
      </c>
      <c r="X269" s="0" t="n">
        <f aca="false">W_PH(X$2,$A269)</f>
        <v>2636.52130781944</v>
      </c>
      <c r="Y269" s="0" t="n">
        <f aca="false">W_PH(Y$2,$A269)</f>
        <v>2636.61442438356</v>
      </c>
      <c r="Z269" s="0" t="n">
        <f aca="false">W_PH(Z$2,$A269)</f>
        <v>2636.70775115084</v>
      </c>
      <c r="AA269" s="0" t="n">
        <f aca="false">W_PH(AA$2,$A269)</f>
        <v>2636.80127623913</v>
      </c>
      <c r="AB269" s="0" t="n">
        <f aca="false">W_PH(AB$2,$A269)</f>
        <v>2636.89501675914</v>
      </c>
      <c r="AC269" s="0" t="n">
        <f aca="false">W_PH(AC$2,$A269)</f>
        <v>2636.9889801478</v>
      </c>
      <c r="AD269" s="0" t="n">
        <f aca="false">W_PH(AD$2,$A269)</f>
        <v>2637.08317383308</v>
      </c>
      <c r="AE269" s="0" t="n">
        <f aca="false">W_PH(AE$2,$A269)</f>
        <v>2637.17760523404</v>
      </c>
      <c r="AF269" s="0" t="n">
        <f aca="false">W_PH(AF$2,$A269)</f>
        <v>2637.2722720439</v>
      </c>
      <c r="AG269" s="0" t="n">
        <f aca="false">W_PH(AG$2,$A269)</f>
        <v>2637.3671913661</v>
      </c>
      <c r="AH269" s="0" t="n">
        <f aca="false">W_PH(AH$2,$A269)</f>
        <v>2638.33164984707</v>
      </c>
      <c r="AI269" s="0" t="n">
        <f aca="false">W_PH(AI$2,$A269)</f>
        <v>2639.32872226762</v>
      </c>
      <c r="AJ269" s="0" t="n">
        <f aca="false">W_PH(AJ$2,$A269)</f>
        <v>2640.36529593401</v>
      </c>
      <c r="AK269" s="0" t="n">
        <f aca="false">W_PH(AK$2,$A269)</f>
        <v>2641.4481677476</v>
      </c>
      <c r="AL269" s="0" t="n">
        <f aca="false">W_PH(AL$2,$A269)</f>
        <v>2642.58408889492</v>
      </c>
      <c r="AM269" s="0" t="n">
        <f aca="false">W_PH(AM$2,$A269)</f>
        <v>2643.77973021044</v>
      </c>
      <c r="AN269" s="0" t="n">
        <f aca="false">W_PH(AN$2,$A269)</f>
        <v>2645.04168696524</v>
      </c>
      <c r="AO269" s="0" t="n">
        <f aca="false">W_PH(AO$2,$A269)</f>
        <v>2646.37651473586</v>
      </c>
      <c r="AP269" s="0" t="n">
        <f aca="false">W_PH(AP$2,$A269)</f>
        <v>2015</v>
      </c>
      <c r="AQ269" s="0" t="n">
        <f aca="false">W_PH(AQ$2,$A269)</f>
        <v>2015</v>
      </c>
      <c r="AR269" s="0" t="n">
        <f aca="false">W_PH(AR$2,$A269)</f>
        <v>2015</v>
      </c>
      <c r="AS269" s="0" t="n">
        <f aca="false">W_PH(AS$2,$A269)</f>
        <v>2015</v>
      </c>
    </row>
    <row r="270" customFormat="false" ht="12.8" hidden="false" customHeight="false" outlineLevel="0" collapsed="false">
      <c r="A270" s="0" t="n">
        <v>1848.66723989682</v>
      </c>
      <c r="B270" s="0" t="n">
        <f aca="false">W_PH(B$2,$A270)</f>
        <v>2015</v>
      </c>
      <c r="C270" s="0" t="n">
        <f aca="false">W_PH(C$2,$A270)</f>
        <v>2640.95552321664</v>
      </c>
      <c r="D270" s="0" t="n">
        <f aca="false">W_PH(D$2,$A270)</f>
        <v>2640.95561210481</v>
      </c>
      <c r="E270" s="0" t="n">
        <f aca="false">W_PH(E$2,$A270)</f>
        <v>2640.955710623</v>
      </c>
      <c r="F270" s="0" t="n">
        <f aca="false">W_PH(F$2,$A270)</f>
        <v>2640.9557995117</v>
      </c>
      <c r="G270" s="0" t="n">
        <f aca="false">W_PH(G$2,$A270)</f>
        <v>2640.9567461919</v>
      </c>
      <c r="H270" s="0" t="n">
        <f aca="false">W_PH(H$2,$A270)</f>
        <v>2640.95769289886</v>
      </c>
      <c r="I270" s="0" t="n">
        <f aca="false">W_PH(I$2,$A270)</f>
        <v>2640.95863963258</v>
      </c>
      <c r="J270" s="0" t="n">
        <f aca="false">W_PH(J$2,$A270)</f>
        <v>2640.95957676302</v>
      </c>
      <c r="K270" s="0" t="n">
        <f aca="false">W_PH(K$2,$A270)</f>
        <v>2640.9605235502</v>
      </c>
      <c r="L270" s="0" t="n">
        <f aca="false">W_PH(L$2,$A270)</f>
        <v>2640.96147036417</v>
      </c>
      <c r="M270" s="0" t="n">
        <f aca="false">W_PH(M$2,$A270)</f>
        <v>2640.96241720493</v>
      </c>
      <c r="N270" s="0" t="n">
        <f aca="false">W_PH(N$2,$A270)</f>
        <v>2640.96335444215</v>
      </c>
      <c r="O270" s="0" t="n">
        <f aca="false">W_PH(O$2,$A270)</f>
        <v>2640.96430133644</v>
      </c>
      <c r="P270" s="0" t="n">
        <f aca="false">W_PH(P$2,$A270)</f>
        <v>2640.97375249306</v>
      </c>
      <c r="Q270" s="0" t="n">
        <f aca="false">W_PH(Q$2,$A270)</f>
        <v>2640.9831967038</v>
      </c>
      <c r="R270" s="0" t="n">
        <f aca="false">W_PH(R$2,$A270)</f>
        <v>2640.99264360668</v>
      </c>
      <c r="S270" s="0" t="n">
        <f aca="false">W_PH(S$2,$A270)</f>
        <v>2641.00209320931</v>
      </c>
      <c r="T270" s="0" t="n">
        <f aca="false">W_PH(T$2,$A270)</f>
        <v>2641.01155515339</v>
      </c>
      <c r="U270" s="0" t="n">
        <f aca="false">W_PH(U$2,$A270)</f>
        <v>2641.02101017906</v>
      </c>
      <c r="V270" s="0" t="n">
        <f aca="false">W_PH(V$2,$A270)</f>
        <v>2641.03046310949</v>
      </c>
      <c r="W270" s="0" t="n">
        <f aca="false">W_PH(W$2,$A270)</f>
        <v>2641.03991876935</v>
      </c>
      <c r="X270" s="0" t="n">
        <f aca="false">W_PH(X$2,$A270)</f>
        <v>2641.04938198474</v>
      </c>
      <c r="Y270" s="0" t="n">
        <f aca="false">W_PH(Y$2,$A270)</f>
        <v>2641.14409887532</v>
      </c>
      <c r="Z270" s="0" t="n">
        <f aca="false">W_PH(Z$2,$A270)</f>
        <v>2641.23901092448</v>
      </c>
      <c r="AA270" s="0" t="n">
        <f aca="false">W_PH(AA$2,$A270)</f>
        <v>2641.3341255179</v>
      </c>
      <c r="AB270" s="0" t="n">
        <f aca="false">W_PH(AB$2,$A270)</f>
        <v>2641.42945003249</v>
      </c>
      <c r="AC270" s="0" t="n">
        <f aca="false">W_PH(AC$2,$A270)</f>
        <v>2641.52498699952</v>
      </c>
      <c r="AD270" s="0" t="n">
        <f aca="false">W_PH(AD$2,$A270)</f>
        <v>2641.62075344865</v>
      </c>
      <c r="AE270" s="0" t="n">
        <f aca="false">W_PH(AE$2,$A270)</f>
        <v>2641.71674705316</v>
      </c>
      <c r="AF270" s="0" t="n">
        <f aca="false">W_PH(AF$2,$A270)</f>
        <v>2641.81298484007</v>
      </c>
      <c r="AG270" s="0" t="n">
        <f aca="false">W_PH(AG$2,$A270)</f>
        <v>2641.90946930236</v>
      </c>
      <c r="AH270" s="0" t="n">
        <f aca="false">W_PH(AH$2,$A270)</f>
        <v>2642.88929284498</v>
      </c>
      <c r="AI270" s="0" t="n">
        <f aca="false">W_PH(AI$2,$A270)</f>
        <v>2643.90123383467</v>
      </c>
      <c r="AJ270" s="0" t="n">
        <f aca="false">W_PH(AJ$2,$A270)</f>
        <v>2644.95213002845</v>
      </c>
      <c r="AK270" s="0" t="n">
        <f aca="false">W_PH(AK$2,$A270)</f>
        <v>2646.04873128751</v>
      </c>
      <c r="AL270" s="0" t="n">
        <f aca="false">W_PH(AL$2,$A270)</f>
        <v>2647.19772390637</v>
      </c>
      <c r="AM270" s="0" t="n">
        <f aca="false">W_PH(AM$2,$A270)</f>
        <v>2648.40574587458</v>
      </c>
      <c r="AN270" s="0" t="n">
        <f aca="false">W_PH(AN$2,$A270)</f>
        <v>2649.67933138991</v>
      </c>
      <c r="AO270" s="0" t="n">
        <f aca="false">W_PH(AO$2,$A270)</f>
        <v>2651.02499679072</v>
      </c>
      <c r="AP270" s="0" t="n">
        <f aca="false">W_PH(AP$2,$A270)</f>
        <v>2015</v>
      </c>
      <c r="AQ270" s="0" t="n">
        <f aca="false">W_PH(AQ$2,$A270)</f>
        <v>2015</v>
      </c>
      <c r="AR270" s="0" t="n">
        <f aca="false">W_PH(AR$2,$A270)</f>
        <v>2015</v>
      </c>
      <c r="AS270" s="0" t="n">
        <f aca="false">W_PH(AS$2,$A270)</f>
        <v>2015</v>
      </c>
    </row>
    <row r="271" customFormat="false" ht="12.8" hidden="false" customHeight="false" outlineLevel="0" collapsed="false">
      <c r="A271" s="0" t="n">
        <v>1852.96646603611</v>
      </c>
      <c r="B271" s="0" t="n">
        <f aca="false">W_PH(B$2,$A271)</f>
        <v>2015</v>
      </c>
      <c r="C271" s="0" t="n">
        <f aca="false">W_PH(C$2,$A271)</f>
        <v>2645.46724733721</v>
      </c>
      <c r="D271" s="0" t="n">
        <f aca="false">W_PH(D$2,$A271)</f>
        <v>2645.46734927963</v>
      </c>
      <c r="E271" s="0" t="n">
        <f aca="false">W_PH(E$2,$A271)</f>
        <v>2645.46744161254</v>
      </c>
      <c r="F271" s="0" t="n">
        <f aca="false">W_PH(F$2,$A271)</f>
        <v>2645.46753875059</v>
      </c>
      <c r="G271" s="0" t="n">
        <f aca="false">W_PH(G$2,$A271)</f>
        <v>2645.46849573086</v>
      </c>
      <c r="H271" s="0" t="n">
        <f aca="false">W_PH(H$2,$A271)</f>
        <v>2645.46945754223</v>
      </c>
      <c r="I271" s="0" t="n">
        <f aca="false">W_PH(I$2,$A271)</f>
        <v>2645.47041937982</v>
      </c>
      <c r="J271" s="0" t="n">
        <f aca="false">W_PH(J$2,$A271)</f>
        <v>2645.47138124364</v>
      </c>
      <c r="K271" s="0" t="n">
        <f aca="false">W_PH(K$2,$A271)</f>
        <v>2645.47234313369</v>
      </c>
      <c r="L271" s="0" t="n">
        <f aca="false">W_PH(L$2,$A271)</f>
        <v>2645.47329543975</v>
      </c>
      <c r="M271" s="0" t="n">
        <f aca="false">W_PH(M$2,$A271)</f>
        <v>2645.47425738222</v>
      </c>
      <c r="N271" s="0" t="n">
        <f aca="false">W_PH(N$2,$A271)</f>
        <v>2645.47521935095</v>
      </c>
      <c r="O271" s="0" t="n">
        <f aca="false">W_PH(O$2,$A271)</f>
        <v>2645.47618134595</v>
      </c>
      <c r="P271" s="0" t="n">
        <f aca="false">W_PH(P$2,$A271)</f>
        <v>2645.48578351974</v>
      </c>
      <c r="Q271" s="0" t="n">
        <f aca="false">W_PH(Q$2,$A271)</f>
        <v>2645.49538832539</v>
      </c>
      <c r="R271" s="0" t="n">
        <f aca="false">W_PH(R$2,$A271)</f>
        <v>2645.50499577041</v>
      </c>
      <c r="S271" s="0" t="n">
        <f aca="false">W_PH(S$2,$A271)</f>
        <v>2645.51460586234</v>
      </c>
      <c r="T271" s="0" t="n">
        <f aca="false">W_PH(T$2,$A271)</f>
        <v>2645.52421860871</v>
      </c>
      <c r="U271" s="0" t="n">
        <f aca="false">W_PH(U$2,$A271)</f>
        <v>2645.53382440224</v>
      </c>
      <c r="V271" s="0" t="n">
        <f aca="false">W_PH(V$2,$A271)</f>
        <v>2645.54344247937</v>
      </c>
      <c r="W271" s="0" t="n">
        <f aca="false">W_PH(W$2,$A271)</f>
        <v>2645.55306323352</v>
      </c>
      <c r="X271" s="0" t="n">
        <f aca="false">W_PH(X$2,$A271)</f>
        <v>2645.56267705524</v>
      </c>
      <c r="Y271" s="0" t="n">
        <f aca="false">W_PH(Y$2,$A271)</f>
        <v>2645.65896449877</v>
      </c>
      <c r="Z271" s="0" t="n">
        <f aca="false">W_PH(Z$2,$A271)</f>
        <v>2645.75544184345</v>
      </c>
      <c r="AA271" s="0" t="n">
        <f aca="false">W_PH(AA$2,$A271)</f>
        <v>2645.85211640683</v>
      </c>
      <c r="AB271" s="0" t="n">
        <f aca="false">W_PH(AB$2,$A271)</f>
        <v>2645.94899549795</v>
      </c>
      <c r="AC271" s="0" t="n">
        <f aca="false">W_PH(AC$2,$A271)</f>
        <v>2646.04609607059</v>
      </c>
      <c r="AD271" s="0" t="n">
        <f aca="false">W_PH(AD$2,$A271)</f>
        <v>2646.14340611753</v>
      </c>
      <c r="AE271" s="0" t="n">
        <f aca="false">W_PH(AE$2,$A271)</f>
        <v>2646.24095223615</v>
      </c>
      <c r="AF271" s="0" t="n">
        <f aca="false">W_PH(AF$2,$A271)</f>
        <v>2646.33873204838</v>
      </c>
      <c r="AG271" s="0" t="n">
        <f aca="false">W_PH(AG$2,$A271)</f>
        <v>2646.43674797997</v>
      </c>
      <c r="AH271" s="0" t="n">
        <f aca="false">W_PH(AH$2,$A271)</f>
        <v>2647.4317086113</v>
      </c>
      <c r="AI271" s="0" t="n">
        <f aca="false">W_PH(AI$2,$A271)</f>
        <v>2648.45830842906</v>
      </c>
      <c r="AJ271" s="0" t="n">
        <f aca="false">W_PH(AJ$2,$A271)</f>
        <v>2649.52332167373</v>
      </c>
      <c r="AK271" s="0" t="n">
        <f aca="false">W_PH(AK$2,$A271)</f>
        <v>2650.63346161587</v>
      </c>
      <c r="AL271" s="0" t="n">
        <f aca="false">W_PH(AL$2,$A271)</f>
        <v>2651.79535038745</v>
      </c>
      <c r="AM271" s="0" t="n">
        <f aca="false">W_PH(AM$2,$A271)</f>
        <v>2653.01557345285</v>
      </c>
      <c r="AN271" s="0" t="n">
        <f aca="false">W_PH(AN$2,$A271)</f>
        <v>2654.30063465133</v>
      </c>
      <c r="AO271" s="0" t="n">
        <f aca="false">W_PH(AO$2,$A271)</f>
        <v>2655.65699639988</v>
      </c>
      <c r="AP271" s="0" t="n">
        <f aca="false">W_PH(AP$2,$A271)</f>
        <v>2015</v>
      </c>
      <c r="AQ271" s="0" t="n">
        <f aca="false">W_PH(AQ$2,$A271)</f>
        <v>2015</v>
      </c>
      <c r="AR271" s="0" t="n">
        <f aca="false">W_PH(AR$2,$A271)</f>
        <v>2015</v>
      </c>
      <c r="AS271" s="0" t="n">
        <f aca="false">W_PH(AS$2,$A271)</f>
        <v>2015</v>
      </c>
    </row>
    <row r="272" customFormat="false" ht="12.8" hidden="false" customHeight="false" outlineLevel="0" collapsed="false">
      <c r="A272" s="0" t="n">
        <v>1857.26569217541</v>
      </c>
      <c r="B272" s="0" t="n">
        <f aca="false">W_PH(B$2,$A272)</f>
        <v>2015</v>
      </c>
      <c r="C272" s="0" t="n">
        <f aca="false">W_PH(C$2,$A272)</f>
        <v>2649.96435966715</v>
      </c>
      <c r="D272" s="0" t="n">
        <f aca="false">W_PH(D$2,$A272)</f>
        <v>2649.9644649783</v>
      </c>
      <c r="E272" s="0" t="n">
        <f aca="false">W_PH(E$2,$A272)</f>
        <v>2649.96456069968</v>
      </c>
      <c r="F272" s="0" t="n">
        <f aca="false">W_PH(F$2,$A272)</f>
        <v>2649.96465642132</v>
      </c>
      <c r="G272" s="0" t="n">
        <f aca="false">W_PH(G$2,$A272)</f>
        <v>2649.96563283187</v>
      </c>
      <c r="H272" s="0" t="n">
        <f aca="false">W_PH(H$2,$A272)</f>
        <v>2649.96660926811</v>
      </c>
      <c r="I272" s="0" t="n">
        <f aca="false">W_PH(I$2,$A272)</f>
        <v>2649.96758573003</v>
      </c>
      <c r="J272" s="0" t="n">
        <f aca="false">W_PH(J$2,$A272)</f>
        <v>2649.96856221765</v>
      </c>
      <c r="K272" s="0" t="n">
        <f aca="false">W_PH(K$2,$A272)</f>
        <v>2649.96953873097</v>
      </c>
      <c r="L272" s="0" t="n">
        <f aca="false">W_PH(L$2,$A272)</f>
        <v>2649.97051047476</v>
      </c>
      <c r="M272" s="0" t="n">
        <f aca="false">W_PH(M$2,$A272)</f>
        <v>2649.9714822442</v>
      </c>
      <c r="N272" s="0" t="n">
        <f aca="false">W_PH(N$2,$A272)</f>
        <v>2649.9724588346</v>
      </c>
      <c r="O272" s="0" t="n">
        <f aca="false">W_PH(O$2,$A272)</f>
        <v>2649.97343545073</v>
      </c>
      <c r="P272" s="0" t="n">
        <f aca="false">W_PH(P$2,$A272)</f>
        <v>2649.98319343754</v>
      </c>
      <c r="Q272" s="0" t="n">
        <f aca="false">W_PH(Q$2,$A272)</f>
        <v>2649.99295400433</v>
      </c>
      <c r="R272" s="0" t="n">
        <f aca="false">W_PH(R$2,$A272)</f>
        <v>2650.00271715857</v>
      </c>
      <c r="S272" s="0" t="n">
        <f aca="false">W_PH(S$2,$A272)</f>
        <v>2650.0124829077</v>
      </c>
      <c r="T272" s="0" t="n">
        <f aca="false">W_PH(T$2,$A272)</f>
        <v>2650.02225125921</v>
      </c>
      <c r="U272" s="0" t="n">
        <f aca="false">W_PH(U$2,$A272)</f>
        <v>2650.03201262555</v>
      </c>
      <c r="V272" s="0" t="n">
        <f aca="false">W_PH(V$2,$A272)</f>
        <v>2650.04178620344</v>
      </c>
      <c r="W272" s="0" t="n">
        <f aca="false">W_PH(W$2,$A272)</f>
        <v>2650.05155280966</v>
      </c>
      <c r="X272" s="0" t="n">
        <f aca="false">W_PH(X$2,$A272)</f>
        <v>2650.06133164379</v>
      </c>
      <c r="Y272" s="0" t="n">
        <f aca="false">W_PH(Y$2,$A272)</f>
        <v>2650.15916074886</v>
      </c>
      <c r="Z272" s="0" t="n">
        <f aca="false">W_PH(Z$2,$A272)</f>
        <v>2650.25717461048</v>
      </c>
      <c r="AA272" s="0" t="n">
        <f aca="false">W_PH(AA$2,$A272)</f>
        <v>2650.35539009777</v>
      </c>
      <c r="AB272" s="0" t="n">
        <f aca="false">W_PH(AB$2,$A272)</f>
        <v>2650.45381447435</v>
      </c>
      <c r="AC272" s="0" t="n">
        <f aca="false">W_PH(AC$2,$A272)</f>
        <v>2650.55243572979</v>
      </c>
      <c r="AD272" s="0" t="n">
        <f aca="false">W_PH(AD$2,$A272)</f>
        <v>2650.65128034839</v>
      </c>
      <c r="AE272" s="0" t="n">
        <f aca="false">W_PH(AE$2,$A272)</f>
        <v>2650.75034592188</v>
      </c>
      <c r="AF272" s="0" t="n">
        <f aca="false">W_PH(AF$2,$A272)</f>
        <v>2650.84964448666</v>
      </c>
      <c r="AG272" s="0" t="n">
        <f aca="false">W_PH(AG$2,$A272)</f>
        <v>2650.94917842383</v>
      </c>
      <c r="AH272" s="0" t="n">
        <f aca="false">W_PH(AH$2,$A272)</f>
        <v>2651.95905149317</v>
      </c>
      <c r="AI272" s="0" t="n">
        <f aca="false">W_PH(AI$2,$A272)</f>
        <v>2653.00009353715</v>
      </c>
      <c r="AJ272" s="0" t="n">
        <f aca="false">W_PH(AJ$2,$A272)</f>
        <v>2654.07903080296</v>
      </c>
      <c r="AK272" s="0" t="n">
        <f aca="false">W_PH(AK$2,$A272)</f>
        <v>2655.20251099257</v>
      </c>
      <c r="AL272" s="0" t="n">
        <f aca="false">W_PH(AL$2,$A272)</f>
        <v>2656.37712240407</v>
      </c>
      <c r="AM272" s="0" t="n">
        <f aca="false">W_PH(AM$2,$A272)</f>
        <v>2657.6093887185</v>
      </c>
      <c r="AN272" s="0" t="n">
        <f aca="false">W_PH(AN$2,$A272)</f>
        <v>2658.90577373022</v>
      </c>
      <c r="AO272" s="0" t="n">
        <f aca="false">W_PH(AO$2,$A272)</f>
        <v>2660.27268117802</v>
      </c>
      <c r="AP272" s="0" t="n">
        <f aca="false">W_PH(AP$2,$A272)</f>
        <v>2015</v>
      </c>
      <c r="AQ272" s="0" t="n">
        <f aca="false">W_PH(AQ$2,$A272)</f>
        <v>2015</v>
      </c>
      <c r="AR272" s="0" t="n">
        <f aca="false">W_PH(AR$2,$A272)</f>
        <v>2015</v>
      </c>
      <c r="AS272" s="0" t="n">
        <f aca="false">W_PH(AS$2,$A272)</f>
        <v>2015</v>
      </c>
    </row>
    <row r="273" customFormat="false" ht="12.8" hidden="false" customHeight="false" outlineLevel="0" collapsed="false">
      <c r="A273" s="0" t="n">
        <v>1861.5649183147</v>
      </c>
      <c r="B273" s="0" t="n">
        <f aca="false">W_PH(B$2,$A273)</f>
        <v>2015</v>
      </c>
      <c r="C273" s="0" t="n">
        <f aca="false">W_PH(C$2,$A273)</f>
        <v>2654.44699582318</v>
      </c>
      <c r="D273" s="0" t="n">
        <f aca="false">W_PH(D$2,$A273)</f>
        <v>2654.4470948779</v>
      </c>
      <c r="E273" s="0" t="n">
        <f aca="false">W_PH(E$2,$A273)</f>
        <v>2654.44719393288</v>
      </c>
      <c r="F273" s="0" t="n">
        <f aca="false">W_PH(F$2,$A273)</f>
        <v>2654.4472929881</v>
      </c>
      <c r="G273" s="0" t="n">
        <f aca="false">W_PH(G$2,$A273)</f>
        <v>2654.44828355418</v>
      </c>
      <c r="H273" s="0" t="n">
        <f aca="false">W_PH(H$2,$A273)</f>
        <v>2654.44927414542</v>
      </c>
      <c r="I273" s="0" t="n">
        <f aca="false">W_PH(I$2,$A273)</f>
        <v>2654.45026476183</v>
      </c>
      <c r="J273" s="0" t="n">
        <f aca="false">W_PH(J$2,$A273)</f>
        <v>2654.4512554034</v>
      </c>
      <c r="K273" s="0" t="n">
        <f aca="false">W_PH(K$2,$A273)</f>
        <v>2654.45224607015</v>
      </c>
      <c r="L273" s="0" t="n">
        <f aca="false">W_PH(L$2,$A273)</f>
        <v>2654.45323676209</v>
      </c>
      <c r="M273" s="0" t="n">
        <f aca="false">W_PH(M$2,$A273)</f>
        <v>2654.45422747922</v>
      </c>
      <c r="N273" s="0" t="n">
        <f aca="false">W_PH(N$2,$A273)</f>
        <v>2654.45521822155</v>
      </c>
      <c r="O273" s="0" t="n">
        <f aca="false">W_PH(O$2,$A273)</f>
        <v>2654.45620898909</v>
      </c>
      <c r="P273" s="0" t="n">
        <f aca="false">W_PH(P$2,$A273)</f>
        <v>2654.46611805255</v>
      </c>
      <c r="Q273" s="0" t="n">
        <f aca="false">W_PH(Q$2,$A273)</f>
        <v>2654.47602964495</v>
      </c>
      <c r="R273" s="0" t="n">
        <f aca="false">W_PH(R$2,$A273)</f>
        <v>2654.48594856029</v>
      </c>
      <c r="S273" s="0" t="n">
        <f aca="false">W_PH(S$2,$A273)</f>
        <v>2654.49586523309</v>
      </c>
      <c r="T273" s="0" t="n">
        <f aca="false">W_PH(T$2,$A273)</f>
        <v>2654.50577966967</v>
      </c>
      <c r="U273" s="0" t="n">
        <f aca="false">W_PH(U$2,$A273)</f>
        <v>2654.51570145172</v>
      </c>
      <c r="V273" s="0" t="n">
        <f aca="false">W_PH(V$2,$A273)</f>
        <v>2654.52562579967</v>
      </c>
      <c r="W273" s="0" t="n">
        <f aca="false">W_PH(W$2,$A273)</f>
        <v>2654.5355527209</v>
      </c>
      <c r="X273" s="0" t="n">
        <f aca="false">W_PH(X$2,$A273)</f>
        <v>2654.54547264532</v>
      </c>
      <c r="Y273" s="0" t="n">
        <f aca="false">W_PH(Y$2,$A273)</f>
        <v>2654.64482495813</v>
      </c>
      <c r="Z273" s="0" t="n">
        <f aca="false">W_PH(Z$2,$A273)</f>
        <v>2654.74436659938</v>
      </c>
      <c r="AA273" s="0" t="n">
        <f aca="false">W_PH(AA$2,$A273)</f>
        <v>2654.84409517604</v>
      </c>
      <c r="AB273" s="0" t="n">
        <f aca="false">W_PH(AB$2,$A273)</f>
        <v>2654.94402747019</v>
      </c>
      <c r="AC273" s="0" t="n">
        <f aca="false">W_PH(AC$2,$A273)</f>
        <v>2655.04416105856</v>
      </c>
      <c r="AD273" s="0" t="n">
        <f aca="false">W_PH(AD$2,$A273)</f>
        <v>2655.14451272124</v>
      </c>
      <c r="AE273" s="0" t="n">
        <f aca="false">W_PH(AE$2,$A273)</f>
        <v>2655.24508000483</v>
      </c>
      <c r="AF273" s="0" t="n">
        <f aca="false">W_PH(AF$2,$A273)</f>
        <v>2655.34587005367</v>
      </c>
      <c r="AG273" s="0" t="n">
        <f aca="false">W_PH(AG$2,$A273)</f>
        <v>2655.44689964503</v>
      </c>
      <c r="AH273" s="0" t="n">
        <f aca="false">W_PH(AH$2,$A273)</f>
        <v>2656.47146358652</v>
      </c>
      <c r="AI273" s="0" t="n">
        <f aca="false">W_PH(AI$2,$A273)</f>
        <v>2657.52674381632</v>
      </c>
      <c r="AJ273" s="0" t="n">
        <f aca="false">W_PH(AJ$2,$A273)</f>
        <v>2658.61940465212</v>
      </c>
      <c r="AK273" s="0" t="n">
        <f aca="false">W_PH(AK$2,$A273)</f>
        <v>2659.7560387005</v>
      </c>
      <c r="AL273" s="0" t="n">
        <f aca="false">W_PH(AL$2,$A273)</f>
        <v>2660.94320098492</v>
      </c>
      <c r="AM273" s="0" t="n">
        <f aca="false">W_PH(AM$2,$A273)</f>
        <v>2662.18734400587</v>
      </c>
      <c r="AN273" s="0" t="n">
        <f aca="false">W_PH(AN$2,$A273)</f>
        <v>2663.49489181951</v>
      </c>
      <c r="AO273" s="0" t="n">
        <f aca="false">W_PH(AO$2,$A273)</f>
        <v>2664.87222037353</v>
      </c>
      <c r="AP273" s="0" t="n">
        <f aca="false">W_PH(AP$2,$A273)</f>
        <v>2015</v>
      </c>
      <c r="AQ273" s="0" t="n">
        <f aca="false">W_PH(AQ$2,$A273)</f>
        <v>2015</v>
      </c>
      <c r="AR273" s="0" t="n">
        <f aca="false">W_PH(AR$2,$A273)</f>
        <v>2015</v>
      </c>
      <c r="AS273" s="0" t="n">
        <f aca="false">W_PH(AS$2,$A273)</f>
        <v>2015</v>
      </c>
    </row>
    <row r="274" customFormat="false" ht="12.8" hidden="false" customHeight="false" outlineLevel="0" collapsed="false">
      <c r="A274" s="0" t="n">
        <v>1865.864144454</v>
      </c>
      <c r="B274" s="0" t="n">
        <f aca="false">W_PH(B$2,$A274)</f>
        <v>2015</v>
      </c>
      <c r="C274" s="0" t="n">
        <f aca="false">W_PH(C$2,$A274)</f>
        <v>2658.9152702469</v>
      </c>
      <c r="D274" s="0" t="n">
        <f aca="false">W_PH(D$2,$A274)</f>
        <v>2658.9153725814</v>
      </c>
      <c r="E274" s="0" t="n">
        <f aca="false">W_PH(E$2,$A274)</f>
        <v>2658.91547491615</v>
      </c>
      <c r="F274" s="0" t="n">
        <f aca="false">W_PH(F$2,$A274)</f>
        <v>2658.91557725114</v>
      </c>
      <c r="G274" s="0" t="n">
        <f aca="false">W_PH(G$2,$A274)</f>
        <v>2658.91658151241</v>
      </c>
      <c r="H274" s="0" t="n">
        <f aca="false">W_PH(H$2,$A274)</f>
        <v>2658.91758579832</v>
      </c>
      <c r="I274" s="0" t="n">
        <f aca="false">W_PH(I$2,$A274)</f>
        <v>2658.91859010888</v>
      </c>
      <c r="J274" s="0" t="n">
        <f aca="false">W_PH(J$2,$A274)</f>
        <v>2658.9195992198</v>
      </c>
      <c r="K274" s="0" t="n">
        <f aca="false">W_PH(K$2,$A274)</f>
        <v>2658.92060835545</v>
      </c>
      <c r="L274" s="0" t="n">
        <f aca="false">W_PH(L$2,$A274)</f>
        <v>2658.92161274007</v>
      </c>
      <c r="M274" s="0" t="n">
        <f aca="false">W_PH(M$2,$A274)</f>
        <v>2658.92261714937</v>
      </c>
      <c r="N274" s="0" t="n">
        <f aca="false">W_PH(N$2,$A274)</f>
        <v>2658.92362158335</v>
      </c>
      <c r="O274" s="0" t="n">
        <f aca="false">W_PH(O$2,$A274)</f>
        <v>2658.92462604202</v>
      </c>
      <c r="P274" s="0" t="n">
        <f aca="false">W_PH(P$2,$A274)</f>
        <v>2658.93469109336</v>
      </c>
      <c r="Q274" s="0" t="n">
        <f aca="false">W_PH(Q$2,$A274)</f>
        <v>2658.9447586248</v>
      </c>
      <c r="R274" s="0" t="n">
        <f aca="false">W_PH(R$2,$A274)</f>
        <v>2658.9548190898</v>
      </c>
      <c r="S274" s="0" t="n">
        <f aca="false">W_PH(S$2,$A274)</f>
        <v>2658.9648916027</v>
      </c>
      <c r="T274" s="0" t="n">
        <f aca="false">W_PH(T$2,$A274)</f>
        <v>2658.97495706242</v>
      </c>
      <c r="U274" s="0" t="n">
        <f aca="false">W_PH(U$2,$A274)</f>
        <v>2658.98502503014</v>
      </c>
      <c r="V274" s="0" t="n">
        <f aca="false">W_PH(V$2,$A274)</f>
        <v>2658.99509551317</v>
      </c>
      <c r="W274" s="0" t="n">
        <f aca="false">W_PH(W$2,$A274)</f>
        <v>2659.00516851885</v>
      </c>
      <c r="X274" s="0" t="n">
        <f aca="false">W_PH(X$2,$A274)</f>
        <v>2659.01524405448</v>
      </c>
      <c r="Y274" s="0" t="n">
        <f aca="false">W_PH(Y$2,$A274)</f>
        <v>2659.11610190858</v>
      </c>
      <c r="Z274" s="0" t="n">
        <f aca="false">W_PH(Z$2,$A274)</f>
        <v>2659.21713460203</v>
      </c>
      <c r="AA274" s="0" t="n">
        <f aca="false">W_PH(AA$2,$A274)</f>
        <v>2659.3183588332</v>
      </c>
      <c r="AB274" s="0" t="n">
        <f aca="false">W_PH(AB$2,$A274)</f>
        <v>2659.41978173451</v>
      </c>
      <c r="AC274" s="0" t="n">
        <f aca="false">W_PH(AC$2,$A274)</f>
        <v>2659.52140083776</v>
      </c>
      <c r="AD274" s="0" t="n">
        <f aca="false">W_PH(AD$2,$A274)</f>
        <v>2659.62323283862</v>
      </c>
      <c r="AE274" s="0" t="n">
        <f aca="false">W_PH(AE$2,$A274)</f>
        <v>2659.72528004271</v>
      </c>
      <c r="AF274" s="0" t="n">
        <f aca="false">W_PH(AF$2,$A274)</f>
        <v>2659.82754473402</v>
      </c>
      <c r="AG274" s="0" t="n">
        <f aca="false">W_PH(AG$2,$A274)</f>
        <v>2659.93004841601</v>
      </c>
      <c r="AH274" s="0" t="n">
        <f aca="false">W_PH(AH$2,$A274)</f>
        <v>2660.96909427958</v>
      </c>
      <c r="AI274" s="0" t="n">
        <f aca="false">W_PH(AI$2,$A274)</f>
        <v>2662.0384015295</v>
      </c>
      <c r="AJ274" s="0" t="n">
        <f aca="false">W_PH(AJ$2,$A274)</f>
        <v>2663.144587769</v>
      </c>
      <c r="AK274" s="0" t="n">
        <f aca="false">W_PH(AK$2,$A274)</f>
        <v>2664.29420110411</v>
      </c>
      <c r="AL274" s="0" t="n">
        <f aca="false">W_PH(AL$2,$A274)</f>
        <v>2665.49372420247</v>
      </c>
      <c r="AM274" s="0" t="n">
        <f aca="false">W_PH(AM$2,$A274)</f>
        <v>2666.74958859386</v>
      </c>
      <c r="AN274" s="0" t="n">
        <f aca="false">W_PH(AN$2,$A274)</f>
        <v>2668.06816434911</v>
      </c>
      <c r="AO274" s="0" t="n">
        <f aca="false">W_PH(AO$2,$A274)</f>
        <v>2669.45576967337</v>
      </c>
      <c r="AP274" s="0" t="n">
        <f aca="false">W_PH(AP$2,$A274)</f>
        <v>2015</v>
      </c>
      <c r="AQ274" s="0" t="n">
        <f aca="false">W_PH(AQ$2,$A274)</f>
        <v>2015</v>
      </c>
      <c r="AR274" s="0" t="n">
        <f aca="false">W_PH(AR$2,$A274)</f>
        <v>2015</v>
      </c>
      <c r="AS274" s="0" t="n">
        <f aca="false">W_PH(AS$2,$A274)</f>
        <v>2015</v>
      </c>
    </row>
    <row r="275" customFormat="false" ht="12.8" hidden="false" customHeight="false" outlineLevel="0" collapsed="false">
      <c r="A275" s="0" t="n">
        <v>1870.16337059329</v>
      </c>
      <c r="B275" s="0" t="n">
        <f aca="false">W_PH(B$2,$A275)</f>
        <v>2015</v>
      </c>
      <c r="C275" s="0" t="n">
        <f aca="false">W_PH(C$2,$A275)</f>
        <v>2663.36933363257</v>
      </c>
      <c r="D275" s="0" t="n">
        <f aca="false">W_PH(D$2,$A275)</f>
        <v>2663.36943919408</v>
      </c>
      <c r="E275" s="0" t="n">
        <f aca="false">W_PH(E$2,$A275)</f>
        <v>2663.36954475583</v>
      </c>
      <c r="F275" s="0" t="n">
        <f aca="false">W_PH(F$2,$A275)</f>
        <v>2663.36964078588</v>
      </c>
      <c r="G275" s="0" t="n">
        <f aca="false">W_PH(G$2,$A275)</f>
        <v>2663.37066782332</v>
      </c>
      <c r="H275" s="0" t="n">
        <f aca="false">W_PH(H$2,$A275)</f>
        <v>2663.37168535294</v>
      </c>
      <c r="I275" s="0" t="n">
        <f aca="false">W_PH(I$2,$A275)</f>
        <v>2663.3727029067</v>
      </c>
      <c r="J275" s="0" t="n">
        <f aca="false">W_PH(J$2,$A275)</f>
        <v>2663.37373001685</v>
      </c>
      <c r="K275" s="0" t="n">
        <f aca="false">W_PH(K$2,$A275)</f>
        <v>2663.37474761898</v>
      </c>
      <c r="L275" s="0" t="n">
        <f aca="false">W_PH(L$2,$A275)</f>
        <v>2663.37576524528</v>
      </c>
      <c r="M275" s="0" t="n">
        <f aca="false">W_PH(M$2,$A275)</f>
        <v>2663.37679242819</v>
      </c>
      <c r="N275" s="0" t="n">
        <f aca="false">W_PH(N$2,$A275)</f>
        <v>2663.37781010291</v>
      </c>
      <c r="O275" s="0" t="n">
        <f aca="false">W_PH(O$2,$A275)</f>
        <v>2663.37882780181</v>
      </c>
      <c r="P275" s="0" t="n">
        <f aca="false">W_PH(P$2,$A275)</f>
        <v>2663.38904425568</v>
      </c>
      <c r="Q275" s="0" t="n">
        <f aca="false">W_PH(Q$2,$A275)</f>
        <v>2663.39925360761</v>
      </c>
      <c r="R275" s="0" t="n">
        <f aca="false">W_PH(R$2,$A275)</f>
        <v>2663.40946539744</v>
      </c>
      <c r="S275" s="0" t="n">
        <f aca="false">W_PH(S$2,$A275)</f>
        <v>2663.41967963243</v>
      </c>
      <c r="T275" s="0" t="n">
        <f aca="false">W_PH(T$2,$A275)</f>
        <v>2663.42989631983</v>
      </c>
      <c r="U275" s="0" t="n">
        <f aca="false">W_PH(U$2,$A275)</f>
        <v>2663.44011546691</v>
      </c>
      <c r="V275" s="0" t="n">
        <f aca="false">W_PH(V$2,$A275)</f>
        <v>2663.4503370809</v>
      </c>
      <c r="W275" s="0" t="n">
        <f aca="false">W_PH(W$2,$A275)</f>
        <v>2663.46056116908</v>
      </c>
      <c r="X275" s="0" t="n">
        <f aca="false">W_PH(X$2,$A275)</f>
        <v>2663.47078296931</v>
      </c>
      <c r="Y275" s="0" t="n">
        <f aca="false">W_PH(Y$2,$A275)</f>
        <v>2663.57311514375</v>
      </c>
      <c r="Z275" s="0" t="n">
        <f aca="false">W_PH(Z$2,$A275)</f>
        <v>2663.67562213536</v>
      </c>
      <c r="AA275" s="0" t="n">
        <f aca="false">W_PH(AA$2,$A275)</f>
        <v>2663.77832534892</v>
      </c>
      <c r="AB275" s="0" t="n">
        <f aca="false">W_PH(AB$2,$A275)</f>
        <v>2663.88121274088</v>
      </c>
      <c r="AC275" s="0" t="n">
        <f aca="false">W_PH(AC$2,$A275)</f>
        <v>2663.98429135137</v>
      </c>
      <c r="AD275" s="0" t="n">
        <f aca="false">W_PH(AD$2,$A275)</f>
        <v>2664.08758737273</v>
      </c>
      <c r="AE275" s="0" t="n">
        <f aca="false">W_PH(AE$2,$A275)</f>
        <v>2664.19108869747</v>
      </c>
      <c r="AF275" s="0" t="n">
        <f aca="false">W_PH(AF$2,$A275)</f>
        <v>2664.29481193654</v>
      </c>
      <c r="AG275" s="0" t="n">
        <f aca="false">W_PH(AG$2,$A275)</f>
        <v>2664.39875451991</v>
      </c>
      <c r="AH275" s="0" t="n">
        <f aca="false">W_PH(AH$2,$A275)</f>
        <v>2665.45207603124</v>
      </c>
      <c r="AI275" s="0" t="n">
        <f aca="false">W_PH(AI$2,$A275)</f>
        <v>2666.5352161879</v>
      </c>
      <c r="AJ275" s="0" t="n">
        <f aca="false">W_PH(AJ$2,$A275)</f>
        <v>2667.65473187882</v>
      </c>
      <c r="AK275" s="0" t="n">
        <f aca="false">W_PH(AK$2,$A275)</f>
        <v>2668.81714185308</v>
      </c>
      <c r="AL275" s="0" t="n">
        <f aca="false">W_PH(AL$2,$A275)</f>
        <v>2670.02886708315</v>
      </c>
      <c r="AM275" s="0" t="n">
        <f aca="false">W_PH(AM$2,$A275)</f>
        <v>2671.29628877011</v>
      </c>
      <c r="AN275" s="0" t="n">
        <f aca="false">W_PH(AN$2,$A275)</f>
        <v>2672.62573323639</v>
      </c>
      <c r="AO275" s="0" t="n">
        <f aca="false">W_PH(AO$2,$A275)</f>
        <v>2674.02347648509</v>
      </c>
      <c r="AP275" s="0" t="n">
        <f aca="false">W_PH(AP$2,$A275)</f>
        <v>2015</v>
      </c>
      <c r="AQ275" s="0" t="n">
        <f aca="false">W_PH(AQ$2,$A275)</f>
        <v>2015</v>
      </c>
      <c r="AR275" s="0" t="n">
        <f aca="false">W_PH(AR$2,$A275)</f>
        <v>2015</v>
      </c>
      <c r="AS275" s="0" t="n">
        <f aca="false">W_PH(AS$2,$A275)</f>
        <v>2015</v>
      </c>
    </row>
    <row r="276" customFormat="false" ht="12.8" hidden="false" customHeight="false" outlineLevel="0" collapsed="false">
      <c r="A276" s="0" t="n">
        <v>1874.46259673259</v>
      </c>
      <c r="B276" s="0" t="n">
        <f aca="false">W_PH(B$2,$A276)</f>
        <v>2015</v>
      </c>
      <c r="C276" s="0" t="n">
        <f aca="false">W_PH(C$2,$A276)</f>
        <v>2667.80931550944</v>
      </c>
      <c r="D276" s="0" t="n">
        <f aca="false">W_PH(D$2,$A276)</f>
        <v>2667.80941473325</v>
      </c>
      <c r="E276" s="0" t="n">
        <f aca="false">W_PH(E$2,$A276)</f>
        <v>2667.80952347027</v>
      </c>
      <c r="F276" s="0" t="n">
        <f aca="false">W_PH(F$2,$A276)</f>
        <v>2667.80962269454</v>
      </c>
      <c r="G276" s="0" t="n">
        <f aca="false">W_PH(G$2,$A276)</f>
        <v>2667.81066251526</v>
      </c>
      <c r="H276" s="0" t="n">
        <f aca="false">W_PH(H$2,$A276)</f>
        <v>2667.81169284662</v>
      </c>
      <c r="I276" s="0" t="n">
        <f aca="false">W_PH(I$2,$A276)</f>
        <v>2667.81273271483</v>
      </c>
      <c r="J276" s="0" t="n">
        <f aca="false">W_PH(J$2,$A276)</f>
        <v>2667.81376309355</v>
      </c>
      <c r="K276" s="0" t="n">
        <f aca="false">W_PH(K$2,$A276)</f>
        <v>2667.81480300927</v>
      </c>
      <c r="L276" s="0" t="n">
        <f aca="false">W_PH(L$2,$A276)</f>
        <v>2667.81583343538</v>
      </c>
      <c r="M276" s="0" t="n">
        <f aca="false">W_PH(M$2,$A276)</f>
        <v>2667.81687339864</v>
      </c>
      <c r="N276" s="0" t="n">
        <f aca="false">W_PH(N$2,$A276)</f>
        <v>2667.81790862894</v>
      </c>
      <c r="O276" s="0" t="n">
        <f aca="false">W_PH(O$2,$A276)</f>
        <v>2667.81894388299</v>
      </c>
      <c r="P276" s="0" t="n">
        <f aca="false">W_PH(P$2,$A276)</f>
        <v>2667.82929773163</v>
      </c>
      <c r="Q276" s="0" t="n">
        <f aca="false">W_PH(Q$2,$A276)</f>
        <v>2667.8396539636</v>
      </c>
      <c r="R276" s="0" t="n">
        <f aca="false">W_PH(R$2,$A276)</f>
        <v>2667.85002210174</v>
      </c>
      <c r="S276" s="0" t="n">
        <f aca="false">W_PH(S$2,$A276)</f>
        <v>2667.86038312265</v>
      </c>
      <c r="T276" s="0" t="n">
        <f aca="false">W_PH(T$2,$A276)</f>
        <v>2667.87074178998</v>
      </c>
      <c r="U276" s="0" t="n">
        <f aca="false">W_PH(U$2,$A276)</f>
        <v>2667.88110286874</v>
      </c>
      <c r="V276" s="0" t="n">
        <f aca="false">W_PH(V$2,$A276)</f>
        <v>2667.89147112528</v>
      </c>
      <c r="W276" s="0" t="n">
        <f aca="false">W_PH(W$2,$A276)</f>
        <v>2667.90184180831</v>
      </c>
      <c r="X276" s="0" t="n">
        <f aca="false">W_PH(X$2,$A276)</f>
        <v>2667.91220540531</v>
      </c>
      <c r="Y276" s="0" t="n">
        <f aca="false">W_PH(Y$2,$A276)</f>
        <v>2668.01599578631</v>
      </c>
      <c r="Z276" s="0" t="n">
        <f aca="false">W_PH(Z$2,$A276)</f>
        <v>2668.11996106073</v>
      </c>
      <c r="AA276" s="0" t="n">
        <f aca="false">W_PH(AA$2,$A276)</f>
        <v>2668.22410824124</v>
      </c>
      <c r="AB276" s="0" t="n">
        <f aca="false">W_PH(AB$2,$A276)</f>
        <v>2668.328444333</v>
      </c>
      <c r="AC276" s="0" t="n">
        <f aca="false">W_PH(AC$2,$A276)</f>
        <v>2668.43296678021</v>
      </c>
      <c r="AD276" s="0" t="n">
        <f aca="false">W_PH(AD$2,$A276)</f>
        <v>2668.53770167349</v>
      </c>
      <c r="AE276" s="0" t="n">
        <f aca="false">W_PH(AE$2,$A276)</f>
        <v>2668.64263688196</v>
      </c>
      <c r="AF276" s="0" t="n">
        <f aca="false">W_PH(AF$2,$A276)</f>
        <v>2668.74778893468</v>
      </c>
      <c r="AG276" s="0" t="n">
        <f aca="false">W_PH(AG$2,$A276)</f>
        <v>2668.85316479988</v>
      </c>
      <c r="AH276" s="0" t="n">
        <f aca="false">W_PH(AH$2,$A276)</f>
        <v>2669.92054870129</v>
      </c>
      <c r="AI276" s="0" t="n">
        <f aca="false">W_PH(AI$2,$A276)</f>
        <v>2671.0173202154</v>
      </c>
      <c r="AJ276" s="0" t="n">
        <f aca="false">W_PH(AJ$2,$A276)</f>
        <v>2672.14998605355</v>
      </c>
      <c r="AK276" s="0" t="n">
        <f aca="false">W_PH(AK$2,$A276)</f>
        <v>2673.32500683433</v>
      </c>
      <c r="AL276" s="0" t="n">
        <f aca="false">W_PH(AL$2,$A276)</f>
        <v>2674.54876193059</v>
      </c>
      <c r="AM276" s="0" t="n">
        <f aca="false">W_PH(AM$2,$A276)</f>
        <v>2675.82759276025</v>
      </c>
      <c r="AN276" s="0" t="n">
        <f aca="false">W_PH(AN$2,$A276)</f>
        <v>2677.16776252594</v>
      </c>
      <c r="AO276" s="0" t="n">
        <f aca="false">W_PH(AO$2,$A276)</f>
        <v>2678.57551539619</v>
      </c>
      <c r="AP276" s="0" t="n">
        <f aca="false">W_PH(AP$2,$A276)</f>
        <v>2015</v>
      </c>
      <c r="AQ276" s="0" t="n">
        <f aca="false">W_PH(AQ$2,$A276)</f>
        <v>2015</v>
      </c>
      <c r="AR276" s="0" t="n">
        <f aca="false">W_PH(AR$2,$A276)</f>
        <v>2015</v>
      </c>
      <c r="AS276" s="0" t="n">
        <f aca="false">W_PH(AS$2,$A276)</f>
        <v>2015</v>
      </c>
    </row>
    <row r="277" customFormat="false" ht="12.8" hidden="false" customHeight="false" outlineLevel="0" collapsed="false">
      <c r="A277" s="0" t="n">
        <v>1878.76182287188</v>
      </c>
      <c r="B277" s="0" t="n">
        <f aca="false">W_PH(B$2,$A277)</f>
        <v>2015</v>
      </c>
      <c r="C277" s="0" t="n">
        <f aca="false">W_PH(C$2,$A277)</f>
        <v>2672.23533397002</v>
      </c>
      <c r="D277" s="0" t="n">
        <f aca="false">W_PH(D$2,$A277)</f>
        <v>2672.23543633713</v>
      </c>
      <c r="E277" s="0" t="n">
        <f aca="false">W_PH(E$2,$A277)</f>
        <v>2672.23554345157</v>
      </c>
      <c r="F277" s="0" t="n">
        <f aca="false">W_PH(F$2,$A277)</f>
        <v>2672.23565056624</v>
      </c>
      <c r="G277" s="0" t="n">
        <f aca="false">W_PH(G$2,$A277)</f>
        <v>2672.23670273738</v>
      </c>
      <c r="H277" s="0" t="n">
        <f aca="false">W_PH(H$2,$A277)</f>
        <v>2672.23774543745</v>
      </c>
      <c r="I277" s="0" t="n">
        <f aca="false">W_PH(I$2,$A277)</f>
        <v>2672.23879765509</v>
      </c>
      <c r="J277" s="0" t="n">
        <f aca="false">W_PH(J$2,$A277)</f>
        <v>2672.23984989601</v>
      </c>
      <c r="K277" s="0" t="n">
        <f aca="false">W_PH(K$2,$A277)</f>
        <v>2672.24089741297</v>
      </c>
      <c r="L277" s="0" t="n">
        <f aca="false">W_PH(L$2,$A277)</f>
        <v>2672.24194495317</v>
      </c>
      <c r="M277" s="0" t="n">
        <f aca="false">W_PH(M$2,$A277)</f>
        <v>2672.24299726396</v>
      </c>
      <c r="N277" s="0" t="n">
        <f aca="false">W_PH(N$2,$A277)</f>
        <v>2672.24404959807</v>
      </c>
      <c r="O277" s="0" t="n">
        <f aca="false">W_PH(O$2,$A277)</f>
        <v>2672.2450972081</v>
      </c>
      <c r="P277" s="0" t="n">
        <f aca="false">W_PH(P$2,$A277)</f>
        <v>2672.25559832815</v>
      </c>
      <c r="Q277" s="0" t="n">
        <f aca="false">W_PH(Q$2,$A277)</f>
        <v>2672.26609703758</v>
      </c>
      <c r="R277" s="0" t="n">
        <f aca="false">W_PH(R$2,$A277)</f>
        <v>2672.27660283934</v>
      </c>
      <c r="S277" s="0" t="n">
        <f aca="false">W_PH(S$2,$A277)</f>
        <v>2672.2871109928</v>
      </c>
      <c r="T277" s="0" t="n">
        <f aca="false">W_PH(T$2,$A277)</f>
        <v>2672.29761675602</v>
      </c>
      <c r="U277" s="0" t="n">
        <f aca="false">W_PH(U$2,$A277)</f>
        <v>2672.30812488454</v>
      </c>
      <c r="V277" s="0" t="n">
        <f aca="false">W_PH(V$2,$A277)</f>
        <v>2672.31863538548</v>
      </c>
      <c r="W277" s="0" t="n">
        <f aca="false">W_PH(W$2,$A277)</f>
        <v>2672.32914826595</v>
      </c>
      <c r="X277" s="0" t="n">
        <f aca="false">W_PH(X$2,$A277)</f>
        <v>2672.33965403227</v>
      </c>
      <c r="Y277" s="0" t="n">
        <f aca="false">W_PH(Y$2,$A277)</f>
        <v>2672.44488248483</v>
      </c>
      <c r="Z277" s="0" t="n">
        <f aca="false">W_PH(Z$2,$A277)</f>
        <v>2672.5502717253</v>
      </c>
      <c r="AA277" s="0" t="n">
        <f aca="false">W_PH(AA$2,$A277)</f>
        <v>2672.6558477256</v>
      </c>
      <c r="AB277" s="0" t="n">
        <f aca="false">W_PH(AB$2,$A277)</f>
        <v>2672.76160792118</v>
      </c>
      <c r="AC277" s="0" t="n">
        <f aca="false">W_PH(AC$2,$A277)</f>
        <v>2672.86755924775</v>
      </c>
      <c r="AD277" s="0" t="n">
        <f aca="false">W_PH(AD$2,$A277)</f>
        <v>2672.97370863378</v>
      </c>
      <c r="AE277" s="0" t="n">
        <f aca="false">W_PH(AE$2,$A277)</f>
        <v>2673.08005822683</v>
      </c>
      <c r="AF277" s="0" t="n">
        <f aca="false">W_PH(AF$2,$A277)</f>
        <v>2673.18661970808</v>
      </c>
      <c r="AG277" s="0" t="n">
        <f aca="false">W_PH(AG$2,$A277)</f>
        <v>2673.29340476488</v>
      </c>
      <c r="AH277" s="0" t="n">
        <f aca="false">W_PH(AH$2,$A277)</f>
        <v>2674.37464505754</v>
      </c>
      <c r="AI277" s="0" t="n">
        <f aca="false">W_PH(AI$2,$A277)</f>
        <v>2675.48485339888</v>
      </c>
      <c r="AJ277" s="0" t="n">
        <f aca="false">W_PH(AJ$2,$A277)</f>
        <v>2676.63048213959</v>
      </c>
      <c r="AK277" s="0" t="n">
        <f aca="false">W_PH(AK$2,$A277)</f>
        <v>2677.81793926769</v>
      </c>
      <c r="AL277" s="0" t="n">
        <f aca="false">W_PH(AL$2,$A277)</f>
        <v>2679.05356312272</v>
      </c>
      <c r="AM277" s="0" t="n">
        <f aca="false">W_PH(AM$2,$A277)</f>
        <v>2680.3436359648</v>
      </c>
      <c r="AN277" s="0" t="n">
        <f aca="false">W_PH(AN$2,$A277)</f>
        <v>2681.69439312263</v>
      </c>
      <c r="AO277" s="0" t="n">
        <f aca="false">W_PH(AO$2,$A277)</f>
        <v>2683.11202244821</v>
      </c>
      <c r="AP277" s="0" t="n">
        <f aca="false">W_PH(AP$2,$A277)</f>
        <v>2015</v>
      </c>
      <c r="AQ277" s="0" t="n">
        <f aca="false">W_PH(AQ$2,$A277)</f>
        <v>2015</v>
      </c>
      <c r="AR277" s="0" t="n">
        <f aca="false">W_PH(AR$2,$A277)</f>
        <v>2015</v>
      </c>
      <c r="AS277" s="0" t="n">
        <f aca="false">W_PH(AS$2,$A277)</f>
        <v>2015</v>
      </c>
    </row>
    <row r="278" customFormat="false" ht="12.8" hidden="false" customHeight="false" outlineLevel="0" collapsed="false">
      <c r="A278" s="0" t="n">
        <v>1883.06104901118</v>
      </c>
      <c r="B278" s="0" t="n">
        <f aca="false">W_PH(B$2,$A278)</f>
        <v>2015</v>
      </c>
      <c r="C278" s="0" t="n">
        <f aca="false">W_PH(C$2,$A278)</f>
        <v>2676.64752423111</v>
      </c>
      <c r="D278" s="0" t="n">
        <f aca="false">W_PH(D$2,$A278)</f>
        <v>2676.64762969157</v>
      </c>
      <c r="E278" s="0" t="n">
        <f aca="false">W_PH(E$2,$A278)</f>
        <v>2676.64773515226</v>
      </c>
      <c r="F278" s="0" t="n">
        <f aca="false">W_PH(F$2,$A278)</f>
        <v>2676.64784061317</v>
      </c>
      <c r="G278" s="0" t="n">
        <f aca="false">W_PH(G$2,$A278)</f>
        <v>2676.64890471044</v>
      </c>
      <c r="H278" s="0" t="n">
        <f aca="false">W_PH(H$2,$A278)</f>
        <v>2676.6499688305</v>
      </c>
      <c r="I278" s="0" t="n">
        <f aca="false">W_PH(I$2,$A278)</f>
        <v>2676.65103297337</v>
      </c>
      <c r="J278" s="0" t="n">
        <f aca="false">W_PH(J$2,$A278)</f>
        <v>2676.65209713904</v>
      </c>
      <c r="K278" s="0" t="n">
        <f aca="false">W_PH(K$2,$A278)</f>
        <v>2676.65316132754</v>
      </c>
      <c r="L278" s="0" t="n">
        <f aca="false">W_PH(L$2,$A278)</f>
        <v>2676.65422553886</v>
      </c>
      <c r="M278" s="0" t="n">
        <f aca="false">W_PH(M$2,$A278)</f>
        <v>2676.655289773</v>
      </c>
      <c r="N278" s="0" t="n">
        <f aca="false">W_PH(N$2,$A278)</f>
        <v>2676.65635402999</v>
      </c>
      <c r="O278" s="0" t="n">
        <f aca="false">W_PH(O$2,$A278)</f>
        <v>2676.65741830982</v>
      </c>
      <c r="P278" s="0" t="n">
        <f aca="false">W_PH(P$2,$A278)</f>
        <v>2676.66806236619</v>
      </c>
      <c r="Q278" s="0" t="n">
        <f aca="false">W_PH(Q$2,$A278)</f>
        <v>2676.67870397609</v>
      </c>
      <c r="R278" s="0" t="n">
        <f aca="false">W_PH(R$2,$A278)</f>
        <v>2676.68934788469</v>
      </c>
      <c r="S278" s="0" t="n">
        <f aca="false">W_PH(S$2,$A278)</f>
        <v>2676.69999883847</v>
      </c>
      <c r="T278" s="0" t="n">
        <f aca="false">W_PH(T$2,$A278)</f>
        <v>2676.71064262624</v>
      </c>
      <c r="U278" s="0" t="n">
        <f aca="false">W_PH(U$2,$A278)</f>
        <v>2676.7212934733</v>
      </c>
      <c r="V278" s="0" t="n">
        <f aca="false">W_PH(V$2,$A278)</f>
        <v>2676.73194664731</v>
      </c>
      <c r="W278" s="0" t="n">
        <f aca="false">W_PH(W$2,$A278)</f>
        <v>2676.74259741459</v>
      </c>
      <c r="X278" s="0" t="n">
        <f aca="false">W_PH(X$2,$A278)</f>
        <v>2676.75325052227</v>
      </c>
      <c r="Y278" s="0" t="n">
        <f aca="false">W_PH(Y$2,$A278)</f>
        <v>2676.85989289614</v>
      </c>
      <c r="Z278" s="0" t="n">
        <f aca="false">W_PH(Z$2,$A278)</f>
        <v>2676.9666915853</v>
      </c>
      <c r="AA278" s="0" t="n">
        <f aca="false">W_PH(AA$2,$A278)</f>
        <v>2677.07367246254</v>
      </c>
      <c r="AB278" s="0" t="n">
        <f aca="false">W_PH(AB$2,$A278)</f>
        <v>2677.18084242925</v>
      </c>
      <c r="AC278" s="0" t="n">
        <f aca="false">W_PH(AC$2,$A278)</f>
        <v>2677.28818934968</v>
      </c>
      <c r="AD278" s="0" t="n">
        <f aca="false">W_PH(AD$2,$A278)</f>
        <v>2677.39573435407</v>
      </c>
      <c r="AE278" s="0" t="n">
        <f aca="false">W_PH(AE$2,$A278)</f>
        <v>2677.50347954875</v>
      </c>
      <c r="AF278" s="0" t="n">
        <f aca="false">W_PH(AF$2,$A278)</f>
        <v>2677.61143655462</v>
      </c>
      <c r="AG278" s="0" t="n">
        <f aca="false">W_PH(AG$2,$A278)</f>
        <v>2677.71960745745</v>
      </c>
      <c r="AH278" s="0" t="n">
        <f aca="false">W_PH(AH$2,$A278)</f>
        <v>2678.81450528774</v>
      </c>
      <c r="AI278" s="0" t="n">
        <f aca="false">W_PH(AI$2,$A278)</f>
        <v>2679.93795316405</v>
      </c>
      <c r="AJ278" s="0" t="n">
        <f aca="false">W_PH(AJ$2,$A278)</f>
        <v>2681.09636418858</v>
      </c>
      <c r="AK278" s="0" t="n">
        <f aca="false">W_PH(AK$2,$A278)</f>
        <v>2682.29608956665</v>
      </c>
      <c r="AL278" s="0" t="n">
        <f aca="false">W_PH(AL$2,$A278)</f>
        <v>2683.54341237047</v>
      </c>
      <c r="AM278" s="0" t="n">
        <f aca="false">W_PH(AM$2,$A278)</f>
        <v>2684.84459074893</v>
      </c>
      <c r="AN278" s="0" t="n">
        <f aca="false">W_PH(AN$2,$A278)</f>
        <v>2686.20578802708</v>
      </c>
      <c r="AO278" s="0" t="n">
        <f aca="false">W_PH(AO$2,$A278)</f>
        <v>2687.63316091438</v>
      </c>
      <c r="AP278" s="0" t="n">
        <f aca="false">W_PH(AP$2,$A278)</f>
        <v>2015</v>
      </c>
      <c r="AQ278" s="0" t="n">
        <f aca="false">W_PH(AQ$2,$A278)</f>
        <v>2015</v>
      </c>
      <c r="AR278" s="0" t="n">
        <f aca="false">W_PH(AR$2,$A278)</f>
        <v>2015</v>
      </c>
      <c r="AS278" s="0" t="n">
        <f aca="false">W_PH(AS$2,$A278)</f>
        <v>2015</v>
      </c>
    </row>
    <row r="279" customFormat="false" ht="12.8" hidden="false" customHeight="false" outlineLevel="0" collapsed="false">
      <c r="A279" s="0" t="n">
        <v>1887.36027515047</v>
      </c>
      <c r="B279" s="0" t="n">
        <f aca="false">W_PH(B$2,$A279)</f>
        <v>2015</v>
      </c>
      <c r="C279" s="0" t="n">
        <f aca="false">W_PH(C$2,$A279)</f>
        <v>2681.04601011663</v>
      </c>
      <c r="D279" s="0" t="n">
        <f aca="false">W_PH(D$2,$A279)</f>
        <v>2681.04611389286</v>
      </c>
      <c r="E279" s="0" t="n">
        <f aca="false">W_PH(E$2,$A279)</f>
        <v>2681.04621766931</v>
      </c>
      <c r="F279" s="0" t="n">
        <f aca="false">W_PH(F$2,$A279)</f>
        <v>2681.04632617456</v>
      </c>
      <c r="G279" s="0" t="n">
        <f aca="false">W_PH(G$2,$A279)</f>
        <v>2681.04741123943</v>
      </c>
      <c r="H279" s="0" t="n">
        <f aca="false">W_PH(H$2,$A279)</f>
        <v>2681.04848686944</v>
      </c>
      <c r="I279" s="0" t="n">
        <f aca="false">W_PH(I$2,$A279)</f>
        <v>2681.04956252178</v>
      </c>
      <c r="J279" s="0" t="n">
        <f aca="false">W_PH(J$2,$A279)</f>
        <v>2681.05063819645</v>
      </c>
      <c r="K279" s="0" t="n">
        <f aca="false">W_PH(K$2,$A279)</f>
        <v>2681.05172335097</v>
      </c>
      <c r="L279" s="0" t="n">
        <f aca="false">W_PH(L$2,$A279)</f>
        <v>2681.0527990704</v>
      </c>
      <c r="M279" s="0" t="n">
        <f aca="false">W_PH(M$2,$A279)</f>
        <v>2681.05387481218</v>
      </c>
      <c r="N279" s="0" t="n">
        <f aca="false">W_PH(N$2,$A279)</f>
        <v>2681.05495057632</v>
      </c>
      <c r="O279" s="0" t="n">
        <f aca="false">W_PH(O$2,$A279)</f>
        <v>2681.0560358206</v>
      </c>
      <c r="P279" s="0" t="n">
        <f aca="false">W_PH(P$2,$A279)</f>
        <v>2681.06681383504</v>
      </c>
      <c r="Q279" s="0" t="n">
        <f aca="false">W_PH(Q$2,$A279)</f>
        <v>2681.07759409667</v>
      </c>
      <c r="R279" s="0" t="n">
        <f aca="false">W_PH(R$2,$A279)</f>
        <v>2681.08838134236</v>
      </c>
      <c r="S279" s="0" t="n">
        <f aca="false">W_PH(S$2,$A279)</f>
        <v>2681.0991708499</v>
      </c>
      <c r="T279" s="0" t="n">
        <f aca="false">W_PH(T$2,$A279)</f>
        <v>2681.10995789577</v>
      </c>
      <c r="U279" s="0" t="n">
        <f aca="false">W_PH(U$2,$A279)</f>
        <v>2681.12074721683</v>
      </c>
      <c r="V279" s="0" t="n">
        <f aca="false">W_PH(V$2,$A279)</f>
        <v>2681.13153882007</v>
      </c>
      <c r="W279" s="0" t="n">
        <f aca="false">W_PH(W$2,$A279)</f>
        <v>2681.14233271251</v>
      </c>
      <c r="X279" s="0" t="n">
        <f aca="false">W_PH(X$2,$A279)</f>
        <v>2681.1531194375</v>
      </c>
      <c r="Y279" s="0" t="n">
        <f aca="false">W_PH(Y$2,$A279)</f>
        <v>2681.26115232488</v>
      </c>
      <c r="Z279" s="0" t="n">
        <f aca="false">W_PH(Z$2,$A279)</f>
        <v>2681.36934662934</v>
      </c>
      <c r="AA279" s="0" t="n">
        <f aca="false">W_PH(AA$2,$A279)</f>
        <v>2681.47771866213</v>
      </c>
      <c r="AB279" s="0" t="n">
        <f aca="false">W_PH(AB$2,$A279)</f>
        <v>2681.5862657744</v>
      </c>
      <c r="AC279" s="0" t="n">
        <f aca="false">W_PH(AC$2,$A279)</f>
        <v>2681.69499478049</v>
      </c>
      <c r="AD279" s="0" t="n">
        <f aca="false">W_PH(AD$2,$A279)</f>
        <v>2681.80391248792</v>
      </c>
      <c r="AE279" s="0" t="n">
        <f aca="false">W_PH(AE$2,$A279)</f>
        <v>2681.91303520639</v>
      </c>
      <c r="AF279" s="0" t="n">
        <f aca="false">W_PH(AF$2,$A279)</f>
        <v>2682.02236023371</v>
      </c>
      <c r="AG279" s="0" t="n">
        <f aca="false">W_PH(AG$2,$A279)</f>
        <v>2682.13189435694</v>
      </c>
      <c r="AH279" s="0" t="n">
        <f aca="false">W_PH(AH$2,$A279)</f>
        <v>2683.24025298196</v>
      </c>
      <c r="AI279" s="0" t="n">
        <f aca="false">W_PH(AI$2,$A279)</f>
        <v>2684.37675945449</v>
      </c>
      <c r="AJ279" s="0" t="n">
        <f aca="false">W_PH(AJ$2,$A279)</f>
        <v>2685.54777377962</v>
      </c>
      <c r="AK279" s="0" t="n">
        <f aca="false">W_PH(AK$2,$A279)</f>
        <v>2686.75958596306</v>
      </c>
      <c r="AL279" s="0" t="n">
        <f aca="false">W_PH(AL$2,$A279)</f>
        <v>2688.01845857405</v>
      </c>
      <c r="AM279" s="0" t="n">
        <f aca="false">W_PH(AM$2,$A279)</f>
        <v>2689.33057696714</v>
      </c>
      <c r="AN279" s="0" t="n">
        <f aca="false">W_PH(AN$2,$A279)</f>
        <v>2690.70208730192</v>
      </c>
      <c r="AO279" s="0" t="n">
        <f aca="false">W_PH(AO$2,$A279)</f>
        <v>2692.13908094138</v>
      </c>
      <c r="AP279" s="0" t="n">
        <f aca="false">W_PH(AP$2,$A279)</f>
        <v>2015</v>
      </c>
      <c r="AQ279" s="0" t="n">
        <f aca="false">W_PH(AQ$2,$A279)</f>
        <v>2015</v>
      </c>
      <c r="AR279" s="0" t="n">
        <f aca="false">W_PH(AR$2,$A279)</f>
        <v>2015</v>
      </c>
      <c r="AS279" s="0" t="n">
        <f aca="false">W_PH(AS$2,$A279)</f>
        <v>2015</v>
      </c>
    </row>
    <row r="280" customFormat="false" ht="12.8" hidden="false" customHeight="false" outlineLevel="0" collapsed="false">
      <c r="A280" s="0" t="n">
        <v>1891.65950128977</v>
      </c>
      <c r="B280" s="0" t="n">
        <f aca="false">W_PH(B$2,$A280)</f>
        <v>2015</v>
      </c>
      <c r="C280" s="0" t="n">
        <f aca="false">W_PH(C$2,$A280)</f>
        <v>2685.43090890949</v>
      </c>
      <c r="D280" s="0" t="n">
        <f aca="false">W_PH(D$2,$A280)</f>
        <v>2685.43101569112</v>
      </c>
      <c r="E280" s="0" t="n">
        <f aca="false">W_PH(E$2,$A280)</f>
        <v>2685.43112719243</v>
      </c>
      <c r="F280" s="0" t="n">
        <f aca="false">W_PH(F$2,$A280)</f>
        <v>2685.43123869396</v>
      </c>
      <c r="G280" s="0" t="n">
        <f aca="false">W_PH(G$2,$A280)</f>
        <v>2685.43232540447</v>
      </c>
      <c r="H280" s="0" t="n">
        <f aca="false">W_PH(H$2,$A280)</f>
        <v>2685.4334215759</v>
      </c>
      <c r="I280" s="0" t="n">
        <f aca="false">W_PH(I$2,$A280)</f>
        <v>2685.43450833019</v>
      </c>
      <c r="J280" s="0" t="n">
        <f aca="false">W_PH(J$2,$A280)</f>
        <v>2685.43560454553</v>
      </c>
      <c r="K280" s="0" t="n">
        <f aca="false">W_PH(K$2,$A280)</f>
        <v>2685.43669134363</v>
      </c>
      <c r="L280" s="0" t="n">
        <f aca="false">W_PH(L$2,$A280)</f>
        <v>2685.43778760292</v>
      </c>
      <c r="M280" s="0" t="n">
        <f aca="false">W_PH(M$2,$A280)</f>
        <v>2685.43887444484</v>
      </c>
      <c r="N280" s="0" t="n">
        <f aca="false">W_PH(N$2,$A280)</f>
        <v>2685.4399707481</v>
      </c>
      <c r="O280" s="0" t="n">
        <f aca="false">W_PH(O$2,$A280)</f>
        <v>2685.44106235364</v>
      </c>
      <c r="P280" s="0" t="n">
        <f aca="false">W_PH(P$2,$A280)</f>
        <v>2685.45198433867</v>
      </c>
      <c r="Q280" s="0" t="n">
        <f aca="false">W_PH(Q$2,$A280)</f>
        <v>2685.46290380805</v>
      </c>
      <c r="R280" s="0" t="n">
        <f aca="false">W_PH(R$2,$A280)</f>
        <v>2685.47382548847</v>
      </c>
      <c r="S280" s="0" t="n">
        <f aca="false">W_PH(S$2,$A280)</f>
        <v>2685.48474938687</v>
      </c>
      <c r="T280" s="0" t="n">
        <f aca="false">W_PH(T$2,$A280)</f>
        <v>2685.49567551018</v>
      </c>
      <c r="U280" s="0" t="n">
        <f aca="false">W_PH(U$2,$A280)</f>
        <v>2685.50660386535</v>
      </c>
      <c r="V280" s="0" t="n">
        <f aca="false">W_PH(V$2,$A280)</f>
        <v>2685.51752973729</v>
      </c>
      <c r="W280" s="0" t="n">
        <f aca="false">W_PH(W$2,$A280)</f>
        <v>2685.52845785432</v>
      </c>
      <c r="X280" s="0" t="n">
        <f aca="false">W_PH(X$2,$A280)</f>
        <v>2685.539392946</v>
      </c>
      <c r="Y280" s="0" t="n">
        <f aca="false">W_PH(Y$2,$A280)</f>
        <v>2685.64879367003</v>
      </c>
      <c r="Z280" s="0" t="n">
        <f aca="false">W_PH(Z$2,$A280)</f>
        <v>2685.75836097178</v>
      </c>
      <c r="AA280" s="0" t="n">
        <f aca="false">W_PH(AA$2,$A280)</f>
        <v>2685.86809217442</v>
      </c>
      <c r="AB280" s="0" t="n">
        <f aca="false">W_PH(AB$2,$A280)</f>
        <v>2685.97800351054</v>
      </c>
      <c r="AC280" s="0" t="n">
        <f aca="false">W_PH(AC$2,$A280)</f>
        <v>2686.08809227706</v>
      </c>
      <c r="AD280" s="0" t="n">
        <f aca="false">W_PH(AD$2,$A280)</f>
        <v>2686.19837470598</v>
      </c>
      <c r="AE280" s="0" t="n">
        <f aca="false">W_PH(AE$2,$A280)</f>
        <v>2686.30884806806</v>
      </c>
      <c r="AF280" s="0" t="n">
        <f aca="false">W_PH(AF$2,$A280)</f>
        <v>2686.41951909833</v>
      </c>
      <c r="AG280" s="0" t="n">
        <f aca="false">W_PH(AG$2,$A280)</f>
        <v>2686.53040402805</v>
      </c>
      <c r="AH280" s="0" t="n">
        <f aca="false">W_PH(AH$2,$A280)</f>
        <v>2687.652028814</v>
      </c>
      <c r="AI280" s="0" t="n">
        <f aca="false">W_PH(AI$2,$A280)</f>
        <v>2688.80140028868</v>
      </c>
      <c r="AJ280" s="0" t="n">
        <f aca="false">W_PH(AJ$2,$A280)</f>
        <v>2689.98484038597</v>
      </c>
      <c r="AK280" s="0" t="n">
        <f aca="false">W_PH(AK$2,$A280)</f>
        <v>2691.20858355423</v>
      </c>
      <c r="AL280" s="0" t="n">
        <f aca="false">W_PH(AL$2,$A280)</f>
        <v>2692.47883814603</v>
      </c>
      <c r="AM280" s="0" t="n">
        <f aca="false">W_PH(AM$2,$A280)</f>
        <v>2693.80176134729</v>
      </c>
      <c r="AN280" s="0" t="n">
        <f aca="false">W_PH(AN$2,$A280)</f>
        <v>2695.18343321637</v>
      </c>
      <c r="AO280" s="0" t="n">
        <f aca="false">W_PH(AO$2,$A280)</f>
        <v>2696.62990977205</v>
      </c>
      <c r="AP280" s="0" t="n">
        <f aca="false">W_PH(AP$2,$A280)</f>
        <v>2015</v>
      </c>
      <c r="AQ280" s="0" t="n">
        <f aca="false">W_PH(AQ$2,$A280)</f>
        <v>2015</v>
      </c>
      <c r="AR280" s="0" t="n">
        <f aca="false">W_PH(AR$2,$A280)</f>
        <v>2015</v>
      </c>
      <c r="AS280" s="0" t="n">
        <f aca="false">W_PH(AS$2,$A280)</f>
        <v>2015</v>
      </c>
    </row>
    <row r="281" customFormat="false" ht="12.8" hidden="false" customHeight="false" outlineLevel="0" collapsed="false">
      <c r="A281" s="0" t="n">
        <v>1895.95872742906</v>
      </c>
      <c r="B281" s="0" t="n">
        <f aca="false">W_PH(B$2,$A281)</f>
        <v>2015</v>
      </c>
      <c r="C281" s="0" t="n">
        <f aca="false">W_PH(C$2,$A281)</f>
        <v>2689.80235498721</v>
      </c>
      <c r="D281" s="0" t="n">
        <f aca="false">W_PH(D$2,$A281)</f>
        <v>2689.80246001657</v>
      </c>
      <c r="E281" s="0" t="n">
        <f aca="false">W_PH(E$2,$A281)</f>
        <v>2689.80257446699</v>
      </c>
      <c r="F281" s="0" t="n">
        <f aca="false">W_PH(F$2,$A281)</f>
        <v>2689.80267949677</v>
      </c>
      <c r="G281" s="0" t="n">
        <f aca="false">W_PH(G$2,$A281)</f>
        <v>2689.80378633155</v>
      </c>
      <c r="H281" s="0" t="n">
        <f aca="false">W_PH(H$2,$A281)</f>
        <v>2689.80489318784</v>
      </c>
      <c r="I281" s="0" t="n">
        <f aca="false">W_PH(I$2,$A281)</f>
        <v>2689.80600006565</v>
      </c>
      <c r="J281" s="0" t="n">
        <f aca="false">W_PH(J$2,$A281)</f>
        <v>2689.807106965</v>
      </c>
      <c r="K281" s="0" t="n">
        <f aca="false">W_PH(K$2,$A281)</f>
        <v>2689.80821388589</v>
      </c>
      <c r="L281" s="0" t="n">
        <f aca="false">W_PH(L$2,$A281)</f>
        <v>2689.80931140708</v>
      </c>
      <c r="M281" s="0" t="n">
        <f aca="false">W_PH(M$2,$A281)</f>
        <v>2689.810418371</v>
      </c>
      <c r="N281" s="0" t="n">
        <f aca="false">W_PH(N$2,$A281)</f>
        <v>2689.81152535649</v>
      </c>
      <c r="O281" s="0" t="n">
        <f aca="false">W_PH(O$2,$A281)</f>
        <v>2689.81263236354</v>
      </c>
      <c r="P281" s="0" t="n">
        <f aca="false">W_PH(P$2,$A281)</f>
        <v>2689.82368477758</v>
      </c>
      <c r="Q281" s="0" t="n">
        <f aca="false">W_PH(Q$2,$A281)</f>
        <v>2689.83473935331</v>
      </c>
      <c r="R281" s="0" t="n">
        <f aca="false">W_PH(R$2,$A281)</f>
        <v>2689.84580552095</v>
      </c>
      <c r="S281" s="0" t="n">
        <f aca="false">W_PH(S$2,$A281)</f>
        <v>2689.85686444133</v>
      </c>
      <c r="T281" s="0" t="n">
        <f aca="false">W_PH(T$2,$A281)</f>
        <v>2689.86792554403</v>
      </c>
      <c r="U281" s="0" t="n">
        <f aca="false">W_PH(U$2,$A281)</f>
        <v>2689.87898412331</v>
      </c>
      <c r="V281" s="0" t="n">
        <f aca="false">W_PH(V$2,$A281)</f>
        <v>2689.89004489802</v>
      </c>
      <c r="W281" s="0" t="n">
        <f aca="false">W_PH(W$2,$A281)</f>
        <v>2689.90111258829</v>
      </c>
      <c r="X281" s="0" t="n">
        <f aca="false">W_PH(X$2,$A281)</f>
        <v>2689.91218248837</v>
      </c>
      <c r="Y281" s="0" t="n">
        <f aca="false">W_PH(Y$2,$A281)</f>
        <v>2690.0229385061</v>
      </c>
      <c r="Z281" s="0" t="n">
        <f aca="false">W_PH(Z$2,$A281)</f>
        <v>2690.13384745287</v>
      </c>
      <c r="AA281" s="0" t="n">
        <f aca="false">W_PH(AA$2,$A281)</f>
        <v>2690.24493020737</v>
      </c>
      <c r="AB281" s="0" t="n">
        <f aca="false">W_PH(AB$2,$A281)</f>
        <v>2690.35617932245</v>
      </c>
      <c r="AC281" s="0" t="n">
        <f aca="false">W_PH(AC$2,$A281)</f>
        <v>2690.46761568265</v>
      </c>
      <c r="AD281" s="0" t="n">
        <f aca="false">W_PH(AD$2,$A281)</f>
        <v>2690.57923180882</v>
      </c>
      <c r="AE281" s="0" t="n">
        <f aca="false">W_PH(AE$2,$A281)</f>
        <v>2690.69103438445</v>
      </c>
      <c r="AF281" s="0" t="n">
        <f aca="false">W_PH(AF$2,$A281)</f>
        <v>2690.80303956417</v>
      </c>
      <c r="AG281" s="0" t="n">
        <f aca="false">W_PH(AG$2,$A281)</f>
        <v>2690.91525403744</v>
      </c>
      <c r="AH281" s="0" t="n">
        <f aca="false">W_PH(AH$2,$A281)</f>
        <v>2692.04995697627</v>
      </c>
      <c r="AI281" s="0" t="n">
        <f aca="false">W_PH(AI$2,$A281)</f>
        <v>2693.21202074042</v>
      </c>
      <c r="AJ281" s="0" t="n">
        <f aca="false">W_PH(AJ$2,$A281)</f>
        <v>2694.40769604255</v>
      </c>
      <c r="AK281" s="0" t="n">
        <f aca="false">W_PH(AK$2,$A281)</f>
        <v>2695.64320564704</v>
      </c>
      <c r="AL281" s="0" t="n">
        <f aca="false">W_PH(AL$2,$A281)</f>
        <v>2696.92469966258</v>
      </c>
      <c r="AM281" s="0" t="n">
        <f aca="false">W_PH(AM$2,$A281)</f>
        <v>2698.2582683328</v>
      </c>
      <c r="AN281" s="0" t="n">
        <f aca="false">W_PH(AN$2,$A281)</f>
        <v>2699.64996530011</v>
      </c>
      <c r="AO281" s="0" t="n">
        <f aca="false">W_PH(AO$2,$A281)</f>
        <v>2701.10582178195</v>
      </c>
      <c r="AP281" s="0" t="n">
        <f aca="false">W_PH(AP$2,$A281)</f>
        <v>2015</v>
      </c>
      <c r="AQ281" s="0" t="n">
        <f aca="false">W_PH(AQ$2,$A281)</f>
        <v>2015</v>
      </c>
      <c r="AR281" s="0" t="n">
        <f aca="false">W_PH(AR$2,$A281)</f>
        <v>2015</v>
      </c>
      <c r="AS281" s="0" t="n">
        <f aca="false">W_PH(AS$2,$A281)</f>
        <v>2015</v>
      </c>
    </row>
    <row r="282" customFormat="false" ht="12.8" hidden="false" customHeight="false" outlineLevel="0" collapsed="false">
      <c r="A282" s="0" t="n">
        <v>1900.25795356836</v>
      </c>
      <c r="B282" s="0" t="n">
        <f aca="false">W_PH(B$2,$A282)</f>
        <v>2015</v>
      </c>
      <c r="C282" s="0" t="n">
        <f aca="false">W_PH(C$2,$A282)</f>
        <v>2694.16045736627</v>
      </c>
      <c r="D282" s="0" t="n">
        <f aca="false">W_PH(D$2,$A282)</f>
        <v>2694.16057001786</v>
      </c>
      <c r="E282" s="0" t="n">
        <f aca="false">W_PH(E$2,$A282)</f>
        <v>2694.16067796817</v>
      </c>
      <c r="F282" s="0" t="n">
        <f aca="false">W_PH(F$2,$A282)</f>
        <v>2694.16079532166</v>
      </c>
      <c r="G282" s="0" t="n">
        <f aca="false">W_PH(G$2,$A282)</f>
        <v>2694.16191245036</v>
      </c>
      <c r="H282" s="0" t="n">
        <f aca="false">W_PH(H$2,$A282)</f>
        <v>2694.16302960012</v>
      </c>
      <c r="I282" s="0" t="n">
        <f aca="false">W_PH(I$2,$A282)</f>
        <v>2694.16414677096</v>
      </c>
      <c r="J282" s="0" t="n">
        <f aca="false">W_PH(J$2,$A282)</f>
        <v>2694.16526396287</v>
      </c>
      <c r="K282" s="0" t="n">
        <f aca="false">W_PH(K$2,$A282)</f>
        <v>2694.1663858775</v>
      </c>
      <c r="L282" s="0" t="n">
        <f aca="false">W_PH(L$2,$A282)</f>
        <v>2694.16750781329</v>
      </c>
      <c r="M282" s="0" t="n">
        <f aca="false">W_PH(M$2,$A282)</f>
        <v>2694.16862506854</v>
      </c>
      <c r="N282" s="0" t="n">
        <f aca="false">W_PH(N$2,$A282)</f>
        <v>2694.16974234489</v>
      </c>
      <c r="O282" s="0" t="n">
        <f aca="false">W_PH(O$2,$A282)</f>
        <v>2694.17085964236</v>
      </c>
      <c r="P282" s="0" t="n">
        <f aca="false">W_PH(P$2,$A282)</f>
        <v>2694.18205258799</v>
      </c>
      <c r="Q282" s="0" t="n">
        <f aca="false">W_PH(Q$2,$A282)</f>
        <v>2694.19323825004</v>
      </c>
      <c r="R282" s="0" t="n">
        <f aca="false">W_PH(R$2,$A282)</f>
        <v>2694.20443544426</v>
      </c>
      <c r="S282" s="0" t="n">
        <f aca="false">W_PH(S$2,$A282)</f>
        <v>2694.2156253673</v>
      </c>
      <c r="T282" s="0" t="n">
        <f aca="false">W_PH(T$2,$A282)</f>
        <v>2694.22681743073</v>
      </c>
      <c r="U282" s="0" t="n">
        <f aca="false">W_PH(U$2,$A282)</f>
        <v>2694.23801164137</v>
      </c>
      <c r="V282" s="0" t="n">
        <f aca="false">W_PH(V$2,$A282)</f>
        <v>2694.24920800604</v>
      </c>
      <c r="W282" s="0" t="n">
        <f aca="false">W_PH(W$2,$A282)</f>
        <v>2694.26041123581</v>
      </c>
      <c r="X282" s="0" t="n">
        <f aca="false">W_PH(X$2,$A282)</f>
        <v>2694.27161192928</v>
      </c>
      <c r="Y282" s="0" t="n">
        <f aca="false">W_PH(Y$2,$A282)</f>
        <v>2694.38369721371</v>
      </c>
      <c r="Z282" s="0" t="n">
        <f aca="false">W_PH(Z$2,$A282)</f>
        <v>2694.4959454548</v>
      </c>
      <c r="AA282" s="0" t="n">
        <f aca="false">W_PH(AA$2,$A282)</f>
        <v>2694.60834919037</v>
      </c>
      <c r="AB282" s="0" t="n">
        <f aca="false">W_PH(AB$2,$A282)</f>
        <v>2694.72092449965</v>
      </c>
      <c r="AC282" s="0" t="n">
        <f aca="false">W_PH(AC$2,$A282)</f>
        <v>2694.83367804013</v>
      </c>
      <c r="AD282" s="0" t="n">
        <f aca="false">W_PH(AD$2,$A282)</f>
        <v>2694.94661173966</v>
      </c>
      <c r="AE282" s="0" t="n">
        <f aca="false">W_PH(AE$2,$A282)</f>
        <v>2695.05973696007</v>
      </c>
      <c r="AF282" s="0" t="n">
        <f aca="false">W_PH(AF$2,$A282)</f>
        <v>2695.17304615141</v>
      </c>
      <c r="AG282" s="0" t="n">
        <f aca="false">W_PH(AG$2,$A282)</f>
        <v>2695.28656958079</v>
      </c>
      <c r="AH282" s="0" t="n">
        <f aca="false">W_PH(AH$2,$A282)</f>
        <v>2696.43415966518</v>
      </c>
      <c r="AI282" s="0" t="n">
        <f aca="false">W_PH(AI$2,$A282)</f>
        <v>2697.60873005</v>
      </c>
      <c r="AJ282" s="0" t="n">
        <f aca="false">W_PH(AJ$2,$A282)</f>
        <v>2698.81648499307</v>
      </c>
      <c r="AK282" s="0" t="n">
        <f aca="false">W_PH(AK$2,$A282)</f>
        <v>2700.06360239518</v>
      </c>
      <c r="AL282" s="0" t="n">
        <f aca="false">W_PH(AL$2,$A282)</f>
        <v>2701.35615980568</v>
      </c>
      <c r="AM282" s="0" t="n">
        <f aca="false">W_PH(AM$2,$A282)</f>
        <v>2702.70023956369</v>
      </c>
      <c r="AN282" s="0" t="n">
        <f aca="false">W_PH(AN$2,$A282)</f>
        <v>2704.1018401676</v>
      </c>
      <c r="AO282" s="0" t="n">
        <f aca="false">W_PH(AO$2,$A282)</f>
        <v>2705.56693858171</v>
      </c>
      <c r="AP282" s="0" t="n">
        <f aca="false">W_PH(AP$2,$A282)</f>
        <v>2015</v>
      </c>
      <c r="AQ282" s="0" t="n">
        <f aca="false">W_PH(AQ$2,$A282)</f>
        <v>2015</v>
      </c>
      <c r="AR282" s="0" t="n">
        <f aca="false">W_PH(AR$2,$A282)</f>
        <v>2015</v>
      </c>
      <c r="AS282" s="0" t="n">
        <f aca="false">W_PH(AS$2,$A282)</f>
        <v>2015</v>
      </c>
    </row>
    <row r="283" customFormat="false" ht="12.8" hidden="false" customHeight="false" outlineLevel="0" collapsed="false">
      <c r="A283" s="0" t="n">
        <v>1904.55717970765</v>
      </c>
      <c r="B283" s="0" t="n">
        <f aca="false">W_PH(B$2,$A283)</f>
        <v>2015</v>
      </c>
      <c r="C283" s="0" t="n">
        <f aca="false">W_PH(C$2,$A283)</f>
        <v>2698.50534219632</v>
      </c>
      <c r="D283" s="0" t="n">
        <f aca="false">W_PH(D$2,$A283)</f>
        <v>2698.50545302161</v>
      </c>
      <c r="E283" s="0" t="n">
        <f aca="false">W_PH(E$2,$A283)</f>
        <v>2698.50557323234</v>
      </c>
      <c r="F283" s="0" t="n">
        <f aca="false">W_PH(F$2,$A283)</f>
        <v>2698.50568405804</v>
      </c>
      <c r="G283" s="0" t="n">
        <f aca="false">W_PH(G$2,$A283)</f>
        <v>2698.50681109687</v>
      </c>
      <c r="H283" s="0" t="n">
        <f aca="false">W_PH(H$2,$A283)</f>
        <v>2698.50794754168</v>
      </c>
      <c r="I283" s="0" t="n">
        <f aca="false">W_PH(I$2,$A283)</f>
        <v>2698.50907462182</v>
      </c>
      <c r="J283" s="0" t="n">
        <f aca="false">W_PH(J$2,$A283)</f>
        <v>2698.51021110807</v>
      </c>
      <c r="K283" s="0" t="n">
        <f aca="false">W_PH(K$2,$A283)</f>
        <v>2698.51133822953</v>
      </c>
      <c r="L283" s="0" t="n">
        <f aca="false">W_PH(L$2,$A283)</f>
        <v>2698.51247475725</v>
      </c>
      <c r="M283" s="0" t="n">
        <f aca="false">W_PH(M$2,$A283)</f>
        <v>2698.51360192008</v>
      </c>
      <c r="N283" s="0" t="n">
        <f aca="false">W_PH(N$2,$A283)</f>
        <v>2698.51473848929</v>
      </c>
      <c r="O283" s="0" t="n">
        <f aca="false">W_PH(O$2,$A283)</f>
        <v>2698.5158656935</v>
      </c>
      <c r="P283" s="0" t="n">
        <f aca="false">W_PH(P$2,$A283)</f>
        <v>2698.52718580571</v>
      </c>
      <c r="Q283" s="0" t="n">
        <f aca="false">W_PH(Q$2,$A283)</f>
        <v>2698.53850799803</v>
      </c>
      <c r="R283" s="0" t="n">
        <f aca="false">W_PH(R$2,$A283)</f>
        <v>2698.54983227722</v>
      </c>
      <c r="S283" s="0" t="n">
        <f aca="false">W_PH(S$2,$A283)</f>
        <v>2698.56115865004</v>
      </c>
      <c r="T283" s="0" t="n">
        <f aca="false">W_PH(T$2,$A283)</f>
        <v>2698.57248712323</v>
      </c>
      <c r="U283" s="0" t="n">
        <f aca="false">W_PH(U$2,$A283)</f>
        <v>2698.58381300881</v>
      </c>
      <c r="V283" s="0" t="n">
        <f aca="false">W_PH(V$2,$A283)</f>
        <v>2698.59514100765</v>
      </c>
      <c r="W283" s="0" t="n">
        <f aca="false">W_PH(W$2,$A283)</f>
        <v>2698.60647582189</v>
      </c>
      <c r="X283" s="0" t="n">
        <f aca="false">W_PH(X$2,$A283)</f>
        <v>2698.61780337217</v>
      </c>
      <c r="Y283" s="0" t="n">
        <f aca="false">W_PH(Y$2,$A283)</f>
        <v>2698.73120669643</v>
      </c>
      <c r="Z283" s="0" t="n">
        <f aca="false">W_PH(Z$2,$A283)</f>
        <v>2698.84475954462</v>
      </c>
      <c r="AA283" s="0" t="n">
        <f aca="false">W_PH(AA$2,$A283)</f>
        <v>2698.95847322522</v>
      </c>
      <c r="AB283" s="0" t="n">
        <f aca="false">W_PH(AB$2,$A283)</f>
        <v>2699.07235905276</v>
      </c>
      <c r="AC283" s="0" t="n">
        <f aca="false">W_PH(AC$2,$A283)</f>
        <v>2699.18640950366</v>
      </c>
      <c r="AD283" s="0" t="n">
        <f aca="false">W_PH(AD$2,$A283)</f>
        <v>2699.30064058187</v>
      </c>
      <c r="AE283" s="0" t="n">
        <f aca="false">W_PH(AE$2,$A283)</f>
        <v>2699.41505887537</v>
      </c>
      <c r="AF283" s="0" t="n">
        <f aca="false">W_PH(AF$2,$A283)</f>
        <v>2699.52966152551</v>
      </c>
      <c r="AG283" s="0" t="n">
        <f aca="false">W_PH(AG$2,$A283)</f>
        <v>2699.64447398277</v>
      </c>
      <c r="AH283" s="0" t="n">
        <f aca="false">W_PH(AH$2,$A283)</f>
        <v>2700.80476663247</v>
      </c>
      <c r="AI283" s="0" t="n">
        <f aca="false">W_PH(AI$2,$A283)</f>
        <v>2701.99166900323</v>
      </c>
      <c r="AJ283" s="0" t="n">
        <f aca="false">W_PH(AJ$2,$A283)</f>
        <v>2703.21133951653</v>
      </c>
      <c r="AK283" s="0" t="n">
        <f aca="false">W_PH(AK$2,$A283)</f>
        <v>2704.46988272485</v>
      </c>
      <c r="AL283" s="0" t="n">
        <f aca="false">W_PH(AL$2,$A283)</f>
        <v>2705.7733817095</v>
      </c>
      <c r="AM283" s="0" t="n">
        <f aca="false">W_PH(AM$2,$A283)</f>
        <v>2707.12782390137</v>
      </c>
      <c r="AN283" s="0" t="n">
        <f aca="false">W_PH(AN$2,$A283)</f>
        <v>2708.53919192253</v>
      </c>
      <c r="AO283" s="0" t="n">
        <f aca="false">W_PH(AO$2,$A283)</f>
        <v>2710.01340898357</v>
      </c>
      <c r="AP283" s="0" t="n">
        <f aca="false">W_PH(AP$2,$A283)</f>
        <v>2015</v>
      </c>
      <c r="AQ283" s="0" t="n">
        <f aca="false">W_PH(AQ$2,$A283)</f>
        <v>2015</v>
      </c>
      <c r="AR283" s="0" t="n">
        <f aca="false">W_PH(AR$2,$A283)</f>
        <v>2015</v>
      </c>
      <c r="AS283" s="0" t="n">
        <f aca="false">W_PH(AS$2,$A283)</f>
        <v>2015</v>
      </c>
    </row>
    <row r="284" customFormat="false" ht="12.8" hidden="false" customHeight="false" outlineLevel="0" collapsed="false">
      <c r="A284" s="0" t="n">
        <v>1908.85640584695</v>
      </c>
      <c r="B284" s="0" t="n">
        <f aca="false">W_PH(B$2,$A284)</f>
        <v>2015</v>
      </c>
      <c r="C284" s="0" t="n">
        <f aca="false">W_PH(C$2,$A284)</f>
        <v>2702.83712919933</v>
      </c>
      <c r="D284" s="0" t="n">
        <f aca="false">W_PH(D$2,$A284)</f>
        <v>2702.83724285509</v>
      </c>
      <c r="E284" s="0" t="n">
        <f aca="false">W_PH(E$2,$A284)</f>
        <v>2702.83735651106</v>
      </c>
      <c r="F284" s="0" t="n">
        <f aca="false">W_PH(F$2,$A284)</f>
        <v>2702.83747016722</v>
      </c>
      <c r="G284" s="0" t="n">
        <f aca="false">W_PH(G$2,$A284)</f>
        <v>2702.83861610769</v>
      </c>
      <c r="H284" s="0" t="n">
        <f aca="false">W_PH(H$2,$A284)</f>
        <v>2702.83976206845</v>
      </c>
      <c r="I284" s="0" t="n">
        <f aca="false">W_PH(I$2,$A284)</f>
        <v>2702.84090804952</v>
      </c>
      <c r="J284" s="0" t="n">
        <f aca="false">W_PH(J$2,$A284)</f>
        <v>2702.84204468299</v>
      </c>
      <c r="K284" s="0" t="n">
        <f aca="false">W_PH(K$2,$A284)</f>
        <v>2702.84319070464</v>
      </c>
      <c r="L284" s="0" t="n">
        <f aca="false">W_PH(L$2,$A284)</f>
        <v>2702.84433674661</v>
      </c>
      <c r="M284" s="0" t="n">
        <f aca="false">W_PH(M$2,$A284)</f>
        <v>2702.84548280892</v>
      </c>
      <c r="N284" s="0" t="n">
        <f aca="false">W_PH(N$2,$A284)</f>
        <v>2702.84662889157</v>
      </c>
      <c r="O284" s="0" t="n">
        <f aca="false">W_PH(O$2,$A284)</f>
        <v>2702.84777499457</v>
      </c>
      <c r="P284" s="0" t="n">
        <f aca="false">W_PH(P$2,$A284)</f>
        <v>2702.85922777628</v>
      </c>
      <c r="Q284" s="0" t="n">
        <f aca="false">W_PH(Q$2,$A284)</f>
        <v>2702.87067322945</v>
      </c>
      <c r="R284" s="0" t="n">
        <f aca="false">W_PH(R$2,$A284)</f>
        <v>2702.88213009904</v>
      </c>
      <c r="S284" s="0" t="n">
        <f aca="false">W_PH(S$2,$A284)</f>
        <v>2702.89357965226</v>
      </c>
      <c r="T284" s="0" t="n">
        <f aca="false">W_PH(T$2,$A284)</f>
        <v>2702.90504063651</v>
      </c>
      <c r="U284" s="0" t="n">
        <f aca="false">W_PH(U$2,$A284)</f>
        <v>2702.91649431657</v>
      </c>
      <c r="V284" s="0" t="n">
        <f aca="false">W_PH(V$2,$A284)</f>
        <v>2702.92795006979</v>
      </c>
      <c r="W284" s="0" t="n">
        <f aca="false">W_PH(W$2,$A284)</f>
        <v>2702.93941727594</v>
      </c>
      <c r="X284" s="0" t="n">
        <f aca="false">W_PH(X$2,$A284)</f>
        <v>2702.95087719617</v>
      </c>
      <c r="Y284" s="0" t="n">
        <f aca="false">W_PH(Y$2,$A284)</f>
        <v>2703.06557387114</v>
      </c>
      <c r="Z284" s="0" t="n">
        <f aca="false">W_PH(Z$2,$A284)</f>
        <v>2703.18042083418</v>
      </c>
      <c r="AA284" s="0" t="n">
        <f aca="false">W_PH(AA$2,$A284)</f>
        <v>2703.29541994548</v>
      </c>
      <c r="AB284" s="0" t="n">
        <f aca="false">W_PH(AB$2,$A284)</f>
        <v>2703.41058244498</v>
      </c>
      <c r="AC284" s="0" t="n">
        <f aca="false">W_PH(AC$2,$A284)</f>
        <v>2703.52591957871</v>
      </c>
      <c r="AD284" s="0" t="n">
        <f aca="false">W_PH(AD$2,$A284)</f>
        <v>2703.64143318867</v>
      </c>
      <c r="AE284" s="0" t="n">
        <f aca="false">W_PH(AE$2,$A284)</f>
        <v>2703.75712980681</v>
      </c>
      <c r="AF284" s="0" t="n">
        <f aca="false">W_PH(AF$2,$A284)</f>
        <v>2703.87300653691</v>
      </c>
      <c r="AG284" s="0" t="n">
        <f aca="false">W_PH(AG$2,$A284)</f>
        <v>2703.98908873722</v>
      </c>
      <c r="AH284" s="0" t="n">
        <f aca="false">W_PH(AH$2,$A284)</f>
        <v>2705.16190564372</v>
      </c>
      <c r="AI284" s="0" t="n">
        <f aca="false">W_PH(AI$2,$A284)</f>
        <v>2706.36096665989</v>
      </c>
      <c r="AJ284" s="0" t="n">
        <f aca="false">W_PH(AJ$2,$A284)</f>
        <v>2707.59237528177</v>
      </c>
      <c r="AK284" s="0" t="n">
        <f aca="false">W_PH(AK$2,$A284)</f>
        <v>2708.86220663341</v>
      </c>
      <c r="AL284" s="0" t="n">
        <f aca="false">W_PH(AL$2,$A284)</f>
        <v>2710.17647724566</v>
      </c>
      <c r="AM284" s="0" t="n">
        <f aca="false">W_PH(AM$2,$A284)</f>
        <v>2711.54114804513</v>
      </c>
      <c r="AN284" s="0" t="n">
        <f aca="false">W_PH(AN$2,$A284)</f>
        <v>2712.9621521262</v>
      </c>
      <c r="AO284" s="0" t="n">
        <f aca="false">W_PH(AO$2,$A284)</f>
        <v>2714.44536915762</v>
      </c>
      <c r="AP284" s="0" t="n">
        <f aca="false">W_PH(AP$2,$A284)</f>
        <v>2015</v>
      </c>
      <c r="AQ284" s="0" t="n">
        <f aca="false">W_PH(AQ$2,$A284)</f>
        <v>2015</v>
      </c>
      <c r="AR284" s="0" t="n">
        <f aca="false">W_PH(AR$2,$A284)</f>
        <v>2015</v>
      </c>
      <c r="AS284" s="0" t="n">
        <f aca="false">W_PH(AS$2,$A284)</f>
        <v>2015</v>
      </c>
    </row>
    <row r="285" customFormat="false" ht="12.8" hidden="false" customHeight="false" outlineLevel="0" collapsed="false">
      <c r="A285" s="0" t="n">
        <v>1913.15563198624</v>
      </c>
      <c r="B285" s="0" t="n">
        <f aca="false">W_PH(B$2,$A285)</f>
        <v>2015</v>
      </c>
      <c r="C285" s="0" t="n">
        <f aca="false">W_PH(C$2,$A285)</f>
        <v>2707.15592707442</v>
      </c>
      <c r="D285" s="0" t="n">
        <f aca="false">W_PH(D$2,$A285)</f>
        <v>2707.15604351677</v>
      </c>
      <c r="E285" s="0" t="n">
        <f aca="false">W_PH(E$2,$A285)</f>
        <v>2707.15615528418</v>
      </c>
      <c r="F285" s="0" t="n">
        <f aca="false">W_PH(F$2,$A285)</f>
        <v>2707.15626705178</v>
      </c>
      <c r="G285" s="0" t="n">
        <f aca="false">W_PH(G$2,$A285)</f>
        <v>2707.15743149017</v>
      </c>
      <c r="H285" s="0" t="n">
        <f aca="false">W_PH(H$2,$A285)</f>
        <v>2707.15858659815</v>
      </c>
      <c r="I285" s="0" t="n">
        <f aca="false">W_PH(I$2,$A285)</f>
        <v>2707.159741726</v>
      </c>
      <c r="J285" s="0" t="n">
        <f aca="false">W_PH(J$2,$A285)</f>
        <v>2707.16090154899</v>
      </c>
      <c r="K285" s="0" t="n">
        <f aca="false">W_PH(K$2,$A285)</f>
        <v>2707.16206139192</v>
      </c>
      <c r="L285" s="0" t="n">
        <f aca="false">W_PH(L$2,$A285)</f>
        <v>2707.1632165795</v>
      </c>
      <c r="M285" s="0" t="n">
        <f aca="false">W_PH(M$2,$A285)</f>
        <v>2707.16437178697</v>
      </c>
      <c r="N285" s="0" t="n">
        <f aca="false">W_PH(N$2,$A285)</f>
        <v>2707.16553636511</v>
      </c>
      <c r="O285" s="0" t="n">
        <f aca="false">W_PH(O$2,$A285)</f>
        <v>2707.16669161246</v>
      </c>
      <c r="P285" s="0" t="n">
        <f aca="false">W_PH(P$2,$A285)</f>
        <v>2707.17826856127</v>
      </c>
      <c r="Q285" s="0" t="n">
        <f aca="false">W_PH(Q$2,$A285)</f>
        <v>2707.18984751177</v>
      </c>
      <c r="R285" s="0" t="n">
        <f aca="false">W_PH(R$2,$A285)</f>
        <v>2707.2014284706</v>
      </c>
      <c r="S285" s="0" t="n">
        <f aca="false">W_PH(S$2,$A285)</f>
        <v>2707.21301144439</v>
      </c>
      <c r="T285" s="0" t="n">
        <f aca="false">W_PH(T$2,$A285)</f>
        <v>2707.22459176289</v>
      </c>
      <c r="U285" s="0" t="n">
        <f aca="false">W_PH(U$2,$A285)</f>
        <v>2707.23617878624</v>
      </c>
      <c r="V285" s="0" t="n">
        <f aca="false">W_PH(V$2,$A285)</f>
        <v>2707.24776784447</v>
      </c>
      <c r="W285" s="0" t="n">
        <f aca="false">W_PH(W$2,$A285)</f>
        <v>2707.25935426641</v>
      </c>
      <c r="X285" s="0" t="n">
        <f aca="false">W_PH(X$2,$A285)</f>
        <v>2707.27094273591</v>
      </c>
      <c r="Y285" s="0" t="n">
        <f aca="false">W_PH(Y$2,$A285)</f>
        <v>2707.38691341927</v>
      </c>
      <c r="Z285" s="0" t="n">
        <f aca="false">W_PH(Z$2,$A285)</f>
        <v>2707.5030305399</v>
      </c>
      <c r="AA285" s="0" t="n">
        <f aca="false">W_PH(AA$2,$A285)</f>
        <v>2707.61930528514</v>
      </c>
      <c r="AB285" s="0" t="n">
        <f aca="false">W_PH(AB$2,$A285)</f>
        <v>2707.73573946824</v>
      </c>
      <c r="AC285" s="0" t="n">
        <f aca="false">W_PH(AC$2,$A285)</f>
        <v>2707.85233957762</v>
      </c>
      <c r="AD285" s="0" t="n">
        <f aca="false">W_PH(AD$2,$A285)</f>
        <v>2707.96911209585</v>
      </c>
      <c r="AE285" s="0" t="n">
        <f aca="false">W_PH(AE$2,$A285)</f>
        <v>2708.08606819865</v>
      </c>
      <c r="AF285" s="0" t="n">
        <f aca="false">W_PH(AF$2,$A285)</f>
        <v>2708.20320025975</v>
      </c>
      <c r="AG285" s="0" t="n">
        <f aca="false">W_PH(AG$2,$A285)</f>
        <v>2708.32053354627</v>
      </c>
      <c r="AH285" s="0" t="n">
        <f aca="false">W_PH(AH$2,$A285)</f>
        <v>2709.50569305278</v>
      </c>
      <c r="AI285" s="0" t="n">
        <f aca="false">W_PH(AI$2,$A285)</f>
        <v>2710.71674050169</v>
      </c>
      <c r="AJ285" s="0" t="n">
        <f aca="false">W_PH(AJ$2,$A285)</f>
        <v>2711.95972510202</v>
      </c>
      <c r="AK285" s="0" t="n">
        <f aca="false">W_PH(AK$2,$A285)</f>
        <v>2713.24068340076</v>
      </c>
      <c r="AL285" s="0" t="n">
        <f aca="false">W_PH(AL$2,$A285)</f>
        <v>2714.56558522916</v>
      </c>
      <c r="AM285" s="0" t="n">
        <f aca="false">W_PH(AM$2,$A285)</f>
        <v>2715.94034608401</v>
      </c>
      <c r="AN285" s="0" t="n">
        <f aca="false">W_PH(AN$2,$A285)</f>
        <v>2717.37085966569</v>
      </c>
      <c r="AO285" s="0" t="n">
        <f aca="false">W_PH(AO$2,$A285)</f>
        <v>2718.86295268004</v>
      </c>
      <c r="AP285" s="0" t="n">
        <f aca="false">W_PH(AP$2,$A285)</f>
        <v>2015</v>
      </c>
      <c r="AQ285" s="0" t="n">
        <f aca="false">W_PH(AQ$2,$A285)</f>
        <v>2015</v>
      </c>
      <c r="AR285" s="0" t="n">
        <f aca="false">W_PH(AR$2,$A285)</f>
        <v>2015</v>
      </c>
      <c r="AS285" s="0" t="n">
        <f aca="false">W_PH(AS$2,$A285)</f>
        <v>2015</v>
      </c>
    </row>
    <row r="286" customFormat="false" ht="12.8" hidden="false" customHeight="false" outlineLevel="0" collapsed="false">
      <c r="A286" s="0" t="n">
        <v>1917.45485812554</v>
      </c>
      <c r="B286" s="0" t="n">
        <f aca="false">W_PH(B$2,$A286)</f>
        <v>2015</v>
      </c>
      <c r="C286" s="0" t="n">
        <f aca="false">W_PH(C$2,$A286)</f>
        <v>2711.46184761826</v>
      </c>
      <c r="D286" s="0" t="n">
        <f aca="false">W_PH(D$2,$A286)</f>
        <v>2711.46196680412</v>
      </c>
      <c r="E286" s="0" t="n">
        <f aca="false">W_PH(E$2,$A286)</f>
        <v>2711.46208599018</v>
      </c>
      <c r="F286" s="0" t="n">
        <f aca="false">W_PH(F$2,$A286)</f>
        <v>2711.46220517644</v>
      </c>
      <c r="G286" s="0" t="n">
        <f aca="false">W_PH(G$2,$A286)</f>
        <v>2711.46336905059</v>
      </c>
      <c r="H286" s="0" t="n">
        <f aca="false">W_PH(H$2,$A286)</f>
        <v>2711.46454227734</v>
      </c>
      <c r="I286" s="0" t="n">
        <f aca="false">W_PH(I$2,$A286)</f>
        <v>2711.46571552365</v>
      </c>
      <c r="J286" s="0" t="n">
        <f aca="false">W_PH(J$2,$A286)</f>
        <v>2711.46687945627</v>
      </c>
      <c r="K286" s="0" t="n">
        <f aca="false">W_PH(K$2,$A286)</f>
        <v>2711.46805274168</v>
      </c>
      <c r="L286" s="0" t="n">
        <f aca="false">W_PH(L$2,$A286)</f>
        <v>2711.46922604667</v>
      </c>
      <c r="M286" s="0" t="n">
        <f aca="false">W_PH(M$2,$A286)</f>
        <v>2711.47039003781</v>
      </c>
      <c r="N286" s="0" t="n">
        <f aca="false">W_PH(N$2,$A286)</f>
        <v>2711.47156338194</v>
      </c>
      <c r="O286" s="0" t="n">
        <f aca="false">W_PH(O$2,$A286)</f>
        <v>2711.47273674568</v>
      </c>
      <c r="P286" s="0" t="n">
        <f aca="false">W_PH(P$2,$A286)</f>
        <v>2711.48443412616</v>
      </c>
      <c r="Q286" s="0" t="n">
        <f aca="false">W_PH(Q$2,$A286)</f>
        <v>2711.49614280451</v>
      </c>
      <c r="R286" s="0" t="n">
        <f aca="false">W_PH(R$2,$A286)</f>
        <v>2711.50785345374</v>
      </c>
      <c r="S286" s="0" t="n">
        <f aca="false">W_PH(S$2,$A286)</f>
        <v>2711.51955674449</v>
      </c>
      <c r="T286" s="0" t="n">
        <f aca="false">W_PH(T$2,$A286)</f>
        <v>2711.53127135463</v>
      </c>
      <c r="U286" s="0" t="n">
        <f aca="false">W_PH(U$2,$A286)</f>
        <v>2711.54297861827</v>
      </c>
      <c r="V286" s="0" t="n">
        <f aca="false">W_PH(V$2,$A286)</f>
        <v>2711.55468787793</v>
      </c>
      <c r="W286" s="0" t="n">
        <f aca="false">W_PH(W$2,$A286)</f>
        <v>2711.56640847849</v>
      </c>
      <c r="X286" s="0" t="n">
        <f aca="false">W_PH(X$2,$A286)</f>
        <v>2711.57812175052</v>
      </c>
      <c r="Y286" s="0" t="n">
        <f aca="false">W_PH(Y$2,$A286)</f>
        <v>2711.69534773293</v>
      </c>
      <c r="Z286" s="0" t="n">
        <f aca="false">W_PH(Z$2,$A286)</f>
        <v>2711.81271638694</v>
      </c>
      <c r="AA286" s="0" t="n">
        <f aca="false">W_PH(AA$2,$A286)</f>
        <v>2711.93024351433</v>
      </c>
      <c r="AB286" s="0" t="n">
        <f aca="false">W_PH(AB$2,$A286)</f>
        <v>2712.04792620968</v>
      </c>
      <c r="AC286" s="0" t="n">
        <f aca="false">W_PH(AC$2,$A286)</f>
        <v>2712.16577090663</v>
      </c>
      <c r="AD286" s="0" t="n">
        <f aca="false">W_PH(AD$2,$A286)</f>
        <v>2712.28379340737</v>
      </c>
      <c r="AE286" s="0" t="n">
        <f aca="false">W_PH(AE$2,$A286)</f>
        <v>2712.40198139138</v>
      </c>
      <c r="AF286" s="0" t="n">
        <f aca="false">W_PH(AF$2,$A286)</f>
        <v>2712.52036002963</v>
      </c>
      <c r="AG286" s="0" t="n">
        <f aca="false">W_PH(AG$2,$A286)</f>
        <v>2712.63892166263</v>
      </c>
      <c r="AH286" s="0" t="n">
        <f aca="false">W_PH(AH$2,$A286)</f>
        <v>2713.83625283907</v>
      </c>
      <c r="AI286" s="0" t="n">
        <f aca="false">W_PH(AI$2,$A286)</f>
        <v>2715.05911083839</v>
      </c>
      <c r="AJ286" s="0" t="n">
        <f aca="false">W_PH(AJ$2,$A286)</f>
        <v>2716.313519646</v>
      </c>
      <c r="AK286" s="0" t="n">
        <f aca="false">W_PH(AK$2,$A286)</f>
        <v>2717.60544914892</v>
      </c>
      <c r="AL286" s="0" t="n">
        <f aca="false">W_PH(AL$2,$A286)</f>
        <v>2718.94083243233</v>
      </c>
      <c r="AM286" s="0" t="n">
        <f aca="false">W_PH(AM$2,$A286)</f>
        <v>2720.32554970814</v>
      </c>
      <c r="AN286" s="0" t="n">
        <f aca="false">W_PH(AN$2,$A286)</f>
        <v>2721.76544112821</v>
      </c>
      <c r="AO286" s="0" t="n">
        <f aca="false">W_PH(AO$2,$A286)</f>
        <v>2723.26631026705</v>
      </c>
      <c r="AP286" s="0" t="n">
        <f aca="false">W_PH(AP$2,$A286)</f>
        <v>2015</v>
      </c>
      <c r="AQ286" s="0" t="n">
        <f aca="false">W_PH(AQ$2,$A286)</f>
        <v>2015</v>
      </c>
      <c r="AR286" s="0" t="n">
        <f aca="false">W_PH(AR$2,$A286)</f>
        <v>2015</v>
      </c>
      <c r="AS286" s="0" t="n">
        <f aca="false">W_PH(AS$2,$A286)</f>
        <v>2015</v>
      </c>
    </row>
    <row r="287" customFormat="false" ht="12.8" hidden="false" customHeight="false" outlineLevel="0" collapsed="false">
      <c r="A287" s="0" t="n">
        <v>1921.75408426483</v>
      </c>
      <c r="B287" s="0" t="n">
        <f aca="false">W_PH(B$2,$A287)</f>
        <v>2015</v>
      </c>
      <c r="C287" s="0" t="n">
        <f aca="false">W_PH(C$2,$A287)</f>
        <v>2715.7550196886</v>
      </c>
      <c r="D287" s="0" t="n">
        <f aca="false">W_PH(D$2,$A287)</f>
        <v>2715.75513691774</v>
      </c>
      <c r="E287" s="0" t="n">
        <f aca="false">W_PH(E$2,$A287)</f>
        <v>2715.75525414706</v>
      </c>
      <c r="F287" s="0" t="n">
        <f aca="false">W_PH(F$2,$A287)</f>
        <v>2715.75537603456</v>
      </c>
      <c r="G287" s="0" t="n">
        <f aca="false">W_PH(G$2,$A287)</f>
        <v>2715.75655765621</v>
      </c>
      <c r="H287" s="0" t="n">
        <f aca="false">W_PH(H$2,$A287)</f>
        <v>2715.757739297</v>
      </c>
      <c r="I287" s="0" t="n">
        <f aca="false">W_PH(I$2,$A287)</f>
        <v>2715.75892095694</v>
      </c>
      <c r="J287" s="0" t="n">
        <f aca="false">W_PH(J$2,$A287)</f>
        <v>2715.76010263603</v>
      </c>
      <c r="K287" s="0" t="n">
        <f aca="false">W_PH(K$2,$A287)</f>
        <v>2715.76128433429</v>
      </c>
      <c r="L287" s="0" t="n">
        <f aca="false">W_PH(L$2,$A287)</f>
        <v>2715.7624660517</v>
      </c>
      <c r="M287" s="0" t="n">
        <f aca="false">W_PH(M$2,$A287)</f>
        <v>2715.76364778829</v>
      </c>
      <c r="N287" s="0" t="n">
        <f aca="false">W_PH(N$2,$A287)</f>
        <v>2715.76483886049</v>
      </c>
      <c r="O287" s="0" t="n">
        <f aca="false">W_PH(O$2,$A287)</f>
        <v>2715.7660206355</v>
      </c>
      <c r="P287" s="0" t="n">
        <f aca="false">W_PH(P$2,$A287)</f>
        <v>2715.77784875935</v>
      </c>
      <c r="Q287" s="0" t="n">
        <f aca="false">W_PH(Q$2,$A287)</f>
        <v>2715.78967881009</v>
      </c>
      <c r="R287" s="0" t="n">
        <f aca="false">W_PH(R$2,$A287)</f>
        <v>2715.80150613516</v>
      </c>
      <c r="S287" s="0" t="n">
        <f aca="false">W_PH(S$2,$A287)</f>
        <v>2715.81333539959</v>
      </c>
      <c r="T287" s="0" t="n">
        <f aca="false">W_PH(T$2,$A287)</f>
        <v>2715.82517126962</v>
      </c>
      <c r="U287" s="0" t="n">
        <f aca="false">W_PH(U$2,$A287)</f>
        <v>2715.83700909266</v>
      </c>
      <c r="V287" s="0" t="n">
        <f aca="false">W_PH(V$2,$A287)</f>
        <v>2715.84883955466</v>
      </c>
      <c r="W287" s="0" t="n">
        <f aca="false">W_PH(W$2,$A287)</f>
        <v>2715.86068130269</v>
      </c>
      <c r="X287" s="0" t="n">
        <f aca="false">W_PH(X$2,$A287)</f>
        <v>2715.87252036243</v>
      </c>
      <c r="Y287" s="0" t="n">
        <f aca="false">W_PH(Y$2,$A287)</f>
        <v>2715.99098820748</v>
      </c>
      <c r="Z287" s="0" t="n">
        <f aca="false">W_PH(Z$2,$A287)</f>
        <v>2716.10959971442</v>
      </c>
      <c r="AA287" s="0" t="n">
        <f aca="false">W_PH(AA$2,$A287)</f>
        <v>2716.22835661322</v>
      </c>
      <c r="AB287" s="0" t="n">
        <f aca="false">W_PH(AB$2,$A287)</f>
        <v>2716.34726528905</v>
      </c>
      <c r="AC287" s="0" t="n">
        <f aca="false">W_PH(AC$2,$A287)</f>
        <v>2716.46634147237</v>
      </c>
      <c r="AD287" s="0" t="n">
        <f aca="false">W_PH(AD$2,$A287)</f>
        <v>2716.58558219792</v>
      </c>
      <c r="AE287" s="0" t="n">
        <f aca="false">W_PH(AE$2,$A287)</f>
        <v>2716.70500319661</v>
      </c>
      <c r="AF287" s="0" t="n">
        <f aca="false">W_PH(AF$2,$A287)</f>
        <v>2716.82459211212</v>
      </c>
      <c r="AG287" s="0" t="n">
        <f aca="false">W_PH(AG$2,$A287)</f>
        <v>2716.94437403253</v>
      </c>
      <c r="AH287" s="0" t="n">
        <f aca="false">W_PH(AH$2,$A287)</f>
        <v>2718.15370712216</v>
      </c>
      <c r="AI287" s="0" t="n">
        <f aca="false">W_PH(AI$2,$A287)</f>
        <v>2719.38821503506</v>
      </c>
      <c r="AJ287" s="0" t="n">
        <f aca="false">W_PH(AJ$2,$A287)</f>
        <v>2720.65387794127</v>
      </c>
      <c r="AK287" s="0" t="n">
        <f aca="false">W_PH(AK$2,$A287)</f>
        <v>2721.95663777201</v>
      </c>
      <c r="AL287" s="0" t="n">
        <f aca="false">W_PH(AL$2,$A287)</f>
        <v>2723.30236271387</v>
      </c>
      <c r="AM287" s="0" t="n">
        <f aca="false">W_PH(AM$2,$A287)</f>
        <v>2724.69689797396</v>
      </c>
      <c r="AN287" s="0" t="n">
        <f aca="false">W_PH(AN$2,$A287)</f>
        <v>2726.14604025934</v>
      </c>
      <c r="AO287" s="0" t="n">
        <f aca="false">W_PH(AO$2,$A287)</f>
        <v>2727.65556053807</v>
      </c>
      <c r="AP287" s="0" t="n">
        <f aca="false">W_PH(AP$2,$A287)</f>
        <v>2015</v>
      </c>
      <c r="AQ287" s="0" t="n">
        <f aca="false">W_PH(AQ$2,$A287)</f>
        <v>2015</v>
      </c>
      <c r="AR287" s="0" t="n">
        <f aca="false">W_PH(AR$2,$A287)</f>
        <v>2015</v>
      </c>
      <c r="AS287" s="0" t="n">
        <f aca="false">W_PH(AS$2,$A287)</f>
        <v>2015</v>
      </c>
    </row>
    <row r="288" customFormat="false" ht="12.8" hidden="false" customHeight="false" outlineLevel="0" collapsed="false">
      <c r="A288" s="0" t="n">
        <v>1926.05331040413</v>
      </c>
      <c r="B288" s="0" t="n">
        <f aca="false">W_PH(B$2,$A288)</f>
        <v>2015</v>
      </c>
      <c r="C288" s="0" t="n">
        <f aca="false">W_PH(C$2,$A288)</f>
        <v>2720.03554257222</v>
      </c>
      <c r="D288" s="0" t="n">
        <f aca="false">W_PH(D$2,$A288)</f>
        <v>2720.03565782006</v>
      </c>
      <c r="E288" s="0" t="n">
        <f aca="false">W_PH(E$2,$A288)</f>
        <v>2720.03578236711</v>
      </c>
      <c r="F288" s="0" t="n">
        <f aca="false">W_PH(F$2,$A288)</f>
        <v>2720.03589761531</v>
      </c>
      <c r="G288" s="0" t="n">
        <f aca="false">W_PH(G$2,$A288)</f>
        <v>2720.03709660289</v>
      </c>
      <c r="H288" s="0" t="n">
        <f aca="false">W_PH(H$2,$A288)</f>
        <v>2720.03828631016</v>
      </c>
      <c r="I288" s="0" t="n">
        <f aca="false">W_PH(I$2,$A288)</f>
        <v>2720.03948533537</v>
      </c>
      <c r="J288" s="0" t="n">
        <f aca="false">W_PH(J$2,$A288)</f>
        <v>2720.04067508017</v>
      </c>
      <c r="K288" s="0" t="n">
        <f aca="false">W_PH(K$2,$A288)</f>
        <v>2720.04187414303</v>
      </c>
      <c r="L288" s="0" t="n">
        <f aca="false">W_PH(L$2,$A288)</f>
        <v>2720.04306392539</v>
      </c>
      <c r="M288" s="0" t="n">
        <f aca="false">W_PH(M$2,$A288)</f>
        <v>2720.04426302594</v>
      </c>
      <c r="N288" s="0" t="n">
        <f aca="false">W_PH(N$2,$A288)</f>
        <v>2720.04545749563</v>
      </c>
      <c r="O288" s="0" t="n">
        <f aca="false">W_PH(O$2,$A288)</f>
        <v>2720.04665198414</v>
      </c>
      <c r="P288" s="0" t="n">
        <f aca="false">W_PH(P$2,$A288)</f>
        <v>2720.0586072065</v>
      </c>
      <c r="Q288" s="0" t="n">
        <f aca="false">W_PH(Q$2,$A288)</f>
        <v>2720.07055501941</v>
      </c>
      <c r="R288" s="0" t="n">
        <f aca="false">W_PH(R$2,$A288)</f>
        <v>2720.0825047289</v>
      </c>
      <c r="S288" s="0" t="n">
        <f aca="false">W_PH(S$2,$A288)</f>
        <v>2720.09446564329</v>
      </c>
      <c r="T288" s="0" t="n">
        <f aca="false">W_PH(T$2,$A288)</f>
        <v>2720.10641916592</v>
      </c>
      <c r="U288" s="0" t="n">
        <f aca="false">W_PH(U$2,$A288)</f>
        <v>2720.11837460453</v>
      </c>
      <c r="V288" s="0" t="n">
        <f aca="false">W_PH(V$2,$A288)</f>
        <v>2720.1303319656</v>
      </c>
      <c r="W288" s="0" t="n">
        <f aca="false">W_PH(W$2,$A288)</f>
        <v>2720.14229125559</v>
      </c>
      <c r="X288" s="0" t="n">
        <f aca="false">W_PH(X$2,$A288)</f>
        <v>2720.15425248097</v>
      </c>
      <c r="Y288" s="0" t="n">
        <f aca="false">W_PH(Y$2,$A288)</f>
        <v>2720.27394467207</v>
      </c>
      <c r="Z288" s="0" t="n">
        <f aca="false">W_PH(Z$2,$A288)</f>
        <v>2720.39377226361</v>
      </c>
      <c r="AA288" s="0" t="n">
        <f aca="false">W_PH(AA$2,$A288)</f>
        <v>2720.51375091478</v>
      </c>
      <c r="AB288" s="0" t="n">
        <f aca="false">W_PH(AB$2,$A288)</f>
        <v>2720.63387764681</v>
      </c>
      <c r="AC288" s="0" t="n">
        <f aca="false">W_PH(AC$2,$A288)</f>
        <v>2720.75415878593</v>
      </c>
      <c r="AD288" s="0" t="n">
        <f aca="false">W_PH(AD$2,$A288)</f>
        <v>2720.87460999216</v>
      </c>
      <c r="AE288" s="0" t="n">
        <f aca="false">W_PH(AE$2,$A288)</f>
        <v>2720.99522825311</v>
      </c>
      <c r="AF288" s="0" t="n">
        <f aca="false">W_PH(AF$2,$A288)</f>
        <v>2721.1160292294</v>
      </c>
      <c r="AG288" s="0" t="n">
        <f aca="false">W_PH(AG$2,$A288)</f>
        <v>2721.23700520815</v>
      </c>
      <c r="AH288" s="0" t="n">
        <f aca="false">W_PH(AH$2,$A288)</f>
        <v>2722.45816208209</v>
      </c>
      <c r="AI288" s="0" t="n">
        <f aca="false">W_PH(AI$2,$A288)</f>
        <v>2723.70416001409</v>
      </c>
      <c r="AJ288" s="0" t="n">
        <f aca="false">W_PH(AJ$2,$A288)</f>
        <v>2724.98092657161</v>
      </c>
      <c r="AK288" s="0" t="n">
        <f aca="false">W_PH(AK$2,$A288)</f>
        <v>2726.29435703726</v>
      </c>
      <c r="AL288" s="0" t="n">
        <f aca="false">W_PH(AL$2,$A288)</f>
        <v>2727.65027905302</v>
      </c>
      <c r="AM288" s="0" t="n">
        <f aca="false">W_PH(AM$2,$A288)</f>
        <v>2729.05450818855</v>
      </c>
      <c r="AN288" s="0" t="n">
        <f aca="false">W_PH(AN$2,$A288)</f>
        <v>2730.51278857598</v>
      </c>
      <c r="AO288" s="0" t="n">
        <f aca="false">W_PH(AO$2,$A288)</f>
        <v>2732.03083937462</v>
      </c>
      <c r="AP288" s="0" t="n">
        <f aca="false">W_PH(AP$2,$A288)</f>
        <v>2015</v>
      </c>
      <c r="AQ288" s="0" t="n">
        <f aca="false">W_PH(AQ$2,$A288)</f>
        <v>2015</v>
      </c>
      <c r="AR288" s="0" t="n">
        <f aca="false">W_PH(AR$2,$A288)</f>
        <v>2015</v>
      </c>
      <c r="AS288" s="0" t="n">
        <f aca="false">W_PH(AS$2,$A288)</f>
        <v>2015</v>
      </c>
    </row>
    <row r="289" customFormat="false" ht="12.8" hidden="false" customHeight="false" outlineLevel="0" collapsed="false">
      <c r="A289" s="0" t="n">
        <v>1930.35253654342</v>
      </c>
      <c r="B289" s="0" t="n">
        <f aca="false">W_PH(B$2,$A289)</f>
        <v>2015</v>
      </c>
      <c r="C289" s="0" t="n">
        <f aca="false">W_PH(C$2,$A289)</f>
        <v>2724.30352340008</v>
      </c>
      <c r="D289" s="0" t="n">
        <f aca="false">W_PH(D$2,$A289)</f>
        <v>2724.3036412837</v>
      </c>
      <c r="E289" s="0" t="n">
        <f aca="false">W_PH(E$2,$A289)</f>
        <v>2724.30376844976</v>
      </c>
      <c r="F289" s="0" t="n">
        <f aca="false">W_PH(F$2,$A289)</f>
        <v>2724.30388633374</v>
      </c>
      <c r="G289" s="0" t="n">
        <f aca="false">W_PH(G$2,$A289)</f>
        <v>2724.30509303053</v>
      </c>
      <c r="H289" s="0" t="n">
        <f aca="false">W_PH(H$2,$A289)</f>
        <v>2724.30629974575</v>
      </c>
      <c r="I289" s="0" t="n">
        <f aca="false">W_PH(I$2,$A289)</f>
        <v>2724.30750647941</v>
      </c>
      <c r="J289" s="0" t="n">
        <f aca="false">W_PH(J$2,$A289)</f>
        <v>2724.30871323152</v>
      </c>
      <c r="K289" s="0" t="n">
        <f aca="false">W_PH(K$2,$A289)</f>
        <v>2724.30992000209</v>
      </c>
      <c r="L289" s="0" t="n">
        <f aca="false">W_PH(L$2,$A289)</f>
        <v>2724.31112679111</v>
      </c>
      <c r="M289" s="0" t="n">
        <f aca="false">W_PH(M$2,$A289)</f>
        <v>2724.3123335986</v>
      </c>
      <c r="N289" s="0" t="n">
        <f aca="false">W_PH(N$2,$A289)</f>
        <v>2724.31354042457</v>
      </c>
      <c r="O289" s="0" t="n">
        <f aca="false">W_PH(O$2,$A289)</f>
        <v>2724.31474726901</v>
      </c>
      <c r="P289" s="0" t="n">
        <f aca="false">W_PH(P$2,$A289)</f>
        <v>2724.32682137293</v>
      </c>
      <c r="Q289" s="0" t="n">
        <f aca="false">W_PH(Q$2,$A289)</f>
        <v>2724.33889733244</v>
      </c>
      <c r="R289" s="0" t="n">
        <f aca="false">W_PH(R$2,$A289)</f>
        <v>2724.35097051173</v>
      </c>
      <c r="S289" s="0" t="n">
        <f aca="false">W_PH(S$2,$A289)</f>
        <v>2724.36304555889</v>
      </c>
      <c r="T289" s="0" t="n">
        <f aca="false">W_PH(T$2,$A289)</f>
        <v>2724.37512248032</v>
      </c>
      <c r="U289" s="0" t="n">
        <f aca="false">W_PH(U$2,$A289)</f>
        <v>2724.38720128245</v>
      </c>
      <c r="V289" s="0" t="n">
        <f aca="false">W_PH(V$2,$A289)</f>
        <v>2724.39927268492</v>
      </c>
      <c r="W289" s="0" t="n">
        <f aca="false">W_PH(W$2,$A289)</f>
        <v>2724.41135526711</v>
      </c>
      <c r="X289" s="0" t="n">
        <f aca="false">W_PH(X$2,$A289)</f>
        <v>2724.42343974922</v>
      </c>
      <c r="Y289" s="0" t="n">
        <f aca="false">W_PH(Y$2,$A289)</f>
        <v>2724.54433006877</v>
      </c>
      <c r="Z289" s="0" t="n">
        <f aca="false">W_PH(Z$2,$A289)</f>
        <v>2724.66536156185</v>
      </c>
      <c r="AA289" s="0" t="n">
        <f aca="false">W_PH(AA$2,$A289)</f>
        <v>2724.78653587735</v>
      </c>
      <c r="AB289" s="0" t="n">
        <f aca="false">W_PH(AB$2,$A289)</f>
        <v>2724.90785464743</v>
      </c>
      <c r="AC289" s="0" t="n">
        <f aca="false">W_PH(AC$2,$A289)</f>
        <v>2725.029333462</v>
      </c>
      <c r="AD289" s="0" t="n">
        <f aca="false">W_PH(AD$2,$A289)</f>
        <v>2725.15097394539</v>
      </c>
      <c r="AE289" s="0" t="n">
        <f aca="false">W_PH(AE$2,$A289)</f>
        <v>2725.27277770531</v>
      </c>
      <c r="AF289" s="0" t="n">
        <f aca="false">W_PH(AF$2,$A289)</f>
        <v>2725.39476499934</v>
      </c>
      <c r="AG289" s="0" t="n">
        <f aca="false">W_PH(AG$2,$A289)</f>
        <v>2725.51692809704</v>
      </c>
      <c r="AH289" s="0" t="n">
        <f aca="false">W_PH(AH$2,$A289)</f>
        <v>2726.74974101836</v>
      </c>
      <c r="AI289" s="0" t="n">
        <f aca="false">W_PH(AI$2,$A289)</f>
        <v>2728.00706038805</v>
      </c>
      <c r="AJ289" s="0" t="n">
        <f aca="false">W_PH(AJ$2,$A289)</f>
        <v>2729.29478061125</v>
      </c>
      <c r="AK289" s="0" t="n">
        <f aca="false">W_PH(AK$2,$A289)</f>
        <v>2730.61873668824</v>
      </c>
      <c r="AL289" s="0" t="n">
        <f aca="false">W_PH(AL$2,$A289)</f>
        <v>2731.98473054164</v>
      </c>
      <c r="AM289" s="0" t="n">
        <f aca="false">W_PH(AM$2,$A289)</f>
        <v>2733.39851484293</v>
      </c>
      <c r="AN289" s="0" t="n">
        <f aca="false">W_PH(AN$2,$A289)</f>
        <v>2734.86580553807</v>
      </c>
      <c r="AO289" s="0" t="n">
        <f aca="false">W_PH(AO$2,$A289)</f>
        <v>2736.39228021197</v>
      </c>
      <c r="AP289" s="0" t="n">
        <f aca="false">W_PH(AP$2,$A289)</f>
        <v>2015</v>
      </c>
      <c r="AQ289" s="0" t="n">
        <f aca="false">W_PH(AQ$2,$A289)</f>
        <v>2015</v>
      </c>
      <c r="AR289" s="0" t="n">
        <f aca="false">W_PH(AR$2,$A289)</f>
        <v>2015</v>
      </c>
      <c r="AS289" s="0" t="n">
        <f aca="false">W_PH(AS$2,$A289)</f>
        <v>2015</v>
      </c>
    </row>
    <row r="290" customFormat="false" ht="12.8" hidden="false" customHeight="false" outlineLevel="0" collapsed="false">
      <c r="A290" s="0" t="n">
        <v>1934.65176268272</v>
      </c>
      <c r="B290" s="0" t="n">
        <f aca="false">W_PH(B$2,$A290)</f>
        <v>2015</v>
      </c>
      <c r="C290" s="0" t="n">
        <f aca="false">W_PH(C$2,$A290)</f>
        <v>2728.55907709339</v>
      </c>
      <c r="D290" s="0" t="n">
        <f aca="false">W_PH(D$2,$A290)</f>
        <v>2728.55920683828</v>
      </c>
      <c r="E290" s="0" t="n">
        <f aca="false">W_PH(E$2,$A290)</f>
        <v>2728.55932731773</v>
      </c>
      <c r="F290" s="0" t="n">
        <f aca="false">W_PH(F$2,$A290)</f>
        <v>2728.55944779735</v>
      </c>
      <c r="G290" s="0" t="n">
        <f aca="false">W_PH(G$2,$A290)</f>
        <v>2728.56066186917</v>
      </c>
      <c r="H290" s="0" t="n">
        <f aca="false">W_PH(H$2,$A290)</f>
        <v>2728.56188522478</v>
      </c>
      <c r="I290" s="0" t="n">
        <f aca="false">W_PH(I$2,$A290)</f>
        <v>2728.56310396563</v>
      </c>
      <c r="J290" s="0" t="n">
        <f aca="false">W_PH(J$2,$A290)</f>
        <v>2728.56432272459</v>
      </c>
      <c r="K290" s="0" t="n">
        <f aca="false">W_PH(K$2,$A290)</f>
        <v>2728.56554150166</v>
      </c>
      <c r="L290" s="0" t="n">
        <f aca="false">W_PH(L$2,$A290)</f>
        <v>2728.56676029684</v>
      </c>
      <c r="M290" s="0" t="n">
        <f aca="false">W_PH(M$2,$A290)</f>
        <v>2728.56797911015</v>
      </c>
      <c r="N290" s="0" t="n">
        <f aca="false">W_PH(N$2,$A290)</f>
        <v>2728.56919794158</v>
      </c>
      <c r="O290" s="0" t="n">
        <f aca="false">W_PH(O$2,$A290)</f>
        <v>2728.57042142422</v>
      </c>
      <c r="P290" s="0" t="n">
        <f aca="false">W_PH(P$2,$A290)</f>
        <v>2728.58261091903</v>
      </c>
      <c r="Q290" s="0" t="n">
        <f aca="false">W_PH(Q$2,$A290)</f>
        <v>2728.59480223434</v>
      </c>
      <c r="R290" s="0" t="n">
        <f aca="false">W_PH(R$2,$A290)</f>
        <v>2728.60699537653</v>
      </c>
      <c r="S290" s="0" t="n">
        <f aca="false">W_PH(S$2,$A290)</f>
        <v>2728.61919035194</v>
      </c>
      <c r="T290" s="0" t="n">
        <f aca="false">W_PH(T$2,$A290)</f>
        <v>2728.63137789799</v>
      </c>
      <c r="U290" s="0" t="n">
        <f aca="false">W_PH(U$2,$A290)</f>
        <v>2728.64357655839</v>
      </c>
      <c r="V290" s="0" t="n">
        <f aca="false">W_PH(V$2,$A290)</f>
        <v>2728.6557770711</v>
      </c>
      <c r="W290" s="0" t="n">
        <f aca="false">W_PH(W$2,$A290)</f>
        <v>2728.66797944248</v>
      </c>
      <c r="X290" s="0" t="n">
        <f aca="false">W_PH(X$2,$A290)</f>
        <v>2728.68017440769</v>
      </c>
      <c r="Y290" s="0" t="n">
        <f aca="false">W_PH(Y$2,$A290)</f>
        <v>2728.80225580364</v>
      </c>
      <c r="Z290" s="0" t="n">
        <f aca="false">W_PH(Z$2,$A290)</f>
        <v>2728.9244656376</v>
      </c>
      <c r="AA290" s="0" t="n">
        <f aca="false">W_PH(AA$2,$A290)</f>
        <v>2729.04681942971</v>
      </c>
      <c r="AB290" s="0" t="n">
        <f aca="false">W_PH(AB$2,$A290)</f>
        <v>2729.16932342366</v>
      </c>
      <c r="AC290" s="0" t="n">
        <f aca="false">W_PH(AC$2,$A290)</f>
        <v>2729.29197455876</v>
      </c>
      <c r="AD290" s="0" t="n">
        <f aca="false">W_PH(AD$2,$A290)</f>
        <v>2729.41478835631</v>
      </c>
      <c r="AE290" s="0" t="n">
        <f aca="false">W_PH(AE$2,$A290)</f>
        <v>2729.53777104442</v>
      </c>
      <c r="AF290" s="0" t="n">
        <f aca="false">W_PH(AF$2,$A290)</f>
        <v>2729.6609195301</v>
      </c>
      <c r="AG290" s="0" t="n">
        <f aca="false">W_PH(AG$2,$A290)</f>
        <v>2729.78424933593</v>
      </c>
      <c r="AH290" s="0" t="n">
        <f aca="false">W_PH(AH$2,$A290)</f>
        <v>2731.02855607367</v>
      </c>
      <c r="AI290" s="0" t="n">
        <f aca="false">W_PH(AI$2,$A290)</f>
        <v>2732.29704783552</v>
      </c>
      <c r="AJ290" s="0" t="n">
        <f aca="false">W_PH(AJ$2,$A290)</f>
        <v>2733.59556273912</v>
      </c>
      <c r="AK290" s="0" t="n">
        <f aca="false">W_PH(AK$2,$A290)</f>
        <v>2734.92990438638</v>
      </c>
      <c r="AL290" s="0" t="n">
        <f aca="false">W_PH(AL$2,$A290)</f>
        <v>2736.30582557868</v>
      </c>
      <c r="AM290" s="0" t="n">
        <f aca="false">W_PH(AM$2,$A290)</f>
        <v>2737.72903569416</v>
      </c>
      <c r="AN290" s="0" t="n">
        <f aca="false">W_PH(AN$2,$A290)</f>
        <v>2739.2052181018</v>
      </c>
      <c r="AO290" s="0" t="n">
        <f aca="false">W_PH(AO$2,$A290)</f>
        <v>2740.74000435472</v>
      </c>
      <c r="AP290" s="0" t="n">
        <f aca="false">W_PH(AP$2,$A290)</f>
        <v>2015</v>
      </c>
      <c r="AQ290" s="0" t="n">
        <f aca="false">W_PH(AQ$2,$A290)</f>
        <v>2015</v>
      </c>
      <c r="AR290" s="0" t="n">
        <f aca="false">W_PH(AR$2,$A290)</f>
        <v>2015</v>
      </c>
      <c r="AS290" s="0" t="n">
        <f aca="false">W_PH(AS$2,$A290)</f>
        <v>2015</v>
      </c>
    </row>
    <row r="291" customFormat="false" ht="12.8" hidden="false" customHeight="false" outlineLevel="0" collapsed="false">
      <c r="A291" s="0" t="n">
        <v>1938.95098882201</v>
      </c>
      <c r="B291" s="0" t="n">
        <f aca="false">W_PH(B$2,$A291)</f>
        <v>2015</v>
      </c>
      <c r="C291" s="0" t="n">
        <f aca="false">W_PH(C$2,$A291)</f>
        <v>2732.80231706211</v>
      </c>
      <c r="D291" s="0" t="n">
        <f aca="false">W_PH(D$2,$A291)</f>
        <v>2732.80244009761</v>
      </c>
      <c r="E291" s="0" t="n">
        <f aca="false">W_PH(E$2,$A291)</f>
        <v>2732.80256313328</v>
      </c>
      <c r="F291" s="0" t="n">
        <f aca="false">W_PH(F$2,$A291)</f>
        <v>2732.80268616913</v>
      </c>
      <c r="G291" s="0" t="n">
        <f aca="false">W_PH(G$2,$A291)</f>
        <v>2732.8039165374</v>
      </c>
      <c r="H291" s="0" t="n">
        <f aca="false">W_PH(H$2,$A291)</f>
        <v>2732.80514692341</v>
      </c>
      <c r="I291" s="0" t="n">
        <f aca="false">W_PH(I$2,$A291)</f>
        <v>2732.80637732719</v>
      </c>
      <c r="J291" s="0" t="n">
        <f aca="false">W_PH(J$2,$A291)</f>
        <v>2732.80760774872</v>
      </c>
      <c r="K291" s="0" t="n">
        <f aca="false">W_PH(K$2,$A291)</f>
        <v>2732.80883818803</v>
      </c>
      <c r="L291" s="0" t="n">
        <f aca="false">W_PH(L$2,$A291)</f>
        <v>2732.81006864512</v>
      </c>
      <c r="M291" s="0" t="n">
        <f aca="false">W_PH(M$2,$A291)</f>
        <v>2732.81129911999</v>
      </c>
      <c r="N291" s="0" t="n">
        <f aca="false">W_PH(N$2,$A291)</f>
        <v>2732.81252961265</v>
      </c>
      <c r="O291" s="0" t="n">
        <f aca="false">W_PH(O$2,$A291)</f>
        <v>2732.8137601231</v>
      </c>
      <c r="P291" s="0" t="n">
        <f aca="false">W_PH(P$2,$A291)</f>
        <v>2732.82607083292</v>
      </c>
      <c r="Q291" s="0" t="n">
        <f aca="false">W_PH(Q$2,$A291)</f>
        <v>2732.83838332982</v>
      </c>
      <c r="R291" s="0" t="n">
        <f aca="false">W_PH(R$2,$A291)</f>
        <v>2732.85069299445</v>
      </c>
      <c r="S291" s="0" t="n">
        <f aca="false">W_PH(S$2,$A291)</f>
        <v>2732.86300445822</v>
      </c>
      <c r="T291" s="0" t="n">
        <f aca="false">W_PH(T$2,$A291)</f>
        <v>2732.87531310121</v>
      </c>
      <c r="U291" s="0" t="n">
        <f aca="false">W_PH(U$2,$A291)</f>
        <v>2732.88762355541</v>
      </c>
      <c r="V291" s="0" t="n">
        <f aca="false">W_PH(V$2,$A291)</f>
        <v>2732.8999404539</v>
      </c>
      <c r="W291" s="0" t="n">
        <f aca="false">W_PH(W$2,$A291)</f>
        <v>2732.91225917675</v>
      </c>
      <c r="X291" s="0" t="n">
        <f aca="false">W_PH(X$2,$A291)</f>
        <v>2732.92457973027</v>
      </c>
      <c r="Y291" s="0" t="n">
        <f aca="false">W_PH(Y$2,$A291)</f>
        <v>2733.0478225181</v>
      </c>
      <c r="Z291" s="0" t="n">
        <f aca="false">W_PH(Z$2,$A291)</f>
        <v>2733.17119963355</v>
      </c>
      <c r="AA291" s="0" t="n">
        <f aca="false">W_PH(AA$2,$A291)</f>
        <v>2733.29471727384</v>
      </c>
      <c r="AB291" s="0" t="n">
        <f aca="false">W_PH(AB$2,$A291)</f>
        <v>2733.4183816311</v>
      </c>
      <c r="AC291" s="0" t="n">
        <f aca="false">W_PH(AC$2,$A291)</f>
        <v>2733.54219889237</v>
      </c>
      <c r="AD291" s="0" t="n">
        <f aca="false">W_PH(AD$2,$A291)</f>
        <v>2733.66616595181</v>
      </c>
      <c r="AE291" s="0" t="n">
        <f aca="false">W_PH(AE$2,$A291)</f>
        <v>2733.7903075564</v>
      </c>
      <c r="AF291" s="0" t="n">
        <f aca="false">W_PH(AF$2,$A291)</f>
        <v>2733.91460199814</v>
      </c>
      <c r="AG291" s="0" t="n">
        <f aca="false">W_PH(AG$2,$A291)</f>
        <v>2734.03908332376</v>
      </c>
      <c r="AH291" s="0" t="n">
        <f aca="false">W_PH(AH$2,$A291)</f>
        <v>2735.29471772082</v>
      </c>
      <c r="AI291" s="0" t="n">
        <f aca="false">W_PH(AI$2,$A291)</f>
        <v>2736.57422388798</v>
      </c>
      <c r="AJ291" s="0" t="n">
        <f aca="false">W_PH(AJ$2,$A291)</f>
        <v>2737.88338425052</v>
      </c>
      <c r="AK291" s="0" t="n">
        <f aca="false">W_PH(AK$2,$A291)</f>
        <v>2739.22796671948</v>
      </c>
      <c r="AL291" s="0" t="n">
        <f aca="false">W_PH(AL$2,$A291)</f>
        <v>2740.61368019363</v>
      </c>
      <c r="AM291" s="0" t="n">
        <f aca="false">W_PH(AM$2,$A291)</f>
        <v>2742.04620084359</v>
      </c>
      <c r="AN291" s="0" t="n">
        <f aca="false">W_PH(AN$2,$A291)</f>
        <v>2743.53115098881</v>
      </c>
      <c r="AO291" s="0" t="n">
        <f aca="false">W_PH(AO$2,$A291)</f>
        <v>2745.07415030572</v>
      </c>
      <c r="AP291" s="0" t="n">
        <f aca="false">W_PH(AP$2,$A291)</f>
        <v>2015</v>
      </c>
      <c r="AQ291" s="0" t="n">
        <f aca="false">W_PH(AQ$2,$A291)</f>
        <v>2015</v>
      </c>
      <c r="AR291" s="0" t="n">
        <f aca="false">W_PH(AR$2,$A291)</f>
        <v>2015</v>
      </c>
      <c r="AS291" s="0" t="n">
        <f aca="false">W_PH(AS$2,$A291)</f>
        <v>2015</v>
      </c>
    </row>
    <row r="292" customFormat="false" ht="12.8" hidden="false" customHeight="false" outlineLevel="0" collapsed="false">
      <c r="A292" s="0" t="n">
        <v>1943.25021496131</v>
      </c>
      <c r="B292" s="0" t="n">
        <f aca="false">W_PH(B$2,$A292)</f>
        <v>2015</v>
      </c>
      <c r="C292" s="0" t="n">
        <f aca="false">W_PH(C$2,$A292)</f>
        <v>2737.03333677005</v>
      </c>
      <c r="D292" s="0" t="n">
        <f aca="false">W_PH(D$2,$A292)</f>
        <v>2737.03346232307</v>
      </c>
      <c r="E292" s="0" t="n">
        <f aca="false">W_PH(E$2,$A292)</f>
        <v>2737.03358787628</v>
      </c>
      <c r="F292" s="0" t="n">
        <f aca="false">W_PH(F$2,$A292)</f>
        <v>2737.03371342965</v>
      </c>
      <c r="G292" s="0" t="n">
        <f aca="false">W_PH(G$2,$A292)</f>
        <v>2737.03495512373</v>
      </c>
      <c r="H292" s="0" t="n">
        <f aca="false">W_PH(H$2,$A292)</f>
        <v>2737.03619683523</v>
      </c>
      <c r="I292" s="0" t="n">
        <f aca="false">W_PH(I$2,$A292)</f>
        <v>2737.03744318066</v>
      </c>
      <c r="J292" s="0" t="n">
        <f aca="false">W_PH(J$2,$A292)</f>
        <v>2737.03868031051</v>
      </c>
      <c r="K292" s="0" t="n">
        <f aca="false">W_PH(K$2,$A292)</f>
        <v>2737.03992669086</v>
      </c>
      <c r="L292" s="0" t="n">
        <f aca="false">W_PH(L$2,$A292)</f>
        <v>2737.04116385553</v>
      </c>
      <c r="M292" s="0" t="n">
        <f aca="false">W_PH(M$2,$A292)</f>
        <v>2737.04241027083</v>
      </c>
      <c r="N292" s="0" t="n">
        <f aca="false">W_PH(N$2,$A292)</f>
        <v>2737.04364747035</v>
      </c>
      <c r="O292" s="0" t="n">
        <f aca="false">W_PH(O$2,$A292)</f>
        <v>2737.04489392062</v>
      </c>
      <c r="P292" s="0" t="n">
        <f aca="false">W_PH(P$2,$A292)</f>
        <v>2737.05731321869</v>
      </c>
      <c r="Q292" s="0" t="n">
        <f aca="false">W_PH(Q$2,$A292)</f>
        <v>2737.06974350427</v>
      </c>
      <c r="R292" s="0" t="n">
        <f aca="false">W_PH(R$2,$A292)</f>
        <v>2737.0821663153</v>
      </c>
      <c r="S292" s="0" t="n">
        <f aca="false">W_PH(S$2,$A292)</f>
        <v>2737.09459089192</v>
      </c>
      <c r="T292" s="0" t="n">
        <f aca="false">W_PH(T$2,$A292)</f>
        <v>2737.10701724038</v>
      </c>
      <c r="U292" s="0" t="n">
        <f aca="false">W_PH(U$2,$A292)</f>
        <v>2737.11944998526</v>
      </c>
      <c r="V292" s="0" t="n">
        <f aca="false">W_PH(V$2,$A292)</f>
        <v>2737.13188451503</v>
      </c>
      <c r="W292" s="0" t="n">
        <f aca="false">W_PH(W$2,$A292)</f>
        <v>2737.1443162171</v>
      </c>
      <c r="X292" s="0" t="n">
        <f aca="false">W_PH(X$2,$A292)</f>
        <v>2737.15674509691</v>
      </c>
      <c r="Y292" s="0" t="n">
        <f aca="false">W_PH(Y$2,$A292)</f>
        <v>2737.28114793305</v>
      </c>
      <c r="Z292" s="0" t="n">
        <f aca="false">W_PH(Z$2,$A292)</f>
        <v>2737.4056771716</v>
      </c>
      <c r="AA292" s="0" t="n">
        <f aca="false">W_PH(AA$2,$A292)</f>
        <v>2737.53034357788</v>
      </c>
      <c r="AB292" s="0" t="n">
        <f aca="false">W_PH(AB$2,$A292)</f>
        <v>2737.65515329309</v>
      </c>
      <c r="AC292" s="0" t="n">
        <f aca="false">W_PH(AC$2,$A292)</f>
        <v>2737.78010318799</v>
      </c>
      <c r="AD292" s="0" t="n">
        <f aca="false">W_PH(AD$2,$A292)</f>
        <v>2737.90521791946</v>
      </c>
      <c r="AE292" s="0" t="n">
        <f aca="false">W_PH(AE$2,$A292)</f>
        <v>2738.03048971562</v>
      </c>
      <c r="AF292" s="0" t="n">
        <f aca="false">W_PH(AF$2,$A292)</f>
        <v>2738.1559293307</v>
      </c>
      <c r="AG292" s="0" t="n">
        <f aca="false">W_PH(AG$2,$A292)</f>
        <v>2738.28153823764</v>
      </c>
      <c r="AH292" s="0" t="n">
        <f aca="false">W_PH(AH$2,$A292)</f>
        <v>2739.54834880999</v>
      </c>
      <c r="AI292" s="0" t="n">
        <f aca="false">W_PH(AI$2,$A292)</f>
        <v>2740.83870722188</v>
      </c>
      <c r="AJ292" s="0" t="n">
        <f aca="false">W_PH(AJ$2,$A292)</f>
        <v>2742.15837826128</v>
      </c>
      <c r="AK292" s="0" t="n">
        <f aca="false">W_PH(AK$2,$A292)</f>
        <v>2743.51305694293</v>
      </c>
      <c r="AL292" s="0" t="n">
        <f aca="false">W_PH(AL$2,$A292)</f>
        <v>2744.90843708846</v>
      </c>
      <c r="AM292" s="0" t="n">
        <f aca="false">W_PH(AM$2,$A292)</f>
        <v>2746.35012862434</v>
      </c>
      <c r="AN292" s="0" t="n">
        <f aca="false">W_PH(AN$2,$A292)</f>
        <v>2747.84373638756</v>
      </c>
      <c r="AO292" s="0" t="n">
        <f aca="false">W_PH(AO$2,$A292)</f>
        <v>2749.39482510744</v>
      </c>
      <c r="AP292" s="0" t="n">
        <f aca="false">W_PH(AP$2,$A292)</f>
        <v>2015</v>
      </c>
      <c r="AQ292" s="0" t="n">
        <f aca="false">W_PH(AQ$2,$A292)</f>
        <v>2015</v>
      </c>
      <c r="AR292" s="0" t="n">
        <f aca="false">W_PH(AR$2,$A292)</f>
        <v>2015</v>
      </c>
      <c r="AS292" s="0" t="n">
        <f aca="false">W_PH(AS$2,$A292)</f>
        <v>2015</v>
      </c>
    </row>
    <row r="293" customFormat="false" ht="12.8" hidden="false" customHeight="false" outlineLevel="0" collapsed="false">
      <c r="A293" s="0" t="n">
        <v>1947.5494411006</v>
      </c>
      <c r="B293" s="0" t="n">
        <f aca="false">W_PH(B$2,$A293)</f>
        <v>2015</v>
      </c>
      <c r="C293" s="0" t="n">
        <f aca="false">W_PH(C$2,$A293)</f>
        <v>2741.25225600986</v>
      </c>
      <c r="D293" s="0" t="n">
        <f aca="false">W_PH(D$2,$A293)</f>
        <v>2741.25237482577</v>
      </c>
      <c r="E293" s="0" t="n">
        <f aca="false">W_PH(E$2,$A293)</f>
        <v>2741.25250285849</v>
      </c>
      <c r="F293" s="0" t="n">
        <f aca="false">W_PH(F$2,$A293)</f>
        <v>2741.25263089139</v>
      </c>
      <c r="G293" s="0" t="n">
        <f aca="false">W_PH(G$2,$A293)</f>
        <v>2741.2538835798</v>
      </c>
      <c r="H293" s="0" t="n">
        <f aca="false">W_PH(H$2,$A293)</f>
        <v>2741.25513628531</v>
      </c>
      <c r="I293" s="0" t="n">
        <f aca="false">W_PH(I$2,$A293)</f>
        <v>2741.25638900791</v>
      </c>
      <c r="J293" s="0" t="n">
        <f aca="false">W_PH(J$2,$A293)</f>
        <v>2741.25764174761</v>
      </c>
      <c r="K293" s="0" t="n">
        <f aca="false">W_PH(K$2,$A293)</f>
        <v>2741.25889450442</v>
      </c>
      <c r="L293" s="0" t="n">
        <f aca="false">W_PH(L$2,$A293)</f>
        <v>2741.26014727835</v>
      </c>
      <c r="M293" s="0" t="n">
        <f aca="false">W_PH(M$2,$A293)</f>
        <v>2741.2614000694</v>
      </c>
      <c r="N293" s="0" t="n">
        <f aca="false">W_PH(N$2,$A293)</f>
        <v>2741.26265748612</v>
      </c>
      <c r="O293" s="0" t="n">
        <f aca="false">W_PH(O$2,$A293)</f>
        <v>2741.26391492003</v>
      </c>
      <c r="P293" s="0" t="n">
        <f aca="false">W_PH(P$2,$A293)</f>
        <v>2741.27644411735</v>
      </c>
      <c r="Q293" s="0" t="n">
        <f aca="false">W_PH(Q$2,$A293)</f>
        <v>2741.28898425306</v>
      </c>
      <c r="R293" s="0" t="n">
        <f aca="false">W_PH(R$2,$A293)</f>
        <v>2741.30152611622</v>
      </c>
      <c r="S293" s="0" t="n">
        <f aca="false">W_PH(S$2,$A293)</f>
        <v>2741.31406971302</v>
      </c>
      <c r="T293" s="0" t="n">
        <f aca="false">W_PH(T$2,$A293)</f>
        <v>2741.32660582983</v>
      </c>
      <c r="U293" s="0" t="n">
        <f aca="false">W_PH(U$2,$A293)</f>
        <v>2741.339152912</v>
      </c>
      <c r="V293" s="0" t="n">
        <f aca="false">W_PH(V$2,$A293)</f>
        <v>2741.3516925255</v>
      </c>
      <c r="W293" s="0" t="n">
        <f aca="false">W_PH(W$2,$A293)</f>
        <v>2741.36424311785</v>
      </c>
      <c r="X293" s="0" t="n">
        <f aca="false">W_PH(X$2,$A293)</f>
        <v>2741.37678625285</v>
      </c>
      <c r="Y293" s="0" t="n">
        <f aca="false">W_PH(Y$2,$A293)</f>
        <v>2741.50232519096</v>
      </c>
      <c r="Z293" s="0" t="n">
        <f aca="false">W_PH(Z$2,$A293)</f>
        <v>2741.6279873021</v>
      </c>
      <c r="AA293" s="0" t="n">
        <f aca="false">W_PH(AA$2,$A293)</f>
        <v>2741.75378329307</v>
      </c>
      <c r="AB293" s="0" t="n">
        <f aca="false">W_PH(AB$2,$A293)</f>
        <v>2741.87972387664</v>
      </c>
      <c r="AC293" s="0" t="n">
        <f aca="false">W_PH(AC$2,$A293)</f>
        <v>2742.00581052255</v>
      </c>
      <c r="AD293" s="0" t="n">
        <f aca="false">W_PH(AD$2,$A293)</f>
        <v>2742.13204005782</v>
      </c>
      <c r="AE293" s="0" t="n">
        <f aca="false">W_PH(AE$2,$A293)</f>
        <v>2742.25843706215</v>
      </c>
      <c r="AF293" s="0" t="n">
        <f aca="false">W_PH(AF$2,$A293)</f>
        <v>2742.38498909334</v>
      </c>
      <c r="AG293" s="0" t="n">
        <f aca="false">W_PH(AG$2,$A293)</f>
        <v>2742.51172074297</v>
      </c>
      <c r="AH293" s="0" t="n">
        <f aca="false">W_PH(AH$2,$A293)</f>
        <v>2743.78954251501</v>
      </c>
      <c r="AI293" s="0" t="n">
        <f aca="false">W_PH(AI$2,$A293)</f>
        <v>2745.09061475822</v>
      </c>
      <c r="AJ293" s="0" t="n">
        <f aca="false">W_PH(AJ$2,$A293)</f>
        <v>2746.42063822492</v>
      </c>
      <c r="AK293" s="0" t="n">
        <f aca="false">W_PH(AK$2,$A293)</f>
        <v>2747.78528258675</v>
      </c>
      <c r="AL293" s="0" t="n">
        <f aca="false">W_PH(AL$2,$A293)</f>
        <v>2749.1901891361</v>
      </c>
      <c r="AM293" s="0" t="n">
        <f aca="false">W_PH(AM$2,$A293)</f>
        <v>2750.6409401252</v>
      </c>
      <c r="AN293" s="0" t="n">
        <f aca="false">W_PH(AN$2,$A293)</f>
        <v>2752.14309463988</v>
      </c>
      <c r="AO293" s="0" t="n">
        <f aca="false">W_PH(AO$2,$A293)</f>
        <v>2753.70216761858</v>
      </c>
      <c r="AP293" s="0" t="n">
        <f aca="false">W_PH(AP$2,$A293)</f>
        <v>2015</v>
      </c>
      <c r="AQ293" s="0" t="n">
        <f aca="false">W_PH(AQ$2,$A293)</f>
        <v>2015</v>
      </c>
      <c r="AR293" s="0" t="n">
        <f aca="false">W_PH(AR$2,$A293)</f>
        <v>2015</v>
      </c>
      <c r="AS293" s="0" t="n">
        <f aca="false">W_PH(AS$2,$A293)</f>
        <v>2015</v>
      </c>
    </row>
    <row r="294" customFormat="false" ht="12.8" hidden="false" customHeight="false" outlineLevel="0" collapsed="false">
      <c r="A294" s="0" t="n">
        <v>1951.8486672399</v>
      </c>
      <c r="B294" s="0" t="n">
        <f aca="false">W_PH(B$2,$A294)</f>
        <v>2015</v>
      </c>
      <c r="C294" s="0" t="n">
        <f aca="false">W_PH(C$2,$A294)</f>
        <v>2745.45915628465</v>
      </c>
      <c r="D294" s="0" t="n">
        <f aca="false">W_PH(D$2,$A294)</f>
        <v>2745.45928675941</v>
      </c>
      <c r="E294" s="0" t="n">
        <f aca="false">W_PH(E$2,$A294)</f>
        <v>2745.45940803373</v>
      </c>
      <c r="F294" s="0" t="n">
        <f aca="false">W_PH(F$2,$A294)</f>
        <v>2745.45953850882</v>
      </c>
      <c r="G294" s="0" t="n">
        <f aca="false">W_PH(G$2,$A294)</f>
        <v>2745.46080646659</v>
      </c>
      <c r="H294" s="0" t="n">
        <f aca="false">W_PH(H$2,$A294)</f>
        <v>2745.46206524045</v>
      </c>
      <c r="I294" s="0" t="n">
        <f aca="false">W_PH(I$2,$A294)</f>
        <v>2745.46333323181</v>
      </c>
      <c r="J294" s="0" t="n">
        <f aca="false">W_PH(J$2,$A294)</f>
        <v>2745.46460124001</v>
      </c>
      <c r="K294" s="0" t="n">
        <f aca="false">W_PH(K$2,$A294)</f>
        <v>2745.46586006415</v>
      </c>
      <c r="L294" s="0" t="n">
        <f aca="false">W_PH(L$2,$A294)</f>
        <v>2745.46712810597</v>
      </c>
      <c r="M294" s="0" t="n">
        <f aca="false">W_PH(M$2,$A294)</f>
        <v>2745.46839616465</v>
      </c>
      <c r="N294" s="0" t="n">
        <f aca="false">W_PH(N$2,$A294)</f>
        <v>2745.46965503913</v>
      </c>
      <c r="O294" s="0" t="n">
        <f aca="false">W_PH(O$2,$A294)</f>
        <v>2745.47092313147</v>
      </c>
      <c r="P294" s="0" t="n">
        <f aca="false">W_PH(P$2,$A294)</f>
        <v>2745.48356817719</v>
      </c>
      <c r="Q294" s="0" t="n">
        <f aca="false">W_PH(Q$2,$A294)</f>
        <v>2745.49622411391</v>
      </c>
      <c r="R294" s="0" t="n">
        <f aca="false">W_PH(R$2,$A294)</f>
        <v>2745.50887254397</v>
      </c>
      <c r="S294" s="0" t="n">
        <f aca="false">W_PH(S$2,$A294)</f>
        <v>2745.52152267518</v>
      </c>
      <c r="T294" s="0" t="n">
        <f aca="false">W_PH(T$2,$A294)</f>
        <v>2745.53418371743</v>
      </c>
      <c r="U294" s="0" t="n">
        <f aca="false">W_PH(U$2,$A294)</f>
        <v>2745.54683726989</v>
      </c>
      <c r="V294" s="0" t="n">
        <f aca="false">W_PH(V$2,$A294)</f>
        <v>2745.55949254194</v>
      </c>
      <c r="W294" s="0" t="n">
        <f aca="false">W_PH(W$2,$A294)</f>
        <v>2745.57214953974</v>
      </c>
      <c r="X294" s="0" t="n">
        <f aca="false">W_PH(X$2,$A294)</f>
        <v>2745.58480826942</v>
      </c>
      <c r="Y294" s="0" t="n">
        <f aca="false">W_PH(Y$2,$A294)</f>
        <v>2745.71146453919</v>
      </c>
      <c r="Z294" s="0" t="n">
        <f aca="false">W_PH(Z$2,$A294)</f>
        <v>2745.83824542805</v>
      </c>
      <c r="AA294" s="0" t="n">
        <f aca="false">W_PH(AA$2,$A294)</f>
        <v>2745.9651569821</v>
      </c>
      <c r="AB294" s="0" t="n">
        <f aca="false">W_PH(AB$2,$A294)</f>
        <v>2746.09220985631</v>
      </c>
      <c r="AC294" s="0" t="n">
        <f aca="false">W_PH(AC$2,$A294)</f>
        <v>2746.21940547909</v>
      </c>
      <c r="AD294" s="0" t="n">
        <f aca="false">W_PH(AD$2,$A294)</f>
        <v>2746.3467452635</v>
      </c>
      <c r="AE294" s="0" t="n">
        <f aca="false">W_PH(AE$2,$A294)</f>
        <v>2746.47424909345</v>
      </c>
      <c r="AF294" s="0" t="n">
        <f aca="false">W_PH(AF$2,$A294)</f>
        <v>2746.60190451075</v>
      </c>
      <c r="AG294" s="0" t="n">
        <f aca="false">W_PH(AG$2,$A294)</f>
        <v>2746.7297360247</v>
      </c>
      <c r="AH294" s="0" t="n">
        <f aca="false">W_PH(AH$2,$A294)</f>
        <v>2748.01841846827</v>
      </c>
      <c r="AI294" s="0" t="n">
        <f aca="false">W_PH(AI$2,$A294)</f>
        <v>2749.3300523421</v>
      </c>
      <c r="AJ294" s="0" t="n">
        <f aca="false">W_PH(AJ$2,$A294)</f>
        <v>2750.67028421913</v>
      </c>
      <c r="AK294" s="0" t="n">
        <f aca="false">W_PH(AK$2,$A294)</f>
        <v>2752.0447683155</v>
      </c>
      <c r="AL294" s="0" t="n">
        <f aca="false">W_PH(AL$2,$A294)</f>
        <v>2753.45906552322</v>
      </c>
      <c r="AM294" s="0" t="n">
        <f aca="false">W_PH(AM$2,$A294)</f>
        <v>2754.91875440546</v>
      </c>
      <c r="AN294" s="0" t="n">
        <f aca="false">W_PH(AN$2,$A294)</f>
        <v>2756.42933439895</v>
      </c>
      <c r="AO294" s="0" t="n">
        <f aca="false">W_PH(AO$2,$A294)</f>
        <v>2757.99629508439</v>
      </c>
      <c r="AP294" s="0" t="n">
        <f aca="false">W_PH(AP$2,$A294)</f>
        <v>2015</v>
      </c>
      <c r="AQ294" s="0" t="n">
        <f aca="false">W_PH(AQ$2,$A294)</f>
        <v>2015</v>
      </c>
      <c r="AR294" s="0" t="n">
        <f aca="false">W_PH(AR$2,$A294)</f>
        <v>2015</v>
      </c>
      <c r="AS294" s="0" t="n">
        <f aca="false">W_PH(AS$2,$A294)</f>
        <v>2015</v>
      </c>
    </row>
    <row r="295" customFormat="false" ht="12.8" hidden="false" customHeight="false" outlineLevel="0" collapsed="false">
      <c r="A295" s="0" t="n">
        <v>1956.14789337919</v>
      </c>
      <c r="B295" s="0" t="n">
        <f aca="false">W_PH(B$2,$A295)</f>
        <v>2015</v>
      </c>
      <c r="C295" s="0" t="n">
        <f aca="false">W_PH(C$2,$A295)</f>
        <v>2749.65416381834</v>
      </c>
      <c r="D295" s="0" t="n">
        <f aca="false">W_PH(D$2,$A295)</f>
        <v>2749.65428751394</v>
      </c>
      <c r="E295" s="0" t="n">
        <f aca="false">W_PH(E$2,$A295)</f>
        <v>2749.65441580206</v>
      </c>
      <c r="F295" s="0" t="n">
        <f aca="false">W_PH(F$2,$A295)</f>
        <v>2749.65454409035</v>
      </c>
      <c r="G295" s="0" t="n">
        <f aca="false">W_PH(G$2,$A295)</f>
        <v>2749.65581779756</v>
      </c>
      <c r="H295" s="0" t="n">
        <f aca="false">W_PH(H$2,$A295)</f>
        <v>2749.65709152121</v>
      </c>
      <c r="I295" s="0" t="n">
        <f aca="false">W_PH(I$2,$A295)</f>
        <v>2749.6583744462</v>
      </c>
      <c r="J295" s="0" t="n">
        <f aca="false">W_PH(J$2,$A295)</f>
        <v>2749.65964820283</v>
      </c>
      <c r="K295" s="0" t="n">
        <f aca="false">W_PH(K$2,$A295)</f>
        <v>2749.66092197592</v>
      </c>
      <c r="L295" s="0" t="n">
        <f aca="false">W_PH(L$2,$A295)</f>
        <v>2749.66219576549</v>
      </c>
      <c r="M295" s="0" t="n">
        <f aca="false">W_PH(M$2,$A295)</f>
        <v>2749.66347875662</v>
      </c>
      <c r="N295" s="0" t="n">
        <f aca="false">W_PH(N$2,$A295)</f>
        <v>2749.6647525792</v>
      </c>
      <c r="O295" s="0" t="n">
        <f aca="false">W_PH(O$2,$A295)</f>
        <v>2749.66602641828</v>
      </c>
      <c r="P295" s="0" t="n">
        <f aca="false">W_PH(P$2,$A295)</f>
        <v>2749.67878408885</v>
      </c>
      <c r="Q295" s="0" t="n">
        <f aca="false">W_PH(Q$2,$A295)</f>
        <v>2749.69154801054</v>
      </c>
      <c r="R295" s="0" t="n">
        <f aca="false">W_PH(R$2,$A295)</f>
        <v>2749.70431359684</v>
      </c>
      <c r="S295" s="0" t="n">
        <f aca="false">W_PH(S$2,$A295)</f>
        <v>2749.71707626022</v>
      </c>
      <c r="T295" s="0" t="n">
        <f aca="false">W_PH(T$2,$A295)</f>
        <v>2749.72984059988</v>
      </c>
      <c r="U295" s="0" t="n">
        <f aca="false">W_PH(U$2,$A295)</f>
        <v>2749.74260662195</v>
      </c>
      <c r="V295" s="0" t="n">
        <f aca="false">W_PH(V$2,$A295)</f>
        <v>2749.7553743325</v>
      </c>
      <c r="W295" s="0" t="n">
        <f aca="false">W_PH(W$2,$A295)</f>
        <v>2749.76813914296</v>
      </c>
      <c r="X295" s="0" t="n">
        <f aca="false">W_PH(X$2,$A295)</f>
        <v>2749.78090565358</v>
      </c>
      <c r="Y295" s="0" t="n">
        <f aca="false">W_PH(Y$2,$A295)</f>
        <v>2749.90866561054</v>
      </c>
      <c r="Z295" s="0" t="n">
        <f aca="false">W_PH(Z$2,$A295)</f>
        <v>2750.03655168771</v>
      </c>
      <c r="AA295" s="0" t="n">
        <f aca="false">W_PH(AA$2,$A295)</f>
        <v>2750.16456528715</v>
      </c>
      <c r="AB295" s="0" t="n">
        <f aca="false">W_PH(AB$2,$A295)</f>
        <v>2750.29271700676</v>
      </c>
      <c r="AC295" s="0" t="n">
        <f aca="false">W_PH(AC$2,$A295)</f>
        <v>2750.42100362608</v>
      </c>
      <c r="AD295" s="0" t="n">
        <f aca="false">W_PH(AD$2,$A295)</f>
        <v>2750.54944034187</v>
      </c>
      <c r="AE295" s="0" t="n">
        <f aca="false">W_PH(AE$2,$A295)</f>
        <v>2750.67803314064</v>
      </c>
      <c r="AF295" s="0" t="n">
        <f aca="false">W_PH(AF$2,$A295)</f>
        <v>2750.80677877251</v>
      </c>
      <c r="AG295" s="0" t="n">
        <f aca="false">W_PH(AG$2,$A295)</f>
        <v>2750.93568781774</v>
      </c>
      <c r="AH295" s="0" t="n">
        <f aca="false">W_PH(AH$2,$A295)</f>
        <v>2752.23508537631</v>
      </c>
      <c r="AI295" s="0" t="n">
        <f aca="false">W_PH(AI$2,$A295)</f>
        <v>2753.55712420964</v>
      </c>
      <c r="AJ295" s="0" t="n">
        <f aca="false">W_PH(AJ$2,$A295)</f>
        <v>2754.90743452795</v>
      </c>
      <c r="AK295" s="0" t="n">
        <f aca="false">W_PH(AK$2,$A295)</f>
        <v>2756.29160856959</v>
      </c>
      <c r="AL295" s="0" t="n">
        <f aca="false">W_PH(AL$2,$A295)</f>
        <v>2757.7151839393</v>
      </c>
      <c r="AM295" s="0" t="n">
        <f aca="false">W_PH(AM$2,$A295)</f>
        <v>2759.18368377171</v>
      </c>
      <c r="AN295" s="0" t="n">
        <f aca="false">W_PH(AN$2,$A295)</f>
        <v>2760.70258153888</v>
      </c>
      <c r="AO295" s="0" t="n">
        <f aca="false">W_PH(AO$2,$A295)</f>
        <v>2762.27732267047</v>
      </c>
      <c r="AP295" s="0" t="n">
        <f aca="false">W_PH(AP$2,$A295)</f>
        <v>2015</v>
      </c>
      <c r="AQ295" s="0" t="n">
        <f aca="false">W_PH(AQ$2,$A295)</f>
        <v>2015</v>
      </c>
      <c r="AR295" s="0" t="n">
        <f aca="false">W_PH(AR$2,$A295)</f>
        <v>2015</v>
      </c>
      <c r="AS295" s="0" t="n">
        <f aca="false">W_PH(AS$2,$A295)</f>
        <v>2015</v>
      </c>
    </row>
    <row r="296" customFormat="false" ht="12.8" hidden="false" customHeight="false" outlineLevel="0" collapsed="false">
      <c r="A296" s="0" t="n">
        <v>1960.44711951849</v>
      </c>
      <c r="B296" s="0" t="n">
        <f aca="false">W_PH(B$2,$A296)</f>
        <v>2015</v>
      </c>
      <c r="C296" s="0" t="n">
        <f aca="false">W_PH(C$2,$A296)</f>
        <v>2753.8373574959</v>
      </c>
      <c r="D296" s="0" t="n">
        <f aca="false">W_PH(D$2,$A296)</f>
        <v>2753.83748816129</v>
      </c>
      <c r="E296" s="0" t="n">
        <f aca="false">W_PH(E$2,$A296)</f>
        <v>2753.83761882684</v>
      </c>
      <c r="F296" s="0" t="n">
        <f aca="false">W_PH(F$2,$A296)</f>
        <v>2753.83774490808</v>
      </c>
      <c r="G296" s="0" t="n">
        <f aca="false">W_PH(G$2,$A296)</f>
        <v>2753.83903323622</v>
      </c>
      <c r="H296" s="0" t="n">
        <f aca="false">W_PH(H$2,$A296)</f>
        <v>2753.84032158055</v>
      </c>
      <c r="I296" s="0" t="n">
        <f aca="false">W_PH(I$2,$A296)</f>
        <v>2753.84160994107</v>
      </c>
      <c r="J296" s="0" t="n">
        <f aca="false">W_PH(J$2,$A296)</f>
        <v>2753.84288914863</v>
      </c>
      <c r="K296" s="0" t="n">
        <f aca="false">W_PH(K$2,$A296)</f>
        <v>2753.84417754151</v>
      </c>
      <c r="L296" s="0" t="n">
        <f aca="false">W_PH(L$2,$A296)</f>
        <v>2753.8454659506</v>
      </c>
      <c r="M296" s="0" t="n">
        <f aca="false">W_PH(M$2,$A296)</f>
        <v>2753.8467543759</v>
      </c>
      <c r="N296" s="0" t="n">
        <f aca="false">W_PH(N$2,$A296)</f>
        <v>2753.84804281744</v>
      </c>
      <c r="O296" s="0" t="n">
        <f aca="false">W_PH(O$2,$A296)</f>
        <v>2753.84932669049</v>
      </c>
      <c r="P296" s="0" t="n">
        <f aca="false">W_PH(P$2,$A296)</f>
        <v>2753.86219840695</v>
      </c>
      <c r="Q296" s="0" t="n">
        <f aca="false">W_PH(Q$2,$A296)</f>
        <v>2753.87506716633</v>
      </c>
      <c r="R296" s="0" t="n">
        <f aca="false">W_PH(R$2,$A296)</f>
        <v>2753.88793755938</v>
      </c>
      <c r="S296" s="0" t="n">
        <f aca="false">W_PH(S$2,$A296)</f>
        <v>2753.90080959217</v>
      </c>
      <c r="T296" s="0" t="n">
        <f aca="false">W_PH(T$2,$A296)</f>
        <v>2753.91368327074</v>
      </c>
      <c r="U296" s="0" t="n">
        <f aca="false">W_PH(U$2,$A296)</f>
        <v>2753.92655860115</v>
      </c>
      <c r="V296" s="0" t="n">
        <f aca="false">W_PH(V$2,$A296)</f>
        <v>2753.93943558943</v>
      </c>
      <c r="W296" s="0" t="n">
        <f aca="false">W_PH(W$2,$A296)</f>
        <v>2753.95231424165</v>
      </c>
      <c r="X296" s="0" t="n">
        <f aca="false">W_PH(X$2,$A296)</f>
        <v>2753.96518997682</v>
      </c>
      <c r="Y296" s="0" t="n">
        <f aca="false">W_PH(Y$2,$A296)</f>
        <v>2754.09403588985</v>
      </c>
      <c r="Z296" s="0" t="n">
        <f aca="false">W_PH(Z$2,$A296)</f>
        <v>2754.22300488058</v>
      </c>
      <c r="AA296" s="0" t="n">
        <f aca="false">W_PH(AA$2,$A296)</f>
        <v>2754.35210750018</v>
      </c>
      <c r="AB296" s="0" t="n">
        <f aca="false">W_PH(AB$2,$A296)</f>
        <v>2754.48133131872</v>
      </c>
      <c r="AC296" s="0" t="n">
        <f aca="false">W_PH(AC$2,$A296)</f>
        <v>2754.61070526018</v>
      </c>
      <c r="AD296" s="0" t="n">
        <f aca="false">W_PH(AD$2,$A296)</f>
        <v>2754.74022147528</v>
      </c>
      <c r="AE296" s="0" t="n">
        <f aca="false">W_PH(AE$2,$A296)</f>
        <v>2754.86988128955</v>
      </c>
      <c r="AF296" s="0" t="n">
        <f aca="false">W_PH(AF$2,$A296)</f>
        <v>2754.99970444462</v>
      </c>
      <c r="AG296" s="0" t="n">
        <f aca="false">W_PH(AG$2,$A296)</f>
        <v>2755.12968765718</v>
      </c>
      <c r="AH296" s="0" t="n">
        <f aca="false">W_PH(AH$2,$A296)</f>
        <v>2756.43964113977</v>
      </c>
      <c r="AI296" s="0" t="n">
        <f aca="false">W_PH(AI$2,$A296)</f>
        <v>2757.7719516673</v>
      </c>
      <c r="AJ296" s="0" t="n">
        <f aca="false">W_PH(AJ$2,$A296)</f>
        <v>2759.13219630812</v>
      </c>
      <c r="AK296" s="0" t="n">
        <f aca="false">W_PH(AK$2,$A296)</f>
        <v>2760.52593384725</v>
      </c>
      <c r="AL296" s="0" t="n">
        <f aca="false">W_PH(AL$2,$A296)</f>
        <v>2761.95866019064</v>
      </c>
      <c r="AM296" s="0" t="n">
        <f aca="false">W_PH(AM$2,$A296)</f>
        <v>2763.43585766833</v>
      </c>
      <c r="AN296" s="0" t="n">
        <f aca="false">W_PH(AN$2,$A296)</f>
        <v>2764.96295507823</v>
      </c>
      <c r="AO296" s="0" t="n">
        <f aca="false">W_PH(AO$2,$A296)</f>
        <v>2766.54537312023</v>
      </c>
      <c r="AP296" s="0" t="n">
        <f aca="false">W_PH(AP$2,$A296)</f>
        <v>2015</v>
      </c>
      <c r="AQ296" s="0" t="n">
        <f aca="false">W_PH(AQ$2,$A296)</f>
        <v>2015</v>
      </c>
      <c r="AR296" s="0" t="n">
        <f aca="false">W_PH(AR$2,$A296)</f>
        <v>2015</v>
      </c>
      <c r="AS296" s="0" t="n">
        <f aca="false">W_PH(AS$2,$A296)</f>
        <v>2015</v>
      </c>
    </row>
    <row r="297" customFormat="false" ht="12.8" hidden="false" customHeight="false" outlineLevel="0" collapsed="false">
      <c r="A297" s="0" t="n">
        <v>1964.74634565778</v>
      </c>
      <c r="B297" s="0" t="n">
        <f aca="false">W_PH(B$2,$A297)</f>
        <v>2015</v>
      </c>
      <c r="C297" s="0" t="n">
        <f aca="false">W_PH(C$2,$A297)</f>
        <v>2758.00885166389</v>
      </c>
      <c r="D297" s="0" t="n">
        <f aca="false">W_PH(D$2,$A297)</f>
        <v>2758.00898009462</v>
      </c>
      <c r="E297" s="0" t="n">
        <f aca="false">W_PH(E$2,$A297)</f>
        <v>2758.00911767883</v>
      </c>
      <c r="F297" s="0" t="n">
        <f aca="false">W_PH(F$2,$A297)</f>
        <v>2758.00924610988</v>
      </c>
      <c r="G297" s="0" t="n">
        <f aca="false">W_PH(G$2,$A297)</f>
        <v>2758.01053958242</v>
      </c>
      <c r="H297" s="0" t="n">
        <f aca="false">W_PH(H$2,$A297)</f>
        <v>2758.01184222421</v>
      </c>
      <c r="I297" s="0" t="n">
        <f aca="false">W_PH(I$2,$A297)</f>
        <v>2758.01313572846</v>
      </c>
      <c r="J297" s="0" t="n">
        <f aca="false">W_PH(J$2,$A297)</f>
        <v>2758.01443382532</v>
      </c>
      <c r="K297" s="0" t="n">
        <f aca="false">W_PH(K$2,$A297)</f>
        <v>2758.01573193807</v>
      </c>
      <c r="L297" s="0" t="n">
        <f aca="false">W_PH(L$2,$A297)</f>
        <v>2758.01702548991</v>
      </c>
      <c r="M297" s="0" t="n">
        <f aca="false">W_PH(M$2,$A297)</f>
        <v>2758.01832821129</v>
      </c>
      <c r="N297" s="0" t="n">
        <f aca="false">W_PH(N$2,$A297)</f>
        <v>2758.01962179491</v>
      </c>
      <c r="O297" s="0" t="n">
        <f aca="false">W_PH(O$2,$A297)</f>
        <v>2758.02092454818</v>
      </c>
      <c r="P297" s="0" t="n">
        <f aca="false">W_PH(P$2,$A297)</f>
        <v>2758.03389803493</v>
      </c>
      <c r="Q297" s="0" t="n">
        <f aca="false">W_PH(Q$2,$A297)</f>
        <v>2758.04687311942</v>
      </c>
      <c r="R297" s="0" t="n">
        <f aca="false">W_PH(R$2,$A297)</f>
        <v>2758.05985896297</v>
      </c>
      <c r="S297" s="0" t="n">
        <f aca="false">W_PH(S$2,$A297)</f>
        <v>2758.07283726146</v>
      </c>
      <c r="T297" s="0" t="n">
        <f aca="false">W_PH(T$2,$A297)</f>
        <v>2758.0858171757</v>
      </c>
      <c r="U297" s="0" t="n">
        <f aca="false">W_PH(U$2,$A297)</f>
        <v>2758.09879871169</v>
      </c>
      <c r="V297" s="0" t="n">
        <f aca="false">W_PH(V$2,$A297)</f>
        <v>2758.11178187543</v>
      </c>
      <c r="W297" s="0" t="n">
        <f aca="false">W_PH(W$2,$A297)</f>
        <v>2758.12476667293</v>
      </c>
      <c r="X297" s="0" t="n">
        <f aca="false">W_PH(X$2,$A297)</f>
        <v>2758.13775311017</v>
      </c>
      <c r="Y297" s="0" t="n">
        <f aca="false">W_PH(Y$2,$A297)</f>
        <v>2758.26767233465</v>
      </c>
      <c r="Z297" s="0" t="n">
        <f aca="false">W_PH(Z$2,$A297)</f>
        <v>2758.39771624713</v>
      </c>
      <c r="AA297" s="0" t="n">
        <f aca="false">W_PH(AA$2,$A297)</f>
        <v>2758.52788159003</v>
      </c>
      <c r="AB297" s="0" t="n">
        <f aca="false">W_PH(AB$2,$A297)</f>
        <v>2758.65817425974</v>
      </c>
      <c r="AC297" s="0" t="n">
        <f aca="false">W_PH(AC$2,$A297)</f>
        <v>2758.7886093322</v>
      </c>
      <c r="AD297" s="0" t="n">
        <f aca="false">W_PH(AD$2,$A297)</f>
        <v>2758.91918352134</v>
      </c>
      <c r="AE297" s="0" t="n">
        <f aca="false">W_PH(AE$2,$A297)</f>
        <v>2759.04991190457</v>
      </c>
      <c r="AF297" s="0" t="n">
        <f aca="false">W_PH(AF$2,$A297)</f>
        <v>2759.1807911769</v>
      </c>
      <c r="AG297" s="0" t="n">
        <f aca="false">W_PH(AG$2,$A297)</f>
        <v>2759.31182721296</v>
      </c>
      <c r="AH297" s="0" t="n">
        <f aca="false">W_PH(AH$2,$A297)</f>
        <v>2760.63219147994</v>
      </c>
      <c r="AI297" s="0" t="n">
        <f aca="false">W_PH(AI$2,$A297)</f>
        <v>2761.97462642436</v>
      </c>
      <c r="AJ297" s="0" t="n">
        <f aca="false">W_PH(AJ$2,$A297)</f>
        <v>2763.34467507272</v>
      </c>
      <c r="AK297" s="0" t="n">
        <f aca="false">W_PH(AK$2,$A297)</f>
        <v>2764.74783983884</v>
      </c>
      <c r="AL297" s="0" t="n">
        <f aca="false">W_PH(AL$2,$A297)</f>
        <v>2766.18959406564</v>
      </c>
      <c r="AM297" s="0" t="n">
        <f aca="false">W_PH(AM$2,$A297)</f>
        <v>2767.67537028027</v>
      </c>
      <c r="AN297" s="0" t="n">
        <f aca="false">W_PH(AN$2,$A297)</f>
        <v>2769.21056727889</v>
      </c>
      <c r="AO297" s="0" t="n">
        <f aca="false">W_PH(AO$2,$A297)</f>
        <v>2770.80055272331</v>
      </c>
      <c r="AP297" s="0" t="n">
        <f aca="false">W_PH(AP$2,$A297)</f>
        <v>2015</v>
      </c>
      <c r="AQ297" s="0" t="n">
        <f aca="false">W_PH(AQ$2,$A297)</f>
        <v>2015</v>
      </c>
      <c r="AR297" s="0" t="n">
        <f aca="false">W_PH(AR$2,$A297)</f>
        <v>2015</v>
      </c>
      <c r="AS297" s="0" t="n">
        <f aca="false">W_PH(AS$2,$A297)</f>
        <v>2015</v>
      </c>
    </row>
    <row r="298" customFormat="false" ht="12.8" hidden="false" customHeight="false" outlineLevel="0" collapsed="false">
      <c r="A298" s="0" t="n">
        <v>1969.04557179708</v>
      </c>
      <c r="B298" s="0" t="n">
        <f aca="false">W_PH(B$2,$A298)</f>
        <v>2015</v>
      </c>
      <c r="C298" s="0" t="n">
        <f aca="false">W_PH(C$2,$A298)</f>
        <v>2762.16874101621</v>
      </c>
      <c r="D298" s="0" t="n">
        <f aca="false">W_PH(D$2,$A298)</f>
        <v>2762.16887176189</v>
      </c>
      <c r="E298" s="0" t="n">
        <f aca="false">W_PH(E$2,$A298)</f>
        <v>2762.16900250772</v>
      </c>
      <c r="F298" s="0" t="n">
        <f aca="false">W_PH(F$2,$A298)</f>
        <v>2762.16913325371</v>
      </c>
      <c r="G298" s="0" t="n">
        <f aca="false">W_PH(G$2,$A298)</f>
        <v>2762.17044072214</v>
      </c>
      <c r="H298" s="0" t="n">
        <f aca="false">W_PH(H$2,$A298)</f>
        <v>2762.17174820615</v>
      </c>
      <c r="I298" s="0" t="n">
        <f aca="false">W_PH(I$2,$A298)</f>
        <v>2762.17306027473</v>
      </c>
      <c r="J298" s="0" t="n">
        <f aca="false">W_PH(J$2,$A298)</f>
        <v>2762.17436778993</v>
      </c>
      <c r="K298" s="0" t="n">
        <f aca="false">W_PH(K$2,$A298)</f>
        <v>2762.17567988976</v>
      </c>
      <c r="L298" s="0" t="n">
        <f aca="false">W_PH(L$2,$A298)</f>
        <v>2762.17698743619</v>
      </c>
      <c r="M298" s="0" t="n">
        <f aca="false">W_PH(M$2,$A298)</f>
        <v>2762.17829499821</v>
      </c>
      <c r="N298" s="0" t="n">
        <f aca="false">W_PH(N$2,$A298)</f>
        <v>2762.17960257585</v>
      </c>
      <c r="O298" s="0" t="n">
        <f aca="false">W_PH(O$2,$A298)</f>
        <v>2762.18091016911</v>
      </c>
      <c r="P298" s="0" t="n">
        <f aca="false">W_PH(P$2,$A298)</f>
        <v>2762.19399610076</v>
      </c>
      <c r="Q298" s="0" t="n">
        <f aca="false">W_PH(Q$2,$A298)</f>
        <v>2762.20707446245</v>
      </c>
      <c r="R298" s="0" t="n">
        <f aca="false">W_PH(R$2,$A298)</f>
        <v>2762.22016353821</v>
      </c>
      <c r="S298" s="0" t="n">
        <f aca="false">W_PH(S$2,$A298)</f>
        <v>2762.23324505492</v>
      </c>
      <c r="T298" s="0" t="n">
        <f aca="false">W_PH(T$2,$A298)</f>
        <v>2762.24633729861</v>
      </c>
      <c r="U298" s="0" t="n">
        <f aca="false">W_PH(U$2,$A298)</f>
        <v>2762.25942199415</v>
      </c>
      <c r="V298" s="0" t="n">
        <f aca="false">W_PH(V$2,$A298)</f>
        <v>2762.27250828777</v>
      </c>
      <c r="W298" s="0" t="n">
        <f aca="false">W_PH(W$2,$A298)</f>
        <v>2762.28560532776</v>
      </c>
      <c r="X298" s="0" t="n">
        <f aca="false">W_PH(X$2,$A298)</f>
        <v>2762.29869483592</v>
      </c>
      <c r="Y298" s="0" t="n">
        <f aca="false">W_PH(Y$2,$A298)</f>
        <v>2762.42967062843</v>
      </c>
      <c r="Z298" s="0" t="n">
        <f aca="false">W_PH(Z$2,$A298)</f>
        <v>2762.56076818916</v>
      </c>
      <c r="AA298" s="0" t="n">
        <f aca="false">W_PH(AA$2,$A298)</f>
        <v>2762.69198422886</v>
      </c>
      <c r="AB298" s="0" t="n">
        <f aca="false">W_PH(AB$2,$A298)</f>
        <v>2762.82333375984</v>
      </c>
      <c r="AC298" s="0" t="n">
        <f aca="false">W_PH(AC$2,$A298)</f>
        <v>2762.95482264221</v>
      </c>
      <c r="AD298" s="0" t="n">
        <f aca="false">W_PH(AD$2,$A298)</f>
        <v>2763.08644755876</v>
      </c>
      <c r="AE298" s="0" t="n">
        <f aca="false">W_PH(AE$2,$A298)</f>
        <v>2763.21821434598</v>
      </c>
      <c r="AF298" s="0" t="n">
        <f aca="false">W_PH(AF$2,$A298)</f>
        <v>2763.35013801926</v>
      </c>
      <c r="AG298" s="0" t="n">
        <f aca="false">W_PH(AG$2,$A298)</f>
        <v>2763.48221523358</v>
      </c>
      <c r="AH298" s="0" t="n">
        <f aca="false">W_PH(AH$2,$A298)</f>
        <v>2764.81284064628</v>
      </c>
      <c r="AI298" s="0" t="n">
        <f aca="false">W_PH(AI$2,$A298)</f>
        <v>2766.16526197168</v>
      </c>
      <c r="AJ298" s="0" t="n">
        <f aca="false">W_PH(AJ$2,$A298)</f>
        <v>2767.54497472639</v>
      </c>
      <c r="AK298" s="0" t="n">
        <f aca="false">W_PH(AK$2,$A298)</f>
        <v>2768.95744879442</v>
      </c>
      <c r="AL298" s="0" t="n">
        <f aca="false">W_PH(AL$2,$A298)</f>
        <v>2770.40810253109</v>
      </c>
      <c r="AM298" s="0" t="n">
        <f aca="false">W_PH(AM$2,$A298)</f>
        <v>2771.9023472728</v>
      </c>
      <c r="AN298" s="0" t="n">
        <f aca="false">W_PH(AN$2,$A298)</f>
        <v>2773.44552850373</v>
      </c>
      <c r="AO298" s="0" t="n">
        <f aca="false">W_PH(AO$2,$A298)</f>
        <v>2775.04299457449</v>
      </c>
      <c r="AP298" s="0" t="n">
        <f aca="false">W_PH(AP$2,$A298)</f>
        <v>2015</v>
      </c>
      <c r="AQ298" s="0" t="n">
        <f aca="false">W_PH(AQ$2,$A298)</f>
        <v>2015</v>
      </c>
      <c r="AR298" s="0" t="n">
        <f aca="false">W_PH(AR$2,$A298)</f>
        <v>2015</v>
      </c>
      <c r="AS298" s="0" t="n">
        <f aca="false">W_PH(AS$2,$A298)</f>
        <v>2015</v>
      </c>
    </row>
    <row r="299" customFormat="false" ht="12.8" hidden="false" customHeight="false" outlineLevel="0" collapsed="false">
      <c r="A299" s="0" t="n">
        <v>1973.34479793637</v>
      </c>
      <c r="B299" s="0" t="n">
        <f aca="false">W_PH(B$2,$A299)</f>
        <v>2015</v>
      </c>
      <c r="C299" s="0" t="n">
        <f aca="false">W_PH(C$2,$A299)</f>
        <v>2766.31712358121</v>
      </c>
      <c r="D299" s="0" t="n">
        <f aca="false">W_PH(D$2,$A299)</f>
        <v>2766.31725204634</v>
      </c>
      <c r="E299" s="0" t="n">
        <f aca="false">W_PH(E$2,$A299)</f>
        <v>2766.31738507285</v>
      </c>
      <c r="F299" s="0" t="n">
        <f aca="false">W_PH(F$2,$A299)</f>
        <v>2766.31751809952</v>
      </c>
      <c r="G299" s="0" t="n">
        <f aca="false">W_PH(G$2,$A299)</f>
        <v>2766.31883925215</v>
      </c>
      <c r="H299" s="0" t="n">
        <f aca="false">W_PH(H$2,$A299)</f>
        <v>2766.32016042011</v>
      </c>
      <c r="I299" s="0" t="n">
        <f aca="false">W_PH(I$2,$A299)</f>
        <v>2766.3214724808</v>
      </c>
      <c r="J299" s="0" t="n">
        <f aca="false">W_PH(J$2,$A299)</f>
        <v>2766.32279367938</v>
      </c>
      <c r="K299" s="0" t="n">
        <f aca="false">W_PH(K$2,$A299)</f>
        <v>2766.32411489331</v>
      </c>
      <c r="L299" s="0" t="n">
        <f aca="false">W_PH(L$2,$A299)</f>
        <v>2766.32542699983</v>
      </c>
      <c r="M299" s="0" t="n">
        <f aca="false">W_PH(M$2,$A299)</f>
        <v>2766.32674824442</v>
      </c>
      <c r="N299" s="0" t="n">
        <f aca="false">W_PH(N$2,$A299)</f>
        <v>2766.32806950437</v>
      </c>
      <c r="O299" s="0" t="n">
        <f aca="false">W_PH(O$2,$A299)</f>
        <v>2766.32939077968</v>
      </c>
      <c r="P299" s="0" t="n">
        <f aca="false">W_PH(P$2,$A299)</f>
        <v>2766.34257700921</v>
      </c>
      <c r="Q299" s="0" t="n">
        <f aca="false">W_PH(Q$2,$A299)</f>
        <v>2766.35576477911</v>
      </c>
      <c r="R299" s="0" t="n">
        <f aca="false">W_PH(R$2,$A299)</f>
        <v>2766.36895409528</v>
      </c>
      <c r="S299" s="0" t="n">
        <f aca="false">W_PH(S$2,$A299)</f>
        <v>2766.38214496362</v>
      </c>
      <c r="T299" s="0" t="n">
        <f aca="false">W_PH(T$2,$A299)</f>
        <v>2766.39533739006</v>
      </c>
      <c r="U299" s="0" t="n">
        <f aca="false">W_PH(U$2,$A299)</f>
        <v>2766.40852681753</v>
      </c>
      <c r="V299" s="0" t="n">
        <f aca="false">W_PH(V$2,$A299)</f>
        <v>2766.42171781439</v>
      </c>
      <c r="W299" s="0" t="n">
        <f aca="false">W_PH(W$2,$A299)</f>
        <v>2766.43491495001</v>
      </c>
      <c r="X299" s="0" t="n">
        <f aca="false">W_PH(X$2,$A299)</f>
        <v>2766.44811366732</v>
      </c>
      <c r="Y299" s="0" t="n">
        <f aca="false">W_PH(Y$2,$A299)</f>
        <v>2766.58013433825</v>
      </c>
      <c r="Z299" s="0" t="n">
        <f aca="false">W_PH(Z$2,$A299)</f>
        <v>2766.71227392352</v>
      </c>
      <c r="AA299" s="0" t="n">
        <f aca="false">W_PH(AA$2,$A299)</f>
        <v>2766.84452910267</v>
      </c>
      <c r="AB299" s="0" t="n">
        <f aca="false">W_PH(AB$2,$A299)</f>
        <v>2766.9769148258</v>
      </c>
      <c r="AC299" s="0" t="n">
        <f aca="false">W_PH(AC$2,$A299)</f>
        <v>2767.10943233029</v>
      </c>
      <c r="AD299" s="0" t="n">
        <f aca="false">W_PH(AD$2,$A299)</f>
        <v>2767.24209199665</v>
      </c>
      <c r="AE299" s="0" t="n">
        <f aca="false">W_PH(AE$2,$A299)</f>
        <v>2767.37488588676</v>
      </c>
      <c r="AF299" s="0" t="n">
        <f aca="false">W_PH(AF$2,$A299)</f>
        <v>2767.5078335301</v>
      </c>
      <c r="AG299" s="0" t="n">
        <f aca="false">W_PH(AG$2,$A299)</f>
        <v>2767.64094072359</v>
      </c>
      <c r="AH299" s="0" t="n">
        <f aca="false">W_PH(AH$2,$A299)</f>
        <v>2768.98169144687</v>
      </c>
      <c r="AI299" s="0" t="n">
        <f aca="false">W_PH(AI$2,$A299)</f>
        <v>2770.34396094985</v>
      </c>
      <c r="AJ299" s="0" t="n">
        <f aca="false">W_PH(AJ$2,$A299)</f>
        <v>2771.73320691812</v>
      </c>
      <c r="AK299" s="0" t="n">
        <f aca="false">W_PH(AK$2,$A299)</f>
        <v>2773.15485776787</v>
      </c>
      <c r="AL299" s="0" t="n">
        <f aca="false">W_PH(AL$2,$A299)</f>
        <v>2774.61430075263</v>
      </c>
      <c r="AM299" s="0" t="n">
        <f aca="false">W_PH(AM$2,$A299)</f>
        <v>2776.11689346311</v>
      </c>
      <c r="AN299" s="0" t="n">
        <f aca="false">W_PH(AN$2,$A299)</f>
        <v>2777.66796626515</v>
      </c>
      <c r="AO299" s="0" t="n">
        <f aca="false">W_PH(AO$2,$A299)</f>
        <v>2779.27280102369</v>
      </c>
      <c r="AP299" s="0" t="n">
        <f aca="false">W_PH(AP$2,$A299)</f>
        <v>2015</v>
      </c>
      <c r="AQ299" s="0" t="n">
        <f aca="false">W_PH(AQ$2,$A299)</f>
        <v>2015</v>
      </c>
      <c r="AR299" s="0" t="n">
        <f aca="false">W_PH(AR$2,$A299)</f>
        <v>2015</v>
      </c>
      <c r="AS299" s="0" t="n">
        <f aca="false">W_PH(AS$2,$A299)</f>
        <v>2015</v>
      </c>
    </row>
    <row r="300" customFormat="false" ht="12.8" hidden="false" customHeight="false" outlineLevel="0" collapsed="false">
      <c r="A300" s="0" t="n">
        <v>1977.64402407567</v>
      </c>
      <c r="B300" s="0" t="n">
        <f aca="false">W_PH(B$2,$A300)</f>
        <v>2015</v>
      </c>
      <c r="C300" s="0" t="n">
        <f aca="false">W_PH(C$2,$A300)</f>
        <v>2770.45409160041</v>
      </c>
      <c r="D300" s="0" t="n">
        <f aca="false">W_PH(D$2,$A300)</f>
        <v>2770.45422232019</v>
      </c>
      <c r="E300" s="0" t="n">
        <f aca="false">W_PH(E$2,$A300)</f>
        <v>2770.45435759372</v>
      </c>
      <c r="F300" s="0" t="n">
        <f aca="false">W_PH(F$2,$A300)</f>
        <v>2770.45449286741</v>
      </c>
      <c r="G300" s="0" t="n">
        <f aca="false">W_PH(G$2,$A300)</f>
        <v>2770.45581829087</v>
      </c>
      <c r="H300" s="0" t="n">
        <f aca="false">W_PH(H$2,$A300)</f>
        <v>2770.45714372931</v>
      </c>
      <c r="I300" s="0" t="n">
        <f aca="false">W_PH(I$2,$A300)</f>
        <v>2770.45847829011</v>
      </c>
      <c r="J300" s="0" t="n">
        <f aca="false">W_PH(J$2,$A300)</f>
        <v>2770.45980375859</v>
      </c>
      <c r="K300" s="0" t="n">
        <f aca="false">W_PH(K$2,$A300)</f>
        <v>2770.46113834954</v>
      </c>
      <c r="L300" s="0" t="n">
        <f aca="false">W_PH(L$2,$A300)</f>
        <v>2770.46246384808</v>
      </c>
      <c r="M300" s="0" t="n">
        <f aca="false">W_PH(M$2,$A300)</f>
        <v>2770.46378936162</v>
      </c>
      <c r="N300" s="0" t="n">
        <f aca="false">W_PH(N$2,$A300)</f>
        <v>2770.46512399781</v>
      </c>
      <c r="O300" s="0" t="n">
        <f aca="false">W_PH(O$2,$A300)</f>
        <v>2770.46644954145</v>
      </c>
      <c r="P300" s="0" t="n">
        <f aca="false">W_PH(P$2,$A300)</f>
        <v>2770.47974223812</v>
      </c>
      <c r="Q300" s="0" t="n">
        <f aca="false">W_PH(Q$2,$A300)</f>
        <v>2770.49303644764</v>
      </c>
      <c r="R300" s="0" t="n">
        <f aca="false">W_PH(R$2,$A300)</f>
        <v>2770.50632306672</v>
      </c>
      <c r="S300" s="0" t="n">
        <f aca="false">W_PH(S$2,$A300)</f>
        <v>2770.51962031901</v>
      </c>
      <c r="T300" s="0" t="n">
        <f aca="false">W_PH(T$2,$A300)</f>
        <v>2770.53290999158</v>
      </c>
      <c r="U300" s="0" t="n">
        <f aca="false">W_PH(U$2,$A300)</f>
        <v>2770.54621031007</v>
      </c>
      <c r="V300" s="0" t="n">
        <f aca="false">W_PH(V$2,$A300)</f>
        <v>2770.55950305957</v>
      </c>
      <c r="W300" s="0" t="n">
        <f aca="false">W_PH(W$2,$A300)</f>
        <v>2770.57280646768</v>
      </c>
      <c r="X300" s="0" t="n">
        <f aca="false">W_PH(X$2,$A300)</f>
        <v>2770.58610231754</v>
      </c>
      <c r="Y300" s="0" t="n">
        <f aca="false">W_PH(Y$2,$A300)</f>
        <v>2770.71915207001</v>
      </c>
      <c r="Z300" s="0" t="n">
        <f aca="false">W_PH(Z$2,$A300)</f>
        <v>2770.85231794252</v>
      </c>
      <c r="AA300" s="0" t="n">
        <f aca="false">W_PH(AA$2,$A300)</f>
        <v>2770.98560114732</v>
      </c>
      <c r="AB300" s="0" t="n">
        <f aca="false">W_PH(AB$2,$A300)</f>
        <v>2771.11900288272</v>
      </c>
      <c r="AC300" s="0" t="n">
        <f aca="false">W_PH(AC$2,$A300)</f>
        <v>2771.25254717484</v>
      </c>
      <c r="AD300" s="0" t="n">
        <f aca="false">W_PH(AD$2,$A300)</f>
        <v>2771.38622151867</v>
      </c>
      <c r="AE300" s="0" t="n">
        <f aca="false">W_PH(AE$2,$A300)</f>
        <v>2771.52003165887</v>
      </c>
      <c r="AF300" s="0" t="n">
        <f aca="false">W_PH(AF$2,$A300)</f>
        <v>2771.65399706312</v>
      </c>
      <c r="AG300" s="0" t="n">
        <f aca="false">W_PH(AG$2,$A300)</f>
        <v>2771.78810975567</v>
      </c>
      <c r="AH300" s="0" t="n">
        <f aca="false">W_PH(AH$2,$A300)</f>
        <v>2773.13884527807</v>
      </c>
      <c r="AI300" s="0" t="n">
        <f aca="false">W_PH(AI$2,$A300)</f>
        <v>2774.51082452112</v>
      </c>
      <c r="AJ300" s="0" t="n">
        <f aca="false">W_PH(AJ$2,$A300)</f>
        <v>2775.9094770349</v>
      </c>
      <c r="AK300" s="0" t="n">
        <f aca="false">W_PH(AK$2,$A300)</f>
        <v>2777.34018094874</v>
      </c>
      <c r="AL300" s="0" t="n">
        <f aca="false">W_PH(AL$2,$A300)</f>
        <v>2778.80829274059</v>
      </c>
      <c r="AM300" s="0" t="n">
        <f aca="false">W_PH(AM$2,$A300)</f>
        <v>2780.31912137469</v>
      </c>
      <c r="AN300" s="0" t="n">
        <f aca="false">W_PH(AN$2,$A300)</f>
        <v>2781.87797290935</v>
      </c>
      <c r="AO300" s="0" t="n">
        <f aca="false">W_PH(AO$2,$A300)</f>
        <v>2783.49009166345</v>
      </c>
      <c r="AP300" s="0" t="n">
        <f aca="false">W_PH(AP$2,$A300)</f>
        <v>2015</v>
      </c>
      <c r="AQ300" s="0" t="n">
        <f aca="false">W_PH(AQ$2,$A300)</f>
        <v>2015</v>
      </c>
      <c r="AR300" s="0" t="n">
        <f aca="false">W_PH(AR$2,$A300)</f>
        <v>2015</v>
      </c>
      <c r="AS300" s="0" t="n">
        <f aca="false">W_PH(AS$2,$A300)</f>
        <v>2015</v>
      </c>
    </row>
    <row r="301" customFormat="false" ht="12.8" hidden="false" customHeight="false" outlineLevel="0" collapsed="false">
      <c r="A301" s="0" t="n">
        <v>1981.94325021496</v>
      </c>
      <c r="B301" s="0" t="n">
        <f aca="false">W_PH(B$2,$A301)</f>
        <v>2015</v>
      </c>
      <c r="C301" s="0" t="n">
        <f aca="false">W_PH(C$2,$A301)</f>
        <v>2774.57974068257</v>
      </c>
      <c r="D301" s="0" t="n">
        <f aca="false">W_PH(D$2,$A301)</f>
        <v>2774.57987362385</v>
      </c>
      <c r="E301" s="0" t="n">
        <f aca="false">W_PH(E$2,$A301)</f>
        <v>2774.58001111133</v>
      </c>
      <c r="F301" s="0" t="n">
        <f aca="false">W_PH(F$2,$A301)</f>
        <v>2774.58013950686</v>
      </c>
      <c r="G301" s="0" t="n">
        <f aca="false">W_PH(G$2,$A301)</f>
        <v>2774.58147802285</v>
      </c>
      <c r="H301" s="0" t="n">
        <f aca="false">W_PH(H$2,$A301)</f>
        <v>2774.58282109968</v>
      </c>
      <c r="I301" s="0" t="n">
        <f aca="false">W_PH(I$2,$A301)</f>
        <v>2774.58415964518</v>
      </c>
      <c r="J301" s="0" t="n">
        <f aca="false">W_PH(J$2,$A301)</f>
        <v>2774.58550275159</v>
      </c>
      <c r="K301" s="0" t="n">
        <f aca="false">W_PH(K$2,$A301)</f>
        <v>2774.58684132663</v>
      </c>
      <c r="L301" s="0" t="n">
        <f aca="false">W_PH(L$2,$A301)</f>
        <v>2774.58817991644</v>
      </c>
      <c r="M301" s="0" t="n">
        <f aca="false">W_PH(M$2,$A301)</f>
        <v>2774.58951852102</v>
      </c>
      <c r="N301" s="0" t="n">
        <f aca="false">W_PH(N$2,$A301)</f>
        <v>2774.59085714038</v>
      </c>
      <c r="O301" s="0" t="n">
        <f aca="false">W_PH(O$2,$A301)</f>
        <v>2774.59219577452</v>
      </c>
      <c r="P301" s="0" t="n">
        <f aca="false">W_PH(P$2,$A301)</f>
        <v>2774.60558293033</v>
      </c>
      <c r="Q301" s="0" t="n">
        <f aca="false">W_PH(Q$2,$A301)</f>
        <v>2774.61898066443</v>
      </c>
      <c r="R301" s="0" t="n">
        <f aca="false">W_PH(R$2,$A301)</f>
        <v>2774.63237079608</v>
      </c>
      <c r="S301" s="0" t="n">
        <f aca="false">W_PH(S$2,$A301)</f>
        <v>2774.64577151861</v>
      </c>
      <c r="T301" s="0" t="n">
        <f aca="false">W_PH(T$2,$A301)</f>
        <v>2774.65916464934</v>
      </c>
      <c r="U301" s="0" t="n">
        <f aca="false">W_PH(U$2,$A301)</f>
        <v>2774.67255928808</v>
      </c>
      <c r="V301" s="0" t="n">
        <f aca="false">W_PH(V$2,$A301)</f>
        <v>2774.6859645366</v>
      </c>
      <c r="W301" s="0" t="n">
        <f aca="false">W_PH(W$2,$A301)</f>
        <v>2774.69936220929</v>
      </c>
      <c r="X301" s="0" t="n">
        <f aca="false">W_PH(X$2,$A301)</f>
        <v>2774.71276140743</v>
      </c>
      <c r="Y301" s="0" t="n">
        <f aca="false">W_PH(Y$2,$A301)</f>
        <v>2774.84682036249</v>
      </c>
      <c r="Z301" s="0" t="n">
        <f aca="false">W_PH(Z$2,$A301)</f>
        <v>2774.98100180353</v>
      </c>
      <c r="AA301" s="0" t="n">
        <f aca="false">W_PH(AA$2,$A301)</f>
        <v>2775.11529325213</v>
      </c>
      <c r="AB301" s="0" t="n">
        <f aca="false">W_PH(AB$2,$A301)</f>
        <v>2775.2497095361</v>
      </c>
      <c r="AC301" s="0" t="n">
        <f aca="false">W_PH(AC$2,$A301)</f>
        <v>2775.3842518169</v>
      </c>
      <c r="AD301" s="0" t="n">
        <f aca="false">W_PH(AD$2,$A301)</f>
        <v>2775.51893036834</v>
      </c>
      <c r="AE301" s="0" t="n">
        <f aca="false">W_PH(AE$2,$A301)</f>
        <v>2775.65374633908</v>
      </c>
      <c r="AF301" s="0" t="n">
        <f aca="false">W_PH(AF$2,$A301)</f>
        <v>2775.7887099999</v>
      </c>
      <c r="AG301" s="0" t="n">
        <f aca="false">W_PH(AG$2,$A301)</f>
        <v>2775.92381791648</v>
      </c>
      <c r="AH301" s="0" t="n">
        <f aca="false">W_PH(AH$2,$A301)</f>
        <v>2777.28440215338</v>
      </c>
      <c r="AI301" s="0" t="n">
        <f aca="false">W_PH(AI$2,$A301)</f>
        <v>2778.66596163639</v>
      </c>
      <c r="AJ301" s="0" t="n">
        <f aca="false">W_PH(AJ$2,$A301)</f>
        <v>2780.07388427995</v>
      </c>
      <c r="AK301" s="0" t="n">
        <f aca="false">W_PH(AK$2,$A301)</f>
        <v>2781.51351686111</v>
      </c>
      <c r="AL301" s="0" t="n">
        <f aca="false">W_PH(AL$2,$A301)</f>
        <v>2782.99017616959</v>
      </c>
      <c r="AM301" s="0" t="n">
        <f aca="false">W_PH(AM$2,$A301)</f>
        <v>2784.50914175926</v>
      </c>
      <c r="AN301" s="0" t="n">
        <f aca="false">W_PH(AN$2,$A301)</f>
        <v>2786.07566278692</v>
      </c>
      <c r="AO301" s="0" t="n">
        <f aca="false">W_PH(AO$2,$A301)</f>
        <v>2787.69496514247</v>
      </c>
      <c r="AP301" s="0" t="n">
        <f aca="false">W_PH(AP$2,$A301)</f>
        <v>2015</v>
      </c>
      <c r="AQ301" s="0" t="n">
        <f aca="false">W_PH(AQ$2,$A301)</f>
        <v>2015</v>
      </c>
      <c r="AR301" s="0" t="n">
        <f aca="false">W_PH(AR$2,$A301)</f>
        <v>2015</v>
      </c>
      <c r="AS301" s="0" t="n">
        <f aca="false">W_PH(AS$2,$A301)</f>
        <v>2015</v>
      </c>
    </row>
    <row r="302" customFormat="false" ht="12.8" hidden="false" customHeight="false" outlineLevel="0" collapsed="false">
      <c r="A302" s="0" t="n">
        <v>1986.24247635426</v>
      </c>
      <c r="B302" s="0" t="n">
        <f aca="false">W_PH(B$2,$A302)</f>
        <v>2015</v>
      </c>
      <c r="C302" s="0" t="n">
        <f aca="false">W_PH(C$2,$A302)</f>
        <v>2778.69416525057</v>
      </c>
      <c r="D302" s="0" t="n">
        <f aca="false">W_PH(D$2,$A302)</f>
        <v>2778.69430491935</v>
      </c>
      <c r="E302" s="0" t="n">
        <f aca="false">W_PH(E$2,$A302)</f>
        <v>2778.69443551117</v>
      </c>
      <c r="F302" s="0" t="n">
        <f aca="false">W_PH(F$2,$A302)</f>
        <v>2778.69457064169</v>
      </c>
      <c r="G302" s="0" t="n">
        <f aca="false">W_PH(G$2,$A302)</f>
        <v>2778.69591741629</v>
      </c>
      <c r="H302" s="0" t="n">
        <f aca="false">W_PH(H$2,$A302)</f>
        <v>2778.69726874394</v>
      </c>
      <c r="I302" s="0" t="n">
        <f aca="false">W_PH(I$2,$A302)</f>
        <v>2778.69862008612</v>
      </c>
      <c r="J302" s="0" t="n">
        <f aca="false">W_PH(J$2,$A302)</f>
        <v>2778.69996690415</v>
      </c>
      <c r="K302" s="0" t="n">
        <f aca="false">W_PH(K$2,$A302)</f>
        <v>2778.70131373666</v>
      </c>
      <c r="L302" s="0" t="n">
        <f aca="false">W_PH(L$2,$A302)</f>
        <v>2778.70266512235</v>
      </c>
      <c r="M302" s="0" t="n">
        <f aca="false">W_PH(M$2,$A302)</f>
        <v>2778.70401652258</v>
      </c>
      <c r="N302" s="0" t="n">
        <f aca="false">W_PH(N$2,$A302)</f>
        <v>2778.70536339859</v>
      </c>
      <c r="O302" s="0" t="n">
        <f aca="false">W_PH(O$2,$A302)</f>
        <v>2778.70671028911</v>
      </c>
      <c r="P302" s="0" t="n">
        <f aca="false">W_PH(P$2,$A302)</f>
        <v>2778.72020722704</v>
      </c>
      <c r="Q302" s="0" t="n">
        <f aca="false">W_PH(Q$2,$A302)</f>
        <v>2778.73369654551</v>
      </c>
      <c r="R302" s="0" t="n">
        <f aca="false">W_PH(R$2,$A302)</f>
        <v>2778.74719640685</v>
      </c>
      <c r="S302" s="0" t="n">
        <f aca="false">W_PH(S$2,$A302)</f>
        <v>2778.7606886593</v>
      </c>
      <c r="T302" s="0" t="n">
        <f aca="false">W_PH(T$2,$A302)</f>
        <v>2778.77418238716</v>
      </c>
      <c r="U302" s="0" t="n">
        <f aca="false">W_PH(U$2,$A302)</f>
        <v>2778.78768213639</v>
      </c>
      <c r="V302" s="0" t="n">
        <f aca="false">W_PH(V$2,$A302)</f>
        <v>2778.80118337303</v>
      </c>
      <c r="W302" s="0" t="n">
        <f aca="false">W_PH(W$2,$A302)</f>
        <v>2778.81468156215</v>
      </c>
      <c r="X302" s="0" t="n">
        <f aca="false">W_PH(X$2,$A302)</f>
        <v>2778.82818124971</v>
      </c>
      <c r="Y302" s="0" t="n">
        <f aca="false">W_PH(Y$2,$A302)</f>
        <v>2778.96324363467</v>
      </c>
      <c r="Z302" s="0" t="n">
        <f aca="false">W_PH(Z$2,$A302)</f>
        <v>2779.09841672526</v>
      </c>
      <c r="AA302" s="0" t="n">
        <f aca="false">W_PH(AA$2,$A302)</f>
        <v>2779.23370620641</v>
      </c>
      <c r="AB302" s="0" t="n">
        <f aca="false">W_PH(AB$2,$A302)</f>
        <v>2779.36911775916</v>
      </c>
      <c r="AC302" s="0" t="n">
        <f aca="false">W_PH(AC$2,$A302)</f>
        <v>2779.50464795481</v>
      </c>
      <c r="AD302" s="0" t="n">
        <f aca="false">W_PH(AD$2,$A302)</f>
        <v>2779.6403206735</v>
      </c>
      <c r="AE302" s="0" t="n">
        <f aca="false">W_PH(AE$2,$A302)</f>
        <v>2779.7761233682</v>
      </c>
      <c r="AF302" s="0" t="n">
        <f aca="false">W_PH(AF$2,$A302)</f>
        <v>2779.91207081029</v>
      </c>
      <c r="AG302" s="0" t="n">
        <f aca="false">W_PH(AG$2,$A302)</f>
        <v>2780.04816866148</v>
      </c>
      <c r="AH302" s="0" t="n">
        <f aca="false">W_PH(AH$2,$A302)</f>
        <v>2781.41845155936</v>
      </c>
      <c r="AI302" s="0" t="n">
        <f aca="false">W_PH(AI$2,$A302)</f>
        <v>2782.80945671343</v>
      </c>
      <c r="AJ302" s="0" t="n">
        <f aca="false">W_PH(AJ$2,$A302)</f>
        <v>2784.22653101447</v>
      </c>
      <c r="AK302" s="0" t="n">
        <f aca="false">W_PH(AK$2,$A302)</f>
        <v>2785.67497646858</v>
      </c>
      <c r="AL302" s="0" t="n">
        <f aca="false">W_PH(AL$2,$A302)</f>
        <v>2787.16007052946</v>
      </c>
      <c r="AM302" s="0" t="n">
        <f aca="false">W_PH(AM$2,$A302)</f>
        <v>2788.68705423525</v>
      </c>
      <c r="AN302" s="0" t="n">
        <f aca="false">W_PH(AN$2,$A302)</f>
        <v>2790.26114843438</v>
      </c>
      <c r="AO302" s="0" t="n">
        <f aca="false">W_PH(AO$2,$A302)</f>
        <v>2791.8875373526</v>
      </c>
      <c r="AP302" s="0" t="n">
        <f aca="false">W_PH(AP$2,$A302)</f>
        <v>2015</v>
      </c>
      <c r="AQ302" s="0" t="n">
        <f aca="false">W_PH(AQ$2,$A302)</f>
        <v>2015</v>
      </c>
      <c r="AR302" s="0" t="n">
        <f aca="false">W_PH(AR$2,$A302)</f>
        <v>2015</v>
      </c>
      <c r="AS302" s="0" t="n">
        <f aca="false">W_PH(AS$2,$A302)</f>
        <v>2015</v>
      </c>
    </row>
    <row r="303" customFormat="false" ht="12.8" hidden="false" customHeight="false" outlineLevel="0" collapsed="false">
      <c r="A303" s="0" t="n">
        <v>1990.54170249355</v>
      </c>
      <c r="B303" s="0" t="n">
        <f aca="false">W_PH(B$2,$A303)</f>
        <v>2015</v>
      </c>
      <c r="C303" s="0" t="n">
        <f aca="false">W_PH(C$2,$A303)</f>
        <v>2782.79746309556</v>
      </c>
      <c r="D303" s="0" t="n">
        <f aca="false">W_PH(D$2,$A303)</f>
        <v>2782.79759585162</v>
      </c>
      <c r="E303" s="0" t="n">
        <f aca="false">W_PH(E$2,$A303)</f>
        <v>2782.79772860782</v>
      </c>
      <c r="F303" s="0" t="n">
        <f aca="false">W_PH(F$2,$A303)</f>
        <v>2782.79787042641</v>
      </c>
      <c r="G303" s="0" t="n">
        <f aca="false">W_PH(G$2,$A303)</f>
        <v>2782.79922518435</v>
      </c>
      <c r="H303" s="0" t="n">
        <f aca="false">W_PH(H$2,$A303)</f>
        <v>2782.80058448765</v>
      </c>
      <c r="I303" s="0" t="n">
        <f aca="false">W_PH(I$2,$A303)</f>
        <v>2782.80194380518</v>
      </c>
      <c r="J303" s="0" t="n">
        <f aca="false">W_PH(J$2,$A303)</f>
        <v>2782.80329860572</v>
      </c>
      <c r="K303" s="0" t="n">
        <f aca="false">W_PH(K$2,$A303)</f>
        <v>2782.80466248295</v>
      </c>
      <c r="L303" s="0" t="n">
        <f aca="false">W_PH(L$2,$A303)</f>
        <v>2782.80601731194</v>
      </c>
      <c r="M303" s="0" t="n">
        <f aca="false">W_PH(M$2,$A303)</f>
        <v>2782.80738121772</v>
      </c>
      <c r="N303" s="0" t="n">
        <f aca="false">W_PH(N$2,$A303)</f>
        <v>2782.80873607517</v>
      </c>
      <c r="O303" s="0" t="n">
        <f aca="false">W_PH(O$2,$A303)</f>
        <v>2782.81010000952</v>
      </c>
      <c r="P303" s="0" t="n">
        <f aca="false">W_PH(P$2,$A303)</f>
        <v>2782.82368576253</v>
      </c>
      <c r="Q303" s="0" t="n">
        <f aca="false">W_PH(Q$2,$A303)</f>
        <v>2782.83728201102</v>
      </c>
      <c r="R303" s="0" t="n">
        <f aca="false">W_PH(R$2,$A303)</f>
        <v>2782.85087063393</v>
      </c>
      <c r="S303" s="0" t="n">
        <f aca="false">W_PH(S$2,$A303)</f>
        <v>2782.8644697647</v>
      </c>
      <c r="T303" s="0" t="n">
        <f aca="false">W_PH(T$2,$A303)</f>
        <v>2782.87806128038</v>
      </c>
      <c r="U303" s="0" t="n">
        <f aca="false">W_PH(U$2,$A303)</f>
        <v>2782.89165878354</v>
      </c>
      <c r="V303" s="0" t="n">
        <f aca="false">W_PH(V$2,$A303)</f>
        <v>2782.90525774762</v>
      </c>
      <c r="W303" s="0" t="n">
        <f aca="false">W_PH(W$2,$A303)</f>
        <v>2782.91885364511</v>
      </c>
      <c r="X303" s="0" t="n">
        <f aca="false">W_PH(X$2,$A303)</f>
        <v>2782.93245101448</v>
      </c>
      <c r="Y303" s="0" t="n">
        <f aca="false">W_PH(Y$2,$A303)</f>
        <v>2783.06849784757</v>
      </c>
      <c r="Z303" s="0" t="n">
        <f aca="false">W_PH(Z$2,$A303)</f>
        <v>2783.20466184033</v>
      </c>
      <c r="AA303" s="0" t="n">
        <f aca="false">W_PH(AA$2,$A303)</f>
        <v>2783.34093048507</v>
      </c>
      <c r="AB303" s="0" t="n">
        <f aca="false">W_PH(AB$2,$A303)</f>
        <v>2783.47731849004</v>
      </c>
      <c r="AC303" s="0" t="n">
        <f aca="false">W_PH(AC$2,$A303)</f>
        <v>2783.61383148805</v>
      </c>
      <c r="AD303" s="0" t="n">
        <f aca="false">W_PH(AD$2,$A303)</f>
        <v>2783.75047510811</v>
      </c>
      <c r="AE303" s="0" t="n">
        <f aca="false">W_PH(AE$2,$A303)</f>
        <v>2783.88725497546</v>
      </c>
      <c r="AF303" s="0" t="n">
        <f aca="false">W_PH(AF$2,$A303)</f>
        <v>2784.02417671159</v>
      </c>
      <c r="AG303" s="0" t="n">
        <f aca="false">W_PH(AG$2,$A303)</f>
        <v>2784.16123682477</v>
      </c>
      <c r="AH303" s="0" t="n">
        <f aca="false">W_PH(AH$2,$A303)</f>
        <v>2785.54110003231</v>
      </c>
      <c r="AI303" s="0" t="n">
        <f aca="false">W_PH(AI$2,$A303)</f>
        <v>2786.94142049073</v>
      </c>
      <c r="AJ303" s="0" t="n">
        <f aca="false">W_PH(AJ$2,$A303)</f>
        <v>2788.36751812115</v>
      </c>
      <c r="AK303" s="0" t="n">
        <f aca="false">W_PH(AK$2,$A303)</f>
        <v>2789.82465519225</v>
      </c>
      <c r="AL303" s="0" t="n">
        <f aca="false">W_PH(AL$2,$A303)</f>
        <v>2791.31807023959</v>
      </c>
      <c r="AM303" s="0" t="n">
        <f aca="false">W_PH(AM$2,$A303)</f>
        <v>2792.85297556451</v>
      </c>
      <c r="AN303" s="0" t="n">
        <f aca="false">W_PH(AN$2,$A303)</f>
        <v>2794.43454061422</v>
      </c>
      <c r="AO303" s="0" t="n">
        <f aca="false">W_PH(AO$2,$A303)</f>
        <v>2796.06792233601</v>
      </c>
      <c r="AP303" s="0" t="n">
        <f aca="false">W_PH(AP$2,$A303)</f>
        <v>2015</v>
      </c>
      <c r="AQ303" s="0" t="n">
        <f aca="false">W_PH(AQ$2,$A303)</f>
        <v>2015</v>
      </c>
      <c r="AR303" s="0" t="n">
        <f aca="false">W_PH(AR$2,$A303)</f>
        <v>2015</v>
      </c>
      <c r="AS303" s="0" t="n">
        <f aca="false">W_PH(AS$2,$A303)</f>
        <v>2015</v>
      </c>
    </row>
    <row r="304" customFormat="false" ht="12.8" hidden="false" customHeight="false" outlineLevel="0" collapsed="false">
      <c r="A304" s="0" t="n">
        <v>1994.84092863285</v>
      </c>
      <c r="B304" s="0" t="n">
        <f aca="false">W_PH(B$2,$A304)</f>
        <v>2015</v>
      </c>
      <c r="C304" s="0" t="n">
        <f aca="false">W_PH(C$2,$A304)</f>
        <v>2786.8897082201</v>
      </c>
      <c r="D304" s="0" t="n">
        <f aca="false">W_PH(D$2,$A304)</f>
        <v>2786.88984763278</v>
      </c>
      <c r="E304" s="0" t="n">
        <f aca="false">W_PH(E$2,$A304)</f>
        <v>2786.8899870456</v>
      </c>
      <c r="F304" s="0" t="n">
        <f aca="false">W_PH(F$2,$A304)</f>
        <v>2786.89012193481</v>
      </c>
      <c r="G304" s="0" t="n">
        <f aca="false">W_PH(G$2,$A304)</f>
        <v>2786.89148892955</v>
      </c>
      <c r="H304" s="0" t="n">
        <f aca="false">W_PH(H$2,$A304)</f>
        <v>2786.89285593825</v>
      </c>
      <c r="I304" s="0" t="n">
        <f aca="false">W_PH(I$2,$A304)</f>
        <v>2786.89422748472</v>
      </c>
      <c r="J304" s="0" t="n">
        <f aca="false">W_PH(J$2,$A304)</f>
        <v>2786.89559904521</v>
      </c>
      <c r="K304" s="0" t="n">
        <f aca="false">W_PH(K$2,$A304)</f>
        <v>2786.89696609583</v>
      </c>
      <c r="L304" s="0" t="n">
        <f aca="false">W_PH(L$2,$A304)</f>
        <v>2786.89833316042</v>
      </c>
      <c r="M304" s="0" t="n">
        <f aca="false">W_PH(M$2,$A304)</f>
        <v>2786.89970023899</v>
      </c>
      <c r="N304" s="0" t="n">
        <f aca="false">W_PH(N$2,$A304)</f>
        <v>2786.90107185548</v>
      </c>
      <c r="O304" s="0" t="n">
        <f aca="false">W_PH(O$2,$A304)</f>
        <v>2786.90244348601</v>
      </c>
      <c r="P304" s="0" t="n">
        <f aca="false">W_PH(P$2,$A304)</f>
        <v>2786.91612889509</v>
      </c>
      <c r="Q304" s="0" t="n">
        <f aca="false">W_PH(Q$2,$A304)</f>
        <v>2786.92981571063</v>
      </c>
      <c r="R304" s="0" t="n">
        <f aca="false">W_PH(R$2,$A304)</f>
        <v>2786.94350846299</v>
      </c>
      <c r="S304" s="0" t="n">
        <f aca="false">W_PH(S$2,$A304)</f>
        <v>2786.95720263364</v>
      </c>
      <c r="T304" s="0" t="n">
        <f aca="false">W_PH(T$2,$A304)</f>
        <v>2786.97088917799</v>
      </c>
      <c r="U304" s="0" t="n">
        <f aca="false">W_PH(U$2,$A304)</f>
        <v>2786.98458620177</v>
      </c>
      <c r="V304" s="0" t="n">
        <f aca="false">W_PH(V$2,$A304)</f>
        <v>2786.99828013527</v>
      </c>
      <c r="W304" s="0" t="n">
        <f aca="false">W_PH(W$2,$A304)</f>
        <v>2787.01197550928</v>
      </c>
      <c r="X304" s="0" t="n">
        <f aca="false">W_PH(X$2,$A304)</f>
        <v>2787.02567232948</v>
      </c>
      <c r="Y304" s="0" t="n">
        <f aca="false">W_PH(Y$2,$A304)</f>
        <v>2787.16268962077</v>
      </c>
      <c r="Z304" s="0" t="n">
        <f aca="false">W_PH(Z$2,$A304)</f>
        <v>2787.29981695875</v>
      </c>
      <c r="AA304" s="0" t="n">
        <f aca="false">W_PH(AA$2,$A304)</f>
        <v>2787.43705541376</v>
      </c>
      <c r="AB304" s="0" t="n">
        <f aca="false">W_PH(AB$2,$A304)</f>
        <v>2787.57441057849</v>
      </c>
      <c r="AC304" s="0" t="n">
        <f aca="false">W_PH(AC$2,$A304)</f>
        <v>2787.71188804193</v>
      </c>
      <c r="AD304" s="0" t="n">
        <f aca="false">W_PH(AD$2,$A304)</f>
        <v>2787.84949338938</v>
      </c>
      <c r="AE304" s="0" t="n">
        <f aca="false">W_PH(AE$2,$A304)</f>
        <v>2787.98723674485</v>
      </c>
      <c r="AF304" s="0" t="n">
        <f aca="false">W_PH(AF$2,$A304)</f>
        <v>2788.12511460381</v>
      </c>
      <c r="AG304" s="0" t="n">
        <f aca="false">W_PH(AG$2,$A304)</f>
        <v>2788.26313253356</v>
      </c>
      <c r="AH304" s="0" t="n">
        <f aca="false">W_PH(AH$2,$A304)</f>
        <v>2789.65243446297</v>
      </c>
      <c r="AI304" s="0" t="n">
        <f aca="false">W_PH(AI$2,$A304)</f>
        <v>2791.0619530614</v>
      </c>
      <c r="AJ304" s="0" t="n">
        <f aca="false">W_PH(AJ$2,$A304)</f>
        <v>2792.49694965083</v>
      </c>
      <c r="AK304" s="0" t="n">
        <f aca="false">W_PH(AK$2,$A304)</f>
        <v>2793.96265626702</v>
      </c>
      <c r="AL304" s="0" t="n">
        <f aca="false">W_PH(AL$2,$A304)</f>
        <v>2795.46427753279</v>
      </c>
      <c r="AM304" s="0" t="n">
        <f aca="false">W_PH(AM$2,$A304)</f>
        <v>2797.00699268642</v>
      </c>
      <c r="AN304" s="0" t="n">
        <f aca="false">W_PH(AN$2,$A304)</f>
        <v>2798.59592954454</v>
      </c>
      <c r="AO304" s="0" t="n">
        <f aca="false">W_PH(AO$2,$A304)</f>
        <v>2800.23621343497</v>
      </c>
      <c r="AP304" s="0" t="n">
        <f aca="false">W_PH(AP$2,$A304)</f>
        <v>2015</v>
      </c>
      <c r="AQ304" s="0" t="n">
        <f aca="false">W_PH(AQ$2,$A304)</f>
        <v>2015</v>
      </c>
      <c r="AR304" s="0" t="n">
        <f aca="false">W_PH(AR$2,$A304)</f>
        <v>2015</v>
      </c>
      <c r="AS304" s="0" t="n">
        <f aca="false">W_PH(AS$2,$A304)</f>
        <v>2015</v>
      </c>
    </row>
    <row r="305" customFormat="false" ht="12.8" hidden="false" customHeight="false" outlineLevel="0" collapsed="false">
      <c r="A305" s="0" t="n">
        <v>1999.14015477214</v>
      </c>
      <c r="B305" s="0" t="n">
        <f aca="false">W_PH(B$2,$A305)</f>
        <v>2015</v>
      </c>
      <c r="C305" s="0" t="n">
        <f aca="false">W_PH(C$2,$A305)</f>
        <v>2790.97101427359</v>
      </c>
      <c r="D305" s="0" t="n">
        <f aca="false">W_PH(D$2,$A305)</f>
        <v>2790.97115126443</v>
      </c>
      <c r="E305" s="0" t="n">
        <f aca="false">W_PH(E$2,$A305)</f>
        <v>2790.9712882554</v>
      </c>
      <c r="F305" s="0" t="n">
        <f aca="false">W_PH(F$2,$A305)</f>
        <v>2790.97142524651</v>
      </c>
      <c r="G305" s="0" t="n">
        <f aca="false">W_PH(G$2,$A305)</f>
        <v>2790.97280419801</v>
      </c>
      <c r="H305" s="0" t="n">
        <f aca="false">W_PH(H$2,$A305)</f>
        <v>2790.97418316324</v>
      </c>
      <c r="I305" s="0" t="n">
        <f aca="false">W_PH(I$2,$A305)</f>
        <v>2790.97556214219</v>
      </c>
      <c r="J305" s="0" t="n">
        <f aca="false">W_PH(J$2,$A305)</f>
        <v>2790.97694113488</v>
      </c>
      <c r="K305" s="0" t="n">
        <f aca="false">W_PH(K$2,$A305)</f>
        <v>2790.97832014131</v>
      </c>
      <c r="L305" s="0" t="n">
        <f aca="false">W_PH(L$2,$A305)</f>
        <v>2790.97969916149</v>
      </c>
      <c r="M305" s="0" t="n">
        <f aca="false">W_PH(M$2,$A305)</f>
        <v>2790.98107367881</v>
      </c>
      <c r="N305" s="0" t="n">
        <f aca="false">W_PH(N$2,$A305)</f>
        <v>2790.98245272647</v>
      </c>
      <c r="O305" s="0" t="n">
        <f aca="false">W_PH(O$2,$A305)</f>
        <v>2790.98382727123</v>
      </c>
      <c r="P305" s="0" t="n">
        <f aca="false">W_PH(P$2,$A305)</f>
        <v>2790.99761864337</v>
      </c>
      <c r="Q305" s="0" t="n">
        <f aca="false">W_PH(Q$2,$A305)</f>
        <v>2791.01140236369</v>
      </c>
      <c r="R305" s="0" t="n">
        <f aca="false">W_PH(R$2,$A305)</f>
        <v>2791.02518747114</v>
      </c>
      <c r="S305" s="0" t="n">
        <f aca="false">W_PH(S$2,$A305)</f>
        <v>2791.03897397132</v>
      </c>
      <c r="T305" s="0" t="n">
        <f aca="false">W_PH(T$2,$A305)</f>
        <v>2791.05276186989</v>
      </c>
      <c r="U305" s="0" t="n">
        <f aca="false">W_PH(U$2,$A305)</f>
        <v>2791.06655117247</v>
      </c>
      <c r="V305" s="0" t="n">
        <f aca="false">W_PH(V$2,$A305)</f>
        <v>2791.08034188468</v>
      </c>
      <c r="W305" s="0" t="n">
        <f aca="false">W_PH(W$2,$A305)</f>
        <v>2791.09413401215</v>
      </c>
      <c r="X305" s="0" t="n">
        <f aca="false">W_PH(X$2,$A305)</f>
        <v>2791.10792756052</v>
      </c>
      <c r="Y305" s="0" t="n">
        <f aca="false">W_PH(Y$2,$A305)</f>
        <v>2791.24590626298</v>
      </c>
      <c r="Z305" s="0" t="n">
        <f aca="false">W_PH(Z$2,$A305)</f>
        <v>2791.38398797268</v>
      </c>
      <c r="AA305" s="0" t="n">
        <f aca="false">W_PH(AA$2,$A305)</f>
        <v>2791.52217824258</v>
      </c>
      <c r="AB305" s="0" t="n">
        <f aca="false">W_PH(AB$2,$A305)</f>
        <v>2791.66049167791</v>
      </c>
      <c r="AC305" s="0" t="n">
        <f aca="false">W_PH(AC$2,$A305)</f>
        <v>2791.79891571718</v>
      </c>
      <c r="AD305" s="0" t="n">
        <f aca="false">W_PH(AD$2,$A305)</f>
        <v>2791.93747401892</v>
      </c>
      <c r="AE305" s="0" t="n">
        <f aca="false">W_PH(AE$2,$A305)</f>
        <v>2792.07616306573</v>
      </c>
      <c r="AF305" s="0" t="n">
        <f aca="false">W_PH(AF$2,$A305)</f>
        <v>2792.21497931822</v>
      </c>
      <c r="AG305" s="0" t="n">
        <f aca="false">W_PH(AG$2,$A305)</f>
        <v>2792.35394645178</v>
      </c>
      <c r="AH305" s="0" t="n">
        <f aca="false">W_PH(AH$2,$A305)</f>
        <v>2793.75255878027</v>
      </c>
      <c r="AI305" s="0" t="n">
        <f aca="false">W_PH(AI$2,$A305)</f>
        <v>2795.17113481523</v>
      </c>
      <c r="AJ305" s="0" t="n">
        <f aca="false">W_PH(AJ$2,$A305)</f>
        <v>2796.61491438132</v>
      </c>
      <c r="AK305" s="0" t="n">
        <f aca="false">W_PH(AK$2,$A305)</f>
        <v>2798.08908142644</v>
      </c>
      <c r="AL305" s="0" t="n">
        <f aca="false">W_PH(AL$2,$A305)</f>
        <v>2799.59880239711</v>
      </c>
      <c r="AM305" s="0" t="n">
        <f aca="false">W_PH(AM$2,$A305)</f>
        <v>2801.14921909864</v>
      </c>
      <c r="AN305" s="0" t="n">
        <f aca="false">W_PH(AN$2,$A305)</f>
        <v>2802.7454320556</v>
      </c>
      <c r="AO305" s="0" t="n">
        <f aca="false">W_PH(AO$2,$A305)</f>
        <v>2804.39253065769</v>
      </c>
      <c r="AP305" s="0" t="n">
        <f aca="false">W_PH(AP$2,$A305)</f>
        <v>2015</v>
      </c>
      <c r="AQ305" s="0" t="n">
        <f aca="false">W_PH(AQ$2,$A305)</f>
        <v>2015</v>
      </c>
      <c r="AR305" s="0" t="n">
        <f aca="false">W_PH(AR$2,$A305)</f>
        <v>2015</v>
      </c>
      <c r="AS305" s="0" t="n">
        <f aca="false">W_PH(AS$2,$A305)</f>
        <v>2015</v>
      </c>
    </row>
    <row r="306" customFormat="false" ht="12.8" hidden="false" customHeight="false" outlineLevel="0" collapsed="false">
      <c r="A306" s="0" t="n">
        <v>2003.43938091144</v>
      </c>
      <c r="B306" s="0" t="n">
        <f aca="false">W_PH(B$2,$A306)</f>
        <v>2015</v>
      </c>
      <c r="C306" s="0" t="n">
        <f aca="false">W_PH(C$2,$A306)</f>
        <v>2795.04144857047</v>
      </c>
      <c r="D306" s="0" t="n">
        <f aca="false">W_PH(D$2,$A306)</f>
        <v>2795.04158763277</v>
      </c>
      <c r="E306" s="0" t="n">
        <f aca="false">W_PH(E$2,$A306)</f>
        <v>2795.04172669521</v>
      </c>
      <c r="F306" s="0" t="n">
        <f aca="false">W_PH(F$2,$A306)</f>
        <v>2795.04186575778</v>
      </c>
      <c r="G306" s="0" t="n">
        <f aca="false">W_PH(G$2,$A306)</f>
        <v>2795.04325639092</v>
      </c>
      <c r="H306" s="0" t="n">
        <f aca="false">W_PH(H$2,$A306)</f>
        <v>2795.04464703755</v>
      </c>
      <c r="I306" s="0" t="n">
        <f aca="false">W_PH(I$2,$A306)</f>
        <v>2795.04602867918</v>
      </c>
      <c r="J306" s="0" t="n">
        <f aca="false">W_PH(J$2,$A306)</f>
        <v>2795.04741935279</v>
      </c>
      <c r="K306" s="0" t="n">
        <f aca="false">W_PH(K$2,$A306)</f>
        <v>2795.04881003991</v>
      </c>
      <c r="L306" s="0" t="n">
        <f aca="false">W_PH(L$2,$A306)</f>
        <v>2795.0501917219</v>
      </c>
      <c r="M306" s="0" t="n">
        <f aca="false">W_PH(M$2,$A306)</f>
        <v>2795.05158243603</v>
      </c>
      <c r="N306" s="0" t="n">
        <f aca="false">W_PH(N$2,$A306)</f>
        <v>2795.0529731637</v>
      </c>
      <c r="O306" s="0" t="n">
        <f aca="false">W_PH(O$2,$A306)</f>
        <v>2795.05435488611</v>
      </c>
      <c r="P306" s="0" t="n">
        <f aca="false">W_PH(P$2,$A306)</f>
        <v>2795.06823598584</v>
      </c>
      <c r="Q306" s="0" t="n">
        <f aca="false">W_PH(Q$2,$A306)</f>
        <v>2795.08211844291</v>
      </c>
      <c r="R306" s="0" t="n">
        <f aca="false">W_PH(R$2,$A306)</f>
        <v>2795.09600226292</v>
      </c>
      <c r="S306" s="0" t="n">
        <f aca="false">W_PH(S$2,$A306)</f>
        <v>2795.10987843083</v>
      </c>
      <c r="T306" s="0" t="n">
        <f aca="false">W_PH(T$2,$A306)</f>
        <v>2795.123764993</v>
      </c>
      <c r="U306" s="0" t="n">
        <f aca="false">W_PH(U$2,$A306)</f>
        <v>2795.13764391334</v>
      </c>
      <c r="V306" s="0" t="n">
        <f aca="false">W_PH(V$2,$A306)</f>
        <v>2795.15153324002</v>
      </c>
      <c r="W306" s="0" t="n">
        <f aca="false">W_PH(W$2,$A306)</f>
        <v>2795.16541493512</v>
      </c>
      <c r="X306" s="0" t="n">
        <f aca="false">W_PH(X$2,$A306)</f>
        <v>2795.17930704864</v>
      </c>
      <c r="Y306" s="0" t="n">
        <f aca="false">W_PH(Y$2,$A306)</f>
        <v>2795.31822496946</v>
      </c>
      <c r="Z306" s="0" t="n">
        <f aca="false">W_PH(Z$2,$A306)</f>
        <v>2795.45725246453</v>
      </c>
      <c r="AA306" s="0" t="n">
        <f aca="false">W_PH(AA$2,$A306)</f>
        <v>2795.59638602097</v>
      </c>
      <c r="AB306" s="0" t="n">
        <f aca="false">W_PH(AB$2,$A306)</f>
        <v>2795.73564018637</v>
      </c>
      <c r="AC306" s="0" t="n">
        <f aca="false">W_PH(AC$2,$A306)</f>
        <v>2795.87500238602</v>
      </c>
      <c r="AD306" s="0" t="n">
        <f aca="false">W_PH(AD$2,$A306)</f>
        <v>2796.01449620613</v>
      </c>
      <c r="AE306" s="0" t="n">
        <f aca="false">W_PH(AE$2,$A306)</f>
        <v>2796.15411810151</v>
      </c>
      <c r="AF306" s="0" t="n">
        <f aca="false">W_PH(AF$2,$A306)</f>
        <v>2796.29387356458</v>
      </c>
      <c r="AG306" s="0" t="n">
        <f aca="false">W_PH(AG$2,$A306)</f>
        <v>2796.4337680843</v>
      </c>
      <c r="AH306" s="0" t="n">
        <f aca="false">W_PH(AH$2,$A306)</f>
        <v>2797.84155738331</v>
      </c>
      <c r="AI306" s="0" t="n">
        <f aca="false">W_PH(AI$2,$A306)</f>
        <v>2799.26907239665</v>
      </c>
      <c r="AJ306" s="0" t="n">
        <f aca="false">W_PH(AJ$2,$A306)</f>
        <v>2800.7215135664</v>
      </c>
      <c r="AK306" s="0" t="n">
        <f aca="false">W_PH(AK$2,$A306)</f>
        <v>2802.20402631365</v>
      </c>
      <c r="AL306" s="0" t="n">
        <f aca="false">W_PH(AL$2,$A306)</f>
        <v>2803.72173930978</v>
      </c>
      <c r="AM306" s="0" t="n">
        <f aca="false">W_PH(AM$2,$A306)</f>
        <v>2805.27975730973</v>
      </c>
      <c r="AN306" s="0" t="n">
        <f aca="false">W_PH(AN$2,$A306)</f>
        <v>2806.88314450613</v>
      </c>
      <c r="AO306" s="0" t="n">
        <f aca="false">W_PH(AO$2,$A306)</f>
        <v>2808.53696398272</v>
      </c>
      <c r="AP306" s="0" t="n">
        <f aca="false">W_PH(AP$2,$A306)</f>
        <v>2015</v>
      </c>
      <c r="AQ306" s="0" t="n">
        <f aca="false">W_PH(AQ$2,$A306)</f>
        <v>2015</v>
      </c>
      <c r="AR306" s="0" t="n">
        <f aca="false">W_PH(AR$2,$A306)</f>
        <v>2015</v>
      </c>
      <c r="AS306" s="0" t="n">
        <f aca="false">W_PH(AS$2,$A306)</f>
        <v>2015</v>
      </c>
    </row>
    <row r="307" customFormat="false" ht="12.8" hidden="false" customHeight="false" outlineLevel="0" collapsed="false">
      <c r="A307" s="0" t="n">
        <v>2007.73860705073</v>
      </c>
      <c r="B307" s="0" t="n">
        <f aca="false">W_PH(B$2,$A307)</f>
        <v>2015</v>
      </c>
      <c r="C307" s="0" t="n">
        <f aca="false">W_PH(C$2,$A307)</f>
        <v>2799.10111350964</v>
      </c>
      <c r="D307" s="0" t="n">
        <f aca="false">W_PH(D$2,$A307)</f>
        <v>2799.10125461349</v>
      </c>
      <c r="E307" s="0" t="n">
        <f aca="false">W_PH(E$2,$A307)</f>
        <v>2799.10139571747</v>
      </c>
      <c r="F307" s="0" t="n">
        <f aca="false">W_PH(F$2,$A307)</f>
        <v>2799.10153682159</v>
      </c>
      <c r="G307" s="0" t="n">
        <f aca="false">W_PH(G$2,$A307)</f>
        <v>2799.10292986206</v>
      </c>
      <c r="H307" s="0" t="n">
        <f aca="false">W_PH(H$2,$A307)</f>
        <v>2799.10433191979</v>
      </c>
      <c r="I307" s="0" t="n">
        <f aca="false">W_PH(I$2,$A307)</f>
        <v>2799.10572498669</v>
      </c>
      <c r="J307" s="0" t="n">
        <f aca="false">W_PH(J$2,$A307)</f>
        <v>2799.10712707096</v>
      </c>
      <c r="K307" s="0" t="n">
        <f aca="false">W_PH(K$2,$A307)</f>
        <v>2799.10852016431</v>
      </c>
      <c r="L307" s="0" t="n">
        <f aca="false">W_PH(L$2,$A307)</f>
        <v>2799.10992227514</v>
      </c>
      <c r="M307" s="0" t="n">
        <f aca="false">W_PH(M$2,$A307)</f>
        <v>2799.11131539497</v>
      </c>
      <c r="N307" s="0" t="n">
        <f aca="false">W_PH(N$2,$A307)</f>
        <v>2799.11271303019</v>
      </c>
      <c r="O307" s="0" t="n">
        <f aca="false">W_PH(O$2,$A307)</f>
        <v>2799.11411067869</v>
      </c>
      <c r="P307" s="0" t="n">
        <f aca="false">W_PH(P$2,$A307)</f>
        <v>2799.12808339263</v>
      </c>
      <c r="Q307" s="0" t="n">
        <f aca="false">W_PH(Q$2,$A307)</f>
        <v>2799.14205743969</v>
      </c>
      <c r="R307" s="0" t="n">
        <f aca="false">W_PH(R$2,$A307)</f>
        <v>2799.15602832253</v>
      </c>
      <c r="S307" s="0" t="n">
        <f aca="false">W_PH(S$2,$A307)</f>
        <v>2799.17000955534</v>
      </c>
      <c r="T307" s="0" t="n">
        <f aca="false">W_PH(T$2,$A307)</f>
        <v>2799.1839831317</v>
      </c>
      <c r="U307" s="0" t="n">
        <f aca="false">W_PH(U$2,$A307)</f>
        <v>2799.1979580629</v>
      </c>
      <c r="V307" s="0" t="n">
        <f aca="false">W_PH(V$2,$A307)</f>
        <v>2799.21193435448</v>
      </c>
      <c r="W307" s="0" t="n">
        <f aca="false">W_PH(W$2,$A307)</f>
        <v>2799.22592101999</v>
      </c>
      <c r="X307" s="0" t="n">
        <f aca="false">W_PH(X$2,$A307)</f>
        <v>2799.23990004942</v>
      </c>
      <c r="Y307" s="0" t="n">
        <f aca="false">W_PH(Y$2,$A307)</f>
        <v>2799.37974896715</v>
      </c>
      <c r="Z307" s="0" t="n">
        <f aca="false">W_PH(Z$2,$A307)</f>
        <v>2799.51970503604</v>
      </c>
      <c r="AA307" s="0" t="n">
        <f aca="false">W_PH(AA$2,$A307)</f>
        <v>2799.6597737372</v>
      </c>
      <c r="AB307" s="0" t="n">
        <f aca="false">W_PH(AB$2,$A307)</f>
        <v>2799.79994249538</v>
      </c>
      <c r="AC307" s="0" t="n">
        <f aca="false">W_PH(AC$2,$A307)</f>
        <v>2799.9402348197</v>
      </c>
      <c r="AD307" s="0" t="n">
        <f aca="false">W_PH(AD$2,$A307)</f>
        <v>2800.08064714546</v>
      </c>
      <c r="AE307" s="0" t="n">
        <f aca="false">W_PH(AE$2,$A307)</f>
        <v>2800.22119396644</v>
      </c>
      <c r="AF307" s="0" t="n">
        <f aca="false">W_PH(AF$2,$A307)</f>
        <v>2800.36186265774</v>
      </c>
      <c r="AG307" s="0" t="n">
        <f aca="false">W_PH(AG$2,$A307)</f>
        <v>2800.50267675069</v>
      </c>
      <c r="AH307" s="0" t="n">
        <f aca="false">W_PH(AH$2,$A307)</f>
        <v>2801.91952260297</v>
      </c>
      <c r="AI307" s="0" t="n">
        <f aca="false">W_PH(AI$2,$A307)</f>
        <v>2803.35586193782</v>
      </c>
      <c r="AJ307" s="0" t="n">
        <f aca="false">W_PH(AJ$2,$A307)</f>
        <v>2804.81683788561</v>
      </c>
      <c r="AK307" s="0" t="n">
        <f aca="false">W_PH(AK$2,$A307)</f>
        <v>2806.30758516704</v>
      </c>
      <c r="AL307" s="0" t="n">
        <f aca="false">W_PH(AL$2,$A307)</f>
        <v>2807.83318593585</v>
      </c>
      <c r="AM307" s="0" t="n">
        <f aca="false">W_PH(AM$2,$A307)</f>
        <v>2809.39869896602</v>
      </c>
      <c r="AN307" s="0" t="n">
        <f aca="false">W_PH(AN$2,$A307)</f>
        <v>2811.0091710521</v>
      </c>
      <c r="AO307" s="0" t="n">
        <f aca="false">W_PH(AO$2,$A307)</f>
        <v>2812.66962062363</v>
      </c>
      <c r="AP307" s="0" t="n">
        <f aca="false">W_PH(AP$2,$A307)</f>
        <v>2015</v>
      </c>
      <c r="AQ307" s="0" t="n">
        <f aca="false">W_PH(AQ$2,$A307)</f>
        <v>2015</v>
      </c>
      <c r="AR307" s="0" t="n">
        <f aca="false">W_PH(AR$2,$A307)</f>
        <v>2015</v>
      </c>
      <c r="AS307" s="0" t="n">
        <f aca="false">W_PH(AS$2,$A307)</f>
        <v>2015</v>
      </c>
    </row>
    <row r="308" customFormat="false" ht="12.8" hidden="false" customHeight="false" outlineLevel="0" collapsed="false">
      <c r="A308" s="0" t="n">
        <v>2012.03783319003</v>
      </c>
      <c r="B308" s="0" t="n">
        <f aca="false">W_PH(B$2,$A308)</f>
        <v>2015</v>
      </c>
      <c r="C308" s="0" t="n">
        <f aca="false">W_PH(C$2,$A308)</f>
        <v>2803.15009236828</v>
      </c>
      <c r="D308" s="0" t="n">
        <f aca="false">W_PH(D$2,$A308)</f>
        <v>2803.15023548427</v>
      </c>
      <c r="E308" s="0" t="n">
        <f aca="false">W_PH(E$2,$A308)</f>
        <v>2803.15037860039</v>
      </c>
      <c r="F308" s="0" t="n">
        <f aca="false">W_PH(F$2,$A308)</f>
        <v>2803.15051722178</v>
      </c>
      <c r="G308" s="0" t="n">
        <f aca="false">W_PH(G$2,$A308)</f>
        <v>2803.15192591719</v>
      </c>
      <c r="H308" s="0" t="n">
        <f aca="false">W_PH(H$2,$A308)</f>
        <v>2803.15333013072</v>
      </c>
      <c r="I308" s="0" t="n">
        <f aca="false">W_PH(I$2,$A308)</f>
        <v>2803.15473435722</v>
      </c>
      <c r="J308" s="0" t="n">
        <f aca="false">W_PH(J$2,$A308)</f>
        <v>2803.15613859672</v>
      </c>
      <c r="K308" s="0" t="n">
        <f aca="false">W_PH(K$2,$A308)</f>
        <v>2803.15755183914</v>
      </c>
      <c r="L308" s="0" t="n">
        <f aca="false">W_PH(L$2,$A308)</f>
        <v>2803.15895610467</v>
      </c>
      <c r="M308" s="0" t="n">
        <f aca="false">W_PH(M$2,$A308)</f>
        <v>2803.1603603832</v>
      </c>
      <c r="N308" s="0" t="n">
        <f aca="false">W_PH(N$2,$A308)</f>
        <v>2803.16176467474</v>
      </c>
      <c r="O308" s="0" t="n">
        <f aca="false">W_PH(O$2,$A308)</f>
        <v>2803.16317796941</v>
      </c>
      <c r="P308" s="0" t="n">
        <f aca="false">W_PH(P$2,$A308)</f>
        <v>2803.17723971354</v>
      </c>
      <c r="Q308" s="0" t="n">
        <f aca="false">W_PH(Q$2,$A308)</f>
        <v>2803.19130276694</v>
      </c>
      <c r="R308" s="0" t="n">
        <f aca="false">W_PH(R$2,$A308)</f>
        <v>2803.20536713512</v>
      </c>
      <c r="S308" s="0" t="n">
        <f aca="false">W_PH(S$2,$A308)</f>
        <v>2803.21944181547</v>
      </c>
      <c r="T308" s="0" t="n">
        <f aca="false">W_PH(T$2,$A308)</f>
        <v>2803.23350883014</v>
      </c>
      <c r="U308" s="0" t="n">
        <f aca="false">W_PH(U$2,$A308)</f>
        <v>2803.24757717609</v>
      </c>
      <c r="V308" s="0" t="n">
        <f aca="false">W_PH(V$2,$A308)</f>
        <v>2803.26164685882</v>
      </c>
      <c r="W308" s="0" t="n">
        <f aca="false">W_PH(W$2,$A308)</f>
        <v>2803.27571788381</v>
      </c>
      <c r="X308" s="0" t="n">
        <f aca="false">W_PH(X$2,$A308)</f>
        <v>2803.28979025657</v>
      </c>
      <c r="Y308" s="0" t="n">
        <f aca="false">W_PH(Y$2,$A308)</f>
        <v>2803.43056232514</v>
      </c>
      <c r="Z308" s="0" t="n">
        <f aca="false">W_PH(Z$2,$A308)</f>
        <v>2803.57143917718</v>
      </c>
      <c r="AA308" s="0" t="n">
        <f aca="false">W_PH(AA$2,$A308)</f>
        <v>2803.7124172443</v>
      </c>
      <c r="AB308" s="0" t="n">
        <f aca="false">W_PH(AB$2,$A308)</f>
        <v>2803.85350194881</v>
      </c>
      <c r="AC308" s="0" t="n">
        <f aca="false">W_PH(AC$2,$A308)</f>
        <v>2803.99470772602</v>
      </c>
      <c r="AD308" s="0" t="n">
        <f aca="false">W_PH(AD$2,$A308)</f>
        <v>2804.13603098409</v>
      </c>
      <c r="AE308" s="0" t="n">
        <f aca="false">W_PH(AE$2,$A308)</f>
        <v>2804.27747713529</v>
      </c>
      <c r="AF308" s="0" t="n">
        <f aca="false">W_PH(AF$2,$A308)</f>
        <v>2804.41906061818</v>
      </c>
      <c r="AG308" s="0" t="n">
        <f aca="false">W_PH(AG$2,$A308)</f>
        <v>2804.56077781761</v>
      </c>
      <c r="AH308" s="0" t="n">
        <f aca="false">W_PH(AH$2,$A308)</f>
        <v>2805.986554648</v>
      </c>
      <c r="AI308" s="0" t="n">
        <f aca="false">W_PH(AI$2,$A308)</f>
        <v>2807.43158460548</v>
      </c>
      <c r="AJ308" s="0" t="n">
        <f aca="false">W_PH(AJ$2,$A308)</f>
        <v>2808.90099504894</v>
      </c>
      <c r="AK308" s="0" t="n">
        <f aca="false">W_PH(AK$2,$A308)</f>
        <v>2810.39985545291</v>
      </c>
      <c r="AL308" s="0" t="n">
        <f aca="false">W_PH(AL$2,$A308)</f>
        <v>2811.93322924185</v>
      </c>
      <c r="AM308" s="0" t="n">
        <f aca="false">W_PH(AM$2,$A308)</f>
        <v>2813.50615284314</v>
      </c>
      <c r="AN308" s="0" t="n">
        <f aca="false">W_PH(AN$2,$A308)</f>
        <v>2815.12361425777</v>
      </c>
      <c r="AO308" s="0" t="n">
        <f aca="false">W_PH(AO$2,$A308)</f>
        <v>2816.79060613506</v>
      </c>
      <c r="AP308" s="0" t="n">
        <f aca="false">W_PH(AP$2,$A308)</f>
        <v>2015</v>
      </c>
      <c r="AQ308" s="0" t="n">
        <f aca="false">W_PH(AQ$2,$A308)</f>
        <v>2015</v>
      </c>
      <c r="AR308" s="0" t="n">
        <f aca="false">W_PH(AR$2,$A308)</f>
        <v>2015</v>
      </c>
      <c r="AS308" s="0" t="n">
        <f aca="false">W_PH(AS$2,$A308)</f>
        <v>2015</v>
      </c>
    </row>
    <row r="309" customFormat="false" ht="12.8" hidden="false" customHeight="false" outlineLevel="0" collapsed="false">
      <c r="A309" s="0" t="n">
        <v>2016.33705932932</v>
      </c>
      <c r="B309" s="0" t="n">
        <f aca="false">W_PH(B$2,$A309)</f>
        <v>2015</v>
      </c>
      <c r="C309" s="0" t="n">
        <f aca="false">W_PH(C$2,$A309)</f>
        <v>2807.18847190402</v>
      </c>
      <c r="D309" s="0" t="n">
        <f aca="false">W_PH(D$2,$A309)</f>
        <v>2807.18861251547</v>
      </c>
      <c r="E309" s="0" t="n">
        <f aca="false">W_PH(E$2,$A309)</f>
        <v>2807.18875761481</v>
      </c>
      <c r="F309" s="0" t="n">
        <f aca="false">W_PH(F$2,$A309)</f>
        <v>2807.18889373873</v>
      </c>
      <c r="G309" s="0" t="n">
        <f aca="false">W_PH(G$2,$A309)</f>
        <v>2807.19030883827</v>
      </c>
      <c r="H309" s="0" t="n">
        <f aca="false">W_PH(H$2,$A309)</f>
        <v>2807.19172395057</v>
      </c>
      <c r="I309" s="0" t="n">
        <f aca="false">W_PH(I$2,$A309)</f>
        <v>2807.19313907564</v>
      </c>
      <c r="J309" s="0" t="n">
        <f aca="false">W_PH(J$2,$A309)</f>
        <v>2807.19455870135</v>
      </c>
      <c r="K309" s="0" t="n">
        <f aca="false">W_PH(K$2,$A309)</f>
        <v>2807.195973852</v>
      </c>
      <c r="L309" s="0" t="n">
        <f aca="false">W_PH(L$2,$A309)</f>
        <v>2807.19738901543</v>
      </c>
      <c r="M309" s="0" t="n">
        <f aca="false">W_PH(M$2,$A309)</f>
        <v>2807.19880867959</v>
      </c>
      <c r="N309" s="0" t="n">
        <f aca="false">W_PH(N$2,$A309)</f>
        <v>2807.20022386863</v>
      </c>
      <c r="O309" s="0" t="n">
        <f aca="false">W_PH(O$2,$A309)</f>
        <v>2807.20163907048</v>
      </c>
      <c r="P309" s="0" t="n">
        <f aca="false">W_PH(P$2,$A309)</f>
        <v>2807.21579179428</v>
      </c>
      <c r="Q309" s="0" t="n">
        <f aca="false">W_PH(Q$2,$A309)</f>
        <v>2807.22994580431</v>
      </c>
      <c r="R309" s="0" t="n">
        <f aca="false">W_PH(R$2,$A309)</f>
        <v>2807.24410110605</v>
      </c>
      <c r="S309" s="0" t="n">
        <f aca="false">W_PH(S$2,$A309)</f>
        <v>2807.25826668264</v>
      </c>
      <c r="T309" s="0" t="n">
        <f aca="false">W_PH(T$2,$A309)</f>
        <v>2807.27242458458</v>
      </c>
      <c r="U309" s="0" t="n">
        <f aca="false">W_PH(U$2,$A309)</f>
        <v>2807.28658379459</v>
      </c>
      <c r="V309" s="0" t="n">
        <f aca="false">W_PH(V$2,$A309)</f>
        <v>2807.30074431812</v>
      </c>
      <c r="W309" s="0" t="n">
        <f aca="false">W_PH(W$2,$A309)</f>
        <v>2807.31490616063</v>
      </c>
      <c r="X309" s="0" t="n">
        <f aca="false">W_PH(X$2,$A309)</f>
        <v>2807.32906932758</v>
      </c>
      <c r="Y309" s="0" t="n">
        <f aca="false">W_PH(Y$2,$A309)</f>
        <v>2807.47074808819</v>
      </c>
      <c r="Z309" s="0" t="n">
        <f aca="false">W_PH(Z$2,$A309)</f>
        <v>2807.61252032137</v>
      </c>
      <c r="AA309" s="0" t="n">
        <f aca="false">W_PH(AA$2,$A309)</f>
        <v>2807.75440490103</v>
      </c>
      <c r="AB309" s="0" t="n">
        <f aca="false">W_PH(AB$2,$A309)</f>
        <v>2807.89639373173</v>
      </c>
      <c r="AC309" s="0" t="n">
        <f aca="false">W_PH(AC$2,$A309)</f>
        <v>2808.03849669212</v>
      </c>
      <c r="AD309" s="0" t="n">
        <f aca="false">W_PH(AD$2,$A309)</f>
        <v>2808.18071466011</v>
      </c>
      <c r="AE309" s="0" t="n">
        <f aca="false">W_PH(AE$2,$A309)</f>
        <v>2808.32306201746</v>
      </c>
      <c r="AF309" s="0" t="n">
        <f aca="false">W_PH(AF$2,$A309)</f>
        <v>2808.46553513029</v>
      </c>
      <c r="AG309" s="0" t="n">
        <f aca="false">W_PH(AG$2,$A309)</f>
        <v>2808.60814838257</v>
      </c>
      <c r="AH309" s="0" t="n">
        <f aca="false">W_PH(AH$2,$A309)</f>
        <v>2810.0427253014</v>
      </c>
      <c r="AI309" s="0" t="n">
        <f aca="false">W_PH(AI$2,$A309)</f>
        <v>2811.49633861543</v>
      </c>
      <c r="AJ309" s="0" t="n">
        <f aca="false">W_PH(AJ$2,$A309)</f>
        <v>2812.97406391886</v>
      </c>
      <c r="AK309" s="0" t="n">
        <f aca="false">W_PH(AK$2,$A309)</f>
        <v>2814.48093325666</v>
      </c>
      <c r="AL309" s="0" t="n">
        <f aca="false">W_PH(AL$2,$A309)</f>
        <v>2816.02198715336</v>
      </c>
      <c r="AM309" s="0" t="n">
        <f aca="false">W_PH(AM$2,$A309)</f>
        <v>2817.60220761165</v>
      </c>
      <c r="AN309" s="0" t="n">
        <f aca="false">W_PH(AN$2,$A309)</f>
        <v>2819.22656581876</v>
      </c>
      <c r="AO309" s="0" t="n">
        <f aca="false">W_PH(AO$2,$A309)</f>
        <v>2820.90001509919</v>
      </c>
      <c r="AP309" s="0" t="n">
        <f aca="false">W_PH(AP$2,$A309)</f>
        <v>2015</v>
      </c>
      <c r="AQ309" s="0" t="n">
        <f aca="false">W_PH(AQ$2,$A309)</f>
        <v>2015</v>
      </c>
      <c r="AR309" s="0" t="n">
        <f aca="false">W_PH(AR$2,$A309)</f>
        <v>2015</v>
      </c>
      <c r="AS309" s="0" t="n">
        <f aca="false">W_PH(AS$2,$A309)</f>
        <v>2015</v>
      </c>
    </row>
    <row r="310" customFormat="false" ht="12.8" hidden="false" customHeight="false" outlineLevel="0" collapsed="false">
      <c r="A310" s="0" t="n">
        <v>2020.63628546862</v>
      </c>
      <c r="B310" s="0" t="n">
        <f aca="false">W_PH(B$2,$A310)</f>
        <v>2015</v>
      </c>
      <c r="C310" s="0" t="n">
        <f aca="false">W_PH(C$2,$A310)</f>
        <v>2811.21632889656</v>
      </c>
      <c r="D310" s="0" t="n">
        <f aca="false">W_PH(D$2,$A310)</f>
        <v>2811.21647595056</v>
      </c>
      <c r="E310" s="0" t="n">
        <f aca="false">W_PH(E$2,$A310)</f>
        <v>2811.21661404321</v>
      </c>
      <c r="F310" s="0" t="n">
        <f aca="false">W_PH(F$2,$A310)</f>
        <v>2811.21676109747</v>
      </c>
      <c r="G310" s="0" t="n">
        <f aca="false">W_PH(G$2,$A310)</f>
        <v>2811.21818683955</v>
      </c>
      <c r="H310" s="0" t="n">
        <f aca="false">W_PH(H$2,$A310)</f>
        <v>2811.21961259419</v>
      </c>
      <c r="I310" s="0" t="n">
        <f aca="false">W_PH(I$2,$A310)</f>
        <v>2811.22102939975</v>
      </c>
      <c r="J310" s="0" t="n">
        <f aca="false">W_PH(J$2,$A310)</f>
        <v>2811.22245517947</v>
      </c>
      <c r="K310" s="0" t="n">
        <f aca="false">W_PH(K$2,$A310)</f>
        <v>2811.22388097176</v>
      </c>
      <c r="L310" s="0" t="n">
        <f aca="false">W_PH(L$2,$A310)</f>
        <v>2811.22530677663</v>
      </c>
      <c r="M310" s="0" t="n">
        <f aca="false">W_PH(M$2,$A310)</f>
        <v>2811.22673259408</v>
      </c>
      <c r="N310" s="0" t="n">
        <f aca="false">W_PH(N$2,$A310)</f>
        <v>2811.22815842412</v>
      </c>
      <c r="O310" s="0" t="n">
        <f aca="false">W_PH(O$2,$A310)</f>
        <v>2811.2295797858</v>
      </c>
      <c r="P310" s="0" t="n">
        <f aca="false">W_PH(P$2,$A310)</f>
        <v>2811.24382546224</v>
      </c>
      <c r="Q310" s="0" t="n">
        <f aca="false">W_PH(Q$2,$A310)</f>
        <v>2811.25806792129</v>
      </c>
      <c r="R310" s="0" t="n">
        <f aca="false">W_PH(R$2,$A310)</f>
        <v>2811.2723206125</v>
      </c>
      <c r="S310" s="0" t="n">
        <f aca="false">W_PH(S$2,$A310)</f>
        <v>2811.28656561534</v>
      </c>
      <c r="T310" s="0" t="n">
        <f aca="false">W_PH(T$2,$A310)</f>
        <v>2811.300811898</v>
      </c>
      <c r="U310" s="0" t="n">
        <f aca="false">W_PH(U$2,$A310)</f>
        <v>2811.31505946586</v>
      </c>
      <c r="V310" s="0" t="n">
        <f aca="false">W_PH(V$2,$A310)</f>
        <v>2811.32931728929</v>
      </c>
      <c r="W310" s="0" t="n">
        <f aca="false">W_PH(W$2,$A310)</f>
        <v>2811.34356744427</v>
      </c>
      <c r="X310" s="0" t="n">
        <f aca="false">W_PH(X$2,$A310)</f>
        <v>2811.35781890072</v>
      </c>
      <c r="Y310" s="0" t="n">
        <f aca="false">W_PH(Y$2,$A310)</f>
        <v>2811.50038829607</v>
      </c>
      <c r="Z310" s="0" t="n">
        <f aca="false">W_PH(Z$2,$A310)</f>
        <v>2811.64305787508</v>
      </c>
      <c r="AA310" s="0" t="n">
        <f aca="false">W_PH(AA$2,$A310)</f>
        <v>2811.78583299413</v>
      </c>
      <c r="AB310" s="0" t="n">
        <f aca="false">W_PH(AB$2,$A310)</f>
        <v>2811.92871002325</v>
      </c>
      <c r="AC310" s="0" t="n">
        <f aca="false">W_PH(AC$2,$A310)</f>
        <v>2812.07169429941</v>
      </c>
      <c r="AD310" s="0" t="n">
        <f aca="false">W_PH(AD$2,$A310)</f>
        <v>2812.21480014815</v>
      </c>
      <c r="AE310" s="0" t="n">
        <f aca="false">W_PH(AE$2,$A310)</f>
        <v>2812.35803291301</v>
      </c>
      <c r="AF310" s="0" t="n">
        <f aca="false">W_PH(AF$2,$A310)</f>
        <v>2812.50138893394</v>
      </c>
      <c r="AG310" s="0" t="n">
        <f aca="false">W_PH(AG$2,$A310)</f>
        <v>2812.64487353519</v>
      </c>
      <c r="AH310" s="0" t="n">
        <f aca="false">W_PH(AH$2,$A310)</f>
        <v>2814.08814150519</v>
      </c>
      <c r="AI310" s="0" t="n">
        <f aca="false">W_PH(AI$2,$A310)</f>
        <v>2815.55022091884</v>
      </c>
      <c r="AJ310" s="0" t="n">
        <f aca="false">W_PH(AJ$2,$A310)</f>
        <v>2817.03614044199</v>
      </c>
      <c r="AK310" s="0" t="n">
        <f aca="false">W_PH(AK$2,$A310)</f>
        <v>2818.55091789797</v>
      </c>
      <c r="AL310" s="0" t="n">
        <f aca="false">W_PH(AL$2,$A310)</f>
        <v>2820.09953917685</v>
      </c>
      <c r="AM310" s="0" t="n">
        <f aca="false">W_PH(AM$2,$A310)</f>
        <v>2821.68696906248</v>
      </c>
      <c r="AN310" s="0" t="n">
        <f aca="false">W_PH(AN$2,$A310)</f>
        <v>2823.31812991817</v>
      </c>
      <c r="AO310" s="0" t="n">
        <f aca="false">W_PH(AO$2,$A310)</f>
        <v>2824.99794058474</v>
      </c>
      <c r="AP310" s="0" t="n">
        <f aca="false">W_PH(AP$2,$A310)</f>
        <v>2015</v>
      </c>
      <c r="AQ310" s="0" t="n">
        <f aca="false">W_PH(AQ$2,$A310)</f>
        <v>2015</v>
      </c>
      <c r="AR310" s="0" t="n">
        <f aca="false">W_PH(AR$2,$A310)</f>
        <v>2015</v>
      </c>
      <c r="AS310" s="0" t="n">
        <f aca="false">W_PH(AS$2,$A310)</f>
        <v>2015</v>
      </c>
    </row>
    <row r="311" customFormat="false" ht="12.8" hidden="false" customHeight="false" outlineLevel="0" collapsed="false">
      <c r="A311" s="0" t="n">
        <v>2024.93551160791</v>
      </c>
      <c r="B311" s="0" t="n">
        <f aca="false">W_PH(B$2,$A311)</f>
        <v>2015</v>
      </c>
      <c r="C311" s="0" t="n">
        <f aca="false">W_PH(C$2,$A311)</f>
        <v>2815.23375707899</v>
      </c>
      <c r="D311" s="0" t="n">
        <f aca="false">W_PH(D$2,$A311)</f>
        <v>2815.23390605984</v>
      </c>
      <c r="E311" s="0" t="n">
        <f aca="false">W_PH(E$2,$A311)</f>
        <v>2815.23404609328</v>
      </c>
      <c r="F311" s="0" t="n">
        <f aca="false">W_PH(F$2,$A311)</f>
        <v>2815.23419060061</v>
      </c>
      <c r="G311" s="0" t="n">
        <f aca="false">W_PH(G$2,$A311)</f>
        <v>2815.23562225935</v>
      </c>
      <c r="H311" s="0" t="n">
        <f aca="false">W_PH(H$2,$A311)</f>
        <v>2815.23705840421</v>
      </c>
      <c r="I311" s="0" t="n">
        <f aca="false">W_PH(I$2,$A311)</f>
        <v>2815.23849008759</v>
      </c>
      <c r="J311" s="0" t="n">
        <f aca="false">W_PH(J$2,$A311)</f>
        <v>2815.23992178329</v>
      </c>
      <c r="K311" s="0" t="n">
        <f aca="false">W_PH(K$2,$A311)</f>
        <v>2815.24135796519</v>
      </c>
      <c r="L311" s="0" t="n">
        <f aca="false">W_PH(L$2,$A311)</f>
        <v>2815.24278968556</v>
      </c>
      <c r="M311" s="0" t="n">
        <f aca="false">W_PH(M$2,$A311)</f>
        <v>2815.24422141827</v>
      </c>
      <c r="N311" s="0" t="n">
        <f aca="false">W_PH(N$2,$A311)</f>
        <v>2815.24565763726</v>
      </c>
      <c r="O311" s="0" t="n">
        <f aca="false">W_PH(O$2,$A311)</f>
        <v>2815.24708939467</v>
      </c>
      <c r="P311" s="0" t="n">
        <f aca="false">W_PH(P$2,$A311)</f>
        <v>2815.26142107144</v>
      </c>
      <c r="Q311" s="0" t="n">
        <f aca="false">W_PH(Q$2,$A311)</f>
        <v>2815.27575846427</v>
      </c>
      <c r="R311" s="0" t="n">
        <f aca="false">W_PH(R$2,$A311)</f>
        <v>2815.29008815534</v>
      </c>
      <c r="S311" s="0" t="n">
        <f aca="false">W_PH(S$2,$A311)</f>
        <v>2815.30442804803</v>
      </c>
      <c r="T311" s="0" t="n">
        <f aca="false">W_PH(T$2,$A311)</f>
        <v>2815.31876472388</v>
      </c>
      <c r="U311" s="0" t="n">
        <f aca="false">W_PH(U$2,$A311)</f>
        <v>2815.33310266289</v>
      </c>
      <c r="V311" s="0" t="n">
        <f aca="false">W_PH(V$2,$A311)</f>
        <v>2815.34743739495</v>
      </c>
      <c r="W311" s="0" t="n">
        <f aca="false">W_PH(W$2,$A311)</f>
        <v>2815.36178235184</v>
      </c>
      <c r="X311" s="0" t="n">
        <f aca="false">W_PH(X$2,$A311)</f>
        <v>2815.37611963664</v>
      </c>
      <c r="Y311" s="0" t="n">
        <f aca="false">W_PH(Y$2,$A311)</f>
        <v>2815.51957295858</v>
      </c>
      <c r="Z311" s="0" t="n">
        <f aca="false">W_PH(Z$2,$A311)</f>
        <v>2815.66312423895</v>
      </c>
      <c r="AA311" s="0" t="n">
        <f aca="false">W_PH(AA$2,$A311)</f>
        <v>2815.80676982889</v>
      </c>
      <c r="AB311" s="0" t="n">
        <f aca="false">W_PH(AB$2,$A311)</f>
        <v>2815.95052399712</v>
      </c>
      <c r="AC311" s="0" t="n">
        <f aca="false">W_PH(AC$2,$A311)</f>
        <v>2816.09439205315</v>
      </c>
      <c r="AD311" s="0" t="n">
        <f aca="false">W_PH(AD$2,$A311)</f>
        <v>2816.2383703259</v>
      </c>
      <c r="AE311" s="0" t="n">
        <f aca="false">W_PH(AE$2,$A311)</f>
        <v>2816.38246410583</v>
      </c>
      <c r="AF311" s="0" t="n">
        <f aca="false">W_PH(AF$2,$A311)</f>
        <v>2816.52669665221</v>
      </c>
      <c r="AG311" s="0" t="n">
        <f aca="false">W_PH(AG$2,$A311)</f>
        <v>2816.6710463042</v>
      </c>
      <c r="AH311" s="0" t="n">
        <f aca="false">W_PH(AH$2,$A311)</f>
        <v>2818.12288636834</v>
      </c>
      <c r="AI311" s="0" t="n">
        <f aca="false">W_PH(AI$2,$A311)</f>
        <v>2819.59330907843</v>
      </c>
      <c r="AJ311" s="0" t="n">
        <f aca="false">W_PH(AJ$2,$A311)</f>
        <v>2821.08731928038</v>
      </c>
      <c r="AK311" s="0" t="n">
        <f aca="false">W_PH(AK$2,$A311)</f>
        <v>2822.60988902518</v>
      </c>
      <c r="AL311" s="0" t="n">
        <f aca="false">W_PH(AL$2,$A311)</f>
        <v>2824.16598195519</v>
      </c>
      <c r="AM311" s="0" t="n">
        <f aca="false">W_PH(AM$2,$A311)</f>
        <v>2825.76052301537</v>
      </c>
      <c r="AN311" s="0" t="n">
        <f aca="false">W_PH(AN$2,$A311)</f>
        <v>2827.39839993508</v>
      </c>
      <c r="AO311" s="0" t="n">
        <f aca="false">W_PH(AO$2,$A311)</f>
        <v>2829.08449280356</v>
      </c>
      <c r="AP311" s="0" t="n">
        <f aca="false">W_PH(AP$2,$A311)</f>
        <v>2015</v>
      </c>
      <c r="AQ311" s="0" t="n">
        <f aca="false">W_PH(AQ$2,$A311)</f>
        <v>2015</v>
      </c>
      <c r="AR311" s="0" t="n">
        <f aca="false">W_PH(AR$2,$A311)</f>
        <v>2015</v>
      </c>
      <c r="AS311" s="0" t="n">
        <f aca="false">W_PH(AS$2,$A311)</f>
        <v>2015</v>
      </c>
    </row>
    <row r="312" customFormat="false" ht="12.8" hidden="false" customHeight="false" outlineLevel="0" collapsed="false">
      <c r="A312" s="0" t="n">
        <v>2029.23473774721</v>
      </c>
      <c r="B312" s="0" t="n">
        <f aca="false">W_PH(B$2,$A312)</f>
        <v>2015</v>
      </c>
      <c r="C312" s="0" t="n">
        <f aca="false">W_PH(C$2,$A312)</f>
        <v>2819.24084021596</v>
      </c>
      <c r="D312" s="0" t="n">
        <f aca="false">W_PH(D$2,$A312)</f>
        <v>2819.24098216246</v>
      </c>
      <c r="E312" s="0" t="n">
        <f aca="false">W_PH(E$2,$A312)</f>
        <v>2819.24112410909</v>
      </c>
      <c r="F312" s="0" t="n">
        <f aca="false">W_PH(F$2,$A312)</f>
        <v>2819.24127052269</v>
      </c>
      <c r="G312" s="0" t="n">
        <f aca="false">W_PH(G$2,$A312)</f>
        <v>2819.2427123311</v>
      </c>
      <c r="H312" s="0" t="n">
        <f aca="false">W_PH(H$2,$A312)</f>
        <v>2819.24415415162</v>
      </c>
      <c r="I312" s="0" t="n">
        <f aca="false">W_PH(I$2,$A312)</f>
        <v>2819.24559598424</v>
      </c>
      <c r="J312" s="0" t="n">
        <f aca="false">W_PH(J$2,$A312)</f>
        <v>2819.24704229593</v>
      </c>
      <c r="K312" s="0" t="n">
        <f aca="false">W_PH(K$2,$A312)</f>
        <v>2819.24847968585</v>
      </c>
      <c r="L312" s="0" t="n">
        <f aca="false">W_PH(L$2,$A312)</f>
        <v>2819.24992602182</v>
      </c>
      <c r="M312" s="0" t="n">
        <f aca="false">W_PH(M$2,$A312)</f>
        <v>2819.25136343595</v>
      </c>
      <c r="N312" s="0" t="n">
        <f aca="false">W_PH(N$2,$A312)</f>
        <v>2819.25280979624</v>
      </c>
      <c r="O312" s="0" t="n">
        <f aca="false">W_PH(O$2,$A312)</f>
        <v>2819.25424723461</v>
      </c>
      <c r="P312" s="0" t="n">
        <f aca="false">W_PH(P$2,$A312)</f>
        <v>2819.26866695759</v>
      </c>
      <c r="Q312" s="0" t="n">
        <f aca="false">W_PH(Q$2,$A312)</f>
        <v>2819.28308790065</v>
      </c>
      <c r="R312" s="0" t="n">
        <f aca="false">W_PH(R$2,$A312)</f>
        <v>2819.29751006914</v>
      </c>
      <c r="S312" s="0" t="n">
        <f aca="false">W_PH(S$2,$A312)</f>
        <v>2819.31193346837</v>
      </c>
      <c r="T312" s="0" t="n">
        <f aca="false">W_PH(T$2,$A312)</f>
        <v>2819.3263581037</v>
      </c>
      <c r="U312" s="0" t="n">
        <f aca="false">W_PH(U$2,$A312)</f>
        <v>2819.34078398044</v>
      </c>
      <c r="V312" s="0" t="n">
        <f aca="false">W_PH(V$2,$A312)</f>
        <v>2819.35521110393</v>
      </c>
      <c r="W312" s="0" t="n">
        <f aca="false">W_PH(W$2,$A312)</f>
        <v>2819.36963501076</v>
      </c>
      <c r="X312" s="0" t="n">
        <f aca="false">W_PH(X$2,$A312)</f>
        <v>2819.38406017459</v>
      </c>
      <c r="Y312" s="0" t="n">
        <f aca="false">W_PH(Y$2,$A312)</f>
        <v>2819.52838212002</v>
      </c>
      <c r="Z312" s="0" t="n">
        <f aca="false">W_PH(Z$2,$A312)</f>
        <v>2819.67279984143</v>
      </c>
      <c r="AA312" s="0" t="n">
        <f aca="false">W_PH(AA$2,$A312)</f>
        <v>2819.81731861449</v>
      </c>
      <c r="AB312" s="0" t="n">
        <f aca="false">W_PH(AB$2,$A312)</f>
        <v>2819.96193475699</v>
      </c>
      <c r="AC312" s="0" t="n">
        <f aca="false">W_PH(AC$2,$A312)</f>
        <v>2820.10666248482</v>
      </c>
      <c r="AD312" s="0" t="n">
        <f aca="false">W_PH(AD$2,$A312)</f>
        <v>2820.25149810122</v>
      </c>
      <c r="AE312" s="0" t="n">
        <f aca="false">W_PH(AE$2,$A312)</f>
        <v>2820.39645582442</v>
      </c>
      <c r="AF312" s="0" t="n">
        <f aca="false">W_PH(AF$2,$A312)</f>
        <v>2820.54154091482</v>
      </c>
      <c r="AG312" s="0" t="n">
        <f aca="false">W_PH(AG$2,$A312)</f>
        <v>2820.68674965391</v>
      </c>
      <c r="AH312" s="0" t="n">
        <f aca="false">W_PH(AH$2,$A312)</f>
        <v>2822.14704192168</v>
      </c>
      <c r="AI312" s="0" t="n">
        <f aca="false">W_PH(AI$2,$A312)</f>
        <v>2823.62569315414</v>
      </c>
      <c r="AJ312" s="0" t="n">
        <f aca="false">W_PH(AJ$2,$A312)</f>
        <v>2825.12768473734</v>
      </c>
      <c r="AK312" s="0" t="n">
        <f aca="false">W_PH(AK$2,$A312)</f>
        <v>2826.65794793885</v>
      </c>
      <c r="AL312" s="0" t="n">
        <f aca="false">W_PH(AL$2,$A312)</f>
        <v>2828.22141076425</v>
      </c>
      <c r="AM312" s="0" t="n">
        <f aca="false">W_PH(AM$2,$A312)</f>
        <v>2829.82296318074</v>
      </c>
      <c r="AN312" s="0" t="n">
        <f aca="false">W_PH(AN$2,$A312)</f>
        <v>2831.46746782306</v>
      </c>
      <c r="AO312" s="0" t="n">
        <f aca="false">W_PH(AO$2,$A312)</f>
        <v>2833.15976643012</v>
      </c>
      <c r="AP312" s="0" t="n">
        <f aca="false">W_PH(AP$2,$A312)</f>
        <v>2015</v>
      </c>
      <c r="AQ312" s="0" t="n">
        <f aca="false">W_PH(AQ$2,$A312)</f>
        <v>2015</v>
      </c>
      <c r="AR312" s="0" t="n">
        <f aca="false">W_PH(AR$2,$A312)</f>
        <v>2015</v>
      </c>
      <c r="AS312" s="0" t="n">
        <f aca="false">W_PH(AS$2,$A312)</f>
        <v>2015</v>
      </c>
    </row>
    <row r="313" customFormat="false" ht="12.8" hidden="false" customHeight="false" outlineLevel="0" collapsed="false">
      <c r="A313" s="0" t="n">
        <v>2033.5339638865</v>
      </c>
      <c r="B313" s="0" t="n">
        <f aca="false">W_PH(B$2,$A313)</f>
        <v>2015</v>
      </c>
      <c r="C313" s="0" t="n">
        <f aca="false">W_PH(C$2,$A313)</f>
        <v>2823.23764773152</v>
      </c>
      <c r="D313" s="0" t="n">
        <f aca="false">W_PH(D$2,$A313)</f>
        <v>2823.23779156409</v>
      </c>
      <c r="E313" s="0" t="n">
        <f aca="false">W_PH(E$2,$A313)</f>
        <v>2823.23793539678</v>
      </c>
      <c r="F313" s="0" t="n">
        <f aca="false">W_PH(F$2,$A313)</f>
        <v>2823.23807922958</v>
      </c>
      <c r="G313" s="0" t="n">
        <f aca="false">W_PH(G$2,$A313)</f>
        <v>2823.23953540416</v>
      </c>
      <c r="H313" s="0" t="n">
        <f aca="false">W_PH(H$2,$A313)</f>
        <v>2823.24098267063</v>
      </c>
      <c r="I313" s="0" t="n">
        <f aca="false">W_PH(I$2,$A313)</f>
        <v>2823.24243440901</v>
      </c>
      <c r="J313" s="0" t="n">
        <f aca="false">W_PH(J$2,$A313)</f>
        <v>2823.24388615932</v>
      </c>
      <c r="K313" s="0" t="n">
        <f aca="false">W_PH(K$2,$A313)</f>
        <v>2823.24533346145</v>
      </c>
      <c r="L313" s="0" t="n">
        <f aca="false">W_PH(L$2,$A313)</f>
        <v>2823.24678969569</v>
      </c>
      <c r="M313" s="0" t="n">
        <f aca="false">W_PH(M$2,$A313)</f>
        <v>2823.24823702164</v>
      </c>
      <c r="N313" s="0" t="n">
        <f aca="false">W_PH(N$2,$A313)</f>
        <v>2823.24968435948</v>
      </c>
      <c r="O313" s="0" t="n">
        <f aca="false">W_PH(O$2,$A313)</f>
        <v>2823.25114062958</v>
      </c>
      <c r="P313" s="0" t="n">
        <f aca="false">W_PH(P$2,$A313)</f>
        <v>2823.26564154548</v>
      </c>
      <c r="Q313" s="0" t="n">
        <f aca="false">W_PH(Q$2,$A313)</f>
        <v>2823.280152581</v>
      </c>
      <c r="R313" s="0" t="n">
        <f aca="false">W_PH(R$2,$A313)</f>
        <v>2823.29465589947</v>
      </c>
      <c r="S313" s="0" t="n">
        <f aca="false">W_PH(S$2,$A313)</f>
        <v>2823.30916934899</v>
      </c>
      <c r="T313" s="0" t="n">
        <f aca="false">W_PH(T$2,$A313)</f>
        <v>2823.3236750912</v>
      </c>
      <c r="U313" s="0" t="n">
        <f aca="false">W_PH(U$2,$A313)</f>
        <v>2823.33819097588</v>
      </c>
      <c r="V313" s="0" t="n">
        <f aca="false">W_PH(V$2,$A313)</f>
        <v>2823.352699163</v>
      </c>
      <c r="W313" s="0" t="n">
        <f aca="false">W_PH(W$2,$A313)</f>
        <v>2823.3672085803</v>
      </c>
      <c r="X313" s="0" t="n">
        <f aca="false">W_PH(X$2,$A313)</f>
        <v>2823.3817281572</v>
      </c>
      <c r="Y313" s="0" t="n">
        <f aca="false">W_PH(Y$2,$A313)</f>
        <v>2823.5269038041</v>
      </c>
      <c r="Z313" s="0" t="n">
        <f aca="false">W_PH(Z$2,$A313)</f>
        <v>2823.67217308656</v>
      </c>
      <c r="AA313" s="0" t="n">
        <f aca="false">W_PH(AA$2,$A313)</f>
        <v>2823.81754124058</v>
      </c>
      <c r="AB313" s="0" t="n">
        <f aca="false">W_PH(AB$2,$A313)</f>
        <v>2823.96301349919</v>
      </c>
      <c r="AC313" s="0" t="n">
        <f aca="false">W_PH(AC$2,$A313)</f>
        <v>2824.10858614744</v>
      </c>
      <c r="AD313" s="0" t="n">
        <f aca="false">W_PH(AD$2,$A313)</f>
        <v>2824.25428229815</v>
      </c>
      <c r="AE313" s="0" t="n">
        <f aca="false">W_PH(AE$2,$A313)</f>
        <v>2824.40008480462</v>
      </c>
      <c r="AF313" s="0" t="n">
        <f aca="false">W_PH(AF$2,$A313)</f>
        <v>2824.54601230542</v>
      </c>
      <c r="AG313" s="0" t="n">
        <f aca="false">W_PH(AG$2,$A313)</f>
        <v>2824.69206553788</v>
      </c>
      <c r="AH313" s="0" t="n">
        <f aca="false">W_PH(AH$2,$A313)</f>
        <v>2826.16068913882</v>
      </c>
      <c r="AI313" s="0" t="n">
        <f aca="false">W_PH(AI$2,$A313)</f>
        <v>2827.64746204428</v>
      </c>
      <c r="AJ313" s="0" t="n">
        <f aca="false">W_PH(AJ$2,$A313)</f>
        <v>2829.15732903018</v>
      </c>
      <c r="AK313" s="0" t="n">
        <f aca="false">W_PH(AK$2,$A313)</f>
        <v>2830.69518547828</v>
      </c>
      <c r="AL313" s="0" t="n">
        <f aca="false">W_PH(AL$2,$A313)</f>
        <v>2832.26591495948</v>
      </c>
      <c r="AM313" s="0" t="n">
        <f aca="false">W_PH(AM$2,$A313)</f>
        <v>2833.87438650016</v>
      </c>
      <c r="AN313" s="0" t="n">
        <f aca="false">W_PH(AN$2,$A313)</f>
        <v>2835.52542414</v>
      </c>
      <c r="AO313" s="0" t="n">
        <f aca="false">W_PH(AO$2,$A313)</f>
        <v>2837.22384540953</v>
      </c>
      <c r="AP313" s="0" t="n">
        <f aca="false">W_PH(AP$2,$A313)</f>
        <v>2015</v>
      </c>
      <c r="AQ313" s="0" t="n">
        <f aca="false">W_PH(AQ$2,$A313)</f>
        <v>2015</v>
      </c>
      <c r="AR313" s="0" t="n">
        <f aca="false">W_PH(AR$2,$A313)</f>
        <v>2015</v>
      </c>
      <c r="AS313" s="0" t="n">
        <f aca="false">W_PH(AS$2,$A313)</f>
        <v>2015</v>
      </c>
    </row>
    <row r="314" customFormat="false" ht="12.8" hidden="false" customHeight="false" outlineLevel="0" collapsed="false">
      <c r="A314" s="0" t="n">
        <v>2037.8331900258</v>
      </c>
      <c r="B314" s="0" t="n">
        <f aca="false">W_PH(B$2,$A314)</f>
        <v>2015</v>
      </c>
      <c r="C314" s="0" t="n">
        <f aca="false">W_PH(C$2,$A314)</f>
        <v>2827.22426600136</v>
      </c>
      <c r="D314" s="0" t="n">
        <f aca="false">W_PH(D$2,$A314)</f>
        <v>2827.22441169331</v>
      </c>
      <c r="E314" s="0" t="n">
        <f aca="false">W_PH(E$2,$A314)</f>
        <v>2827.22455738538</v>
      </c>
      <c r="F314" s="0" t="n">
        <f aca="false">W_PH(F$2,$A314)</f>
        <v>2827.22470753073</v>
      </c>
      <c r="G314" s="0" t="n">
        <f aca="false">W_PH(G$2,$A314)</f>
        <v>2827.22616891217</v>
      </c>
      <c r="H314" s="0" t="n">
        <f aca="false">W_PH(H$2,$A314)</f>
        <v>2827.22762585211</v>
      </c>
      <c r="I314" s="0" t="n">
        <f aca="false">W_PH(I$2,$A314)</f>
        <v>2827.22908280371</v>
      </c>
      <c r="J314" s="0" t="n">
        <f aca="false">W_PH(J$2,$A314)</f>
        <v>2827.230539767</v>
      </c>
      <c r="K314" s="0" t="n">
        <f aca="false">W_PH(K$2,$A314)</f>
        <v>2827.23200564853</v>
      </c>
      <c r="L314" s="0" t="n">
        <f aca="false">W_PH(L$2,$A314)</f>
        <v>2827.23346263523</v>
      </c>
      <c r="M314" s="0" t="n">
        <f aca="false">W_PH(M$2,$A314)</f>
        <v>2827.23491963363</v>
      </c>
      <c r="N314" s="0" t="n">
        <f aca="false">W_PH(N$2,$A314)</f>
        <v>2827.23637664372</v>
      </c>
      <c r="O314" s="0" t="n">
        <f aca="false">W_PH(O$2,$A314)</f>
        <v>2827.23783811888</v>
      </c>
      <c r="P314" s="0" t="n">
        <f aca="false">W_PH(P$2,$A314)</f>
        <v>2827.25243124986</v>
      </c>
      <c r="Q314" s="0" t="n">
        <f aca="false">W_PH(Q$2,$A314)</f>
        <v>2827.26702110542</v>
      </c>
      <c r="R314" s="0" t="n">
        <f aca="false">W_PH(R$2,$A314)</f>
        <v>2827.28161214417</v>
      </c>
      <c r="S314" s="0" t="n">
        <f aca="false">W_PH(S$2,$A314)</f>
        <v>2827.29620437135</v>
      </c>
      <c r="T314" s="0" t="n">
        <f aca="false">W_PH(T$2,$A314)</f>
        <v>2827.31079779223</v>
      </c>
      <c r="U314" s="0" t="n">
        <f aca="false">W_PH(U$2,$A314)</f>
        <v>2827.32539241205</v>
      </c>
      <c r="V314" s="0" t="n">
        <f aca="false">W_PH(V$2,$A314)</f>
        <v>2827.33999269088</v>
      </c>
      <c r="W314" s="0" t="n">
        <f aca="false">W_PH(W$2,$A314)</f>
        <v>2827.35458526955</v>
      </c>
      <c r="X314" s="0" t="n">
        <f aca="false">W_PH(X$2,$A314)</f>
        <v>2827.36918351772</v>
      </c>
      <c r="Y314" s="0" t="n">
        <f aca="false">W_PH(Y$2,$A314)</f>
        <v>2827.51520721928</v>
      </c>
      <c r="Z314" s="0" t="n">
        <f aca="false">W_PH(Z$2,$A314)</f>
        <v>2827.66132246546</v>
      </c>
      <c r="AA314" s="0" t="n">
        <f aca="false">W_PH(AA$2,$A314)</f>
        <v>2827.80753445307</v>
      </c>
      <c r="AB314" s="0" t="n">
        <f aca="false">W_PH(AB$2,$A314)</f>
        <v>2827.95384837601</v>
      </c>
      <c r="AC314" s="0" t="n">
        <f aca="false">W_PH(AC$2,$A314)</f>
        <v>2828.10026049422</v>
      </c>
      <c r="AD314" s="0" t="n">
        <f aca="false">W_PH(AD$2,$A314)</f>
        <v>2828.24678491856</v>
      </c>
      <c r="AE314" s="0" t="n">
        <f aca="false">W_PH(AE$2,$A314)</f>
        <v>2828.39342683421</v>
      </c>
      <c r="AF314" s="0" t="n">
        <f aca="false">W_PH(AF$2,$A314)</f>
        <v>2828.5401914234</v>
      </c>
      <c r="AG314" s="0" t="n">
        <f aca="false">W_PH(AG$2,$A314)</f>
        <v>2828.68707491805</v>
      </c>
      <c r="AH314" s="0" t="n">
        <f aca="false">W_PH(AH$2,$A314)</f>
        <v>2830.16392593312</v>
      </c>
      <c r="AI314" s="0" t="n">
        <f aca="false">W_PH(AI$2,$A314)</f>
        <v>2831.65871253701</v>
      </c>
      <c r="AJ314" s="0" t="n">
        <f aca="false">W_PH(AJ$2,$A314)</f>
        <v>2833.17633409802</v>
      </c>
      <c r="AK314" s="0" t="n">
        <f aca="false">W_PH(AK$2,$A314)</f>
        <v>2834.7216775753</v>
      </c>
      <c r="AL314" s="0" t="n">
        <f aca="false">W_PH(AL$2,$A314)</f>
        <v>2836.29959176473</v>
      </c>
      <c r="AM314" s="0" t="n">
        <f aca="false">W_PH(AM$2,$A314)</f>
        <v>2837.9148885397</v>
      </c>
      <c r="AN314" s="0" t="n">
        <f aca="false">W_PH(AN$2,$A314)</f>
        <v>2839.57237190959</v>
      </c>
      <c r="AO314" s="0" t="n">
        <f aca="false">W_PH(AO$2,$A314)</f>
        <v>2841.27683085123</v>
      </c>
      <c r="AP314" s="0" t="n">
        <f aca="false">W_PH(AP$2,$A314)</f>
        <v>2015</v>
      </c>
      <c r="AQ314" s="0" t="n">
        <f aca="false">W_PH(AQ$2,$A314)</f>
        <v>2015</v>
      </c>
      <c r="AR314" s="0" t="n">
        <f aca="false">W_PH(AR$2,$A314)</f>
        <v>2015</v>
      </c>
      <c r="AS314" s="0" t="n">
        <f aca="false">W_PH(AS$2,$A314)</f>
        <v>2015</v>
      </c>
    </row>
    <row r="315" customFormat="false" ht="12.8" hidden="false" customHeight="false" outlineLevel="0" collapsed="false">
      <c r="A315" s="0" t="n">
        <v>2042.13241616509</v>
      </c>
      <c r="B315" s="0" t="n">
        <f aca="false">W_PH(B$2,$A315)</f>
        <v>2015</v>
      </c>
      <c r="C315" s="0" t="n">
        <f aca="false">W_PH(C$2,$A315)</f>
        <v>2831.20078044774</v>
      </c>
      <c r="D315" s="0" t="n">
        <f aca="false">W_PH(D$2,$A315)</f>
        <v>2831.20092797282</v>
      </c>
      <c r="E315" s="0" t="n">
        <f aca="false">W_PH(E$2,$A315)</f>
        <v>2831.20107549802</v>
      </c>
      <c r="F315" s="0" t="n">
        <f aca="false">W_PH(F$2,$A315)</f>
        <v>2831.20122302334</v>
      </c>
      <c r="G315" s="0" t="n">
        <f aca="false">W_PH(G$2,$A315)</f>
        <v>2831.20268938996</v>
      </c>
      <c r="H315" s="0" t="n">
        <f aca="false">W_PH(H$2,$A315)</f>
        <v>2831.20415576806</v>
      </c>
      <c r="I315" s="0" t="n">
        <f aca="false">W_PH(I$2,$A315)</f>
        <v>2831.20562215765</v>
      </c>
      <c r="J315" s="0" t="n">
        <f aca="false">W_PH(J$2,$A315)</f>
        <v>2831.20709300521</v>
      </c>
      <c r="K315" s="0" t="n">
        <f aca="false">W_PH(K$2,$A315)</f>
        <v>2831.20856386431</v>
      </c>
      <c r="L315" s="0" t="n">
        <f aca="false">W_PH(L$2,$A315)</f>
        <v>2831.2100302884</v>
      </c>
      <c r="M315" s="0" t="n">
        <f aca="false">W_PH(M$2,$A315)</f>
        <v>2831.211496724</v>
      </c>
      <c r="N315" s="0" t="n">
        <f aca="false">W_PH(N$2,$A315)</f>
        <v>2831.21296317111</v>
      </c>
      <c r="O315" s="0" t="n">
        <f aca="false">W_PH(O$2,$A315)</f>
        <v>2831.21442962972</v>
      </c>
      <c r="P315" s="0" t="n">
        <f aca="false">W_PH(P$2,$A315)</f>
        <v>2831.22910374381</v>
      </c>
      <c r="Q315" s="0" t="n">
        <f aca="false">W_PH(Q$2,$A315)</f>
        <v>2831.24377901564</v>
      </c>
      <c r="R315" s="0" t="n">
        <f aca="false">W_PH(R$2,$A315)</f>
        <v>2831.25845545044</v>
      </c>
      <c r="S315" s="0" t="n">
        <f aca="false">W_PH(S$2,$A315)</f>
        <v>2831.27313305342</v>
      </c>
      <c r="T315" s="0" t="n">
        <f aca="false">W_PH(T$2,$A315)</f>
        <v>2831.28781182978</v>
      </c>
      <c r="U315" s="0" t="n">
        <f aca="false">W_PH(U$2,$A315)</f>
        <v>2831.30249178476</v>
      </c>
      <c r="V315" s="0" t="n">
        <f aca="false">W_PH(V$2,$A315)</f>
        <v>2831.31716847552</v>
      </c>
      <c r="W315" s="0" t="n">
        <f aca="false">W_PH(W$2,$A315)</f>
        <v>2831.3318463549</v>
      </c>
      <c r="X315" s="0" t="n">
        <f aca="false">W_PH(X$2,$A315)</f>
        <v>2831.34652987655</v>
      </c>
      <c r="Y315" s="0" t="n">
        <f aca="false">W_PH(Y$2,$A315)</f>
        <v>2831.49338741791</v>
      </c>
      <c r="Z315" s="0" t="n">
        <f aca="false">W_PH(Z$2,$A315)</f>
        <v>2831.64033445321</v>
      </c>
      <c r="AA315" s="0" t="n">
        <f aca="false">W_PH(AA$2,$A315)</f>
        <v>2831.78737614055</v>
      </c>
      <c r="AB315" s="0" t="n">
        <f aca="false">W_PH(AB$2,$A315)</f>
        <v>2831.93451317856</v>
      </c>
      <c r="AC315" s="0" t="n">
        <f aca="false">W_PH(AC$2,$A315)</f>
        <v>2832.08175517215</v>
      </c>
      <c r="AD315" s="0" t="n">
        <f aca="false">W_PH(AD$2,$A315)</f>
        <v>2832.22911173147</v>
      </c>
      <c r="AE315" s="0" t="n">
        <f aca="false">W_PH(AE$2,$A315)</f>
        <v>2832.37657462131</v>
      </c>
      <c r="AF315" s="0" t="n">
        <f aca="false">W_PH(AF$2,$A315)</f>
        <v>2832.52415790275</v>
      </c>
      <c r="AG315" s="0" t="n">
        <f aca="false">W_PH(AG$2,$A315)</f>
        <v>2832.67186671682</v>
      </c>
      <c r="AH315" s="0" t="n">
        <f aca="false">W_PH(AH$2,$A315)</f>
        <v>2834.15681767661</v>
      </c>
      <c r="AI315" s="0" t="n">
        <f aca="false">W_PH(AI$2,$A315)</f>
        <v>2835.65950418913</v>
      </c>
      <c r="AJ315" s="0" t="n">
        <f aca="false">W_PH(AJ$2,$A315)</f>
        <v>2837.18479886275</v>
      </c>
      <c r="AK315" s="0" t="n">
        <f aca="false">W_PH(AK$2,$A315)</f>
        <v>2838.73752631316</v>
      </c>
      <c r="AL315" s="0" t="n">
        <f aca="false">W_PH(AL$2,$A315)</f>
        <v>2840.3225142604</v>
      </c>
      <c r="AM315" s="0" t="n">
        <f aca="false">W_PH(AM$2,$A315)</f>
        <v>2841.94454518307</v>
      </c>
      <c r="AN315" s="0" t="n">
        <f aca="false">W_PH(AN$2,$A315)</f>
        <v>2843.60839890659</v>
      </c>
      <c r="AO315" s="0" t="n">
        <f aca="false">W_PH(AO$2,$A315)</f>
        <v>2845.31882239903</v>
      </c>
      <c r="AP315" s="0" t="n">
        <f aca="false">W_PH(AP$2,$A315)</f>
        <v>2015</v>
      </c>
      <c r="AQ315" s="0" t="n">
        <f aca="false">W_PH(AQ$2,$A315)</f>
        <v>2015</v>
      </c>
      <c r="AR315" s="0" t="n">
        <f aca="false">W_PH(AR$2,$A315)</f>
        <v>2015</v>
      </c>
      <c r="AS315" s="0" t="n">
        <f aca="false">W_PH(AS$2,$A315)</f>
        <v>2015</v>
      </c>
    </row>
    <row r="316" customFormat="false" ht="12.8" hidden="false" customHeight="false" outlineLevel="0" collapsed="false">
      <c r="A316" s="0" t="n">
        <v>2046.43164230439</v>
      </c>
      <c r="B316" s="0" t="n">
        <f aca="false">W_PH(B$2,$A316)</f>
        <v>2015</v>
      </c>
      <c r="C316" s="0" t="n">
        <f aca="false">W_PH(C$2,$A316)</f>
        <v>2835.16726667756</v>
      </c>
      <c r="D316" s="0" t="n">
        <f aca="false">W_PH(D$2,$A316)</f>
        <v>2835.16741600997</v>
      </c>
      <c r="E316" s="0" t="n">
        <f aca="false">W_PH(E$2,$A316)</f>
        <v>2835.16756534249</v>
      </c>
      <c r="F316" s="0" t="n">
        <f aca="false">W_PH(F$2,$A316)</f>
        <v>2835.16771467512</v>
      </c>
      <c r="G316" s="0" t="n">
        <f aca="false">W_PH(G$2,$A316)</f>
        <v>2835.16919024888</v>
      </c>
      <c r="H316" s="0" t="n">
        <f aca="false">W_PH(H$2,$A316)</f>
        <v>2835.17066583393</v>
      </c>
      <c r="I316" s="0" t="n">
        <f aca="false">W_PH(I$2,$A316)</f>
        <v>2835.17214143026</v>
      </c>
      <c r="J316" s="0" t="n">
        <f aca="false">W_PH(J$2,$A316)</f>
        <v>2835.17361703789</v>
      </c>
      <c r="K316" s="0" t="n">
        <f aca="false">W_PH(K$2,$A316)</f>
        <v>2835.17509265683</v>
      </c>
      <c r="L316" s="0" t="n">
        <f aca="false">W_PH(L$2,$A316)</f>
        <v>2835.17656828707</v>
      </c>
      <c r="M316" s="0" t="n">
        <f aca="false">W_PH(M$2,$A316)</f>
        <v>2835.17804392862</v>
      </c>
      <c r="N316" s="0" t="n">
        <f aca="false">W_PH(N$2,$A316)</f>
        <v>2835.17951958149</v>
      </c>
      <c r="O316" s="0" t="n">
        <f aca="false">W_PH(O$2,$A316)</f>
        <v>2835.18099524567</v>
      </c>
      <c r="P316" s="0" t="n">
        <f aca="false">W_PH(P$2,$A316)</f>
        <v>2835.19575251141</v>
      </c>
      <c r="Q316" s="0" t="n">
        <f aca="false">W_PH(Q$2,$A316)</f>
        <v>2835.21050647473</v>
      </c>
      <c r="R316" s="0" t="n">
        <f aca="false">W_PH(R$2,$A316)</f>
        <v>2835.2252615807</v>
      </c>
      <c r="S316" s="0" t="n">
        <f aca="false">W_PH(S$2,$A316)</f>
        <v>2835.24002227517</v>
      </c>
      <c r="T316" s="0" t="n">
        <f aca="false">W_PH(T$2,$A316)</f>
        <v>2835.25478412305</v>
      </c>
      <c r="U316" s="0" t="n">
        <f aca="false">W_PH(U$2,$A316)</f>
        <v>2835.26954712949</v>
      </c>
      <c r="V316" s="0" t="n">
        <f aca="false">W_PH(V$2,$A316)</f>
        <v>2835.28430685839</v>
      </c>
      <c r="W316" s="0" t="n">
        <f aca="false">W_PH(W$2,$A316)</f>
        <v>2835.2990677558</v>
      </c>
      <c r="X316" s="0" t="n">
        <f aca="false">W_PH(X$2,$A316)</f>
        <v>2835.31383426859</v>
      </c>
      <c r="Y316" s="0" t="n">
        <f aca="false">W_PH(Y$2,$A316)</f>
        <v>2835.46151178475</v>
      </c>
      <c r="Z316" s="0" t="n">
        <f aca="false">W_PH(Z$2,$A316)</f>
        <v>2835.60927678372</v>
      </c>
      <c r="AA316" s="0" t="n">
        <f aca="false">W_PH(AA$2,$A316)</f>
        <v>2835.7571343853</v>
      </c>
      <c r="AB316" s="0" t="n">
        <f aca="false">W_PH(AB$2,$A316)</f>
        <v>2835.90509860597</v>
      </c>
      <c r="AC316" s="0" t="n">
        <f aca="false">W_PH(AC$2,$A316)</f>
        <v>2836.05315676501</v>
      </c>
      <c r="AD316" s="0" t="n">
        <f aca="false">W_PH(AD$2,$A316)</f>
        <v>2836.20132286933</v>
      </c>
      <c r="AE316" s="0" t="n">
        <f aca="false">W_PH(AE$2,$A316)</f>
        <v>2836.34960202757</v>
      </c>
      <c r="AF316" s="0" t="n">
        <f aca="false">W_PH(AF$2,$A316)</f>
        <v>2836.4979948879</v>
      </c>
      <c r="AG316" s="0" t="n">
        <f aca="false">W_PH(AG$2,$A316)</f>
        <v>2836.64651100721</v>
      </c>
      <c r="AH316" s="0" t="n">
        <f aca="false">W_PH(AH$2,$A316)</f>
        <v>2838.13946466915</v>
      </c>
      <c r="AI316" s="0" t="n">
        <f aca="false">W_PH(AI$2,$A316)</f>
        <v>2839.64994963501</v>
      </c>
      <c r="AJ316" s="0" t="n">
        <f aca="false">W_PH(AJ$2,$A316)</f>
        <v>2841.18279390874</v>
      </c>
      <c r="AK316" s="0" t="n">
        <f aca="false">W_PH(AK$2,$A316)</f>
        <v>2842.74281433053</v>
      </c>
      <c r="AL316" s="0" t="n">
        <f aca="false">W_PH(AL$2,$A316)</f>
        <v>2844.33478174036</v>
      </c>
      <c r="AM316" s="0" t="n">
        <f aca="false">W_PH(AM$2,$A316)</f>
        <v>2845.96346315653</v>
      </c>
      <c r="AN316" s="0" t="n">
        <f aca="false">W_PH(AN$2,$A316)</f>
        <v>2847.6335915965</v>
      </c>
      <c r="AO316" s="0" t="n">
        <f aca="false">W_PH(AO$2,$A316)</f>
        <v>2849.34989520612</v>
      </c>
      <c r="AP316" s="0" t="n">
        <f aca="false">W_PH(AP$2,$A316)</f>
        <v>2015</v>
      </c>
      <c r="AQ316" s="0" t="n">
        <f aca="false">W_PH(AQ$2,$A316)</f>
        <v>2015</v>
      </c>
      <c r="AR316" s="0" t="n">
        <f aca="false">W_PH(AR$2,$A316)</f>
        <v>2015</v>
      </c>
      <c r="AS316" s="0" t="n">
        <f aca="false">W_PH(AS$2,$A316)</f>
        <v>2015</v>
      </c>
    </row>
    <row r="317" customFormat="false" ht="12.8" hidden="false" customHeight="false" outlineLevel="0" collapsed="false">
      <c r="A317" s="0" t="n">
        <v>2050.73086844368</v>
      </c>
      <c r="B317" s="0" t="n">
        <f aca="false">W_PH(B$2,$A317)</f>
        <v>2015</v>
      </c>
      <c r="C317" s="0" t="n">
        <f aca="false">W_PH(C$2,$A317)</f>
        <v>2839.12380386521</v>
      </c>
      <c r="D317" s="0" t="n">
        <f aca="false">W_PH(D$2,$A317)</f>
        <v>2839.12395054652</v>
      </c>
      <c r="E317" s="0" t="n">
        <f aca="false">W_PH(E$2,$A317)</f>
        <v>2839.12410166097</v>
      </c>
      <c r="F317" s="0" t="n">
        <f aca="false">W_PH(F$2,$A317)</f>
        <v>2839.12425277554</v>
      </c>
      <c r="G317" s="0" t="n">
        <f aca="false">W_PH(G$2,$A317)</f>
        <v>2839.12573289602</v>
      </c>
      <c r="H317" s="0" t="n">
        <f aca="false">W_PH(H$2,$A317)</f>
        <v>2839.12721302755</v>
      </c>
      <c r="I317" s="0" t="n">
        <f aca="false">W_PH(I$2,$A317)</f>
        <v>2839.12869760325</v>
      </c>
      <c r="J317" s="0" t="n">
        <f aca="false">W_PH(J$2,$A317)</f>
        <v>2839.13018219006</v>
      </c>
      <c r="K317" s="0" t="n">
        <f aca="false">W_PH(K$2,$A317)</f>
        <v>2839.13166678799</v>
      </c>
      <c r="L317" s="0" t="n">
        <f aca="false">W_PH(L$2,$A317)</f>
        <v>2839.13315139703</v>
      </c>
      <c r="M317" s="0" t="n">
        <f aca="false">W_PH(M$2,$A317)</f>
        <v>2839.13463601719</v>
      </c>
      <c r="N317" s="0" t="n">
        <f aca="false">W_PH(N$2,$A317)</f>
        <v>2839.13612064849</v>
      </c>
      <c r="O317" s="0" t="n">
        <f aca="false">W_PH(O$2,$A317)</f>
        <v>2839.13760529092</v>
      </c>
      <c r="P317" s="0" t="n">
        <f aca="false">W_PH(P$2,$A317)</f>
        <v>2839.15244346191</v>
      </c>
      <c r="Q317" s="0" t="n">
        <f aca="false">W_PH(Q$2,$A317)</f>
        <v>2839.16728275121</v>
      </c>
      <c r="R317" s="0" t="n">
        <f aca="false">W_PH(R$2,$A317)</f>
        <v>2839.18211873012</v>
      </c>
      <c r="S317" s="0" t="n">
        <f aca="false">W_PH(S$2,$A317)</f>
        <v>2839.19695583721</v>
      </c>
      <c r="T317" s="0" t="n">
        <f aca="false">W_PH(T$2,$A317)</f>
        <v>2839.21179851182</v>
      </c>
      <c r="U317" s="0" t="n">
        <f aca="false">W_PH(U$2,$A317)</f>
        <v>2839.22664232527</v>
      </c>
      <c r="V317" s="0" t="n">
        <f aca="false">W_PH(V$2,$A317)</f>
        <v>2839.2414872827</v>
      </c>
      <c r="W317" s="0" t="n">
        <f aca="false">W_PH(W$2,$A317)</f>
        <v>2839.25632895443</v>
      </c>
      <c r="X317" s="0" t="n">
        <f aca="false">W_PH(X$2,$A317)</f>
        <v>2839.27117178</v>
      </c>
      <c r="Y317" s="0" t="n">
        <f aca="false">W_PH(Y$2,$A317)</f>
        <v>2839.41966462671</v>
      </c>
      <c r="Z317" s="0" t="n">
        <f aca="false">W_PH(Z$2,$A317)</f>
        <v>2839.56824299185</v>
      </c>
      <c r="AA317" s="0" t="n">
        <f aca="false">W_PH(AA$2,$A317)</f>
        <v>2839.71690307542</v>
      </c>
      <c r="AB317" s="0" t="n">
        <f aca="false">W_PH(AB$2,$A317)</f>
        <v>2839.86566771654</v>
      </c>
      <c r="AC317" s="0" t="n">
        <f aca="false">W_PH(AC$2,$A317)</f>
        <v>2840.01453311375</v>
      </c>
      <c r="AD317" s="0" t="n">
        <f aca="false">W_PH(AD$2,$A317)</f>
        <v>2840.16350434081</v>
      </c>
      <c r="AE317" s="0" t="n">
        <f aca="false">W_PH(AE$2,$A317)</f>
        <v>2840.31258646881</v>
      </c>
      <c r="AF317" s="0" t="n">
        <f aca="false">W_PH(AF$2,$A317)</f>
        <v>2840.46177566436</v>
      </c>
      <c r="AG317" s="0" t="n">
        <f aca="false">W_PH(AG$2,$A317)</f>
        <v>2840.61109479268</v>
      </c>
      <c r="AH317" s="0" t="n">
        <f aca="false">W_PH(AH$2,$A317)</f>
        <v>2842.1119392543</v>
      </c>
      <c r="AI317" s="0" t="n">
        <f aca="false">W_PH(AI$2,$A317)</f>
        <v>2843.63010635257</v>
      </c>
      <c r="AJ317" s="0" t="n">
        <f aca="false">W_PH(AJ$2,$A317)</f>
        <v>2845.17041587068</v>
      </c>
      <c r="AK317" s="0" t="n">
        <f aca="false">W_PH(AK$2,$A317)</f>
        <v>2846.73762312539</v>
      </c>
      <c r="AL317" s="0" t="n">
        <f aca="false">W_PH(AL$2,$A317)</f>
        <v>2848.33648310119</v>
      </c>
      <c r="AM317" s="0" t="n">
        <f aca="false">W_PH(AM$2,$A317)</f>
        <v>2849.97171582255</v>
      </c>
      <c r="AN317" s="0" t="n">
        <f aca="false">W_PH(AN$2,$A317)</f>
        <v>2851.64804433231</v>
      </c>
      <c r="AO317" s="0" t="n">
        <f aca="false">W_PH(AO$2,$A317)</f>
        <v>2853.37014160507</v>
      </c>
      <c r="AP317" s="0" t="n">
        <f aca="false">W_PH(AP$2,$A317)</f>
        <v>2015</v>
      </c>
      <c r="AQ317" s="0" t="n">
        <f aca="false">W_PH(AQ$2,$A317)</f>
        <v>2015</v>
      </c>
      <c r="AR317" s="0" t="n">
        <f aca="false">W_PH(AR$2,$A317)</f>
        <v>2015</v>
      </c>
      <c r="AS317" s="0" t="n">
        <f aca="false">W_PH(AS$2,$A317)</f>
        <v>2015</v>
      </c>
    </row>
    <row r="318" customFormat="false" ht="12.8" hidden="false" customHeight="false" outlineLevel="0" collapsed="false">
      <c r="A318" s="0" t="n">
        <v>2055.03009458298</v>
      </c>
      <c r="B318" s="0" t="n">
        <f aca="false">W_PH(B$2,$A318)</f>
        <v>2015</v>
      </c>
      <c r="C318" s="0" t="n">
        <f aca="false">W_PH(C$2,$A318)</f>
        <v>2843.07046145596</v>
      </c>
      <c r="D318" s="0" t="n">
        <f aca="false">W_PH(D$2,$A318)</f>
        <v>2843.07061432726</v>
      </c>
      <c r="E318" s="0" t="n">
        <f aca="false">W_PH(E$2,$A318)</f>
        <v>2843.07076277225</v>
      </c>
      <c r="F318" s="0" t="n">
        <f aca="false">W_PH(F$2,$A318)</f>
        <v>2843.07091121734</v>
      </c>
      <c r="G318" s="0" t="n">
        <f aca="false">W_PH(G$2,$A318)</f>
        <v>2843.07240452714</v>
      </c>
      <c r="H318" s="0" t="n">
        <f aca="false">W_PH(H$2,$A318)</f>
        <v>2843.07389784785</v>
      </c>
      <c r="I318" s="0" t="n">
        <f aca="false">W_PH(I$2,$A318)</f>
        <v>2843.07539117949</v>
      </c>
      <c r="J318" s="0" t="n">
        <f aca="false">W_PH(J$2,$A318)</f>
        <v>2843.07687566903</v>
      </c>
      <c r="K318" s="0" t="n">
        <f aca="false">W_PH(K$2,$A318)</f>
        <v>2843.07836902248</v>
      </c>
      <c r="L318" s="0" t="n">
        <f aca="false">W_PH(L$2,$A318)</f>
        <v>2843.07986238686</v>
      </c>
      <c r="M318" s="0" t="n">
        <f aca="false">W_PH(M$2,$A318)</f>
        <v>2843.08135576218</v>
      </c>
      <c r="N318" s="0" t="n">
        <f aca="false">W_PH(N$2,$A318)</f>
        <v>2843.08284914844</v>
      </c>
      <c r="O318" s="0" t="n">
        <f aca="false">W_PH(O$2,$A318)</f>
        <v>2843.08433811905</v>
      </c>
      <c r="P318" s="0" t="n">
        <f aca="false">W_PH(P$2,$A318)</f>
        <v>2843.09925941397</v>
      </c>
      <c r="Q318" s="0" t="n">
        <f aca="false">W_PH(Q$2,$A318)</f>
        <v>2843.11417738131</v>
      </c>
      <c r="R318" s="0" t="n">
        <f aca="false">W_PH(R$2,$A318)</f>
        <v>2843.12909645277</v>
      </c>
      <c r="S318" s="0" t="n">
        <f aca="false">W_PH(S$2,$A318)</f>
        <v>2843.14401663345</v>
      </c>
      <c r="T318" s="0" t="n">
        <f aca="false">W_PH(T$2,$A318)</f>
        <v>2843.15893792844</v>
      </c>
      <c r="U318" s="0" t="n">
        <f aca="false">W_PH(U$2,$A318)</f>
        <v>2843.17386034285</v>
      </c>
      <c r="V318" s="0" t="n">
        <f aca="false">W_PH(V$2,$A318)</f>
        <v>2843.18878388177</v>
      </c>
      <c r="W318" s="0" t="n">
        <f aca="false">W_PH(W$2,$A318)</f>
        <v>2843.20370855029</v>
      </c>
      <c r="X318" s="0" t="n">
        <f aca="false">W_PH(X$2,$A318)</f>
        <v>2843.21862992515</v>
      </c>
      <c r="Y318" s="0" t="n">
        <f aca="false">W_PH(Y$2,$A318)</f>
        <v>2843.36792047267</v>
      </c>
      <c r="Z318" s="0" t="n">
        <f aca="false">W_PH(Z$2,$A318)</f>
        <v>2843.51729017591</v>
      </c>
      <c r="AA318" s="0" t="n">
        <f aca="false">W_PH(AA$2,$A318)</f>
        <v>2843.66675737629</v>
      </c>
      <c r="AB318" s="0" t="n">
        <f aca="false">W_PH(AB$2,$A318)</f>
        <v>2843.81631825498</v>
      </c>
      <c r="AC318" s="0" t="n">
        <f aca="false">W_PH(AC$2,$A318)</f>
        <v>2843.96596897483</v>
      </c>
      <c r="AD318" s="0" t="n">
        <f aca="false">W_PH(AD$2,$A318)</f>
        <v>2844.11573232117</v>
      </c>
      <c r="AE318" s="0" t="n">
        <f aca="false">W_PH(AE$2,$A318)</f>
        <v>2844.26560445548</v>
      </c>
      <c r="AF318" s="0" t="n">
        <f aca="false">W_PH(AF$2,$A318)</f>
        <v>2844.41559040901</v>
      </c>
      <c r="AG318" s="0" t="n">
        <f aca="false">W_PH(AG$2,$A318)</f>
        <v>2844.56569521042</v>
      </c>
      <c r="AH318" s="0" t="n">
        <f aca="false">W_PH(AH$2,$A318)</f>
        <v>2846.07431284608</v>
      </c>
      <c r="AI318" s="0" t="n">
        <f aca="false">W_PH(AI$2,$A318)</f>
        <v>2847.60007579038</v>
      </c>
      <c r="AJ318" s="0" t="n">
        <f aca="false">W_PH(AJ$2,$A318)</f>
        <v>2849.14773318239</v>
      </c>
      <c r="AK318" s="0" t="n">
        <f aca="false">W_PH(AK$2,$A318)</f>
        <v>2850.72203307763</v>
      </c>
      <c r="AL318" s="0" t="n">
        <f aca="false">W_PH(AL$2,$A318)</f>
        <v>2852.32769240774</v>
      </c>
      <c r="AM318" s="0" t="n">
        <f aca="false">W_PH(AM$2,$A318)</f>
        <v>2853.96940276182</v>
      </c>
      <c r="AN318" s="0" t="n">
        <f aca="false">W_PH(AN$2,$A318)</f>
        <v>2855.65184099015</v>
      </c>
      <c r="AO318" s="0" t="n">
        <f aca="false">W_PH(AO$2,$A318)</f>
        <v>2857.37966177217</v>
      </c>
      <c r="AP318" s="0" t="n">
        <f aca="false">W_PH(AP$2,$A318)</f>
        <v>2015</v>
      </c>
      <c r="AQ318" s="0" t="n">
        <f aca="false">W_PH(AQ$2,$A318)</f>
        <v>2015</v>
      </c>
      <c r="AR318" s="0" t="n">
        <f aca="false">W_PH(AR$2,$A318)</f>
        <v>2015</v>
      </c>
      <c r="AS318" s="0" t="n">
        <f aca="false">W_PH(AS$2,$A318)</f>
        <v>2015</v>
      </c>
    </row>
    <row r="319" customFormat="false" ht="12.8" hidden="false" customHeight="false" outlineLevel="0" collapsed="false">
      <c r="A319" s="0" t="n">
        <v>2059.32932072227</v>
      </c>
      <c r="B319" s="0" t="n">
        <f aca="false">W_PH(B$2,$A319)</f>
        <v>2015</v>
      </c>
      <c r="C319" s="0" t="n">
        <f aca="false">W_PH(C$2,$A319)</f>
        <v>2847.00732576659</v>
      </c>
      <c r="D319" s="0" t="n">
        <f aca="false">W_PH(D$2,$A319)</f>
        <v>2847.00748037028</v>
      </c>
      <c r="E319" s="0" t="n">
        <f aca="false">W_PH(E$2,$A319)</f>
        <v>2847.00762613435</v>
      </c>
      <c r="F319" s="0" t="n">
        <f aca="false">W_PH(F$2,$A319)</f>
        <v>2847.00778073826</v>
      </c>
      <c r="G319" s="0" t="n">
        <f aca="false">W_PH(G$2,$A319)</f>
        <v>2847.00927374488</v>
      </c>
      <c r="H319" s="0" t="n">
        <f aca="false">W_PH(H$2,$A319)</f>
        <v>2847.01077560195</v>
      </c>
      <c r="I319" s="0" t="n">
        <f aca="false">W_PH(I$2,$A319)</f>
        <v>2847.01227746975</v>
      </c>
      <c r="J319" s="0" t="n">
        <f aca="false">W_PH(J$2,$A319)</f>
        <v>2847.0137793483</v>
      </c>
      <c r="K319" s="0" t="n">
        <f aca="false">W_PH(K$2,$A319)</f>
        <v>2847.01527239768</v>
      </c>
      <c r="L319" s="0" t="n">
        <f aca="false">W_PH(L$2,$A319)</f>
        <v>2847.0167742977</v>
      </c>
      <c r="M319" s="0" t="n">
        <f aca="false">W_PH(M$2,$A319)</f>
        <v>2847.01827620847</v>
      </c>
      <c r="N319" s="0" t="n">
        <f aca="false">W_PH(N$2,$A319)</f>
        <v>2847.01977813</v>
      </c>
      <c r="O319" s="0" t="n">
        <f aca="false">W_PH(O$2,$A319)</f>
        <v>2847.02127122223</v>
      </c>
      <c r="P319" s="0" t="n">
        <f aca="false">W_PH(P$2,$A319)</f>
        <v>2847.03627345728</v>
      </c>
      <c r="Q319" s="0" t="n">
        <f aca="false">W_PH(Q$2,$A319)</f>
        <v>2847.05126793231</v>
      </c>
      <c r="R319" s="0" t="n">
        <f aca="false">W_PH(R$2,$A319)</f>
        <v>2847.06627233367</v>
      </c>
      <c r="S319" s="0" t="n">
        <f aca="false">W_PH(S$2,$A319)</f>
        <v>2847.08126898435</v>
      </c>
      <c r="T319" s="0" t="n">
        <f aca="false">W_PH(T$2,$A319)</f>
        <v>2847.09626673025</v>
      </c>
      <c r="U319" s="0" t="n">
        <f aca="false">W_PH(U$2,$A319)</f>
        <v>2847.11126557643</v>
      </c>
      <c r="V319" s="0" t="n">
        <f aca="false">W_PH(V$2,$A319)</f>
        <v>2847.12627437074</v>
      </c>
      <c r="W319" s="0" t="n">
        <f aca="false">W_PH(W$2,$A319)</f>
        <v>2847.14127543304</v>
      </c>
      <c r="X319" s="0" t="n">
        <f aca="false">W_PH(X$2,$A319)</f>
        <v>2847.1562776108</v>
      </c>
      <c r="Y319" s="0" t="n">
        <f aca="false">W_PH(Y$2,$A319)</f>
        <v>2847.30635300376</v>
      </c>
      <c r="Z319" s="0" t="n">
        <f aca="false">W_PH(Z$2,$A319)</f>
        <v>2847.45651451726</v>
      </c>
      <c r="AA319" s="0" t="n">
        <f aca="false">W_PH(AA$2,$A319)</f>
        <v>2847.60676273706</v>
      </c>
      <c r="AB319" s="0" t="n">
        <f aca="false">W_PH(AB$2,$A319)</f>
        <v>2847.7571070976</v>
      </c>
      <c r="AC319" s="0" t="n">
        <f aca="false">W_PH(AC$2,$A319)</f>
        <v>2847.90754817555</v>
      </c>
      <c r="AD319" s="0" t="n">
        <f aca="false">W_PH(AD$2,$A319)</f>
        <v>2848.05809097064</v>
      </c>
      <c r="AE319" s="0" t="n">
        <f aca="false">W_PH(AE$2,$A319)</f>
        <v>2848.20874048002</v>
      </c>
      <c r="AF319" s="0" t="n">
        <f aca="false">W_PH(AF$2,$A319)</f>
        <v>2848.35950613554</v>
      </c>
      <c r="AG319" s="0" t="n">
        <f aca="false">W_PH(AG$2,$A319)</f>
        <v>2848.5103884958</v>
      </c>
      <c r="AH319" s="0" t="n">
        <f aca="false">W_PH(AH$2,$A319)</f>
        <v>2850.02668269688</v>
      </c>
      <c r="AI319" s="0" t="n">
        <f aca="false">W_PH(AI$2,$A319)</f>
        <v>2851.55992242743</v>
      </c>
      <c r="AJ319" s="0" t="n">
        <f aca="false">W_PH(AJ$2,$A319)</f>
        <v>2853.11484027904</v>
      </c>
      <c r="AK319" s="0" t="n">
        <f aca="false">W_PH(AK$2,$A319)</f>
        <v>2854.69614152979</v>
      </c>
      <c r="AL319" s="0" t="n">
        <f aca="false">W_PH(AL$2,$A319)</f>
        <v>2856.30850529951</v>
      </c>
      <c r="AM319" s="0" t="n">
        <f aca="false">W_PH(AM$2,$A319)</f>
        <v>2857.95660404405</v>
      </c>
      <c r="AN319" s="0" t="n">
        <f aca="false">W_PH(AN$2,$A319)</f>
        <v>2859.64506878446</v>
      </c>
      <c r="AO319" s="0" t="n">
        <f aca="false">W_PH(AO$2,$A319)</f>
        <v>2861.37854074351</v>
      </c>
      <c r="AP319" s="0" t="n">
        <f aca="false">W_PH(AP$2,$A319)</f>
        <v>2015</v>
      </c>
      <c r="AQ319" s="0" t="n">
        <f aca="false">W_PH(AQ$2,$A319)</f>
        <v>2015</v>
      </c>
      <c r="AR319" s="0" t="n">
        <f aca="false">W_PH(AR$2,$A319)</f>
        <v>2015</v>
      </c>
      <c r="AS319" s="0" t="n">
        <f aca="false">W_PH(AS$2,$A319)</f>
        <v>2015</v>
      </c>
    </row>
    <row r="320" customFormat="false" ht="12.8" hidden="false" customHeight="false" outlineLevel="0" collapsed="false">
      <c r="A320" s="0" t="n">
        <v>2063.62854686156</v>
      </c>
      <c r="B320" s="0" t="n">
        <f aca="false">W_PH(B$2,$A320)</f>
        <v>2015</v>
      </c>
      <c r="C320" s="0" t="n">
        <f aca="false">W_PH(C$2,$A320)</f>
        <v>2850.93446897618</v>
      </c>
      <c r="D320" s="0" t="n">
        <f aca="false">W_PH(D$2,$A320)</f>
        <v>2850.93462087475</v>
      </c>
      <c r="E320" s="0" t="n">
        <f aca="false">W_PH(E$2,$A320)</f>
        <v>2850.93476836008</v>
      </c>
      <c r="F320" s="0" t="n">
        <f aca="false">W_PH(F$2,$A320)</f>
        <v>2850.9349246722</v>
      </c>
      <c r="G320" s="0" t="n">
        <f aca="false">W_PH(G$2,$A320)</f>
        <v>2850.93642601239</v>
      </c>
      <c r="H320" s="0" t="n">
        <f aca="false">W_PH(H$2,$A320)</f>
        <v>2850.93793618982</v>
      </c>
      <c r="I320" s="0" t="n">
        <f aca="false">W_PH(I$2,$A320)</f>
        <v>2850.93944637781</v>
      </c>
      <c r="J320" s="0" t="n">
        <f aca="false">W_PH(J$2,$A320)</f>
        <v>2850.94094774952</v>
      </c>
      <c r="K320" s="0" t="n">
        <f aca="false">W_PH(K$2,$A320)</f>
        <v>2850.94245795861</v>
      </c>
      <c r="L320" s="0" t="n">
        <f aca="false">W_PH(L$2,$A320)</f>
        <v>2850.94396817827</v>
      </c>
      <c r="M320" s="0" t="n">
        <f aca="false">W_PH(M$2,$A320)</f>
        <v>2850.94546958155</v>
      </c>
      <c r="N320" s="0" t="n">
        <f aca="false">W_PH(N$2,$A320)</f>
        <v>2850.94697982233</v>
      </c>
      <c r="O320" s="0" t="n">
        <f aca="false">W_PH(O$2,$A320)</f>
        <v>2850.94849007371</v>
      </c>
      <c r="P320" s="0" t="n">
        <f aca="false">W_PH(P$2,$A320)</f>
        <v>2850.96356668867</v>
      </c>
      <c r="Q320" s="0" t="n">
        <f aca="false">W_PH(Q$2,$A320)</f>
        <v>2850.97863553795</v>
      </c>
      <c r="R320" s="0" t="n">
        <f aca="false">W_PH(R$2,$A320)</f>
        <v>2850.99371428179</v>
      </c>
      <c r="S320" s="0" t="n">
        <f aca="false">W_PH(S$2,$A320)</f>
        <v>2851.0087940978</v>
      </c>
      <c r="T320" s="0" t="n">
        <f aca="false">W_PH(T$2,$A320)</f>
        <v>2851.02387057651</v>
      </c>
      <c r="U320" s="0" t="n">
        <f aca="false">W_PH(U$2,$A320)</f>
        <v>2851.03894813704</v>
      </c>
      <c r="V320" s="0" t="n">
        <f aca="false">W_PH(V$2,$A320)</f>
        <v>2851.05403119928</v>
      </c>
      <c r="W320" s="0" t="n">
        <f aca="false">W_PH(W$2,$A320)</f>
        <v>2851.06910652367</v>
      </c>
      <c r="X320" s="0" t="n">
        <f aca="false">W_PH(X$2,$A320)</f>
        <v>2851.08419177505</v>
      </c>
      <c r="Y320" s="0" t="n">
        <f aca="false">W_PH(Y$2,$A320)</f>
        <v>2851.23504390297</v>
      </c>
      <c r="Z320" s="0" t="n">
        <f aca="false">W_PH(Z$2,$A320)</f>
        <v>2851.38598471122</v>
      </c>
      <c r="AA320" s="0" t="n">
        <f aca="false">W_PH(AA$2,$A320)</f>
        <v>2851.53701034027</v>
      </c>
      <c r="AB320" s="0" t="n">
        <f aca="false">W_PH(AB$2,$A320)</f>
        <v>2851.6881257585</v>
      </c>
      <c r="AC320" s="0" t="n">
        <f aca="false">W_PH(AC$2,$A320)</f>
        <v>2851.83933593178</v>
      </c>
      <c r="AD320" s="0" t="n">
        <f aca="false">W_PH(AD$2,$A320)</f>
        <v>2851.99065025017</v>
      </c>
      <c r="AE320" s="0" t="n">
        <f aca="false">W_PH(AE$2,$A320)</f>
        <v>2852.14206925159</v>
      </c>
      <c r="AF320" s="0" t="n">
        <f aca="false">W_PH(AF$2,$A320)</f>
        <v>2852.29360232486</v>
      </c>
      <c r="AG320" s="0" t="n">
        <f aca="false">W_PH(AG$2,$A320)</f>
        <v>2852.44524999906</v>
      </c>
      <c r="AH320" s="0" t="n">
        <f aca="false">W_PH(AH$2,$A320)</f>
        <v>2853.96911828811</v>
      </c>
      <c r="AI320" s="0" t="n">
        <f aca="false">W_PH(AI$2,$A320)</f>
        <v>2855.50973666651</v>
      </c>
      <c r="AJ320" s="0" t="n">
        <f aca="false">W_PH(AJ$2,$A320)</f>
        <v>2857.07181250542</v>
      </c>
      <c r="AK320" s="0" t="n">
        <f aca="false">W_PH(AK$2,$A320)</f>
        <v>2858.66001758522</v>
      </c>
      <c r="AL320" s="0" t="n">
        <f aca="false">W_PH(AL$2,$A320)</f>
        <v>2860.2790026153</v>
      </c>
      <c r="AM320" s="0" t="n">
        <f aca="false">W_PH(AM$2,$A320)</f>
        <v>2861.93339404412</v>
      </c>
      <c r="AN320" s="0" t="n">
        <f aca="false">W_PH(AN$2,$A320)</f>
        <v>2863.62781825133</v>
      </c>
      <c r="AO320" s="0" t="n">
        <f aca="false">W_PH(AO$2,$A320)</f>
        <v>2865.36686230099</v>
      </c>
      <c r="AP320" s="0" t="n">
        <f aca="false">W_PH(AP$2,$A320)</f>
        <v>2015</v>
      </c>
      <c r="AQ320" s="0" t="n">
        <f aca="false">W_PH(AQ$2,$A320)</f>
        <v>2015</v>
      </c>
      <c r="AR320" s="0" t="n">
        <f aca="false">W_PH(AR$2,$A320)</f>
        <v>2015</v>
      </c>
      <c r="AS320" s="0" t="n">
        <f aca="false">W_PH(AS$2,$A320)</f>
        <v>2015</v>
      </c>
    </row>
    <row r="321" customFormat="false" ht="12.8" hidden="false" customHeight="false" outlineLevel="0" collapsed="false">
      <c r="A321" s="0" t="n">
        <v>2067.92777300086</v>
      </c>
      <c r="B321" s="0" t="n">
        <f aca="false">W_PH(B$2,$A321)</f>
        <v>2015</v>
      </c>
      <c r="C321" s="0" t="n">
        <f aca="false">W_PH(C$2,$A321)</f>
        <v>2854.85195805306</v>
      </c>
      <c r="D321" s="0" t="n">
        <f aca="false">W_PH(D$2,$A321)</f>
        <v>2854.85211604941</v>
      </c>
      <c r="E321" s="0" t="n">
        <f aca="false">W_PH(E$2,$A321)</f>
        <v>2854.85226523212</v>
      </c>
      <c r="F321" s="0" t="n">
        <f aca="false">W_PH(F$2,$A321)</f>
        <v>2854.85241441492</v>
      </c>
      <c r="G321" s="0" t="n">
        <f aca="false">W_PH(G$2,$A321)</f>
        <v>2854.85393268996</v>
      </c>
      <c r="H321" s="0" t="n">
        <f aca="false">W_PH(H$2,$A321)</f>
        <v>2854.85544216154</v>
      </c>
      <c r="I321" s="0" t="n">
        <f aca="false">W_PH(I$2,$A321)</f>
        <v>2854.85696045729</v>
      </c>
      <c r="J321" s="0" t="n">
        <f aca="false">W_PH(J$2,$A321)</f>
        <v>2854.85847876343</v>
      </c>
      <c r="K321" s="0" t="n">
        <f aca="false">W_PH(K$2,$A321)</f>
        <v>2854.85998826603</v>
      </c>
      <c r="L321" s="0" t="n">
        <f aca="false">W_PH(L$2,$A321)</f>
        <v>2854.86150659292</v>
      </c>
      <c r="M321" s="0" t="n">
        <f aca="false">W_PH(M$2,$A321)</f>
        <v>2854.86302493022</v>
      </c>
      <c r="N321" s="0" t="n">
        <f aca="false">W_PH(N$2,$A321)</f>
        <v>2854.86453446387</v>
      </c>
      <c r="O321" s="0" t="n">
        <f aca="false">W_PH(O$2,$A321)</f>
        <v>2854.86605282195</v>
      </c>
      <c r="P321" s="0" t="n">
        <f aca="false">W_PH(P$2,$A321)</f>
        <v>2854.88120171863</v>
      </c>
      <c r="Q321" s="0" t="n">
        <f aca="false">W_PH(Q$2,$A321)</f>
        <v>2854.89635606644</v>
      </c>
      <c r="R321" s="0" t="n">
        <f aca="false">W_PH(R$2,$A321)</f>
        <v>2854.91151146332</v>
      </c>
      <c r="S321" s="0" t="n">
        <f aca="false">W_PH(S$2,$A321)</f>
        <v>2854.92666350645</v>
      </c>
      <c r="T321" s="0" t="n">
        <f aca="false">W_PH(T$2,$A321)</f>
        <v>2854.94181660824</v>
      </c>
      <c r="U321" s="0" t="n">
        <f aca="false">W_PH(U$2,$A321)</f>
        <v>2854.95697077367</v>
      </c>
      <c r="V321" s="0" t="n">
        <f aca="false">W_PH(V$2,$A321)</f>
        <v>2854.97213482448</v>
      </c>
      <c r="W321" s="0" t="n">
        <f aca="false">W_PH(W$2,$A321)</f>
        <v>2854.98729113253</v>
      </c>
      <c r="X321" s="0" t="n">
        <f aca="false">W_PH(X$2,$A321)</f>
        <v>2855.00244851919</v>
      </c>
      <c r="Y321" s="0" t="n">
        <f aca="false">W_PH(Y$2,$A321)</f>
        <v>2855.15406516245</v>
      </c>
      <c r="Z321" s="0" t="n">
        <f aca="false">W_PH(Z$2,$A321)</f>
        <v>2855.30576865609</v>
      </c>
      <c r="AA321" s="0" t="n">
        <f aca="false">W_PH(AA$2,$A321)</f>
        <v>2855.4575595318</v>
      </c>
      <c r="AB321" s="0" t="n">
        <f aca="false">W_PH(AB$2,$A321)</f>
        <v>2855.60943831122</v>
      </c>
      <c r="AC321" s="0" t="n">
        <f aca="false">W_PH(AC$2,$A321)</f>
        <v>2855.76141434238</v>
      </c>
      <c r="AD321" s="0" t="n">
        <f aca="false">W_PH(AD$2,$A321)</f>
        <v>2855.91348813817</v>
      </c>
      <c r="AE321" s="0" t="n">
        <f aca="false">W_PH(AE$2,$A321)</f>
        <v>2856.06566462349</v>
      </c>
      <c r="AF321" s="0" t="n">
        <f aca="false">W_PH(AF$2,$A321)</f>
        <v>2856.21795756848</v>
      </c>
      <c r="AG321" s="0" t="n">
        <f aca="false">W_PH(AG$2,$A321)</f>
        <v>2856.37035862718</v>
      </c>
      <c r="AH321" s="0" t="n">
        <f aca="false">W_PH(AH$2,$A321)</f>
        <v>2857.90169711387</v>
      </c>
      <c r="AI321" s="0" t="n">
        <f aca="false">W_PH(AI$2,$A321)</f>
        <v>2859.44959893221</v>
      </c>
      <c r="AJ321" s="0" t="n">
        <f aca="false">W_PH(AJ$2,$A321)</f>
        <v>2861.01873765505</v>
      </c>
      <c r="AK321" s="0" t="n">
        <f aca="false">W_PH(AK$2,$A321)</f>
        <v>2862.61375635251</v>
      </c>
      <c r="AL321" s="0" t="n">
        <f aca="false">W_PH(AL$2,$A321)</f>
        <v>2864.23926408626</v>
      </c>
      <c r="AM321" s="0" t="n">
        <f aca="false">W_PH(AM$2,$A321)</f>
        <v>2865.89987324716</v>
      </c>
      <c r="AN321" s="0" t="n">
        <f aca="false">W_PH(AN$2,$A321)</f>
        <v>2867.60016957762</v>
      </c>
      <c r="AO321" s="0" t="n">
        <f aca="false">W_PH(AO$2,$A321)</f>
        <v>2869.34470899781</v>
      </c>
      <c r="AP321" s="0" t="n">
        <f aca="false">W_PH(AP$2,$A321)</f>
        <v>2015</v>
      </c>
      <c r="AQ321" s="0" t="n">
        <f aca="false">W_PH(AQ$2,$A321)</f>
        <v>2015</v>
      </c>
      <c r="AR321" s="0" t="n">
        <f aca="false">W_PH(AR$2,$A321)</f>
        <v>2015</v>
      </c>
      <c r="AS321" s="0" t="n">
        <f aca="false">W_PH(AS$2,$A321)</f>
        <v>2015</v>
      </c>
    </row>
    <row r="322" customFormat="false" ht="12.8" hidden="false" customHeight="false" outlineLevel="0" collapsed="false">
      <c r="A322" s="0" t="n">
        <v>2072.22699914015</v>
      </c>
      <c r="B322" s="0" t="n">
        <f aca="false">W_PH(B$2,$A322)</f>
        <v>2015</v>
      </c>
      <c r="C322" s="0" t="n">
        <f aca="false">W_PH(C$2,$A322)</f>
        <v>2858.75987680346</v>
      </c>
      <c r="D322" s="0" t="n">
        <f aca="false">W_PH(D$2,$A322)</f>
        <v>2858.76002765995</v>
      </c>
      <c r="E322" s="0" t="n">
        <f aca="false">W_PH(E$2,$A322)</f>
        <v>2858.76018731744</v>
      </c>
      <c r="F322" s="0" t="n">
        <f aca="false">W_PH(F$2,$A322)</f>
        <v>2858.76033817413</v>
      </c>
      <c r="G322" s="0" t="n">
        <f aca="false">W_PH(G$2,$A322)</f>
        <v>2858.76185554752</v>
      </c>
      <c r="H322" s="0" t="n">
        <f aca="false">W_PH(H$2,$A322)</f>
        <v>2858.76338173202</v>
      </c>
      <c r="I322" s="0" t="n">
        <f aca="false">W_PH(I$2,$A322)</f>
        <v>2858.76490352623</v>
      </c>
      <c r="J322" s="0" t="n">
        <f aca="false">W_PH(J$2,$A322)</f>
        <v>2858.7664253306</v>
      </c>
      <c r="K322" s="0" t="n">
        <f aca="false">W_PH(K$2,$A322)</f>
        <v>2858.76795154571</v>
      </c>
      <c r="L322" s="0" t="n">
        <f aca="false">W_PH(L$2,$A322)</f>
        <v>2858.76946896991</v>
      </c>
      <c r="M322" s="0" t="n">
        <f aca="false">W_PH(M$2,$A322)</f>
        <v>2858.77099520543</v>
      </c>
      <c r="N322" s="0" t="n">
        <f aca="false">W_PH(N$2,$A322)</f>
        <v>2858.77251705059</v>
      </c>
      <c r="O322" s="0" t="n">
        <f aca="false">W_PH(O$2,$A322)</f>
        <v>2858.77403890594</v>
      </c>
      <c r="P322" s="0" t="n">
        <f aca="false">W_PH(P$2,$A322)</f>
        <v>2858.78926682326</v>
      </c>
      <c r="Q322" s="0" t="n">
        <f aca="false">W_PH(Q$2,$A322)</f>
        <v>2858.8044957669</v>
      </c>
      <c r="R322" s="0" t="n">
        <f aca="false">W_PH(R$2,$A322)</f>
        <v>2858.81972574181</v>
      </c>
      <c r="S322" s="0" t="n">
        <f aca="false">W_PH(S$2,$A322)</f>
        <v>2858.83495675294</v>
      </c>
      <c r="T322" s="0" t="n">
        <f aca="false">W_PH(T$2,$A322)</f>
        <v>2858.85018880523</v>
      </c>
      <c r="U322" s="0" t="n">
        <f aca="false">W_PH(U$2,$A322)</f>
        <v>2858.86541750189</v>
      </c>
      <c r="V322" s="0" t="n">
        <f aca="false">W_PH(V$2,$A322)</f>
        <v>2858.88064724924</v>
      </c>
      <c r="W322" s="0" t="n">
        <f aca="false">W_PH(W$2,$A322)</f>
        <v>2858.89588245435</v>
      </c>
      <c r="X322" s="0" t="n">
        <f aca="false">W_PH(X$2,$A322)</f>
        <v>2858.91111872042</v>
      </c>
      <c r="Y322" s="0" t="n">
        <f aca="false">W_PH(Y$2,$A322)</f>
        <v>2859.06349678047</v>
      </c>
      <c r="Z322" s="0" t="n">
        <f aca="false">W_PH(Z$2,$A322)</f>
        <v>2859.21595109158</v>
      </c>
      <c r="AA322" s="0" t="n">
        <f aca="false">W_PH(AA$2,$A322)</f>
        <v>2859.36849536858</v>
      </c>
      <c r="AB322" s="0" t="n">
        <f aca="false">W_PH(AB$2,$A322)</f>
        <v>2859.52112569969</v>
      </c>
      <c r="AC322" s="0" t="n">
        <f aca="false">W_PH(AC$2,$A322)</f>
        <v>2859.67385580236</v>
      </c>
      <c r="AD322" s="0" t="n">
        <f aca="false">W_PH(AD$2,$A322)</f>
        <v>2859.8266729255</v>
      </c>
      <c r="AE322" s="0" t="n">
        <f aca="false">W_PH(AE$2,$A322)</f>
        <v>2859.97960402412</v>
      </c>
      <c r="AF322" s="0" t="n">
        <f aca="false">W_PH(AF$2,$A322)</f>
        <v>2860.13264075024</v>
      </c>
      <c r="AG322" s="0" t="n">
        <f aca="false">W_PH(AG$2,$A322)</f>
        <v>2860.2857879884</v>
      </c>
      <c r="AH322" s="0" t="n">
        <f aca="false">W_PH(AH$2,$A322)</f>
        <v>2861.8244957533</v>
      </c>
      <c r="AI322" s="0" t="n">
        <f aca="false">W_PH(AI$2,$A322)</f>
        <v>2863.37957976187</v>
      </c>
      <c r="AJ322" s="0" t="n">
        <f aca="false">W_PH(AJ$2,$A322)</f>
        <v>2864.95568456119</v>
      </c>
      <c r="AK322" s="0" t="n">
        <f aca="false">W_PH(AK$2,$A322)</f>
        <v>2866.55742483612</v>
      </c>
      <c r="AL322" s="0" t="n">
        <f aca="false">W_PH(AL$2,$A322)</f>
        <v>2868.18937737656</v>
      </c>
      <c r="AM322" s="0" t="n">
        <f aca="false">W_PH(AM$2,$A322)</f>
        <v>2869.85612276542</v>
      </c>
      <c r="AN322" s="0" t="n">
        <f aca="false">W_PH(AN$2,$A322)</f>
        <v>2871.56221088127</v>
      </c>
      <c r="AO322" s="0" t="n">
        <f aca="false">W_PH(AO$2,$A322)</f>
        <v>2873.31217130286</v>
      </c>
      <c r="AP322" s="0" t="n">
        <f aca="false">W_PH(AP$2,$A322)</f>
        <v>2015</v>
      </c>
      <c r="AQ322" s="0" t="n">
        <f aca="false">W_PH(AQ$2,$A322)</f>
        <v>2015</v>
      </c>
      <c r="AR322" s="0" t="n">
        <f aca="false">W_PH(AR$2,$A322)</f>
        <v>2015</v>
      </c>
      <c r="AS322" s="0" t="n">
        <f aca="false">W_PH(AS$2,$A322)</f>
        <v>2015</v>
      </c>
    </row>
    <row r="323" customFormat="false" ht="12.8" hidden="false" customHeight="false" outlineLevel="0" collapsed="false">
      <c r="A323" s="0" t="n">
        <v>2076.52622527945</v>
      </c>
      <c r="B323" s="0" t="n">
        <f aca="false">W_PH(B$2,$A323)</f>
        <v>2015</v>
      </c>
      <c r="C323" s="0" t="n">
        <f aca="false">W_PH(C$2,$A323)</f>
        <v>2862.65829499902</v>
      </c>
      <c r="D323" s="0" t="n">
        <f aca="false">W_PH(D$2,$A323)</f>
        <v>2862.65844750628</v>
      </c>
      <c r="E323" s="0" t="n">
        <f aca="false">W_PH(E$2,$A323)</f>
        <v>2862.65860440771</v>
      </c>
      <c r="F323" s="0" t="n">
        <f aca="false">W_PH(F$2,$A323)</f>
        <v>2862.65875691517</v>
      </c>
      <c r="G323" s="0" t="n">
        <f aca="false">W_PH(G$2,$A323)</f>
        <v>2862.66028199524</v>
      </c>
      <c r="H323" s="0" t="n">
        <f aca="false">W_PH(H$2,$A323)</f>
        <v>2862.6618158735</v>
      </c>
      <c r="I323" s="0" t="n">
        <f aca="false">W_PH(I$2,$A323)</f>
        <v>2862.66334097353</v>
      </c>
      <c r="J323" s="0" t="n">
        <f aca="false">W_PH(J$2,$A323)</f>
        <v>2862.66487487183</v>
      </c>
      <c r="K323" s="0" t="n">
        <f aca="false">W_PH(K$2,$A323)</f>
        <v>2862.66640438601</v>
      </c>
      <c r="L323" s="0" t="n">
        <f aca="false">W_PH(L$2,$A323)</f>
        <v>2862.66793391021</v>
      </c>
      <c r="M323" s="0" t="n">
        <f aca="false">W_PH(M$2,$A323)</f>
        <v>2862.66946783863</v>
      </c>
      <c r="N323" s="0" t="n">
        <f aca="false">W_PH(N$2,$A323)</f>
        <v>2862.67099298866</v>
      </c>
      <c r="O323" s="0" t="n">
        <f aca="false">W_PH(O$2,$A323)</f>
        <v>2862.67252693718</v>
      </c>
      <c r="P323" s="0" t="n">
        <f aca="false">W_PH(P$2,$A323)</f>
        <v>2862.6878318217</v>
      </c>
      <c r="Q323" s="0" t="n">
        <f aca="false">W_PH(Q$2,$A323)</f>
        <v>2862.70312892619</v>
      </c>
      <c r="R323" s="0" t="n">
        <f aca="false">W_PH(R$2,$A323)</f>
        <v>2862.71843583365</v>
      </c>
      <c r="S323" s="0" t="n">
        <f aca="false">W_PH(S$2,$A323)</f>
        <v>2862.73374376013</v>
      </c>
      <c r="T323" s="0" t="n">
        <f aca="false">W_PH(T$2,$A323)</f>
        <v>2862.74904392021</v>
      </c>
      <c r="U323" s="0" t="n">
        <f aca="false">W_PH(U$2,$A323)</f>
        <v>2862.7643538991</v>
      </c>
      <c r="V323" s="0" t="n">
        <f aca="false">W_PH(V$2,$A323)</f>
        <v>2862.77965612068</v>
      </c>
      <c r="W323" s="0" t="n">
        <f aca="false">W_PH(W$2,$A323)</f>
        <v>2862.79496817163</v>
      </c>
      <c r="X323" s="0" t="n">
        <f aca="false">W_PH(X$2,$A323)</f>
        <v>2862.81027247435</v>
      </c>
      <c r="Y323" s="0" t="n">
        <f aca="false">W_PH(Y$2,$A323)</f>
        <v>2862.96340032501</v>
      </c>
      <c r="Z323" s="0" t="n">
        <f aca="false">W_PH(Z$2,$A323)</f>
        <v>2863.11660268679</v>
      </c>
      <c r="AA323" s="0" t="n">
        <f aca="false">W_PH(AA$2,$A323)</f>
        <v>2863.26988442332</v>
      </c>
      <c r="AB323" s="0" t="n">
        <f aca="false">W_PH(AB$2,$A323)</f>
        <v>2863.42325920247</v>
      </c>
      <c r="AC323" s="0" t="n">
        <f aca="false">W_PH(AC$2,$A323)</f>
        <v>2863.57672748906</v>
      </c>
      <c r="AD323" s="0" t="n">
        <f aca="false">W_PH(AD$2,$A323)</f>
        <v>2863.7302897382</v>
      </c>
      <c r="AE323" s="0" t="n">
        <f aca="false">W_PH(AE$2,$A323)</f>
        <v>2863.8839552129</v>
      </c>
      <c r="AF323" s="0" t="n">
        <f aca="false">W_PH(AF$2,$A323)</f>
        <v>2864.0377331812</v>
      </c>
      <c r="AG323" s="0" t="n">
        <f aca="false">W_PH(AG$2,$A323)</f>
        <v>2864.19161085367</v>
      </c>
      <c r="AH323" s="0" t="n">
        <f aca="false">W_PH(AH$2,$A323)</f>
        <v>2865.73758102598</v>
      </c>
      <c r="AI323" s="0" t="n">
        <f aca="false">W_PH(AI$2,$A323)</f>
        <v>2867.29975769005</v>
      </c>
      <c r="AJ323" s="0" t="n">
        <f aca="false">W_PH(AJ$2,$A323)</f>
        <v>2868.88273899673</v>
      </c>
      <c r="AK323" s="0" t="n">
        <f aca="false">W_PH(AK$2,$A323)</f>
        <v>2870.49110702705</v>
      </c>
      <c r="AL323" s="0" t="n">
        <f aca="false">W_PH(AL$2,$A323)</f>
        <v>2872.12942002084</v>
      </c>
      <c r="AM323" s="0" t="n">
        <f aca="false">W_PH(AM$2,$A323)</f>
        <v>2873.80221355878</v>
      </c>
      <c r="AN323" s="0" t="n">
        <f aca="false">W_PH(AN$2,$A323)</f>
        <v>2875.51401094152</v>
      </c>
      <c r="AO323" s="0" t="n">
        <f aca="false">W_PH(AO$2,$A323)</f>
        <v>2877.26932478451</v>
      </c>
      <c r="AP323" s="0" t="n">
        <f aca="false">W_PH(AP$2,$A323)</f>
        <v>2015</v>
      </c>
      <c r="AQ323" s="0" t="n">
        <f aca="false">W_PH(AQ$2,$A323)</f>
        <v>2015</v>
      </c>
      <c r="AR323" s="0" t="n">
        <f aca="false">W_PH(AR$2,$A323)</f>
        <v>2015</v>
      </c>
      <c r="AS323" s="0" t="n">
        <f aca="false">W_PH(AS$2,$A323)</f>
        <v>2015</v>
      </c>
    </row>
    <row r="324" customFormat="false" ht="12.8" hidden="false" customHeight="false" outlineLevel="0" collapsed="false">
      <c r="A324" s="0" t="n">
        <v>2080.82545141874</v>
      </c>
      <c r="B324" s="0" t="n">
        <f aca="false">W_PH(B$2,$A324)</f>
        <v>2015</v>
      </c>
      <c r="C324" s="0" t="n">
        <f aca="false">W_PH(C$2,$A324)</f>
        <v>2866.54727726236</v>
      </c>
      <c r="D324" s="0" t="n">
        <f aca="false">W_PH(D$2,$A324)</f>
        <v>2866.54743139764</v>
      </c>
      <c r="E324" s="0" t="n">
        <f aca="false">W_PH(E$2,$A324)</f>
        <v>2866.54758553302</v>
      </c>
      <c r="F324" s="0" t="n">
        <f aca="false">W_PH(F$2,$A324)</f>
        <v>2866.5477396685</v>
      </c>
      <c r="G324" s="0" t="n">
        <f aca="false">W_PH(G$2,$A324)</f>
        <v>2866.54928102871</v>
      </c>
      <c r="H324" s="0" t="n">
        <f aca="false">W_PH(H$2,$A324)</f>
        <v>2866.55081362322</v>
      </c>
      <c r="I324" s="0" t="n">
        <f aca="false">W_PH(I$2,$A324)</f>
        <v>2866.55235500312</v>
      </c>
      <c r="J324" s="0" t="n">
        <f aca="false">W_PH(J$2,$A324)</f>
        <v>2866.55389200508</v>
      </c>
      <c r="K324" s="0" t="n">
        <f aca="false">W_PH(K$2,$A324)</f>
        <v>2866.55542901689</v>
      </c>
      <c r="L324" s="0" t="n">
        <f aca="false">W_PH(L$2,$A324)</f>
        <v>2866.55697042639</v>
      </c>
      <c r="M324" s="0" t="n">
        <f aca="false">W_PH(M$2,$A324)</f>
        <v>2866.55850307004</v>
      </c>
      <c r="N324" s="0" t="n">
        <f aca="false">W_PH(N$2,$A324)</f>
        <v>2866.5600444993</v>
      </c>
      <c r="O324" s="0" t="n">
        <f aca="false">W_PH(O$2,$A324)</f>
        <v>2866.56157716263</v>
      </c>
      <c r="P324" s="0" t="n">
        <f aca="false">W_PH(P$2,$A324)</f>
        <v>2866.57695699456</v>
      </c>
      <c r="Q324" s="0" t="n">
        <f aca="false">W_PH(Q$2,$A324)</f>
        <v>2866.59233343055</v>
      </c>
      <c r="R324" s="0" t="n">
        <f aca="false">W_PH(R$2,$A324)</f>
        <v>2866.60771086337</v>
      </c>
      <c r="S324" s="0" t="n">
        <f aca="false">W_PH(S$2,$A324)</f>
        <v>2866.62308929791</v>
      </c>
      <c r="T324" s="0" t="n">
        <f aca="false">W_PH(T$2,$A324)</f>
        <v>2866.63846873905</v>
      </c>
      <c r="U324" s="0" t="n">
        <f aca="false">W_PH(U$2,$A324)</f>
        <v>2866.65384480266</v>
      </c>
      <c r="V324" s="0" t="n">
        <f aca="false">W_PH(V$2,$A324)</f>
        <v>2866.66923066062</v>
      </c>
      <c r="W324" s="0" t="n">
        <f aca="false">W_PH(W$2,$A324)</f>
        <v>2866.68460876144</v>
      </c>
      <c r="X324" s="0" t="n">
        <f aca="false">W_PH(X$2,$A324)</f>
        <v>2866.69998788799</v>
      </c>
      <c r="Y324" s="0" t="n">
        <f aca="false">W_PH(Y$2,$A324)</f>
        <v>2866.85385420719</v>
      </c>
      <c r="Z324" s="0" t="n">
        <f aca="false">W_PH(Z$2,$A324)</f>
        <v>2867.00778893805</v>
      </c>
      <c r="AA324" s="0" t="n">
        <f aca="false">W_PH(AA$2,$A324)</f>
        <v>2867.16181008885</v>
      </c>
      <c r="AB324" s="0" t="n">
        <f aca="false">W_PH(AB$2,$A324)</f>
        <v>2867.31591810001</v>
      </c>
      <c r="AC324" s="0" t="n">
        <f aca="false">W_PH(AC$2,$A324)</f>
        <v>2867.47011340237</v>
      </c>
      <c r="AD324" s="0" t="n">
        <f aca="false">W_PH(AD$2,$A324)</f>
        <v>2867.62440961865</v>
      </c>
      <c r="AE324" s="0" t="n">
        <f aca="false">W_PH(AE$2,$A324)</f>
        <v>2867.77880277459</v>
      </c>
      <c r="AF324" s="0" t="n">
        <f aca="false">W_PH(AF$2,$A324)</f>
        <v>2867.93329768734</v>
      </c>
      <c r="AG324" s="0" t="n">
        <f aca="false">W_PH(AG$2,$A324)</f>
        <v>2868.08790798366</v>
      </c>
      <c r="AH324" s="0" t="n">
        <f aca="false">W_PH(AH$2,$A324)</f>
        <v>2869.64104546828</v>
      </c>
      <c r="AI324" s="0" t="n">
        <f aca="false">W_PH(AI$2,$A324)</f>
        <v>2871.21021031167</v>
      </c>
      <c r="AJ324" s="0" t="n">
        <f aca="false">W_PH(AJ$2,$A324)</f>
        <v>2872.79997679028</v>
      </c>
      <c r="AK324" s="0" t="n">
        <f aca="false">W_PH(AK$2,$A324)</f>
        <v>2874.41488586492</v>
      </c>
      <c r="AL324" s="0" t="n">
        <f aca="false">W_PH(AL$2,$A324)</f>
        <v>2876.0594640166</v>
      </c>
      <c r="AM324" s="0" t="n">
        <f aca="false">W_PH(AM$2,$A324)</f>
        <v>2877.73823360034</v>
      </c>
      <c r="AN324" s="0" t="n">
        <f aca="false">W_PH(AN$2,$A324)</f>
        <v>2879.45567371081</v>
      </c>
      <c r="AO324" s="0" t="n">
        <f aca="false">W_PH(AO$2,$A324)</f>
        <v>2881.21626206195</v>
      </c>
      <c r="AP324" s="0" t="n">
        <f aca="false">W_PH(AP$2,$A324)</f>
        <v>2015</v>
      </c>
      <c r="AQ324" s="0" t="n">
        <f aca="false">W_PH(AQ$2,$A324)</f>
        <v>2015</v>
      </c>
      <c r="AR324" s="0" t="n">
        <f aca="false">W_PH(AR$2,$A324)</f>
        <v>2015</v>
      </c>
      <c r="AS324" s="0" t="n">
        <f aca="false">W_PH(AS$2,$A324)</f>
        <v>2015</v>
      </c>
    </row>
    <row r="325" customFormat="false" ht="12.8" hidden="false" customHeight="false" outlineLevel="0" collapsed="false">
      <c r="A325" s="0" t="n">
        <v>2085.12467755804</v>
      </c>
      <c r="B325" s="0" t="n">
        <f aca="false">W_PH(B$2,$A325)</f>
        <v>2015</v>
      </c>
      <c r="C325" s="0" t="n">
        <f aca="false">W_PH(C$2,$A325)</f>
        <v>2870.42690501914</v>
      </c>
      <c r="D325" s="0" t="n">
        <f aca="false">W_PH(D$2,$A325)</f>
        <v>2870.42706076006</v>
      </c>
      <c r="E325" s="0" t="n">
        <f aca="false">W_PH(E$2,$A325)</f>
        <v>2870.42721650108</v>
      </c>
      <c r="F325" s="0" t="n">
        <f aca="false">W_PH(F$2,$A325)</f>
        <v>2870.42737224219</v>
      </c>
      <c r="G325" s="0" t="n">
        <f aca="false">W_PH(G$2,$A325)</f>
        <v>2870.42891213283</v>
      </c>
      <c r="H325" s="0" t="n">
        <f aca="false">W_PH(H$2,$A325)</f>
        <v>2870.43046079607</v>
      </c>
      <c r="I325" s="0" t="n">
        <f aca="false">W_PH(I$2,$A325)</f>
        <v>2870.432000706</v>
      </c>
      <c r="J325" s="0" t="n">
        <f aca="false">W_PH(J$2,$A325)</f>
        <v>2870.43354938862</v>
      </c>
      <c r="K325" s="0" t="n">
        <f aca="false">W_PH(K$2,$A325)</f>
        <v>2870.43509808096</v>
      </c>
      <c r="L325" s="0" t="n">
        <f aca="false">W_PH(L$2,$A325)</f>
        <v>2870.43663801988</v>
      </c>
      <c r="M325" s="0" t="n">
        <f aca="false">W_PH(M$2,$A325)</f>
        <v>2870.43818673162</v>
      </c>
      <c r="N325" s="0" t="n">
        <f aca="false">W_PH(N$2,$A325)</f>
        <v>2870.43972668989</v>
      </c>
      <c r="O325" s="0" t="n">
        <f aca="false">W_PH(O$2,$A325)</f>
        <v>2870.44127542105</v>
      </c>
      <c r="P325" s="0" t="n">
        <f aca="false">W_PH(P$2,$A325)</f>
        <v>2870.45671945107</v>
      </c>
      <c r="Q325" s="0" t="n">
        <f aca="false">W_PH(Q$2,$A325)</f>
        <v>2870.47217322005</v>
      </c>
      <c r="R325" s="0" t="n">
        <f aca="false">W_PH(R$2,$A325)</f>
        <v>2870.48761920526</v>
      </c>
      <c r="S325" s="0" t="n">
        <f aca="false">W_PH(S$2,$A325)</f>
        <v>2870.50307493983</v>
      </c>
      <c r="T325" s="0" t="n">
        <f aca="false">W_PH(T$2,$A325)</f>
        <v>2870.5185228996</v>
      </c>
      <c r="U325" s="0" t="n">
        <f aca="false">W_PH(U$2,$A325)</f>
        <v>2870.53398061913</v>
      </c>
      <c r="V325" s="0" t="n">
        <f aca="false">W_PH(V$2,$A325)</f>
        <v>2870.54943057283</v>
      </c>
      <c r="W325" s="0" t="n">
        <f aca="false">W_PH(W$2,$A325)</f>
        <v>2870.56488153056</v>
      </c>
      <c r="X325" s="0" t="n">
        <f aca="false">W_PH(X$2,$A325)</f>
        <v>2870.58034226367</v>
      </c>
      <c r="Y325" s="0" t="n">
        <f aca="false">W_PH(Y$2,$A325)</f>
        <v>2870.73492725716</v>
      </c>
      <c r="Z325" s="0" t="n">
        <f aca="false">W_PH(Z$2,$A325)</f>
        <v>2870.88958776196</v>
      </c>
      <c r="AA325" s="0" t="n">
        <f aca="false">W_PH(AA$2,$A325)</f>
        <v>2871.04433296619</v>
      </c>
      <c r="AB325" s="0" t="n">
        <f aca="false">W_PH(AB$2,$A325)</f>
        <v>2871.19915889156</v>
      </c>
      <c r="AC325" s="0" t="n">
        <f aca="false">W_PH(AC$2,$A325)</f>
        <v>2871.35407911212</v>
      </c>
      <c r="AD325" s="0" t="n">
        <f aca="false">W_PH(AD$2,$A325)</f>
        <v>2871.50909403194</v>
      </c>
      <c r="AE325" s="0" t="n">
        <f aca="false">W_PH(AE$2,$A325)</f>
        <v>2871.66420404562</v>
      </c>
      <c r="AF325" s="0" t="n">
        <f aca="false">W_PH(AF$2,$A325)</f>
        <v>2871.81942273127</v>
      </c>
      <c r="AG325" s="0" t="n">
        <f aca="false">W_PH(AG$2,$A325)</f>
        <v>2871.9747460814</v>
      </c>
      <c r="AH325" s="0" t="n">
        <f aca="false">W_PH(AH$2,$A325)</f>
        <v>2873.53495413944</v>
      </c>
      <c r="AI325" s="0" t="n">
        <f aca="false">W_PH(AI$2,$A325)</f>
        <v>2875.11101429957</v>
      </c>
      <c r="AJ325" s="0" t="n">
        <f aca="false">W_PH(AJ$2,$A325)</f>
        <v>2876.7074683695</v>
      </c>
      <c r="AK325" s="0" t="n">
        <f aca="false">W_PH(AK$2,$A325)</f>
        <v>2878.32883431887</v>
      </c>
      <c r="AL325" s="0" t="n">
        <f aca="false">W_PH(AL$2,$A325)</f>
        <v>2879.97960280151</v>
      </c>
      <c r="AM325" s="0" t="n">
        <f aca="false">W_PH(AM$2,$A325)</f>
        <v>2881.66426072249</v>
      </c>
      <c r="AN325" s="0" t="n">
        <f aca="false">W_PH(AN$2,$A325)</f>
        <v>2883.38726570763</v>
      </c>
      <c r="AO325" s="0" t="n">
        <f aca="false">W_PH(AO$2,$A325)</f>
        <v>2885.15306545375</v>
      </c>
      <c r="AP325" s="0" t="n">
        <f aca="false">W_PH(AP$2,$A325)</f>
        <v>2015</v>
      </c>
      <c r="AQ325" s="0" t="n">
        <f aca="false">W_PH(AQ$2,$A325)</f>
        <v>2015</v>
      </c>
      <c r="AR325" s="0" t="n">
        <f aca="false">W_PH(AR$2,$A325)</f>
        <v>2015</v>
      </c>
      <c r="AS325" s="0" t="n">
        <f aca="false">W_PH(AS$2,$A325)</f>
        <v>2015</v>
      </c>
    </row>
    <row r="326" customFormat="false" ht="12.8" hidden="false" customHeight="false" outlineLevel="0" collapsed="false">
      <c r="A326" s="0" t="n">
        <v>2089.42390369733</v>
      </c>
      <c r="B326" s="0" t="n">
        <f aca="false">W_PH(B$2,$A326)</f>
        <v>2015</v>
      </c>
      <c r="C326" s="0" t="n">
        <f aca="false">W_PH(C$2,$A326)</f>
        <v>2874.29724138418</v>
      </c>
      <c r="D326" s="0" t="n">
        <f aca="false">W_PH(D$2,$A326)</f>
        <v>2874.29739870871</v>
      </c>
      <c r="E326" s="0" t="n">
        <f aca="false">W_PH(E$2,$A326)</f>
        <v>2874.29755603334</v>
      </c>
      <c r="F326" s="0" t="n">
        <f aca="false">W_PH(F$2,$A326)</f>
        <v>2874.29770898284</v>
      </c>
      <c r="G326" s="0" t="n">
        <f aca="false">W_PH(G$2,$A326)</f>
        <v>2874.29926035922</v>
      </c>
      <c r="H326" s="0" t="n">
        <f aca="false">W_PH(H$2,$A326)</f>
        <v>2874.30081612034</v>
      </c>
      <c r="I326" s="0" t="n">
        <f aca="false">W_PH(I$2,$A326)</f>
        <v>2874.30236314047</v>
      </c>
      <c r="J326" s="0" t="n">
        <f aca="false">W_PH(J$2,$A326)</f>
        <v>2874.30391892064</v>
      </c>
      <c r="K326" s="0" t="n">
        <f aca="false">W_PH(K$2,$A326)</f>
        <v>2874.30546595976</v>
      </c>
      <c r="L326" s="0" t="n">
        <f aca="false">W_PH(L$2,$A326)</f>
        <v>2874.307021759</v>
      </c>
      <c r="M326" s="0" t="n">
        <f aca="false">W_PH(M$2,$A326)</f>
        <v>2874.30857319246</v>
      </c>
      <c r="N326" s="0" t="n">
        <f aca="false">W_PH(N$2,$A326)</f>
        <v>2874.31012463545</v>
      </c>
      <c r="O326" s="0" t="n">
        <f aca="false">W_PH(O$2,$A326)</f>
        <v>2874.31168046335</v>
      </c>
      <c r="P326" s="0" t="n">
        <f aca="false">W_PH(P$2,$A326)</f>
        <v>2874.32719551417</v>
      </c>
      <c r="Q326" s="0" t="n">
        <f aca="false">W_PH(Q$2,$A326)</f>
        <v>2874.34272027509</v>
      </c>
      <c r="R326" s="0" t="n">
        <f aca="false">W_PH(R$2,$A326)</f>
        <v>2874.35824162426</v>
      </c>
      <c r="S326" s="0" t="n">
        <f aca="false">W_PH(S$2,$A326)</f>
        <v>2874.37376394204</v>
      </c>
      <c r="T326" s="0" t="n">
        <f aca="false">W_PH(T$2,$A326)</f>
        <v>2874.3892916095</v>
      </c>
      <c r="U326" s="0" t="n">
        <f aca="false">W_PH(U$2,$A326)</f>
        <v>2874.40481150265</v>
      </c>
      <c r="V326" s="0" t="n">
        <f aca="false">W_PH(V$2,$A326)</f>
        <v>2874.4203367551</v>
      </c>
      <c r="W326" s="0" t="n">
        <f aca="false">W_PH(W$2,$A326)</f>
        <v>2874.43586299538</v>
      </c>
      <c r="X326" s="0" t="n">
        <f aca="false">W_PH(X$2,$A326)</f>
        <v>2874.45138585132</v>
      </c>
      <c r="Y326" s="0" t="n">
        <f aca="false">W_PH(Y$2,$A326)</f>
        <v>2874.60668755878</v>
      </c>
      <c r="Z326" s="0" t="n">
        <f aca="false">W_PH(Z$2,$A326)</f>
        <v>2874.76206751108</v>
      </c>
      <c r="AA326" s="0" t="n">
        <f aca="false">W_PH(AA$2,$A326)</f>
        <v>2874.91752171413</v>
      </c>
      <c r="AB326" s="0" t="n">
        <f aca="false">W_PH(AB$2,$A326)</f>
        <v>2875.07306369377</v>
      </c>
      <c r="AC326" s="0" t="n">
        <f aca="false">W_PH(AC$2,$A326)</f>
        <v>2875.22869383026</v>
      </c>
      <c r="AD326" s="0" t="n">
        <f aca="false">W_PH(AD$2,$A326)</f>
        <v>2875.38441688216</v>
      </c>
      <c r="AE326" s="0" t="n">
        <f aca="false">W_PH(AE$2,$A326)</f>
        <v>2875.54023760589</v>
      </c>
      <c r="AF326" s="0" t="n">
        <f aca="false">W_PH(AF$2,$A326)</f>
        <v>2875.69616075563</v>
      </c>
      <c r="AG326" s="0" t="n">
        <f aca="false">W_PH(AG$2,$A326)</f>
        <v>2875.85219108342</v>
      </c>
      <c r="AH326" s="0" t="n">
        <f aca="false">W_PH(AH$2,$A326)</f>
        <v>2877.41938012447</v>
      </c>
      <c r="AI326" s="0" t="n">
        <f aca="false">W_PH(AI$2,$A326)</f>
        <v>2879.00224542166</v>
      </c>
      <c r="AJ326" s="0" t="n">
        <f aca="false">W_PH(AJ$2,$A326)</f>
        <v>2880.60530104117</v>
      </c>
      <c r="AK326" s="0" t="n">
        <f aca="false">W_PH(AK$2,$A326)</f>
        <v>2882.23303332962</v>
      </c>
      <c r="AL326" s="0" t="n">
        <f aca="false">W_PH(AL$2,$A326)</f>
        <v>2883.88990629459</v>
      </c>
      <c r="AM326" s="0" t="n">
        <f aca="false">W_PH(AM$2,$A326)</f>
        <v>2885.58037170702</v>
      </c>
      <c r="AN326" s="0" t="n">
        <f aca="false">W_PH(AN$2,$A326)</f>
        <v>2887.30887049494</v>
      </c>
      <c r="AO326" s="0" t="n">
        <f aca="false">W_PH(AO$2,$A326)</f>
        <v>2889.07980708306</v>
      </c>
      <c r="AP326" s="0" t="n">
        <f aca="false">W_PH(AP$2,$A326)</f>
        <v>2015</v>
      </c>
      <c r="AQ326" s="0" t="n">
        <f aca="false">W_PH(AQ$2,$A326)</f>
        <v>2015</v>
      </c>
      <c r="AR326" s="0" t="n">
        <f aca="false">W_PH(AR$2,$A326)</f>
        <v>2015</v>
      </c>
      <c r="AS326" s="0" t="n">
        <f aca="false">W_PH(AS$2,$A326)</f>
        <v>2015</v>
      </c>
    </row>
    <row r="327" customFormat="false" ht="12.8" hidden="false" customHeight="false" outlineLevel="0" collapsed="false">
      <c r="A327" s="0" t="n">
        <v>2093.72312983663</v>
      </c>
      <c r="B327" s="0" t="n">
        <f aca="false">W_PH(B$2,$A327)</f>
        <v>2015</v>
      </c>
      <c r="C327" s="0" t="n">
        <f aca="false">W_PH(C$2,$A327)</f>
        <v>2878.15836188267</v>
      </c>
      <c r="D327" s="0" t="n">
        <f aca="false">W_PH(D$2,$A327)</f>
        <v>2878.15851640011</v>
      </c>
      <c r="E327" s="0" t="n">
        <f aca="false">W_PH(E$2,$A327)</f>
        <v>2878.15867091765</v>
      </c>
      <c r="F327" s="0" t="n">
        <f aca="false">W_PH(F$2,$A327)</f>
        <v>2878.1588298043</v>
      </c>
      <c r="G327" s="0" t="n">
        <f aca="false">W_PH(G$2,$A327)</f>
        <v>2878.1603880928</v>
      </c>
      <c r="H327" s="0" t="n">
        <f aca="false">W_PH(H$2,$A327)</f>
        <v>2878.16194639064</v>
      </c>
      <c r="I327" s="0" t="n">
        <f aca="false">W_PH(I$2,$A327)</f>
        <v>2878.16350906689</v>
      </c>
      <c r="J327" s="0" t="n">
        <f aca="false">W_PH(J$2,$A327)</f>
        <v>2878.16506301435</v>
      </c>
      <c r="K327" s="0" t="n">
        <f aca="false">W_PH(K$2,$A327)</f>
        <v>2878.16662570934</v>
      </c>
      <c r="L327" s="0" t="n">
        <f aca="false">W_PH(L$2,$A327)</f>
        <v>2878.16817967548</v>
      </c>
      <c r="M327" s="0" t="n">
        <f aca="false">W_PH(M$2,$A327)</f>
        <v>2878.16974238923</v>
      </c>
      <c r="N327" s="0" t="n">
        <f aca="false">W_PH(N$2,$A327)</f>
        <v>2878.17130511238</v>
      </c>
      <c r="O327" s="0" t="n">
        <f aca="false">W_PH(O$2,$A327)</f>
        <v>2878.17285910659</v>
      </c>
      <c r="P327" s="0" t="n">
        <f aca="false">W_PH(P$2,$A327)</f>
        <v>2878.1884519955</v>
      </c>
      <c r="Q327" s="0" t="n">
        <f aca="false">W_PH(Q$2,$A327)</f>
        <v>2878.20404582765</v>
      </c>
      <c r="R327" s="0" t="n">
        <f aca="false">W_PH(R$2,$A327)</f>
        <v>2878.2196406078</v>
      </c>
      <c r="S327" s="0" t="n">
        <f aca="false">W_PH(S$2,$A327)</f>
        <v>2878.23522760097</v>
      </c>
      <c r="T327" s="0" t="n">
        <f aca="false">W_PH(T$2,$A327)</f>
        <v>2878.2508242911</v>
      </c>
      <c r="U327" s="0" t="n">
        <f aca="false">W_PH(U$2,$A327)</f>
        <v>2878.26642194355</v>
      </c>
      <c r="V327" s="0" t="n">
        <f aca="false">W_PH(V$2,$A327)</f>
        <v>2878.28201182229</v>
      </c>
      <c r="W327" s="0" t="n">
        <f aca="false">W_PH(W$2,$A327)</f>
        <v>2878.29761141335</v>
      </c>
      <c r="X327" s="0" t="n">
        <f aca="false">W_PH(X$2,$A327)</f>
        <v>2878.3132076103</v>
      </c>
      <c r="Y327" s="0" t="n">
        <f aca="false">W_PH(Y$2,$A327)</f>
        <v>2878.46921558017</v>
      </c>
      <c r="Z327" s="0" t="n">
        <f aca="false">W_PH(Z$2,$A327)</f>
        <v>2878.62529579923</v>
      </c>
      <c r="AA327" s="0" t="n">
        <f aca="false">W_PH(AA$2,$A327)</f>
        <v>2878.7814573748</v>
      </c>
      <c r="AB327" s="0" t="n">
        <f aca="false">W_PH(AB$2,$A327)</f>
        <v>2878.9377050413</v>
      </c>
      <c r="AC327" s="0" t="n">
        <f aca="false">W_PH(AC$2,$A327)</f>
        <v>2879.09403039232</v>
      </c>
      <c r="AD327" s="0" t="n">
        <f aca="false">W_PH(AD$2,$A327)</f>
        <v>2879.25045566741</v>
      </c>
      <c r="AE327" s="0" t="n">
        <f aca="false">W_PH(AE$2,$A327)</f>
        <v>2879.40697245059</v>
      </c>
      <c r="AF327" s="0" t="n">
        <f aca="false">W_PH(AF$2,$A327)</f>
        <v>2879.56359861162</v>
      </c>
      <c r="AG327" s="0" t="n">
        <f aca="false">W_PH(AG$2,$A327)</f>
        <v>2879.72032571974</v>
      </c>
      <c r="AH327" s="0" t="n">
        <f aca="false">W_PH(AH$2,$A327)</f>
        <v>2881.29438686645</v>
      </c>
      <c r="AI327" s="0" t="n">
        <f aca="false">W_PH(AI$2,$A327)</f>
        <v>2882.88396971518</v>
      </c>
      <c r="AJ327" s="0" t="n">
        <f aca="false">W_PH(AJ$2,$A327)</f>
        <v>2884.49353448437</v>
      </c>
      <c r="AK327" s="0" t="n">
        <f aca="false">W_PH(AK$2,$A327)</f>
        <v>2886.12754947973</v>
      </c>
      <c r="AL327" s="0" t="n">
        <f aca="false">W_PH(AL$2,$A327)</f>
        <v>2887.79044346191</v>
      </c>
      <c r="AM327" s="0" t="n">
        <f aca="false">W_PH(AM$2,$A327)</f>
        <v>2889.4866512811</v>
      </c>
      <c r="AN327" s="0" t="n">
        <f aca="false">W_PH(AN$2,$A327)</f>
        <v>2891.2205615214</v>
      </c>
      <c r="AO327" s="0" t="n">
        <f aca="false">W_PH(AO$2,$A327)</f>
        <v>2892.99656705662</v>
      </c>
      <c r="AP327" s="0" t="n">
        <f aca="false">W_PH(AP$2,$A327)</f>
        <v>2015</v>
      </c>
      <c r="AQ327" s="0" t="n">
        <f aca="false">W_PH(AQ$2,$A327)</f>
        <v>2015</v>
      </c>
      <c r="AR327" s="0" t="n">
        <f aca="false">W_PH(AR$2,$A327)</f>
        <v>2015</v>
      </c>
      <c r="AS327" s="0" t="n">
        <f aca="false">W_PH(AS$2,$A327)</f>
        <v>2015</v>
      </c>
    </row>
    <row r="328" customFormat="false" ht="12.8" hidden="false" customHeight="false" outlineLevel="0" collapsed="false">
      <c r="A328" s="0" t="n">
        <v>2098.02235597592</v>
      </c>
      <c r="B328" s="0" t="n">
        <f aca="false">W_PH(B$2,$A328)</f>
        <v>2015</v>
      </c>
      <c r="C328" s="0" t="n">
        <f aca="false">W_PH(C$2,$A328)</f>
        <v>2882.0103238299</v>
      </c>
      <c r="D328" s="0" t="n">
        <f aca="false">W_PH(D$2,$A328)</f>
        <v>2882.01048425694</v>
      </c>
      <c r="E328" s="0" t="n">
        <f aca="false">W_PH(E$2,$A328)</f>
        <v>2882.01064032122</v>
      </c>
      <c r="F328" s="0" t="n">
        <f aca="false">W_PH(F$2,$A328)</f>
        <v>2882.01079638559</v>
      </c>
      <c r="G328" s="0" t="n">
        <f aca="false">W_PH(G$2,$A328)</f>
        <v>2882.01236576008</v>
      </c>
      <c r="H328" s="0" t="n">
        <f aca="false">W_PH(H$2,$A328)</f>
        <v>2882.013926418</v>
      </c>
      <c r="I328" s="0" t="n">
        <f aca="false">W_PH(I$2,$A328)</f>
        <v>2882.0154958109</v>
      </c>
      <c r="J328" s="0" t="n">
        <f aca="false">W_PH(J$2,$A328)</f>
        <v>2882.01706085009</v>
      </c>
      <c r="K328" s="0" t="n">
        <f aca="false">W_PH(K$2,$A328)</f>
        <v>2882.01862589847</v>
      </c>
      <c r="L328" s="0" t="n">
        <f aca="false">W_PH(L$2,$A328)</f>
        <v>2882.02019531902</v>
      </c>
      <c r="M328" s="0" t="n">
        <f aca="false">W_PH(M$2,$A328)</f>
        <v>2882.02175602285</v>
      </c>
      <c r="N328" s="0" t="n">
        <f aca="false">W_PH(N$2,$A328)</f>
        <v>2882.02332546185</v>
      </c>
      <c r="O328" s="0" t="n">
        <f aca="false">W_PH(O$2,$A328)</f>
        <v>2882.0248949101</v>
      </c>
      <c r="P328" s="0" t="n">
        <f aca="false">W_PH(P$2,$A328)</f>
        <v>2882.04055499683</v>
      </c>
      <c r="Q328" s="0" t="n">
        <f aca="false">W_PH(Q$2,$A328)</f>
        <v>2882.05621601091</v>
      </c>
      <c r="R328" s="0" t="n">
        <f aca="false">W_PH(R$2,$A328)</f>
        <v>2882.07187795709</v>
      </c>
      <c r="S328" s="0" t="n">
        <f aca="false">W_PH(S$2,$A328)</f>
        <v>2882.08754084011</v>
      </c>
      <c r="T328" s="0" t="n">
        <f aca="false">W_PH(T$2,$A328)</f>
        <v>2882.10320466469</v>
      </c>
      <c r="U328" s="0" t="n">
        <f aca="false">W_PH(U$2,$A328)</f>
        <v>2882.1188694356</v>
      </c>
      <c r="V328" s="0" t="n">
        <f aca="false">W_PH(V$2,$A328)</f>
        <v>2882.13453515755</v>
      </c>
      <c r="W328" s="0" t="n">
        <f aca="false">W_PH(W$2,$A328)</f>
        <v>2882.15020183529</v>
      </c>
      <c r="X328" s="0" t="n">
        <f aca="false">W_PH(X$2,$A328)</f>
        <v>2882.16586947355</v>
      </c>
      <c r="Y328" s="0" t="n">
        <f aca="false">W_PH(Y$2,$A328)</f>
        <v>2882.32257352939</v>
      </c>
      <c r="Z328" s="0" t="n">
        <f aca="false">W_PH(Z$2,$A328)</f>
        <v>2882.47934825054</v>
      </c>
      <c r="AA328" s="0" t="n">
        <f aca="false">W_PH(AA$2,$A328)</f>
        <v>2882.63620270458</v>
      </c>
      <c r="AB328" s="0" t="n">
        <f aca="false">W_PH(AB$2,$A328)</f>
        <v>2882.79313722082</v>
      </c>
      <c r="AC328" s="0" t="n">
        <f aca="false">W_PH(AC$2,$A328)</f>
        <v>2882.95016086612</v>
      </c>
      <c r="AD328" s="0" t="n">
        <f aca="false">W_PH(AD$2,$A328)</f>
        <v>2883.10727833711</v>
      </c>
      <c r="AE328" s="0" t="n">
        <f aca="false">W_PH(AE$2,$A328)</f>
        <v>2883.2644855749</v>
      </c>
      <c r="AF328" s="0" t="n">
        <f aca="false">W_PH(AF$2,$A328)</f>
        <v>2883.42179601849</v>
      </c>
      <c r="AG328" s="0" t="n">
        <f aca="false">W_PH(AG$2,$A328)</f>
        <v>2883.5792055979</v>
      </c>
      <c r="AH328" s="0" t="n">
        <f aca="false">W_PH(AH$2,$A328)</f>
        <v>2885.16006342668</v>
      </c>
      <c r="AI328" s="0" t="n">
        <f aca="false">W_PH(AI$2,$A328)</f>
        <v>2886.75626122874</v>
      </c>
      <c r="AJ328" s="0" t="n">
        <f aca="false">W_PH(AJ$2,$A328)</f>
        <v>2888.37225415447</v>
      </c>
      <c r="AK328" s="0" t="n">
        <f aca="false">W_PH(AK$2,$A328)</f>
        <v>2890.01246625553</v>
      </c>
      <c r="AL328" s="0" t="n">
        <f aca="false">W_PH(AL$2,$A328)</f>
        <v>2891.68130912023</v>
      </c>
      <c r="AM328" s="0" t="n">
        <f aca="false">W_PH(AM$2,$A328)</f>
        <v>2893.38316518007</v>
      </c>
      <c r="AN328" s="0" t="n">
        <f aca="false">W_PH(AN$2,$A328)</f>
        <v>2895.1224247</v>
      </c>
      <c r="AO328" s="0" t="n">
        <f aca="false">W_PH(AO$2,$A328)</f>
        <v>2896.90343340597</v>
      </c>
      <c r="AP328" s="0" t="n">
        <f aca="false">W_PH(AP$2,$A328)</f>
        <v>2015</v>
      </c>
      <c r="AQ328" s="0" t="n">
        <f aca="false">W_PH(AQ$2,$A328)</f>
        <v>2015</v>
      </c>
      <c r="AR328" s="0" t="n">
        <f aca="false">W_PH(AR$2,$A328)</f>
        <v>2015</v>
      </c>
      <c r="AS328" s="0" t="n">
        <f aca="false">W_PH(AS$2,$A328)</f>
        <v>2015</v>
      </c>
    </row>
    <row r="329" customFormat="false" ht="12.8" hidden="false" customHeight="false" outlineLevel="0" collapsed="false">
      <c r="A329" s="0" t="n">
        <v>2102.32158211522</v>
      </c>
      <c r="B329" s="0" t="n">
        <f aca="false">W_PH(B$2,$A329)</f>
        <v>2015</v>
      </c>
      <c r="C329" s="0" t="n">
        <f aca="false">W_PH(C$2,$A329)</f>
        <v>2885.85321003405</v>
      </c>
      <c r="D329" s="0" t="n">
        <f aca="false">W_PH(D$2,$A329)</f>
        <v>2885.85336326719</v>
      </c>
      <c r="E329" s="0" t="n">
        <f aca="false">W_PH(E$2,$A329)</f>
        <v>2885.85352521391</v>
      </c>
      <c r="F329" s="0" t="n">
        <f aca="false">W_PH(F$2,$A329)</f>
        <v>2885.85367844722</v>
      </c>
      <c r="G329" s="0" t="n">
        <f aca="false">W_PH(G$2,$A329)</f>
        <v>2885.85525435281</v>
      </c>
      <c r="H329" s="0" t="n">
        <f aca="false">W_PH(H$2,$A329)</f>
        <v>2885.85683026745</v>
      </c>
      <c r="I329" s="0" t="n">
        <f aca="false">W_PH(I$2,$A329)</f>
        <v>2885.85839747757</v>
      </c>
      <c r="J329" s="0" t="n">
        <f aca="false">W_PH(J$2,$A329)</f>
        <v>2885.85997341031</v>
      </c>
      <c r="K329" s="0" t="n">
        <f aca="false">W_PH(K$2,$A329)</f>
        <v>2885.86154935213</v>
      </c>
      <c r="L329" s="0" t="n">
        <f aca="false">W_PH(L$2,$A329)</f>
        <v>2885.86311658933</v>
      </c>
      <c r="M329" s="0" t="n">
        <f aca="false">W_PH(M$2,$A329)</f>
        <v>2885.86469254927</v>
      </c>
      <c r="N329" s="0" t="n">
        <f aca="false">W_PH(N$2,$A329)</f>
        <v>2885.86626416143</v>
      </c>
      <c r="O329" s="0" t="n">
        <f aca="false">W_PH(O$2,$A329)</f>
        <v>2885.86783578264</v>
      </c>
      <c r="P329" s="0" t="n">
        <f aca="false">W_PH(P$2,$A329)</f>
        <v>2885.88356992228</v>
      </c>
      <c r="Q329" s="0" t="n">
        <f aca="false">W_PH(Q$2,$A329)</f>
        <v>2885.89929625985</v>
      </c>
      <c r="R329" s="0" t="n">
        <f aca="false">W_PH(R$2,$A329)</f>
        <v>2885.91503222867</v>
      </c>
      <c r="S329" s="0" t="n">
        <f aca="false">W_PH(S$2,$A329)</f>
        <v>2885.93076040414</v>
      </c>
      <c r="T329" s="0" t="n">
        <f aca="false">W_PH(T$2,$A329)</f>
        <v>2885.94649822096</v>
      </c>
      <c r="U329" s="0" t="n">
        <f aca="false">W_PH(U$2,$A329)</f>
        <v>2885.96222825316</v>
      </c>
      <c r="V329" s="0" t="n">
        <f aca="false">W_PH(V$2,$A329)</f>
        <v>2885.9779592206</v>
      </c>
      <c r="W329" s="0" t="n">
        <f aca="false">W_PH(W$2,$A329)</f>
        <v>2885.99369984454</v>
      </c>
      <c r="X329" s="0" t="n">
        <f aca="false">W_PH(X$2,$A329)</f>
        <v>2886.00943269692</v>
      </c>
      <c r="Y329" s="0" t="n">
        <f aca="false">W_PH(Y$2,$A329)</f>
        <v>2886.1668229319</v>
      </c>
      <c r="Z329" s="0" t="n">
        <f aca="false">W_PH(Z$2,$A329)</f>
        <v>2886.32428664089</v>
      </c>
      <c r="AA329" s="0" t="n">
        <f aca="false">W_PH(AA$2,$A329)</f>
        <v>2886.48182849365</v>
      </c>
      <c r="AB329" s="0" t="n">
        <f aca="false">W_PH(AB$2,$A329)</f>
        <v>2886.63944442724</v>
      </c>
      <c r="AC329" s="0" t="n">
        <f aca="false">W_PH(AC$2,$A329)</f>
        <v>2886.79714783106</v>
      </c>
      <c r="AD329" s="0" t="n">
        <f aca="false">W_PH(AD$2,$A329)</f>
        <v>2886.95494336868</v>
      </c>
      <c r="AE329" s="0" t="n">
        <f aca="false">W_PH(AE$2,$A329)</f>
        <v>2887.11283570164</v>
      </c>
      <c r="AF329" s="0" t="n">
        <f aca="false">W_PH(AF$2,$A329)</f>
        <v>2887.27082074509</v>
      </c>
      <c r="AG329" s="0" t="n">
        <f aca="false">W_PH(AG$2,$A329)</f>
        <v>2887.42891189398</v>
      </c>
      <c r="AH329" s="0" t="n">
        <f aca="false">W_PH(AH$2,$A329)</f>
        <v>2889.01646283024</v>
      </c>
      <c r="AI329" s="0" t="n">
        <f aca="false">W_PH(AI$2,$A329)</f>
        <v>2890.61920197005</v>
      </c>
      <c r="AJ329" s="0" t="n">
        <f aca="false">W_PH(AJ$2,$A329)</f>
        <v>2892.24153127081</v>
      </c>
      <c r="AK329" s="0" t="n">
        <f aca="false">W_PH(AK$2,$A329)</f>
        <v>2893.88785727658</v>
      </c>
      <c r="AL329" s="0" t="n">
        <f aca="false">W_PH(AL$2,$A329)</f>
        <v>2895.56256579526</v>
      </c>
      <c r="AM329" s="0" t="n">
        <f aca="false">W_PH(AM$2,$A329)</f>
        <v>2897.2700050456</v>
      </c>
      <c r="AN329" s="0" t="n">
        <f aca="false">W_PH(AN$2,$A329)</f>
        <v>2899.0145313834</v>
      </c>
      <c r="AO329" s="0" t="n">
        <f aca="false">W_PH(AO$2,$A329)</f>
        <v>2900.80047501069</v>
      </c>
      <c r="AP329" s="0" t="n">
        <f aca="false">W_PH(AP$2,$A329)</f>
        <v>2015</v>
      </c>
      <c r="AQ329" s="0" t="n">
        <f aca="false">W_PH(AQ$2,$A329)</f>
        <v>2015</v>
      </c>
      <c r="AR329" s="0" t="n">
        <f aca="false">W_PH(AR$2,$A329)</f>
        <v>2015</v>
      </c>
      <c r="AS329" s="0" t="n">
        <f aca="false">W_PH(AS$2,$A329)</f>
        <v>2015</v>
      </c>
    </row>
    <row r="330" customFormat="false" ht="12.8" hidden="false" customHeight="false" outlineLevel="0" collapsed="false">
      <c r="A330" s="0" t="n">
        <v>2106.62080825451</v>
      </c>
      <c r="B330" s="0" t="n">
        <f aca="false">W_PH(B$2,$A330)</f>
        <v>2015</v>
      </c>
      <c r="C330" s="0" t="n">
        <f aca="false">W_PH(C$2,$A330)</f>
        <v>2889.68707641717</v>
      </c>
      <c r="D330" s="0" t="n">
        <f aca="false">W_PH(D$2,$A330)</f>
        <v>2889.68723116136</v>
      </c>
      <c r="E330" s="0" t="n">
        <f aca="false">W_PH(E$2,$A330)</f>
        <v>2889.68739460697</v>
      </c>
      <c r="F330" s="0" t="n">
        <f aca="false">W_PH(F$2,$A330)</f>
        <v>2889.68754935133</v>
      </c>
      <c r="G330" s="0" t="n">
        <f aca="false">W_PH(G$2,$A330)</f>
        <v>2889.6891316052</v>
      </c>
      <c r="H330" s="0" t="n">
        <f aca="false">W_PH(H$2,$A330)</f>
        <v>2889.69070516656</v>
      </c>
      <c r="I330" s="0" t="n">
        <f aca="false">W_PH(I$2,$A330)</f>
        <v>2889.69228743821</v>
      </c>
      <c r="J330" s="0" t="n">
        <f aca="false">W_PH(J$2,$A330)</f>
        <v>2889.69386971877</v>
      </c>
      <c r="K330" s="0" t="n">
        <f aca="false">W_PH(K$2,$A330)</f>
        <v>2889.6954476575</v>
      </c>
      <c r="L330" s="0" t="n">
        <f aca="false">W_PH(L$2,$A330)</f>
        <v>2889.69702560513</v>
      </c>
      <c r="M330" s="0" t="n">
        <f aca="false">W_PH(M$2,$A330)</f>
        <v>2889.69860791243</v>
      </c>
      <c r="N330" s="0" t="n">
        <f aca="false">W_PH(N$2,$A330)</f>
        <v>2889.70019022867</v>
      </c>
      <c r="O330" s="0" t="n">
        <f aca="false">W_PH(O$2,$A330)</f>
        <v>2889.7017638522</v>
      </c>
      <c r="P330" s="0" t="n">
        <f aca="false">W_PH(P$2,$A330)</f>
        <v>2889.71756149037</v>
      </c>
      <c r="Q330" s="0" t="n">
        <f aca="false">W_PH(Q$2,$A330)</f>
        <v>2889.73336002554</v>
      </c>
      <c r="R330" s="0" t="n">
        <f aca="false">W_PH(R$2,$A330)</f>
        <v>2889.74915946239</v>
      </c>
      <c r="S330" s="0" t="n">
        <f aca="false">W_PH(S$2,$A330)</f>
        <v>2889.76495980557</v>
      </c>
      <c r="T330" s="0" t="n">
        <f aca="false">W_PH(T$2,$A330)</f>
        <v>2889.78076105978</v>
      </c>
      <c r="U330" s="0" t="n">
        <f aca="false">W_PH(U$2,$A330)</f>
        <v>2889.79656322967</v>
      </c>
      <c r="V330" s="0" t="n">
        <f aca="false">W_PH(V$2,$A330)</f>
        <v>2889.81236631992</v>
      </c>
      <c r="W330" s="0" t="n">
        <f aca="false">W_PH(W$2,$A330)</f>
        <v>2889.82817033521</v>
      </c>
      <c r="X330" s="0" t="n">
        <f aca="false">W_PH(X$2,$A330)</f>
        <v>2889.84397528019</v>
      </c>
      <c r="Y330" s="0" t="n">
        <f aca="false">W_PH(Y$2,$A330)</f>
        <v>2890.00204205862</v>
      </c>
      <c r="Z330" s="0" t="n">
        <f aca="false">W_PH(Z$2,$A330)</f>
        <v>2890.16018078185</v>
      </c>
      <c r="AA330" s="0" t="n">
        <f aca="false">W_PH(AA$2,$A330)</f>
        <v>2890.31839608678</v>
      </c>
      <c r="AB330" s="0" t="n">
        <f aca="false">W_PH(AB$2,$A330)</f>
        <v>2890.47669260826</v>
      </c>
      <c r="AC330" s="0" t="n">
        <f aca="false">W_PH(AC$2,$A330)</f>
        <v>2890.63506625748</v>
      </c>
      <c r="AD330" s="0" t="n">
        <f aca="false">W_PH(AD$2,$A330)</f>
        <v>2890.79353910525</v>
      </c>
      <c r="AE330" s="0" t="n">
        <f aca="false">W_PH(AE$2,$A330)</f>
        <v>2890.95209833368</v>
      </c>
      <c r="AF330" s="0" t="n">
        <f aca="false">W_PH(AF$2,$A330)</f>
        <v>2891.1107529254</v>
      </c>
      <c r="AG330" s="0" t="n">
        <f aca="false">W_PH(AG$2,$A330)</f>
        <v>2891.26951186781</v>
      </c>
      <c r="AH330" s="0" t="n">
        <f aca="false">W_PH(AH$2,$A330)</f>
        <v>2892.8636724921</v>
      </c>
      <c r="AI330" s="0" t="n">
        <f aca="false">W_PH(AI$2,$A330)</f>
        <v>2894.47284664615</v>
      </c>
      <c r="AJ330" s="0" t="n">
        <f aca="false">W_PH(AJ$2,$A330)</f>
        <v>2896.10143619024</v>
      </c>
      <c r="AK330" s="0" t="n">
        <f aca="false">W_PH(AK$2,$A330)</f>
        <v>2897.7537952523</v>
      </c>
      <c r="AL330" s="0" t="n">
        <f aca="false">W_PH(AL$2,$A330)</f>
        <v>2899.43428404356</v>
      </c>
      <c r="AM330" s="0" t="n">
        <f aca="false">W_PH(AM$2,$A330)</f>
        <v>2901.14723463659</v>
      </c>
      <c r="AN330" s="0" t="n">
        <f aca="false">W_PH(AN$2,$A330)</f>
        <v>2902.89696090235</v>
      </c>
      <c r="AO330" s="0" t="n">
        <f aca="false">W_PH(AO$2,$A330)</f>
        <v>2904.687773245</v>
      </c>
      <c r="AP330" s="0" t="n">
        <f aca="false">W_PH(AP$2,$A330)</f>
        <v>2015</v>
      </c>
      <c r="AQ330" s="0" t="n">
        <f aca="false">W_PH(AQ$2,$A330)</f>
        <v>2015</v>
      </c>
      <c r="AR330" s="0" t="n">
        <f aca="false">W_PH(AR$2,$A330)</f>
        <v>2015</v>
      </c>
      <c r="AS330" s="0" t="n">
        <f aca="false">W_PH(AS$2,$A330)</f>
        <v>2015</v>
      </c>
    </row>
    <row r="331" customFormat="false" ht="12.8" hidden="false" customHeight="false" outlineLevel="0" collapsed="false">
      <c r="A331" s="0" t="n">
        <v>2110.92003439381</v>
      </c>
      <c r="B331" s="0" t="n">
        <f aca="false">W_PH(B$2,$A331)</f>
        <v>2015</v>
      </c>
      <c r="C331" s="0" t="n">
        <f aca="false">W_PH(C$2,$A331)</f>
        <v>2893.51198696654</v>
      </c>
      <c r="D331" s="0" t="n">
        <f aca="false">W_PH(D$2,$A331)</f>
        <v>2893.51215189059</v>
      </c>
      <c r="E331" s="0" t="n">
        <f aca="false">W_PH(E$2,$A331)</f>
        <v>2893.51230812547</v>
      </c>
      <c r="F331" s="0" t="n">
        <f aca="false">W_PH(F$2,$A331)</f>
        <v>2893.51246436044</v>
      </c>
      <c r="G331" s="0" t="n">
        <f aca="false">W_PH(G$2,$A331)</f>
        <v>2893.51405278271</v>
      </c>
      <c r="H331" s="0" t="n">
        <f aca="false">W_PH(H$2,$A331)</f>
        <v>2893.51564121374</v>
      </c>
      <c r="I331" s="0" t="n">
        <f aca="false">W_PH(I$2,$A331)</f>
        <v>2893.51722530884</v>
      </c>
      <c r="J331" s="0" t="n">
        <f aca="false">W_PH(J$2,$A331)</f>
        <v>2893.51880941267</v>
      </c>
      <c r="K331" s="0" t="n">
        <f aca="false">W_PH(K$2,$A331)</f>
        <v>2893.52039786996</v>
      </c>
      <c r="L331" s="0" t="n">
        <f aca="false">W_PH(L$2,$A331)</f>
        <v>2893.52198633602</v>
      </c>
      <c r="M331" s="0" t="n">
        <f aca="false">W_PH(M$2,$A331)</f>
        <v>2893.52357481086</v>
      </c>
      <c r="N331" s="0" t="n">
        <f aca="false">W_PH(N$2,$A331)</f>
        <v>2893.52515460493</v>
      </c>
      <c r="O331" s="0" t="n">
        <f aca="false">W_PH(O$2,$A331)</f>
        <v>2893.52674309731</v>
      </c>
      <c r="P331" s="0" t="n">
        <f aca="false">W_PH(P$2,$A331)</f>
        <v>2893.54261112556</v>
      </c>
      <c r="Q331" s="0" t="n">
        <f aca="false">W_PH(Q$2,$A331)</f>
        <v>2893.55847134606</v>
      </c>
      <c r="R331" s="0" t="n">
        <f aca="false">W_PH(R$2,$A331)</f>
        <v>2893.57434114361</v>
      </c>
      <c r="S331" s="0" t="n">
        <f aca="false">W_PH(S$2,$A331)</f>
        <v>2893.59020748748</v>
      </c>
      <c r="T331" s="0" t="n">
        <f aca="false">W_PH(T$2,$A331)</f>
        <v>2893.60607472743</v>
      </c>
      <c r="U331" s="0" t="n">
        <f aca="false">W_PH(U$2,$A331)</f>
        <v>2893.62194721388</v>
      </c>
      <c r="V331" s="0" t="n">
        <f aca="false">W_PH(V$2,$A331)</f>
        <v>2893.6378119141</v>
      </c>
      <c r="W331" s="0" t="n">
        <f aca="false">W_PH(W$2,$A331)</f>
        <v>2893.65368187011</v>
      </c>
      <c r="X331" s="0" t="n">
        <f aca="false">W_PH(X$2,$A331)</f>
        <v>2893.66955274076</v>
      </c>
      <c r="Y331" s="0" t="n">
        <f aca="false">W_PH(Y$2,$A331)</f>
        <v>2893.8282866842</v>
      </c>
      <c r="Z331" s="0" t="n">
        <f aca="false">W_PH(Z$2,$A331)</f>
        <v>2893.98709977213</v>
      </c>
      <c r="AA331" s="0" t="n">
        <f aca="false">W_PH(AA$2,$A331)</f>
        <v>2894.14597921365</v>
      </c>
      <c r="AB331" s="0" t="n">
        <f aca="false">W_PH(AB$2,$A331)</f>
        <v>2894.30493830712</v>
      </c>
      <c r="AC331" s="0" t="n">
        <f aca="false">W_PH(AC$2,$A331)</f>
        <v>2894.46398165295</v>
      </c>
      <c r="AD331" s="0" t="n">
        <f aca="false">W_PH(AD$2,$A331)</f>
        <v>2894.62310949328</v>
      </c>
      <c r="AE331" s="0" t="n">
        <f aca="false">W_PH(AE$2,$A331)</f>
        <v>2894.78233077763</v>
      </c>
      <c r="AF331" s="0" t="n">
        <f aca="false">W_PH(AF$2,$A331)</f>
        <v>2894.94164574088</v>
      </c>
      <c r="AG331" s="0" t="n">
        <f aca="false">W_PH(AG$2,$A331)</f>
        <v>2895.10106769339</v>
      </c>
      <c r="AH331" s="0" t="n">
        <f aca="false">W_PH(AH$2,$A331)</f>
        <v>2896.70174392427</v>
      </c>
      <c r="AI331" s="0" t="n">
        <f aca="false">W_PH(AI$2,$A331)</f>
        <v>2898.31727561189</v>
      </c>
      <c r="AJ331" s="0" t="n">
        <f aca="false">W_PH(AJ$2,$A331)</f>
        <v>2899.95203401233</v>
      </c>
      <c r="AK331" s="0" t="n">
        <f aca="false">W_PH(AK$2,$A331)</f>
        <v>2901.6103475723</v>
      </c>
      <c r="AL331" s="0" t="n">
        <f aca="false">W_PH(AL$2,$A331)</f>
        <v>2903.29654239682</v>
      </c>
      <c r="AM331" s="0" t="n">
        <f aca="false">W_PH(AM$2,$A331)</f>
        <v>2905.01492573488</v>
      </c>
      <c r="AN331" s="0" t="n">
        <f aca="false">W_PH(AN$2,$A331)</f>
        <v>2906.76978708998</v>
      </c>
      <c r="AO331" s="0" t="n">
        <f aca="false">W_PH(AO$2,$A331)</f>
        <v>2908.56539944221</v>
      </c>
      <c r="AP331" s="0" t="n">
        <f aca="false">W_PH(AP$2,$A331)</f>
        <v>2015</v>
      </c>
      <c r="AQ331" s="0" t="n">
        <f aca="false">W_PH(AQ$2,$A331)</f>
        <v>2015</v>
      </c>
      <c r="AR331" s="0" t="n">
        <f aca="false">W_PH(AR$2,$A331)</f>
        <v>2015</v>
      </c>
      <c r="AS331" s="0" t="n">
        <f aca="false">W_PH(AS$2,$A331)</f>
        <v>2015</v>
      </c>
    </row>
    <row r="332" customFormat="false" ht="12.8" hidden="false" customHeight="false" outlineLevel="0" collapsed="false">
      <c r="A332" s="0" t="n">
        <v>2115.2192605331</v>
      </c>
      <c r="B332" s="0" t="n">
        <f aca="false">W_PH(B$2,$A332)</f>
        <v>2015</v>
      </c>
      <c r="C332" s="0" t="n">
        <f aca="false">W_PH(C$2,$A332)</f>
        <v>2897.32802236268</v>
      </c>
      <c r="D332" s="0" t="n">
        <f aca="false">W_PH(D$2,$A332)</f>
        <v>2897.32818006796</v>
      </c>
      <c r="E332" s="0" t="n">
        <f aca="false">W_PH(E$2,$A332)</f>
        <v>2897.32833777331</v>
      </c>
      <c r="F332" s="0" t="n">
        <f aca="false">W_PH(F$2,$A332)</f>
        <v>2897.32849547876</v>
      </c>
      <c r="G332" s="0" t="n">
        <f aca="false">W_PH(G$2,$A332)</f>
        <v>2897.33008989251</v>
      </c>
      <c r="H332" s="0" t="n">
        <f aca="false">W_PH(H$2,$A332)</f>
        <v>2897.33168431486</v>
      </c>
      <c r="I332" s="0" t="n">
        <f aca="false">W_PH(I$2,$A332)</f>
        <v>2897.33327874583</v>
      </c>
      <c r="J332" s="0" t="n">
        <f aca="false">W_PH(J$2,$A332)</f>
        <v>2897.33487318541</v>
      </c>
      <c r="K332" s="0" t="n">
        <f aca="false">W_PH(K$2,$A332)</f>
        <v>2897.33646763361</v>
      </c>
      <c r="L332" s="0" t="n">
        <f aca="false">W_PH(L$2,$A332)</f>
        <v>2897.33805341294</v>
      </c>
      <c r="M332" s="0" t="n">
        <f aca="false">W_PH(M$2,$A332)</f>
        <v>2897.33964787836</v>
      </c>
      <c r="N332" s="0" t="n">
        <f aca="false">W_PH(N$2,$A332)</f>
        <v>2897.34124235241</v>
      </c>
      <c r="O332" s="0" t="n">
        <f aca="false">W_PH(O$2,$A332)</f>
        <v>2897.34283683511</v>
      </c>
      <c r="P332" s="0" t="n">
        <f aca="false">W_PH(P$2,$A332)</f>
        <v>2897.35876478228</v>
      </c>
      <c r="Q332" s="0" t="n">
        <f aca="false">W_PH(Q$2,$A332)</f>
        <v>2897.37470227525</v>
      </c>
      <c r="R332" s="0" t="n">
        <f aca="false">W_PH(R$2,$A332)</f>
        <v>2897.39063196245</v>
      </c>
      <c r="S332" s="0" t="n">
        <f aca="false">W_PH(S$2,$A332)</f>
        <v>2897.40656252641</v>
      </c>
      <c r="T332" s="0" t="n">
        <f aca="false">W_PH(T$2,$A332)</f>
        <v>2897.42249397173</v>
      </c>
      <c r="U332" s="0" t="n">
        <f aca="false">W_PH(U$2,$A332)</f>
        <v>2897.4384349826</v>
      </c>
      <c r="V332" s="0" t="n">
        <f aca="false">W_PH(V$2,$A332)</f>
        <v>2897.4543682048</v>
      </c>
      <c r="W332" s="0" t="n">
        <f aca="false">W_PH(W$2,$A332)</f>
        <v>2897.47030232218</v>
      </c>
      <c r="X332" s="0" t="n">
        <f aca="false">W_PH(X$2,$A332)</f>
        <v>2897.48623733934</v>
      </c>
      <c r="Y332" s="0" t="n">
        <f aca="false">W_PH(Y$2,$A332)</f>
        <v>2897.64563801215</v>
      </c>
      <c r="Z332" s="0" t="n">
        <f aca="false">W_PH(Z$2,$A332)</f>
        <v>2897.80509897896</v>
      </c>
      <c r="AA332" s="0" t="n">
        <f aca="false">W_PH(AA$2,$A332)</f>
        <v>2897.96464218306</v>
      </c>
      <c r="AB332" s="0" t="n">
        <f aca="false">W_PH(AB$2,$A332)</f>
        <v>2898.124254817</v>
      </c>
      <c r="AC332" s="0" t="n">
        <f aca="false">W_PH(AC$2,$A332)</f>
        <v>2898.28395013635</v>
      </c>
      <c r="AD332" s="0" t="n">
        <f aca="false">W_PH(AD$2,$A332)</f>
        <v>2898.44373270754</v>
      </c>
      <c r="AE332" s="0" t="n">
        <f aca="false">W_PH(AE$2,$A332)</f>
        <v>2898.60360709511</v>
      </c>
      <c r="AF332" s="0" t="n">
        <f aca="false">W_PH(AF$2,$A332)</f>
        <v>2898.7635778617</v>
      </c>
      <c r="AG332" s="0" t="n">
        <f aca="false">W_PH(AG$2,$A332)</f>
        <v>2898.92364956803</v>
      </c>
      <c r="AH332" s="0" t="n">
        <f aca="false">W_PH(AH$2,$A332)</f>
        <v>2900.53075420936</v>
      </c>
      <c r="AI332" s="0" t="n">
        <f aca="false">W_PH(AI$2,$A332)</f>
        <v>2902.15255958257</v>
      </c>
      <c r="AJ332" s="0" t="n">
        <f aca="false">W_PH(AJ$2,$A332)</f>
        <v>2903.79340664838</v>
      </c>
      <c r="AK332" s="0" t="n">
        <f aca="false">W_PH(AK$2,$A332)</f>
        <v>2905.45758961699</v>
      </c>
      <c r="AL332" s="0" t="n">
        <f aca="false">W_PH(AL$2,$A332)</f>
        <v>2907.14941843688</v>
      </c>
      <c r="AM332" s="0" t="n">
        <f aca="false">W_PH(AM$2,$A332)</f>
        <v>2908.87315808886</v>
      </c>
      <c r="AN332" s="0" t="n">
        <f aca="false">W_PH(AN$2,$A332)</f>
        <v>2910.63308280444</v>
      </c>
      <c r="AO332" s="0" t="n">
        <f aca="false">W_PH(AO$2,$A332)</f>
        <v>2912.43343291225</v>
      </c>
      <c r="AP332" s="0" t="n">
        <f aca="false">W_PH(AP$2,$A332)</f>
        <v>2015</v>
      </c>
      <c r="AQ332" s="0" t="n">
        <f aca="false">W_PH(AQ$2,$A332)</f>
        <v>2015</v>
      </c>
      <c r="AR332" s="0" t="n">
        <f aca="false">W_PH(AR$2,$A332)</f>
        <v>2015</v>
      </c>
      <c r="AS332" s="0" t="n">
        <f aca="false">W_PH(AS$2,$A332)</f>
        <v>2015</v>
      </c>
    </row>
    <row r="333" customFormat="false" ht="12.8" hidden="false" customHeight="false" outlineLevel="0" collapsed="false">
      <c r="A333" s="0" t="n">
        <v>2119.5184866724</v>
      </c>
      <c r="B333" s="0" t="n">
        <f aca="false">W_PH(B$2,$A333)</f>
        <v>2015</v>
      </c>
      <c r="C333" s="0" t="n">
        <f aca="false">W_PH(C$2,$A333)</f>
        <v>2901.1352278793</v>
      </c>
      <c r="D333" s="0" t="n">
        <f aca="false">W_PH(D$2,$A333)</f>
        <v>2901.13539136793</v>
      </c>
      <c r="E333" s="0" t="n">
        <f aca="false">W_PH(E$2,$A333)</f>
        <v>2901.13555485665</v>
      </c>
      <c r="F333" s="0" t="n">
        <f aca="false">W_PH(F$2,$A333)</f>
        <v>2901.13571401277</v>
      </c>
      <c r="G333" s="0" t="n">
        <f aca="false">W_PH(G$2,$A333)</f>
        <v>2901.13731424395</v>
      </c>
      <c r="H333" s="0" t="n">
        <f aca="false">W_PH(H$2,$A333)</f>
        <v>2901.13891015086</v>
      </c>
      <c r="I333" s="0" t="n">
        <f aca="false">W_PH(I$2,$A333)</f>
        <v>2901.1405060662</v>
      </c>
      <c r="J333" s="0" t="n">
        <f aca="false">W_PH(J$2,$A333)</f>
        <v>2901.14210632274</v>
      </c>
      <c r="K333" s="0" t="n">
        <f aca="false">W_PH(K$2,$A333)</f>
        <v>2901.14370658775</v>
      </c>
      <c r="L333" s="0" t="n">
        <f aca="false">W_PH(L$2,$A333)</f>
        <v>2901.14530686124</v>
      </c>
      <c r="M333" s="0" t="n">
        <f aca="false">W_PH(M$2,$A333)</f>
        <v>2901.14690714321</v>
      </c>
      <c r="N333" s="0" t="n">
        <f aca="false">W_PH(N$2,$A333)</f>
        <v>2901.14850743367</v>
      </c>
      <c r="O333" s="0" t="n">
        <f aca="false">W_PH(O$2,$A333)</f>
        <v>2901.15010773262</v>
      </c>
      <c r="P333" s="0" t="n">
        <f aca="false">W_PH(P$2,$A333)</f>
        <v>2901.16610252409</v>
      </c>
      <c r="Q333" s="0" t="n">
        <f aca="false">W_PH(Q$2,$A333)</f>
        <v>2901.18209816904</v>
      </c>
      <c r="R333" s="0" t="n">
        <f aca="false">W_PH(R$2,$A333)</f>
        <v>2901.19809467204</v>
      </c>
      <c r="S333" s="0" t="n">
        <f aca="false">W_PH(S$2,$A333)</f>
        <v>2901.21409203766</v>
      </c>
      <c r="T333" s="0" t="n">
        <f aca="false">W_PH(T$2,$A333)</f>
        <v>2901.23009460413</v>
      </c>
      <c r="U333" s="0" t="n">
        <f aca="false">W_PH(U$2,$A333)</f>
        <v>2901.24609370888</v>
      </c>
      <c r="V333" s="0" t="n">
        <f aca="false">W_PH(V$2,$A333)</f>
        <v>2901.26209368997</v>
      </c>
      <c r="W333" s="0" t="n">
        <f aca="false">W_PH(W$2,$A333)</f>
        <v>2901.27809455197</v>
      </c>
      <c r="X333" s="0" t="n">
        <f aca="false">W_PH(X$2,$A333)</f>
        <v>2901.29409196515</v>
      </c>
      <c r="Y333" s="0" t="n">
        <f aca="false">W_PH(Y$2,$A333)</f>
        <v>2901.45414180236</v>
      </c>
      <c r="Z333" s="0" t="n">
        <f aca="false">W_PH(Z$2,$A333)</f>
        <v>2901.61425917857</v>
      </c>
      <c r="AA333" s="0" t="n">
        <f aca="false">W_PH(AA$2,$A333)</f>
        <v>2901.77444429492</v>
      </c>
      <c r="AB333" s="0" t="n">
        <f aca="false">W_PH(AB$2,$A333)</f>
        <v>2901.93470602585</v>
      </c>
      <c r="AC333" s="0" t="n">
        <f aca="false">W_PH(AC$2,$A333)</f>
        <v>2902.0950532505</v>
      </c>
      <c r="AD333" s="0" t="n">
        <f aca="false">W_PH(AD$2,$A333)</f>
        <v>2902.25547747609</v>
      </c>
      <c r="AE333" s="0" t="n">
        <f aca="false">W_PH(AE$2,$A333)</f>
        <v>2902.41600060881</v>
      </c>
      <c r="AF333" s="0" t="n">
        <f aca="false">W_PH(AF$2,$A333)</f>
        <v>2902.57660979985</v>
      </c>
      <c r="AG333" s="0" t="n">
        <f aca="false">W_PH(AG$2,$A333)</f>
        <v>2902.73731826668</v>
      </c>
      <c r="AH333" s="0" t="n">
        <f aca="false">W_PH(AH$2,$A333)</f>
        <v>2904.35076216933</v>
      </c>
      <c r="AI333" s="0" t="n">
        <f aca="false">W_PH(AI$2,$A333)</f>
        <v>2905.97875971485</v>
      </c>
      <c r="AJ333" s="0" t="n">
        <f aca="false">W_PH(AJ$2,$A333)</f>
        <v>2907.6256131268</v>
      </c>
      <c r="AK333" s="0" t="n">
        <f aca="false">W_PH(AK$2,$A333)</f>
        <v>2909.29559587852</v>
      </c>
      <c r="AL333" s="0" t="n">
        <f aca="false">W_PH(AL$2,$A333)</f>
        <v>2910.99297995704</v>
      </c>
      <c r="AM333" s="0" t="n">
        <f aca="false">W_PH(AM$2,$A333)</f>
        <v>2912.72201047181</v>
      </c>
      <c r="AN333" s="0" t="n">
        <f aca="false">W_PH(AN$2,$A333)</f>
        <v>2914.48692440553</v>
      </c>
      <c r="AO333" s="0" t="n">
        <f aca="false">W_PH(AO$2,$A333)</f>
        <v>2916.29195193955</v>
      </c>
      <c r="AP333" s="0" t="n">
        <f aca="false">W_PH(AP$2,$A333)</f>
        <v>2015</v>
      </c>
      <c r="AQ333" s="0" t="n">
        <f aca="false">W_PH(AQ$2,$A333)</f>
        <v>2015</v>
      </c>
      <c r="AR333" s="0" t="n">
        <f aca="false">W_PH(AR$2,$A333)</f>
        <v>2015</v>
      </c>
      <c r="AS333" s="0" t="n">
        <f aca="false">W_PH(AS$2,$A333)</f>
        <v>2015</v>
      </c>
    </row>
    <row r="334" customFormat="false" ht="12.8" hidden="false" customHeight="false" outlineLevel="0" collapsed="false">
      <c r="A334" s="0" t="n">
        <v>2123.81771281169</v>
      </c>
      <c r="B334" s="0" t="n">
        <f aca="false">W_PH(B$2,$A334)</f>
        <v>2015</v>
      </c>
      <c r="C334" s="0" t="n">
        <f aca="false">W_PH(C$2,$A334)</f>
        <v>2904.9336828607</v>
      </c>
      <c r="D334" s="0" t="n">
        <f aca="false">W_PH(D$2,$A334)</f>
        <v>2904.93384344781</v>
      </c>
      <c r="E334" s="0" t="n">
        <f aca="false">W_PH(E$2,$A334)</f>
        <v>2904.934004035</v>
      </c>
      <c r="F334" s="0" t="n">
        <f aca="false">W_PH(F$2,$A334)</f>
        <v>2904.93416462227</v>
      </c>
      <c r="G334" s="0" t="n">
        <f aca="false">W_PH(G$2,$A334)</f>
        <v>2904.93577049958</v>
      </c>
      <c r="H334" s="0" t="n">
        <f aca="false">W_PH(H$2,$A334)</f>
        <v>2904.93737638519</v>
      </c>
      <c r="I334" s="0" t="n">
        <f aca="false">W_PH(I$2,$A334)</f>
        <v>2904.93898227913</v>
      </c>
      <c r="J334" s="0" t="n">
        <f aca="false">W_PH(J$2,$A334)</f>
        <v>2904.94058818139</v>
      </c>
      <c r="K334" s="0" t="n">
        <f aca="false">W_PH(K$2,$A334)</f>
        <v>2904.94219409198</v>
      </c>
      <c r="L334" s="0" t="n">
        <f aca="false">W_PH(L$2,$A334)</f>
        <v>2904.9438000109</v>
      </c>
      <c r="M334" s="0" t="n">
        <f aca="false">W_PH(M$2,$A334)</f>
        <v>2904.94540593816</v>
      </c>
      <c r="N334" s="0" t="n">
        <f aca="false">W_PH(N$2,$A334)</f>
        <v>2904.94701187376</v>
      </c>
      <c r="O334" s="0" t="n">
        <f aca="false">W_PH(O$2,$A334)</f>
        <v>2904.9486178177</v>
      </c>
      <c r="P334" s="0" t="n">
        <f aca="false">W_PH(P$2,$A334)</f>
        <v>2904.96468204429</v>
      </c>
      <c r="Q334" s="0" t="n">
        <f aca="false">W_PH(Q$2,$A334)</f>
        <v>2904.98074278356</v>
      </c>
      <c r="R334" s="0" t="n">
        <f aca="false">W_PH(R$2,$A334)</f>
        <v>2904.99680436697</v>
      </c>
      <c r="S334" s="0" t="n">
        <f aca="false">W_PH(S$2,$A334)</f>
        <v>2905.01286679909</v>
      </c>
      <c r="T334" s="0" t="n">
        <f aca="false">W_PH(T$2,$A334)</f>
        <v>2905.02893008443</v>
      </c>
      <c r="U334" s="0" t="n">
        <f aca="false">W_PH(U$2,$A334)</f>
        <v>2905.04498989966</v>
      </c>
      <c r="V334" s="0" t="n">
        <f aca="false">W_PH(V$2,$A334)</f>
        <v>2905.06105490494</v>
      </c>
      <c r="W334" s="0" t="n">
        <f aca="false">W_PH(W$2,$A334)</f>
        <v>2905.07712077708</v>
      </c>
      <c r="X334" s="0" t="n">
        <f aca="false">W_PH(X$2,$A334)</f>
        <v>2905.09318752062</v>
      </c>
      <c r="Y334" s="0" t="n">
        <f aca="false">W_PH(Y$2,$A334)</f>
        <v>2905.25387790198</v>
      </c>
      <c r="Z334" s="0" t="n">
        <f aca="false">W_PH(Z$2,$A334)</f>
        <v>2905.41463440808</v>
      </c>
      <c r="AA334" s="0" t="n">
        <f aca="false">W_PH(AA$2,$A334)</f>
        <v>2905.57545721455</v>
      </c>
      <c r="AB334" s="0" t="n">
        <f aca="false">W_PH(AB$2,$A334)</f>
        <v>2905.73635949331</v>
      </c>
      <c r="AC334" s="0" t="n">
        <f aca="false">W_PH(AC$2,$A334)</f>
        <v>2905.89733708148</v>
      </c>
      <c r="AD334" s="0" t="n">
        <f aca="false">W_PH(AD$2,$A334)</f>
        <v>2906.05840315378</v>
      </c>
      <c r="AE334" s="0" t="n">
        <f aca="false">W_PH(AE$2,$A334)</f>
        <v>2906.21955787694</v>
      </c>
      <c r="AF334" s="0" t="n">
        <f aca="false">W_PH(AF$2,$A334)</f>
        <v>2906.38080575071</v>
      </c>
      <c r="AG334" s="0" t="n">
        <f aca="false">W_PH(AG$2,$A334)</f>
        <v>2906.54215127302</v>
      </c>
      <c r="AH334" s="0" t="n">
        <f aca="false">W_PH(AH$2,$A334)</f>
        <v>2908.16185209521</v>
      </c>
      <c r="AI334" s="0" t="n">
        <f aca="false">W_PH(AI$2,$A334)</f>
        <v>2909.7959539349</v>
      </c>
      <c r="AJ334" s="0" t="n">
        <f aca="false">W_PH(AJ$2,$A334)</f>
        <v>2911.44872490055</v>
      </c>
      <c r="AK334" s="0" t="n">
        <f aca="false">W_PH(AK$2,$A334)</f>
        <v>2913.12442235316</v>
      </c>
      <c r="AL334" s="0" t="n">
        <f aca="false">W_PH(AL$2,$A334)</f>
        <v>2914.82728947101</v>
      </c>
      <c r="AM334" s="0" t="n">
        <f aca="false">W_PH(AM$2,$A334)</f>
        <v>2916.56154295591</v>
      </c>
      <c r="AN334" s="0" t="n">
        <f aca="false">W_PH(AN$2,$A334)</f>
        <v>2918.33138728526</v>
      </c>
      <c r="AO334" s="0" t="n">
        <f aca="false">W_PH(AO$2,$A334)</f>
        <v>2920.1410204081</v>
      </c>
      <c r="AP334" s="0" t="n">
        <f aca="false">W_PH(AP$2,$A334)</f>
        <v>2015</v>
      </c>
      <c r="AQ334" s="0" t="n">
        <f aca="false">W_PH(AQ$2,$A334)</f>
        <v>2015</v>
      </c>
      <c r="AR334" s="0" t="n">
        <f aca="false">W_PH(AR$2,$A334)</f>
        <v>2015</v>
      </c>
      <c r="AS334" s="0" t="n">
        <f aca="false">W_PH(AS$2,$A334)</f>
        <v>2015</v>
      </c>
    </row>
    <row r="335" customFormat="false" ht="12.8" hidden="false" customHeight="false" outlineLevel="0" collapsed="false">
      <c r="A335" s="0" t="n">
        <v>2128.11693895099</v>
      </c>
      <c r="B335" s="0" t="n">
        <f aca="false">W_PH(B$2,$A335)</f>
        <v>2015</v>
      </c>
      <c r="C335" s="0" t="n">
        <f aca="false">W_PH(C$2,$A335)</f>
        <v>2908.72344864522</v>
      </c>
      <c r="D335" s="0" t="n">
        <f aca="false">W_PH(D$2,$A335)</f>
        <v>2908.72361064428</v>
      </c>
      <c r="E335" s="0" t="n">
        <f aca="false">W_PH(E$2,$A335)</f>
        <v>2908.72377264343</v>
      </c>
      <c r="F335" s="0" t="n">
        <f aca="false">W_PH(F$2,$A335)</f>
        <v>2908.72393032175</v>
      </c>
      <c r="G335" s="0" t="n">
        <f aca="false">W_PH(G$2,$A335)</f>
        <v>2908.72554599762</v>
      </c>
      <c r="H335" s="0" t="n">
        <f aca="false">W_PH(H$2,$A335)</f>
        <v>2908.72715736076</v>
      </c>
      <c r="I335" s="0" t="n">
        <f aca="false">W_PH(I$2,$A335)</f>
        <v>2908.72876873207</v>
      </c>
      <c r="J335" s="0" t="n">
        <f aca="false">W_PH(J$2,$A335)</f>
        <v>2908.73038011157</v>
      </c>
      <c r="K335" s="0" t="n">
        <f aca="false">W_PH(K$2,$A335)</f>
        <v>2908.73199149924</v>
      </c>
      <c r="L335" s="0" t="n">
        <f aca="false">W_PH(L$2,$A335)</f>
        <v>2908.73360289511</v>
      </c>
      <c r="M335" s="0" t="n">
        <f aca="false">W_PH(M$2,$A335)</f>
        <v>2908.73521429918</v>
      </c>
      <c r="N335" s="0" t="n">
        <f aca="false">W_PH(N$2,$A335)</f>
        <v>2908.73682571144</v>
      </c>
      <c r="O335" s="0" t="n">
        <f aca="false">W_PH(O$2,$A335)</f>
        <v>2908.73844145296</v>
      </c>
      <c r="P335" s="0" t="n">
        <f aca="false">W_PH(P$2,$A335)</f>
        <v>2908.75456907359</v>
      </c>
      <c r="Q335" s="0" t="n">
        <f aca="false">W_PH(Q$2,$A335)</f>
        <v>2908.77069319913</v>
      </c>
      <c r="R335" s="0" t="n">
        <f aca="false">W_PH(R$2,$A335)</f>
        <v>2908.78681815513</v>
      </c>
      <c r="S335" s="0" t="n">
        <f aca="false">W_PH(S$2,$A335)</f>
        <v>2908.8029439461</v>
      </c>
      <c r="T335" s="0" t="n">
        <f aca="false">W_PH(T$2,$A335)</f>
        <v>2908.81907057655</v>
      </c>
      <c r="U335" s="0" t="n">
        <f aca="false">W_PH(U$2,$A335)</f>
        <v>2908.83519372898</v>
      </c>
      <c r="V335" s="0" t="n">
        <f aca="false">W_PH(V$2,$A335)</f>
        <v>2908.8513177296</v>
      </c>
      <c r="W335" s="0" t="n">
        <f aca="false">W_PH(W$2,$A335)</f>
        <v>2908.86744690524</v>
      </c>
      <c r="X335" s="0" t="n">
        <f aca="false">W_PH(X$2,$A335)</f>
        <v>2908.8835769384</v>
      </c>
      <c r="Y335" s="0" t="n">
        <f aca="false">W_PH(Y$2,$A335)</f>
        <v>2909.04489948107</v>
      </c>
      <c r="Z335" s="0" t="n">
        <f aca="false">W_PH(Z$2,$A335)</f>
        <v>2909.20628676163</v>
      </c>
      <c r="AA335" s="0" t="n">
        <f aca="false">W_PH(AA$2,$A335)</f>
        <v>2909.36774325781</v>
      </c>
      <c r="AB335" s="0" t="n">
        <f aca="false">W_PH(AB$2,$A335)</f>
        <v>2909.52927344553</v>
      </c>
      <c r="AC335" s="0" t="n">
        <f aca="false">W_PH(AC$2,$A335)</f>
        <v>2909.69088179895</v>
      </c>
      <c r="AD335" s="0" t="n">
        <f aca="false">W_PH(AD$2,$A335)</f>
        <v>2909.85258145461</v>
      </c>
      <c r="AE335" s="0" t="n">
        <f aca="false">W_PH(AE$2,$A335)</f>
        <v>2910.01435955795</v>
      </c>
      <c r="AF335" s="0" t="n">
        <f aca="false">W_PH(AF$2,$A335)</f>
        <v>2910.17622923876</v>
      </c>
      <c r="AG335" s="0" t="n">
        <f aca="false">W_PH(AG$2,$A335)</f>
        <v>2910.33819496409</v>
      </c>
      <c r="AH335" s="0" t="n">
        <f aca="false">W_PH(AH$2,$A335)</f>
        <v>2911.96407263348</v>
      </c>
      <c r="AI335" s="0" t="n">
        <f aca="false">W_PH(AI$2,$A335)</f>
        <v>2913.60419313857</v>
      </c>
      <c r="AJ335" s="0" t="n">
        <f aca="false">W_PH(AJ$2,$A335)</f>
        <v>2915.26281699342</v>
      </c>
      <c r="AK335" s="0" t="n">
        <f aca="false">W_PH(AK$2,$A335)</f>
        <v>2916.94415508448</v>
      </c>
      <c r="AL335" s="0" t="n">
        <f aca="false">W_PH(AL$2,$A335)</f>
        <v>2918.65242633477</v>
      </c>
      <c r="AM335" s="0" t="n">
        <f aca="false">W_PH(AM$2,$A335)</f>
        <v>2920.3918236469</v>
      </c>
      <c r="AN335" s="0" t="n">
        <f aca="false">W_PH(AN$2,$A335)</f>
        <v>2922.16653255611</v>
      </c>
      <c r="AO335" s="0" t="n">
        <f aca="false">W_PH(AO$2,$A335)</f>
        <v>2923.98071467723</v>
      </c>
      <c r="AP335" s="0" t="n">
        <f aca="false">W_PH(AP$2,$A335)</f>
        <v>2015</v>
      </c>
      <c r="AQ335" s="0" t="n">
        <f aca="false">W_PH(AQ$2,$A335)</f>
        <v>2015</v>
      </c>
      <c r="AR335" s="0" t="n">
        <f aca="false">W_PH(AR$2,$A335)</f>
        <v>2015</v>
      </c>
      <c r="AS335" s="0" t="n">
        <f aca="false">W_PH(AS$2,$A335)</f>
        <v>2015</v>
      </c>
    </row>
    <row r="336" customFormat="false" ht="12.8" hidden="false" customHeight="false" outlineLevel="0" collapsed="false">
      <c r="A336" s="0" t="n">
        <v>2132.41616509028</v>
      </c>
      <c r="B336" s="0" t="n">
        <f aca="false">W_PH(B$2,$A336)</f>
        <v>2015</v>
      </c>
      <c r="C336" s="0" t="n">
        <f aca="false">W_PH(C$2,$A336)</f>
        <v>2912.50457732407</v>
      </c>
      <c r="D336" s="0" t="n">
        <f aca="false">W_PH(D$2,$A336)</f>
        <v>2912.50474071618</v>
      </c>
      <c r="E336" s="0" t="n">
        <f aca="false">W_PH(E$2,$A336)</f>
        <v>2912.50490410836</v>
      </c>
      <c r="F336" s="0" t="n">
        <f aca="false">W_PH(F$2,$A336)</f>
        <v>2912.50506318555</v>
      </c>
      <c r="G336" s="0" t="n">
        <f aca="false">W_PH(G$2,$A336)</f>
        <v>2912.50668416742</v>
      </c>
      <c r="H336" s="0" t="n">
        <f aca="false">W_PH(H$2,$A336)</f>
        <v>2912.50830084225</v>
      </c>
      <c r="I336" s="0" t="n">
        <f aca="false">W_PH(I$2,$A336)</f>
        <v>2912.50991752511</v>
      </c>
      <c r="J336" s="0" t="n">
        <f aca="false">W_PH(J$2,$A336)</f>
        <v>2912.51153421601</v>
      </c>
      <c r="K336" s="0" t="n">
        <f aca="false">W_PH(K$2,$A336)</f>
        <v>2912.51315954526</v>
      </c>
      <c r="L336" s="0" t="n">
        <f aca="false">W_PH(L$2,$A336)</f>
        <v>2912.51477625229</v>
      </c>
      <c r="M336" s="0" t="n">
        <f aca="false">W_PH(M$2,$A336)</f>
        <v>2912.51639296737</v>
      </c>
      <c r="N336" s="0" t="n">
        <f aca="false">W_PH(N$2,$A336)</f>
        <v>2912.51800969051</v>
      </c>
      <c r="O336" s="0" t="n">
        <f aca="false">W_PH(O$2,$A336)</f>
        <v>2912.51963073693</v>
      </c>
      <c r="P336" s="0" t="n">
        <f aca="false">W_PH(P$2,$A336)</f>
        <v>2912.53582007044</v>
      </c>
      <c r="Q336" s="0" t="n">
        <f aca="false">W_PH(Q$2,$A336)</f>
        <v>2912.55200590123</v>
      </c>
      <c r="R336" s="0" t="n">
        <f aca="false">W_PH(R$2,$A336)</f>
        <v>2912.56819254899</v>
      </c>
      <c r="S336" s="0" t="n">
        <f aca="false">W_PH(S$2,$A336)</f>
        <v>2912.58438001821</v>
      </c>
      <c r="T336" s="0" t="n">
        <f aca="false">W_PH(T$2,$A336)</f>
        <v>2912.60056831335</v>
      </c>
      <c r="U336" s="0" t="n">
        <f aca="false">W_PH(U$2,$A336)</f>
        <v>2912.61675743891</v>
      </c>
      <c r="V336" s="0" t="n">
        <f aca="false">W_PH(V$2,$A336)</f>
        <v>2912.63294739936</v>
      </c>
      <c r="W336" s="0" t="n">
        <f aca="false">W_PH(W$2,$A336)</f>
        <v>2912.64913819918</v>
      </c>
      <c r="X336" s="0" t="n">
        <f aca="false">W_PH(X$2,$A336)</f>
        <v>2912.66532984284</v>
      </c>
      <c r="Y336" s="0" t="n">
        <f aca="false">W_PH(Y$2,$A336)</f>
        <v>2912.8272764032</v>
      </c>
      <c r="Z336" s="0" t="n">
        <f aca="false">W_PH(Z$2,$A336)</f>
        <v>2912.98928634148</v>
      </c>
      <c r="AA336" s="0" t="n">
        <f aca="false">W_PH(AA$2,$A336)</f>
        <v>2913.1513641046</v>
      </c>
      <c r="AB336" s="0" t="n">
        <f aca="false">W_PH(AB$2,$A336)</f>
        <v>2913.31351846066</v>
      </c>
      <c r="AC336" s="0" t="n">
        <f aca="false">W_PH(AC$2,$A336)</f>
        <v>2913.47574953327</v>
      </c>
      <c r="AD336" s="0" t="n">
        <f aca="false">W_PH(AD$2,$A336)</f>
        <v>2913.63805743799</v>
      </c>
      <c r="AE336" s="0" t="n">
        <f aca="false">W_PH(AE$2,$A336)</f>
        <v>2913.80045959308</v>
      </c>
      <c r="AF336" s="0" t="n">
        <f aca="false">W_PH(AF$2,$A336)</f>
        <v>2913.9629474584</v>
      </c>
      <c r="AG336" s="0" t="n">
        <f aca="false">W_PH(AG$2,$A336)</f>
        <v>2914.12552979652</v>
      </c>
      <c r="AH336" s="0" t="n">
        <f aca="false">W_PH(AH$2,$A336)</f>
        <v>2915.75748920689</v>
      </c>
      <c r="AI336" s="0" t="n">
        <f aca="false">W_PH(AI$2,$A336)</f>
        <v>2917.40355810394</v>
      </c>
      <c r="AJ336" s="0" t="n">
        <f aca="false">W_PH(AJ$2,$A336)</f>
        <v>2919.06794609511</v>
      </c>
      <c r="AK336" s="0" t="n">
        <f aca="false">W_PH(AK$2,$A336)</f>
        <v>2920.75485283887</v>
      </c>
      <c r="AL336" s="0" t="n">
        <f aca="false">W_PH(AL$2,$A336)</f>
        <v>2922.4684601793</v>
      </c>
      <c r="AM336" s="0" t="n">
        <f aca="false">W_PH(AM$2,$A336)</f>
        <v>2924.2129374721</v>
      </c>
      <c r="AN336" s="0" t="n">
        <f aca="false">W_PH(AN$2,$A336)</f>
        <v>2925.99243823044</v>
      </c>
      <c r="AO336" s="0" t="n">
        <f aca="false">W_PH(AO$2,$A336)</f>
        <v>2927.81110568732</v>
      </c>
      <c r="AP336" s="0" t="n">
        <f aca="false">W_PH(AP$2,$A336)</f>
        <v>2015</v>
      </c>
      <c r="AQ336" s="0" t="n">
        <f aca="false">W_PH(AQ$2,$A336)</f>
        <v>2015</v>
      </c>
      <c r="AR336" s="0" t="n">
        <f aca="false">W_PH(AR$2,$A336)</f>
        <v>2015</v>
      </c>
      <c r="AS336" s="0" t="n">
        <f aca="false">W_PH(AS$2,$A336)</f>
        <v>2015</v>
      </c>
    </row>
    <row r="337" customFormat="false" ht="12.8" hidden="false" customHeight="false" outlineLevel="0" collapsed="false">
      <c r="A337" s="0" t="n">
        <v>2136.71539122958</v>
      </c>
      <c r="B337" s="0" t="n">
        <f aca="false">W_PH(B$2,$A337)</f>
        <v>2015</v>
      </c>
      <c r="C337" s="0" t="n">
        <f aca="false">W_PH(C$2,$A337)</f>
        <v>2916.27713766522</v>
      </c>
      <c r="D337" s="0" t="n">
        <f aca="false">W_PH(D$2,$A337)</f>
        <v>2916.27730243174</v>
      </c>
      <c r="E337" s="0" t="n">
        <f aca="false">W_PH(E$2,$A337)</f>
        <v>2916.27746719833</v>
      </c>
      <c r="F337" s="0" t="n">
        <f aca="false">W_PH(F$2,$A337)</f>
        <v>2916.27762765573</v>
      </c>
      <c r="G337" s="0" t="n">
        <f aca="false">W_PH(G$2,$A337)</f>
        <v>2916.27925378048</v>
      </c>
      <c r="H337" s="0" t="n">
        <f aca="false">W_PH(H$2,$A337)</f>
        <v>2916.28087560384</v>
      </c>
      <c r="I337" s="0" t="n">
        <f aca="false">W_PH(I$2,$A337)</f>
        <v>2916.28250605375</v>
      </c>
      <c r="J337" s="0" t="n">
        <f aca="false">W_PH(J$2,$A337)</f>
        <v>2916.28412789294</v>
      </c>
      <c r="K337" s="0" t="n">
        <f aca="false">W_PH(K$2,$A337)</f>
        <v>2916.28574974004</v>
      </c>
      <c r="L337" s="0" t="n">
        <f aca="false">W_PH(L$2,$A337)</f>
        <v>2916.2873802138</v>
      </c>
      <c r="M337" s="0" t="n">
        <f aca="false">W_PH(M$2,$A337)</f>
        <v>2916.28900207676</v>
      </c>
      <c r="N337" s="0" t="n">
        <f aca="false">W_PH(N$2,$A337)</f>
        <v>2916.29062394763</v>
      </c>
      <c r="O337" s="0" t="n">
        <f aca="false">W_PH(O$2,$A337)</f>
        <v>2916.29225444527</v>
      </c>
      <c r="P337" s="0" t="n">
        <f aca="false">W_PH(P$2,$A337)</f>
        <v>2916.3084995279</v>
      </c>
      <c r="Q337" s="0" t="n">
        <f aca="false">W_PH(Q$2,$A337)</f>
        <v>2916.32474540977</v>
      </c>
      <c r="R337" s="0" t="n">
        <f aca="false">W_PH(R$2,$A337)</f>
        <v>2916.34100071509</v>
      </c>
      <c r="S337" s="0" t="n">
        <f aca="false">W_PH(S$2,$A337)</f>
        <v>2916.35724820909</v>
      </c>
      <c r="T337" s="0" t="n">
        <f aca="false">W_PH(T$2,$A337)</f>
        <v>2916.37349651567</v>
      </c>
      <c r="U337" s="0" t="n">
        <f aca="false">W_PH(U$2,$A337)</f>
        <v>2916.38974563928</v>
      </c>
      <c r="V337" s="0" t="n">
        <f aca="false">W_PH(V$2,$A337)</f>
        <v>2916.40599989488</v>
      </c>
      <c r="W337" s="0" t="n">
        <f aca="false">W_PH(W$2,$A337)</f>
        <v>2916.42225497671</v>
      </c>
      <c r="X337" s="0" t="n">
        <f aca="false">W_PH(X$2,$A337)</f>
        <v>2916.43850657841</v>
      </c>
      <c r="Y337" s="0" t="n">
        <f aca="false">W_PH(Y$2,$A337)</f>
        <v>2916.60106924415</v>
      </c>
      <c r="Z337" s="0" t="n">
        <f aca="false">W_PH(Z$2,$A337)</f>
        <v>2916.76369395425</v>
      </c>
      <c r="AA337" s="0" t="n">
        <f aca="false">W_PH(AA$2,$A337)</f>
        <v>2916.92638512511</v>
      </c>
      <c r="AB337" s="0" t="n">
        <f aca="false">W_PH(AB$2,$A337)</f>
        <v>2917.08914717141</v>
      </c>
      <c r="AC337" s="0" t="n">
        <f aca="false">W_PH(AC$2,$A337)</f>
        <v>2917.25199314343</v>
      </c>
      <c r="AD337" s="0" t="n">
        <f aca="false">W_PH(AD$2,$A337)</f>
        <v>2917.41491882141</v>
      </c>
      <c r="AE337" s="0" t="n">
        <f aca="false">W_PH(AE$2,$A337)</f>
        <v>2917.57791997145</v>
      </c>
      <c r="AF337" s="0" t="n">
        <f aca="false">W_PH(AF$2,$A337)</f>
        <v>2917.74101828532</v>
      </c>
      <c r="AG337" s="0" t="n">
        <f aca="false">W_PH(AG$2,$A337)</f>
        <v>2917.90420952884</v>
      </c>
      <c r="AH337" s="0" t="n">
        <f aca="false">W_PH(AH$2,$A337)</f>
        <v>2919.54217522103</v>
      </c>
      <c r="AI337" s="0" t="n">
        <f aca="false">W_PH(AI$2,$A337)</f>
        <v>2921.19410701264</v>
      </c>
      <c r="AJ337" s="0" t="n">
        <f aca="false">W_PH(AJ$2,$A337)</f>
        <v>2922.86418567311</v>
      </c>
      <c r="AK337" s="0" t="n">
        <f aca="false">W_PH(AK$2,$A337)</f>
        <v>2924.55658240929</v>
      </c>
      <c r="AL337" s="0" t="n">
        <f aca="false">W_PH(AL$2,$A337)</f>
        <v>2926.27545099602</v>
      </c>
      <c r="AM337" s="0" t="n">
        <f aca="false">W_PH(AM$2,$A337)</f>
        <v>2928.02494190757</v>
      </c>
      <c r="AN337" s="0" t="n">
        <f aca="false">W_PH(AN$2,$A337)</f>
        <v>2929.80917251882</v>
      </c>
      <c r="AO337" s="0" t="n">
        <f aca="false">W_PH(AO$2,$A337)</f>
        <v>2931.6322634575</v>
      </c>
      <c r="AP337" s="0" t="n">
        <f aca="false">W_PH(AP$2,$A337)</f>
        <v>2015</v>
      </c>
      <c r="AQ337" s="0" t="n">
        <f aca="false">W_PH(AQ$2,$A337)</f>
        <v>2015</v>
      </c>
      <c r="AR337" s="0" t="n">
        <f aca="false">W_PH(AR$2,$A337)</f>
        <v>2015</v>
      </c>
      <c r="AS337" s="0" t="n">
        <f aca="false">W_PH(AS$2,$A337)</f>
        <v>2015</v>
      </c>
    </row>
    <row r="338" customFormat="false" ht="12.8" hidden="false" customHeight="false" outlineLevel="0" collapsed="false">
      <c r="A338" s="0" t="n">
        <v>2141.01461736887</v>
      </c>
      <c r="B338" s="0" t="n">
        <f aca="false">W_PH(B$2,$A338)</f>
        <v>2015</v>
      </c>
      <c r="C338" s="0" t="n">
        <f aca="false">W_PH(C$2,$A338)</f>
        <v>2920.04119779343</v>
      </c>
      <c r="D338" s="0" t="n">
        <f aca="false">W_PH(D$2,$A338)</f>
        <v>2920.04135961251</v>
      </c>
      <c r="E338" s="0" t="n">
        <f aca="false">W_PH(E$2,$A338)</f>
        <v>2920.04152143166</v>
      </c>
      <c r="F338" s="0" t="n">
        <f aca="false">W_PH(F$2,$A338)</f>
        <v>2920.0416875544</v>
      </c>
      <c r="G338" s="0" t="n">
        <f aca="false">W_PH(G$2,$A338)</f>
        <v>2920.04331435799</v>
      </c>
      <c r="H338" s="0" t="n">
        <f aca="false">W_PH(H$2,$A338)</f>
        <v>2920.04494977643</v>
      </c>
      <c r="I338" s="0" t="n">
        <f aca="false">W_PH(I$2,$A338)</f>
        <v>2920.04657659557</v>
      </c>
      <c r="J338" s="0" t="n">
        <f aca="false">W_PH(J$2,$A338)</f>
        <v>2920.04821202963</v>
      </c>
      <c r="K338" s="0" t="n">
        <f aca="false">W_PH(K$2,$A338)</f>
        <v>2920.04983886434</v>
      </c>
      <c r="L338" s="0" t="n">
        <f aca="false">W_PH(L$2,$A338)</f>
        <v>2920.05147001043</v>
      </c>
      <c r="M338" s="0" t="n">
        <f aca="false">W_PH(M$2,$A338)</f>
        <v>2920.05310116433</v>
      </c>
      <c r="N338" s="0" t="n">
        <f aca="false">W_PH(N$2,$A338)</f>
        <v>2920.05473232605</v>
      </c>
      <c r="O338" s="0" t="n">
        <f aca="false">W_PH(O$2,$A338)</f>
        <v>2920.05636349559</v>
      </c>
      <c r="P338" s="0" t="n">
        <f aca="false">W_PH(P$2,$A338)</f>
        <v>2920.07267562198</v>
      </c>
      <c r="Q338" s="0" t="n">
        <f aca="false">W_PH(Q$2,$A338)</f>
        <v>2920.08897992725</v>
      </c>
      <c r="R338" s="0" t="n">
        <f aca="false">W_PH(R$2,$A338)</f>
        <v>2920.10529363134</v>
      </c>
      <c r="S338" s="0" t="n">
        <f aca="false">W_PH(S$2,$A338)</f>
        <v>2920.12159952252</v>
      </c>
      <c r="T338" s="0" t="n">
        <f aca="false">W_PH(T$2,$A338)</f>
        <v>2920.13791482198</v>
      </c>
      <c r="U338" s="0" t="n">
        <f aca="false">W_PH(U$2,$A338)</f>
        <v>2920.15422231674</v>
      </c>
      <c r="V338" s="0" t="n">
        <f aca="false">W_PH(V$2,$A338)</f>
        <v>2920.17053922924</v>
      </c>
      <c r="W338" s="0" t="n">
        <f aca="false">W_PH(W$2,$A338)</f>
        <v>2920.18684834525</v>
      </c>
      <c r="X338" s="0" t="n">
        <f aca="false">W_PH(X$2,$A338)</f>
        <v>2920.20316688846</v>
      </c>
      <c r="Y338" s="0" t="n">
        <f aca="false">W_PH(Y$2,$A338)</f>
        <v>2920.36633366754</v>
      </c>
      <c r="Z338" s="0" t="n">
        <f aca="false">W_PH(Z$2,$A338)</f>
        <v>2920.5295611802</v>
      </c>
      <c r="AA338" s="0" t="n">
        <f aca="false">W_PH(AA$2,$A338)</f>
        <v>2920.69286674171</v>
      </c>
      <c r="AB338" s="0" t="n">
        <f aca="false">W_PH(AB$2,$A338)</f>
        <v>2920.85623319439</v>
      </c>
      <c r="AC338" s="0" t="n">
        <f aca="false">W_PH(AC$2,$A338)</f>
        <v>2921.01968216294</v>
      </c>
      <c r="AD338" s="0" t="n">
        <f aca="false">W_PH(AD$2,$A338)</f>
        <v>2921.18320509489</v>
      </c>
      <c r="AE338" s="0" t="n">
        <f aca="false">W_PH(AE$2,$A338)</f>
        <v>2921.34681068104</v>
      </c>
      <c r="AF338" s="0" t="n">
        <f aca="false">W_PH(AF$2,$A338)</f>
        <v>2921.51051193408</v>
      </c>
      <c r="AG338" s="0" t="n">
        <f aca="false">W_PH(AG$2,$A338)</f>
        <v>2921.67430460164</v>
      </c>
      <c r="AH338" s="0" t="n">
        <f aca="false">W_PH(AH$2,$A338)</f>
        <v>2923.31819467832</v>
      </c>
      <c r="AI338" s="0" t="n">
        <f aca="false">W_PH(AI$2,$A338)</f>
        <v>2924.97590606733</v>
      </c>
      <c r="AJ338" s="0" t="n">
        <f aca="false">W_PH(AJ$2,$A338)</f>
        <v>2926.65159530526</v>
      </c>
      <c r="AK338" s="0" t="n">
        <f aca="false">W_PH(AK$2,$A338)</f>
        <v>2928.34940980402</v>
      </c>
      <c r="AL338" s="0" t="n">
        <f aca="false">W_PH(AL$2,$A338)</f>
        <v>2930.07347997558</v>
      </c>
      <c r="AM338" s="0" t="n">
        <f aca="false">W_PH(AM$2,$A338)</f>
        <v>2931.8279068759</v>
      </c>
      <c r="AN338" s="0" t="n">
        <f aca="false">W_PH(AN$2,$A338)</f>
        <v>2933.61680718434</v>
      </c>
      <c r="AO338" s="0" t="n">
        <f aca="false">W_PH(AO$2,$A338)</f>
        <v>2935.44426597349</v>
      </c>
      <c r="AP338" s="0" t="n">
        <f aca="false">W_PH(AP$2,$A338)</f>
        <v>2015</v>
      </c>
      <c r="AQ338" s="0" t="n">
        <f aca="false">W_PH(AQ$2,$A338)</f>
        <v>2015</v>
      </c>
      <c r="AR338" s="0" t="n">
        <f aca="false">W_PH(AR$2,$A338)</f>
        <v>2015</v>
      </c>
      <c r="AS338" s="0" t="n">
        <f aca="false">W_PH(AS$2,$A338)</f>
        <v>2015</v>
      </c>
    </row>
    <row r="339" customFormat="false" ht="12.8" hidden="false" customHeight="false" outlineLevel="0" collapsed="false">
      <c r="A339" s="0" t="n">
        <v>2145.31384350817</v>
      </c>
      <c r="B339" s="0" t="n">
        <f aca="false">W_PH(B$2,$A339)</f>
        <v>2015</v>
      </c>
      <c r="C339" s="0" t="n">
        <f aca="false">W_PH(C$2,$A339)</f>
        <v>2923.79680800971</v>
      </c>
      <c r="D339" s="0" t="n">
        <f aca="false">W_PH(D$2,$A339)</f>
        <v>2923.79696687472</v>
      </c>
      <c r="E339" s="0" t="n">
        <f aca="false">W_PH(E$2,$A339)</f>
        <v>2923.79713433539</v>
      </c>
      <c r="F339" s="0" t="n">
        <f aca="false">W_PH(F$2,$A339)</f>
        <v>2923.79729320055</v>
      </c>
      <c r="G339" s="0" t="n">
        <f aca="false">W_PH(G$2,$A339)</f>
        <v>2923.79893342987</v>
      </c>
      <c r="H339" s="0" t="n">
        <f aca="false">W_PH(H$2,$A339)</f>
        <v>2923.80056936905</v>
      </c>
      <c r="I339" s="0" t="n">
        <f aca="false">W_PH(I$2,$A339)</f>
        <v>2923.80220531589</v>
      </c>
      <c r="J339" s="0" t="n">
        <f aca="false">W_PH(J$2,$A339)</f>
        <v>2923.80384556824</v>
      </c>
      <c r="K339" s="0" t="n">
        <f aca="false">W_PH(K$2,$A339)</f>
        <v>2923.80547723255</v>
      </c>
      <c r="L339" s="0" t="n">
        <f aca="false">W_PH(L$2,$A339)</f>
        <v>2923.80711750028</v>
      </c>
      <c r="M339" s="0" t="n">
        <f aca="false">W_PH(M$2,$A339)</f>
        <v>2923.80875347781</v>
      </c>
      <c r="N339" s="0" t="n">
        <f aca="false">W_PH(N$2,$A339)</f>
        <v>2923.81038946302</v>
      </c>
      <c r="O339" s="0" t="n">
        <f aca="false">W_PH(O$2,$A339)</f>
        <v>2923.81202975385</v>
      </c>
      <c r="P339" s="0" t="n">
        <f aca="false">W_PH(P$2,$A339)</f>
        <v>2923.82839870277</v>
      </c>
      <c r="Q339" s="0" t="n">
        <f aca="false">W_PH(Q$2,$A339)</f>
        <v>2923.8447684256</v>
      </c>
      <c r="R339" s="0" t="n">
        <f aca="false">W_PH(R$2,$A339)</f>
        <v>2923.86113892674</v>
      </c>
      <c r="S339" s="0" t="n">
        <f aca="false">W_PH(S$2,$A339)</f>
        <v>2923.87751021058</v>
      </c>
      <c r="T339" s="0" t="n">
        <f aca="false">W_PH(T$2,$A339)</f>
        <v>2923.8938779828</v>
      </c>
      <c r="U339" s="0" t="n">
        <f aca="false">W_PH(U$2,$A339)</f>
        <v>2923.91024654619</v>
      </c>
      <c r="V339" s="0" t="n">
        <f aca="false">W_PH(V$2,$A339)</f>
        <v>2923.92662020413</v>
      </c>
      <c r="W339" s="0" t="n">
        <f aca="false">W_PH(W$2,$A339)</f>
        <v>2923.94299466231</v>
      </c>
      <c r="X339" s="0" t="n">
        <f aca="false">W_PH(X$2,$A339)</f>
        <v>2923.95936992512</v>
      </c>
      <c r="Y339" s="0" t="n">
        <f aca="false">W_PH(Y$2,$A339)</f>
        <v>2924.12313336606</v>
      </c>
      <c r="Z339" s="0" t="n">
        <f aca="false">W_PH(Z$2,$A339)</f>
        <v>2924.28696486001</v>
      </c>
      <c r="AA339" s="0" t="n">
        <f aca="false">W_PH(AA$2,$A339)</f>
        <v>2924.4508601647</v>
      </c>
      <c r="AB339" s="0" t="n">
        <f aca="false">W_PH(AB$2,$A339)</f>
        <v>2924.61483224567</v>
      </c>
      <c r="AC339" s="0" t="n">
        <f aca="false">W_PH(AC$2,$A339)</f>
        <v>2924.77886823742</v>
      </c>
      <c r="AD339" s="0" t="n">
        <f aca="false">W_PH(AD$2,$A339)</f>
        <v>2924.94298971611</v>
      </c>
      <c r="AE339" s="0" t="n">
        <f aca="false">W_PH(AE$2,$A339)</f>
        <v>2925.10719242077</v>
      </c>
      <c r="AF339" s="0" t="n">
        <f aca="false">W_PH(AF$2,$A339)</f>
        <v>2925.27148069963</v>
      </c>
      <c r="AG339" s="0" t="n">
        <f aca="false">W_PH(AG$2,$A339)</f>
        <v>2925.43586321235</v>
      </c>
      <c r="AH339" s="0" t="n">
        <f aca="false">W_PH(AH$2,$A339)</f>
        <v>2927.08560225137</v>
      </c>
      <c r="AI339" s="0" t="n">
        <f aca="false">W_PH(AI$2,$A339)</f>
        <v>2928.7490207548</v>
      </c>
      <c r="AJ339" s="0" t="n">
        <f aca="false">W_PH(AJ$2,$A339)</f>
        <v>2930.43025129581</v>
      </c>
      <c r="AK339" s="0" t="n">
        <f aca="false">W_PH(AK$2,$A339)</f>
        <v>2932.13340463327</v>
      </c>
      <c r="AL339" s="0" t="n">
        <f aca="false">W_PH(AL$2,$A339)</f>
        <v>2933.86259671059</v>
      </c>
      <c r="AM339" s="0" t="n">
        <f aca="false">W_PH(AM$2,$A339)</f>
        <v>2935.62190145383</v>
      </c>
      <c r="AN339" s="0" t="n">
        <f aca="false">W_PH(AN$2,$A339)</f>
        <v>2937.41540427937</v>
      </c>
      <c r="AO339" s="0" t="n">
        <f aca="false">W_PH(AO$2,$A339)</f>
        <v>2939.24716813589</v>
      </c>
      <c r="AP339" s="0" t="n">
        <f aca="false">W_PH(AP$2,$A339)</f>
        <v>2015</v>
      </c>
      <c r="AQ339" s="0" t="n">
        <f aca="false">W_PH(AQ$2,$A339)</f>
        <v>2015</v>
      </c>
      <c r="AR339" s="0" t="n">
        <f aca="false">W_PH(AR$2,$A339)</f>
        <v>2015</v>
      </c>
      <c r="AS339" s="0" t="n">
        <f aca="false">W_PH(AS$2,$A339)</f>
        <v>2015</v>
      </c>
    </row>
    <row r="340" customFormat="false" ht="12.8" hidden="false" customHeight="false" outlineLevel="0" collapsed="false">
      <c r="A340" s="0" t="n">
        <v>2149.61306964746</v>
      </c>
      <c r="B340" s="0" t="n">
        <f aca="false">W_PH(B$2,$A340)</f>
        <v>2015</v>
      </c>
      <c r="C340" s="0" t="n">
        <f aca="false">W_PH(C$2,$A340)</f>
        <v>2927.54402666798</v>
      </c>
      <c r="D340" s="0" t="n">
        <f aca="false">W_PH(D$2,$A340)</f>
        <v>2927.54419115668</v>
      </c>
      <c r="E340" s="0" t="n">
        <f aca="false">W_PH(E$2,$A340)</f>
        <v>2927.54435564545</v>
      </c>
      <c r="F340" s="0" t="n">
        <f aca="false">W_PH(F$2,$A340)</f>
        <v>2927.54451584218</v>
      </c>
      <c r="G340" s="0" t="n">
        <f aca="false">W_PH(G$2,$A340)</f>
        <v>2927.54616073477</v>
      </c>
      <c r="H340" s="0" t="n">
        <f aca="false">W_PH(H$2,$A340)</f>
        <v>2927.5478056349</v>
      </c>
      <c r="I340" s="0" t="n">
        <f aca="false">W_PH(I$2,$A340)</f>
        <v>2927.5494505426</v>
      </c>
      <c r="J340" s="0" t="n">
        <f aca="false">W_PH(J$2,$A340)</f>
        <v>2927.55108687351</v>
      </c>
      <c r="K340" s="0" t="n">
        <f aca="false">W_PH(K$2,$A340)</f>
        <v>2927.5527317963</v>
      </c>
      <c r="L340" s="0" t="n">
        <f aca="false">W_PH(L$2,$A340)</f>
        <v>2927.55437672666</v>
      </c>
      <c r="M340" s="0" t="n">
        <f aca="false">W_PH(M$2,$A340)</f>
        <v>2927.55602166459</v>
      </c>
      <c r="N340" s="0" t="n">
        <f aca="false">W_PH(N$2,$A340)</f>
        <v>2927.55765802564</v>
      </c>
      <c r="O340" s="0" t="n">
        <f aca="false">W_PH(O$2,$A340)</f>
        <v>2927.5593029787</v>
      </c>
      <c r="P340" s="0" t="n">
        <f aca="false">W_PH(P$2,$A340)</f>
        <v>2927.57573575774</v>
      </c>
      <c r="Q340" s="0" t="n">
        <f aca="false">W_PH(Q$2,$A340)</f>
        <v>2927.59216071352</v>
      </c>
      <c r="R340" s="0" t="n">
        <f aca="false">W_PH(R$2,$A340)</f>
        <v>2927.6085907276</v>
      </c>
      <c r="S340" s="0" t="n">
        <f aca="false">W_PH(S$2,$A340)</f>
        <v>2927.62502151193</v>
      </c>
      <c r="T340" s="0" t="n">
        <f aca="false">W_PH(T$2,$A340)</f>
        <v>2927.64144877786</v>
      </c>
      <c r="U340" s="0" t="n">
        <f aca="false">W_PH(U$2,$A340)</f>
        <v>2927.65788540877</v>
      </c>
      <c r="V340" s="0" t="n">
        <f aca="false">W_PH(V$2,$A340)</f>
        <v>2927.6743142367</v>
      </c>
      <c r="W340" s="0" t="n">
        <f aca="false">W_PH(W$2,$A340)</f>
        <v>2927.69074385201</v>
      </c>
      <c r="X340" s="0" t="n">
        <f aca="false">W_PH(X$2,$A340)</f>
        <v>2927.70717855266</v>
      </c>
      <c r="Y340" s="0" t="n">
        <f aca="false">W_PH(Y$2,$A340)</f>
        <v>2927.87154001379</v>
      </c>
      <c r="Z340" s="0" t="n">
        <f aca="false">W_PH(Z$2,$A340)</f>
        <v>2928.03595537229</v>
      </c>
      <c r="AA340" s="0" t="n">
        <f aca="false">W_PH(AA$2,$A340)</f>
        <v>2928.20044184483</v>
      </c>
      <c r="AB340" s="0" t="n">
        <f aca="false">W_PH(AB$2,$A340)</f>
        <v>2928.36499516638</v>
      </c>
      <c r="AC340" s="0" t="n">
        <f aca="false">W_PH(AC$2,$A340)</f>
        <v>2928.52962826284</v>
      </c>
      <c r="AD340" s="0" t="n">
        <f aca="false">W_PH(AD$2,$A340)</f>
        <v>2928.69433255732</v>
      </c>
      <c r="AE340" s="0" t="n">
        <f aca="false">W_PH(AE$2,$A340)</f>
        <v>2928.8591166699</v>
      </c>
      <c r="AF340" s="0" t="n">
        <f aca="false">W_PH(AF$2,$A340)</f>
        <v>2929.02399783641</v>
      </c>
      <c r="AG340" s="0" t="n">
        <f aca="false">W_PH(AG$2,$A340)</f>
        <v>2929.18895885189</v>
      </c>
      <c r="AH340" s="0" t="n">
        <f aca="false">W_PH(AH$2,$A340)</f>
        <v>2930.8444606434</v>
      </c>
      <c r="AI340" s="0" t="n">
        <f aca="false">W_PH(AI$2,$A340)</f>
        <v>2932.51351152151</v>
      </c>
      <c r="AJ340" s="0" t="n">
        <f aca="false">W_PH(AJ$2,$A340)</f>
        <v>2934.20020304486</v>
      </c>
      <c r="AK340" s="0" t="n">
        <f aca="false">W_PH(AK$2,$A340)</f>
        <v>2935.90863572429</v>
      </c>
      <c r="AL340" s="0" t="n">
        <f aca="false">W_PH(AL$2,$A340)</f>
        <v>2937.64287638839</v>
      </c>
      <c r="AM340" s="0" t="n">
        <f aca="false">W_PH(AM$2,$A340)</f>
        <v>2939.40699388764</v>
      </c>
      <c r="AN340" s="0" t="n">
        <f aca="false">W_PH(AN$2,$A340)</f>
        <v>2941.20504267772</v>
      </c>
      <c r="AO340" s="0" t="n">
        <f aca="false">W_PH(AO$2,$A340)</f>
        <v>2943.04105500742</v>
      </c>
      <c r="AP340" s="0" t="n">
        <f aca="false">W_PH(AP$2,$A340)</f>
        <v>2015</v>
      </c>
      <c r="AQ340" s="0" t="n">
        <f aca="false">W_PH(AQ$2,$A340)</f>
        <v>2015</v>
      </c>
      <c r="AR340" s="0" t="n">
        <f aca="false">W_PH(AR$2,$A340)</f>
        <v>2015</v>
      </c>
      <c r="AS340" s="0" t="n">
        <f aca="false">W_PH(AS$2,$A340)</f>
        <v>2015</v>
      </c>
    </row>
    <row r="341" customFormat="false" ht="12.8" hidden="false" customHeight="false" outlineLevel="0" collapsed="false">
      <c r="A341" s="0" t="n">
        <v>2153.91229578676</v>
      </c>
      <c r="B341" s="0" t="n">
        <f aca="false">W_PH(B$2,$A341)</f>
        <v>2015</v>
      </c>
      <c r="C341" s="0" t="n">
        <f aca="false">W_PH(C$2,$A341)</f>
        <v>2931.28292012729</v>
      </c>
      <c r="D341" s="0" t="n">
        <f aca="false">W_PH(D$2,$A341)</f>
        <v>2931.28308592431</v>
      </c>
      <c r="E341" s="0" t="n">
        <f aca="false">W_PH(E$2,$A341)</f>
        <v>2931.28325172141</v>
      </c>
      <c r="F341" s="0" t="n">
        <f aca="false">W_PH(F$2,$A341)</f>
        <v>2931.28341323213</v>
      </c>
      <c r="G341" s="0" t="n">
        <f aca="false">W_PH(G$2,$A341)</f>
        <v>2931.28506263503</v>
      </c>
      <c r="H341" s="0" t="n">
        <f aca="false">W_PH(H$2,$A341)</f>
        <v>2931.28671204535</v>
      </c>
      <c r="I341" s="0" t="n">
        <f aca="false">W_PH(I$2,$A341)</f>
        <v>2931.28836146309</v>
      </c>
      <c r="J341" s="0" t="n">
        <f aca="false">W_PH(J$2,$A341)</f>
        <v>2931.29001088827</v>
      </c>
      <c r="K341" s="0" t="n">
        <f aca="false">W_PH(K$2,$A341)</f>
        <v>2931.29166032088</v>
      </c>
      <c r="L341" s="0" t="n">
        <f aca="false">W_PH(L$2,$A341)</f>
        <v>2931.29330976093</v>
      </c>
      <c r="M341" s="0" t="n">
        <f aca="false">W_PH(M$2,$A341)</f>
        <v>2931.29495920842</v>
      </c>
      <c r="N341" s="0" t="n">
        <f aca="false">W_PH(N$2,$A341)</f>
        <v>2931.29660437679</v>
      </c>
      <c r="O341" s="0" t="n">
        <f aca="false">W_PH(O$2,$A341)</f>
        <v>2931.29824955257</v>
      </c>
      <c r="P341" s="0" t="n">
        <f aca="false">W_PH(P$2,$A341)</f>
        <v>2931.31473601351</v>
      </c>
      <c r="Q341" s="0" t="n">
        <f aca="false">W_PH(Q$2,$A341)</f>
        <v>2931.33122322379</v>
      </c>
      <c r="R341" s="0" t="n">
        <f aca="false">W_PH(R$2,$A341)</f>
        <v>2931.34771118773</v>
      </c>
      <c r="S341" s="0" t="n">
        <f aca="false">W_PH(S$2,$A341)</f>
        <v>2931.36419990967</v>
      </c>
      <c r="T341" s="0" t="n">
        <f aca="false">W_PH(T$2,$A341)</f>
        <v>2931.38068939392</v>
      </c>
      <c r="U341" s="0" t="n">
        <f aca="false">W_PH(U$2,$A341)</f>
        <v>2931.39717964483</v>
      </c>
      <c r="V341" s="0" t="n">
        <f aca="false">W_PH(V$2,$A341)</f>
        <v>2931.41367066672</v>
      </c>
      <c r="W341" s="0" t="n">
        <f aca="false">W_PH(W$2,$A341)</f>
        <v>2931.4301624639</v>
      </c>
      <c r="X341" s="0" t="n">
        <f aca="false">W_PH(X$2,$A341)</f>
        <v>2931.44665504072</v>
      </c>
      <c r="Y341" s="0" t="n">
        <f aca="false">W_PH(Y$2,$A341)</f>
        <v>2931.61159461439</v>
      </c>
      <c r="Z341" s="0" t="n">
        <f aca="false">W_PH(Z$2,$A341)</f>
        <v>2931.77659972505</v>
      </c>
      <c r="AA341" s="0" t="n">
        <f aca="false">W_PH(AA$2,$A341)</f>
        <v>2931.94166180194</v>
      </c>
      <c r="AB341" s="0" t="n">
        <f aca="false">W_PH(AB$2,$A341)</f>
        <v>2932.10679801829</v>
      </c>
      <c r="AC341" s="0" t="n">
        <f aca="false">W_PH(AC$2,$A341)</f>
        <v>2932.27200408668</v>
      </c>
      <c r="AD341" s="0" t="n">
        <f aca="false">W_PH(AD$2,$A341)</f>
        <v>2932.43729289374</v>
      </c>
      <c r="AE341" s="0" t="n">
        <f aca="false">W_PH(AE$2,$A341)</f>
        <v>2932.60265584467</v>
      </c>
      <c r="AF341" s="0" t="n">
        <f aca="false">W_PH(AF$2,$A341)</f>
        <v>2932.76810582447</v>
      </c>
      <c r="AG341" s="0" t="n">
        <f aca="false">W_PH(AG$2,$A341)</f>
        <v>2932.93364712588</v>
      </c>
      <c r="AH341" s="0" t="n">
        <f aca="false">W_PH(AH$2,$A341)</f>
        <v>2934.59484053865</v>
      </c>
      <c r="AI341" s="0" t="n">
        <f aca="false">W_PH(AI$2,$A341)</f>
        <v>2936.26944247811</v>
      </c>
      <c r="AJ341" s="0" t="n">
        <f aca="false">W_PH(AJ$2,$A341)</f>
        <v>2937.96152539482</v>
      </c>
      <c r="AK341" s="0" t="n">
        <f aca="false">W_PH(AK$2,$A341)</f>
        <v>2939.67515805693</v>
      </c>
      <c r="AL341" s="0" t="n">
        <f aca="false">W_PH(AL$2,$A341)</f>
        <v>2941.41438461573</v>
      </c>
      <c r="AM341" s="0" t="n">
        <f aca="false">W_PH(AM$2,$A341)</f>
        <v>2943.18325160836</v>
      </c>
      <c r="AN341" s="0" t="n">
        <f aca="false">W_PH(AN$2,$A341)</f>
        <v>2944.98577394381</v>
      </c>
      <c r="AO341" s="0" t="n">
        <f aca="false">W_PH(AO$2,$A341)</f>
        <v>2946.82597537245</v>
      </c>
      <c r="AP341" s="0" t="n">
        <f aca="false">W_PH(AP$2,$A341)</f>
        <v>2015</v>
      </c>
      <c r="AQ341" s="0" t="n">
        <f aca="false">W_PH(AQ$2,$A341)</f>
        <v>2015</v>
      </c>
      <c r="AR341" s="0" t="n">
        <f aca="false">W_PH(AR$2,$A341)</f>
        <v>2015</v>
      </c>
      <c r="AS341" s="0" t="n">
        <f aca="false">W_PH(AS$2,$A341)</f>
        <v>2015</v>
      </c>
    </row>
    <row r="342" customFormat="false" ht="12.8" hidden="false" customHeight="false" outlineLevel="0" collapsed="false">
      <c r="A342" s="0" t="n">
        <v>2158.21152192605</v>
      </c>
      <c r="B342" s="0" t="n">
        <f aca="false">W_PH(B$2,$A342)</f>
        <v>2015</v>
      </c>
      <c r="C342" s="0" t="n">
        <f aca="false">W_PH(C$2,$A342)</f>
        <v>2935.0135455815</v>
      </c>
      <c r="D342" s="0" t="n">
        <f aca="false">W_PH(D$2,$A342)</f>
        <v>2935.01370838871</v>
      </c>
      <c r="E342" s="0" t="n">
        <f aca="false">W_PH(E$2,$A342)</f>
        <v>2935.01387975768</v>
      </c>
      <c r="F342" s="0" t="n">
        <f aca="false">W_PH(F$2,$A342)</f>
        <v>2935.01404256505</v>
      </c>
      <c r="G342" s="0" t="n">
        <f aca="false">W_PH(G$2,$A342)</f>
        <v>2935.01569632772</v>
      </c>
      <c r="H342" s="0" t="n">
        <f aca="false">W_PH(H$2,$A342)</f>
        <v>2935.01735009769</v>
      </c>
      <c r="I342" s="0" t="n">
        <f aca="false">W_PH(I$2,$A342)</f>
        <v>2935.01900387496</v>
      </c>
      <c r="J342" s="0" t="n">
        <f aca="false">W_PH(J$2,$A342)</f>
        <v>2935.02065765952</v>
      </c>
      <c r="K342" s="0" t="n">
        <f aca="false">W_PH(K$2,$A342)</f>
        <v>2935.02231145139</v>
      </c>
      <c r="L342" s="0" t="n">
        <f aca="false">W_PH(L$2,$A342)</f>
        <v>2935.02396525058</v>
      </c>
      <c r="M342" s="0" t="n">
        <f aca="false">W_PH(M$2,$A342)</f>
        <v>2935.02561905707</v>
      </c>
      <c r="N342" s="0" t="n">
        <f aca="false">W_PH(N$2,$A342)</f>
        <v>2935.02727715185</v>
      </c>
      <c r="O342" s="0" t="n">
        <f aca="false">W_PH(O$2,$A342)</f>
        <v>2935.02893525398</v>
      </c>
      <c r="P342" s="0" t="n">
        <f aca="false">W_PH(P$2,$A342)</f>
        <v>2935.04547386937</v>
      </c>
      <c r="Q342" s="0" t="n">
        <f aca="false">W_PH(Q$2,$A342)</f>
        <v>2935.06202178432</v>
      </c>
      <c r="R342" s="0" t="n">
        <f aca="false">W_PH(R$2,$A342)</f>
        <v>2935.07856615976</v>
      </c>
      <c r="S342" s="0" t="n">
        <f aca="false">W_PH(S$2,$A342)</f>
        <v>2935.09511128112</v>
      </c>
      <c r="T342" s="0" t="n">
        <f aca="false">W_PH(T$2,$A342)</f>
        <v>2935.11166143441</v>
      </c>
      <c r="U342" s="0" t="n">
        <f aca="false">W_PH(U$2,$A342)</f>
        <v>2935.12820377877</v>
      </c>
      <c r="V342" s="0" t="n">
        <f aca="false">W_PH(V$2,$A342)</f>
        <v>2935.14475544567</v>
      </c>
      <c r="W342" s="0" t="n">
        <f aca="false">W_PH(W$2,$A342)</f>
        <v>2935.16129931166</v>
      </c>
      <c r="X342" s="0" t="n">
        <f aca="false">W_PH(X$2,$A342)</f>
        <v>2935.17785250936</v>
      </c>
      <c r="Y342" s="0" t="n">
        <f aca="false">W_PH(Y$2,$A342)</f>
        <v>2935.3433676823</v>
      </c>
      <c r="Z342" s="0" t="n">
        <f aca="false">W_PH(Z$2,$A342)</f>
        <v>2935.50894288384</v>
      </c>
      <c r="AA342" s="0" t="n">
        <f aca="false">W_PH(AA$2,$A342)</f>
        <v>2935.674582387</v>
      </c>
      <c r="AB342" s="0" t="n">
        <f aca="false">W_PH(AB$2,$A342)</f>
        <v>2935.84029046326</v>
      </c>
      <c r="AC342" s="0" t="n">
        <f aca="false">W_PH(AC$2,$A342)</f>
        <v>2936.00607138259</v>
      </c>
      <c r="AD342" s="0" t="n">
        <f aca="false">W_PH(AD$2,$A342)</f>
        <v>2936.17192512231</v>
      </c>
      <c r="AE342" s="0" t="n">
        <f aca="false">W_PH(AE$2,$A342)</f>
        <v>2936.33786023755</v>
      </c>
      <c r="AF342" s="0" t="n">
        <f aca="false">W_PH(AF$2,$A342)</f>
        <v>2936.50387669967</v>
      </c>
      <c r="AG342" s="0" t="n">
        <f aca="false">W_PH(AG$2,$A342)</f>
        <v>2936.66998306374</v>
      </c>
      <c r="AH342" s="0" t="n">
        <f aca="false">W_PH(AH$2,$A342)</f>
        <v>2938.33679469299</v>
      </c>
      <c r="AI342" s="0" t="n">
        <f aca="false">W_PH(AI$2,$A342)</f>
        <v>2940.01686840643</v>
      </c>
      <c r="AJ342" s="0" t="n">
        <f aca="false">W_PH(AJ$2,$A342)</f>
        <v>2941.7142750636</v>
      </c>
      <c r="AK342" s="0" t="n">
        <f aca="false">W_PH(AK$2,$A342)</f>
        <v>2943.43303899212</v>
      </c>
      <c r="AL342" s="0" t="n">
        <f aca="false">W_PH(AL$2,$A342)</f>
        <v>2945.17718623362</v>
      </c>
      <c r="AM342" s="0" t="n">
        <f aca="false">W_PH(AM$2,$A342)</f>
        <v>2946.95073686609</v>
      </c>
      <c r="AN342" s="0" t="n">
        <f aca="false">W_PH(AN$2,$A342)</f>
        <v>2948.75767967481</v>
      </c>
      <c r="AO342" s="0" t="n">
        <f aca="false">W_PH(AO$2,$A342)</f>
        <v>2950.6020125436</v>
      </c>
      <c r="AP342" s="0" t="n">
        <f aca="false">W_PH(AP$2,$A342)</f>
        <v>2015</v>
      </c>
      <c r="AQ342" s="0" t="n">
        <f aca="false">W_PH(AQ$2,$A342)</f>
        <v>2015</v>
      </c>
      <c r="AR342" s="0" t="n">
        <f aca="false">W_PH(AR$2,$A342)</f>
        <v>2015</v>
      </c>
      <c r="AS342" s="0" t="n">
        <f aca="false">W_PH(AS$2,$A342)</f>
        <v>2015</v>
      </c>
    </row>
    <row r="343" customFormat="false" ht="12.8" hidden="false" customHeight="false" outlineLevel="0" collapsed="false">
      <c r="A343" s="0" t="n">
        <v>2162.51074806535</v>
      </c>
      <c r="B343" s="0" t="n">
        <f aca="false">W_PH(B$2,$A343)</f>
        <v>2015</v>
      </c>
      <c r="C343" s="0" t="n">
        <f aca="false">W_PH(C$2,$A343)</f>
        <v>2938.73595967539</v>
      </c>
      <c r="D343" s="0" t="n">
        <f aca="false">W_PH(D$2,$A343)</f>
        <v>2938.73612376217</v>
      </c>
      <c r="E343" s="0" t="n">
        <f aca="false">W_PH(E$2,$A343)</f>
        <v>2938.73628784903</v>
      </c>
      <c r="F343" s="0" t="n">
        <f aca="false">W_PH(F$2,$A343)</f>
        <v>2938.73646048648</v>
      </c>
      <c r="G343" s="0" t="n">
        <f aca="false">W_PH(G$2,$A343)</f>
        <v>2938.73811846076</v>
      </c>
      <c r="H343" s="0" t="n">
        <f aca="false">W_PH(H$2,$A343)</f>
        <v>2938.7397764422</v>
      </c>
      <c r="I343" s="0" t="n">
        <f aca="false">W_PH(I$2,$A343)</f>
        <v>2938.74143443081</v>
      </c>
      <c r="J343" s="0" t="n">
        <f aca="false">W_PH(J$2,$A343)</f>
        <v>2938.74310097725</v>
      </c>
      <c r="K343" s="0" t="n">
        <f aca="false">W_PH(K$2,$A343)</f>
        <v>2938.74475898024</v>
      </c>
      <c r="L343" s="0" t="n">
        <f aca="false">W_PH(L$2,$A343)</f>
        <v>2938.74641699042</v>
      </c>
      <c r="M343" s="0" t="n">
        <f aca="false">W_PH(M$2,$A343)</f>
        <v>2938.74807500779</v>
      </c>
      <c r="N343" s="0" t="n">
        <f aca="false">W_PH(N$2,$A343)</f>
        <v>2938.74974158311</v>
      </c>
      <c r="O343" s="0" t="n">
        <f aca="false">W_PH(O$2,$A343)</f>
        <v>2938.75139961489</v>
      </c>
      <c r="P343" s="0" t="n">
        <f aca="false">W_PH(P$2,$A343)</f>
        <v>2938.76799743162</v>
      </c>
      <c r="Q343" s="0" t="n">
        <f aca="false">W_PH(Q$2,$A343)</f>
        <v>2938.7846045252</v>
      </c>
      <c r="R343" s="0" t="n">
        <f aca="false">W_PH(R$2,$A343)</f>
        <v>2938.80120379744</v>
      </c>
      <c r="S343" s="0" t="n">
        <f aca="false">W_PH(S$2,$A343)</f>
        <v>2938.81780380369</v>
      </c>
      <c r="T343" s="0" t="n">
        <f aca="false">W_PH(T$2,$A343)</f>
        <v>2938.83440882434</v>
      </c>
      <c r="U343" s="0" t="n">
        <f aca="false">W_PH(U$2,$A343)</f>
        <v>2938.85101458783</v>
      </c>
      <c r="V343" s="0" t="n">
        <f aca="false">W_PH(V$2,$A343)</f>
        <v>2938.86761682202</v>
      </c>
      <c r="W343" s="0" t="n">
        <f aca="false">W_PH(W$2,$A343)</f>
        <v>2938.8842198073</v>
      </c>
      <c r="X343" s="0" t="n">
        <f aca="false">W_PH(X$2,$A343)</f>
        <v>2938.90082354793</v>
      </c>
      <c r="Y343" s="0" t="n">
        <f aca="false">W_PH(Y$2,$A343)</f>
        <v>2939.06691199413</v>
      </c>
      <c r="Z343" s="0" t="n">
        <f aca="false">W_PH(Z$2,$A343)</f>
        <v>2939.2330549984</v>
      </c>
      <c r="AA343" s="0" t="n">
        <f aca="false">W_PH(AA$2,$A343)</f>
        <v>2939.39925680066</v>
      </c>
      <c r="AB343" s="0" t="n">
        <f aca="false">W_PH(AB$2,$A343)</f>
        <v>2939.56553020445</v>
      </c>
      <c r="AC343" s="0" t="n">
        <f aca="false">W_PH(AC$2,$A343)</f>
        <v>2939.73187517146</v>
      </c>
      <c r="AD343" s="0" t="n">
        <f aca="false">W_PH(AD$2,$A343)</f>
        <v>2939.89829165611</v>
      </c>
      <c r="AE343" s="0" t="n">
        <f aca="false">W_PH(AE$2,$A343)</f>
        <v>2940.06478817931</v>
      </c>
      <c r="AF343" s="0" t="n">
        <f aca="false">W_PH(AF$2,$A343)</f>
        <v>2940.2313732663</v>
      </c>
      <c r="AG343" s="0" t="n">
        <f aca="false">W_PH(AG$2,$A343)</f>
        <v>2940.3980339977</v>
      </c>
      <c r="AH343" s="0" t="n">
        <f aca="false">W_PH(AH$2,$A343)</f>
        <v>2942.07037528079</v>
      </c>
      <c r="AI343" s="0" t="n">
        <f aca="false">W_PH(AI$2,$A343)</f>
        <v>2943.75586074321</v>
      </c>
      <c r="AJ343" s="0" t="n">
        <f aca="false">W_PH(AJ$2,$A343)</f>
        <v>2945.45851677892</v>
      </c>
      <c r="AK343" s="0" t="n">
        <f aca="false">W_PH(AK$2,$A343)</f>
        <v>2947.18234514792</v>
      </c>
      <c r="AL343" s="0" t="n">
        <f aca="false">W_PH(AL$2,$A343)</f>
        <v>2948.93134969125</v>
      </c>
      <c r="AM343" s="0" t="n">
        <f aca="false">W_PH(AM$2,$A343)</f>
        <v>2950.70951115176</v>
      </c>
      <c r="AN343" s="0" t="n">
        <f aca="false">W_PH(AN$2,$A343)</f>
        <v>2952.52081424486</v>
      </c>
      <c r="AO343" s="0" t="n">
        <f aca="false">W_PH(AO$2,$A343)</f>
        <v>2954.36921810053</v>
      </c>
      <c r="AP343" s="0" t="n">
        <f aca="false">W_PH(AP$2,$A343)</f>
        <v>2015</v>
      </c>
      <c r="AQ343" s="0" t="n">
        <f aca="false">W_PH(AQ$2,$A343)</f>
        <v>2015</v>
      </c>
      <c r="AR343" s="0" t="n">
        <f aca="false">W_PH(AR$2,$A343)</f>
        <v>2015</v>
      </c>
      <c r="AS343" s="0" t="n">
        <f aca="false">W_PH(AS$2,$A343)</f>
        <v>2015</v>
      </c>
    </row>
    <row r="344" customFormat="false" ht="12.8" hidden="false" customHeight="false" outlineLevel="0" collapsed="false">
      <c r="A344" s="0" t="n">
        <v>2166.80997420464</v>
      </c>
      <c r="B344" s="0" t="n">
        <f aca="false">W_PH(B$2,$A344)</f>
        <v>2015</v>
      </c>
      <c r="C344" s="0" t="n">
        <f aca="false">W_PH(C$2,$A344)</f>
        <v>2942.45021851344</v>
      </c>
      <c r="D344" s="0" t="n">
        <f aca="false">W_PH(D$2,$A344)</f>
        <v>2942.45038386296</v>
      </c>
      <c r="E344" s="0" t="n">
        <f aca="false">W_PH(E$2,$A344)</f>
        <v>2942.45054921256</v>
      </c>
      <c r="F344" s="0" t="n">
        <f aca="false">W_PH(F$2,$A344)</f>
        <v>2942.45071883195</v>
      </c>
      <c r="G344" s="0" t="n">
        <f aca="false">W_PH(G$2,$A344)</f>
        <v>2942.4523851417</v>
      </c>
      <c r="H344" s="0" t="n">
        <f aca="false">W_PH(H$2,$A344)</f>
        <v>2942.45404718876</v>
      </c>
      <c r="I344" s="0" t="n">
        <f aca="false">W_PH(I$2,$A344)</f>
        <v>2942.4557177824</v>
      </c>
      <c r="J344" s="0" t="n">
        <f aca="false">W_PH(J$2,$A344)</f>
        <v>2942.45737984359</v>
      </c>
      <c r="K344" s="0" t="n">
        <f aca="false">W_PH(K$2,$A344)</f>
        <v>2942.45905045142</v>
      </c>
      <c r="L344" s="0" t="n">
        <f aca="false">W_PH(L$2,$A344)</f>
        <v>2942.46071252675</v>
      </c>
      <c r="M344" s="0" t="n">
        <f aca="false">W_PH(M$2,$A344)</f>
        <v>2942.46237887897</v>
      </c>
      <c r="N344" s="0" t="n">
        <f aca="false">W_PH(N$2,$A344)</f>
        <v>2942.46404523828</v>
      </c>
      <c r="O344" s="0" t="n">
        <f aca="false">W_PH(O$2,$A344)</f>
        <v>2942.46570733484</v>
      </c>
      <c r="P344" s="0" t="n">
        <f aca="false">W_PH(P$2,$A344)</f>
        <v>2942.48236712026</v>
      </c>
      <c r="Q344" s="0" t="n">
        <f aca="false">W_PH(Q$2,$A344)</f>
        <v>2942.49902762005</v>
      </c>
      <c r="R344" s="0" t="n">
        <f aca="false">W_PH(R$2,$A344)</f>
        <v>2942.51568456817</v>
      </c>
      <c r="S344" s="0" t="n">
        <f aca="false">W_PH(S$2,$A344)</f>
        <v>2942.53234223887</v>
      </c>
      <c r="T344" s="0" t="n">
        <f aca="false">W_PH(T$2,$A344)</f>
        <v>2942.54900063638</v>
      </c>
      <c r="U344" s="0" t="n">
        <f aca="false">W_PH(U$2,$A344)</f>
        <v>2942.56565976494</v>
      </c>
      <c r="V344" s="0" t="n">
        <f aca="false">W_PH(V$2,$A344)</f>
        <v>2942.5823196288</v>
      </c>
      <c r="W344" s="0" t="n">
        <f aca="false">W_PH(W$2,$A344)</f>
        <v>2942.59898023218</v>
      </c>
      <c r="X344" s="0" t="n">
        <f aca="false">W_PH(X$2,$A344)</f>
        <v>2942.61564157934</v>
      </c>
      <c r="Y344" s="0" t="n">
        <f aca="false">W_PH(Y$2,$A344)</f>
        <v>2942.78228834588</v>
      </c>
      <c r="Z344" s="0" t="n">
        <f aca="false">W_PH(Z$2,$A344)</f>
        <v>2942.94898850252</v>
      </c>
      <c r="AA344" s="0" t="n">
        <f aca="false">W_PH(AA$2,$A344)</f>
        <v>2943.11575481174</v>
      </c>
      <c r="AB344" s="0" t="n">
        <f aca="false">W_PH(AB$2,$A344)</f>
        <v>2943.28258293852</v>
      </c>
      <c r="AC344" s="0" t="n">
        <f aca="false">W_PH(AC$2,$A344)</f>
        <v>2943.44948136985</v>
      </c>
      <c r="AD344" s="0" t="n">
        <f aca="false">W_PH(AD$2,$A344)</f>
        <v>2943.61645431729</v>
      </c>
      <c r="AE344" s="0" t="n">
        <f aca="false">W_PH(AE$2,$A344)</f>
        <v>2943.78350599093</v>
      </c>
      <c r="AF344" s="0" t="n">
        <f aca="false">W_PH(AF$2,$A344)</f>
        <v>2943.95064059944</v>
      </c>
      <c r="AG344" s="0" t="n">
        <f aca="false">W_PH(AG$2,$A344)</f>
        <v>2944.11785806597</v>
      </c>
      <c r="AH344" s="0" t="n">
        <f aca="false">W_PH(AH$2,$A344)</f>
        <v>2945.79565969481</v>
      </c>
      <c r="AI344" s="0" t="n">
        <f aca="false">W_PH(AI$2,$A344)</f>
        <v>2947.4864815949</v>
      </c>
      <c r="AJ344" s="0" t="n">
        <f aca="false">W_PH(AJ$2,$A344)</f>
        <v>2949.19430592183</v>
      </c>
      <c r="AK344" s="0" t="n">
        <f aca="false">W_PH(AK$2,$A344)</f>
        <v>2950.92312505173</v>
      </c>
      <c r="AL344" s="0" t="n">
        <f aca="false">W_PH(AL$2,$A344)</f>
        <v>2952.67692090436</v>
      </c>
      <c r="AM344" s="0" t="n">
        <f aca="false">W_PH(AM$2,$A344)</f>
        <v>2954.45964394472</v>
      </c>
      <c r="AN344" s="0" t="n">
        <f aca="false">W_PH(AN$2,$A344)</f>
        <v>2956.27524882573</v>
      </c>
      <c r="AO344" s="0" t="n">
        <f aca="false">W_PH(AO$2,$A344)</f>
        <v>2958.12766925464</v>
      </c>
      <c r="AP344" s="0" t="n">
        <f aca="false">W_PH(AP$2,$A344)</f>
        <v>2015</v>
      </c>
      <c r="AQ344" s="0" t="n">
        <f aca="false">W_PH(AQ$2,$A344)</f>
        <v>2015</v>
      </c>
      <c r="AR344" s="0" t="n">
        <f aca="false">W_PH(AR$2,$A344)</f>
        <v>2015</v>
      </c>
      <c r="AS344" s="0" t="n">
        <f aca="false">W_PH(AS$2,$A344)</f>
        <v>2015</v>
      </c>
    </row>
    <row r="345" customFormat="false" ht="12.8" hidden="false" customHeight="false" outlineLevel="0" collapsed="false">
      <c r="A345" s="0" t="n">
        <v>2171.10920034394</v>
      </c>
      <c r="B345" s="0" t="n">
        <f aca="false">W_PH(B$2,$A345)</f>
        <v>2015</v>
      </c>
      <c r="C345" s="0" t="n">
        <f aca="false">W_PH(C$2,$A345)</f>
        <v>2946.15638193271</v>
      </c>
      <c r="D345" s="0" t="n">
        <f aca="false">W_PH(D$2,$A345)</f>
        <v>2946.15654852841</v>
      </c>
      <c r="E345" s="0" t="n">
        <f aca="false">W_PH(E$2,$A345)</f>
        <v>2946.15671938838</v>
      </c>
      <c r="F345" s="0" t="n">
        <f aca="false">W_PH(F$2,$A345)</f>
        <v>2946.15688598422</v>
      </c>
      <c r="G345" s="0" t="n">
        <f aca="false">W_PH(G$2,$A345)</f>
        <v>2946.15855194642</v>
      </c>
      <c r="H345" s="0" t="n">
        <f aca="false">W_PH(H$2,$A345)</f>
        <v>2946.16022644402</v>
      </c>
      <c r="I345" s="0" t="n">
        <f aca="false">W_PH(I$2,$A345)</f>
        <v>2946.16189668434</v>
      </c>
      <c r="J345" s="0" t="n">
        <f aca="false">W_PH(J$2,$A345)</f>
        <v>2946.16356693162</v>
      </c>
      <c r="K345" s="0" t="n">
        <f aca="false">W_PH(K$2,$A345)</f>
        <v>2946.16524145014</v>
      </c>
      <c r="L345" s="0" t="n">
        <f aca="false">W_PH(L$2,$A345)</f>
        <v>2946.16690744706</v>
      </c>
      <c r="M345" s="0" t="n">
        <f aca="false">W_PH(M$2,$A345)</f>
        <v>2946.16858197954</v>
      </c>
      <c r="N345" s="0" t="n">
        <f aca="false">W_PH(N$2,$A345)</f>
        <v>2946.1702522547</v>
      </c>
      <c r="O345" s="0" t="n">
        <f aca="false">W_PH(O$2,$A345)</f>
        <v>2946.17192253683</v>
      </c>
      <c r="P345" s="0" t="n">
        <f aca="false">W_PH(P$2,$A345)</f>
        <v>2946.18863427177</v>
      </c>
      <c r="Q345" s="0" t="n">
        <f aca="false">W_PH(Q$2,$A345)</f>
        <v>2946.20534670959</v>
      </c>
      <c r="R345" s="0" t="n">
        <f aca="false">W_PH(R$2,$A345)</f>
        <v>2946.22205985449</v>
      </c>
      <c r="S345" s="0" t="n">
        <f aca="false">W_PH(S$2,$A345)</f>
        <v>2946.23877371068</v>
      </c>
      <c r="T345" s="0" t="n">
        <f aca="false">W_PH(T$2,$A345)</f>
        <v>2946.25548828238</v>
      </c>
      <c r="U345" s="0" t="n">
        <f aca="false">W_PH(U$2,$A345)</f>
        <v>2946.27220357381</v>
      </c>
      <c r="V345" s="0" t="n">
        <f aca="false">W_PH(V$2,$A345)</f>
        <v>2946.28891958916</v>
      </c>
      <c r="W345" s="0" t="n">
        <f aca="false">W_PH(W$2,$A345)</f>
        <v>2946.30563633266</v>
      </c>
      <c r="X345" s="0" t="n">
        <f aca="false">W_PH(X$2,$A345)</f>
        <v>2946.32235380852</v>
      </c>
      <c r="Y345" s="0" t="n">
        <f aca="false">W_PH(Y$2,$A345)</f>
        <v>2946.48955270484</v>
      </c>
      <c r="Z345" s="0" t="n">
        <f aca="false">W_PH(Z$2,$A345)</f>
        <v>2946.65680384605</v>
      </c>
      <c r="AA345" s="0" t="n">
        <f aca="false">W_PH(AA$2,$A345)</f>
        <v>2946.82411995542</v>
      </c>
      <c r="AB345" s="0" t="n">
        <f aca="false">W_PH(AB$2,$A345)</f>
        <v>2946.99149668096</v>
      </c>
      <c r="AC345" s="0" t="n">
        <f aca="false">W_PH(AC$2,$A345)</f>
        <v>2947.15894674878</v>
      </c>
      <c r="AD345" s="0" t="n">
        <f aca="false">W_PH(AD$2,$A345)</f>
        <v>2947.32646579838</v>
      </c>
      <c r="AE345" s="0" t="n">
        <f aca="false">W_PH(AE$2,$A345)</f>
        <v>2947.49406655875</v>
      </c>
      <c r="AF345" s="0" t="n">
        <f aca="false">W_PH(AF$2,$A345)</f>
        <v>2947.66174466087</v>
      </c>
      <c r="AG345" s="0" t="n">
        <f aca="false">W_PH(AG$2,$A345)</f>
        <v>2947.8295042798</v>
      </c>
      <c r="AH345" s="0" t="n">
        <f aca="false">W_PH(AH$2,$A345)</f>
        <v>2949.51269887041</v>
      </c>
      <c r="AI345" s="0" t="n">
        <f aca="false">W_PH(AI$2,$A345)</f>
        <v>2951.20877519667</v>
      </c>
      <c r="AJ345" s="0" t="n">
        <f aca="false">W_PH(AJ$2,$A345)</f>
        <v>2952.92170588141</v>
      </c>
      <c r="AK345" s="0" t="n">
        <f aca="false">W_PH(AK$2,$A345)</f>
        <v>2954.65545695218</v>
      </c>
      <c r="AL345" s="0" t="n">
        <f aca="false">W_PH(AL$2,$A345)</f>
        <v>2956.41397994493</v>
      </c>
      <c r="AM345" s="0" t="n">
        <f aca="false">W_PH(AM$2,$A345)</f>
        <v>2958.20119521834</v>
      </c>
      <c r="AN345" s="0" t="n">
        <f aca="false">W_PH(AN$2,$A345)</f>
        <v>2960.021036279</v>
      </c>
      <c r="AO345" s="0" t="n">
        <f aca="false">W_PH(AO$2,$A345)</f>
        <v>2961.87742479805</v>
      </c>
      <c r="AP345" s="0" t="n">
        <f aca="false">W_PH(AP$2,$A345)</f>
        <v>2015</v>
      </c>
      <c r="AQ345" s="0" t="n">
        <f aca="false">W_PH(AQ$2,$A345)</f>
        <v>2015</v>
      </c>
      <c r="AR345" s="0" t="n">
        <f aca="false">W_PH(AR$2,$A345)</f>
        <v>2015</v>
      </c>
      <c r="AS345" s="0" t="n">
        <f aca="false">W_PH(AS$2,$A345)</f>
        <v>2015</v>
      </c>
    </row>
    <row r="346" customFormat="false" ht="12.8" hidden="false" customHeight="false" outlineLevel="0" collapsed="false">
      <c r="A346" s="0" t="n">
        <v>2175.40842648323</v>
      </c>
      <c r="B346" s="0" t="n">
        <f aca="false">W_PH(B$2,$A346)</f>
        <v>2015</v>
      </c>
      <c r="C346" s="0" t="n">
        <f aca="false">W_PH(C$2,$A346)</f>
        <v>2949.85450070774</v>
      </c>
      <c r="D346" s="0" t="n">
        <f aca="false">W_PH(D$2,$A346)</f>
        <v>2949.85466853328</v>
      </c>
      <c r="E346" s="0" t="n">
        <f aca="false">W_PH(E$2,$A346)</f>
        <v>2949.85483635889</v>
      </c>
      <c r="F346" s="0" t="n">
        <f aca="false">W_PH(F$2,$A346)</f>
        <v>2949.85500418456</v>
      </c>
      <c r="G346" s="0" t="n">
        <f aca="false">W_PH(G$2,$A346)</f>
        <v>2949.8566824451</v>
      </c>
      <c r="H346" s="0" t="n">
        <f aca="false">W_PH(H$2,$A346)</f>
        <v>2949.85836071249</v>
      </c>
      <c r="I346" s="0" t="n">
        <f aca="false">W_PH(I$2,$A346)</f>
        <v>2949.86003472796</v>
      </c>
      <c r="J346" s="0" t="n">
        <f aca="false">W_PH(J$2,$A346)</f>
        <v>2949.86170875027</v>
      </c>
      <c r="K346" s="0" t="n">
        <f aca="false">W_PH(K$2,$A346)</f>
        <v>2949.86338703822</v>
      </c>
      <c r="L346" s="0" t="n">
        <f aca="false">W_PH(L$2,$A346)</f>
        <v>2949.86506533304</v>
      </c>
      <c r="M346" s="0" t="n">
        <f aca="false">W_PH(M$2,$A346)</f>
        <v>2949.86674363473</v>
      </c>
      <c r="N346" s="0" t="n">
        <f aca="false">W_PH(N$2,$A346)</f>
        <v>2949.8684219433</v>
      </c>
      <c r="O346" s="0" t="n">
        <f aca="false">W_PH(O$2,$A346)</f>
        <v>2949.87009174104</v>
      </c>
      <c r="P346" s="0" t="n">
        <f aca="false">W_PH(P$2,$A346)</f>
        <v>2949.88686249784</v>
      </c>
      <c r="Q346" s="0" t="n">
        <f aca="false">W_PH(Q$2,$A346)</f>
        <v>2949.9036296876</v>
      </c>
      <c r="R346" s="0" t="n">
        <f aca="false">W_PH(R$2,$A346)</f>
        <v>2949.92039757335</v>
      </c>
      <c r="S346" s="0" t="n">
        <f aca="false">W_PH(S$2,$A346)</f>
        <v>2949.93716615929</v>
      </c>
      <c r="T346" s="0" t="n">
        <f aca="false">W_PH(T$2,$A346)</f>
        <v>2949.9539354496</v>
      </c>
      <c r="U346" s="0" t="n">
        <f aca="false">W_PH(U$2,$A346)</f>
        <v>2949.97070544847</v>
      </c>
      <c r="V346" s="0" t="n">
        <f aca="false">W_PH(V$2,$A346)</f>
        <v>2949.98747190022</v>
      </c>
      <c r="W346" s="0" t="n">
        <f aca="false">W_PH(W$2,$A346)</f>
        <v>2950.0042433286</v>
      </c>
      <c r="X346" s="0" t="n">
        <f aca="false">W_PH(X$2,$A346)</f>
        <v>2950.02101547808</v>
      </c>
      <c r="Y346" s="0" t="n">
        <f aca="false">W_PH(Y$2,$A346)</f>
        <v>2950.18876050763</v>
      </c>
      <c r="Z346" s="0" t="n">
        <f aca="false">W_PH(Z$2,$A346)</f>
        <v>2950.35655665919</v>
      </c>
      <c r="AA346" s="0" t="n">
        <f aca="false">W_PH(AA$2,$A346)</f>
        <v>2950.52440808849</v>
      </c>
      <c r="AB346" s="0" t="n">
        <f aca="false">W_PH(AB$2,$A346)</f>
        <v>2950.69233174709</v>
      </c>
      <c r="AC346" s="0" t="n">
        <f aca="false">W_PH(AC$2,$A346)</f>
        <v>2950.86031899913</v>
      </c>
      <c r="AD346" s="0" t="n">
        <f aca="false">W_PH(AD$2,$A346)</f>
        <v>2951.02838253329</v>
      </c>
      <c r="AE346" s="0" t="n">
        <f aca="false">W_PH(AE$2,$A346)</f>
        <v>2951.19651796828</v>
      </c>
      <c r="AF346" s="0" t="n">
        <f aca="false">W_PH(AF$2,$A346)</f>
        <v>2951.36473372428</v>
      </c>
      <c r="AG346" s="0" t="n">
        <f aca="false">W_PH(AG$2,$A346)</f>
        <v>2951.53303822572</v>
      </c>
      <c r="AH346" s="0" t="n">
        <f aca="false">W_PH(AH$2,$A346)</f>
        <v>2953.22154319153</v>
      </c>
      <c r="AI346" s="0" t="n">
        <f aca="false">W_PH(AI$2,$A346)</f>
        <v>2954.92281104782</v>
      </c>
      <c r="AJ346" s="0" t="n">
        <f aca="false">W_PH(AJ$2,$A346)</f>
        <v>2956.64078800449</v>
      </c>
      <c r="AK346" s="0" t="n">
        <f aca="false">W_PH(AK$2,$A346)</f>
        <v>2958.37939667895</v>
      </c>
      <c r="AL346" s="0" t="n">
        <f aca="false">W_PH(AL$2,$A346)</f>
        <v>2960.14257568263</v>
      </c>
      <c r="AM346" s="0" t="n">
        <f aca="false">W_PH(AM$2,$A346)</f>
        <v>2961.93422422733</v>
      </c>
      <c r="AN346" s="0" t="n">
        <f aca="false">W_PH(AN$2,$A346)</f>
        <v>2963.75825496956</v>
      </c>
      <c r="AO346" s="0" t="n">
        <f aca="false">W_PH(AO$2,$A346)</f>
        <v>2965.61855152953</v>
      </c>
      <c r="AP346" s="0" t="n">
        <f aca="false">W_PH(AP$2,$A346)</f>
        <v>2015</v>
      </c>
      <c r="AQ346" s="0" t="n">
        <f aca="false">W_PH(AQ$2,$A346)</f>
        <v>2015</v>
      </c>
      <c r="AR346" s="0" t="n">
        <f aca="false">W_PH(AR$2,$A346)</f>
        <v>2015</v>
      </c>
      <c r="AS346" s="0" t="n">
        <f aca="false">W_PH(AS$2,$A346)</f>
        <v>2015</v>
      </c>
    </row>
    <row r="347" customFormat="false" ht="12.8" hidden="false" customHeight="false" outlineLevel="0" collapsed="false">
      <c r="A347" s="0" t="n">
        <v>2179.70765262253</v>
      </c>
      <c r="B347" s="0" t="n">
        <f aca="false">W_PH(B$2,$A347)</f>
        <v>2015</v>
      </c>
      <c r="C347" s="0" t="n">
        <f aca="false">W_PH(C$2,$A347)</f>
        <v>2953.54463362675</v>
      </c>
      <c r="D347" s="0" t="n">
        <f aca="false">W_PH(D$2,$A347)</f>
        <v>2953.54480266604</v>
      </c>
      <c r="E347" s="0" t="n">
        <f aca="false">W_PH(E$2,$A347)</f>
        <v>2953.5449717054</v>
      </c>
      <c r="F347" s="0" t="n">
        <f aca="false">W_PH(F$2,$A347)</f>
        <v>2953.54514074482</v>
      </c>
      <c r="G347" s="0" t="n">
        <f aca="false">W_PH(G$2,$A347)</f>
        <v>2953.54682263621</v>
      </c>
      <c r="H347" s="0" t="n">
        <f aca="false">W_PH(H$2,$A347)</f>
        <v>2953.54850453432</v>
      </c>
      <c r="I347" s="0" t="n">
        <f aca="false">W_PH(I$2,$A347)</f>
        <v>2953.55018643918</v>
      </c>
      <c r="J347" s="0" t="n">
        <f aca="false">W_PH(J$2,$A347)</f>
        <v>2953.55186835077</v>
      </c>
      <c r="K347" s="0" t="n">
        <f aca="false">W_PH(K$2,$A347)</f>
        <v>2953.55355026912</v>
      </c>
      <c r="L347" s="0" t="n">
        <f aca="false">W_PH(L$2,$A347)</f>
        <v>2953.55523219421</v>
      </c>
      <c r="M347" s="0" t="n">
        <f aca="false">W_PH(M$2,$A347)</f>
        <v>2953.55691412607</v>
      </c>
      <c r="N347" s="0" t="n">
        <f aca="false">W_PH(N$2,$A347)</f>
        <v>2953.55859606468</v>
      </c>
      <c r="O347" s="0" t="n">
        <f aca="false">W_PH(O$2,$A347)</f>
        <v>2953.56027801005</v>
      </c>
      <c r="P347" s="0" t="n">
        <f aca="false">W_PH(P$2,$A347)</f>
        <v>2953.57709783669</v>
      </c>
      <c r="Q347" s="0" t="n">
        <f aca="false">W_PH(Q$2,$A347)</f>
        <v>2953.59392259795</v>
      </c>
      <c r="R347" s="0" t="n">
        <f aca="false">W_PH(R$2,$A347)</f>
        <v>2953.61074379073</v>
      </c>
      <c r="S347" s="0" t="n">
        <f aca="false">W_PH(S$2,$A347)</f>
        <v>2953.62756992671</v>
      </c>
      <c r="T347" s="0" t="n">
        <f aca="false">W_PH(T$2,$A347)</f>
        <v>2953.64439250226</v>
      </c>
      <c r="U347" s="0" t="n">
        <f aca="false">W_PH(U$2,$A347)</f>
        <v>2953.66121577535</v>
      </c>
      <c r="V347" s="0" t="n">
        <f aca="false">W_PH(V$2,$A347)</f>
        <v>2953.67803975014</v>
      </c>
      <c r="W347" s="0" t="n">
        <f aca="false">W_PH(W$2,$A347)</f>
        <v>2953.69486443079</v>
      </c>
      <c r="X347" s="0" t="n">
        <f aca="false">W_PH(X$2,$A347)</f>
        <v>2953.71168556679</v>
      </c>
      <c r="Y347" s="0" t="n">
        <f aca="false">W_PH(Y$2,$A347)</f>
        <v>2953.87996666866</v>
      </c>
      <c r="Z347" s="0" t="n">
        <f aca="false">W_PH(Z$2,$A347)</f>
        <v>2954.04829353136</v>
      </c>
      <c r="AA347" s="0" t="n">
        <f aca="false">W_PH(AA$2,$A347)</f>
        <v>2954.21669157311</v>
      </c>
      <c r="AB347" s="0" t="n">
        <f aca="false">W_PH(AB$2,$A347)</f>
        <v>2954.38514789652</v>
      </c>
      <c r="AC347" s="0" t="n">
        <f aca="false">W_PH(AC$2,$A347)</f>
        <v>2954.55366662711</v>
      </c>
      <c r="AD347" s="0" t="n">
        <f aca="false">W_PH(AD$2,$A347)</f>
        <v>2954.72226041503</v>
      </c>
      <c r="AE347" s="0" t="n">
        <f aca="false">W_PH(AE$2,$A347)</f>
        <v>2954.89093339144</v>
      </c>
      <c r="AF347" s="0" t="n">
        <f aca="false">W_PH(AF$2,$A347)</f>
        <v>2955.05968115457</v>
      </c>
      <c r="AG347" s="0" t="n">
        <f aca="false">W_PH(AG$2,$A347)</f>
        <v>2955.22851209175</v>
      </c>
      <c r="AH347" s="0" t="n">
        <f aca="false">W_PH(AH$2,$A347)</f>
        <v>2956.92225962363</v>
      </c>
      <c r="AI347" s="0" t="n">
        <f aca="false">W_PH(AI$2,$A347)</f>
        <v>2958.62864938637</v>
      </c>
      <c r="AJ347" s="0" t="n">
        <f aca="false">W_PH(AJ$2,$A347)</f>
        <v>2960.35159277354</v>
      </c>
      <c r="AK347" s="0" t="n">
        <f aca="false">W_PH(AK$2,$A347)</f>
        <v>2962.09499941891</v>
      </c>
      <c r="AL347" s="0" t="n">
        <f aca="false">W_PH(AL$2,$A347)</f>
        <v>2963.86277370133</v>
      </c>
      <c r="AM347" s="0" t="n">
        <f aca="false">W_PH(AM$2,$A347)</f>
        <v>2965.65879821495</v>
      </c>
      <c r="AN347" s="0" t="n">
        <f aca="false">W_PH(AN$2,$A347)</f>
        <v>2967.48695626066</v>
      </c>
      <c r="AO347" s="0" t="n">
        <f aca="false">W_PH(AO$2,$A347)</f>
        <v>2969.35110234009</v>
      </c>
      <c r="AP347" s="0" t="n">
        <f aca="false">W_PH(AP$2,$A347)</f>
        <v>2015</v>
      </c>
      <c r="AQ347" s="0" t="n">
        <f aca="false">W_PH(AQ$2,$A347)</f>
        <v>2015</v>
      </c>
      <c r="AR347" s="0" t="n">
        <f aca="false">W_PH(AR$2,$A347)</f>
        <v>2015</v>
      </c>
      <c r="AS347" s="0" t="n">
        <f aca="false">W_PH(AS$2,$A347)</f>
        <v>2015</v>
      </c>
    </row>
    <row r="348" customFormat="false" ht="12.8" hidden="false" customHeight="false" outlineLevel="0" collapsed="false">
      <c r="A348" s="0" t="n">
        <v>2184.00687876182</v>
      </c>
      <c r="B348" s="0" t="n">
        <f aca="false">W_PH(B$2,$A348)</f>
        <v>2015</v>
      </c>
      <c r="C348" s="0" t="n">
        <f aca="false">W_PH(C$2,$A348)</f>
        <v>2957.22683894958</v>
      </c>
      <c r="D348" s="0" t="n">
        <f aca="false">W_PH(D$2,$A348)</f>
        <v>2957.22700918677</v>
      </c>
      <c r="E348" s="0" t="n">
        <f aca="false">W_PH(E$2,$A348)</f>
        <v>2957.22717942402</v>
      </c>
      <c r="F348" s="0" t="n">
        <f aca="false">W_PH(F$2,$A348)</f>
        <v>2957.22734966135</v>
      </c>
      <c r="G348" s="0" t="n">
        <f aca="false">W_PH(G$2,$A348)</f>
        <v>2957.22903504669</v>
      </c>
      <c r="H348" s="0" t="n">
        <f aca="false">W_PH(H$2,$A348)</f>
        <v>2957.23072043865</v>
      </c>
      <c r="I348" s="0" t="n">
        <f aca="false">W_PH(I$2,$A348)</f>
        <v>2957.23240583724</v>
      </c>
      <c r="J348" s="0" t="n">
        <f aca="false">W_PH(J$2,$A348)</f>
        <v>2957.23409973831</v>
      </c>
      <c r="K348" s="0" t="n">
        <f aca="false">W_PH(K$2,$A348)</f>
        <v>2957.23578515017</v>
      </c>
      <c r="L348" s="0" t="n">
        <f aca="false">W_PH(L$2,$A348)</f>
        <v>2957.23747056867</v>
      </c>
      <c r="M348" s="0" t="n">
        <f aca="false">W_PH(M$2,$A348)</f>
        <v>2957.2391559938</v>
      </c>
      <c r="N348" s="0" t="n">
        <f aca="false">W_PH(N$2,$A348)</f>
        <v>2957.24084567356</v>
      </c>
      <c r="O348" s="0" t="n">
        <f aca="false">W_PH(O$2,$A348)</f>
        <v>2957.24253536</v>
      </c>
      <c r="P348" s="0" t="n">
        <f aca="false">W_PH(P$2,$A348)</f>
        <v>2957.25940710344</v>
      </c>
      <c r="Q348" s="0" t="n">
        <f aca="false">W_PH(Q$2,$A348)</f>
        <v>2957.27627951707</v>
      </c>
      <c r="R348" s="0" t="n">
        <f aca="false">W_PH(R$2,$A348)</f>
        <v>2957.29315685342</v>
      </c>
      <c r="S348" s="0" t="n">
        <f aca="false">W_PH(S$2,$A348)</f>
        <v>2957.3100348685</v>
      </c>
      <c r="T348" s="0" t="n">
        <f aca="false">W_PH(T$2,$A348)</f>
        <v>2957.32690931773</v>
      </c>
      <c r="U348" s="0" t="n">
        <f aca="false">W_PH(U$2,$A348)</f>
        <v>2957.34378445365</v>
      </c>
      <c r="V348" s="0" t="n">
        <f aca="false">W_PH(V$2,$A348)</f>
        <v>2957.36066028041</v>
      </c>
      <c r="W348" s="0" t="n">
        <f aca="false">W_PH(W$2,$A348)</f>
        <v>2957.37753680212</v>
      </c>
      <c r="X348" s="0" t="n">
        <f aca="false">W_PH(X$2,$A348)</f>
        <v>2957.39441402291</v>
      </c>
      <c r="Y348" s="0" t="n">
        <f aca="false">W_PH(Y$2,$A348)</f>
        <v>2957.56322558845</v>
      </c>
      <c r="Z348" s="0" t="n">
        <f aca="false">W_PH(Z$2,$A348)</f>
        <v>2957.73208609007</v>
      </c>
      <c r="AA348" s="0" t="n">
        <f aca="false">W_PH(AA$2,$A348)</f>
        <v>2957.90100813547</v>
      </c>
      <c r="AB348" s="0" t="n">
        <f aca="false">W_PH(AB$2,$A348)</f>
        <v>2958.06998732308</v>
      </c>
      <c r="AC348" s="0" t="n">
        <f aca="false">W_PH(AC$2,$A348)</f>
        <v>2958.23903626346</v>
      </c>
      <c r="AD348" s="0" t="n">
        <f aca="false">W_PH(AD$2,$A348)</f>
        <v>2958.40815906186</v>
      </c>
      <c r="AE348" s="0" t="n">
        <f aca="false">W_PH(AE$2,$A348)</f>
        <v>2958.57735130452</v>
      </c>
      <c r="AF348" s="0" t="n">
        <f aca="false">W_PH(AF$2,$A348)</f>
        <v>2958.74662560628</v>
      </c>
      <c r="AG348" s="0" t="n">
        <f aca="false">W_PH(AG$2,$A348)</f>
        <v>2958.91598180689</v>
      </c>
      <c r="AH348" s="0" t="n">
        <f aca="false">W_PH(AH$2,$A348)</f>
        <v>2960.61490595675</v>
      </c>
      <c r="AI348" s="0" t="n">
        <f aca="false">W_PH(AI$2,$A348)</f>
        <v>2962.32634125921</v>
      </c>
      <c r="AJ348" s="0" t="n">
        <f aca="false">W_PH(AJ$2,$A348)</f>
        <v>2964.05419025864</v>
      </c>
      <c r="AK348" s="0" t="n">
        <f aca="false">W_PH(AK$2,$A348)</f>
        <v>2965.80232835761</v>
      </c>
      <c r="AL348" s="0" t="n">
        <f aca="false">W_PH(AL$2,$A348)</f>
        <v>2967.57464319895</v>
      </c>
      <c r="AM348" s="0" t="n">
        <f aca="false">W_PH(AM$2,$A348)</f>
        <v>2969.37498367903</v>
      </c>
      <c r="AN348" s="0" t="n">
        <f aca="false">W_PH(AN$2,$A348)</f>
        <v>2971.20720390591</v>
      </c>
      <c r="AO348" s="0" t="n">
        <f aca="false">W_PH(AO$2,$A348)</f>
        <v>2973.07515561529</v>
      </c>
      <c r="AP348" s="0" t="n">
        <f aca="false">W_PH(AP$2,$A348)</f>
        <v>2015</v>
      </c>
      <c r="AQ348" s="0" t="n">
        <f aca="false">W_PH(AQ$2,$A348)</f>
        <v>2015</v>
      </c>
      <c r="AR348" s="0" t="n">
        <f aca="false">W_PH(AR$2,$A348)</f>
        <v>2015</v>
      </c>
      <c r="AS348" s="0" t="n">
        <f aca="false">W_PH(AS$2,$A348)</f>
        <v>2015</v>
      </c>
    </row>
    <row r="349" customFormat="false" ht="12.8" hidden="false" customHeight="false" outlineLevel="0" collapsed="false">
      <c r="A349" s="0" t="n">
        <v>2188.30610490112</v>
      </c>
      <c r="B349" s="0" t="n">
        <f aca="false">W_PH(B$2,$A349)</f>
        <v>2015</v>
      </c>
      <c r="C349" s="0" t="n">
        <f aca="false">W_PH(C$2,$A349)</f>
        <v>2960.90117017349</v>
      </c>
      <c r="D349" s="0" t="n">
        <f aca="false">W_PH(D$2,$A349)</f>
        <v>2960.90133735045</v>
      </c>
      <c r="E349" s="0" t="n">
        <f aca="false">W_PH(E$2,$A349)</f>
        <v>2960.90150452748</v>
      </c>
      <c r="F349" s="0" t="n">
        <f aca="false">W_PH(F$2,$A349)</f>
        <v>2960.90167594708</v>
      </c>
      <c r="G349" s="0" t="n">
        <f aca="false">W_PH(G$2,$A349)</f>
        <v>2960.90336469159</v>
      </c>
      <c r="H349" s="0" t="n">
        <f aca="false">W_PH(H$2,$A349)</f>
        <v>2960.90506192766</v>
      </c>
      <c r="I349" s="0" t="n">
        <f aca="false">W_PH(I$2,$A349)</f>
        <v>2960.90675068521</v>
      </c>
      <c r="J349" s="0" t="n">
        <f aca="false">W_PH(J$2,$A349)</f>
        <v>2960.90844793437</v>
      </c>
      <c r="K349" s="0" t="n">
        <f aca="false">W_PH(K$2,$A349)</f>
        <v>2960.91013670497</v>
      </c>
      <c r="L349" s="0" t="n">
        <f aca="false">W_PH(L$2,$A349)</f>
        <v>2960.91183396725</v>
      </c>
      <c r="M349" s="0" t="n">
        <f aca="false">W_PH(M$2,$A349)</f>
        <v>2960.91352275091</v>
      </c>
      <c r="N349" s="0" t="n">
        <f aca="false">W_PH(N$2,$A349)</f>
        <v>2960.9152157837</v>
      </c>
      <c r="O349" s="0" t="n">
        <f aca="false">W_PH(O$2,$A349)</f>
        <v>2960.91690882306</v>
      </c>
      <c r="P349" s="0" t="n">
        <f aca="false">W_PH(P$2,$A349)</f>
        <v>2960.93383533531</v>
      </c>
      <c r="Q349" s="0" t="n">
        <f aca="false">W_PH(Q$2,$A349)</f>
        <v>2960.95076250745</v>
      </c>
      <c r="R349" s="0" t="n">
        <f aca="false">W_PH(R$2,$A349)</f>
        <v>2960.96768610053</v>
      </c>
      <c r="S349" s="0" t="n">
        <f aca="false">W_PH(S$2,$A349)</f>
        <v>2960.98461884775</v>
      </c>
      <c r="T349" s="0" t="n">
        <f aca="false">W_PH(T$2,$A349)</f>
        <v>2961.00154378082</v>
      </c>
      <c r="U349" s="0" t="n">
        <f aca="false">W_PH(U$2,$A349)</f>
        <v>2961.01847363334</v>
      </c>
      <c r="V349" s="0" t="n">
        <f aca="false">W_PH(V$2,$A349)</f>
        <v>2961.03540416624</v>
      </c>
      <c r="W349" s="0" t="n">
        <f aca="false">W_PH(W$2,$A349)</f>
        <v>2961.05233113991</v>
      </c>
      <c r="X349" s="0" t="n">
        <f aca="false">W_PH(X$2,$A349)</f>
        <v>2961.06926304573</v>
      </c>
      <c r="Y349" s="0" t="n">
        <f aca="false">W_PH(Y$2,$A349)</f>
        <v>2961.23859116168</v>
      </c>
      <c r="Z349" s="0" t="n">
        <f aca="false">W_PH(Z$2,$A349)</f>
        <v>2961.40797988691</v>
      </c>
      <c r="AA349" s="0" t="n">
        <f aca="false">W_PH(AA$2,$A349)</f>
        <v>2961.57742056392</v>
      </c>
      <c r="AB349" s="0" t="n">
        <f aca="false">W_PH(AB$2,$A349)</f>
        <v>2961.74692576399</v>
      </c>
      <c r="AC349" s="0" t="n">
        <f aca="false">W_PH(AC$2,$A349)</f>
        <v>2961.91649106542</v>
      </c>
      <c r="AD349" s="0" t="n">
        <f aca="false">W_PH(AD$2,$A349)</f>
        <v>2962.08612904238</v>
      </c>
      <c r="AE349" s="0" t="n">
        <f aca="false">W_PH(AE$2,$A349)</f>
        <v>2962.25584377186</v>
      </c>
      <c r="AF349" s="0" t="n">
        <f aca="false">W_PH(AF$2,$A349)</f>
        <v>2962.42563082019</v>
      </c>
      <c r="AG349" s="0" t="n">
        <f aca="false">W_PH(AG$2,$A349)</f>
        <v>2962.59550276582</v>
      </c>
      <c r="AH349" s="0" t="n">
        <f aca="false">W_PH(AH$2,$A349)</f>
        <v>2964.29953087271</v>
      </c>
      <c r="AI349" s="0" t="n">
        <f aca="false">W_PH(AI$2,$A349)</f>
        <v>2966.01595428794</v>
      </c>
      <c r="AJ349" s="0" t="n">
        <f aca="false">W_PH(AJ$2,$A349)</f>
        <v>2967.74863266006</v>
      </c>
      <c r="AK349" s="0" t="n">
        <f aca="false">W_PH(AK$2,$A349)</f>
        <v>2969.50144601059</v>
      </c>
      <c r="AL349" s="0" t="n">
        <f aca="false">W_PH(AL$2,$A349)</f>
        <v>2971.27822671577</v>
      </c>
      <c r="AM349" s="0" t="n">
        <f aca="false">W_PH(AM$2,$A349)</f>
        <v>2973.08282037926</v>
      </c>
      <c r="AN349" s="0" t="n">
        <f aca="false">W_PH(AN$2,$A349)</f>
        <v>2974.91906092273</v>
      </c>
      <c r="AO349" s="0" t="n">
        <f aca="false">W_PH(AO$2,$A349)</f>
        <v>2976.79076274455</v>
      </c>
      <c r="AP349" s="0" t="n">
        <f aca="false">W_PH(AP$2,$A349)</f>
        <v>2015</v>
      </c>
      <c r="AQ349" s="0" t="n">
        <f aca="false">W_PH(AQ$2,$A349)</f>
        <v>2015</v>
      </c>
      <c r="AR349" s="0" t="n">
        <f aca="false">W_PH(AR$2,$A349)</f>
        <v>2015</v>
      </c>
      <c r="AS349" s="0" t="n">
        <f aca="false">W_PH(AS$2,$A349)</f>
        <v>2015</v>
      </c>
    </row>
    <row r="350" customFormat="false" ht="12.8" hidden="false" customHeight="false" outlineLevel="0" collapsed="false">
      <c r="A350" s="0" t="n">
        <v>2192.60533104041</v>
      </c>
      <c r="B350" s="0" t="n">
        <f aca="false">W_PH(B$2,$A350)</f>
        <v>2015</v>
      </c>
      <c r="C350" s="0" t="n">
        <f aca="false">W_PH(C$2,$A350)</f>
        <v>2964.56767183081</v>
      </c>
      <c r="D350" s="0" t="n">
        <f aca="false">W_PH(D$2,$A350)</f>
        <v>2964.56784018</v>
      </c>
      <c r="E350" s="0" t="n">
        <f aca="false">W_PH(E$2,$A350)</f>
        <v>2964.56800852926</v>
      </c>
      <c r="F350" s="0" t="n">
        <f aca="false">W_PH(F$2,$A350)</f>
        <v>2964.56818111573</v>
      </c>
      <c r="G350" s="0" t="n">
        <f aca="false">W_PH(G$2,$A350)</f>
        <v>2964.56988156106</v>
      </c>
      <c r="H350" s="0" t="n">
        <f aca="false">W_PH(H$2,$A350)</f>
        <v>2964.57157353848</v>
      </c>
      <c r="I350" s="0" t="n">
        <f aca="false">W_PH(I$2,$A350)</f>
        <v>2964.57327399667</v>
      </c>
      <c r="J350" s="0" t="n">
        <f aca="false">W_PH(J$2,$A350)</f>
        <v>2964.57497446132</v>
      </c>
      <c r="K350" s="0" t="n">
        <f aca="false">W_PH(K$2,$A350)</f>
        <v>2964.57666645797</v>
      </c>
      <c r="L350" s="0" t="n">
        <f aca="false">W_PH(L$2,$A350)</f>
        <v>2964.57836693549</v>
      </c>
      <c r="M350" s="0" t="n">
        <f aca="false">W_PH(M$2,$A350)</f>
        <v>2964.58006741948</v>
      </c>
      <c r="N350" s="0" t="n">
        <f aca="false">W_PH(N$2,$A350)</f>
        <v>2964.5817594354</v>
      </c>
      <c r="O350" s="0" t="n">
        <f aca="false">W_PH(O$2,$A350)</f>
        <v>2964.58345993229</v>
      </c>
      <c r="P350" s="0" t="n">
        <f aca="false">W_PH(P$2,$A350)</f>
        <v>2964.6004398334</v>
      </c>
      <c r="Q350" s="0" t="n">
        <f aca="false">W_PH(Q$2,$A350)</f>
        <v>2964.61741614668</v>
      </c>
      <c r="R350" s="0" t="n">
        <f aca="false">W_PH(R$2,$A350)</f>
        <v>2964.63439311348</v>
      </c>
      <c r="S350" s="0" t="n">
        <f aca="false">W_PH(S$2,$A350)</f>
        <v>2964.65137497568</v>
      </c>
      <c r="T350" s="0" t="n">
        <f aca="false">W_PH(T$2,$A350)</f>
        <v>2964.66835749982</v>
      </c>
      <c r="U350" s="0" t="n">
        <f aca="false">W_PH(U$2,$A350)</f>
        <v>2964.68533221382</v>
      </c>
      <c r="V350" s="0" t="n">
        <f aca="false">W_PH(V$2,$A350)</f>
        <v>2964.70231607378</v>
      </c>
      <c r="W350" s="0" t="n">
        <f aca="false">W_PH(W$2,$A350)</f>
        <v>2964.71930060791</v>
      </c>
      <c r="X350" s="0" t="n">
        <f aca="false">W_PH(X$2,$A350)</f>
        <v>2964.73627734331</v>
      </c>
      <c r="Y350" s="0" t="n">
        <f aca="false">W_PH(Y$2,$A350)</f>
        <v>2964.90612526484</v>
      </c>
      <c r="Z350" s="0" t="n">
        <f aca="false">W_PH(Z$2,$A350)</f>
        <v>2965.0760242569</v>
      </c>
      <c r="AA350" s="0" t="n">
        <f aca="false">W_PH(AA$2,$A350)</f>
        <v>2965.24598261337</v>
      </c>
      <c r="AB350" s="0" t="n">
        <f aca="false">W_PH(AB$2,$A350)</f>
        <v>2965.4160001445</v>
      </c>
      <c r="AC350" s="0" t="n">
        <f aca="false">W_PH(AC$2,$A350)</f>
        <v>2965.58607665395</v>
      </c>
      <c r="AD350" s="0" t="n">
        <f aca="false">W_PH(AD$2,$A350)</f>
        <v>2965.75622892489</v>
      </c>
      <c r="AE350" s="0" t="n">
        <f aca="false">W_PH(AE$2,$A350)</f>
        <v>2965.92644826806</v>
      </c>
      <c r="AF350" s="0" t="n">
        <f aca="false">W_PH(AF$2,$A350)</f>
        <v>2966.09675147216</v>
      </c>
      <c r="AG350" s="0" t="n">
        <f aca="false">W_PH(AG$2,$A350)</f>
        <v>2966.26712983742</v>
      </c>
      <c r="AH350" s="0" t="n">
        <f aca="false">W_PH(AH$2,$A350)</f>
        <v>2967.97619106636</v>
      </c>
      <c r="AI350" s="0" t="n">
        <f aca="false">W_PH(AI$2,$A350)</f>
        <v>2969.69752979142</v>
      </c>
      <c r="AJ350" s="0" t="n">
        <f aca="false">W_PH(AJ$2,$A350)</f>
        <v>2971.43498875957</v>
      </c>
      <c r="AK350" s="0" t="n">
        <f aca="false">W_PH(AK$2,$A350)</f>
        <v>2973.19239702306</v>
      </c>
      <c r="AL350" s="0" t="n">
        <f aca="false">W_PH(AL$2,$A350)</f>
        <v>2974.97359643661</v>
      </c>
      <c r="AM350" s="0" t="n">
        <f aca="false">W_PH(AM$2,$A350)</f>
        <v>2976.78239078836</v>
      </c>
      <c r="AN350" s="0" t="n">
        <f aca="false">W_PH(AN$2,$A350)</f>
        <v>2978.62258960536</v>
      </c>
      <c r="AO350" s="0" t="n">
        <f aca="false">W_PH(AO$2,$A350)</f>
        <v>2980.49798315066</v>
      </c>
      <c r="AP350" s="0" t="n">
        <f aca="false">W_PH(AP$2,$A350)</f>
        <v>2015</v>
      </c>
      <c r="AQ350" s="0" t="n">
        <f aca="false">W_PH(AQ$2,$A350)</f>
        <v>2015</v>
      </c>
      <c r="AR350" s="0" t="n">
        <f aca="false">W_PH(AR$2,$A350)</f>
        <v>2015</v>
      </c>
      <c r="AS350" s="0" t="n">
        <f aca="false">W_PH(AS$2,$A350)</f>
        <v>2015</v>
      </c>
    </row>
    <row r="351" customFormat="false" ht="12.8" hidden="false" customHeight="false" outlineLevel="0" collapsed="false">
      <c r="A351" s="0" t="n">
        <v>2196.90455717971</v>
      </c>
      <c r="B351" s="0" t="n">
        <f aca="false">W_PH(B$2,$A351)</f>
        <v>2015</v>
      </c>
      <c r="C351" s="0" t="n">
        <f aca="false">W_PH(C$2,$A351)</f>
        <v>2968.2264049408</v>
      </c>
      <c r="D351" s="0" t="n">
        <f aca="false">W_PH(D$2,$A351)</f>
        <v>2968.22657444701</v>
      </c>
      <c r="E351" s="0" t="n">
        <f aca="false">W_PH(E$2,$A351)</f>
        <v>2968.22674395329</v>
      </c>
      <c r="F351" s="0" t="n">
        <f aca="false">W_PH(F$2,$A351)</f>
        <v>2968.22691769146</v>
      </c>
      <c r="G351" s="0" t="n">
        <f aca="false">W_PH(G$2,$A351)</f>
        <v>2968.22861699017</v>
      </c>
      <c r="H351" s="0" t="n">
        <f aca="false">W_PH(H$2,$A351)</f>
        <v>2968.23032052704</v>
      </c>
      <c r="I351" s="0" t="n">
        <f aca="false">W_PH(I$2,$A351)</f>
        <v>2968.23201983836</v>
      </c>
      <c r="J351" s="0" t="n">
        <f aca="false">W_PH(J$2,$A351)</f>
        <v>2968.23372338788</v>
      </c>
      <c r="K351" s="0" t="n">
        <f aca="false">W_PH(K$2,$A351)</f>
        <v>2968.23542694374</v>
      </c>
      <c r="L351" s="0" t="n">
        <f aca="false">W_PH(L$2,$A351)</f>
        <v>2968.23713050594</v>
      </c>
      <c r="M351" s="0" t="n">
        <f aca="false">W_PH(M$2,$A351)</f>
        <v>2968.23883407449</v>
      </c>
      <c r="N351" s="0" t="n">
        <f aca="false">W_PH(N$2,$A351)</f>
        <v>2968.24053764939</v>
      </c>
      <c r="O351" s="0" t="n">
        <f aca="false">W_PH(O$2,$A351)</f>
        <v>2968.24224123065</v>
      </c>
      <c r="P351" s="0" t="n">
        <f aca="false">W_PH(P$2,$A351)</f>
        <v>2968.25926892945</v>
      </c>
      <c r="Q351" s="0" t="n">
        <f aca="false">W_PH(Q$2,$A351)</f>
        <v>2968.27629726769</v>
      </c>
      <c r="R351" s="0" t="n">
        <f aca="false">W_PH(R$2,$A351)</f>
        <v>2968.29332624941</v>
      </c>
      <c r="S351" s="0" t="n">
        <f aca="false">W_PH(S$2,$A351)</f>
        <v>2968.31035587865</v>
      </c>
      <c r="T351" s="0" t="n">
        <f aca="false">W_PH(T$2,$A351)</f>
        <v>2968.32738615947</v>
      </c>
      <c r="U351" s="0" t="n">
        <f aca="false">W_PH(U$2,$A351)</f>
        <v>2968.34442132867</v>
      </c>
      <c r="V351" s="0" t="n">
        <f aca="false">W_PH(V$2,$A351)</f>
        <v>2968.36145292492</v>
      </c>
      <c r="W351" s="0" t="n">
        <f aca="false">W_PH(W$2,$A351)</f>
        <v>2968.37848518488</v>
      </c>
      <c r="X351" s="0" t="n">
        <f aca="false">W_PH(X$2,$A351)</f>
        <v>2968.39551811261</v>
      </c>
      <c r="Y351" s="0" t="n">
        <f aca="false">W_PH(Y$2,$A351)</f>
        <v>2968.56587230364</v>
      </c>
      <c r="Z351" s="0" t="n">
        <f aca="false">W_PH(Z$2,$A351)</f>
        <v>2968.73627653464</v>
      </c>
      <c r="AA351" s="0" t="n">
        <f aca="false">W_PH(AA$2,$A351)</f>
        <v>2968.90673906763</v>
      </c>
      <c r="AB351" s="0" t="n">
        <f aca="false">W_PH(AB$2,$A351)</f>
        <v>2969.07726393024</v>
      </c>
      <c r="AC351" s="0" t="n">
        <f aca="false">W_PH(AC$2,$A351)</f>
        <v>2969.2478551489</v>
      </c>
      <c r="AD351" s="0" t="n">
        <f aca="false">W_PH(AD$2,$A351)</f>
        <v>2969.41850826653</v>
      </c>
      <c r="AE351" s="0" t="n">
        <f aca="false">W_PH(AE$2,$A351)</f>
        <v>2969.58923578404</v>
      </c>
      <c r="AF351" s="0" t="n">
        <f aca="false">W_PH(AF$2,$A351)</f>
        <v>2969.76003748038</v>
      </c>
      <c r="AG351" s="0" t="n">
        <f aca="false">W_PH(AG$2,$A351)</f>
        <v>2969.9309216182</v>
      </c>
      <c r="AH351" s="0" t="n">
        <f aca="false">W_PH(AH$2,$A351)</f>
        <v>2971.64494693956</v>
      </c>
      <c r="AI351" s="0" t="n">
        <f aca="false">W_PH(AI$2,$A351)</f>
        <v>2973.37113422488</v>
      </c>
      <c r="AJ351" s="0" t="n">
        <f aca="false">W_PH(AJ$2,$A351)</f>
        <v>2975.11329668603</v>
      </c>
      <c r="AK351" s="0" t="n">
        <f aca="false">W_PH(AK$2,$A351)</f>
        <v>2976.87525127106</v>
      </c>
      <c r="AL351" s="0" t="n">
        <f aca="false">W_PH(AL$2,$A351)</f>
        <v>2978.66080658055</v>
      </c>
      <c r="AM351" s="0" t="n">
        <f aca="false">W_PH(AM$2,$A351)</f>
        <v>2980.47374199634</v>
      </c>
      <c r="AN351" s="0" t="n">
        <f aca="false">W_PH(AN$2,$A351)</f>
        <v>2982.31784287046</v>
      </c>
      <c r="AO351" s="0" t="n">
        <f aca="false">W_PH(AO$2,$A351)</f>
        <v>2984.1968842353</v>
      </c>
      <c r="AP351" s="0" t="n">
        <f aca="false">W_PH(AP$2,$A351)</f>
        <v>2015</v>
      </c>
      <c r="AQ351" s="0" t="n">
        <f aca="false">W_PH(AQ$2,$A351)</f>
        <v>2015</v>
      </c>
      <c r="AR351" s="0" t="n">
        <f aca="false">W_PH(AR$2,$A351)</f>
        <v>2015</v>
      </c>
      <c r="AS351" s="0" t="n">
        <f aca="false">W_PH(AS$2,$A351)</f>
        <v>2015</v>
      </c>
    </row>
    <row r="352" customFormat="false" ht="12.8" hidden="false" customHeight="false" outlineLevel="0" collapsed="false">
      <c r="A352" s="0" t="n">
        <v>2201.203783319</v>
      </c>
      <c r="B352" s="0" t="n">
        <f aca="false">W_PH(B$2,$A352)</f>
        <v>2015</v>
      </c>
      <c r="C352" s="0" t="n">
        <f aca="false">W_PH(C$2,$A352)</f>
        <v>2971.87742155144</v>
      </c>
      <c r="D352" s="0" t="n">
        <f aca="false">W_PH(D$2,$A352)</f>
        <v>2971.87758797315</v>
      </c>
      <c r="E352" s="0" t="n">
        <f aca="false">W_PH(E$2,$A352)</f>
        <v>2971.87776284801</v>
      </c>
      <c r="F352" s="0" t="n">
        <f aca="false">W_PH(F$2,$A352)</f>
        <v>2971.87792926984</v>
      </c>
      <c r="G352" s="0" t="n">
        <f aca="false">W_PH(G$2,$A352)</f>
        <v>2971.87963575702</v>
      </c>
      <c r="H352" s="0" t="n">
        <f aca="false">W_PH(H$2,$A352)</f>
        <v>2971.88135070357</v>
      </c>
      <c r="I352" s="0" t="n">
        <f aca="false">W_PH(I$2,$A352)</f>
        <v>2971.88305720321</v>
      </c>
      <c r="J352" s="0" t="n">
        <f aca="false">W_PH(J$2,$A352)</f>
        <v>2971.88476370907</v>
      </c>
      <c r="K352" s="0" t="n">
        <f aca="false">W_PH(K$2,$A352)</f>
        <v>2971.88647022116</v>
      </c>
      <c r="L352" s="0" t="n">
        <f aca="false">W_PH(L$2,$A352)</f>
        <v>2971.88817673949</v>
      </c>
      <c r="M352" s="0" t="n">
        <f aca="false">W_PH(M$2,$A352)</f>
        <v>2971.88988326404</v>
      </c>
      <c r="N352" s="0" t="n">
        <f aca="false">W_PH(N$2,$A352)</f>
        <v>2971.8915940215</v>
      </c>
      <c r="O352" s="0" t="n">
        <f aca="false">W_PH(O$2,$A352)</f>
        <v>2971.89330478523</v>
      </c>
      <c r="P352" s="0" t="n">
        <f aca="false">W_PH(P$2,$A352)</f>
        <v>2971.91037895378</v>
      </c>
      <c r="Q352" s="0" t="n">
        <f aca="false">W_PH(Q$2,$A352)</f>
        <v>2971.92746220551</v>
      </c>
      <c r="R352" s="0" t="n">
        <f aca="false">W_PH(R$2,$A352)</f>
        <v>2971.94453763695</v>
      </c>
      <c r="S352" s="0" t="n">
        <f aca="false">W_PH(S$2,$A352)</f>
        <v>2971.96162216013</v>
      </c>
      <c r="T352" s="0" t="n">
        <f aca="false">W_PH(T$2,$A352)</f>
        <v>2971.97870309787</v>
      </c>
      <c r="U352" s="0" t="n">
        <f aca="false">W_PH(U$2,$A352)</f>
        <v>2971.99578468125</v>
      </c>
      <c r="V352" s="0" t="n">
        <f aca="false">W_PH(V$2,$A352)</f>
        <v>2972.01286691431</v>
      </c>
      <c r="W352" s="0" t="n">
        <f aca="false">W_PH(W$2,$A352)</f>
        <v>2972.02994980105</v>
      </c>
      <c r="X352" s="0" t="n">
        <f aca="false">W_PH(X$2,$A352)</f>
        <v>2972.04702911765</v>
      </c>
      <c r="Y352" s="0" t="n">
        <f aca="false">W_PH(Y$2,$A352)</f>
        <v>2972.21788470258</v>
      </c>
      <c r="Z352" s="0" t="n">
        <f aca="false">W_PH(Z$2,$A352)</f>
        <v>2972.38879354749</v>
      </c>
      <c r="AA352" s="0" t="n">
        <f aca="false">W_PH(AA$2,$A352)</f>
        <v>2972.559759655</v>
      </c>
      <c r="AB352" s="0" t="n">
        <f aca="false">W_PH(AB$2,$A352)</f>
        <v>2972.73077856032</v>
      </c>
      <c r="AC352" s="0" t="n">
        <f aca="false">W_PH(AC$2,$A352)</f>
        <v>2972.90187119345</v>
      </c>
      <c r="AD352" s="0" t="n">
        <f aca="false">W_PH(AD$2,$A352)</f>
        <v>2973.07302038265</v>
      </c>
      <c r="AE352" s="0" t="n">
        <f aca="false">W_PH(AE$2,$A352)</f>
        <v>2973.24424282505</v>
      </c>
      <c r="AF352" s="0" t="n">
        <f aca="false">W_PH(AF$2,$A352)</f>
        <v>2973.41554675562</v>
      </c>
      <c r="AG352" s="0" t="n">
        <f aca="false">W_PH(AG$2,$A352)</f>
        <v>2973.58692345477</v>
      </c>
      <c r="AH352" s="0" t="n">
        <f aca="false">W_PH(AH$2,$A352)</f>
        <v>2975.30584982415</v>
      </c>
      <c r="AI352" s="0" t="n">
        <f aca="false">W_PH(AI$2,$A352)</f>
        <v>2977.03681636051</v>
      </c>
      <c r="AJ352" s="0" t="n">
        <f aca="false">W_PH(AJ$2,$A352)</f>
        <v>2978.78362402821</v>
      </c>
      <c r="AK352" s="0" t="n">
        <f aca="false">W_PH(AK$2,$A352)</f>
        <v>2980.55006507247</v>
      </c>
      <c r="AL352" s="0" t="n">
        <f aca="false">W_PH(AL$2,$A352)</f>
        <v>2982.33991074941</v>
      </c>
      <c r="AM352" s="0" t="n">
        <f aca="false">W_PH(AM$2,$A352)</f>
        <v>2984.15692912926</v>
      </c>
      <c r="AN352" s="0" t="n">
        <f aca="false">W_PH(AN$2,$A352)</f>
        <v>2986.00488164226</v>
      </c>
      <c r="AO352" s="0" t="n">
        <f aca="false">W_PH(AO$2,$A352)</f>
        <v>2987.88751529435</v>
      </c>
      <c r="AP352" s="0" t="n">
        <f aca="false">W_PH(AP$2,$A352)</f>
        <v>2015</v>
      </c>
      <c r="AQ352" s="0" t="n">
        <f aca="false">W_PH(AQ$2,$A352)</f>
        <v>2015</v>
      </c>
      <c r="AR352" s="0" t="n">
        <f aca="false">W_PH(AR$2,$A352)</f>
        <v>2015</v>
      </c>
      <c r="AS352" s="0" t="n">
        <f aca="false">W_PH(AS$2,$A352)</f>
        <v>2015</v>
      </c>
    </row>
    <row r="353" customFormat="false" ht="12.8" hidden="false" customHeight="false" outlineLevel="0" collapsed="false">
      <c r="A353" s="0" t="n">
        <v>2205.5030094583</v>
      </c>
      <c r="B353" s="0" t="n">
        <f aca="false">W_PH(B$2,$A353)</f>
        <v>2015</v>
      </c>
      <c r="C353" s="0" t="n">
        <f aca="false">W_PH(C$2,$A353)</f>
        <v>2975.52076479999</v>
      </c>
      <c r="D353" s="0" t="n">
        <f aca="false">W_PH(D$2,$A353)</f>
        <v>2975.52094079681</v>
      </c>
      <c r="E353" s="0" t="n">
        <f aca="false">W_PH(E$2,$A353)</f>
        <v>2975.5211083511</v>
      </c>
      <c r="F353" s="0" t="n">
        <f aca="false">W_PH(F$2,$A353)</f>
        <v>2975.52128434805</v>
      </c>
      <c r="G353" s="0" t="n">
        <f aca="false">W_PH(G$2,$A353)</f>
        <v>2975.52299366528</v>
      </c>
      <c r="H353" s="0" t="n">
        <f aca="false">W_PH(H$2,$A353)</f>
        <v>2975.52470720994</v>
      </c>
      <c r="I353" s="0" t="n">
        <f aca="false">W_PH(I$2,$A353)</f>
        <v>2975.52642076074</v>
      </c>
      <c r="J353" s="0" t="n">
        <f aca="false">W_PH(J$2,$A353)</f>
        <v>2975.52813009633</v>
      </c>
      <c r="K353" s="0" t="n">
        <f aca="false">W_PH(K$2,$A353)</f>
        <v>2975.52984788077</v>
      </c>
      <c r="L353" s="0" t="n">
        <f aca="false">W_PH(L$2,$A353)</f>
        <v>2975.53155722862</v>
      </c>
      <c r="M353" s="0" t="n">
        <f aca="false">W_PH(M$2,$A353)</f>
        <v>2975.53327502538</v>
      </c>
      <c r="N353" s="0" t="n">
        <f aca="false">W_PH(N$2,$A353)</f>
        <v>2975.53498438551</v>
      </c>
      <c r="O353" s="0" t="n">
        <f aca="false">W_PH(O$2,$A353)</f>
        <v>2975.5366979732</v>
      </c>
      <c r="P353" s="0" t="n">
        <f aca="false">W_PH(P$2,$A353)</f>
        <v>2975.55382996816</v>
      </c>
      <c r="Q353" s="0" t="n">
        <f aca="false">W_PH(Q$2,$A353)</f>
        <v>2975.57095836154</v>
      </c>
      <c r="R353" s="0" t="n">
        <f aca="false">W_PH(R$2,$A353)</f>
        <v>2975.58808737875</v>
      </c>
      <c r="S353" s="0" t="n">
        <f aca="false">W_PH(S$2,$A353)</f>
        <v>2975.60521702378</v>
      </c>
      <c r="T353" s="0" t="n">
        <f aca="false">W_PH(T$2,$A353)</f>
        <v>2975.62234730064</v>
      </c>
      <c r="U353" s="0" t="n">
        <f aca="false">W_PH(U$2,$A353)</f>
        <v>2975.63947821331</v>
      </c>
      <c r="V353" s="0" t="n">
        <f aca="false">W_PH(V$2,$A353)</f>
        <v>2975.65660976579</v>
      </c>
      <c r="W353" s="0" t="n">
        <f aca="false">W_PH(W$2,$A353)</f>
        <v>2975.67374196207</v>
      </c>
      <c r="X353" s="0" t="n">
        <f aca="false">W_PH(X$2,$A353)</f>
        <v>2975.69087480615</v>
      </c>
      <c r="Y353" s="0" t="n">
        <f aca="false">W_PH(Y$2,$A353)</f>
        <v>2975.86222285891</v>
      </c>
      <c r="Z353" s="0" t="n">
        <f aca="false">W_PH(Z$2,$A353)</f>
        <v>2976.03362317302</v>
      </c>
      <c r="AA353" s="0" t="n">
        <f aca="false">W_PH(AA$2,$A353)</f>
        <v>2976.20507972511</v>
      </c>
      <c r="AB353" s="0" t="n">
        <f aca="false">W_PH(AB$2,$A353)</f>
        <v>2976.37659649062</v>
      </c>
      <c r="AC353" s="0" t="n">
        <f aca="false">W_PH(AC$2,$A353)</f>
        <v>2976.54817744385</v>
      </c>
      <c r="AD353" s="0" t="n">
        <f aca="false">W_PH(AD$2,$A353)</f>
        <v>2976.71981809715</v>
      </c>
      <c r="AE353" s="0" t="n">
        <f aca="false">W_PH(AE$2,$A353)</f>
        <v>2976.89153510969</v>
      </c>
      <c r="AF353" s="0" t="n">
        <f aca="false">W_PH(AF$2,$A353)</f>
        <v>2977.06331975725</v>
      </c>
      <c r="AG353" s="0" t="n">
        <f aca="false">W_PH(AG$2,$A353)</f>
        <v>2977.23518870444</v>
      </c>
      <c r="AH353" s="0" t="n">
        <f aca="false">W_PH(AH$2,$A353)</f>
        <v>2978.95895054077</v>
      </c>
      <c r="AI353" s="0" t="n">
        <f aca="false">W_PH(AI$2,$A353)</f>
        <v>2980.6946372305</v>
      </c>
      <c r="AJ353" s="0" t="n">
        <f aca="false">W_PH(AJ$2,$A353)</f>
        <v>2982.44602918649</v>
      </c>
      <c r="AK353" s="0" t="n">
        <f aca="false">W_PH(AK$2,$A353)</f>
        <v>2984.21688557322</v>
      </c>
      <c r="AL353" s="0" t="n">
        <f aca="false">W_PH(AL$2,$A353)</f>
        <v>2986.01097053234</v>
      </c>
      <c r="AM353" s="0" t="n">
        <f aca="false">W_PH(AM$2,$A353)</f>
        <v>2987.83201529688</v>
      </c>
      <c r="AN353" s="0" t="n">
        <f aca="false">W_PH(AN$2,$A353)</f>
        <v>2989.68376615846</v>
      </c>
      <c r="AO353" s="0" t="n">
        <f aca="false">W_PH(AO$2,$A353)</f>
        <v>2991.56994665011</v>
      </c>
      <c r="AP353" s="0" t="n">
        <f aca="false">W_PH(AP$2,$A353)</f>
        <v>2015</v>
      </c>
      <c r="AQ353" s="0" t="n">
        <f aca="false">W_PH(AQ$2,$A353)</f>
        <v>2015</v>
      </c>
      <c r="AR353" s="0" t="n">
        <f aca="false">W_PH(AR$2,$A353)</f>
        <v>2015</v>
      </c>
      <c r="AS353" s="0" t="n">
        <f aca="false">W_PH(AS$2,$A353)</f>
        <v>2015</v>
      </c>
    </row>
    <row r="354" customFormat="false" ht="12.8" hidden="false" customHeight="false" outlineLevel="0" collapsed="false">
      <c r="A354" s="0" t="n">
        <v>2209.80223559759</v>
      </c>
      <c r="B354" s="0" t="n">
        <f aca="false">W_PH(B$2,$A354)</f>
        <v>2015</v>
      </c>
      <c r="C354" s="0" t="n">
        <f aca="false">W_PH(C$2,$A354)</f>
        <v>2979.15650270092</v>
      </c>
      <c r="D354" s="0" t="n">
        <f aca="false">W_PH(D$2,$A354)</f>
        <v>2979.15667137308</v>
      </c>
      <c r="E354" s="0" t="n">
        <f aca="false">W_PH(E$2,$A354)</f>
        <v>2979.15684847746</v>
      </c>
      <c r="F354" s="0" t="n">
        <f aca="false">W_PH(F$2,$A354)</f>
        <v>2979.15701714974</v>
      </c>
      <c r="G354" s="0" t="n">
        <f aca="false">W_PH(G$2,$A354)</f>
        <v>2979.15873760453</v>
      </c>
      <c r="H354" s="0" t="n">
        <f aca="false">W_PH(H$2,$A354)</f>
        <v>2979.16045384925</v>
      </c>
      <c r="I354" s="0" t="n">
        <f aca="false">W_PH(I$2,$A354)</f>
        <v>2979.16217010001</v>
      </c>
      <c r="J354" s="0" t="n">
        <f aca="false">W_PH(J$2,$A354)</f>
        <v>2979.16389057292</v>
      </c>
      <c r="K354" s="0" t="n">
        <f aca="false">W_PH(K$2,$A354)</f>
        <v>2979.16560683576</v>
      </c>
      <c r="L354" s="0" t="n">
        <f aca="false">W_PH(L$2,$A354)</f>
        <v>2979.16732310463</v>
      </c>
      <c r="M354" s="0" t="n">
        <f aca="false">W_PH(M$2,$A354)</f>
        <v>2979.16904359571</v>
      </c>
      <c r="N354" s="0" t="n">
        <f aca="false">W_PH(N$2,$A354)</f>
        <v>2979.17075987669</v>
      </c>
      <c r="O354" s="0" t="n">
        <f aca="false">W_PH(O$2,$A354)</f>
        <v>2979.17247616372</v>
      </c>
      <c r="P354" s="0" t="n">
        <f aca="false">W_PH(P$2,$A354)</f>
        <v>2979.18965623296</v>
      </c>
      <c r="Q354" s="0" t="n">
        <f aca="false">W_PH(Q$2,$A354)</f>
        <v>2979.20683691271</v>
      </c>
      <c r="R354" s="0" t="n">
        <f aca="false">W_PH(R$2,$A354)</f>
        <v>2979.22400977377</v>
      </c>
      <c r="S354" s="0" t="n">
        <f aca="false">W_PH(S$2,$A354)</f>
        <v>2979.24119168618</v>
      </c>
      <c r="T354" s="0" t="n">
        <f aca="false">W_PH(T$2,$A354)</f>
        <v>2979.258374221</v>
      </c>
      <c r="U354" s="0" t="n">
        <f aca="false">W_PH(U$2,$A354)</f>
        <v>2979.27554894827</v>
      </c>
      <c r="V354" s="0" t="n">
        <f aca="false">W_PH(V$2,$A354)</f>
        <v>2979.29273273956</v>
      </c>
      <c r="W354" s="0" t="n">
        <f aca="false">W_PH(W$2,$A354)</f>
        <v>2979.30990873072</v>
      </c>
      <c r="X354" s="0" t="n">
        <f aca="false">W_PH(X$2,$A354)</f>
        <v>2979.32709379436</v>
      </c>
      <c r="Y354" s="0" t="n">
        <f aca="false">W_PH(Y$2,$A354)</f>
        <v>2979.49892978568</v>
      </c>
      <c r="Z354" s="0" t="n">
        <f aca="false">W_PH(Z$2,$A354)</f>
        <v>2979.67082127906</v>
      </c>
      <c r="AA354" s="0" t="n">
        <f aca="false">W_PH(AA$2,$A354)</f>
        <v>2979.84276800806</v>
      </c>
      <c r="AB354" s="0" t="n">
        <f aca="false">W_PH(AB$2,$A354)</f>
        <v>2980.01476969992</v>
      </c>
      <c r="AC354" s="0" t="n">
        <f aca="false">W_PH(AC$2,$A354)</f>
        <v>2980.18683029941</v>
      </c>
      <c r="AD354" s="0" t="n">
        <f aca="false">W_PH(AD$2,$A354)</f>
        <v>2980.35895797518</v>
      </c>
      <c r="AE354" s="0" t="n">
        <f aca="false">W_PH(AE$2,$A354)</f>
        <v>2980.53115667354</v>
      </c>
      <c r="AF354" s="0" t="n">
        <f aca="false">W_PH(AF$2,$A354)</f>
        <v>2980.70343033968</v>
      </c>
      <c r="AG354" s="0" t="n">
        <f aca="false">W_PH(AG$2,$A354)</f>
        <v>2980.87577868875</v>
      </c>
      <c r="AH354" s="0" t="n">
        <f aca="false">W_PH(AH$2,$A354)</f>
        <v>2982.60430364863</v>
      </c>
      <c r="AI354" s="0" t="n">
        <f aca="false">W_PH(AI$2,$A354)</f>
        <v>2984.34464877967</v>
      </c>
      <c r="AJ354" s="0" t="n">
        <f aca="false">W_PH(AJ$2,$A354)</f>
        <v>2986.10056144153</v>
      </c>
      <c r="AK354" s="0" t="n">
        <f aca="false">W_PH(AK$2,$A354)</f>
        <v>2987.87577649022</v>
      </c>
      <c r="AL354" s="0" t="n">
        <f aca="false">W_PH(AL$2,$A354)</f>
        <v>2989.67403829141</v>
      </c>
      <c r="AM354" s="0" t="n">
        <f aca="false">W_PH(AM$2,$A354)</f>
        <v>2991.49906293576</v>
      </c>
      <c r="AN354" s="0" t="n">
        <f aca="false">W_PH(AN$2,$A354)</f>
        <v>2993.35455598207</v>
      </c>
      <c r="AO354" s="0" t="n">
        <f aca="false">W_PH(AO$2,$A354)</f>
        <v>2995.24423057011</v>
      </c>
      <c r="AP354" s="0" t="n">
        <f aca="false">W_PH(AP$2,$A354)</f>
        <v>2015</v>
      </c>
      <c r="AQ354" s="0" t="n">
        <f aca="false">W_PH(AQ$2,$A354)</f>
        <v>2015</v>
      </c>
      <c r="AR354" s="0" t="n">
        <f aca="false">W_PH(AR$2,$A354)</f>
        <v>2015</v>
      </c>
      <c r="AS354" s="0" t="n">
        <f aca="false">W_PH(AS$2,$A354)</f>
        <v>2015</v>
      </c>
    </row>
    <row r="355" customFormat="false" ht="12.8" hidden="false" customHeight="false" outlineLevel="0" collapsed="false">
      <c r="A355" s="0" t="n">
        <v>2214.10146173689</v>
      </c>
      <c r="B355" s="0" t="n">
        <f aca="false">W_PH(B$2,$A355)</f>
        <v>2015</v>
      </c>
      <c r="C355" s="0" t="n">
        <f aca="false">W_PH(C$2,$A355)</f>
        <v>2982.78467746601</v>
      </c>
      <c r="D355" s="0" t="n">
        <f aca="false">W_PH(D$2,$A355)</f>
        <v>2982.78484724173</v>
      </c>
      <c r="E355" s="0" t="n">
        <f aca="false">W_PH(E$2,$A355)</f>
        <v>2982.78501701752</v>
      </c>
      <c r="F355" s="0" t="n">
        <f aca="false">W_PH(F$2,$A355)</f>
        <v>2982.78519100425</v>
      </c>
      <c r="G355" s="0" t="n">
        <f aca="false">W_PH(G$2,$A355)</f>
        <v>2982.78690982037</v>
      </c>
      <c r="H355" s="0" t="n">
        <f aca="false">W_PH(H$2,$A355)</f>
        <v>2982.78863285332</v>
      </c>
      <c r="I355" s="0" t="n">
        <f aca="false">W_PH(I$2,$A355)</f>
        <v>2982.79035589221</v>
      </c>
      <c r="J355" s="0" t="n">
        <f aca="false">W_PH(J$2,$A355)</f>
        <v>2982.79207893706</v>
      </c>
      <c r="K355" s="0" t="n">
        <f aca="false">W_PH(K$2,$A355)</f>
        <v>2982.79380198786</v>
      </c>
      <c r="L355" s="0" t="n">
        <f aca="false">W_PH(L$2,$A355)</f>
        <v>2982.79552504462</v>
      </c>
      <c r="M355" s="0" t="n">
        <f aca="false">W_PH(M$2,$A355)</f>
        <v>2982.79724810733</v>
      </c>
      <c r="N355" s="0" t="n">
        <f aca="false">W_PH(N$2,$A355)</f>
        <v>2982.79897117602</v>
      </c>
      <c r="O355" s="0" t="n">
        <f aca="false">W_PH(O$2,$A355)</f>
        <v>2982.80069425067</v>
      </c>
      <c r="P355" s="0" t="n">
        <f aca="false">W_PH(P$2,$A355)</f>
        <v>2982.81791690416</v>
      </c>
      <c r="Q355" s="0" t="n">
        <f aca="false">W_PH(Q$2,$A355)</f>
        <v>2982.83514858096</v>
      </c>
      <c r="R355" s="0" t="n">
        <f aca="false">W_PH(R$2,$A355)</f>
        <v>2982.85237244025</v>
      </c>
      <c r="S355" s="0" t="n">
        <f aca="false">W_PH(S$2,$A355)</f>
        <v>2982.86959690821</v>
      </c>
      <c r="T355" s="0" t="n">
        <f aca="false">W_PH(T$2,$A355)</f>
        <v>2982.88683041208</v>
      </c>
      <c r="U355" s="0" t="n">
        <f aca="false">W_PH(U$2,$A355)</f>
        <v>2982.9040561095</v>
      </c>
      <c r="V355" s="0" t="n">
        <f aca="false">W_PH(V$2,$A355)</f>
        <v>2982.92128242743</v>
      </c>
      <c r="W355" s="0" t="n">
        <f aca="false">W_PH(W$2,$A355)</f>
        <v>2982.93851358183</v>
      </c>
      <c r="X355" s="0" t="n">
        <f aca="false">W_PH(X$2,$A355)</f>
        <v>2982.95574536488</v>
      </c>
      <c r="Y355" s="0" t="n">
        <f aca="false">W_PH(Y$2,$A355)</f>
        <v>2983.1280649312</v>
      </c>
      <c r="Z355" s="0" t="n">
        <f aca="false">W_PH(Z$2,$A355)</f>
        <v>2983.30043481954</v>
      </c>
      <c r="AA355" s="0" t="n">
        <f aca="false">W_PH(AA$2,$A355)</f>
        <v>2983.4728589553</v>
      </c>
      <c r="AB355" s="0" t="n">
        <f aca="false">W_PH(AB$2,$A355)</f>
        <v>2983.64534126278</v>
      </c>
      <c r="AC355" s="0" t="n">
        <f aca="false">W_PH(AC$2,$A355)</f>
        <v>2983.81787722817</v>
      </c>
      <c r="AD355" s="0" t="n">
        <f aca="false">W_PH(AD$2,$A355)</f>
        <v>2983.99048764494</v>
      </c>
      <c r="AE355" s="0" t="n">
        <f aca="false">W_PH(AE$2,$A355)</f>
        <v>2984.16315955756</v>
      </c>
      <c r="AF355" s="0" t="n">
        <f aca="false">W_PH(AF$2,$A355)</f>
        <v>2984.3359095451</v>
      </c>
      <c r="AG355" s="0" t="n">
        <f aca="false">W_PH(AG$2,$A355)</f>
        <v>2984.508733083</v>
      </c>
      <c r="AH355" s="0" t="n">
        <f aca="false">W_PH(AH$2,$A355)</f>
        <v>2986.24196742614</v>
      </c>
      <c r="AI355" s="0" t="n">
        <f aca="false">W_PH(AI$2,$A355)</f>
        <v>2987.98690242821</v>
      </c>
      <c r="AJ355" s="0" t="n">
        <f aca="false">W_PH(AJ$2,$A355)</f>
        <v>2989.74726954333</v>
      </c>
      <c r="AK355" s="0" t="n">
        <f aca="false">W_PH(AK$2,$A355)</f>
        <v>2991.52679236436</v>
      </c>
      <c r="AL355" s="0" t="n">
        <f aca="false">W_PH(AL$2,$A355)</f>
        <v>2993.32917437266</v>
      </c>
      <c r="AM355" s="0" t="n">
        <f aca="false">W_PH(AM$2,$A355)</f>
        <v>2995.15811663433</v>
      </c>
      <c r="AN355" s="0" t="n">
        <f aca="false">W_PH(AN$2,$A355)</f>
        <v>2997.01730139702</v>
      </c>
      <c r="AO355" s="0" t="n">
        <f aca="false">W_PH(AO$2,$A355)</f>
        <v>2998.91042732374</v>
      </c>
      <c r="AP355" s="0" t="n">
        <f aca="false">W_PH(AP$2,$A355)</f>
        <v>2015</v>
      </c>
      <c r="AQ355" s="0" t="n">
        <f aca="false">W_PH(AQ$2,$A355)</f>
        <v>2015</v>
      </c>
      <c r="AR355" s="0" t="n">
        <f aca="false">W_PH(AR$2,$A355)</f>
        <v>2015</v>
      </c>
      <c r="AS355" s="0" t="n">
        <f aca="false">W_PH(AS$2,$A355)</f>
        <v>2015</v>
      </c>
    </row>
    <row r="356" customFormat="false" ht="12.8" hidden="false" customHeight="false" outlineLevel="0" collapsed="false">
      <c r="A356" s="0" t="n">
        <v>2218.40068787618</v>
      </c>
      <c r="B356" s="0" t="n">
        <f aca="false">W_PH(B$2,$A356)</f>
        <v>2015</v>
      </c>
      <c r="C356" s="0" t="n">
        <f aca="false">W_PH(C$2,$A356)</f>
        <v>2986.40533090162</v>
      </c>
      <c r="D356" s="0" t="n">
        <f aca="false">W_PH(D$2,$A356)</f>
        <v>2986.40550176674</v>
      </c>
      <c r="E356" s="0" t="n">
        <f aca="false">W_PH(E$2,$A356)</f>
        <v>2986.40567683763</v>
      </c>
      <c r="F356" s="0" t="n">
        <f aca="false">W_PH(F$2,$A356)</f>
        <v>2986.40585190859</v>
      </c>
      <c r="G356" s="0" t="n">
        <f aca="false">W_PH(G$2,$A356)</f>
        <v>2986.40757738702</v>
      </c>
      <c r="H356" s="0" t="n">
        <f aca="false">W_PH(H$2,$A356)</f>
        <v>2986.40930287129</v>
      </c>
      <c r="I356" s="0" t="n">
        <f aca="false">W_PH(I$2,$A356)</f>
        <v>2986.4110283614</v>
      </c>
      <c r="J356" s="0" t="n">
        <f aca="false">W_PH(J$2,$A356)</f>
        <v>2986.4127622689</v>
      </c>
      <c r="K356" s="0" t="n">
        <f aca="false">W_PH(K$2,$A356)</f>
        <v>2986.41448777073</v>
      </c>
      <c r="L356" s="0" t="n">
        <f aca="false">W_PH(L$2,$A356)</f>
        <v>2986.4162132784</v>
      </c>
      <c r="M356" s="0" t="n">
        <f aca="false">W_PH(M$2,$A356)</f>
        <v>2986.41793879194</v>
      </c>
      <c r="N356" s="0" t="n">
        <f aca="false">W_PH(N$2,$A356)</f>
        <v>2986.41966851716</v>
      </c>
      <c r="O356" s="0" t="n">
        <f aca="false">W_PH(O$2,$A356)</f>
        <v>2986.42139824827</v>
      </c>
      <c r="P356" s="0" t="n">
        <f aca="false">W_PH(P$2,$A356)</f>
        <v>2986.43867064836</v>
      </c>
      <c r="Q356" s="0" t="n">
        <f aca="false">W_PH(Q$2,$A356)</f>
        <v>2986.45594364018</v>
      </c>
      <c r="R356" s="0" t="n">
        <f aca="false">W_PH(R$2,$A356)</f>
        <v>2986.47321722766</v>
      </c>
      <c r="S356" s="0" t="n">
        <f aca="false">W_PH(S$2,$A356)</f>
        <v>2986.49049141471</v>
      </c>
      <c r="T356" s="0" t="n">
        <f aca="false">W_PH(T$2,$A356)</f>
        <v>2986.50776620524</v>
      </c>
      <c r="U356" s="0" t="n">
        <f aca="false">W_PH(U$2,$A356)</f>
        <v>2986.52504160318</v>
      </c>
      <c r="V356" s="0" t="n">
        <f aca="false">W_PH(V$2,$A356)</f>
        <v>2986.54231761244</v>
      </c>
      <c r="W356" s="0" t="n">
        <f aca="false">W_PH(W$2,$A356)</f>
        <v>2986.55959423693</v>
      </c>
      <c r="X356" s="0" t="n">
        <f aca="false">W_PH(X$2,$A356)</f>
        <v>2986.57687148059</v>
      </c>
      <c r="Y356" s="0" t="n">
        <f aca="false">W_PH(Y$2,$A356)</f>
        <v>2986.74967041591</v>
      </c>
      <c r="Z356" s="0" t="n">
        <f aca="false">W_PH(Z$2,$A356)</f>
        <v>2986.92251031286</v>
      </c>
      <c r="AA356" s="0" t="n">
        <f aca="false">W_PH(AA$2,$A356)</f>
        <v>2987.09541190702</v>
      </c>
      <c r="AB356" s="0" t="n">
        <f aca="false">W_PH(AB$2,$A356)</f>
        <v>2987.26836225704</v>
      </c>
      <c r="AC356" s="0" t="n">
        <f aca="false">W_PH(AC$2,$A356)</f>
        <v>2987.44138210636</v>
      </c>
      <c r="AD356" s="0" t="n">
        <f aca="false">W_PH(AD$2,$A356)</f>
        <v>2987.61445850143</v>
      </c>
      <c r="AE356" s="0" t="n">
        <f aca="false">W_PH(AE$2,$A356)</f>
        <v>2987.78760376203</v>
      </c>
      <c r="AF356" s="0" t="n">
        <f aca="false">W_PH(AF$2,$A356)</f>
        <v>2987.96082178289</v>
      </c>
      <c r="AG356" s="0" t="n">
        <f aca="false">W_PH(AG$2,$A356)</f>
        <v>2988.13411223942</v>
      </c>
      <c r="AH356" s="0" t="n">
        <f aca="false">W_PH(AH$2,$A356)</f>
        <v>2989.8719826985</v>
      </c>
      <c r="AI356" s="0" t="n">
        <f aca="false">W_PH(AI$2,$A356)</f>
        <v>2991.62144908018</v>
      </c>
      <c r="AJ356" s="0" t="n">
        <f aca="false">W_PH(AJ$2,$A356)</f>
        <v>2993.38621874051</v>
      </c>
      <c r="AK356" s="0" t="n">
        <f aca="false">W_PH(AK$2,$A356)</f>
        <v>2995.16998289679</v>
      </c>
      <c r="AL356" s="0" t="n">
        <f aca="false">W_PH(AL$2,$A356)</f>
        <v>2996.97642994019</v>
      </c>
      <c r="AM356" s="0" t="n">
        <f aca="false">W_PH(AM$2,$A356)</f>
        <v>2998.80923759058</v>
      </c>
      <c r="AN356" s="0" t="n">
        <f aca="false">W_PH(AN$2,$A356)</f>
        <v>3000.67206499093</v>
      </c>
      <c r="AO356" s="0" t="n">
        <f aca="false">W_PH(AO$2,$A356)</f>
        <v>3002.56858787833</v>
      </c>
      <c r="AP356" s="0" t="n">
        <f aca="false">W_PH(AP$2,$A356)</f>
        <v>2015</v>
      </c>
      <c r="AQ356" s="0" t="n">
        <f aca="false">W_PH(AQ$2,$A356)</f>
        <v>2015</v>
      </c>
      <c r="AR356" s="0" t="n">
        <f aca="false">W_PH(AR$2,$A356)</f>
        <v>2015</v>
      </c>
      <c r="AS356" s="0" t="n">
        <f aca="false">W_PH(AS$2,$A356)</f>
        <v>2015</v>
      </c>
    </row>
    <row r="357" customFormat="false" ht="12.8" hidden="false" customHeight="false" outlineLevel="0" collapsed="false">
      <c r="A357" s="0" t="n">
        <v>2222.69991401548</v>
      </c>
      <c r="B357" s="0" t="n">
        <f aca="false">W_PH(B$2,$A357)</f>
        <v>2015</v>
      </c>
      <c r="C357" s="0" t="n">
        <f aca="false">W_PH(C$2,$A357)</f>
        <v>2990.01852541783</v>
      </c>
      <c r="D357" s="0" t="n">
        <f aca="false">W_PH(D$2,$A357)</f>
        <v>2990.01870155896</v>
      </c>
      <c r="E357" s="0" t="n">
        <f aca="false">W_PH(E$2,$A357)</f>
        <v>2990.01887349955</v>
      </c>
      <c r="F357" s="0" t="n">
        <f aca="false">W_PH(F$2,$A357)</f>
        <v>2990.0190454402</v>
      </c>
      <c r="G357" s="0" t="n">
        <f aca="false">W_PH(G$2,$A357)</f>
        <v>2990.02077745164</v>
      </c>
      <c r="H357" s="0" t="n">
        <f aca="false">W_PH(H$2,$A357)</f>
        <v>2990.02250946884</v>
      </c>
      <c r="I357" s="0" t="n">
        <f aca="false">W_PH(I$2,$A357)</f>
        <v>2990.02423729117</v>
      </c>
      <c r="J357" s="0" t="n">
        <f aca="false">W_PH(J$2,$A357)</f>
        <v>2990.02597352052</v>
      </c>
      <c r="K357" s="0" t="n">
        <f aca="false">W_PH(K$2,$A357)</f>
        <v>2990.02770135436</v>
      </c>
      <c r="L357" s="0" t="n">
        <f aca="false">W_PH(L$2,$A357)</f>
        <v>2990.02943759529</v>
      </c>
      <c r="M357" s="0" t="n">
        <f aca="false">W_PH(M$2,$A357)</f>
        <v>2990.03116544065</v>
      </c>
      <c r="N357" s="0" t="n">
        <f aca="false">W_PH(N$2,$A357)</f>
        <v>2990.03290169316</v>
      </c>
      <c r="O357" s="0" t="n">
        <f aca="false">W_PH(O$2,$A357)</f>
        <v>2990.03462955007</v>
      </c>
      <c r="P357" s="0" t="n">
        <f aca="false">W_PH(P$2,$A357)</f>
        <v>2990.05195044511</v>
      </c>
      <c r="Q357" s="0" t="n">
        <f aca="false">W_PH(Q$2,$A357)</f>
        <v>2990.06927192296</v>
      </c>
      <c r="R357" s="0" t="n">
        <f aca="false">W_PH(R$2,$A357)</f>
        <v>2990.08659398749</v>
      </c>
      <c r="S357" s="0" t="n">
        <f aca="false">W_PH(S$2,$A357)</f>
        <v>2990.10391664261</v>
      </c>
      <c r="T357" s="0" t="n">
        <f aca="false">W_PH(T$2,$A357)</f>
        <v>2990.1212398922</v>
      </c>
      <c r="U357" s="0" t="n">
        <f aca="false">W_PH(U$2,$A357)</f>
        <v>2990.13856374016</v>
      </c>
      <c r="V357" s="0" t="n">
        <f aca="false">W_PH(V$2,$A357)</f>
        <v>2990.15588819038</v>
      </c>
      <c r="W357" s="0" t="n">
        <f aca="false">W_PH(W$2,$A357)</f>
        <v>2990.17320904506</v>
      </c>
      <c r="X357" s="0" t="n">
        <f aca="false">W_PH(X$2,$A357)</f>
        <v>2990.19053050953</v>
      </c>
      <c r="Y357" s="0" t="n">
        <f aca="false">W_PH(Y$2,$A357)</f>
        <v>2990.3637963614</v>
      </c>
      <c r="Z357" s="0" t="n">
        <f aca="false">W_PH(Z$2,$A357)</f>
        <v>2990.53711066579</v>
      </c>
      <c r="AA357" s="0" t="n">
        <f aca="false">W_PH(AA$2,$A357)</f>
        <v>2990.7104772979</v>
      </c>
      <c r="AB357" s="0" t="n">
        <f aca="false">W_PH(AB$2,$A357)</f>
        <v>2990.88389171829</v>
      </c>
      <c r="AC357" s="0" t="n">
        <f aca="false">W_PH(AC$2,$A357)</f>
        <v>2991.05737462466</v>
      </c>
      <c r="AD357" s="0" t="n">
        <f aca="false">W_PH(AD$2,$A357)</f>
        <v>2991.23091726865</v>
      </c>
      <c r="AE357" s="0" t="n">
        <f aca="false">W_PH(AE$2,$A357)</f>
        <v>2991.40452772798</v>
      </c>
      <c r="AF357" s="0" t="n">
        <f aca="false">W_PH(AF$2,$A357)</f>
        <v>2991.57820566079</v>
      </c>
      <c r="AG357" s="0" t="n">
        <f aca="false">W_PH(AG$2,$A357)</f>
        <v>2991.75195914514</v>
      </c>
      <c r="AH357" s="0" t="n">
        <f aca="false">W_PH(AH$2,$A357)</f>
        <v>2993.49440675643</v>
      </c>
      <c r="AI357" s="0" t="n">
        <f aca="false">W_PH(AI$2,$A357)</f>
        <v>2995.24834336921</v>
      </c>
      <c r="AJ357" s="0" t="n">
        <f aca="false">W_PH(AJ$2,$A357)</f>
        <v>2997.01745667936</v>
      </c>
      <c r="AK357" s="0" t="n">
        <f aca="false">W_PH(AK$2,$A357)</f>
        <v>2998.80540577139</v>
      </c>
      <c r="AL357" s="0" t="n">
        <f aca="false">W_PH(AL$2,$A357)</f>
        <v>3000.61586413807</v>
      </c>
      <c r="AM357" s="0" t="n">
        <f aca="false">W_PH(AM$2,$A357)</f>
        <v>3002.45247779324</v>
      </c>
      <c r="AN357" s="0" t="n">
        <f aca="false">W_PH(AN$2,$A357)</f>
        <v>3004.31890438989</v>
      </c>
      <c r="AO357" s="0" t="n">
        <f aca="false">W_PH(AO$2,$A357)</f>
        <v>3006.21877550628</v>
      </c>
      <c r="AP357" s="0" t="n">
        <f aca="false">W_PH(AP$2,$A357)</f>
        <v>2015</v>
      </c>
      <c r="AQ357" s="0" t="n">
        <f aca="false">W_PH(AQ$2,$A357)</f>
        <v>2015</v>
      </c>
      <c r="AR357" s="0" t="n">
        <f aca="false">W_PH(AR$2,$A357)</f>
        <v>2015</v>
      </c>
      <c r="AS357" s="0" t="n">
        <f aca="false">W_PH(AS$2,$A357)</f>
        <v>2015</v>
      </c>
    </row>
    <row r="358" customFormat="false" ht="12.8" hidden="false" customHeight="false" outlineLevel="0" collapsed="false">
      <c r="A358" s="0" t="n">
        <v>2226.99914015477</v>
      </c>
      <c r="B358" s="0" t="n">
        <f aca="false">W_PH(B$2,$A358)</f>
        <v>2015</v>
      </c>
      <c r="C358" s="0" t="n">
        <f aca="false">W_PH(C$2,$A358)</f>
        <v>2993.62430614745</v>
      </c>
      <c r="D358" s="0" t="n">
        <f aca="false">W_PH(D$2,$A358)</f>
        <v>2993.62447914964</v>
      </c>
      <c r="E358" s="0" t="n">
        <f aca="false">W_PH(E$2,$A358)</f>
        <v>2993.62465215188</v>
      </c>
      <c r="F358" s="0" t="n">
        <f aca="false">W_PH(F$2,$A358)</f>
        <v>2993.62482515417</v>
      </c>
      <c r="G358" s="0" t="n">
        <f aca="false">W_PH(G$2,$A358)</f>
        <v>2993.62656357123</v>
      </c>
      <c r="H358" s="0" t="n">
        <f aca="false">W_PH(H$2,$A358)</f>
        <v>2993.62830199396</v>
      </c>
      <c r="I358" s="0" t="n">
        <f aca="false">W_PH(I$2,$A358)</f>
        <v>2993.63003203133</v>
      </c>
      <c r="J358" s="0" t="n">
        <f aca="false">W_PH(J$2,$A358)</f>
        <v>2993.63177046541</v>
      </c>
      <c r="K358" s="0" t="n">
        <f aca="false">W_PH(K$2,$A358)</f>
        <v>2993.63350890519</v>
      </c>
      <c r="L358" s="0" t="n">
        <f aca="false">W_PH(L$2,$A358)</f>
        <v>2993.63524735066</v>
      </c>
      <c r="M358" s="0" t="n">
        <f aca="false">W_PH(M$2,$A358)</f>
        <v>2993.63698160625</v>
      </c>
      <c r="N358" s="0" t="n">
        <f aca="false">W_PH(N$2,$A358)</f>
        <v>2993.63871586753</v>
      </c>
      <c r="O358" s="0" t="n">
        <f aca="false">W_PH(O$2,$A358)</f>
        <v>2993.64045433008</v>
      </c>
      <c r="P358" s="0" t="n">
        <f aca="false">W_PH(P$2,$A358)</f>
        <v>2993.6578224875</v>
      </c>
      <c r="Q358" s="0" t="n">
        <f aca="false">W_PH(Q$2,$A358)</f>
        <v>2993.6751912189</v>
      </c>
      <c r="R358" s="0" t="n">
        <f aca="false">W_PH(R$2,$A358)</f>
        <v>2993.6925563322</v>
      </c>
      <c r="S358" s="0" t="n">
        <f aca="false">W_PH(S$2,$A358)</f>
        <v>2993.70992202697</v>
      </c>
      <c r="T358" s="0" t="n">
        <f aca="false">W_PH(T$2,$A358)</f>
        <v>2993.7272925033</v>
      </c>
      <c r="U358" s="0" t="n">
        <f aca="false">W_PH(U$2,$A358)</f>
        <v>2993.74466356909</v>
      </c>
      <c r="V358" s="0" t="n">
        <f aca="false">W_PH(V$2,$A358)</f>
        <v>2993.76203103175</v>
      </c>
      <c r="W358" s="0" t="n">
        <f aca="false">W_PH(W$2,$A358)</f>
        <v>2993.77939909136</v>
      </c>
      <c r="X358" s="0" t="n">
        <f aca="false">W_PH(X$2,$A358)</f>
        <v>2993.79677194849</v>
      </c>
      <c r="Y358" s="0" t="n">
        <f aca="false">W_PH(Y$2,$A358)</f>
        <v>2993.97050084527</v>
      </c>
      <c r="Z358" s="0" t="n">
        <f aca="false">W_PH(Z$2,$A358)</f>
        <v>2994.14426888631</v>
      </c>
      <c r="AA358" s="0" t="n">
        <f aca="false">W_PH(AA$2,$A358)</f>
        <v>2994.31809671624</v>
      </c>
      <c r="AB358" s="0" t="n">
        <f aca="false">W_PH(AB$2,$A358)</f>
        <v>2994.49197978859</v>
      </c>
      <c r="AC358" s="0" t="n">
        <f aca="false">W_PH(AC$2,$A358)</f>
        <v>2994.66591774889</v>
      </c>
      <c r="AD358" s="0" t="n">
        <f aca="false">W_PH(AD$2,$A358)</f>
        <v>2994.83991864486</v>
      </c>
      <c r="AE358" s="0" t="n">
        <f aca="false">W_PH(AE$2,$A358)</f>
        <v>2995.01399052805</v>
      </c>
      <c r="AF358" s="0" t="n">
        <f aca="false">W_PH(AF$2,$A358)</f>
        <v>2995.18812462788</v>
      </c>
      <c r="AG358" s="0" t="n">
        <f aca="false">W_PH(AG$2,$A358)</f>
        <v>2995.36233319668</v>
      </c>
      <c r="AH358" s="0" t="n">
        <f aca="false">W_PH(AH$2,$A358)</f>
        <v>2997.10930059574</v>
      </c>
      <c r="AI358" s="0" t="n">
        <f aca="false">W_PH(AI$2,$A358)</f>
        <v>2998.8676394071</v>
      </c>
      <c r="AJ358" s="0" t="n">
        <f aca="false">W_PH(AJ$2,$A358)</f>
        <v>3000.64103050194</v>
      </c>
      <c r="AK358" s="0" t="n">
        <f aca="false">W_PH(AK$2,$A358)</f>
        <v>3002.43310958371</v>
      </c>
      <c r="AL358" s="0" t="n">
        <f aca="false">W_PH(AL$2,$A358)</f>
        <v>3004.2475269724</v>
      </c>
      <c r="AM358" s="0" t="n">
        <f aca="false">W_PH(AM$2,$A358)</f>
        <v>3006.08790148472</v>
      </c>
      <c r="AN358" s="0" t="n">
        <f aca="false">W_PH(AN$2,$A358)</f>
        <v>3007.95786801131</v>
      </c>
      <c r="AO358" s="0" t="n">
        <f aca="false">W_PH(AO$2,$A358)</f>
        <v>3009.86103560027</v>
      </c>
      <c r="AP358" s="0" t="n">
        <f aca="false">W_PH(AP$2,$A358)</f>
        <v>2015</v>
      </c>
      <c r="AQ358" s="0" t="n">
        <f aca="false">W_PH(AQ$2,$A358)</f>
        <v>2015</v>
      </c>
      <c r="AR358" s="0" t="n">
        <f aca="false">W_PH(AR$2,$A358)</f>
        <v>2015</v>
      </c>
      <c r="AS358" s="0" t="n">
        <f aca="false">W_PH(AS$2,$A358)</f>
        <v>2015</v>
      </c>
    </row>
    <row r="359" customFormat="false" ht="12.8" hidden="false" customHeight="false" outlineLevel="0" collapsed="false">
      <c r="A359" s="0" t="n">
        <v>2231.29836629407</v>
      </c>
      <c r="B359" s="0" t="n">
        <f aca="false">W_PH(B$2,$A359)</f>
        <v>2015</v>
      </c>
      <c r="C359" s="0" t="n">
        <f aca="false">W_PH(C$2,$A359)</f>
        <v>2997.22271781658</v>
      </c>
      <c r="D359" s="0" t="n">
        <f aca="false">W_PH(D$2,$A359)</f>
        <v>2997.22289186683</v>
      </c>
      <c r="E359" s="0" t="n">
        <f aca="false">W_PH(E$2,$A359)</f>
        <v>2997.22306591714</v>
      </c>
      <c r="F359" s="0" t="n">
        <f aca="false">W_PH(F$2,$A359)</f>
        <v>2997.22323996751</v>
      </c>
      <c r="G359" s="0" t="n">
        <f aca="false">W_PH(G$2,$A359)</f>
        <v>2997.22498047422</v>
      </c>
      <c r="H359" s="0" t="n">
        <f aca="false">W_PH(H$2,$A359)</f>
        <v>2997.2267209865</v>
      </c>
      <c r="I359" s="0" t="n">
        <f aca="false">W_PH(I$2,$A359)</f>
        <v>2997.22846150437</v>
      </c>
      <c r="J359" s="0" t="n">
        <f aca="false">W_PH(J$2,$A359)</f>
        <v>2997.23020202783</v>
      </c>
      <c r="K359" s="0" t="n">
        <f aca="false">W_PH(K$2,$A359)</f>
        <v>2997.23194674736</v>
      </c>
      <c r="L359" s="0" t="n">
        <f aca="false">W_PH(L$2,$A359)</f>
        <v>2997.23368728201</v>
      </c>
      <c r="M359" s="0" t="n">
        <f aca="false">W_PH(M$2,$A359)</f>
        <v>2997.23543201276</v>
      </c>
      <c r="N359" s="0" t="n">
        <f aca="false">W_PH(N$2,$A359)</f>
        <v>2997.23717255863</v>
      </c>
      <c r="O359" s="0" t="n">
        <f aca="false">W_PH(O$2,$A359)</f>
        <v>2997.2389131101</v>
      </c>
      <c r="P359" s="0" t="n">
        <f aca="false">W_PH(P$2,$A359)</f>
        <v>2997.2563273153</v>
      </c>
      <c r="Q359" s="0" t="n">
        <f aca="false">W_PH(Q$2,$A359)</f>
        <v>2997.27373370427</v>
      </c>
      <c r="R359" s="0" t="n">
        <f aca="false">W_PH(R$2,$A359)</f>
        <v>2997.29114904367</v>
      </c>
      <c r="S359" s="0" t="n">
        <f aca="false">W_PH(S$2,$A359)</f>
        <v>2997.30856495607</v>
      </c>
      <c r="T359" s="0" t="n">
        <f aca="false">W_PH(T$2,$A359)</f>
        <v>2997.32597725417</v>
      </c>
      <c r="U359" s="0" t="n">
        <f aca="false">W_PH(U$2,$A359)</f>
        <v>2997.3433901327</v>
      </c>
      <c r="V359" s="0" t="n">
        <f aca="false">W_PH(V$2,$A359)</f>
        <v>2997.36080778689</v>
      </c>
      <c r="W359" s="0" t="n">
        <f aca="false">W_PH(W$2,$A359)</f>
        <v>2997.37822183794</v>
      </c>
      <c r="X359" s="0" t="n">
        <f aca="false">W_PH(X$2,$A359)</f>
        <v>2997.39563648095</v>
      </c>
      <c r="Y359" s="0" t="n">
        <f aca="false">W_PH(Y$2,$A359)</f>
        <v>2997.56982050692</v>
      </c>
      <c r="Z359" s="0" t="n">
        <f aca="false">W_PH(Z$2,$A359)</f>
        <v>2997.74405118085</v>
      </c>
      <c r="AA359" s="0" t="n">
        <f aca="false">W_PH(AA$2,$A359)</f>
        <v>2997.91832813342</v>
      </c>
      <c r="AB359" s="0" t="n">
        <f aca="false">W_PH(AB$2,$A359)</f>
        <v>2998.09266777532</v>
      </c>
      <c r="AC359" s="0" t="n">
        <f aca="false">W_PH(AC$2,$A359)</f>
        <v>2998.26705714702</v>
      </c>
      <c r="AD359" s="0" t="n">
        <f aca="false">W_PH(AD$2,$A359)</f>
        <v>2998.44150846192</v>
      </c>
      <c r="AE359" s="0" t="n">
        <f aca="false">W_PH(AE$2,$A359)</f>
        <v>2998.61603394208</v>
      </c>
      <c r="AF359" s="0" t="n">
        <f aca="false">W_PH(AF$2,$A359)</f>
        <v>2998.79062061042</v>
      </c>
      <c r="AG359" s="0" t="n">
        <f aca="false">W_PH(AG$2,$A359)</f>
        <v>2998.96528068457</v>
      </c>
      <c r="AH359" s="0" t="n">
        <f aca="false">W_PH(AH$2,$A359)</f>
        <v>3000.716699397</v>
      </c>
      <c r="AI359" s="0" t="n">
        <f aca="false">W_PH(AI$2,$A359)</f>
        <v>3002.47939079216</v>
      </c>
      <c r="AJ359" s="0" t="n">
        <f aca="false">W_PH(AJ$2,$A359)</f>
        <v>3004.25700380696</v>
      </c>
      <c r="AK359" s="0" t="n">
        <f aca="false">W_PH(AK$2,$A359)</f>
        <v>3006.05315090705</v>
      </c>
      <c r="AL359" s="0" t="n">
        <f aca="false">W_PH(AL$2,$A359)</f>
        <v>3007.87146790242</v>
      </c>
      <c r="AM359" s="0" t="n">
        <f aca="false">W_PH(AM$2,$A359)</f>
        <v>3009.71555517448</v>
      </c>
      <c r="AN359" s="0" t="n">
        <f aca="false">W_PH(AN$2,$A359)</f>
        <v>3011.58901226882</v>
      </c>
      <c r="AO359" s="0" t="n">
        <f aca="false">W_PH(AO$2,$A359)</f>
        <v>3013.49543874852</v>
      </c>
      <c r="AP359" s="0" t="n">
        <f aca="false">W_PH(AP$2,$A359)</f>
        <v>2015</v>
      </c>
      <c r="AQ359" s="0" t="n">
        <f aca="false">W_PH(AQ$2,$A359)</f>
        <v>2015</v>
      </c>
      <c r="AR359" s="0" t="n">
        <f aca="false">W_PH(AR$2,$A359)</f>
        <v>2015</v>
      </c>
      <c r="AS359" s="0" t="n">
        <f aca="false">W_PH(AS$2,$A359)</f>
        <v>2015</v>
      </c>
    </row>
    <row r="360" customFormat="false" ht="12.8" hidden="false" customHeight="false" outlineLevel="0" collapsed="false">
      <c r="A360" s="0" t="n">
        <v>2235.59759243336</v>
      </c>
      <c r="B360" s="0" t="n">
        <f aca="false">W_PH(B$2,$A360)</f>
        <v>2015</v>
      </c>
      <c r="C360" s="0" t="n">
        <f aca="false">W_PH(C$2,$A360)</f>
        <v>3000.81381312136</v>
      </c>
      <c r="D360" s="0" t="n">
        <f aca="false">W_PH(D$2,$A360)</f>
        <v>3000.8139882063</v>
      </c>
      <c r="E360" s="0" t="n">
        <f aca="false">W_PH(E$2,$A360)</f>
        <v>3000.81416329129</v>
      </c>
      <c r="F360" s="0" t="n">
        <f aca="false">W_PH(F$2,$A360)</f>
        <v>3000.81433837634</v>
      </c>
      <c r="G360" s="0" t="n">
        <f aca="false">W_PH(G$2,$A360)</f>
        <v>3000.81608085908</v>
      </c>
      <c r="H360" s="0" t="n">
        <f aca="false">W_PH(H$2,$A360)</f>
        <v>3000.81783171809</v>
      </c>
      <c r="I360" s="0" t="n">
        <f aca="false">W_PH(I$2,$A360)</f>
        <v>3000.81957421183</v>
      </c>
      <c r="J360" s="0" t="n">
        <f aca="false">W_PH(J$2,$A360)</f>
        <v>3000.82132089646</v>
      </c>
      <c r="K360" s="0" t="n">
        <f aca="false">W_PH(K$2,$A360)</f>
        <v>3000.82306758662</v>
      </c>
      <c r="L360" s="0" t="n">
        <f aca="false">W_PH(L$2,$A360)</f>
        <v>3000.82481009685</v>
      </c>
      <c r="M360" s="0" t="n">
        <f aca="false">W_PH(M$2,$A360)</f>
        <v>3000.82656098348</v>
      </c>
      <c r="N360" s="0" t="n">
        <f aca="false">W_PH(N$2,$A360)</f>
        <v>3000.82830350474</v>
      </c>
      <c r="O360" s="0" t="n">
        <f aca="false">W_PH(O$2,$A360)</f>
        <v>3000.8300460315</v>
      </c>
      <c r="P360" s="0" t="n">
        <f aca="false">W_PH(P$2,$A360)</f>
        <v>3000.84750508758</v>
      </c>
      <c r="Q360" s="0" t="n">
        <f aca="false">W_PH(Q$2,$A360)</f>
        <v>3000.8649647004</v>
      </c>
      <c r="R360" s="0" t="n">
        <f aca="false">W_PH(R$2,$A360)</f>
        <v>3000.88242487378</v>
      </c>
      <c r="S360" s="0" t="n">
        <f aca="false">W_PH(S$2,$A360)</f>
        <v>3000.89988142559</v>
      </c>
      <c r="T360" s="0" t="n">
        <f aca="false">W_PH(T$2,$A360)</f>
        <v>3000.91733854535</v>
      </c>
      <c r="U360" s="0" t="n">
        <f aca="false">W_PH(U$2,$A360)</f>
        <v>3000.93480042309</v>
      </c>
      <c r="V360" s="0" t="n">
        <f aca="false">W_PH(V$2,$A360)</f>
        <v>3000.95226287667</v>
      </c>
      <c r="W360" s="0" t="n">
        <f aca="false">W_PH(W$2,$A360)</f>
        <v>3000.96971753703</v>
      </c>
      <c r="X360" s="0" t="n">
        <f aca="false">W_PH(X$2,$A360)</f>
        <v>3000.98718115349</v>
      </c>
      <c r="Y360" s="0" t="n">
        <f aca="false">W_PH(Y$2,$A360)</f>
        <v>3001.16181674676</v>
      </c>
      <c r="Z360" s="0" t="n">
        <f aca="false">W_PH(Z$2,$A360)</f>
        <v>3001.33648973292</v>
      </c>
      <c r="AA360" s="0" t="n">
        <f aca="false">W_PH(AA$2,$A360)</f>
        <v>3001.51122066708</v>
      </c>
      <c r="AB360" s="0" t="n">
        <f aca="false">W_PH(AB$2,$A360)</f>
        <v>3001.68600497439</v>
      </c>
      <c r="AC360" s="0" t="n">
        <f aca="false">W_PH(AC$2,$A360)</f>
        <v>3001.860842262</v>
      </c>
      <c r="AD360" s="0" t="n">
        <f aca="false">W_PH(AD$2,$A360)</f>
        <v>3002.03574051876</v>
      </c>
      <c r="AE360" s="0" t="n">
        <f aca="false">W_PH(AE$2,$A360)</f>
        <v>3002.2107077373</v>
      </c>
      <c r="AF360" s="0" t="n">
        <f aca="false">W_PH(AF$2,$A360)</f>
        <v>3002.38574352182</v>
      </c>
      <c r="AG360" s="0" t="n">
        <f aca="false">W_PH(AG$2,$A360)</f>
        <v>3002.56084327338</v>
      </c>
      <c r="AH360" s="0" t="n">
        <f aca="false">W_PH(AH$2,$A360)</f>
        <v>3004.31665478525</v>
      </c>
      <c r="AI360" s="0" t="n">
        <f aca="false">W_PH(AI$2,$A360)</f>
        <v>3006.08364217539</v>
      </c>
      <c r="AJ360" s="0" t="n">
        <f aca="false">W_PH(AJ$2,$A360)</f>
        <v>3007.86541422012</v>
      </c>
      <c r="AK360" s="0" t="n">
        <f aca="false">W_PH(AK$2,$A360)</f>
        <v>3009.66558575565</v>
      </c>
      <c r="AL360" s="0" t="n">
        <f aca="false">W_PH(AL$2,$A360)</f>
        <v>3011.48774436018</v>
      </c>
      <c r="AM360" s="0" t="n">
        <f aca="false">W_PH(AM$2,$A360)</f>
        <v>3013.33548483449</v>
      </c>
      <c r="AN360" s="0" t="n">
        <f aca="false">W_PH(AN$2,$A360)</f>
        <v>3015.21239296665</v>
      </c>
      <c r="AO360" s="0" t="n">
        <f aca="false">W_PH(AO$2,$A360)</f>
        <v>3017.12202910631</v>
      </c>
      <c r="AP360" s="0" t="n">
        <f aca="false">W_PH(AP$2,$A360)</f>
        <v>2015</v>
      </c>
      <c r="AQ360" s="0" t="n">
        <f aca="false">W_PH(AQ$2,$A360)</f>
        <v>2015</v>
      </c>
      <c r="AR360" s="0" t="n">
        <f aca="false">W_PH(AR$2,$A360)</f>
        <v>2015</v>
      </c>
      <c r="AS360" s="0" t="n">
        <f aca="false">W_PH(AS$2,$A360)</f>
        <v>2015</v>
      </c>
    </row>
    <row r="361" customFormat="false" ht="12.8" hidden="false" customHeight="false" outlineLevel="0" collapsed="false">
      <c r="A361" s="0" t="n">
        <v>2239.89681857266</v>
      </c>
      <c r="B361" s="0" t="n">
        <f aca="false">W_PH(B$2,$A361)</f>
        <v>2015</v>
      </c>
      <c r="C361" s="0" t="n">
        <f aca="false">W_PH(C$2,$A361)</f>
        <v>3004.39764014273</v>
      </c>
      <c r="D361" s="0" t="n">
        <f aca="false">W_PH(D$2,$A361)</f>
        <v>3004.39781624916</v>
      </c>
      <c r="E361" s="0" t="n">
        <f aca="false">W_PH(E$2,$A361)</f>
        <v>3004.39799235563</v>
      </c>
      <c r="F361" s="0" t="n">
        <f aca="false">W_PH(F$2,$A361)</f>
        <v>3004.39816846217</v>
      </c>
      <c r="G361" s="0" t="n">
        <f aca="false">W_PH(G$2,$A361)</f>
        <v>3004.39991280905</v>
      </c>
      <c r="H361" s="0" t="n">
        <f aca="false">W_PH(H$2,$A361)</f>
        <v>3004.40166552206</v>
      </c>
      <c r="I361" s="0" t="n">
        <f aca="false">W_PH(I$2,$A361)</f>
        <v>3004.4034182405</v>
      </c>
      <c r="J361" s="0" t="n">
        <f aca="false">W_PH(J$2,$A361)</f>
        <v>3004.40516260359</v>
      </c>
      <c r="K361" s="0" t="n">
        <f aca="false">W_PH(K$2,$A361)</f>
        <v>3004.40691533288</v>
      </c>
      <c r="L361" s="0" t="n">
        <f aca="false">W_PH(L$2,$A361)</f>
        <v>3004.40866806762</v>
      </c>
      <c r="M361" s="0" t="n">
        <f aca="false">W_PH(M$2,$A361)</f>
        <v>3004.41041662738</v>
      </c>
      <c r="N361" s="0" t="n">
        <f aca="false">W_PH(N$2,$A361)</f>
        <v>3004.41216519256</v>
      </c>
      <c r="O361" s="0" t="n">
        <f aca="false">W_PH(O$2,$A361)</f>
        <v>3004.41391794364</v>
      </c>
      <c r="P361" s="0" t="n">
        <f aca="false">W_PH(P$2,$A361)</f>
        <v>3004.4314206718</v>
      </c>
      <c r="Q361" s="0" t="n">
        <f aca="false">W_PH(Q$2,$A361)</f>
        <v>3004.44892394826</v>
      </c>
      <c r="R361" s="0" t="n">
        <f aca="false">W_PH(R$2,$A361)</f>
        <v>3004.46642359601</v>
      </c>
      <c r="S361" s="0" t="n">
        <f aca="false">W_PH(S$2,$A361)</f>
        <v>3004.48392379942</v>
      </c>
      <c r="T361" s="0" t="n">
        <f aca="false">W_PH(T$2,$A361)</f>
        <v>3004.50142874333</v>
      </c>
      <c r="U361" s="0" t="n">
        <f aca="false">W_PH(U$2,$A361)</f>
        <v>3004.51893425071</v>
      </c>
      <c r="V361" s="0" t="n">
        <f aca="false">W_PH(V$2,$A361)</f>
        <v>3004.53644032538</v>
      </c>
      <c r="W361" s="0" t="n">
        <f aca="false">W_PH(W$2,$A361)</f>
        <v>3004.5539427897</v>
      </c>
      <c r="X361" s="0" t="n">
        <f aca="false">W_PH(X$2,$A361)</f>
        <v>3004.57144582865</v>
      </c>
      <c r="Y361" s="0" t="n">
        <f aca="false">W_PH(Y$2,$A361)</f>
        <v>3004.74652538779</v>
      </c>
      <c r="Z361" s="0" t="n">
        <f aca="false">W_PH(Z$2,$A361)</f>
        <v>3004.92164567146</v>
      </c>
      <c r="AA361" s="0" t="n">
        <f aca="false">W_PH(AA$2,$A361)</f>
        <v>3005.09681463881</v>
      </c>
      <c r="AB361" s="0" t="n">
        <f aca="false">W_PH(AB$2,$A361)</f>
        <v>3005.27204025278</v>
      </c>
      <c r="AC361" s="0" t="n">
        <f aca="false">W_PH(AC$2,$A361)</f>
        <v>3005.44732210518</v>
      </c>
      <c r="AD361" s="0" t="n">
        <f aca="false">W_PH(AD$2,$A361)</f>
        <v>3005.62266397073</v>
      </c>
      <c r="AE361" s="0" t="n">
        <f aca="false">W_PH(AE$2,$A361)</f>
        <v>3005.7980696232</v>
      </c>
      <c r="AF361" s="0" t="n">
        <f aca="false">W_PH(AF$2,$A361)</f>
        <v>3005.9735386444</v>
      </c>
      <c r="AG361" s="0" t="n">
        <f aca="false">W_PH(AG$2,$A361)</f>
        <v>3006.14907899481</v>
      </c>
      <c r="AH361" s="0" t="n">
        <f aca="false">W_PH(AH$2,$A361)</f>
        <v>3007.90922211872</v>
      </c>
      <c r="AI361" s="0" t="n">
        <f aca="false">W_PH(AI$2,$A361)</f>
        <v>3009.68043775366</v>
      </c>
      <c r="AJ361" s="0" t="n">
        <f aca="false">W_PH(AJ$2,$A361)</f>
        <v>3011.46632429438</v>
      </c>
      <c r="AK361" s="0" t="n">
        <f aca="false">W_PH(AK$2,$A361)</f>
        <v>3013.27045264025</v>
      </c>
      <c r="AL361" s="0" t="n">
        <f aca="false">W_PH(AL$2,$A361)</f>
        <v>3015.0964132023</v>
      </c>
      <c r="AM361" s="0" t="n">
        <f aca="false">W_PH(AM$2,$A361)</f>
        <v>3016.94776147076</v>
      </c>
      <c r="AN361" s="0" t="n">
        <f aca="false">W_PH(AN$2,$A361)</f>
        <v>3018.82805676765</v>
      </c>
      <c r="AO361" s="0" t="n">
        <f aca="false">W_PH(AO$2,$A361)</f>
        <v>3020.74085884482</v>
      </c>
      <c r="AP361" s="0" t="n">
        <f aca="false">W_PH(AP$2,$A361)</f>
        <v>2015</v>
      </c>
      <c r="AQ361" s="0" t="n">
        <f aca="false">W_PH(AQ$2,$A361)</f>
        <v>2015</v>
      </c>
      <c r="AR361" s="0" t="n">
        <f aca="false">W_PH(AR$2,$A361)</f>
        <v>2015</v>
      </c>
      <c r="AS361" s="0" t="n">
        <f aca="false">W_PH(AS$2,$A361)</f>
        <v>2015</v>
      </c>
    </row>
    <row r="362" customFormat="false" ht="12.8" hidden="false" customHeight="false" outlineLevel="0" collapsed="false">
      <c r="A362" s="0" t="n">
        <v>2244.19604471195</v>
      </c>
      <c r="B362" s="0" t="n">
        <f aca="false">W_PH(B$2,$A362)</f>
        <v>2015</v>
      </c>
      <c r="C362" s="0" t="n">
        <f aca="false">W_PH(C$2,$A362)</f>
        <v>3007.97424655314</v>
      </c>
      <c r="D362" s="0" t="n">
        <f aca="false">W_PH(D$2,$A362)</f>
        <v>3007.97441949267</v>
      </c>
      <c r="E362" s="0" t="n">
        <f aca="false">W_PH(E$2,$A362)</f>
        <v>3007.97459243226</v>
      </c>
      <c r="F362" s="0" t="n">
        <f aca="false">W_PH(F$2,$A362)</f>
        <v>3007.97476954727</v>
      </c>
      <c r="G362" s="0" t="n">
        <f aca="false">W_PH(G$2,$A362)</f>
        <v>3007.97652399878</v>
      </c>
      <c r="H362" s="0" t="n">
        <f aca="false">W_PH(H$2,$A362)</f>
        <v>3007.97827845563</v>
      </c>
      <c r="I362" s="0" t="n">
        <f aca="false">W_PH(I$2,$A362)</f>
        <v>3007.98003291781</v>
      </c>
      <c r="J362" s="0" t="n">
        <f aca="false">W_PH(J$2,$A362)</f>
        <v>3007.98178738533</v>
      </c>
      <c r="K362" s="0" t="n">
        <f aca="false">W_PH(K$2,$A362)</f>
        <v>3007.98354185819</v>
      </c>
      <c r="L362" s="0" t="n">
        <f aca="false">W_PH(L$2,$A362)</f>
        <v>3007.9852963364</v>
      </c>
      <c r="M362" s="0" t="n">
        <f aca="false">W_PH(M$2,$A362)</f>
        <v>3007.98705081997</v>
      </c>
      <c r="N362" s="0" t="n">
        <f aca="false">W_PH(N$2,$A362)</f>
        <v>3007.98880530888</v>
      </c>
      <c r="O362" s="0" t="n">
        <f aca="false">W_PH(O$2,$A362)</f>
        <v>3007.99055980316</v>
      </c>
      <c r="P362" s="0" t="n">
        <f aca="false">W_PH(P$2,$A362)</f>
        <v>3008.00810504145</v>
      </c>
      <c r="Q362" s="0" t="n">
        <f aca="false">W_PH(Q$2,$A362)</f>
        <v>3008.02565081973</v>
      </c>
      <c r="R362" s="0" t="n">
        <f aca="false">W_PH(R$2,$A362)</f>
        <v>3008.04319714176</v>
      </c>
      <c r="S362" s="0" t="n">
        <f aca="false">W_PH(S$2,$A362)</f>
        <v>3008.06074401132</v>
      </c>
      <c r="T362" s="0" t="n">
        <f aca="false">W_PH(T$2,$A362)</f>
        <v>3008.07829143217</v>
      </c>
      <c r="U362" s="0" t="n">
        <f aca="false">W_PH(U$2,$A362)</f>
        <v>3008.09583940809</v>
      </c>
      <c r="V362" s="0" t="n">
        <f aca="false">W_PH(V$2,$A362)</f>
        <v>3008.11338794284</v>
      </c>
      <c r="W362" s="0" t="n">
        <f aca="false">W_PH(W$2,$A362)</f>
        <v>3008.13093704019</v>
      </c>
      <c r="X362" s="0" t="n">
        <f aca="false">W_PH(X$2,$A362)</f>
        <v>3008.14848670392</v>
      </c>
      <c r="Y362" s="0" t="n">
        <f aca="false">W_PH(Y$2,$A362)</f>
        <v>3008.32399861018</v>
      </c>
      <c r="Z362" s="0" t="n">
        <f aca="false">W_PH(Z$2,$A362)</f>
        <v>3008.49955457463</v>
      </c>
      <c r="AA362" s="0" t="n">
        <f aca="false">W_PH(AA$2,$A362)</f>
        <v>3008.6751667112</v>
      </c>
      <c r="AB362" s="0" t="n">
        <f aca="false">W_PH(AB$2,$A362)</f>
        <v>3008.85082205496</v>
      </c>
      <c r="AC362" s="0" t="n">
        <f aca="false">W_PH(AC$2,$A362)</f>
        <v>3009.02654108034</v>
      </c>
      <c r="AD362" s="0" t="n">
        <f aca="false">W_PH(AD$2,$A362)</f>
        <v>3009.20231499472</v>
      </c>
      <c r="AE362" s="0" t="n">
        <f aca="false">W_PH(AE$2,$A362)</f>
        <v>3009.37815172936</v>
      </c>
      <c r="AF362" s="0" t="n">
        <f aca="false">W_PH(AF$2,$A362)</f>
        <v>3009.55405921926</v>
      </c>
      <c r="AG362" s="0" t="n">
        <f aca="false">W_PH(AG$2,$A362)</f>
        <v>3009.73003702904</v>
      </c>
      <c r="AH362" s="0" t="n">
        <f aca="false">W_PH(AH$2,$A362)</f>
        <v>3011.49444787374</v>
      </c>
      <c r="AI362" s="0" t="n">
        <f aca="false">W_PH(AI$2,$A362)</f>
        <v>3013.26983811765</v>
      </c>
      <c r="AJ362" s="0" t="n">
        <f aca="false">W_PH(AJ$2,$A362)</f>
        <v>3015.05977491459</v>
      </c>
      <c r="AK362" s="0" t="n">
        <f aca="false">W_PH(AK$2,$A362)</f>
        <v>3016.86781501723</v>
      </c>
      <c r="AL362" s="0" t="n">
        <f aca="false">W_PH(AL$2,$A362)</f>
        <v>3018.69751374439</v>
      </c>
      <c r="AM362" s="0" t="n">
        <f aca="false">W_PH(AM$2,$A362)</f>
        <v>3020.55241713726</v>
      </c>
      <c r="AN362" s="0" t="n">
        <f aca="false">W_PH(AN$2,$A362)</f>
        <v>3022.43606685388</v>
      </c>
      <c r="AO362" s="0" t="n">
        <f aca="false">W_PH(AO$2,$A362)</f>
        <v>3024.35198809904</v>
      </c>
      <c r="AP362" s="0" t="n">
        <f aca="false">W_PH(AP$2,$A362)</f>
        <v>2015</v>
      </c>
      <c r="AQ362" s="0" t="n">
        <f aca="false">W_PH(AQ$2,$A362)</f>
        <v>2015</v>
      </c>
      <c r="AR362" s="0" t="n">
        <f aca="false">W_PH(AR$2,$A362)</f>
        <v>2015</v>
      </c>
      <c r="AS362" s="0" t="n">
        <f aca="false">W_PH(AS$2,$A362)</f>
        <v>2015</v>
      </c>
    </row>
    <row r="363" customFormat="false" ht="12.8" hidden="false" customHeight="false" outlineLevel="0" collapsed="false">
      <c r="A363" s="0" t="n">
        <v>2248.49527085125</v>
      </c>
      <c r="B363" s="0" t="n">
        <f aca="false">W_PH(B$2,$A363)</f>
        <v>2015</v>
      </c>
      <c r="C363" s="0" t="n">
        <f aca="false">W_PH(C$2,$A363)</f>
        <v>3011.54367128169</v>
      </c>
      <c r="D363" s="0" t="n">
        <f aca="false">W_PH(D$2,$A363)</f>
        <v>3011.54384939223</v>
      </c>
      <c r="E363" s="0" t="n">
        <f aca="false">W_PH(E$2,$A363)</f>
        <v>3011.54402333242</v>
      </c>
      <c r="F363" s="0" t="n">
        <f aca="false">W_PH(F$2,$A363)</f>
        <v>3011.54419727267</v>
      </c>
      <c r="G363" s="0" t="n">
        <f aca="false">W_PH(G$2,$A363)</f>
        <v>3011.54595752999</v>
      </c>
      <c r="H363" s="0" t="n">
        <f aca="false">W_PH(H$2,$A363)</f>
        <v>3011.54771779256</v>
      </c>
      <c r="I363" s="0" t="n">
        <f aca="false">W_PH(I$2,$A363)</f>
        <v>3011.54947388997</v>
      </c>
      <c r="J363" s="0" t="n">
        <f aca="false">W_PH(J$2,$A363)</f>
        <v>3011.55123416307</v>
      </c>
      <c r="K363" s="0" t="n">
        <f aca="false">W_PH(K$2,$A363)</f>
        <v>3011.55299444144</v>
      </c>
      <c r="L363" s="0" t="n">
        <f aca="false">W_PH(L$2,$A363)</f>
        <v>3011.55475055461</v>
      </c>
      <c r="M363" s="0" t="n">
        <f aca="false">W_PH(M$2,$A363)</f>
        <v>3011.55651084352</v>
      </c>
      <c r="N363" s="0" t="n">
        <f aca="false">W_PH(N$2,$A363)</f>
        <v>3011.55827113771</v>
      </c>
      <c r="O363" s="0" t="n">
        <f aca="false">W_PH(O$2,$A363)</f>
        <v>3011.56002726669</v>
      </c>
      <c r="P363" s="0" t="n">
        <f aca="false">W_PH(P$2,$A363)</f>
        <v>3011.57761804104</v>
      </c>
      <c r="Q363" s="0" t="n">
        <f aca="false">W_PH(Q$2,$A363)</f>
        <v>3011.59520934741</v>
      </c>
      <c r="R363" s="0" t="n">
        <f aca="false">W_PH(R$2,$A363)</f>
        <v>3011.61279701869</v>
      </c>
      <c r="S363" s="0" t="n">
        <f aca="false">W_PH(S$2,$A363)</f>
        <v>3011.63038522924</v>
      </c>
      <c r="T363" s="0" t="n">
        <f aca="false">W_PH(T$2,$A363)</f>
        <v>3011.64797398282</v>
      </c>
      <c r="U363" s="0" t="n">
        <f aca="false">W_PH(U$2,$A363)</f>
        <v>3011.66557162556</v>
      </c>
      <c r="V363" s="0" t="n">
        <f aca="false">W_PH(V$2,$A363)</f>
        <v>3011.68316147665</v>
      </c>
      <c r="W363" s="0" t="n">
        <f aca="false">W_PH(W$2,$A363)</f>
        <v>3011.700751882</v>
      </c>
      <c r="X363" s="0" t="n">
        <f aca="false">W_PH(X$2,$A363)</f>
        <v>3011.71834284535</v>
      </c>
      <c r="Y363" s="0" t="n">
        <f aca="false">W_PH(Y$2,$A363)</f>
        <v>3011.89428816586</v>
      </c>
      <c r="Z363" s="0" t="n">
        <f aca="false">W_PH(Z$2,$A363)</f>
        <v>3012.0702767133</v>
      </c>
      <c r="AA363" s="0" t="n">
        <f aca="false">W_PH(AA$2,$A363)</f>
        <v>3012.24631639297</v>
      </c>
      <c r="AB363" s="0" t="n">
        <f aca="false">W_PH(AB$2,$A363)</f>
        <v>3012.42240676148</v>
      </c>
      <c r="AC363" s="0" t="n">
        <f aca="false">W_PH(AC$2,$A363)</f>
        <v>3012.59854736992</v>
      </c>
      <c r="AD363" s="0" t="n">
        <f aca="false">W_PH(AD$2,$A363)</f>
        <v>3012.77475447778</v>
      </c>
      <c r="AE363" s="0" t="n">
        <f aca="false">W_PH(AE$2,$A363)</f>
        <v>3012.95101927961</v>
      </c>
      <c r="AF363" s="0" t="n">
        <f aca="false">W_PH(AF$2,$A363)</f>
        <v>3013.12734967841</v>
      </c>
      <c r="AG363" s="0" t="n">
        <f aca="false">W_PH(AG$2,$A363)</f>
        <v>3013.30374939891</v>
      </c>
      <c r="AH363" s="0" t="n">
        <f aca="false">W_PH(AH$2,$A363)</f>
        <v>3015.07238228476</v>
      </c>
      <c r="AI363" s="0" t="n">
        <f aca="false">W_PH(AI$2,$A363)</f>
        <v>3016.85188651311</v>
      </c>
      <c r="AJ363" s="0" t="n">
        <f aca="false">W_PH(AJ$2,$A363)</f>
        <v>3018.64582338788</v>
      </c>
      <c r="AK363" s="0" t="n">
        <f aca="false">W_PH(AK$2,$A363)</f>
        <v>3020.4577188563</v>
      </c>
      <c r="AL363" s="0" t="n">
        <f aca="false">W_PH(AL$2,$A363)</f>
        <v>3022.29111026497</v>
      </c>
      <c r="AM363" s="0" t="n">
        <f aca="false">W_PH(AM$2,$A363)</f>
        <v>3024.14951743779</v>
      </c>
      <c r="AN363" s="0" t="n">
        <f aca="false">W_PH(AN$2,$A363)</f>
        <v>3026.03646874326</v>
      </c>
      <c r="AO363" s="0" t="n">
        <f aca="false">W_PH(AO$2,$A363)</f>
        <v>3027.95545930112</v>
      </c>
      <c r="AP363" s="0" t="n">
        <f aca="false">W_PH(AP$2,$A363)</f>
        <v>2015</v>
      </c>
      <c r="AQ363" s="0" t="n">
        <f aca="false">W_PH(AQ$2,$A363)</f>
        <v>2015</v>
      </c>
      <c r="AR363" s="0" t="n">
        <f aca="false">W_PH(AR$2,$A363)</f>
        <v>2015</v>
      </c>
      <c r="AS363" s="0" t="n">
        <f aca="false">W_PH(AS$2,$A363)</f>
        <v>2015</v>
      </c>
    </row>
    <row r="364" customFormat="false" ht="12.8" hidden="false" customHeight="false" outlineLevel="0" collapsed="false">
      <c r="A364" s="0" t="n">
        <v>2252.79449699054</v>
      </c>
      <c r="B364" s="0" t="n">
        <f aca="false">W_PH(B$2,$A364)</f>
        <v>2015</v>
      </c>
      <c r="C364" s="0" t="n">
        <f aca="false">W_PH(C$2,$A364)</f>
        <v>3015.10596956221</v>
      </c>
      <c r="D364" s="0" t="n">
        <f aca="false">W_PH(D$2,$A364)</f>
        <v>3015.10614865573</v>
      </c>
      <c r="E364" s="0" t="n">
        <f aca="false">W_PH(E$2,$A364)</f>
        <v>3015.10631941839</v>
      </c>
      <c r="F364" s="0" t="n">
        <f aca="false">W_PH(F$2,$A364)</f>
        <v>3015.10649851201</v>
      </c>
      <c r="G364" s="0" t="n">
        <f aca="false">W_PH(G$2,$A364)</f>
        <v>3015.10826445837</v>
      </c>
      <c r="H364" s="0" t="n">
        <f aca="false">W_PH(H$2,$A364)</f>
        <v>3015.11002207896</v>
      </c>
      <c r="I364" s="0" t="n">
        <f aca="false">W_PH(I$2,$A364)</f>
        <v>3015.11178803568</v>
      </c>
      <c r="J364" s="0" t="n">
        <f aca="false">W_PH(J$2,$A364)</f>
        <v>3015.11354983209</v>
      </c>
      <c r="K364" s="0" t="n">
        <f aca="false">W_PH(K$2,$A364)</f>
        <v>3015.11531163367</v>
      </c>
      <c r="L364" s="0" t="n">
        <f aca="false">W_PH(L$2,$A364)</f>
        <v>3015.11707760597</v>
      </c>
      <c r="M364" s="0" t="n">
        <f aca="false">W_PH(M$2,$A364)</f>
        <v>3015.11883941793</v>
      </c>
      <c r="N364" s="0" t="n">
        <f aca="false">W_PH(N$2,$A364)</f>
        <v>3015.12060123508</v>
      </c>
      <c r="O364" s="0" t="n">
        <f aca="false">W_PH(O$2,$A364)</f>
        <v>3015.12236722298</v>
      </c>
      <c r="P364" s="0" t="n">
        <f aca="false">W_PH(P$2,$A364)</f>
        <v>3015.13999822989</v>
      </c>
      <c r="Q364" s="0" t="n">
        <f aca="false">W_PH(Q$2,$A364)</f>
        <v>3015.15762976072</v>
      </c>
      <c r="R364" s="0" t="n">
        <f aca="false">W_PH(R$2,$A364)</f>
        <v>3015.17526181919</v>
      </c>
      <c r="S364" s="0" t="n">
        <f aca="false">W_PH(S$2,$A364)</f>
        <v>3015.19289440905</v>
      </c>
      <c r="T364" s="0" t="n">
        <f aca="false">W_PH(T$2,$A364)</f>
        <v>3015.21052753399</v>
      </c>
      <c r="U364" s="0" t="n">
        <f aca="false">W_PH(U$2,$A364)</f>
        <v>3015.22816119776</v>
      </c>
      <c r="V364" s="0" t="n">
        <f aca="false">W_PH(V$2,$A364)</f>
        <v>3015.24579540406</v>
      </c>
      <c r="W364" s="0" t="n">
        <f aca="false">W_PH(W$2,$A364)</f>
        <v>3015.26343015662</v>
      </c>
      <c r="X364" s="0" t="n">
        <f aca="false">W_PH(X$2,$A364)</f>
        <v>3015.28106129258</v>
      </c>
      <c r="Y364" s="0" t="n">
        <f aca="false">W_PH(Y$2,$A364)</f>
        <v>3015.45743704935</v>
      </c>
      <c r="Z364" s="0" t="n">
        <f aca="false">W_PH(Z$2,$A364)</f>
        <v>3015.63384688031</v>
      </c>
      <c r="AA364" s="0" t="n">
        <f aca="false">W_PH(AA$2,$A364)</f>
        <v>3015.81031116561</v>
      </c>
      <c r="AB364" s="0" t="n">
        <f aca="false">W_PH(AB$2,$A364)</f>
        <v>3015.98682527576</v>
      </c>
      <c r="AC364" s="0" t="n">
        <f aca="false">W_PH(AC$2,$A364)</f>
        <v>3016.16339291587</v>
      </c>
      <c r="AD364" s="0" t="n">
        <f aca="false">W_PH(AD$2,$A364)</f>
        <v>3016.34001779015</v>
      </c>
      <c r="AE364" s="0" t="n">
        <f aca="false">W_PH(AE$2,$A364)</f>
        <v>3016.51670360188</v>
      </c>
      <c r="AF364" s="0" t="n">
        <f aca="false">W_PH(AF$2,$A364)</f>
        <v>3016.69345822924</v>
      </c>
      <c r="AG364" s="0" t="n">
        <f aca="false">W_PH(AG$2,$A364)</f>
        <v>3016.87028120028</v>
      </c>
      <c r="AH364" s="0" t="n">
        <f aca="false">W_PH(AH$2,$A364)</f>
        <v>3018.64306676028</v>
      </c>
      <c r="AI364" s="0" t="n">
        <f aca="false">W_PH(AI$2,$A364)</f>
        <v>3020.42663835202</v>
      </c>
      <c r="AJ364" s="0" t="n">
        <f aca="false">W_PH(AJ$2,$A364)</f>
        <v>3022.22450965683</v>
      </c>
      <c r="AK364" s="0" t="n">
        <f aca="false">W_PH(AK$2,$A364)</f>
        <v>3024.04020964742</v>
      </c>
      <c r="AL364" s="0" t="n">
        <f aca="false">W_PH(AL$2,$A364)</f>
        <v>3025.87724105439</v>
      </c>
      <c r="AM364" s="0" t="n">
        <f aca="false">W_PH(AM$2,$A364)</f>
        <v>3027.73911038617</v>
      </c>
      <c r="AN364" s="0" t="n">
        <f aca="false">W_PH(AN$2,$A364)</f>
        <v>3029.62931593766</v>
      </c>
      <c r="AO364" s="0" t="n">
        <f aca="false">W_PH(AO$2,$A364)</f>
        <v>3031.5513399439</v>
      </c>
      <c r="AP364" s="0" t="n">
        <f aca="false">W_PH(AP$2,$A364)</f>
        <v>2015</v>
      </c>
      <c r="AQ364" s="0" t="n">
        <f aca="false">W_PH(AQ$2,$A364)</f>
        <v>2015</v>
      </c>
      <c r="AR364" s="0" t="n">
        <f aca="false">W_PH(AR$2,$A364)</f>
        <v>2015</v>
      </c>
      <c r="AS364" s="0" t="n">
        <f aca="false">W_PH(AS$2,$A364)</f>
        <v>2015</v>
      </c>
    </row>
    <row r="365" customFormat="false" ht="12.8" hidden="false" customHeight="false" outlineLevel="0" collapsed="false">
      <c r="A365" s="0" t="n">
        <v>2257.09372312984</v>
      </c>
      <c r="B365" s="0" t="n">
        <f aca="false">W_PH(B$2,$A365)</f>
        <v>2015</v>
      </c>
      <c r="C365" s="0" t="n">
        <f aca="false">W_PH(C$2,$A365)</f>
        <v>3018.66117955581</v>
      </c>
      <c r="D365" s="0" t="n">
        <f aca="false">W_PH(D$2,$A365)</f>
        <v>3018.66135961984</v>
      </c>
      <c r="E365" s="0" t="n">
        <f aca="false">W_PH(E$2,$A365)</f>
        <v>3018.66153968392</v>
      </c>
      <c r="F365" s="0" t="n">
        <f aca="false">W_PH(F$2,$A365)</f>
        <v>3018.66171142695</v>
      </c>
      <c r="G365" s="0" t="n">
        <f aca="false">W_PH(G$2,$A365)</f>
        <v>3018.66347878669</v>
      </c>
      <c r="H365" s="0" t="n">
        <f aca="false">W_PH(H$2,$A365)</f>
        <v>3018.66524615153</v>
      </c>
      <c r="I365" s="0" t="n">
        <f aca="false">W_PH(I$2,$A365)</f>
        <v>3018.66701352146</v>
      </c>
      <c r="J365" s="0" t="n">
        <f aca="false">W_PH(J$2,$A365)</f>
        <v>3018.6687808965</v>
      </c>
      <c r="K365" s="0" t="n">
        <f aca="false">W_PH(K$2,$A365)</f>
        <v>3018.67054827664</v>
      </c>
      <c r="L365" s="0" t="n">
        <f aca="false">W_PH(L$2,$A365)</f>
        <v>3018.67231566189</v>
      </c>
      <c r="M365" s="0" t="n">
        <f aca="false">W_PH(M$2,$A365)</f>
        <v>3018.67408305225</v>
      </c>
      <c r="N365" s="0" t="n">
        <f aca="false">W_PH(N$2,$A365)</f>
        <v>3018.67585044774</v>
      </c>
      <c r="O365" s="0" t="n">
        <f aca="false">W_PH(O$2,$A365)</f>
        <v>3018.67761784834</v>
      </c>
      <c r="P365" s="0" t="n">
        <f aca="false">W_PH(P$2,$A365)</f>
        <v>3018.69529213686</v>
      </c>
      <c r="Q365" s="0" t="n">
        <f aca="false">W_PH(Q$2,$A365)</f>
        <v>3018.71296694155</v>
      </c>
      <c r="R365" s="0" t="n">
        <f aca="false">W_PH(R$2,$A365)</f>
        <v>3018.73064226613</v>
      </c>
      <c r="S365" s="0" t="n">
        <f aca="false">W_PH(S$2,$A365)</f>
        <v>3018.74831811428</v>
      </c>
      <c r="T365" s="0" t="n">
        <f aca="false">W_PH(T$2,$A365)</f>
        <v>3018.76599032849</v>
      </c>
      <c r="U365" s="0" t="n">
        <f aca="false">W_PH(U$2,$A365)</f>
        <v>3018.78366307346</v>
      </c>
      <c r="V365" s="0" t="n">
        <f aca="false">W_PH(V$2,$A365)</f>
        <v>3018.80134051432</v>
      </c>
      <c r="W365" s="0" t="n">
        <f aca="false">W_PH(W$2,$A365)</f>
        <v>3018.81901849355</v>
      </c>
      <c r="X365" s="0" t="n">
        <f aca="false">W_PH(X$2,$A365)</f>
        <v>3018.83669701486</v>
      </c>
      <c r="Y365" s="0" t="n">
        <f aca="false">W_PH(Y$2,$A365)</f>
        <v>3019.01348787888</v>
      </c>
      <c r="Z365" s="0" t="n">
        <f aca="false">W_PH(Z$2,$A365)</f>
        <v>3019.19032034901</v>
      </c>
      <c r="AA365" s="0" t="n">
        <f aca="false">W_PH(AA$2,$A365)</f>
        <v>3019.36719810903</v>
      </c>
      <c r="AB365" s="0" t="n">
        <f aca="false">W_PH(AB$2,$A365)</f>
        <v>3019.54413317425</v>
      </c>
      <c r="AC365" s="0" t="n">
        <f aca="false">W_PH(AC$2,$A365)</f>
        <v>3019.72111256413</v>
      </c>
      <c r="AD365" s="0" t="n">
        <f aca="false">W_PH(AD$2,$A365)</f>
        <v>3019.89815662687</v>
      </c>
      <c r="AE365" s="0" t="n">
        <f aca="false">W_PH(AE$2,$A365)</f>
        <v>3020.07526071034</v>
      </c>
      <c r="AF365" s="0" t="n">
        <f aca="false">W_PH(AF$2,$A365)</f>
        <v>3020.25242849391</v>
      </c>
      <c r="AG365" s="0" t="n">
        <f aca="false">W_PH(AG$2,$A365)</f>
        <v>3020.42966365611</v>
      </c>
      <c r="AH365" s="0" t="n">
        <f aca="false">W_PH(AH$2,$A365)</f>
        <v>3022.20655485672</v>
      </c>
      <c r="AI365" s="0" t="n">
        <f aca="false">W_PH(AI$2,$A365)</f>
        <v>3023.99413178042</v>
      </c>
      <c r="AJ365" s="0" t="n">
        <f aca="false">W_PH(AJ$2,$A365)</f>
        <v>3025.79589846789</v>
      </c>
      <c r="AK365" s="0" t="n">
        <f aca="false">W_PH(AK$2,$A365)</f>
        <v>3027.61534084053</v>
      </c>
      <c r="AL365" s="0" t="n">
        <f aca="false">W_PH(AL$2,$A365)</f>
        <v>3029.45596931406</v>
      </c>
      <c r="AM365" s="0" t="n">
        <f aca="false">W_PH(AM$2,$A365)</f>
        <v>3031.32124348019</v>
      </c>
      <c r="AN365" s="0" t="n">
        <f aca="false">W_PH(AN$2,$A365)</f>
        <v>3033.21465713068</v>
      </c>
      <c r="AO365" s="0" t="n">
        <f aca="false">W_PH(AO$2,$A365)</f>
        <v>3035.1396670656</v>
      </c>
      <c r="AP365" s="0" t="n">
        <f aca="false">W_PH(AP$2,$A365)</f>
        <v>2015</v>
      </c>
      <c r="AQ365" s="0" t="n">
        <f aca="false">W_PH(AQ$2,$A365)</f>
        <v>2015</v>
      </c>
      <c r="AR365" s="0" t="n">
        <f aca="false">W_PH(AR$2,$A365)</f>
        <v>2015</v>
      </c>
      <c r="AS365" s="0" t="n">
        <f aca="false">W_PH(AS$2,$A365)</f>
        <v>2015</v>
      </c>
    </row>
    <row r="366" customFormat="false" ht="12.8" hidden="false" customHeight="false" outlineLevel="0" collapsed="false">
      <c r="A366" s="0" t="n">
        <v>2261.39294926913</v>
      </c>
      <c r="B366" s="0" t="n">
        <f aca="false">W_PH(B$2,$A366)</f>
        <v>2015</v>
      </c>
      <c r="C366" s="0" t="n">
        <f aca="false">W_PH(C$2,$A366)</f>
        <v>3022.20935570011</v>
      </c>
      <c r="D366" s="0" t="n">
        <f aca="false">W_PH(D$2,$A366)</f>
        <v>3022.20953672234</v>
      </c>
      <c r="E366" s="0" t="n">
        <f aca="false">W_PH(E$2,$A366)</f>
        <v>3022.2097094333</v>
      </c>
      <c r="F366" s="0" t="n">
        <f aca="false">W_PH(F$2,$A366)</f>
        <v>3022.20989045563</v>
      </c>
      <c r="G366" s="0" t="n">
        <f aca="false">W_PH(G$2,$A366)</f>
        <v>3022.21165912508</v>
      </c>
      <c r="H366" s="0" t="n">
        <f aca="false">W_PH(H$2,$A366)</f>
        <v>3022.21343195522</v>
      </c>
      <c r="I366" s="0" t="n">
        <f aca="false">W_PH(I$2,$A366)</f>
        <v>3022.21520479039</v>
      </c>
      <c r="J366" s="0" t="n">
        <f aca="false">W_PH(J$2,$A366)</f>
        <v>3022.21697347489</v>
      </c>
      <c r="K366" s="0" t="n">
        <f aca="false">W_PH(K$2,$A366)</f>
        <v>3022.21874632012</v>
      </c>
      <c r="L366" s="0" t="n">
        <f aca="false">W_PH(L$2,$A366)</f>
        <v>3022.22051917039</v>
      </c>
      <c r="M366" s="0" t="n">
        <f aca="false">W_PH(M$2,$A366)</f>
        <v>3022.22228786996</v>
      </c>
      <c r="N366" s="0" t="n">
        <f aca="false">W_PH(N$2,$A366)</f>
        <v>3022.22406073031</v>
      </c>
      <c r="O366" s="0" t="n">
        <f aca="false">W_PH(O$2,$A366)</f>
        <v>3022.22583359572</v>
      </c>
      <c r="P366" s="0" t="n">
        <f aca="false">W_PH(P$2,$A366)</f>
        <v>3022.24354590489</v>
      </c>
      <c r="Q366" s="0" t="n">
        <f aca="false">W_PH(Q$2,$A366)</f>
        <v>3022.26126287838</v>
      </c>
      <c r="R366" s="0" t="n">
        <f aca="false">W_PH(R$2,$A366)</f>
        <v>3022.27898036408</v>
      </c>
      <c r="S366" s="0" t="n">
        <f aca="false">W_PH(S$2,$A366)</f>
        <v>3022.29669420946</v>
      </c>
      <c r="T366" s="0" t="n">
        <f aca="false">W_PH(T$2,$A366)</f>
        <v>3022.31440857419</v>
      </c>
      <c r="U366" s="0" t="n">
        <f aca="false">W_PH(U$2,$A366)</f>
        <v>3022.33213177482</v>
      </c>
      <c r="V366" s="0" t="n">
        <f aca="false">W_PH(V$2,$A366)</f>
        <v>3022.3498471895</v>
      </c>
      <c r="W366" s="0" t="n">
        <f aca="false">W_PH(W$2,$A366)</f>
        <v>3022.36756313455</v>
      </c>
      <c r="X366" s="0" t="n">
        <f aca="false">W_PH(X$2,$A366)</f>
        <v>3022.38527961365</v>
      </c>
      <c r="Y366" s="0" t="n">
        <f aca="false">W_PH(Y$2,$A366)</f>
        <v>3022.56248290178</v>
      </c>
      <c r="Z366" s="0" t="n">
        <f aca="false">W_PH(Z$2,$A366)</f>
        <v>3022.73973532404</v>
      </c>
      <c r="AA366" s="0" t="n">
        <f aca="false">W_PH(AA$2,$A366)</f>
        <v>3022.91702390745</v>
      </c>
      <c r="AB366" s="0" t="n">
        <f aca="false">W_PH(AB$2,$A366)</f>
        <v>3023.09436895033</v>
      </c>
      <c r="AC366" s="0" t="n">
        <f aca="false">W_PH(AC$2,$A366)</f>
        <v>3023.27176579378</v>
      </c>
      <c r="AD366" s="0" t="n">
        <f aca="false">W_PH(AD$2,$A366)</f>
        <v>3023.44921809608</v>
      </c>
      <c r="AE366" s="0" t="n">
        <f aca="false">W_PH(AE$2,$A366)</f>
        <v>3023.62673367929</v>
      </c>
      <c r="AF366" s="0" t="n">
        <f aca="false">W_PH(AF$2,$A366)</f>
        <v>3023.8043120376</v>
      </c>
      <c r="AG366" s="0" t="n">
        <f aca="false">W_PH(AG$2,$A366)</f>
        <v>3023.98196099359</v>
      </c>
      <c r="AH366" s="0" t="n">
        <f aca="false">W_PH(AH$2,$A366)</f>
        <v>3025.76289549572</v>
      </c>
      <c r="AI366" s="0" t="n">
        <f aca="false">W_PH(AI$2,$A366)</f>
        <v>3027.55442130267</v>
      </c>
      <c r="AJ366" s="0" t="n">
        <f aca="false">W_PH(AJ$2,$A366)</f>
        <v>3029.36001621943</v>
      </c>
      <c r="AK366" s="0" t="n">
        <f aca="false">W_PH(AK$2,$A366)</f>
        <v>3031.1831653769</v>
      </c>
      <c r="AL366" s="0" t="n">
        <f aca="false">W_PH(AL$2,$A366)</f>
        <v>3033.02733234251</v>
      </c>
      <c r="AM366" s="0" t="n">
        <f aca="false">W_PH(AM$2,$A366)</f>
        <v>3034.8959721727</v>
      </c>
      <c r="AN366" s="0" t="n">
        <f aca="false">W_PH(AN$2,$A366)</f>
        <v>3036.79254048757</v>
      </c>
      <c r="AO366" s="0" t="n">
        <f aca="false">W_PH(AO$2,$A366)</f>
        <v>3038.72049848433</v>
      </c>
      <c r="AP366" s="0" t="n">
        <f aca="false">W_PH(AP$2,$A366)</f>
        <v>2015</v>
      </c>
      <c r="AQ366" s="0" t="n">
        <f aca="false">W_PH(AQ$2,$A366)</f>
        <v>2015</v>
      </c>
      <c r="AR366" s="0" t="n">
        <f aca="false">W_PH(AR$2,$A366)</f>
        <v>2015</v>
      </c>
      <c r="AS366" s="0" t="n">
        <f aca="false">W_PH(AS$2,$A366)</f>
        <v>2015</v>
      </c>
    </row>
    <row r="367" customFormat="false" ht="12.8" hidden="false" customHeight="false" outlineLevel="0" collapsed="false">
      <c r="A367" s="0" t="n">
        <v>2265.69217540843</v>
      </c>
      <c r="B367" s="0" t="n">
        <f aca="false">W_PH(B$2,$A367)</f>
        <v>2015</v>
      </c>
      <c r="C367" s="0" t="n">
        <f aca="false">W_PH(C$2,$A367)</f>
        <v>3025.75053541063</v>
      </c>
      <c r="D367" s="0" t="n">
        <f aca="false">W_PH(D$2,$A367)</f>
        <v>3025.75071737893</v>
      </c>
      <c r="E367" s="0" t="n">
        <f aca="false">W_PH(E$2,$A367)</f>
        <v>3025.75089104566</v>
      </c>
      <c r="F367" s="0" t="n">
        <f aca="false">W_PH(F$2,$A367)</f>
        <v>3025.75107301407</v>
      </c>
      <c r="G367" s="0" t="n">
        <f aca="false">W_PH(G$2,$A367)</f>
        <v>3025.7528470419</v>
      </c>
      <c r="H367" s="0" t="n">
        <f aca="false">W_PH(H$2,$A367)</f>
        <v>3025.75462107467</v>
      </c>
      <c r="I367" s="0" t="n">
        <f aca="false">W_PH(I$2,$A367)</f>
        <v>3025.75639926322</v>
      </c>
      <c r="J367" s="0" t="n">
        <f aca="false">W_PH(J$2,$A367)</f>
        <v>3025.75817330588</v>
      </c>
      <c r="K367" s="0" t="n">
        <f aca="false">W_PH(K$2,$A367)</f>
        <v>3025.75994735349</v>
      </c>
      <c r="L367" s="0" t="n">
        <f aca="false">W_PH(L$2,$A367)</f>
        <v>3025.76172555693</v>
      </c>
      <c r="M367" s="0" t="n">
        <f aca="false">W_PH(M$2,$A367)</f>
        <v>3025.76349961445</v>
      </c>
      <c r="N367" s="0" t="n">
        <f aca="false">W_PH(N$2,$A367)</f>
        <v>3025.76527367693</v>
      </c>
      <c r="O367" s="0" t="n">
        <f aca="false">W_PH(O$2,$A367)</f>
        <v>3025.76705189529</v>
      </c>
      <c r="P367" s="0" t="n">
        <f aca="false">W_PH(P$2,$A367)</f>
        <v>3025.78480944757</v>
      </c>
      <c r="Q367" s="0" t="n">
        <f aca="false">W_PH(Q$2,$A367)</f>
        <v>3025.80256334973</v>
      </c>
      <c r="R367" s="0" t="n">
        <f aca="false">W_PH(R$2,$A367)</f>
        <v>3025.82031775633</v>
      </c>
      <c r="S367" s="0" t="n">
        <f aca="false">W_PH(S$2,$A367)</f>
        <v>3025.83807682238</v>
      </c>
      <c r="T367" s="0" t="n">
        <f aca="false">W_PH(T$2,$A367)</f>
        <v>3025.8558364004</v>
      </c>
      <c r="U367" s="0" t="n">
        <f aca="false">W_PH(U$2,$A367)</f>
        <v>3025.87359649404</v>
      </c>
      <c r="V367" s="0" t="n">
        <f aca="false">W_PH(V$2,$A367)</f>
        <v>3025.8913488036</v>
      </c>
      <c r="W367" s="0" t="n">
        <f aca="false">W_PH(W$2,$A367)</f>
        <v>3025.90910993923</v>
      </c>
      <c r="X367" s="0" t="n">
        <f aca="false">W_PH(X$2,$A367)</f>
        <v>3025.92687160144</v>
      </c>
      <c r="Y367" s="0" t="n">
        <f aca="false">W_PH(Y$2,$A367)</f>
        <v>3026.10448061204</v>
      </c>
      <c r="Z367" s="0" t="n">
        <f aca="false">W_PH(Z$2,$A367)</f>
        <v>3026.28213797022</v>
      </c>
      <c r="AA367" s="0" t="n">
        <f aca="false">W_PH(AA$2,$A367)</f>
        <v>3026.4598348551</v>
      </c>
      <c r="AB367" s="0" t="n">
        <f aca="false">W_PH(AB$2,$A367)</f>
        <v>3026.6375873697</v>
      </c>
      <c r="AC367" s="0" t="n">
        <f aca="false">W_PH(AC$2,$A367)</f>
        <v>3026.81539084226</v>
      </c>
      <c r="AD367" s="0" t="n">
        <f aca="false">W_PH(AD$2,$A367)</f>
        <v>3026.99324890842</v>
      </c>
      <c r="AE367" s="0" t="n">
        <f aca="false">W_PH(AE$2,$A367)</f>
        <v>3027.17116520302</v>
      </c>
      <c r="AF367" s="0" t="n">
        <f aca="false">W_PH(AF$2,$A367)</f>
        <v>3027.34915168154</v>
      </c>
      <c r="AG367" s="0" t="n">
        <f aca="false">W_PH(AG$2,$A367)</f>
        <v>3027.52719533634</v>
      </c>
      <c r="AH367" s="0" t="n">
        <f aca="false">W_PH(AH$2,$A367)</f>
        <v>3029.31212465081</v>
      </c>
      <c r="AI367" s="0" t="n">
        <f aca="false">W_PH(AI$2,$A367)</f>
        <v>3031.10755258077</v>
      </c>
      <c r="AJ367" s="0" t="n">
        <f aca="false">W_PH(AJ$2,$A367)</f>
        <v>3032.91693090579</v>
      </c>
      <c r="AK367" s="0" t="n">
        <f aca="false">W_PH(AK$2,$A367)</f>
        <v>3034.74372728711</v>
      </c>
      <c r="AL367" s="0" t="n">
        <f aca="false">W_PH(AL$2,$A367)</f>
        <v>3036.59137965124</v>
      </c>
      <c r="AM367" s="0" t="n">
        <f aca="false">W_PH(AM$2,$A367)</f>
        <v>3038.46333446885</v>
      </c>
      <c r="AN367" s="0" t="n">
        <f aca="false">W_PH(AN$2,$A367)</f>
        <v>3040.36303059624</v>
      </c>
      <c r="AO367" s="0" t="n">
        <f aca="false">W_PH(AO$2,$A367)</f>
        <v>3042.29388294053</v>
      </c>
      <c r="AP367" s="0" t="n">
        <f aca="false">W_PH(AP$2,$A367)</f>
        <v>2015</v>
      </c>
      <c r="AQ367" s="0" t="n">
        <f aca="false">W_PH(AQ$2,$A367)</f>
        <v>2015</v>
      </c>
      <c r="AR367" s="0" t="n">
        <f aca="false">W_PH(AR$2,$A367)</f>
        <v>2015</v>
      </c>
      <c r="AS367" s="0" t="n">
        <f aca="false">W_PH(AS$2,$A367)</f>
        <v>2015</v>
      </c>
    </row>
    <row r="368" customFormat="false" ht="12.8" hidden="false" customHeight="false" outlineLevel="0" collapsed="false">
      <c r="A368" s="0" t="n">
        <v>2269.99140154772</v>
      </c>
      <c r="B368" s="0" t="n">
        <f aca="false">W_PH(B$2,$A368)</f>
        <v>2015</v>
      </c>
      <c r="C368" s="0" t="n">
        <f aca="false">W_PH(C$2,$A368)</f>
        <v>3029.28477235118</v>
      </c>
      <c r="D368" s="0" t="n">
        <f aca="false">W_PH(D$2,$A368)</f>
        <v>3029.28494696163</v>
      </c>
      <c r="E368" s="0" t="n">
        <f aca="false">W_PH(E$2,$A368)</f>
        <v>3029.2851257181</v>
      </c>
      <c r="F368" s="0" t="n">
        <f aca="false">W_PH(F$2,$A368)</f>
        <v>3029.28530447462</v>
      </c>
      <c r="G368" s="0" t="n">
        <f aca="false">W_PH(G$2,$A368)</f>
        <v>3029.28708375055</v>
      </c>
      <c r="H368" s="0" t="n">
        <f aca="false">W_PH(H$2,$A368)</f>
        <v>3029.28886303134</v>
      </c>
      <c r="I368" s="0" t="n">
        <f aca="false">W_PH(I$2,$A368)</f>
        <v>3029.29064231701</v>
      </c>
      <c r="J368" s="0" t="n">
        <f aca="false">W_PH(J$2,$A368)</f>
        <v>3029.29242160756</v>
      </c>
      <c r="K368" s="0" t="n">
        <f aca="false">W_PH(K$2,$A368)</f>
        <v>3029.29420090298</v>
      </c>
      <c r="L368" s="0" t="n">
        <f aca="false">W_PH(L$2,$A368)</f>
        <v>3029.29598020329</v>
      </c>
      <c r="M368" s="0" t="n">
        <f aca="false">W_PH(M$2,$A368)</f>
        <v>3029.29775950848</v>
      </c>
      <c r="N368" s="0" t="n">
        <f aca="false">W_PH(N$2,$A368)</f>
        <v>3029.29953881856</v>
      </c>
      <c r="O368" s="0" t="n">
        <f aca="false">W_PH(O$2,$A368)</f>
        <v>3029.30131813354</v>
      </c>
      <c r="P368" s="0" t="n">
        <f aca="false">W_PH(P$2,$A368)</f>
        <v>3029.31911984563</v>
      </c>
      <c r="Q368" s="0" t="n">
        <f aca="false">W_PH(Q$2,$A368)</f>
        <v>3029.33691375893</v>
      </c>
      <c r="R368" s="0" t="n">
        <f aca="false">W_PH(R$2,$A368)</f>
        <v>3029.35470816923</v>
      </c>
      <c r="S368" s="0" t="n">
        <f aca="false">W_PH(S$2,$A368)</f>
        <v>3029.37250722667</v>
      </c>
      <c r="T368" s="0" t="n">
        <f aca="false">W_PH(T$2,$A368)</f>
        <v>3029.39030678859</v>
      </c>
      <c r="U368" s="0" t="n">
        <f aca="false">W_PH(U$2,$A368)</f>
        <v>3029.40810271188</v>
      </c>
      <c r="V368" s="0" t="n">
        <f aca="false">W_PH(V$2,$A368)</f>
        <v>3029.42589914669</v>
      </c>
      <c r="W368" s="0" t="n">
        <f aca="false">W_PH(W$2,$A368)</f>
        <v>3029.44370439055</v>
      </c>
      <c r="X368" s="0" t="n">
        <f aca="false">W_PH(X$2,$A368)</f>
        <v>3029.46150185951</v>
      </c>
      <c r="Y368" s="0" t="n">
        <f aca="false">W_PH(Y$2,$A368)</f>
        <v>3029.63951417678</v>
      </c>
      <c r="Z368" s="0" t="n">
        <f aca="false">W_PH(Z$2,$A368)</f>
        <v>3029.8175740704</v>
      </c>
      <c r="AA368" s="0" t="n">
        <f aca="false">W_PH(AA$2,$A368)</f>
        <v>3029.99567686191</v>
      </c>
      <c r="AB368" s="0" t="n">
        <f aca="false">W_PH(AB$2,$A368)</f>
        <v>3030.17382616617</v>
      </c>
      <c r="AC368" s="0" t="n">
        <f aca="false">W_PH(AC$2,$A368)</f>
        <v>3030.35202559724</v>
      </c>
      <c r="AD368" s="0" t="n">
        <f aca="false">W_PH(AD$2,$A368)</f>
        <v>3030.53028707561</v>
      </c>
      <c r="AE368" s="0" t="n">
        <f aca="false">W_PH(AE$2,$A368)</f>
        <v>3030.70860591079</v>
      </c>
      <c r="AF368" s="0" t="n">
        <f aca="false">W_PH(AF$2,$A368)</f>
        <v>3030.8869857144</v>
      </c>
      <c r="AG368" s="0" t="n">
        <f aca="false">W_PH(AG$2,$A368)</f>
        <v>3031.06543425414</v>
      </c>
      <c r="AH368" s="0" t="n">
        <f aca="false">W_PH(AH$2,$A368)</f>
        <v>3032.85429460436</v>
      </c>
      <c r="AI368" s="0" t="n">
        <f aca="false">W_PH(AI$2,$A368)</f>
        <v>3034.65356667197</v>
      </c>
      <c r="AJ368" s="0" t="n">
        <f aca="false">W_PH(AJ$2,$A368)</f>
        <v>3036.46667645223</v>
      </c>
      <c r="AK368" s="0" t="n">
        <f aca="false">W_PH(AK$2,$A368)</f>
        <v>3038.29707015243</v>
      </c>
      <c r="AL368" s="0" t="n">
        <f aca="false">W_PH(AL$2,$A368)</f>
        <v>3040.14816867851</v>
      </c>
      <c r="AM368" s="0" t="n">
        <f aca="false">W_PH(AM$2,$A368)</f>
        <v>3042.02339324804</v>
      </c>
      <c r="AN368" s="0" t="n">
        <f aca="false">W_PH(AN$2,$A368)</f>
        <v>3043.92615760212</v>
      </c>
      <c r="AO368" s="0" t="n">
        <f aca="false">W_PH(AO$2,$A368)</f>
        <v>3045.85987288376</v>
      </c>
      <c r="AP368" s="0" t="n">
        <f aca="false">W_PH(AP$2,$A368)</f>
        <v>2015</v>
      </c>
      <c r="AQ368" s="0" t="n">
        <f aca="false">W_PH(AQ$2,$A368)</f>
        <v>2015</v>
      </c>
      <c r="AR368" s="0" t="n">
        <f aca="false">W_PH(AR$2,$A368)</f>
        <v>2015</v>
      </c>
      <c r="AS368" s="0" t="n">
        <f aca="false">W_PH(AS$2,$A368)</f>
        <v>2015</v>
      </c>
    </row>
    <row r="369" customFormat="false" ht="12.8" hidden="false" customHeight="false" outlineLevel="0" collapsed="false">
      <c r="A369" s="0" t="n">
        <v>2274.29062768702</v>
      </c>
      <c r="B369" s="0" t="n">
        <f aca="false">W_PH(B$2,$A369)</f>
        <v>2015</v>
      </c>
      <c r="C369" s="0" t="n">
        <f aca="false">W_PH(C$2,$A369)</f>
        <v>3032.81209493086</v>
      </c>
      <c r="D369" s="0" t="n">
        <f aca="false">W_PH(D$2,$A369)</f>
        <v>3032.81227047321</v>
      </c>
      <c r="E369" s="0" t="n">
        <f aca="false">W_PH(E$2,$A369)</f>
        <v>3032.81245429795</v>
      </c>
      <c r="F369" s="0" t="n">
        <f aca="false">W_PH(F$2,$A369)</f>
        <v>3032.8126298404</v>
      </c>
      <c r="G369" s="0" t="n">
        <f aca="false">W_PH(G$2,$A369)</f>
        <v>3032.8144142557</v>
      </c>
      <c r="H369" s="0" t="n">
        <f aca="false">W_PH(H$2,$A369)</f>
        <v>3032.8161986758</v>
      </c>
      <c r="I369" s="0" t="n">
        <f aca="false">W_PH(I$2,$A369)</f>
        <v>3032.8179789595</v>
      </c>
      <c r="J369" s="0" t="n">
        <f aca="false">W_PH(J$2,$A369)</f>
        <v>3032.81976753042</v>
      </c>
      <c r="K369" s="0" t="n">
        <f aca="false">W_PH(K$2,$A369)</f>
        <v>3032.82154782372</v>
      </c>
      <c r="L369" s="0" t="n">
        <f aca="false">W_PH(L$2,$A369)</f>
        <v>3032.82333226306</v>
      </c>
      <c r="M369" s="0" t="n">
        <f aca="false">W_PH(M$2,$A369)</f>
        <v>3032.82511670721</v>
      </c>
      <c r="N369" s="0" t="n">
        <f aca="false">W_PH(N$2,$A369)</f>
        <v>3032.82689701493</v>
      </c>
      <c r="O369" s="0" t="n">
        <f aca="false">W_PH(O$2,$A369)</f>
        <v>3032.82868561</v>
      </c>
      <c r="P369" s="0" t="n">
        <f aca="false">W_PH(P$2,$A369)</f>
        <v>3032.8465221316</v>
      </c>
      <c r="Q369" s="0" t="n">
        <f aca="false">W_PH(Q$2,$A369)</f>
        <v>3032.86435499797</v>
      </c>
      <c r="R369" s="0" t="n">
        <f aca="false">W_PH(R$2,$A369)</f>
        <v>3032.8821924956</v>
      </c>
      <c r="S369" s="0" t="n">
        <f aca="false">W_PH(S$2,$A369)</f>
        <v>3032.90002634499</v>
      </c>
      <c r="T369" s="0" t="n">
        <f aca="false">W_PH(T$2,$A369)</f>
        <v>3032.91786483308</v>
      </c>
      <c r="U369" s="0" t="n">
        <f aca="false">W_PH(U$2,$A369)</f>
        <v>3032.93570382185</v>
      </c>
      <c r="V369" s="0" t="n">
        <f aca="false">W_PH(V$2,$A369)</f>
        <v>3032.95354331493</v>
      </c>
      <c r="W369" s="0" t="n">
        <f aca="false">W_PH(W$2,$A369)</f>
        <v>3032.97138331592</v>
      </c>
      <c r="X369" s="0" t="n">
        <f aca="false">W_PH(X$2,$A369)</f>
        <v>3032.98922382843</v>
      </c>
      <c r="Y369" s="0" t="n">
        <f aca="false">W_PH(Y$2,$A369)</f>
        <v>3033.16763302071</v>
      </c>
      <c r="Z369" s="0" t="n">
        <f aca="false">W_PH(Z$2,$A369)</f>
        <v>3033.34608903092</v>
      </c>
      <c r="AA369" s="0" t="n">
        <f aca="false">W_PH(AA$2,$A369)</f>
        <v>3033.52458716799</v>
      </c>
      <c r="AB369" s="0" t="n">
        <f aca="false">W_PH(AB$2,$A369)</f>
        <v>3033.70313102452</v>
      </c>
      <c r="AC369" s="0" t="n">
        <f aca="false">W_PH(AC$2,$A369)</f>
        <v>3033.88173248765</v>
      </c>
      <c r="AD369" s="0" t="n">
        <f aca="false">W_PH(AD$2,$A369)</f>
        <v>3034.0603868574</v>
      </c>
      <c r="AE369" s="0" t="n">
        <f aca="false">W_PH(AE$2,$A369)</f>
        <v>3034.23909772399</v>
      </c>
      <c r="AF369" s="0" t="n">
        <f aca="false">W_PH(AF$2,$A369)</f>
        <v>3034.41786867686</v>
      </c>
      <c r="AG369" s="0" t="n">
        <f aca="false">W_PH(AG$2,$A369)</f>
        <v>3034.59671160859</v>
      </c>
      <c r="AH369" s="0" t="n">
        <f aca="false">W_PH(AH$2,$A369)</f>
        <v>3036.38945720118</v>
      </c>
      <c r="AI369" s="0" t="n">
        <f aca="false">W_PH(AI$2,$A369)</f>
        <v>3038.19251258125</v>
      </c>
      <c r="AJ369" s="0" t="n">
        <f aca="false">W_PH(AJ$2,$A369)</f>
        <v>3040.00930314122</v>
      </c>
      <c r="AK369" s="0" t="n">
        <f aca="false">W_PH(AK$2,$A369)</f>
        <v>3041.84324550031</v>
      </c>
      <c r="AL369" s="0" t="n">
        <f aca="false">W_PH(AL$2,$A369)</f>
        <v>3043.69773951561</v>
      </c>
      <c r="AM369" s="0" t="n">
        <f aca="false">W_PH(AM$2,$A369)</f>
        <v>3045.57618552986</v>
      </c>
      <c r="AN369" s="0" t="n">
        <f aca="false">W_PH(AN$2,$A369)</f>
        <v>3047.48198080895</v>
      </c>
      <c r="AO369" s="0" t="n">
        <f aca="false">W_PH(AO$2,$A369)</f>
        <v>3049.41851598487</v>
      </c>
      <c r="AP369" s="0" t="n">
        <f aca="false">W_PH(AP$2,$A369)</f>
        <v>2015</v>
      </c>
      <c r="AQ369" s="0" t="n">
        <f aca="false">W_PH(AQ$2,$A369)</f>
        <v>2015</v>
      </c>
      <c r="AR369" s="0" t="n">
        <f aca="false">W_PH(AR$2,$A369)</f>
        <v>2015</v>
      </c>
      <c r="AS369" s="0" t="n">
        <f aca="false">W_PH(AS$2,$A369)</f>
        <v>2015</v>
      </c>
    </row>
    <row r="370" customFormat="false" ht="12.8" hidden="false" customHeight="false" outlineLevel="0" collapsed="false">
      <c r="A370" s="0" t="n">
        <v>2278.58985382631</v>
      </c>
      <c r="B370" s="0" t="n">
        <f aca="false">W_PH(B$2,$A370)</f>
        <v>2015</v>
      </c>
      <c r="C370" s="0" t="n">
        <f aca="false">W_PH(C$2,$A370)</f>
        <v>3036.33255608988</v>
      </c>
      <c r="D370" s="0" t="n">
        <f aca="false">W_PH(D$2,$A370)</f>
        <v>3036.33273668883</v>
      </c>
      <c r="E370" s="0" t="n">
        <f aca="false">W_PH(E$2,$A370)</f>
        <v>3036.33291728783</v>
      </c>
      <c r="F370" s="0" t="n">
        <f aca="false">W_PH(F$2,$A370)</f>
        <v>3036.33309375048</v>
      </c>
      <c r="G370" s="0" t="n">
        <f aca="false">W_PH(G$2,$A370)</f>
        <v>3036.33488319797</v>
      </c>
      <c r="H370" s="0" t="n">
        <f aca="false">W_PH(H$2,$A370)</f>
        <v>3036.3366726502</v>
      </c>
      <c r="I370" s="0" t="n">
        <f aca="false">W_PH(I$2,$A370)</f>
        <v>3036.33845383432</v>
      </c>
      <c r="J370" s="0" t="n">
        <f aca="false">W_PH(J$2,$A370)</f>
        <v>3036.34024329601</v>
      </c>
      <c r="K370" s="0" t="n">
        <f aca="false">W_PH(K$2,$A370)</f>
        <v>3036.34203276245</v>
      </c>
      <c r="L370" s="0" t="n">
        <f aca="false">W_PH(L$2,$A370)</f>
        <v>3036.34382223364</v>
      </c>
      <c r="M370" s="0" t="n">
        <f aca="false">W_PH(M$2,$A370)</f>
        <v>3036.34560757312</v>
      </c>
      <c r="N370" s="0" t="n">
        <f aca="false">W_PH(N$2,$A370)</f>
        <v>3036.34739291733</v>
      </c>
      <c r="O370" s="0" t="n">
        <f aca="false">W_PH(O$2,$A370)</f>
        <v>3036.34918240277</v>
      </c>
      <c r="P370" s="0" t="n">
        <f aca="false">W_PH(P$2,$A370)</f>
        <v>3036.36706097349</v>
      </c>
      <c r="Q370" s="0" t="n">
        <f aca="false">W_PH(Q$2,$A370)</f>
        <v>3036.38493175005</v>
      </c>
      <c r="R370" s="0" t="n">
        <f aca="false">W_PH(R$2,$A370)</f>
        <v>3036.40281128266</v>
      </c>
      <c r="S370" s="0" t="n">
        <f aca="false">W_PH(S$2,$A370)</f>
        <v>3036.42068302785</v>
      </c>
      <c r="T370" s="0" t="n">
        <f aca="false">W_PH(T$2,$A370)</f>
        <v>3036.43856353669</v>
      </c>
      <c r="U370" s="0" t="n">
        <f aca="false">W_PH(U$2,$A370)</f>
        <v>3036.45644040199</v>
      </c>
      <c r="V370" s="0" t="n">
        <f aca="false">W_PH(V$2,$A370)</f>
        <v>3036.47431776426</v>
      </c>
      <c r="W370" s="0" t="n">
        <f aca="false">W_PH(W$2,$A370)</f>
        <v>3036.49219562709</v>
      </c>
      <c r="X370" s="0" t="n">
        <f aca="false">W_PH(X$2,$A370)</f>
        <v>3036.51007399407</v>
      </c>
      <c r="Y370" s="0" t="n">
        <f aca="false">W_PH(Y$2,$A370)</f>
        <v>3036.6888779034</v>
      </c>
      <c r="Z370" s="0" t="n">
        <f aca="false">W_PH(Z$2,$A370)</f>
        <v>3036.86771960783</v>
      </c>
      <c r="AA370" s="0" t="n">
        <f aca="false">W_PH(AA$2,$A370)</f>
        <v>3037.04661096006</v>
      </c>
      <c r="AB370" s="0" t="n">
        <f aca="false">W_PH(AB$2,$A370)</f>
        <v>3037.22554725358</v>
      </c>
      <c r="AC370" s="0" t="n">
        <f aca="false">W_PH(AC$2,$A370)</f>
        <v>3037.404536201</v>
      </c>
      <c r="AD370" s="0" t="n">
        <f aca="false">W_PH(AD$2,$A370)</f>
        <v>3037.58357723066</v>
      </c>
      <c r="AE370" s="0" t="n">
        <f aca="false">W_PH(AE$2,$A370)</f>
        <v>3037.76267805573</v>
      </c>
      <c r="AF370" s="0" t="n">
        <f aca="false">W_PH(AF$2,$A370)</f>
        <v>3037.94183810087</v>
      </c>
      <c r="AG370" s="0" t="n">
        <f aca="false">W_PH(AG$2,$A370)</f>
        <v>3038.12106922693</v>
      </c>
      <c r="AH370" s="0" t="n">
        <f aca="false">W_PH(AH$2,$A370)</f>
        <v>3039.91764306652</v>
      </c>
      <c r="AI370" s="0" t="n">
        <f aca="false">W_PH(AI$2,$A370)</f>
        <v>3041.72443887947</v>
      </c>
      <c r="AJ370" s="0" t="n">
        <f aca="false">W_PH(AJ$2,$A370)</f>
        <v>3043.54486079872</v>
      </c>
      <c r="AK370" s="0" t="n">
        <f aca="false">W_PH(AK$2,$A370)</f>
        <v>3045.38229600219</v>
      </c>
      <c r="AL370" s="0" t="n">
        <f aca="false">W_PH(AL$2,$A370)</f>
        <v>3047.24014021822</v>
      </c>
      <c r="AM370" s="0" t="n">
        <f aca="false">W_PH(AM$2,$A370)</f>
        <v>3049.12176473867</v>
      </c>
      <c r="AN370" s="0" t="n">
        <f aca="false">W_PH(AN$2,$A370)</f>
        <v>3051.03055052024</v>
      </c>
      <c r="AO370" s="0" t="n">
        <f aca="false">W_PH(AO$2,$A370)</f>
        <v>3052.96985940172</v>
      </c>
      <c r="AP370" s="0" t="n">
        <f aca="false">W_PH(AP$2,$A370)</f>
        <v>2015</v>
      </c>
      <c r="AQ370" s="0" t="n">
        <f aca="false">W_PH(AQ$2,$A370)</f>
        <v>2015</v>
      </c>
      <c r="AR370" s="0" t="n">
        <f aca="false">W_PH(AR$2,$A370)</f>
        <v>2015</v>
      </c>
      <c r="AS370" s="0" t="n">
        <f aca="false">W_PH(AS$2,$A370)</f>
        <v>2015</v>
      </c>
    </row>
    <row r="371" customFormat="false" ht="12.8" hidden="false" customHeight="false" outlineLevel="0" collapsed="false">
      <c r="A371" s="0" t="n">
        <v>2282.88907996561</v>
      </c>
      <c r="B371" s="0" t="n">
        <f aca="false">W_PH(B$2,$A371)</f>
        <v>2015</v>
      </c>
      <c r="C371" s="0" t="n">
        <f aca="false">W_PH(C$2,$A371)</f>
        <v>3039.84620010797</v>
      </c>
      <c r="D371" s="0" t="n">
        <f aca="false">W_PH(D$2,$A371)</f>
        <v>3039.84638161083</v>
      </c>
      <c r="E371" s="0" t="n">
        <f aca="false">W_PH(E$2,$A371)</f>
        <v>3039.84656311375</v>
      </c>
      <c r="F371" s="0" t="n">
        <f aca="false">W_PH(F$2,$A371)</f>
        <v>3039.84674048508</v>
      </c>
      <c r="G371" s="0" t="n">
        <f aca="false">W_PH(G$2,$A371)</f>
        <v>3039.84853072745</v>
      </c>
      <c r="H371" s="0" t="n">
        <f aca="false">W_PH(H$2,$A371)</f>
        <v>3039.85032097447</v>
      </c>
      <c r="I371" s="0" t="n">
        <f aca="false">W_PH(I$2,$A371)</f>
        <v>3039.85211122615</v>
      </c>
      <c r="J371" s="0" t="n">
        <f aca="false">W_PH(J$2,$A371)</f>
        <v>3039.85390561417</v>
      </c>
      <c r="K371" s="0" t="n">
        <f aca="false">W_PH(K$2,$A371)</f>
        <v>3039.85570000686</v>
      </c>
      <c r="L371" s="0" t="n">
        <f aca="false">W_PH(L$2,$A371)</f>
        <v>3039.85749027255</v>
      </c>
      <c r="M371" s="0" t="n">
        <f aca="false">W_PH(M$2,$A371)</f>
        <v>3039.8592805429</v>
      </c>
      <c r="N371" s="0" t="n">
        <f aca="false">W_PH(N$2,$A371)</f>
        <v>3039.86107081792</v>
      </c>
      <c r="O371" s="0" t="n">
        <f aca="false">W_PH(O$2,$A371)</f>
        <v>3039.86286109762</v>
      </c>
      <c r="P371" s="0" t="n">
        <f aca="false">W_PH(P$2,$A371)</f>
        <v>3039.88077654809</v>
      </c>
      <c r="Q371" s="0" t="n">
        <f aca="false">W_PH(Q$2,$A371)</f>
        <v>3039.8986924707</v>
      </c>
      <c r="R371" s="0" t="n">
        <f aca="false">W_PH(R$2,$A371)</f>
        <v>3039.91660473695</v>
      </c>
      <c r="S371" s="0" t="n">
        <f aca="false">W_PH(S$2,$A371)</f>
        <v>3039.93451748226</v>
      </c>
      <c r="T371" s="0" t="n">
        <f aca="false">W_PH(T$2,$A371)</f>
        <v>3039.95243897471</v>
      </c>
      <c r="U371" s="0" t="n">
        <f aca="false">W_PH(U$2,$A371)</f>
        <v>3039.97035268903</v>
      </c>
      <c r="V371" s="0" t="n">
        <f aca="false">W_PH(V$2,$A371)</f>
        <v>3039.98826689308</v>
      </c>
      <c r="W371" s="0" t="n">
        <f aca="false">W_PH(W$2,$A371)</f>
        <v>3040.00618159045</v>
      </c>
      <c r="X371" s="0" t="n">
        <f aca="false">W_PH(X$2,$A371)</f>
        <v>3040.02410505006</v>
      </c>
      <c r="Y371" s="0" t="n">
        <f aca="false">W_PH(Y$2,$A371)</f>
        <v>3040.20329337382</v>
      </c>
      <c r="Z371" s="0" t="n">
        <f aca="false">W_PH(Z$2,$A371)</f>
        <v>3040.38252290368</v>
      </c>
      <c r="AA371" s="0" t="n">
        <f aca="false">W_PH(AA$2,$A371)</f>
        <v>3040.5617971923</v>
      </c>
      <c r="AB371" s="0" t="n">
        <f aca="false">W_PH(AB$2,$A371)</f>
        <v>3040.74111979159</v>
      </c>
      <c r="AC371" s="0" t="n">
        <f aca="false">W_PH(AC$2,$A371)</f>
        <v>3040.92049425269</v>
      </c>
      <c r="AD371" s="0" t="n">
        <f aca="false">W_PH(AD$2,$A371)</f>
        <v>3041.09991998692</v>
      </c>
      <c r="AE371" s="0" t="n">
        <f aca="false">W_PH(AE$2,$A371)</f>
        <v>3041.27940054075</v>
      </c>
      <c r="AF371" s="0" t="n">
        <f aca="false">W_PH(AF$2,$A371)</f>
        <v>3041.45894774218</v>
      </c>
      <c r="AG371" s="0" t="n">
        <f aca="false">W_PH(AG$2,$A371)</f>
        <v>3041.63855271586</v>
      </c>
      <c r="AH371" s="0" t="n">
        <f aca="false">W_PH(AH$2,$A371)</f>
        <v>3043.43890326421</v>
      </c>
      <c r="AI371" s="0" t="n">
        <f aca="false">W_PH(AI$2,$A371)</f>
        <v>3045.2493853837</v>
      </c>
      <c r="AJ371" s="0" t="n">
        <f aca="false">W_PH(AJ$2,$A371)</f>
        <v>3047.07339045443</v>
      </c>
      <c r="AK371" s="0" t="n">
        <f aca="false">W_PH(AK$2,$A371)</f>
        <v>3048.91427645182</v>
      </c>
      <c r="AL371" s="0" t="n">
        <f aca="false">W_PH(AL$2,$A371)</f>
        <v>3050.77542256535</v>
      </c>
      <c r="AM371" s="0" t="n">
        <f aca="false">W_PH(AM$2,$A371)</f>
        <v>3052.66017538001</v>
      </c>
      <c r="AN371" s="0" t="n">
        <f aca="false">W_PH(AN$2,$A371)</f>
        <v>3054.57190389219</v>
      </c>
      <c r="AO371" s="0" t="n">
        <f aca="false">W_PH(AO$2,$A371)</f>
        <v>3056.51394978739</v>
      </c>
      <c r="AP371" s="0" t="n">
        <f aca="false">W_PH(AP$2,$A371)</f>
        <v>2015</v>
      </c>
      <c r="AQ371" s="0" t="n">
        <f aca="false">W_PH(AQ$2,$A371)</f>
        <v>2015</v>
      </c>
      <c r="AR371" s="0" t="n">
        <f aca="false">W_PH(AR$2,$A371)</f>
        <v>2015</v>
      </c>
      <c r="AS371" s="0" t="n">
        <f aca="false">W_PH(AS$2,$A371)</f>
        <v>2015</v>
      </c>
    </row>
    <row r="372" customFormat="false" ht="12.8" hidden="false" customHeight="false" outlineLevel="0" collapsed="false">
      <c r="A372" s="0" t="n">
        <v>2287.1883061049</v>
      </c>
      <c r="B372" s="0" t="n">
        <f aca="false">W_PH(B$2,$A372)</f>
        <v>2015</v>
      </c>
      <c r="C372" s="0" t="n">
        <f aca="false">W_PH(C$2,$A372)</f>
        <v>3043.35307091099</v>
      </c>
      <c r="D372" s="0" t="n">
        <f aca="false">W_PH(D$2,$A372)</f>
        <v>3043.35324917951</v>
      </c>
      <c r="E372" s="0" t="n">
        <f aca="false">W_PH(E$2,$A372)</f>
        <v>3043.35342744809</v>
      </c>
      <c r="F372" s="0" t="n">
        <f aca="false">W_PH(F$2,$A372)</f>
        <v>3043.35360571671</v>
      </c>
      <c r="G372" s="0" t="n">
        <f aca="false">W_PH(G$2,$A372)</f>
        <v>3043.35540491307</v>
      </c>
      <c r="H372" s="0" t="n">
        <f aca="false">W_PH(H$2,$A372)</f>
        <v>3043.35719586017</v>
      </c>
      <c r="I372" s="0" t="n">
        <f aca="false">W_PH(I$2,$A372)</f>
        <v>3043.35899506573</v>
      </c>
      <c r="J372" s="0" t="n">
        <f aca="false">W_PH(J$2,$A372)</f>
        <v>3043.360786022</v>
      </c>
      <c r="K372" s="0" t="n">
        <f aca="false">W_PH(K$2,$A372)</f>
        <v>3043.36258523677</v>
      </c>
      <c r="L372" s="0" t="n">
        <f aca="false">W_PH(L$2,$A372)</f>
        <v>3043.36437620222</v>
      </c>
      <c r="M372" s="0" t="n">
        <f aca="false">W_PH(M$2,$A372)</f>
        <v>3043.36617542622</v>
      </c>
      <c r="N372" s="0" t="n">
        <f aca="false">W_PH(N$2,$A372)</f>
        <v>3043.36796640087</v>
      </c>
      <c r="O372" s="0" t="n">
        <f aca="false">W_PH(O$2,$A372)</f>
        <v>3043.3697656341</v>
      </c>
      <c r="P372" s="0" t="n">
        <f aca="false">W_PH(P$2,$A372)</f>
        <v>3043.38771695103</v>
      </c>
      <c r="Q372" s="0" t="n">
        <f aca="false">W_PH(Q$2,$A372)</f>
        <v>3043.40566873307</v>
      </c>
      <c r="R372" s="0" t="n">
        <f aca="false">W_PH(R$2,$A372)</f>
        <v>3043.42362098377</v>
      </c>
      <c r="S372" s="0" t="n">
        <f aca="false">W_PH(S$2,$A372)</f>
        <v>3043.44157370667</v>
      </c>
      <c r="T372" s="0" t="n">
        <f aca="false">W_PH(T$2,$A372)</f>
        <v>3043.45952690531</v>
      </c>
      <c r="U372" s="0" t="n">
        <f aca="false">W_PH(U$2,$A372)</f>
        <v>3043.47748058324</v>
      </c>
      <c r="V372" s="0" t="n">
        <f aca="false">W_PH(V$2,$A372)</f>
        <v>3043.49543474399</v>
      </c>
      <c r="W372" s="0" t="n">
        <f aca="false">W_PH(W$2,$A372)</f>
        <v>3043.5133893911</v>
      </c>
      <c r="X372" s="0" t="n">
        <f aca="false">W_PH(X$2,$A372)</f>
        <v>3043.53134452813</v>
      </c>
      <c r="Y372" s="0" t="n">
        <f aca="false">W_PH(Y$2,$A372)</f>
        <v>3043.71091949345</v>
      </c>
      <c r="Z372" s="0" t="n">
        <f aca="false">W_PH(Z$2,$A372)</f>
        <v>3043.8905308226</v>
      </c>
      <c r="AA372" s="0" t="n">
        <f aca="false">W_PH(AA$2,$A372)</f>
        <v>3044.07018617449</v>
      </c>
      <c r="AB372" s="0" t="n">
        <f aca="false">W_PH(AB$2,$A372)</f>
        <v>3044.24988494721</v>
      </c>
      <c r="AC372" s="0" t="n">
        <f aca="false">W_PH(AC$2,$A372)</f>
        <v>3044.42963893347</v>
      </c>
      <c r="AD372" s="0" t="n">
        <f aca="false">W_PH(AD$2,$A372)</f>
        <v>3044.6094433967</v>
      </c>
      <c r="AE372" s="0" t="n">
        <f aca="false">W_PH(AE$2,$A372)</f>
        <v>3044.78930186175</v>
      </c>
      <c r="AF372" s="0" t="n">
        <f aca="false">W_PH(AF$2,$A372)</f>
        <v>3044.9692261254</v>
      </c>
      <c r="AG372" s="0" t="n">
        <f aca="false">W_PH(AG$2,$A372)</f>
        <v>3045.1492114426</v>
      </c>
      <c r="AH372" s="0" t="n">
        <f aca="false">W_PH(AH$2,$A372)</f>
        <v>3046.95328014325</v>
      </c>
      <c r="AI372" s="0" t="n">
        <f aca="false">W_PH(AI$2,$A372)</f>
        <v>3048.7674081626</v>
      </c>
      <c r="AJ372" s="0" t="n">
        <f aca="false">W_PH(AJ$2,$A372)</f>
        <v>3050.59493273689</v>
      </c>
      <c r="AK372" s="0" t="n">
        <f aca="false">W_PH(AK$2,$A372)</f>
        <v>3052.43922444482</v>
      </c>
      <c r="AL372" s="0" t="n">
        <f aca="false">W_PH(AL$2,$A372)</f>
        <v>3054.30362109934</v>
      </c>
      <c r="AM372" s="0" t="n">
        <f aca="false">W_PH(AM$2,$A372)</f>
        <v>3056.19146989466</v>
      </c>
      <c r="AN372" s="0" t="n">
        <f aca="false">W_PH(AN$2,$A372)</f>
        <v>3058.10609868305</v>
      </c>
      <c r="AO372" s="0" t="n">
        <f aca="false">W_PH(AO$2,$A372)</f>
        <v>3060.05084594714</v>
      </c>
      <c r="AP372" s="0" t="n">
        <f aca="false">W_PH(AP$2,$A372)</f>
        <v>2015</v>
      </c>
      <c r="AQ372" s="0" t="n">
        <f aca="false">W_PH(AQ$2,$A372)</f>
        <v>2015</v>
      </c>
      <c r="AR372" s="0" t="n">
        <f aca="false">W_PH(AR$2,$A372)</f>
        <v>2015</v>
      </c>
      <c r="AS372" s="0" t="n">
        <f aca="false">W_PH(AS$2,$A372)</f>
        <v>2015</v>
      </c>
    </row>
    <row r="373" customFormat="false" ht="12.8" hidden="false" customHeight="false" outlineLevel="0" collapsed="false">
      <c r="A373" s="0" t="n">
        <v>2291.4875322442</v>
      </c>
      <c r="B373" s="0" t="n">
        <f aca="false">W_PH(B$2,$A373)</f>
        <v>2015</v>
      </c>
      <c r="C373" s="0" t="n">
        <f aca="false">W_PH(C$2,$A373)</f>
        <v>3046.85320383151</v>
      </c>
      <c r="D373" s="0" t="n">
        <f aca="false">W_PH(D$2,$A373)</f>
        <v>3046.85338298611</v>
      </c>
      <c r="E373" s="0" t="n">
        <f aca="false">W_PH(E$2,$A373)</f>
        <v>3046.85356214075</v>
      </c>
      <c r="F373" s="0" t="n">
        <f aca="false">W_PH(F$2,$A373)</f>
        <v>3046.85374129544</v>
      </c>
      <c r="G373" s="0" t="n">
        <f aca="false">W_PH(G$2,$A373)</f>
        <v>3046.85554108922</v>
      </c>
      <c r="H373" s="0" t="n">
        <f aca="false">W_PH(H$2,$A373)</f>
        <v>3046.85734088752</v>
      </c>
      <c r="I373" s="0" t="n">
        <f aca="false">W_PH(I$2,$A373)</f>
        <v>3046.85914069035</v>
      </c>
      <c r="J373" s="0" t="n">
        <f aca="false">W_PH(J$2,$A373)</f>
        <v>3046.86094049771</v>
      </c>
      <c r="K373" s="0" t="n">
        <f aca="false">W_PH(K$2,$A373)</f>
        <v>3046.86273618736</v>
      </c>
      <c r="L373" s="0" t="n">
        <f aca="false">W_PH(L$2,$A373)</f>
        <v>3046.86453188152</v>
      </c>
      <c r="M373" s="0" t="n">
        <f aca="false">W_PH(M$2,$A373)</f>
        <v>3046.86633170248</v>
      </c>
      <c r="N373" s="0" t="n">
        <f aca="false">W_PH(N$2,$A373)</f>
        <v>3046.86813152798</v>
      </c>
      <c r="O373" s="0" t="n">
        <f aca="false">W_PH(O$2,$A373)</f>
        <v>3046.86993135803</v>
      </c>
      <c r="P373" s="0" t="n">
        <f aca="false">W_PH(P$2,$A373)</f>
        <v>3046.88792166476</v>
      </c>
      <c r="Q373" s="0" t="n">
        <f aca="false">W_PH(Q$2,$A373)</f>
        <v>3046.90591242989</v>
      </c>
      <c r="R373" s="0" t="n">
        <f aca="false">W_PH(R$2,$A373)</f>
        <v>3046.92390365694</v>
      </c>
      <c r="S373" s="0" t="n">
        <f aca="false">W_PH(S$2,$A373)</f>
        <v>3046.94189534943</v>
      </c>
      <c r="T373" s="0" t="n">
        <f aca="false">W_PH(T$2,$A373)</f>
        <v>3046.95988751088</v>
      </c>
      <c r="U373" s="0" t="n">
        <f aca="false">W_PH(U$2,$A373)</f>
        <v>3046.97788014481</v>
      </c>
      <c r="V373" s="0" t="n">
        <f aca="false">W_PH(V$2,$A373)</f>
        <v>3046.99586913173</v>
      </c>
      <c r="W373" s="0" t="n">
        <f aca="false">W_PH(W$2,$A373)</f>
        <v>3047.01385859796</v>
      </c>
      <c r="X373" s="0" t="n">
        <f aca="false">W_PH(X$2,$A373)</f>
        <v>3047.03185267025</v>
      </c>
      <c r="Y373" s="0" t="n">
        <f aca="false">W_PH(Y$2,$A373)</f>
        <v>3047.21180423774</v>
      </c>
      <c r="Z373" s="0" t="n">
        <f aca="false">W_PH(Z$2,$A373)</f>
        <v>3047.39178734607</v>
      </c>
      <c r="AA373" s="0" t="n">
        <f aca="false">W_PH(AA$2,$A373)</f>
        <v>3047.5718178775</v>
      </c>
      <c r="AB373" s="0" t="n">
        <f aca="false">W_PH(AB$2,$A373)</f>
        <v>3047.75189521653</v>
      </c>
      <c r="AC373" s="0" t="n">
        <f aca="false">W_PH(AC$2,$A373)</f>
        <v>3047.93201874277</v>
      </c>
      <c r="AD373" s="0" t="n">
        <f aca="false">W_PH(AD$2,$A373)</f>
        <v>3048.11219196043</v>
      </c>
      <c r="AE373" s="0" t="n">
        <f aca="false">W_PH(AE$2,$A373)</f>
        <v>3048.29242663393</v>
      </c>
      <c r="AF373" s="0" t="n">
        <f aca="false">W_PH(AF$2,$A373)</f>
        <v>3048.47271800923</v>
      </c>
      <c r="AG373" s="0" t="n">
        <f aca="false">W_PH(AG$2,$A373)</f>
        <v>3048.65307785345</v>
      </c>
      <c r="AH373" s="0" t="n">
        <f aca="false">W_PH(AH$2,$A373)</f>
        <v>3050.46082396449</v>
      </c>
      <c r="AI373" s="0" t="n">
        <f aca="false">W_PH(AI$2,$A373)</f>
        <v>3052.27853791126</v>
      </c>
      <c r="AJ373" s="0" t="n">
        <f aca="false">W_PH(AJ$2,$A373)</f>
        <v>3054.10954453168</v>
      </c>
      <c r="AK373" s="0" t="n">
        <f aca="false">W_PH(AK$2,$A373)</f>
        <v>3055.95719387508</v>
      </c>
      <c r="AL373" s="0" t="n">
        <f aca="false">W_PH(AL$2,$A373)</f>
        <v>3057.82479506762</v>
      </c>
      <c r="AM373" s="0" t="n">
        <f aca="false">W_PH(AM$2,$A373)</f>
        <v>3059.71568764997</v>
      </c>
      <c r="AN373" s="0" t="n">
        <f aca="false">W_PH(AN$2,$A373)</f>
        <v>3061.63317950808</v>
      </c>
      <c r="AO373" s="0" t="n">
        <f aca="false">W_PH(AO$2,$A373)</f>
        <v>3063.5805808657</v>
      </c>
      <c r="AP373" s="0" t="n">
        <f aca="false">W_PH(AP$2,$A373)</f>
        <v>2015</v>
      </c>
      <c r="AQ373" s="0" t="n">
        <f aca="false">W_PH(AQ$2,$A373)</f>
        <v>2015</v>
      </c>
      <c r="AR373" s="0" t="n">
        <f aca="false">W_PH(AR$2,$A373)</f>
        <v>2015</v>
      </c>
      <c r="AS373" s="0" t="n">
        <f aca="false">W_PH(AS$2,$A373)</f>
        <v>2015</v>
      </c>
    </row>
    <row r="374" customFormat="false" ht="12.8" hidden="false" customHeight="false" outlineLevel="0" collapsed="false">
      <c r="A374" s="0" t="n">
        <v>2295.78675838349</v>
      </c>
      <c r="B374" s="0" t="n">
        <f aca="false">W_PH(B$2,$A374)</f>
        <v>2015</v>
      </c>
      <c r="C374" s="0" t="n">
        <f aca="false">W_PH(C$2,$A374)</f>
        <v>3050.34664213052</v>
      </c>
      <c r="D374" s="0" t="n">
        <f aca="false">W_PH(D$2,$A374)</f>
        <v>3050.34682216011</v>
      </c>
      <c r="E374" s="0" t="n">
        <f aca="false">W_PH(E$2,$A374)</f>
        <v>3050.34700218975</v>
      </c>
      <c r="F374" s="0" t="n">
        <f aca="false">W_PH(F$2,$A374)</f>
        <v>3050.34718221944</v>
      </c>
      <c r="G374" s="0" t="n">
        <f aca="false">W_PH(G$2,$A374)</f>
        <v>3050.34898251872</v>
      </c>
      <c r="H374" s="0" t="n">
        <f aca="false">W_PH(H$2,$A374)</f>
        <v>3050.35078693998</v>
      </c>
      <c r="I374" s="0" t="n">
        <f aca="false">W_PH(I$2,$A374)</f>
        <v>3050.35259136571</v>
      </c>
      <c r="J374" s="0" t="n">
        <f aca="false">W_PH(J$2,$A374)</f>
        <v>3050.35439167835</v>
      </c>
      <c r="K374" s="0" t="n">
        <f aca="false">W_PH(K$2,$A374)</f>
        <v>3050.35619199544</v>
      </c>
      <c r="L374" s="0" t="n">
        <f aca="false">W_PH(L$2,$A374)</f>
        <v>3050.35800055214</v>
      </c>
      <c r="M374" s="0" t="n">
        <f aca="false">W_PH(M$2,$A374)</f>
        <v>3050.35980087818</v>
      </c>
      <c r="N374" s="0" t="n">
        <f aca="false">W_PH(N$2,$A374)</f>
        <v>3050.36160120867</v>
      </c>
      <c r="O374" s="0" t="n">
        <f aca="false">W_PH(O$2,$A374)</f>
        <v>3050.36340566124</v>
      </c>
      <c r="P374" s="0" t="n">
        <f aca="false">W_PH(P$2,$A374)</f>
        <v>3050.38142984595</v>
      </c>
      <c r="Q374" s="0" t="n">
        <f aca="false">W_PH(Q$2,$A374)</f>
        <v>3050.39945860006</v>
      </c>
      <c r="R374" s="0" t="n">
        <f aca="false">W_PH(R$2,$A374)</f>
        <v>3050.41748780944</v>
      </c>
      <c r="S374" s="0" t="n">
        <f aca="false">W_PH(S$2,$A374)</f>
        <v>3050.43551747759</v>
      </c>
      <c r="T374" s="0" t="n">
        <f aca="false">W_PH(T$2,$A374)</f>
        <v>3050.45354760802</v>
      </c>
      <c r="U374" s="0" t="n">
        <f aca="false">W_PH(U$2,$A374)</f>
        <v>3050.471574086</v>
      </c>
      <c r="V374" s="0" t="n">
        <f aca="false">W_PH(V$2,$A374)</f>
        <v>3050.48960103304</v>
      </c>
      <c r="W374" s="0" t="n">
        <f aca="false">W_PH(W$2,$A374)</f>
        <v>3050.50763257108</v>
      </c>
      <c r="X374" s="0" t="n">
        <f aca="false">W_PH(X$2,$A374)</f>
        <v>3050.52566458539</v>
      </c>
      <c r="Y374" s="0" t="n">
        <f aca="false">W_PH(Y$2,$A374)</f>
        <v>3050.70597873641</v>
      </c>
      <c r="Z374" s="0" t="n">
        <f aca="false">W_PH(Z$2,$A374)</f>
        <v>3050.88633610465</v>
      </c>
      <c r="AA374" s="0" t="n">
        <f aca="false">W_PH(AA$2,$A374)</f>
        <v>3051.06673605974</v>
      </c>
      <c r="AB374" s="0" t="n">
        <f aca="false">W_PH(AB$2,$A374)</f>
        <v>3051.24717796655</v>
      </c>
      <c r="AC374" s="0" t="n">
        <f aca="false">W_PH(AC$2,$A374)</f>
        <v>3051.42767355606</v>
      </c>
      <c r="AD374" s="0" t="n">
        <f aca="false">W_PH(AD$2,$A374)</f>
        <v>3051.60821806807</v>
      </c>
      <c r="AE374" s="0" t="n">
        <f aca="false">W_PH(AE$2,$A374)</f>
        <v>3051.78881911055</v>
      </c>
      <c r="AF374" s="0" t="n">
        <f aca="false">W_PH(AF$2,$A374)</f>
        <v>3051.96947604147</v>
      </c>
      <c r="AG374" s="0" t="n">
        <f aca="false">W_PH(AG$2,$A374)</f>
        <v>3052.15020059719</v>
      </c>
      <c r="AH374" s="0" t="n">
        <f aca="false">W_PH(AH$2,$A374)</f>
        <v>3053.96157216747</v>
      </c>
      <c r="AI374" s="0" t="n">
        <f aca="false">W_PH(AI$2,$A374)</f>
        <v>3055.78282158819</v>
      </c>
      <c r="AJ374" s="0" t="n">
        <f aca="false">W_PH(AJ$2,$A374)</f>
        <v>3057.61726562154</v>
      </c>
      <c r="AK374" s="0" t="n">
        <f aca="false">W_PH(AK$2,$A374)</f>
        <v>3059.46821315902</v>
      </c>
      <c r="AL374" s="0" t="n">
        <f aca="false">W_PH(AL$2,$A374)</f>
        <v>3061.33898649517</v>
      </c>
      <c r="AM374" s="0" t="n">
        <f aca="false">W_PH(AM$2,$A374)</f>
        <v>3063.23287596318</v>
      </c>
      <c r="AN374" s="0" t="n">
        <f aca="false">W_PH(AN$2,$A374)</f>
        <v>3065.15319051926</v>
      </c>
      <c r="AO374" s="0" t="n">
        <f aca="false">W_PH(AO$2,$A374)</f>
        <v>3067.10320814002</v>
      </c>
      <c r="AP374" s="0" t="n">
        <f aca="false">W_PH(AP$2,$A374)</f>
        <v>2015</v>
      </c>
      <c r="AQ374" s="0" t="n">
        <f aca="false">W_PH(AQ$2,$A374)</f>
        <v>2015</v>
      </c>
      <c r="AR374" s="0" t="n">
        <f aca="false">W_PH(AR$2,$A374)</f>
        <v>2015</v>
      </c>
      <c r="AS374" s="0" t="n">
        <f aca="false">W_PH(AS$2,$A374)</f>
        <v>2015</v>
      </c>
    </row>
    <row r="375" customFormat="false" ht="12.8" hidden="false" customHeight="false" outlineLevel="0" collapsed="false">
      <c r="A375" s="0" t="n">
        <v>2300.08598452279</v>
      </c>
      <c r="B375" s="0" t="n">
        <f aca="false">W_PH(B$2,$A375)</f>
        <v>2015</v>
      </c>
      <c r="C375" s="0" t="n">
        <f aca="false">W_PH(C$2,$A375)</f>
        <v>3053.83342872941</v>
      </c>
      <c r="D375" s="0" t="n">
        <f aca="false">W_PH(D$2,$A375)</f>
        <v>3053.83360962308</v>
      </c>
      <c r="E375" s="0" t="n">
        <f aca="false">W_PH(E$2,$A375)</f>
        <v>3053.83379051678</v>
      </c>
      <c r="F375" s="0" t="n">
        <f aca="false">W_PH(F$2,$A375)</f>
        <v>3053.83397141054</v>
      </c>
      <c r="G375" s="0" t="n">
        <f aca="false">W_PH(G$2,$A375)</f>
        <v>3053.83578035049</v>
      </c>
      <c r="H375" s="0" t="n">
        <f aca="false">W_PH(H$2,$A375)</f>
        <v>3053.83758106909</v>
      </c>
      <c r="I375" s="0" t="n">
        <f aca="false">W_PH(I$2,$A375)</f>
        <v>3053.83939001783</v>
      </c>
      <c r="J375" s="0" t="n">
        <f aca="false">W_PH(J$2,$A375)</f>
        <v>3053.84119897098</v>
      </c>
      <c r="K375" s="0" t="n">
        <f aca="false">W_PH(K$2,$A375)</f>
        <v>3053.84299970273</v>
      </c>
      <c r="L375" s="0" t="n">
        <f aca="false">W_PH(L$2,$A375)</f>
        <v>3053.84480866469</v>
      </c>
      <c r="M375" s="0" t="n">
        <f aca="false">W_PH(M$2,$A375)</f>
        <v>3053.84661763106</v>
      </c>
      <c r="N375" s="0" t="n">
        <f aca="false">W_PH(N$2,$A375)</f>
        <v>3053.84841837599</v>
      </c>
      <c r="O375" s="0" t="n">
        <f aca="false">W_PH(O$2,$A375)</f>
        <v>3053.85022735119</v>
      </c>
      <c r="P375" s="0" t="n">
        <f aca="false">W_PH(P$2,$A375)</f>
        <v>3053.86829266917</v>
      </c>
      <c r="Q375" s="0" t="n">
        <f aca="false">W_PH(Q$2,$A375)</f>
        <v>3053.88635843239</v>
      </c>
      <c r="R375" s="0" t="n">
        <f aca="false">W_PH(R$2,$A375)</f>
        <v>3053.90442053108</v>
      </c>
      <c r="S375" s="0" t="n">
        <f aca="false">W_PH(S$2,$A375)</f>
        <v>3053.92248308177</v>
      </c>
      <c r="T375" s="0" t="n">
        <f aca="false">W_PH(T$2,$A375)</f>
        <v>3053.9405502014</v>
      </c>
      <c r="U375" s="0" t="n">
        <f aca="false">W_PH(U$2,$A375)</f>
        <v>3053.95861778018</v>
      </c>
      <c r="V375" s="0" t="n">
        <f aca="false">W_PH(V$2,$A375)</f>
        <v>3053.97667759427</v>
      </c>
      <c r="W375" s="0" t="n">
        <f aca="false">W_PH(W$2,$A375)</f>
        <v>3053.99474610159</v>
      </c>
      <c r="X375" s="0" t="n">
        <f aca="false">W_PH(X$2,$A375)</f>
        <v>3054.0128150785</v>
      </c>
      <c r="Y375" s="0" t="n">
        <f aca="false">W_PH(Y$2,$A375)</f>
        <v>3054.19349852091</v>
      </c>
      <c r="Z375" s="0" t="n">
        <f aca="false">W_PH(Z$2,$A375)</f>
        <v>3054.37421626695</v>
      </c>
      <c r="AA375" s="0" t="n">
        <f aca="false">W_PH(AA$2,$A375)</f>
        <v>3054.55498001447</v>
      </c>
      <c r="AB375" s="0" t="n">
        <f aca="false">W_PH(AB$2,$A375)</f>
        <v>3054.7357932329</v>
      </c>
      <c r="AC375" s="0" t="n">
        <f aca="false">W_PH(AC$2,$A375)</f>
        <v>3054.91664703419</v>
      </c>
      <c r="AD375" s="0" t="n">
        <f aca="false">W_PH(AD$2,$A375)</f>
        <v>3055.09755723712</v>
      </c>
      <c r="AE375" s="0" t="n">
        <f aca="false">W_PH(AE$2,$A375)</f>
        <v>3055.27851906715</v>
      </c>
      <c r="AF375" s="0" t="n">
        <f aca="false">W_PH(AF$2,$A375)</f>
        <v>3055.45954010685</v>
      </c>
      <c r="AG375" s="0" t="n">
        <f aca="false">W_PH(AG$2,$A375)</f>
        <v>3055.6406238192</v>
      </c>
      <c r="AH375" s="0" t="n">
        <f aca="false">W_PH(AH$2,$A375)</f>
        <v>3057.45556598165</v>
      </c>
      <c r="AI375" s="0" t="n">
        <f aca="false">W_PH(AI$2,$A375)</f>
        <v>3059.28030160548</v>
      </c>
      <c r="AJ375" s="0" t="n">
        <f aca="false">W_PH(AJ$2,$A375)</f>
        <v>3061.11812710112</v>
      </c>
      <c r="AK375" s="0" t="n">
        <f aca="false">W_PH(AK$2,$A375)</f>
        <v>3062.97234783619</v>
      </c>
      <c r="AL375" s="0" t="n">
        <f aca="false">W_PH(AL$2,$A375)</f>
        <v>3064.84623698675</v>
      </c>
      <c r="AM375" s="0" t="n">
        <f aca="false">W_PH(AM$2,$A375)</f>
        <v>3066.74309005375</v>
      </c>
      <c r="AN375" s="0" t="n">
        <f aca="false">W_PH(AN$2,$A375)</f>
        <v>3068.66617541263</v>
      </c>
      <c r="AO375" s="0" t="n">
        <f aca="false">W_PH(AO$2,$A375)</f>
        <v>3070.61877245015</v>
      </c>
      <c r="AP375" s="0" t="n">
        <f aca="false">W_PH(AP$2,$A375)</f>
        <v>2015</v>
      </c>
      <c r="AQ375" s="0" t="n">
        <f aca="false">W_PH(AQ$2,$A375)</f>
        <v>2015</v>
      </c>
      <c r="AR375" s="0" t="n">
        <f aca="false">W_PH(AR$2,$A375)</f>
        <v>2015</v>
      </c>
      <c r="AS375" s="0" t="n">
        <f aca="false">W_PH(AS$2,$A375)</f>
        <v>2015</v>
      </c>
    </row>
    <row r="376" customFormat="false" ht="12.8" hidden="false" customHeight="false" outlineLevel="0" collapsed="false">
      <c r="A376" s="0" t="n">
        <v>2304.38521066208</v>
      </c>
      <c r="B376" s="0" t="n">
        <f aca="false">W_PH(B$2,$A376)</f>
        <v>2015</v>
      </c>
      <c r="C376" s="0" t="n">
        <f aca="false">W_PH(C$2,$A376)</f>
        <v>3057.31360621464</v>
      </c>
      <c r="D376" s="0" t="n">
        <f aca="false">W_PH(D$2,$A376)</f>
        <v>3057.3137879616</v>
      </c>
      <c r="E376" s="0" t="n">
        <f aca="false">W_PH(E$2,$A376)</f>
        <v>3057.3139697086</v>
      </c>
      <c r="F376" s="0" t="n">
        <f aca="false">W_PH(F$2,$A376)</f>
        <v>3057.31415145565</v>
      </c>
      <c r="G376" s="0" t="n">
        <f aca="false">W_PH(G$2,$A376)</f>
        <v>3057.31596071202</v>
      </c>
      <c r="H376" s="0" t="n">
        <f aca="false">W_PH(H$2,$A376)</f>
        <v>3057.31776997272</v>
      </c>
      <c r="I376" s="0" t="n">
        <f aca="false">W_PH(I$2,$A376)</f>
        <v>3057.31957923775</v>
      </c>
      <c r="J376" s="0" t="n">
        <f aca="false">W_PH(J$2,$A376)</f>
        <v>3057.3213885071</v>
      </c>
      <c r="K376" s="0" t="n">
        <f aca="false">W_PH(K$2,$A376)</f>
        <v>3057.32319778078</v>
      </c>
      <c r="L376" s="0" t="n">
        <f aca="false">W_PH(L$2,$A376)</f>
        <v>3057.3250070588</v>
      </c>
      <c r="M376" s="0" t="n">
        <f aca="false">W_PH(M$2,$A376)</f>
        <v>3057.32681634116</v>
      </c>
      <c r="N376" s="0" t="n">
        <f aca="false">W_PH(N$2,$A376)</f>
        <v>3057.32862562787</v>
      </c>
      <c r="O376" s="0" t="n">
        <f aca="false">W_PH(O$2,$A376)</f>
        <v>3057.33043902723</v>
      </c>
      <c r="P376" s="0" t="n">
        <f aca="false">W_PH(P$2,$A376)</f>
        <v>3057.34853628601</v>
      </c>
      <c r="Q376" s="0" t="n">
        <f aca="false">W_PH(Q$2,$A376)</f>
        <v>3057.36663809191</v>
      </c>
      <c r="R376" s="0" t="n">
        <f aca="false">W_PH(R$2,$A376)</f>
        <v>3057.38474034007</v>
      </c>
      <c r="S376" s="0" t="n">
        <f aca="false">W_PH(S$2,$A376)</f>
        <v>3057.40283892524</v>
      </c>
      <c r="T376" s="0" t="n">
        <f aca="false">W_PH(T$2,$A376)</f>
        <v>3057.42093795937</v>
      </c>
      <c r="U376" s="0" t="n">
        <f aca="false">W_PH(U$2,$A376)</f>
        <v>3057.43904155486</v>
      </c>
      <c r="V376" s="0" t="n">
        <f aca="false">W_PH(V$2,$A376)</f>
        <v>3057.45714560643</v>
      </c>
      <c r="W376" s="0" t="n">
        <f aca="false">W_PH(W$2,$A376)</f>
        <v>3057.47524600842</v>
      </c>
      <c r="X376" s="0" t="n">
        <f aca="false">W_PH(X$2,$A376)</f>
        <v>3057.49334687322</v>
      </c>
      <c r="Y376" s="0" t="n">
        <f aca="false">W_PH(Y$2,$A376)</f>
        <v>3057.6743899559</v>
      </c>
      <c r="Z376" s="0" t="n">
        <f aca="false">W_PH(Z$2,$A376)</f>
        <v>3057.85547490148</v>
      </c>
      <c r="AA376" s="0" t="n">
        <f aca="false">W_PH(AA$2,$A376)</f>
        <v>3058.03659693471</v>
      </c>
      <c r="AB376" s="0" t="n">
        <f aca="false">W_PH(AB$2,$A376)</f>
        <v>3058.21776772453</v>
      </c>
      <c r="AC376" s="0" t="n">
        <f aca="false">W_PH(AC$2,$A376)</f>
        <v>3058.39898249034</v>
      </c>
      <c r="AD376" s="0" t="n">
        <f aca="false">W_PH(AD$2,$A376)</f>
        <v>3058.58024467328</v>
      </c>
      <c r="AE376" s="0" t="n">
        <f aca="false">W_PH(AE$2,$A376)</f>
        <v>3058.7615659463</v>
      </c>
      <c r="AF376" s="0" t="n">
        <f aca="false">W_PH(AF$2,$A376)</f>
        <v>3058.9429415208</v>
      </c>
      <c r="AG376" s="0" t="n">
        <f aca="false">W_PH(AG$2,$A376)</f>
        <v>3059.12438307237</v>
      </c>
      <c r="AH376" s="0" t="n">
        <f aca="false">W_PH(AH$2,$A376)</f>
        <v>3060.94285040705</v>
      </c>
      <c r="AI376" s="0" t="n">
        <f aca="false">W_PH(AI$2,$A376)</f>
        <v>3062.77102827352</v>
      </c>
      <c r="AJ376" s="0" t="n">
        <f aca="false">W_PH(AJ$2,$A376)</f>
        <v>3064.61219291051</v>
      </c>
      <c r="AK376" s="0" t="n">
        <f aca="false">W_PH(AK$2,$A376)</f>
        <v>3066.46962135281</v>
      </c>
      <c r="AL376" s="0" t="n">
        <f aca="false">W_PH(AL$2,$A376)</f>
        <v>3068.34659190001</v>
      </c>
      <c r="AM376" s="0" t="n">
        <f aca="false">W_PH(AM$2,$A376)</f>
        <v>3070.24635958924</v>
      </c>
      <c r="AN376" s="0" t="n">
        <f aca="false">W_PH(AN$2,$A376)</f>
        <v>3072.17218162024</v>
      </c>
      <c r="AO376" s="0" t="n">
        <f aca="false">W_PH(AO$2,$A376)</f>
        <v>3074.12732220438</v>
      </c>
      <c r="AP376" s="0" t="n">
        <f aca="false">W_PH(AP$2,$A376)</f>
        <v>2015</v>
      </c>
      <c r="AQ376" s="0" t="n">
        <f aca="false">W_PH(AQ$2,$A376)</f>
        <v>2015</v>
      </c>
      <c r="AR376" s="0" t="n">
        <f aca="false">W_PH(AR$2,$A376)</f>
        <v>2015</v>
      </c>
      <c r="AS376" s="0" t="n">
        <f aca="false">W_PH(AS$2,$A376)</f>
        <v>2015</v>
      </c>
    </row>
    <row r="377" customFormat="false" ht="12.8" hidden="false" customHeight="false" outlineLevel="0" collapsed="false">
      <c r="A377" s="0" t="n">
        <v>2308.68443680138</v>
      </c>
      <c r="B377" s="0" t="n">
        <f aca="false">W_PH(B$2,$A377)</f>
        <v>2015</v>
      </c>
      <c r="C377" s="0" t="n">
        <f aca="false">W_PH(C$2,$A377)</f>
        <v>3060.78721273873</v>
      </c>
      <c r="D377" s="0" t="n">
        <f aca="false">W_PH(D$2,$A377)</f>
        <v>3060.78739122473</v>
      </c>
      <c r="E377" s="0" t="n">
        <f aca="false">W_PH(E$2,$A377)</f>
        <v>3060.78757381439</v>
      </c>
      <c r="F377" s="0" t="n">
        <f aca="false">W_PH(F$2,$A377)</f>
        <v>3060.78775640409</v>
      </c>
      <c r="G377" s="0" t="n">
        <f aca="false">W_PH(G$2,$A377)</f>
        <v>3060.7895699926</v>
      </c>
      <c r="H377" s="0" t="n">
        <f aca="false">W_PH(H$2,$A377)</f>
        <v>3060.79138358537</v>
      </c>
      <c r="I377" s="0" t="n">
        <f aca="false">W_PH(I$2,$A377)</f>
        <v>3060.79319718241</v>
      </c>
      <c r="J377" s="0" t="n">
        <f aca="false">W_PH(J$2,$A377)</f>
        <v>3060.79501078371</v>
      </c>
      <c r="K377" s="0" t="n">
        <f aca="false">W_PH(K$2,$A377)</f>
        <v>3060.79682438929</v>
      </c>
      <c r="L377" s="0" t="n">
        <f aca="false">W_PH(L$2,$A377)</f>
        <v>3060.79863799915</v>
      </c>
      <c r="M377" s="0" t="n">
        <f aca="false">W_PH(M$2,$A377)</f>
        <v>3060.80044750961</v>
      </c>
      <c r="N377" s="0" t="n">
        <f aca="false">W_PH(N$2,$A377)</f>
        <v>3060.80226523171</v>
      </c>
      <c r="O377" s="0" t="n">
        <f aca="false">W_PH(O$2,$A377)</f>
        <v>3060.80407475071</v>
      </c>
      <c r="P377" s="0" t="n">
        <f aca="false">W_PH(P$2,$A377)</f>
        <v>3060.8222112142</v>
      </c>
      <c r="Q377" s="0" t="n">
        <f aca="false">W_PH(Q$2,$A377)</f>
        <v>3060.84034811014</v>
      </c>
      <c r="R377" s="0" t="n">
        <f aca="false">W_PH(R$2,$A377)</f>
        <v>3060.85848544197</v>
      </c>
      <c r="S377" s="0" t="n">
        <f aca="false">W_PH(S$2,$A377)</f>
        <v>3060.87662321312</v>
      </c>
      <c r="T377" s="0" t="n">
        <f aca="false">W_PH(T$2,$A377)</f>
        <v>3060.89476142703</v>
      </c>
      <c r="U377" s="0" t="n">
        <f aca="false">W_PH(U$2,$A377)</f>
        <v>3060.91289187854</v>
      </c>
      <c r="V377" s="0" t="n">
        <f aca="false">W_PH(V$2,$A377)</f>
        <v>3060.93103098807</v>
      </c>
      <c r="W377" s="0" t="n">
        <f aca="false">W_PH(W$2,$A377)</f>
        <v>3060.94917055067</v>
      </c>
      <c r="X377" s="0" t="n">
        <f aca="false">W_PH(X$2,$A377)</f>
        <v>3060.96731056977</v>
      </c>
      <c r="Y377" s="0" t="n">
        <f aca="false">W_PH(Y$2,$A377)</f>
        <v>3061.14870788497</v>
      </c>
      <c r="Z377" s="0" t="n">
        <f aca="false">W_PH(Z$2,$A377)</f>
        <v>3061.33014640175</v>
      </c>
      <c r="AA377" s="0" t="n">
        <f aca="false">W_PH(AA$2,$A377)</f>
        <v>3061.51162133339</v>
      </c>
      <c r="AB377" s="0" t="n">
        <f aca="false">W_PH(AB$2,$A377)</f>
        <v>3061.69314431885</v>
      </c>
      <c r="AC377" s="0" t="n">
        <f aca="false">W_PH(AC$2,$A377)</f>
        <v>3061.87471467571</v>
      </c>
      <c r="AD377" s="0" t="n">
        <f aca="false">W_PH(AD$2,$A377)</f>
        <v>3062.05633171692</v>
      </c>
      <c r="AE377" s="0" t="n">
        <f aca="false">W_PH(AE$2,$A377)</f>
        <v>3062.23800708541</v>
      </c>
      <c r="AF377" s="0" t="n">
        <f aca="false">W_PH(AF$2,$A377)</f>
        <v>3062.41973598133</v>
      </c>
      <c r="AG377" s="0" t="n">
        <f aca="false">W_PH(AG$2,$A377)</f>
        <v>3062.60152182327</v>
      </c>
      <c r="AH377" s="0" t="n">
        <f aca="false">W_PH(AH$2,$A377)</f>
        <v>3064.42346182525</v>
      </c>
      <c r="AI377" s="0" t="n">
        <f aca="false">W_PH(AI$2,$A377)</f>
        <v>3066.25503495889</v>
      </c>
      <c r="AJ377" s="0" t="n">
        <f aca="false">W_PH(AJ$2,$A377)</f>
        <v>3068.09949335581</v>
      </c>
      <c r="AK377" s="0" t="n">
        <f aca="false">W_PH(AK$2,$A377)</f>
        <v>3069.96009421766</v>
      </c>
      <c r="AL377" s="0" t="n">
        <f aca="false">W_PH(AL$2,$A377)</f>
        <v>3071.8400961641</v>
      </c>
      <c r="AM377" s="0" t="n">
        <f aca="false">W_PH(AM$2,$A377)</f>
        <v>3073.74273472985</v>
      </c>
      <c r="AN377" s="0" t="n">
        <f aca="false">W_PH(AN$2,$A377)</f>
        <v>3075.67125611045</v>
      </c>
      <c r="AO377" s="0" t="n">
        <f aca="false">W_PH(AO$2,$A377)</f>
        <v>3077.62889695442</v>
      </c>
      <c r="AP377" s="0" t="n">
        <f aca="false">W_PH(AP$2,$A377)</f>
        <v>2015</v>
      </c>
      <c r="AQ377" s="0" t="n">
        <f aca="false">W_PH(AQ$2,$A377)</f>
        <v>2015</v>
      </c>
      <c r="AR377" s="0" t="n">
        <f aca="false">W_PH(AR$2,$A377)</f>
        <v>2015</v>
      </c>
      <c r="AS377" s="0" t="n">
        <f aca="false">W_PH(AS$2,$A377)</f>
        <v>2015</v>
      </c>
    </row>
    <row r="378" customFormat="false" ht="12.8" hidden="false" customHeight="false" outlineLevel="0" collapsed="false">
      <c r="A378" s="0" t="n">
        <v>2312.98366294067</v>
      </c>
      <c r="B378" s="0" t="n">
        <f aca="false">W_PH(B$2,$A378)</f>
        <v>2015</v>
      </c>
      <c r="C378" s="0" t="n">
        <f aca="false">W_PH(C$2,$A378)</f>
        <v>3064.25428614667</v>
      </c>
      <c r="D378" s="0" t="n">
        <f aca="false">W_PH(D$2,$A378)</f>
        <v>3064.25446956844</v>
      </c>
      <c r="E378" s="0" t="n">
        <f aca="false">W_PH(E$2,$A378)</f>
        <v>3064.25465299026</v>
      </c>
      <c r="F378" s="0" t="n">
        <f aca="false">W_PH(F$2,$A378)</f>
        <v>3064.25483641213</v>
      </c>
      <c r="G378" s="0" t="n">
        <f aca="false">W_PH(G$2,$A378)</f>
        <v>3064.25665013795</v>
      </c>
      <c r="H378" s="0" t="n">
        <f aca="false">W_PH(H$2,$A378)</f>
        <v>3064.258467967</v>
      </c>
      <c r="I378" s="0" t="n">
        <f aca="false">W_PH(I$2,$A378)</f>
        <v>3064.2602817012</v>
      </c>
      <c r="J378" s="0" t="n">
        <f aca="false">W_PH(J$2,$A378)</f>
        <v>3064.26209953866</v>
      </c>
      <c r="K378" s="0" t="n">
        <f aca="false">W_PH(K$2,$A378)</f>
        <v>3064.26391738033</v>
      </c>
      <c r="L378" s="0" t="n">
        <f aca="false">W_PH(L$2,$A378)</f>
        <v>3064.26573522622</v>
      </c>
      <c r="M378" s="0" t="n">
        <f aca="false">W_PH(M$2,$A378)</f>
        <v>3064.26755307633</v>
      </c>
      <c r="N378" s="0" t="n">
        <f aca="false">W_PH(N$2,$A378)</f>
        <v>3064.26937093067</v>
      </c>
      <c r="O378" s="0" t="n">
        <f aca="false">W_PH(O$2,$A378)</f>
        <v>3064.27118878923</v>
      </c>
      <c r="P378" s="0" t="n">
        <f aca="false">W_PH(P$2,$A378)</f>
        <v>3064.28935940976</v>
      </c>
      <c r="Q378" s="0" t="n">
        <f aca="false">W_PH(Q$2,$A378)</f>
        <v>3064.30753045648</v>
      </c>
      <c r="R378" s="0" t="n">
        <f aca="false">W_PH(R$2,$A378)</f>
        <v>3064.32570193279</v>
      </c>
      <c r="S378" s="0" t="n">
        <f aca="false">W_PH(S$2,$A378)</f>
        <v>3064.34387384212</v>
      </c>
      <c r="T378" s="0" t="n">
        <f aca="false">W_PH(T$2,$A378)</f>
        <v>3064.36204208829</v>
      </c>
      <c r="U378" s="0" t="n">
        <f aca="false">W_PH(U$2,$A378)</f>
        <v>3064.3802148738</v>
      </c>
      <c r="V378" s="0" t="n">
        <f aca="false">W_PH(V$2,$A378)</f>
        <v>3064.39838400277</v>
      </c>
      <c r="W378" s="0" t="n">
        <f aca="false">W_PH(W$2,$A378)</f>
        <v>3064.41655767812</v>
      </c>
      <c r="X378" s="0" t="n">
        <f aca="false">W_PH(X$2,$A378)</f>
        <v>3064.43473180356</v>
      </c>
      <c r="Y378" s="0" t="n">
        <f aca="false">W_PH(Y$2,$A378)</f>
        <v>3064.6164821603</v>
      </c>
      <c r="Z378" s="0" t="n">
        <f aca="false">W_PH(Z$2,$A378)</f>
        <v>3064.79826896825</v>
      </c>
      <c r="AA378" s="0" t="n">
        <f aca="false">W_PH(AA$2,$A378)</f>
        <v>3064.98009973528</v>
      </c>
      <c r="AB378" s="0" t="n">
        <f aca="false">W_PH(AB$2,$A378)</f>
        <v>3065.16196555689</v>
      </c>
      <c r="AC378" s="0" t="n">
        <f aca="false">W_PH(AC$2,$A378)</f>
        <v>3065.34388214552</v>
      </c>
      <c r="AD378" s="0" t="n">
        <f aca="false">W_PH(AD$2,$A378)</f>
        <v>3065.52585290715</v>
      </c>
      <c r="AE378" s="0" t="n">
        <f aca="false">W_PH(AE$2,$A378)</f>
        <v>3065.70787303339</v>
      </c>
      <c r="AF378" s="0" t="n">
        <f aca="false">W_PH(AF$2,$A378)</f>
        <v>3065.88994592307</v>
      </c>
      <c r="AG378" s="0" t="n">
        <f aca="false">W_PH(AG$2,$A378)</f>
        <v>3066.07208319197</v>
      </c>
      <c r="AH378" s="0" t="n">
        <f aca="false">W_PH(AH$2,$A378)</f>
        <v>3067.89744864539</v>
      </c>
      <c r="AI378" s="0" t="n">
        <f aca="false">W_PH(AI$2,$A378)</f>
        <v>3069.73236295729</v>
      </c>
      <c r="AJ378" s="0" t="n">
        <f aca="false">W_PH(AJ$2,$A378)</f>
        <v>3071.58006669351</v>
      </c>
      <c r="AK378" s="0" t="n">
        <f aca="false">W_PH(AK$2,$A378)</f>
        <v>3073.44380157108</v>
      </c>
      <c r="AL378" s="0" t="n">
        <f aca="false">W_PH(AL$2,$A378)</f>
        <v>3075.32678597372</v>
      </c>
      <c r="AM378" s="0" t="n">
        <f aca="false">W_PH(AM$2,$A378)</f>
        <v>3077.23226517463</v>
      </c>
      <c r="AN378" s="0" t="n">
        <f aca="false">W_PH(AN$2,$A378)</f>
        <v>3079.1634453951</v>
      </c>
      <c r="AO378" s="0" t="n">
        <f aca="false">W_PH(AO$2,$A378)</f>
        <v>3081.1235525537</v>
      </c>
      <c r="AP378" s="0" t="n">
        <f aca="false">W_PH(AP$2,$A378)</f>
        <v>2015</v>
      </c>
      <c r="AQ378" s="0" t="n">
        <f aca="false">W_PH(AQ$2,$A378)</f>
        <v>2015</v>
      </c>
      <c r="AR378" s="0" t="n">
        <f aca="false">W_PH(AR$2,$A378)</f>
        <v>2015</v>
      </c>
      <c r="AS378" s="0" t="n">
        <f aca="false">W_PH(AS$2,$A378)</f>
        <v>2015</v>
      </c>
    </row>
    <row r="379" customFormat="false" ht="12.8" hidden="false" customHeight="false" outlineLevel="0" collapsed="false">
      <c r="A379" s="0" t="n">
        <v>2317.28288907997</v>
      </c>
      <c r="B379" s="0" t="n">
        <f aca="false">W_PH(B$2,$A379)</f>
        <v>2015</v>
      </c>
      <c r="C379" s="0" t="n">
        <f aca="false">W_PH(C$2,$A379)</f>
        <v>3067.71487216907</v>
      </c>
      <c r="D379" s="0" t="n">
        <f aca="false">W_PH(D$2,$A379)</f>
        <v>3067.71505641265</v>
      </c>
      <c r="E379" s="0" t="n">
        <f aca="false">W_PH(E$2,$A379)</f>
        <v>3067.71524065628</v>
      </c>
      <c r="F379" s="0" t="n">
        <f aca="false">W_PH(F$2,$A379)</f>
        <v>3067.71541671104</v>
      </c>
      <c r="G379" s="0" t="n">
        <f aca="false">W_PH(G$2,$A379)</f>
        <v>3067.71724277221</v>
      </c>
      <c r="H379" s="0" t="n">
        <f aca="false">W_PH(H$2,$A379)</f>
        <v>3067.7190606486</v>
      </c>
      <c r="I379" s="0" t="n">
        <f aca="false">W_PH(I$2,$A379)</f>
        <v>3067.72087852911</v>
      </c>
      <c r="J379" s="0" t="n">
        <f aca="false">W_PH(J$2,$A379)</f>
        <v>3067.72270460275</v>
      </c>
      <c r="K379" s="0" t="n">
        <f aca="false">W_PH(K$2,$A379)</f>
        <v>3067.72452249155</v>
      </c>
      <c r="L379" s="0" t="n">
        <f aca="false">W_PH(L$2,$A379)</f>
        <v>3067.7263403845</v>
      </c>
      <c r="M379" s="0" t="n">
        <f aca="false">W_PH(M$2,$A379)</f>
        <v>3067.72816647064</v>
      </c>
      <c r="N379" s="0" t="n">
        <f aca="false">W_PH(N$2,$A379)</f>
        <v>3067.7299843719</v>
      </c>
      <c r="O379" s="0" t="n">
        <f aca="false">W_PH(O$2,$A379)</f>
        <v>3067.7318022773</v>
      </c>
      <c r="P379" s="0" t="n">
        <f aca="false">W_PH(P$2,$A379)</f>
        <v>3067.75000612829</v>
      </c>
      <c r="Q379" s="0" t="n">
        <f aca="false">W_PH(Q$2,$A379)</f>
        <v>3067.76821449402</v>
      </c>
      <c r="R379" s="0" t="n">
        <f aca="false">W_PH(R$2,$A379)</f>
        <v>3067.78642328335</v>
      </c>
      <c r="S379" s="0" t="n">
        <f aca="false">W_PH(S$2,$A379)</f>
        <v>3067.80462840473</v>
      </c>
      <c r="T379" s="0" t="n">
        <f aca="false">W_PH(T$2,$A379)</f>
        <v>3067.82283395631</v>
      </c>
      <c r="U379" s="0" t="n">
        <f aca="false">W_PH(U$2,$A379)</f>
        <v>3067.84103994147</v>
      </c>
      <c r="V379" s="0" t="n">
        <f aca="false">W_PH(V$2,$A379)</f>
        <v>3067.85924636362</v>
      </c>
      <c r="W379" s="0" t="n">
        <f aca="false">W_PH(W$2,$A379)</f>
        <v>3067.87745322613</v>
      </c>
      <c r="X379" s="0" t="n">
        <f aca="false">W_PH(X$2,$A379)</f>
        <v>3067.89566053242</v>
      </c>
      <c r="Y379" s="0" t="n">
        <f aca="false">W_PH(Y$2,$A379)</f>
        <v>3068.07775874929</v>
      </c>
      <c r="Z379" s="0" t="n">
        <f aca="false">W_PH(Z$2,$A379)</f>
        <v>3068.25988868695</v>
      </c>
      <c r="AA379" s="0" t="n">
        <f aca="false">W_PH(AA$2,$A379)</f>
        <v>3068.44206192374</v>
      </c>
      <c r="AB379" s="0" t="n">
        <f aca="false">W_PH(AB$2,$A379)</f>
        <v>3068.62427364796</v>
      </c>
      <c r="AC379" s="0" t="n">
        <f aca="false">W_PH(AC$2,$A379)</f>
        <v>3068.80653544056</v>
      </c>
      <c r="AD379" s="0" t="n">
        <f aca="false">W_PH(AD$2,$A379)</f>
        <v>3068.98884658596</v>
      </c>
      <c r="AE379" s="0" t="n">
        <f aca="false">W_PH(AE$2,$A379)</f>
        <v>3069.17121046625</v>
      </c>
      <c r="AF379" s="0" t="n">
        <f aca="false">W_PH(AF$2,$A379)</f>
        <v>3069.35363046294</v>
      </c>
      <c r="AG379" s="0" t="n">
        <f aca="false">W_PH(AG$2,$A379)</f>
        <v>3069.53610995689</v>
      </c>
      <c r="AH379" s="0" t="n">
        <f aca="false">W_PH(AH$2,$A379)</f>
        <v>3071.3648506684</v>
      </c>
      <c r="AI379" s="0" t="n">
        <f aca="false">W_PH(AI$2,$A379)</f>
        <v>3073.20306557277</v>
      </c>
      <c r="AJ379" s="0" t="n">
        <f aca="false">W_PH(AJ$2,$A379)</f>
        <v>3075.05396735074</v>
      </c>
      <c r="AK379" s="0" t="n">
        <f aca="false">W_PH(AK$2,$A379)</f>
        <v>3076.92078233842</v>
      </c>
      <c r="AL379" s="0" t="n">
        <f aca="false">W_PH(AL$2,$A379)</f>
        <v>3078.8067220556</v>
      </c>
      <c r="AM379" s="0" t="n">
        <f aca="false">W_PH(AM$2,$A379)</f>
        <v>3080.71498352882</v>
      </c>
      <c r="AN379" s="0" t="n">
        <f aca="false">W_PH(AN$2,$A379)</f>
        <v>3082.64878719927</v>
      </c>
      <c r="AO379" s="0" t="n">
        <f aca="false">W_PH(AO$2,$A379)</f>
        <v>3084.61131928319</v>
      </c>
      <c r="AP379" s="0" t="n">
        <f aca="false">W_PH(AP$2,$A379)</f>
        <v>2015</v>
      </c>
      <c r="AQ379" s="0" t="n">
        <f aca="false">W_PH(AQ$2,$A379)</f>
        <v>2015</v>
      </c>
      <c r="AR379" s="0" t="n">
        <f aca="false">W_PH(AR$2,$A379)</f>
        <v>2015</v>
      </c>
      <c r="AS379" s="0" t="n">
        <f aca="false">W_PH(AS$2,$A379)</f>
        <v>2015</v>
      </c>
    </row>
    <row r="380" customFormat="false" ht="12.8" hidden="false" customHeight="false" outlineLevel="0" collapsed="false">
      <c r="A380" s="0" t="n">
        <v>2321.58211521926</v>
      </c>
      <c r="B380" s="0" t="n">
        <f aca="false">W_PH(B$2,$A380)</f>
        <v>2015</v>
      </c>
      <c r="C380" s="0" t="n">
        <f aca="false">W_PH(C$2,$A380)</f>
        <v>3071.16900802116</v>
      </c>
      <c r="D380" s="0" t="n">
        <f aca="false">W_PH(D$2,$A380)</f>
        <v>3071.16919307634</v>
      </c>
      <c r="E380" s="0" t="n">
        <f aca="false">W_PH(E$2,$A380)</f>
        <v>3071.16936995174</v>
      </c>
      <c r="F380" s="0" t="n">
        <f aca="false">W_PH(F$2,$A380)</f>
        <v>3071.16955500701</v>
      </c>
      <c r="G380" s="0" t="n">
        <f aca="false">W_PH(G$2,$A380)</f>
        <v>3071.17138102241</v>
      </c>
      <c r="H380" s="0" t="n">
        <f aca="false">W_PH(H$2,$A380)</f>
        <v>3071.17319886204</v>
      </c>
      <c r="I380" s="0" t="n">
        <f aca="false">W_PH(I$2,$A380)</f>
        <v>3071.17502488561</v>
      </c>
      <c r="J380" s="0" t="n">
        <f aca="false">W_PH(J$2,$A380)</f>
        <v>3071.17685091327</v>
      </c>
      <c r="K380" s="0" t="n">
        <f aca="false">W_PH(K$2,$A380)</f>
        <v>3071.17867694503</v>
      </c>
      <c r="L380" s="0" t="n">
        <f aca="false">W_PH(L$2,$A380)</f>
        <v>3071.18049480096</v>
      </c>
      <c r="M380" s="0" t="n">
        <f aca="false">W_PH(M$2,$A380)</f>
        <v>3071.18232084091</v>
      </c>
      <c r="N380" s="0" t="n">
        <f aca="false">W_PH(N$2,$A380)</f>
        <v>3071.18414688498</v>
      </c>
      <c r="O380" s="0" t="n">
        <f aca="false">W_PH(O$2,$A380)</f>
        <v>3071.18597293316</v>
      </c>
      <c r="P380" s="0" t="n">
        <f aca="false">W_PH(P$2,$A380)</f>
        <v>3071.20420910136</v>
      </c>
      <c r="Q380" s="0" t="n">
        <f aca="false">W_PH(Q$2,$A380)</f>
        <v>3071.22244568348</v>
      </c>
      <c r="R380" s="0" t="n">
        <f aca="false">W_PH(R$2,$A380)</f>
        <v>3071.24069086345</v>
      </c>
      <c r="S380" s="0" t="n">
        <f aca="false">W_PH(S$2,$A380)</f>
        <v>3071.25892828371</v>
      </c>
      <c r="T380" s="0" t="n">
        <f aca="false">W_PH(T$2,$A380)</f>
        <v>3071.27716612801</v>
      </c>
      <c r="U380" s="0" t="n">
        <f aca="false">W_PH(U$2,$A380)</f>
        <v>3071.29541258086</v>
      </c>
      <c r="V380" s="0" t="n">
        <f aca="false">W_PH(V$2,$A380)</f>
        <v>3071.31365128355</v>
      </c>
      <c r="W380" s="0" t="n">
        <f aca="false">W_PH(W$2,$A380)</f>
        <v>3071.33189042039</v>
      </c>
      <c r="X380" s="0" t="n">
        <f aca="false">W_PH(X$2,$A380)</f>
        <v>3071.35013408563</v>
      </c>
      <c r="Y380" s="0" t="n">
        <f aca="false">W_PH(Y$2,$A380)</f>
        <v>3071.53257100424</v>
      </c>
      <c r="Z380" s="0" t="n">
        <f aca="false">W_PH(Z$2,$A380)</f>
        <v>3071.71504311656</v>
      </c>
      <c r="AA380" s="0" t="n">
        <f aca="false">W_PH(AA$2,$A380)</f>
        <v>3071.89755378703</v>
      </c>
      <c r="AB380" s="0" t="n">
        <f aca="false">W_PH(AB$2,$A380)</f>
        <v>3072.08011047418</v>
      </c>
      <c r="AC380" s="0" t="n">
        <f aca="false">W_PH(AC$2,$A380)</f>
        <v>3072.26270835279</v>
      </c>
      <c r="AD380" s="0" t="n">
        <f aca="false">W_PH(AD$2,$A380)</f>
        <v>3072.44535897584</v>
      </c>
      <c r="AE380" s="0" t="n">
        <f aca="false">W_PH(AE$2,$A380)</f>
        <v>3072.62805751307</v>
      </c>
      <c r="AF380" s="0" t="n">
        <f aca="false">W_PH(AF$2,$A380)</f>
        <v>3072.81081552008</v>
      </c>
      <c r="AG380" s="0" t="n">
        <f aca="false">W_PH(AG$2,$A380)</f>
        <v>3072.99362816159</v>
      </c>
      <c r="AH380" s="0" t="n">
        <f aca="false">W_PH(AH$2,$A380)</f>
        <v>3074.82570324894</v>
      </c>
      <c r="AI380" s="0" t="n">
        <f aca="false">W_PH(AI$2,$A380)</f>
        <v>3076.66717098454</v>
      </c>
      <c r="AJ380" s="0" t="n">
        <f aca="false">W_PH(AJ$2,$A380)</f>
        <v>3078.52123280974</v>
      </c>
      <c r="AK380" s="0" t="n">
        <f aca="false">W_PH(AK$2,$A380)</f>
        <v>3080.39108334682</v>
      </c>
      <c r="AL380" s="0" t="n">
        <f aca="false">W_PH(AL$2,$A380)</f>
        <v>3082.27992733142</v>
      </c>
      <c r="AM380" s="0" t="n">
        <f aca="false">W_PH(AM$2,$A380)</f>
        <v>3084.19094696264</v>
      </c>
      <c r="AN380" s="0" t="n">
        <f aca="false">W_PH(AN$2,$A380)</f>
        <v>3086.12732717484</v>
      </c>
      <c r="AO380" s="0" t="n">
        <f aca="false">W_PH(AO$2,$A380)</f>
        <v>3088.09225625439</v>
      </c>
      <c r="AP380" s="0" t="n">
        <f aca="false">W_PH(AP$2,$A380)</f>
        <v>2015</v>
      </c>
      <c r="AQ380" s="0" t="n">
        <f aca="false">W_PH(AQ$2,$A380)</f>
        <v>2015</v>
      </c>
      <c r="AR380" s="0" t="n">
        <f aca="false">W_PH(AR$2,$A380)</f>
        <v>2015</v>
      </c>
      <c r="AS380" s="0" t="n">
        <f aca="false">W_PH(AS$2,$A380)</f>
        <v>2015</v>
      </c>
    </row>
    <row r="381" customFormat="false" ht="12.8" hidden="false" customHeight="false" outlineLevel="0" collapsed="false">
      <c r="A381" s="0" t="n">
        <v>2325.88134135856</v>
      </c>
      <c r="B381" s="0" t="n">
        <f aca="false">W_PH(B$2,$A381)</f>
        <v>2015</v>
      </c>
      <c r="C381" s="0" t="n">
        <f aca="false">W_PH(C$2,$A381)</f>
        <v>3074.6167265379</v>
      </c>
      <c r="D381" s="0" t="n">
        <f aca="false">W_PH(D$2,$A381)</f>
        <v>3074.61691239459</v>
      </c>
      <c r="E381" s="0" t="n">
        <f aca="false">W_PH(E$2,$A381)</f>
        <v>3074.61709416593</v>
      </c>
      <c r="F381" s="0" t="n">
        <f aca="false">W_PH(F$2,$A381)</f>
        <v>3074.61727593731</v>
      </c>
      <c r="G381" s="0" t="n">
        <f aca="false">W_PH(G$2,$A381)</f>
        <v>3074.61910182412</v>
      </c>
      <c r="H381" s="0" t="n">
        <f aca="false">W_PH(H$2,$A381)</f>
        <v>3074.62092771493</v>
      </c>
      <c r="I381" s="0" t="n">
        <f aca="false">W_PH(I$2,$A381)</f>
        <v>3074.62276178061</v>
      </c>
      <c r="J381" s="0" t="n">
        <f aca="false">W_PH(J$2,$A381)</f>
        <v>3074.62458767949</v>
      </c>
      <c r="K381" s="0" t="n">
        <f aca="false">W_PH(K$2,$A381)</f>
        <v>3074.62641358239</v>
      </c>
      <c r="L381" s="0" t="n">
        <f aca="false">W_PH(L$2,$A381)</f>
        <v>3074.62823948932</v>
      </c>
      <c r="M381" s="0" t="n">
        <f aca="false">W_PH(M$2,$A381)</f>
        <v>3074.63006540028</v>
      </c>
      <c r="N381" s="0" t="n">
        <f aca="false">W_PH(N$2,$A381)</f>
        <v>3074.63189131528</v>
      </c>
      <c r="O381" s="0" t="n">
        <f aca="false">W_PH(O$2,$A381)</f>
        <v>3074.63372131979</v>
      </c>
      <c r="P381" s="0" t="n">
        <f aca="false">W_PH(P$2,$A381)</f>
        <v>3074.6519929898</v>
      </c>
      <c r="Q381" s="0" t="n">
        <f aca="false">W_PH(Q$2,$A381)</f>
        <v>3074.67026915357</v>
      </c>
      <c r="R381" s="0" t="n">
        <f aca="false">W_PH(R$2,$A381)</f>
        <v>3074.68854164322</v>
      </c>
      <c r="S381" s="0" t="n">
        <f aca="false">W_PH(S$2,$A381)</f>
        <v>3074.70681454766</v>
      </c>
      <c r="T381" s="0" t="n">
        <f aca="false">W_PH(T$2,$A381)</f>
        <v>3074.72509195622</v>
      </c>
      <c r="U381" s="0" t="n">
        <f aca="false">W_PH(U$2,$A381)</f>
        <v>3074.74336161439</v>
      </c>
      <c r="V381" s="0" t="n">
        <f aca="false">W_PH(V$2,$A381)</f>
        <v>3074.76163986951</v>
      </c>
      <c r="W381" s="0" t="n">
        <f aca="false">W_PH(W$2,$A381)</f>
        <v>3074.77991446681</v>
      </c>
      <c r="X381" s="0" t="n">
        <f aca="false">W_PH(X$2,$A381)</f>
        <v>3074.79818949568</v>
      </c>
      <c r="Y381" s="0" t="n">
        <f aca="false">W_PH(Y$2,$A381)</f>
        <v>3074.98096425874</v>
      </c>
      <c r="Z381" s="0" t="n">
        <f aca="false">W_PH(Z$2,$A381)</f>
        <v>3075.16376951516</v>
      </c>
      <c r="AA381" s="0" t="n">
        <f aca="false">W_PH(AA$2,$A381)</f>
        <v>3075.34661678489</v>
      </c>
      <c r="AB381" s="0" t="n">
        <f aca="false">W_PH(AB$2,$A381)</f>
        <v>3075.52950532454</v>
      </c>
      <c r="AC381" s="0" t="n">
        <f aca="false">W_PH(AC$2,$A381)</f>
        <v>3075.71244256844</v>
      </c>
      <c r="AD381" s="0" t="n">
        <f aca="false">W_PH(AD$2,$A381)</f>
        <v>3075.89541958608</v>
      </c>
      <c r="AE381" s="0" t="n">
        <f aca="false">W_PH(AE$2,$A381)</f>
        <v>3076.07845608572</v>
      </c>
      <c r="AF381" s="0" t="n">
        <f aca="false">W_PH(AF$2,$A381)</f>
        <v>3076.26154313285</v>
      </c>
      <c r="AG381" s="0" t="n">
        <f aca="false">W_PH(AG$2,$A381)</f>
        <v>3076.44469225524</v>
      </c>
      <c r="AH381" s="0" t="n">
        <f aca="false">W_PH(AH$2,$A381)</f>
        <v>3078.28005374076</v>
      </c>
      <c r="AI381" s="0" t="n">
        <f aca="false">W_PH(AI$2,$A381)</f>
        <v>3080.12472353339</v>
      </c>
      <c r="AJ381" s="0" t="n">
        <f aca="false">W_PH(AJ$2,$A381)</f>
        <v>3081.98190020391</v>
      </c>
      <c r="AK381" s="0" t="n">
        <f aca="false">W_PH(AK$2,$A381)</f>
        <v>3083.85474688499</v>
      </c>
      <c r="AL381" s="0" t="n">
        <f aca="false">W_PH(AL$2,$A381)</f>
        <v>3085.74644926696</v>
      </c>
      <c r="AM381" s="0" t="n">
        <f aca="false">W_PH(AM$2,$A381)</f>
        <v>3087.66018726668</v>
      </c>
      <c r="AN381" s="0" t="n">
        <f aca="false">W_PH(AN$2,$A381)</f>
        <v>3089.59911053753</v>
      </c>
      <c r="AO381" s="0" t="n">
        <f aca="false">W_PH(AO$2,$A381)</f>
        <v>3091.56639289814</v>
      </c>
      <c r="AP381" s="0" t="n">
        <f aca="false">W_PH(AP$2,$A381)</f>
        <v>2015</v>
      </c>
      <c r="AQ381" s="0" t="n">
        <f aca="false">W_PH(AQ$2,$A381)</f>
        <v>2015</v>
      </c>
      <c r="AR381" s="0" t="n">
        <f aca="false">W_PH(AR$2,$A381)</f>
        <v>2015</v>
      </c>
      <c r="AS381" s="0" t="n">
        <f aca="false">W_PH(AS$2,$A381)</f>
        <v>2015</v>
      </c>
    </row>
    <row r="382" customFormat="false" ht="12.8" hidden="false" customHeight="false" outlineLevel="0" collapsed="false">
      <c r="A382" s="0" t="n">
        <v>2330.18056749785</v>
      </c>
      <c r="B382" s="0" t="n">
        <f aca="false">W_PH(B$2,$A382)</f>
        <v>2015</v>
      </c>
      <c r="C382" s="0" t="n">
        <f aca="false">W_PH(C$2,$A382)</f>
        <v>3078.05807660482</v>
      </c>
      <c r="D382" s="0" t="n">
        <f aca="false">W_PH(D$2,$A382)</f>
        <v>3078.0582550913</v>
      </c>
      <c r="E382" s="0" t="n">
        <f aca="false">W_PH(E$2,$A382)</f>
        <v>3078.05844173959</v>
      </c>
      <c r="F382" s="0" t="n">
        <f aca="false">W_PH(F$2,$A382)</f>
        <v>3078.05862430703</v>
      </c>
      <c r="G382" s="0" t="n">
        <f aca="false">W_PH(G$2,$A382)</f>
        <v>3078.06045406451</v>
      </c>
      <c r="H382" s="0" t="n">
        <f aca="false">W_PH(H$2,$A382)</f>
        <v>3078.06228790686</v>
      </c>
      <c r="I382" s="0" t="n">
        <f aca="false">W_PH(I$2,$A382)</f>
        <v>3078.06411359136</v>
      </c>
      <c r="J382" s="0" t="n">
        <f aca="false">W_PH(J$2,$A382)</f>
        <v>3078.06594744166</v>
      </c>
      <c r="K382" s="0" t="n">
        <f aca="false">W_PH(K$2,$A382)</f>
        <v>3078.06777721501</v>
      </c>
      <c r="L382" s="0" t="n">
        <f aca="false">W_PH(L$2,$A382)</f>
        <v>3078.06960699233</v>
      </c>
      <c r="M382" s="0" t="n">
        <f aca="false">W_PH(M$2,$A382)</f>
        <v>3078.07144085459</v>
      </c>
      <c r="N382" s="0" t="n">
        <f aca="false">W_PH(N$2,$A382)</f>
        <v>3078.07326655891</v>
      </c>
      <c r="O382" s="0" t="n">
        <f aca="false">W_PH(O$2,$A382)</f>
        <v>3078.07510042915</v>
      </c>
      <c r="P382" s="0" t="n">
        <f aca="false">W_PH(P$2,$A382)</f>
        <v>3078.0934067038</v>
      </c>
      <c r="Q382" s="0" t="n">
        <f aca="false">W_PH(Q$2,$A382)</f>
        <v>3078.11171338082</v>
      </c>
      <c r="R382" s="0" t="n">
        <f aca="false">W_PH(R$2,$A382)</f>
        <v>3078.13002046352</v>
      </c>
      <c r="S382" s="0" t="n">
        <f aca="false">W_PH(S$2,$A382)</f>
        <v>3078.14832795524</v>
      </c>
      <c r="T382" s="0" t="n">
        <f aca="false">W_PH(T$2,$A382)</f>
        <v>3078.16663585932</v>
      </c>
      <c r="U382" s="0" t="n">
        <f aca="false">W_PH(U$2,$A382)</f>
        <v>3078.18494417909</v>
      </c>
      <c r="V382" s="0" t="n">
        <f aca="false">W_PH(V$2,$A382)</f>
        <v>3078.20324883625</v>
      </c>
      <c r="W382" s="0" t="n">
        <f aca="false">W_PH(W$2,$A382)</f>
        <v>3078.22155391558</v>
      </c>
      <c r="X382" s="0" t="n">
        <f aca="false">W_PH(X$2,$A382)</f>
        <v>3078.23986350224</v>
      </c>
      <c r="Y382" s="0" t="n">
        <f aca="false">W_PH(Y$2,$A382)</f>
        <v>3078.42296718437</v>
      </c>
      <c r="Z382" s="0" t="n">
        <f aca="false">W_PH(Z$2,$A382)</f>
        <v>3078.60610892795</v>
      </c>
      <c r="AA382" s="0" t="n">
        <f aca="false">W_PH(AA$2,$A382)</f>
        <v>3078.7892838912</v>
      </c>
      <c r="AB382" s="0" t="n">
        <f aca="false">W_PH(AB$2,$A382)</f>
        <v>3078.97250356652</v>
      </c>
      <c r="AC382" s="0" t="n">
        <f aca="false">W_PH(AC$2,$A382)</f>
        <v>3079.15577128025</v>
      </c>
      <c r="AD382" s="0" t="n">
        <f aca="false">W_PH(AD$2,$A382)</f>
        <v>3079.33908218324</v>
      </c>
      <c r="AE382" s="0" t="n">
        <f aca="false">W_PH(AE$2,$A382)</f>
        <v>3079.52243959505</v>
      </c>
      <c r="AF382" s="0" t="n">
        <f aca="false">W_PH(AF$2,$A382)</f>
        <v>3079.70585910261</v>
      </c>
      <c r="AG382" s="0" t="n">
        <f aca="false">W_PH(AG$2,$A382)</f>
        <v>3079.889331762</v>
      </c>
      <c r="AH382" s="0" t="n">
        <f aca="false">W_PH(AH$2,$A382)</f>
        <v>3081.72793273378</v>
      </c>
      <c r="AI382" s="0" t="n">
        <f aca="false">W_PH(AI$2,$A382)</f>
        <v>3083.57576719478</v>
      </c>
      <c r="AJ382" s="0" t="n">
        <f aca="false">W_PH(AJ$2,$A382)</f>
        <v>3085.43600632287</v>
      </c>
      <c r="AK382" s="0" t="n">
        <f aca="false">W_PH(AK$2,$A382)</f>
        <v>3087.31181486098</v>
      </c>
      <c r="AL382" s="0" t="n">
        <f aca="false">W_PH(AL$2,$A382)</f>
        <v>3089.20634318095</v>
      </c>
      <c r="AM382" s="0" t="n">
        <f aca="false">W_PH(AM$2,$A382)</f>
        <v>3091.12274416899</v>
      </c>
      <c r="AN382" s="0" t="n">
        <f aca="false">W_PH(AN$2,$A382)</f>
        <v>3093.06417376813</v>
      </c>
      <c r="AO382" s="0" t="n">
        <f aca="false">W_PH(AO$2,$A382)</f>
        <v>3095.0337790912</v>
      </c>
      <c r="AP382" s="0" t="n">
        <f aca="false">W_PH(AP$2,$A382)</f>
        <v>2015</v>
      </c>
      <c r="AQ382" s="0" t="n">
        <f aca="false">W_PH(AQ$2,$A382)</f>
        <v>2015</v>
      </c>
      <c r="AR382" s="0" t="n">
        <f aca="false">W_PH(AR$2,$A382)</f>
        <v>2015</v>
      </c>
      <c r="AS382" s="0" t="n">
        <f aca="false">W_PH(AS$2,$A382)</f>
        <v>2015</v>
      </c>
    </row>
    <row r="383" customFormat="false" ht="12.8" hidden="false" customHeight="false" outlineLevel="0" collapsed="false">
      <c r="A383" s="0" t="n">
        <v>2334.47979363715</v>
      </c>
      <c r="B383" s="0" t="n">
        <f aca="false">W_PH(B$2,$A383)</f>
        <v>2015</v>
      </c>
      <c r="C383" s="0" t="n">
        <f aca="false">W_PH(C$2,$A383)</f>
        <v>3081.4930863845</v>
      </c>
      <c r="D383" s="0" t="n">
        <f aca="false">W_PH(D$2,$A383)</f>
        <v>3081.49326973809</v>
      </c>
      <c r="E383" s="0" t="n">
        <f aca="false">W_PH(E$2,$A383)</f>
        <v>3081.49345309171</v>
      </c>
      <c r="F383" s="0" t="n">
        <f aca="false">W_PH(F$2,$A383)</f>
        <v>3081.49363644537</v>
      </c>
      <c r="G383" s="0" t="n">
        <f aca="false">W_PH(G$2,$A383)</f>
        <v>3081.49546998412</v>
      </c>
      <c r="H383" s="0" t="n">
        <f aca="false">W_PH(H$2,$A383)</f>
        <v>3081.49730352678</v>
      </c>
      <c r="I383" s="0" t="n">
        <f aca="false">W_PH(I$2,$A383)</f>
        <v>3081.49913707334</v>
      </c>
      <c r="J383" s="0" t="n">
        <f aca="false">W_PH(J$2,$A383)</f>
        <v>3081.50097062382</v>
      </c>
      <c r="K383" s="0" t="n">
        <f aca="false">W_PH(K$2,$A383)</f>
        <v>3081.50280417822</v>
      </c>
      <c r="L383" s="0" t="n">
        <f aca="false">W_PH(L$2,$A383)</f>
        <v>3081.50463773653</v>
      </c>
      <c r="M383" s="0" t="n">
        <f aca="false">W_PH(M$2,$A383)</f>
        <v>3081.50647129876</v>
      </c>
      <c r="N383" s="0" t="n">
        <f aca="false">W_PH(N$2,$A383)</f>
        <v>3081.50830486492</v>
      </c>
      <c r="O383" s="0" t="n">
        <f aca="false">W_PH(O$2,$A383)</f>
        <v>3081.51013843501</v>
      </c>
      <c r="P383" s="0" t="n">
        <f aca="false">W_PH(P$2,$A383)</f>
        <v>3081.52848250587</v>
      </c>
      <c r="Q383" s="0" t="n">
        <f aca="false">W_PH(Q$2,$A383)</f>
        <v>3081.54681882024</v>
      </c>
      <c r="R383" s="0" t="n">
        <f aca="false">W_PH(R$2,$A383)</f>
        <v>3081.56515553444</v>
      </c>
      <c r="S383" s="0" t="n">
        <f aca="false">W_PH(S$2,$A383)</f>
        <v>3081.5835008055</v>
      </c>
      <c r="T383" s="0" t="n">
        <f aca="false">W_PH(T$2,$A383)</f>
        <v>3081.60183832946</v>
      </c>
      <c r="U383" s="0" t="n">
        <f aca="false">W_PH(U$2,$A383)</f>
        <v>3081.62017626318</v>
      </c>
      <c r="V383" s="0" t="n">
        <f aca="false">W_PH(V$2,$A383)</f>
        <v>3081.63851868713</v>
      </c>
      <c r="W383" s="0" t="n">
        <f aca="false">W_PH(W$2,$A383)</f>
        <v>3081.65686152766</v>
      </c>
      <c r="X383" s="0" t="n">
        <f aca="false">W_PH(X$2,$A383)</f>
        <v>3081.67520071074</v>
      </c>
      <c r="Y383" s="0" t="n">
        <f aca="false">W_PH(Y$2,$A383)</f>
        <v>3081.85863266761</v>
      </c>
      <c r="Z383" s="0" t="n">
        <f aca="false">W_PH(Z$2,$A383)</f>
        <v>3082.04209393113</v>
      </c>
      <c r="AA383" s="0" t="n">
        <f aca="false">W_PH(AA$2,$A383)</f>
        <v>3082.22560004392</v>
      </c>
      <c r="AB383" s="0" t="n">
        <f aca="false">W_PH(AB$2,$A383)</f>
        <v>3082.4091420729</v>
      </c>
      <c r="AC383" s="0" t="n">
        <f aca="false">W_PH(AC$2,$A383)</f>
        <v>3082.59273556511</v>
      </c>
      <c r="AD383" s="0" t="n">
        <f aca="false">W_PH(AD$2,$A383)</f>
        <v>3082.77637158079</v>
      </c>
      <c r="AE383" s="0" t="n">
        <f aca="false">W_PH(AE$2,$A383)</f>
        <v>3082.96005341997</v>
      </c>
      <c r="AF383" s="0" t="n">
        <f aca="false">W_PH(AF$2,$A383)</f>
        <v>3083.14379663635</v>
      </c>
      <c r="AG383" s="0" t="n">
        <f aca="false">W_PH(AG$2,$A383)</f>
        <v>3083.32759228017</v>
      </c>
      <c r="AH383" s="0" t="n">
        <f aca="false">W_PH(AH$2,$A383)</f>
        <v>3085.16938691161</v>
      </c>
      <c r="AI383" s="0" t="n">
        <f aca="false">W_PH(AI$2,$A383)</f>
        <v>3087.02034148009</v>
      </c>
      <c r="AJ383" s="0" t="n">
        <f aca="false">W_PH(AJ$2,$A383)</f>
        <v>3088.88360406925</v>
      </c>
      <c r="AK383" s="0" t="n">
        <f aca="false">W_PH(AK$2,$A383)</f>
        <v>3090.76232056412</v>
      </c>
      <c r="AL383" s="0" t="n">
        <f aca="false">W_PH(AL$2,$A383)</f>
        <v>3092.65963089528</v>
      </c>
      <c r="AM383" s="0" t="n">
        <f aca="false">W_PH(AM$2,$A383)</f>
        <v>3094.57866942776</v>
      </c>
      <c r="AN383" s="0" t="n">
        <f aca="false">W_PH(AN$2,$A383)</f>
        <v>3096.52256540863</v>
      </c>
      <c r="AO383" s="0" t="n">
        <f aca="false">W_PH(AO$2,$A383)</f>
        <v>3098.49445593943</v>
      </c>
      <c r="AP383" s="0" t="n">
        <f aca="false">W_PH(AP$2,$A383)</f>
        <v>2015</v>
      </c>
      <c r="AQ383" s="0" t="n">
        <f aca="false">W_PH(AQ$2,$A383)</f>
        <v>2015</v>
      </c>
      <c r="AR383" s="0" t="n">
        <f aca="false">W_PH(AR$2,$A383)</f>
        <v>2015</v>
      </c>
      <c r="AS383" s="0" t="n">
        <f aca="false">W_PH(AS$2,$A383)</f>
        <v>2015</v>
      </c>
    </row>
    <row r="384" customFormat="false" ht="12.8" hidden="false" customHeight="false" outlineLevel="0" collapsed="false">
      <c r="A384" s="0" t="n">
        <v>2338.77901977644</v>
      </c>
      <c r="B384" s="0" t="n">
        <f aca="false">W_PH(B$2,$A384)</f>
        <v>2015</v>
      </c>
      <c r="C384" s="0" t="n">
        <f aca="false">W_PH(C$2,$A384)</f>
        <v>3084.92180007999</v>
      </c>
      <c r="D384" s="0" t="n">
        <f aca="false">W_PH(D$2,$A384)</f>
        <v>3084.92198013812</v>
      </c>
      <c r="E384" s="0" t="n">
        <f aca="false">W_PH(E$2,$A384)</f>
        <v>3084.92216834021</v>
      </c>
      <c r="F384" s="0" t="n">
        <f aca="false">W_PH(F$2,$A384)</f>
        <v>3084.92234839842</v>
      </c>
      <c r="G384" s="0" t="n">
        <f aca="false">W_PH(G$2,$A384)</f>
        <v>3084.92418563025</v>
      </c>
      <c r="H384" s="0" t="n">
        <f aca="false">W_PH(H$2,$A384)</f>
        <v>3084.92602286594</v>
      </c>
      <c r="I384" s="0" t="n">
        <f aca="false">W_PH(I$2,$A384)</f>
        <v>3084.92786010548</v>
      </c>
      <c r="J384" s="0" t="n">
        <f aca="false">W_PH(J$2,$A384)</f>
        <v>3084.92969734888</v>
      </c>
      <c r="K384" s="0" t="n">
        <f aca="false">W_PH(K$2,$A384)</f>
        <v>3084.93153459614</v>
      </c>
      <c r="L384" s="0" t="n">
        <f aca="false">W_PH(L$2,$A384)</f>
        <v>3084.93337184726</v>
      </c>
      <c r="M384" s="0" t="n">
        <f aca="false">W_PH(M$2,$A384)</f>
        <v>3084.93520910226</v>
      </c>
      <c r="N384" s="0" t="n">
        <f aca="false">W_PH(N$2,$A384)</f>
        <v>3084.93704636112</v>
      </c>
      <c r="O384" s="0" t="n">
        <f aca="false">W_PH(O$2,$A384)</f>
        <v>3084.93887955182</v>
      </c>
      <c r="P384" s="0" t="n">
        <f aca="false">W_PH(P$2,$A384)</f>
        <v>3084.95725239297</v>
      </c>
      <c r="Q384" s="0" t="n">
        <f aca="false">W_PH(Q$2,$A384)</f>
        <v>3084.97562562523</v>
      </c>
      <c r="R384" s="0" t="n">
        <f aca="false">W_PH(R$2,$A384)</f>
        <v>3084.99399925188</v>
      </c>
      <c r="S384" s="0" t="n">
        <f aca="false">W_PH(S$2,$A384)</f>
        <v>3085.01236920382</v>
      </c>
      <c r="T384" s="0" t="n">
        <f aca="false">W_PH(T$2,$A384)</f>
        <v>3085.03073955657</v>
      </c>
      <c r="U384" s="0" t="n">
        <f aca="false">W_PH(U$2,$A384)</f>
        <v>3085.04911438601</v>
      </c>
      <c r="V384" s="0" t="n">
        <f aca="false">W_PH(V$2,$A384)</f>
        <v>3085.06748962303</v>
      </c>
      <c r="W384" s="0" t="n">
        <f aca="false">W_PH(W$2,$A384)</f>
        <v>3085.08585712537</v>
      </c>
      <c r="X384" s="0" t="n">
        <f aca="false">W_PH(X$2,$A384)</f>
        <v>3085.10423318725</v>
      </c>
      <c r="Y384" s="0" t="n">
        <f aca="false">W_PH(Y$2,$A384)</f>
        <v>3085.28798471986</v>
      </c>
      <c r="Z384" s="0" t="n">
        <f aca="false">W_PH(Z$2,$A384)</f>
        <v>3085.47177312912</v>
      </c>
      <c r="AA384" s="0" t="n">
        <f aca="false">W_PH(AA$2,$A384)</f>
        <v>3085.65559762776</v>
      </c>
      <c r="AB384" s="0" t="n">
        <f aca="false">W_PH(AB$2,$A384)</f>
        <v>3085.83946557737</v>
      </c>
      <c r="AC384" s="0" t="n">
        <f aca="false">W_PH(AC$2,$A384)</f>
        <v>3086.0233721103</v>
      </c>
      <c r="AD384" s="0" t="n">
        <f aca="false">W_PH(AD$2,$A384)</f>
        <v>3086.20732866451</v>
      </c>
      <c r="AE384" s="0" t="n">
        <f aca="false">W_PH(AE$2,$A384)</f>
        <v>3086.39133444687</v>
      </c>
      <c r="AF384" s="0" t="n">
        <f aca="false">W_PH(AF$2,$A384)</f>
        <v>3086.57539274026</v>
      </c>
      <c r="AG384" s="0" t="n">
        <f aca="false">W_PH(AG$2,$A384)</f>
        <v>3086.75951090812</v>
      </c>
      <c r="AH384" s="0" t="n">
        <f aca="false">W_PH(AH$2,$A384)</f>
        <v>3088.60445442124</v>
      </c>
      <c r="AI384" s="0" t="n">
        <f aca="false">W_PH(AI$2,$A384)</f>
        <v>3090.45847736624</v>
      </c>
      <c r="AJ384" s="0" t="n">
        <f aca="false">W_PH(AJ$2,$A384)</f>
        <v>3092.32472128546</v>
      </c>
      <c r="AK384" s="0" t="n">
        <f aca="false">W_PH(AK$2,$A384)</f>
        <v>3094.20631342121</v>
      </c>
      <c r="AL384" s="0" t="n">
        <f aca="false">W_PH(AL$2,$A384)</f>
        <v>3096.10636282573</v>
      </c>
      <c r="AM384" s="0" t="n">
        <f aca="false">W_PH(AM$2,$A384)</f>
        <v>3098.02799782253</v>
      </c>
      <c r="AN384" s="0" t="n">
        <f aca="false">W_PH(AN$2,$A384)</f>
        <v>3099.97432527871</v>
      </c>
      <c r="AO384" s="0" t="n">
        <f aca="false">W_PH(AO$2,$A384)</f>
        <v>3101.94846413838</v>
      </c>
      <c r="AP384" s="0" t="n">
        <f aca="false">W_PH(AP$2,$A384)</f>
        <v>2015</v>
      </c>
      <c r="AQ384" s="0" t="n">
        <f aca="false">W_PH(AQ$2,$A384)</f>
        <v>2015</v>
      </c>
      <c r="AR384" s="0" t="n">
        <f aca="false">W_PH(AR$2,$A384)</f>
        <v>2015</v>
      </c>
      <c r="AS384" s="0" t="n">
        <f aca="false">W_PH(AS$2,$A384)</f>
        <v>2015</v>
      </c>
    </row>
    <row r="385" customFormat="false" ht="12.8" hidden="false" customHeight="false" outlineLevel="0" collapsed="false">
      <c r="A385" s="0" t="n">
        <v>2343.07824591573</v>
      </c>
      <c r="B385" s="0" t="n">
        <f aca="false">W_PH(B$2,$A385)</f>
        <v>2015</v>
      </c>
      <c r="C385" s="0" t="n">
        <f aca="false">W_PH(C$2,$A385)</f>
        <v>3088.34424937676</v>
      </c>
      <c r="D385" s="0" t="n">
        <f aca="false">W_PH(D$2,$A385)</f>
        <v>3088.34443427378</v>
      </c>
      <c r="E385" s="0" t="n">
        <f aca="false">W_PH(E$2,$A385)</f>
        <v>3088.34461510331</v>
      </c>
      <c r="F385" s="0" t="n">
        <f aca="false">W_PH(F$2,$A385)</f>
        <v>3088.34480406792</v>
      </c>
      <c r="G385" s="0" t="n">
        <f aca="false">W_PH(G$2,$A385)</f>
        <v>3088.34664083833</v>
      </c>
      <c r="H385" s="0" t="n">
        <f aca="false">W_PH(H$2,$A385)</f>
        <v>3088.34848168006</v>
      </c>
      <c r="I385" s="0" t="n">
        <f aca="false">W_PH(I$2,$A385)</f>
        <v>3088.35031845805</v>
      </c>
      <c r="J385" s="0" t="n">
        <f aca="false">W_PH(J$2,$A385)</f>
        <v>3088.35215930738</v>
      </c>
      <c r="K385" s="0" t="n">
        <f aca="false">W_PH(K$2,$A385)</f>
        <v>3088.35400016052</v>
      </c>
      <c r="L385" s="0" t="n">
        <f aca="false">W_PH(L$2,$A385)</f>
        <v>3088.35584101748</v>
      </c>
      <c r="M385" s="0" t="n">
        <f aca="false">W_PH(M$2,$A385)</f>
        <v>3088.35768187825</v>
      </c>
      <c r="N385" s="0" t="n">
        <f aca="false">W_PH(N$2,$A385)</f>
        <v>3088.35952274283</v>
      </c>
      <c r="O385" s="0" t="n">
        <f aca="false">W_PH(O$2,$A385)</f>
        <v>3088.36136361124</v>
      </c>
      <c r="P385" s="0" t="n">
        <f aca="false">W_PH(P$2,$A385)</f>
        <v>3088.37976437085</v>
      </c>
      <c r="Q385" s="0" t="n">
        <f aca="false">W_PH(Q$2,$A385)</f>
        <v>3088.39816958365</v>
      </c>
      <c r="R385" s="0" t="n">
        <f aca="false">W_PH(R$2,$A385)</f>
        <v>3088.41657518533</v>
      </c>
      <c r="S385" s="0" t="n">
        <f aca="false">W_PH(S$2,$A385)</f>
        <v>3088.43497711119</v>
      </c>
      <c r="T385" s="0" t="n">
        <f aca="false">W_PH(T$2,$A385)</f>
        <v>3088.45337943228</v>
      </c>
      <c r="U385" s="0" t="n">
        <f aca="false">W_PH(U$2,$A385)</f>
        <v>3088.47178215189</v>
      </c>
      <c r="V385" s="0" t="n">
        <f aca="false">W_PH(V$2,$A385)</f>
        <v>3088.49019340977</v>
      </c>
      <c r="W385" s="0" t="n">
        <f aca="false">W_PH(W$2,$A385)</f>
        <v>3088.50859693641</v>
      </c>
      <c r="X385" s="0" t="n">
        <f aca="false">W_PH(X$2,$A385)</f>
        <v>3088.5270008714</v>
      </c>
      <c r="Y385" s="0" t="n">
        <f aca="false">W_PH(Y$2,$A385)</f>
        <v>3088.71107153927</v>
      </c>
      <c r="Z385" s="0" t="n">
        <f aca="false">W_PH(Z$2,$A385)</f>
        <v>3088.89517443671</v>
      </c>
      <c r="AA385" s="0" t="n">
        <f aca="false">W_PH(AA$2,$A385)</f>
        <v>3089.07931690121</v>
      </c>
      <c r="AB385" s="0" t="n">
        <f aca="false">W_PH(AB$2,$A385)</f>
        <v>3089.26349812924</v>
      </c>
      <c r="AC385" s="0" t="n">
        <f aca="false">W_PH(AC$2,$A385)</f>
        <v>3089.447725459</v>
      </c>
      <c r="AD385" s="0" t="n">
        <f aca="false">W_PH(AD$2,$A385)</f>
        <v>3089.63199401023</v>
      </c>
      <c r="AE385" s="0" t="n">
        <f aca="false">W_PH(AE$2,$A385)</f>
        <v>3089.81631519395</v>
      </c>
      <c r="AF385" s="0" t="n">
        <f aca="false">W_PH(AF$2,$A385)</f>
        <v>3090.00068820088</v>
      </c>
      <c r="AG385" s="0" t="n">
        <f aca="false">W_PH(AG$2,$A385)</f>
        <v>3090.18512037074</v>
      </c>
      <c r="AH385" s="0" t="n">
        <f aca="false">W_PH(AH$2,$A385)</f>
        <v>3092.03316900981</v>
      </c>
      <c r="AI385" s="0" t="n">
        <f aca="false">W_PH(AI$2,$A385)</f>
        <v>3093.89022600905</v>
      </c>
      <c r="AJ385" s="0" t="n">
        <f aca="false">W_PH(AJ$2,$A385)</f>
        <v>3095.75941014369</v>
      </c>
      <c r="AK385" s="0" t="n">
        <f aca="false">W_PH(AK$2,$A385)</f>
        <v>3097.64382600732</v>
      </c>
      <c r="AL385" s="0" t="n">
        <f aca="false">W_PH(AL$2,$A385)</f>
        <v>3099.54658072636</v>
      </c>
      <c r="AM385" s="0" t="n">
        <f aca="false">W_PH(AM$2,$A385)</f>
        <v>3101.47077203583</v>
      </c>
      <c r="AN385" s="0" t="n">
        <f aca="false">W_PH(AN$2,$A385)</f>
        <v>3103.41950108206</v>
      </c>
      <c r="AO385" s="0" t="n">
        <f aca="false">W_PH(AO$2,$A385)</f>
        <v>3105.39585226919</v>
      </c>
      <c r="AP385" s="0" t="n">
        <f aca="false">W_PH(AP$2,$A385)</f>
        <v>2015</v>
      </c>
      <c r="AQ385" s="0" t="n">
        <f aca="false">W_PH(AQ$2,$A385)</f>
        <v>2015</v>
      </c>
      <c r="AR385" s="0" t="n">
        <f aca="false">W_PH(AR$2,$A385)</f>
        <v>2015</v>
      </c>
      <c r="AS385" s="0" t="n">
        <f aca="false">W_PH(AS$2,$A385)</f>
        <v>2015</v>
      </c>
    </row>
    <row r="386" customFormat="false" ht="12.8" hidden="false" customHeight="false" outlineLevel="0" collapsed="false">
      <c r="A386" s="0" t="n">
        <v>2347.37747205503</v>
      </c>
      <c r="B386" s="0" t="n">
        <f aca="false">W_PH(B$2,$A386)</f>
        <v>2015</v>
      </c>
      <c r="C386" s="0" t="n">
        <f aca="false">W_PH(C$2,$A386)</f>
        <v>3091.76047382862</v>
      </c>
      <c r="D386" s="0" t="n">
        <f aca="false">W_PH(D$2,$A386)</f>
        <v>3091.76066354621</v>
      </c>
      <c r="E386" s="0" t="n">
        <f aca="false">W_PH(E$2,$A386)</f>
        <v>3091.76084513761</v>
      </c>
      <c r="F386" s="0" t="n">
        <f aca="false">W_PH(F$2,$A386)</f>
        <v>3091.76102672905</v>
      </c>
      <c r="G386" s="0" t="n">
        <f aca="false">W_PH(G$2,$A386)</f>
        <v>3091.76287515041</v>
      </c>
      <c r="H386" s="0" t="n">
        <f aca="false">W_PH(H$2,$A386)</f>
        <v>3091.76471544927</v>
      </c>
      <c r="I386" s="0" t="n">
        <f aca="false">W_PH(I$2,$A386)</f>
        <v>3091.76655575187</v>
      </c>
      <c r="J386" s="0" t="n">
        <f aca="false">W_PH(J$2,$A386)</f>
        <v>3091.76840418449</v>
      </c>
      <c r="K386" s="0" t="n">
        <f aca="false">W_PH(K$2,$A386)</f>
        <v>3091.77024449457</v>
      </c>
      <c r="L386" s="0" t="n">
        <f aca="false">W_PH(L$2,$A386)</f>
        <v>3091.77208887157</v>
      </c>
      <c r="M386" s="0" t="n">
        <f aca="false">W_PH(M$2,$A386)</f>
        <v>3091.77393325232</v>
      </c>
      <c r="N386" s="0" t="n">
        <f aca="false">W_PH(N$2,$A386)</f>
        <v>3091.77577357366</v>
      </c>
      <c r="O386" s="0" t="n">
        <f aca="false">W_PH(O$2,$A386)</f>
        <v>3091.77762202513</v>
      </c>
      <c r="P386" s="0" t="n">
        <f aca="false">W_PH(P$2,$A386)</f>
        <v>3091.79605392622</v>
      </c>
      <c r="Q386" s="0" t="n">
        <f aca="false">W_PH(Q$2,$A386)</f>
        <v>3091.8144862073</v>
      </c>
      <c r="R386" s="0" t="n">
        <f aca="false">W_PH(R$2,$A386)</f>
        <v>3091.83292293506</v>
      </c>
      <c r="S386" s="0" t="n">
        <f aca="false">W_PH(S$2,$A386)</f>
        <v>3091.8513600495</v>
      </c>
      <c r="T386" s="0" t="n">
        <f aca="false">W_PH(T$2,$A386)</f>
        <v>3091.86979349023</v>
      </c>
      <c r="U386" s="0" t="n">
        <f aca="false">W_PH(U$2,$A386)</f>
        <v>3091.88822732396</v>
      </c>
      <c r="V386" s="0" t="n">
        <f aca="false">W_PH(V$2,$A386)</f>
        <v>3091.90666561777</v>
      </c>
      <c r="W386" s="0" t="n">
        <f aca="false">W_PH(W$2,$A386)</f>
        <v>3091.92510431128</v>
      </c>
      <c r="X386" s="0" t="n">
        <f aca="false">W_PH(X$2,$A386)</f>
        <v>3091.94353527974</v>
      </c>
      <c r="Y386" s="0" t="n">
        <f aca="false">W_PH(Y$2,$A386)</f>
        <v>3092.1279247319</v>
      </c>
      <c r="Z386" s="0" t="n">
        <f aca="false">W_PH(Z$2,$A386)</f>
        <v>3092.31234178679</v>
      </c>
      <c r="AA386" s="0" t="n">
        <f aca="false">W_PH(AA$2,$A386)</f>
        <v>3092.49678968896</v>
      </c>
      <c r="AB386" s="0" t="n">
        <f aca="false">W_PH(AB$2,$A386)</f>
        <v>3092.68128795276</v>
      </c>
      <c r="AC386" s="0" t="n">
        <f aca="false">W_PH(AC$2,$A386)</f>
        <v>3092.86582355854</v>
      </c>
      <c r="AD386" s="0" t="n">
        <f aca="false">W_PH(AD$2,$A386)</f>
        <v>3093.05040788801</v>
      </c>
      <c r="AE386" s="0" t="n">
        <f aca="false">W_PH(AE$2,$A386)</f>
        <v>3093.2350360485</v>
      </c>
      <c r="AF386" s="0" t="n">
        <f aca="false">W_PH(AF$2,$A386)</f>
        <v>3093.41971942429</v>
      </c>
      <c r="AG386" s="0" t="n">
        <f aca="false">W_PH(AG$2,$A386)</f>
        <v>3093.60446126219</v>
      </c>
      <c r="AH386" s="0" t="n">
        <f aca="false">W_PH(AH$2,$A386)</f>
        <v>3095.45556821392</v>
      </c>
      <c r="AI386" s="0" t="n">
        <f aca="false">W_PH(AI$2,$A386)</f>
        <v>3097.31561364232</v>
      </c>
      <c r="AJ386" s="0" t="n">
        <f aca="false">W_PH(AJ$2,$A386)</f>
        <v>3099.18769782434</v>
      </c>
      <c r="AK386" s="0" t="n">
        <f aca="false">W_PH(AK$2,$A386)</f>
        <v>3101.07490289882</v>
      </c>
      <c r="AL386" s="0" t="n">
        <f aca="false">W_PH(AL$2,$A386)</f>
        <v>3102.98031774561</v>
      </c>
      <c r="AM386" s="0" t="n">
        <f aca="false">W_PH(AM$2,$A386)</f>
        <v>3104.90703436016</v>
      </c>
      <c r="AN386" s="0" t="n">
        <f aca="false">W_PH(AN$2,$A386)</f>
        <v>3106.85811530648</v>
      </c>
      <c r="AO386" s="0" t="n">
        <f aca="false">W_PH(AO$2,$A386)</f>
        <v>3108.83665605408</v>
      </c>
      <c r="AP386" s="0" t="n">
        <f aca="false">W_PH(AP$2,$A386)</f>
        <v>2015</v>
      </c>
      <c r="AQ386" s="0" t="n">
        <f aca="false">W_PH(AQ$2,$A386)</f>
        <v>2015</v>
      </c>
      <c r="AR386" s="0" t="n">
        <f aca="false">W_PH(AR$2,$A386)</f>
        <v>2015</v>
      </c>
      <c r="AS386" s="0" t="n">
        <f aca="false">W_PH(AS$2,$A386)</f>
        <v>2015</v>
      </c>
    </row>
    <row r="387" customFormat="false" ht="12.8" hidden="false" customHeight="false" outlineLevel="0" collapsed="false">
      <c r="A387" s="0" t="n">
        <v>2351.67669819433</v>
      </c>
      <c r="B387" s="0" t="n">
        <f aca="false">W_PH(B$2,$A387)</f>
        <v>2015</v>
      </c>
      <c r="C387" s="0" t="n">
        <f aca="false">W_PH(C$2,$A387)</f>
        <v>3095.1705167584</v>
      </c>
      <c r="D387" s="0" t="n">
        <f aca="false">W_PH(D$2,$A387)</f>
        <v>3095.17069910228</v>
      </c>
      <c r="E387" s="0" t="n">
        <f aca="false">W_PH(E$2,$A387)</f>
        <v>3095.1708814462</v>
      </c>
      <c r="F387" s="0" t="n">
        <f aca="false">W_PH(F$2,$A387)</f>
        <v>3095.17107190759</v>
      </c>
      <c r="G387" s="0" t="n">
        <f aca="false">W_PH(G$2,$A387)</f>
        <v>3095.17291564278</v>
      </c>
      <c r="H387" s="0" t="n">
        <f aca="false">W_PH(H$2,$A387)</f>
        <v>3095.17475938165</v>
      </c>
      <c r="I387" s="0" t="n">
        <f aca="false">W_PH(I$2,$A387)</f>
        <v>3095.17660718294</v>
      </c>
      <c r="J387" s="0" t="n">
        <f aca="false">W_PH(J$2,$A387)</f>
        <v>3095.17845498793</v>
      </c>
      <c r="K387" s="0" t="n">
        <f aca="false">W_PH(K$2,$A387)</f>
        <v>3095.18030279662</v>
      </c>
      <c r="L387" s="0" t="n">
        <f aca="false">W_PH(L$2,$A387)</f>
        <v>3095.18215060903</v>
      </c>
      <c r="M387" s="0" t="n">
        <f aca="false">W_PH(M$2,$A387)</f>
        <v>3095.18399436636</v>
      </c>
      <c r="N387" s="0" t="n">
        <f aca="false">W_PH(N$2,$A387)</f>
        <v>3095.18583812739</v>
      </c>
      <c r="O387" s="0" t="n">
        <f aca="false">W_PH(O$2,$A387)</f>
        <v>3095.18768595092</v>
      </c>
      <c r="P387" s="0" t="n">
        <f aca="false">W_PH(P$2,$A387)</f>
        <v>3095.20615221474</v>
      </c>
      <c r="Q387" s="0" t="n">
        <f aca="false">W_PH(Q$2,$A387)</f>
        <v>3095.22461885335</v>
      </c>
      <c r="R387" s="0" t="n">
        <f aca="false">W_PH(R$2,$A387)</f>
        <v>3095.24308181094</v>
      </c>
      <c r="S387" s="0" t="n">
        <f aca="false">W_PH(S$2,$A387)</f>
        <v>3095.26155326792</v>
      </c>
      <c r="T387" s="0" t="n">
        <f aca="false">W_PH(T$2,$A387)</f>
        <v>3095.28001699111</v>
      </c>
      <c r="U387" s="0" t="n">
        <f aca="false">W_PH(U$2,$A387)</f>
        <v>3095.29848110186</v>
      </c>
      <c r="V387" s="0" t="n">
        <f aca="false">W_PH(V$2,$A387)</f>
        <v>3095.31694966284</v>
      </c>
      <c r="W387" s="0" t="n">
        <f aca="false">W_PH(W$2,$A387)</f>
        <v>3095.33541861804</v>
      </c>
      <c r="X387" s="0" t="n">
        <f aca="false">W_PH(X$2,$A387)</f>
        <v>3095.3538839111</v>
      </c>
      <c r="Y387" s="0" t="n">
        <f aca="false">W_PH(Y$2,$A387)</f>
        <v>3095.53857564621</v>
      </c>
      <c r="Z387" s="0" t="n">
        <f aca="false">W_PH(Z$2,$A387)</f>
        <v>3095.72330255414</v>
      </c>
      <c r="AA387" s="0" t="n">
        <f aca="false">W_PH(AA$2,$A387)</f>
        <v>3095.90806380362</v>
      </c>
      <c r="AB387" s="0" t="n">
        <f aca="false">W_PH(AB$2,$A387)</f>
        <v>3096.09286668556</v>
      </c>
      <c r="AC387" s="0" t="n">
        <f aca="false">W_PH(AC$2,$A387)</f>
        <v>3096.2777103659</v>
      </c>
      <c r="AD387" s="0" t="n">
        <f aca="false">W_PH(AD$2,$A387)</f>
        <v>3096.46259400649</v>
      </c>
      <c r="AE387" s="0" t="n">
        <f aca="false">W_PH(AE$2,$A387)</f>
        <v>3096.64753709416</v>
      </c>
      <c r="AF387" s="0" t="n">
        <f aca="false">W_PH(AF$2,$A387)</f>
        <v>3096.83252659592</v>
      </c>
      <c r="AG387" s="0" t="n">
        <f aca="false">W_PH(AG$2,$A387)</f>
        <v>3097.0175657344</v>
      </c>
      <c r="AH387" s="0" t="n">
        <f aca="false">W_PH(AH$2,$A387)</f>
        <v>3098.87169741702</v>
      </c>
      <c r="AI387" s="0" t="n">
        <f aca="false">W_PH(AI$2,$A387)</f>
        <v>3100.73468665947</v>
      </c>
      <c r="AJ387" s="0" t="n">
        <f aca="false">W_PH(AJ$2,$A387)</f>
        <v>3102.60962760188</v>
      </c>
      <c r="AK387" s="0" t="n">
        <f aca="false">W_PH(AK$2,$A387)</f>
        <v>3104.49958419627</v>
      </c>
      <c r="AL387" s="0" t="n">
        <f aca="false">W_PH(AL$2,$A387)</f>
        <v>3106.40762314432</v>
      </c>
      <c r="AM387" s="0" t="n">
        <f aca="false">W_PH(AM$2,$A387)</f>
        <v>3108.33682258508</v>
      </c>
      <c r="AN387" s="0" t="n">
        <f aca="false">W_PH(AN$2,$A387)</f>
        <v>3110.29023141022</v>
      </c>
      <c r="AO387" s="0" t="n">
        <f aca="false">W_PH(AO$2,$A387)</f>
        <v>3112.27091084455</v>
      </c>
      <c r="AP387" s="0" t="n">
        <f aca="false">W_PH(AP$2,$A387)</f>
        <v>2015</v>
      </c>
      <c r="AQ387" s="0" t="n">
        <f aca="false">W_PH(AQ$2,$A387)</f>
        <v>2015</v>
      </c>
      <c r="AR387" s="0" t="n">
        <f aca="false">W_PH(AR$2,$A387)</f>
        <v>2015</v>
      </c>
      <c r="AS387" s="0" t="n">
        <f aca="false">W_PH(AS$2,$A387)</f>
        <v>2015</v>
      </c>
    </row>
    <row r="388" customFormat="false" ht="12.8" hidden="false" customHeight="false" outlineLevel="0" collapsed="false">
      <c r="A388" s="0" t="n">
        <v>2355.97592433362</v>
      </c>
      <c r="B388" s="0" t="n">
        <f aca="false">W_PH(B$2,$A388)</f>
        <v>2015</v>
      </c>
      <c r="C388" s="0" t="n">
        <f aca="false">W_PH(C$2,$A388)</f>
        <v>3098.57440496814</v>
      </c>
      <c r="D388" s="0" t="n">
        <f aca="false">W_PH(D$2,$A388)</f>
        <v>3098.57458805531</v>
      </c>
      <c r="E388" s="0" t="n">
        <f aca="false">W_PH(E$2,$A388)</f>
        <v>3098.57477114251</v>
      </c>
      <c r="F388" s="0" t="n">
        <f aca="false">W_PH(F$2,$A388)</f>
        <v>3098.57495828409</v>
      </c>
      <c r="G388" s="0" t="n">
        <f aca="false">W_PH(G$2,$A388)</f>
        <v>3098.57680943017</v>
      </c>
      <c r="H388" s="0" t="n">
        <f aca="false">W_PH(H$2,$A388)</f>
        <v>3098.57865652554</v>
      </c>
      <c r="I388" s="0" t="n">
        <f aca="false">W_PH(I$2,$A388)</f>
        <v>3098.58050362454</v>
      </c>
      <c r="J388" s="0" t="n">
        <f aca="false">W_PH(J$2,$A388)</f>
        <v>3098.58235883593</v>
      </c>
      <c r="K388" s="0" t="n">
        <f aca="false">W_PH(K$2,$A388)</f>
        <v>3098.58420594221</v>
      </c>
      <c r="L388" s="0" t="n">
        <f aca="false">W_PH(L$2,$A388)</f>
        <v>3098.58605305214</v>
      </c>
      <c r="M388" s="0" t="n">
        <f aca="false">W_PH(M$2,$A388)</f>
        <v>3098.58790422011</v>
      </c>
      <c r="N388" s="0" t="n">
        <f aca="false">W_PH(N$2,$A388)</f>
        <v>3098.58975539174</v>
      </c>
      <c r="O388" s="0" t="n">
        <f aca="false">W_PH(O$2,$A388)</f>
        <v>3098.59160251262</v>
      </c>
      <c r="P388" s="0" t="n">
        <f aca="false">W_PH(P$2,$A388)</f>
        <v>3098.61009824989</v>
      </c>
      <c r="Q388" s="0" t="n">
        <f aca="false">W_PH(Q$2,$A388)</f>
        <v>3098.62859435667</v>
      </c>
      <c r="R388" s="0" t="n">
        <f aca="false">W_PH(R$2,$A388)</f>
        <v>3098.64709083617</v>
      </c>
      <c r="S388" s="0" t="n">
        <f aca="false">W_PH(S$2,$A388)</f>
        <v>3098.66558769162</v>
      </c>
      <c r="T388" s="0" t="n">
        <f aca="false">W_PH(T$2,$A388)</f>
        <v>3098.68408492623</v>
      </c>
      <c r="U388" s="0" t="n">
        <f aca="false">W_PH(U$2,$A388)</f>
        <v>3098.70258254323</v>
      </c>
      <c r="V388" s="0" t="n">
        <f aca="false">W_PH(V$2,$A388)</f>
        <v>3098.72108054582</v>
      </c>
      <c r="W388" s="0" t="n">
        <f aca="false">W_PH(W$2,$A388)</f>
        <v>3098.73957893723</v>
      </c>
      <c r="X388" s="0" t="n">
        <f aca="false">W_PH(X$2,$A388)</f>
        <v>3098.75807772068</v>
      </c>
      <c r="Y388" s="0" t="n">
        <f aca="false">W_PH(Y$2,$A388)</f>
        <v>3098.94307160079</v>
      </c>
      <c r="Z388" s="0" t="n">
        <f aca="false">W_PH(Z$2,$A388)</f>
        <v>3099.1281001033</v>
      </c>
      <c r="AA388" s="0" t="n">
        <f aca="false">W_PH(AA$2,$A388)</f>
        <v>3099.31316644037</v>
      </c>
      <c r="AB388" s="0" t="n">
        <f aca="false">W_PH(AB$2,$A388)</f>
        <v>3099.49827382369</v>
      </c>
      <c r="AC388" s="0" t="n">
        <f aca="false">W_PH(AC$2,$A388)</f>
        <v>3099.68341734522</v>
      </c>
      <c r="AD388" s="0" t="n">
        <f aca="false">W_PH(AD$2,$A388)</f>
        <v>3099.86860833135</v>
      </c>
      <c r="AE388" s="0" t="n">
        <f aca="false">W_PH(AE$2,$A388)</f>
        <v>3100.05384999228</v>
      </c>
      <c r="AF388" s="0" t="n">
        <f aca="false">W_PH(AF$2,$A388)</f>
        <v>3100.23913741325</v>
      </c>
      <c r="AG388" s="0" t="n">
        <f aca="false">W_PH(AG$2,$A388)</f>
        <v>3100.42448192445</v>
      </c>
      <c r="AH388" s="0" t="n">
        <f aca="false">W_PH(AH$2,$A388)</f>
        <v>3102.2815853772</v>
      </c>
      <c r="AI388" s="0" t="n">
        <f aca="false">W_PH(AI$2,$A388)</f>
        <v>3104.14748293787</v>
      </c>
      <c r="AJ388" s="0" t="n">
        <f aca="false">W_PH(AJ$2,$A388)</f>
        <v>3106.02523422023</v>
      </c>
      <c r="AK388" s="0" t="n">
        <f aca="false">W_PH(AK$2,$A388)</f>
        <v>3107.91790145668</v>
      </c>
      <c r="AL388" s="0" t="n">
        <f aca="false">W_PH(AL$2,$A388)</f>
        <v>3109.82853346292</v>
      </c>
      <c r="AM388" s="0" t="n">
        <f aca="false">W_PH(AM$2,$A388)</f>
        <v>3111.76017414159</v>
      </c>
      <c r="AN388" s="0" t="n">
        <f aca="false">W_PH(AN$2,$A388)</f>
        <v>3113.71587114083</v>
      </c>
      <c r="AO388" s="0" t="n">
        <f aca="false">W_PH(AO$2,$A388)</f>
        <v>3115.69866814352</v>
      </c>
      <c r="AP388" s="0" t="n">
        <f aca="false">W_PH(AP$2,$A388)</f>
        <v>2015</v>
      </c>
      <c r="AQ388" s="0" t="n">
        <f aca="false">W_PH(AQ$2,$A388)</f>
        <v>2015</v>
      </c>
      <c r="AR388" s="0" t="n">
        <f aca="false">W_PH(AR$2,$A388)</f>
        <v>2015</v>
      </c>
      <c r="AS388" s="0" t="n">
        <f aca="false">W_PH(AS$2,$A388)</f>
        <v>2015</v>
      </c>
    </row>
    <row r="389" customFormat="false" ht="12.8" hidden="false" customHeight="false" outlineLevel="0" collapsed="false">
      <c r="A389" s="0" t="n">
        <v>2360.27515047291</v>
      </c>
      <c r="B389" s="0" t="n">
        <f aca="false">W_PH(B$2,$A389)</f>
        <v>2015</v>
      </c>
      <c r="C389" s="0" t="n">
        <f aca="false">W_PH(C$2,$A389)</f>
        <v>3101.97217717999</v>
      </c>
      <c r="D389" s="0" t="n">
        <f aca="false">W_PH(D$2,$A389)</f>
        <v>3101.97236100132</v>
      </c>
      <c r="E389" s="0" t="n">
        <f aca="false">W_PH(E$2,$A389)</f>
        <v>3101.97254482268</v>
      </c>
      <c r="F389" s="0" t="n">
        <f aca="false">W_PH(F$2,$A389)</f>
        <v>3101.97272864407</v>
      </c>
      <c r="G389" s="0" t="n">
        <f aca="false">W_PH(G$2,$A389)</f>
        <v>3101.97458305997</v>
      </c>
      <c r="H389" s="0" t="n">
        <f aca="false">W_PH(H$2,$A389)</f>
        <v>3101.97643747945</v>
      </c>
      <c r="I389" s="0" t="n">
        <f aca="false">W_PH(I$2,$A389)</f>
        <v>3101.97828785252</v>
      </c>
      <c r="J389" s="0" t="n">
        <f aca="false">W_PH(J$2,$A389)</f>
        <v>3101.98013822917</v>
      </c>
      <c r="K389" s="0" t="n">
        <f aca="false">W_PH(K$2,$A389)</f>
        <v>3101.98199265944</v>
      </c>
      <c r="L389" s="0" t="n">
        <f aca="false">W_PH(L$2,$A389)</f>
        <v>3101.98384709332</v>
      </c>
      <c r="M389" s="0" t="n">
        <f aca="false">W_PH(M$2,$A389)</f>
        <v>3101.98570153081</v>
      </c>
      <c r="N389" s="0" t="n">
        <f aca="false">W_PH(N$2,$A389)</f>
        <v>3101.98754787179</v>
      </c>
      <c r="O389" s="0" t="n">
        <f aca="false">W_PH(O$2,$A389)</f>
        <v>3101.98940231649</v>
      </c>
      <c r="P389" s="0" t="n">
        <f aca="false">W_PH(P$2,$A389)</f>
        <v>3102.00793076248</v>
      </c>
      <c r="Q389" s="0" t="n">
        <f aca="false">W_PH(Q$2,$A389)</f>
        <v>3102.02645552268</v>
      </c>
      <c r="R389" s="0" t="n">
        <f aca="false">W_PH(R$2,$A389)</f>
        <v>3102.04498065038</v>
      </c>
      <c r="S389" s="0" t="n">
        <f aca="false">W_PH(S$2,$A389)</f>
        <v>3102.06351019918</v>
      </c>
      <c r="T389" s="0" t="n">
        <f aca="false">W_PH(T$2,$A389)</f>
        <v>3102.08203202104</v>
      </c>
      <c r="U389" s="0" t="n">
        <f aca="false">W_PH(U$2,$A389)</f>
        <v>3102.100562321</v>
      </c>
      <c r="V389" s="0" t="n">
        <f aca="false">W_PH(V$2,$A389)</f>
        <v>3102.11909300142</v>
      </c>
      <c r="W389" s="0" t="n">
        <f aca="false">W_PH(W$2,$A389)</f>
        <v>3102.13761596397</v>
      </c>
      <c r="X389" s="0" t="n">
        <f aca="false">W_PH(X$2,$A389)</f>
        <v>3102.15614741475</v>
      </c>
      <c r="Y389" s="0" t="n">
        <f aca="false">W_PH(Y$2,$A389)</f>
        <v>3102.34144338655</v>
      </c>
      <c r="Z389" s="0" t="n">
        <f aca="false">W_PH(Z$2,$A389)</f>
        <v>3102.52677344115</v>
      </c>
      <c r="AA389" s="0" t="n">
        <f aca="false">W_PH(AA$2,$A389)</f>
        <v>3102.71213671864</v>
      </c>
      <c r="AB389" s="0" t="n">
        <f aca="false">W_PH(AB$2,$A389)</f>
        <v>3102.89754046379</v>
      </c>
      <c r="AC389" s="0" t="n">
        <f aca="false">W_PH(AC$2,$A389)</f>
        <v>3103.08298381399</v>
      </c>
      <c r="AD389" s="0" t="n">
        <f aca="false">W_PH(AD$2,$A389)</f>
        <v>3103.26847401479</v>
      </c>
      <c r="AE389" s="0" t="n">
        <f aca="false">W_PH(AE$2,$A389)</f>
        <v>3103.45400614397</v>
      </c>
      <c r="AF389" s="0" t="n">
        <f aca="false">W_PH(AF$2,$A389)</f>
        <v>3103.63959961861</v>
      </c>
      <c r="AG389" s="0" t="n">
        <f aca="false">W_PH(AG$2,$A389)</f>
        <v>3103.82523734134</v>
      </c>
      <c r="AH389" s="0" t="n">
        <f aca="false">W_PH(AH$2,$A389)</f>
        <v>3105.68527686058</v>
      </c>
      <c r="AI389" s="0" t="n">
        <f aca="false">W_PH(AI$2,$A389)</f>
        <v>3107.55403596587</v>
      </c>
      <c r="AJ389" s="0" t="n">
        <f aca="false">W_PH(AJ$2,$A389)</f>
        <v>3109.43456436593</v>
      </c>
      <c r="AK389" s="0" t="n">
        <f aca="false">W_PH(AK$2,$A389)</f>
        <v>3111.3299023016</v>
      </c>
      <c r="AL389" s="0" t="n">
        <f aca="false">W_PH(AL$2,$A389)</f>
        <v>3113.24307670155</v>
      </c>
      <c r="AM389" s="0" t="n">
        <f aca="false">W_PH(AM$2,$A389)</f>
        <v>3115.17712610742</v>
      </c>
      <c r="AN389" s="0" t="n">
        <f aca="false">W_PH(AN$2,$A389)</f>
        <v>3117.13508065916</v>
      </c>
      <c r="AO389" s="0" t="n">
        <f aca="false">W_PH(AO$2,$A389)</f>
        <v>3119.11995839149</v>
      </c>
      <c r="AP389" s="0" t="n">
        <f aca="false">W_PH(AP$2,$A389)</f>
        <v>2015</v>
      </c>
      <c r="AQ389" s="0" t="n">
        <f aca="false">W_PH(AQ$2,$A389)</f>
        <v>2015</v>
      </c>
      <c r="AR389" s="0" t="n">
        <f aca="false">W_PH(AR$2,$A389)</f>
        <v>2015</v>
      </c>
      <c r="AS389" s="0" t="n">
        <f aca="false">W_PH(AS$2,$A389)</f>
        <v>2015</v>
      </c>
    </row>
    <row r="390" customFormat="false" ht="12.8" hidden="false" customHeight="false" outlineLevel="0" collapsed="false">
      <c r="A390" s="0" t="n">
        <v>2364.57437661221</v>
      </c>
      <c r="B390" s="0" t="n">
        <f aca="false">W_PH(B$2,$A390)</f>
        <v>2015</v>
      </c>
      <c r="C390" s="0" t="n">
        <f aca="false">W_PH(C$2,$A390)</f>
        <v>3105.36386779156</v>
      </c>
      <c r="D390" s="0" t="n">
        <f aca="false">W_PH(D$2,$A390)</f>
        <v>3105.36405233804</v>
      </c>
      <c r="E390" s="0" t="n">
        <f aca="false">W_PH(E$2,$A390)</f>
        <v>3105.36424093022</v>
      </c>
      <c r="F390" s="0" t="n">
        <f aca="false">W_PH(F$2,$A390)</f>
        <v>3105.36442547677</v>
      </c>
      <c r="G390" s="0" t="n">
        <f aca="false">W_PH(G$2,$A390)</f>
        <v>3105.36627903557</v>
      </c>
      <c r="H390" s="0" t="n">
        <f aca="false">W_PH(H$2,$A390)</f>
        <v>3105.36813259789</v>
      </c>
      <c r="I390" s="0" t="n">
        <f aca="false">W_PH(I$2,$A390)</f>
        <v>3105.36999020943</v>
      </c>
      <c r="J390" s="0" t="n">
        <f aca="false">W_PH(J$2,$A390)</f>
        <v>3105.37184782452</v>
      </c>
      <c r="K390" s="0" t="n">
        <f aca="false">W_PH(K$2,$A390)</f>
        <v>3105.37370139746</v>
      </c>
      <c r="L390" s="0" t="n">
        <f aca="false">W_PH(L$2,$A390)</f>
        <v>3105.37555497394</v>
      </c>
      <c r="M390" s="0" t="n">
        <f aca="false">W_PH(M$2,$A390)</f>
        <v>3105.37741259969</v>
      </c>
      <c r="N390" s="0" t="n">
        <f aca="false">W_PH(N$2,$A390)</f>
        <v>3105.379270229</v>
      </c>
      <c r="O390" s="0" t="n">
        <f aca="false">W_PH(O$2,$A390)</f>
        <v>3105.38112381613</v>
      </c>
      <c r="P390" s="0" t="n">
        <f aca="false">W_PH(P$2,$A390)</f>
        <v>3105.39967606673</v>
      </c>
      <c r="Q390" s="0" t="n">
        <f aca="false">W_PH(Q$2,$A390)</f>
        <v>3105.41823676828</v>
      </c>
      <c r="R390" s="0" t="n">
        <f aca="false">W_PH(R$2,$A390)</f>
        <v>3105.43678974052</v>
      </c>
      <c r="S390" s="0" t="n">
        <f aca="false">W_PH(S$2,$A390)</f>
        <v>3105.45534712434</v>
      </c>
      <c r="T390" s="0" t="n">
        <f aca="false">W_PH(T$2,$A390)</f>
        <v>3105.47390487702</v>
      </c>
      <c r="U390" s="0" t="n">
        <f aca="false">W_PH(U$2,$A390)</f>
        <v>3105.4924589555</v>
      </c>
      <c r="V390" s="0" t="n">
        <f aca="false">W_PH(V$2,$A390)</f>
        <v>3105.51101745536</v>
      </c>
      <c r="W390" s="0" t="n">
        <f aca="false">W_PH(W$2,$A390)</f>
        <v>3105.52957633362</v>
      </c>
      <c r="X390" s="0" t="n">
        <f aca="false">W_PH(X$2,$A390)</f>
        <v>3105.54813154696</v>
      </c>
      <c r="Y390" s="0" t="n">
        <f aca="false">W_PH(Y$2,$A390)</f>
        <v>3105.73372154727</v>
      </c>
      <c r="Z390" s="0" t="n">
        <f aca="false">W_PH(Z$2,$A390)</f>
        <v>3105.91934914622</v>
      </c>
      <c r="AA390" s="0" t="n">
        <f aca="false">W_PH(AA$2,$A390)</f>
        <v>3106.10500942326</v>
      </c>
      <c r="AB390" s="0" t="n">
        <f aca="false">W_PH(AB$2,$A390)</f>
        <v>3106.29070555044</v>
      </c>
      <c r="AC390" s="0" t="n">
        <f aca="false">W_PH(AC$2,$A390)</f>
        <v>3106.47644475011</v>
      </c>
      <c r="AD390" s="0" t="n">
        <f aca="false">W_PH(AD$2,$A390)</f>
        <v>3106.66223019594</v>
      </c>
      <c r="AE390" s="0" t="n">
        <f aca="false">W_PH(AE$2,$A390)</f>
        <v>3106.84806100862</v>
      </c>
      <c r="AF390" s="0" t="n">
        <f aca="false">W_PH(AF$2,$A390)</f>
        <v>3107.03393630496</v>
      </c>
      <c r="AG390" s="0" t="n">
        <f aca="false">W_PH(AG$2,$A390)</f>
        <v>3107.21987141477</v>
      </c>
      <c r="AH390" s="0" t="n">
        <f aca="false">W_PH(AH$2,$A390)</f>
        <v>3109.08279598986</v>
      </c>
      <c r="AI390" s="0" t="n">
        <f aca="false">W_PH(AI$2,$A390)</f>
        <v>3110.95437894132</v>
      </c>
      <c r="AJ390" s="0" t="n">
        <f aca="false">W_PH(AJ$2,$A390)</f>
        <v>3112.83764804551</v>
      </c>
      <c r="AK390" s="0" t="n">
        <f aca="false">W_PH(AK$2,$A390)</f>
        <v>3114.73561353636</v>
      </c>
      <c r="AL390" s="0" t="n">
        <f aca="false">W_PH(AL$2,$A390)</f>
        <v>3116.65130513976</v>
      </c>
      <c r="AM390" s="0" t="n">
        <f aca="false">W_PH(AM$2,$A390)</f>
        <v>3118.58773162665</v>
      </c>
      <c r="AN390" s="0" t="n">
        <f aca="false">W_PH(AN$2,$A390)</f>
        <v>3120.54790161249</v>
      </c>
      <c r="AO390" s="0" t="n">
        <f aca="false">W_PH(AO$2,$A390)</f>
        <v>3122.53482817119</v>
      </c>
      <c r="AP390" s="0" t="n">
        <f aca="false">W_PH(AP$2,$A390)</f>
        <v>2015</v>
      </c>
      <c r="AQ390" s="0" t="n">
        <f aca="false">W_PH(AQ$2,$A390)</f>
        <v>2015</v>
      </c>
      <c r="AR390" s="0" t="n">
        <f aca="false">W_PH(AR$2,$A390)</f>
        <v>2015</v>
      </c>
      <c r="AS390" s="0" t="n">
        <f aca="false">W_PH(AS$2,$A390)</f>
        <v>2015</v>
      </c>
    </row>
    <row r="391" customFormat="false" ht="12.8" hidden="false" customHeight="false" outlineLevel="0" collapsed="false">
      <c r="A391" s="0" t="n">
        <v>2368.8736027515</v>
      </c>
      <c r="B391" s="0" t="n">
        <f aca="false">W_PH(B$2,$A391)</f>
        <v>2015</v>
      </c>
      <c r="C391" s="0" t="n">
        <f aca="false">W_PH(C$2,$A391)</f>
        <v>3108.74951498375</v>
      </c>
      <c r="D391" s="0" t="n">
        <f aca="false">W_PH(D$2,$A391)</f>
        <v>3108.7497002465</v>
      </c>
      <c r="E391" s="0" t="n">
        <f aca="false">W_PH(E$2,$A391)</f>
        <v>3108.74988955064</v>
      </c>
      <c r="F391" s="0" t="n">
        <f aca="false">W_PH(F$2,$A391)</f>
        <v>3108.75007481347</v>
      </c>
      <c r="G391" s="0" t="n">
        <f aca="false">W_PH(G$2,$A391)</f>
        <v>3108.75192744362</v>
      </c>
      <c r="H391" s="0" t="n">
        <f aca="false">W_PH(H$2,$A391)</f>
        <v>3108.75378815997</v>
      </c>
      <c r="I391" s="0" t="n">
        <f aca="false">W_PH(I$2,$A391)</f>
        <v>3108.75564887981</v>
      </c>
      <c r="J391" s="0" t="n">
        <f aca="false">W_PH(J$2,$A391)</f>
        <v>3108.75750556178</v>
      </c>
      <c r="K391" s="0" t="n">
        <f aca="false">W_PH(K$2,$A391)</f>
        <v>3108.75936224723</v>
      </c>
      <c r="L391" s="0" t="n">
        <f aca="false">W_PH(L$2,$A391)</f>
        <v>3108.76122297758</v>
      </c>
      <c r="M391" s="0" t="n">
        <f aca="false">W_PH(M$2,$A391)</f>
        <v>3108.76308371143</v>
      </c>
      <c r="N391" s="0" t="n">
        <f aca="false">W_PH(N$2,$A391)</f>
        <v>3108.76494040739</v>
      </c>
      <c r="O391" s="0" t="n">
        <f aca="false">W_PH(O$2,$A391)</f>
        <v>3108.76679710684</v>
      </c>
      <c r="P391" s="0" t="n">
        <f aca="false">W_PH(P$2,$A391)</f>
        <v>3108.78538046067</v>
      </c>
      <c r="Q391" s="0" t="n">
        <f aca="false">W_PH(Q$2,$A391)</f>
        <v>3108.80396821033</v>
      </c>
      <c r="R391" s="0" t="n">
        <f aca="false">W_PH(R$2,$A391)</f>
        <v>3108.82255227588</v>
      </c>
      <c r="S391" s="0" t="n">
        <f aca="false">W_PH(S$2,$A391)</f>
        <v>3108.84114074376</v>
      </c>
      <c r="T391" s="0" t="n">
        <f aca="false">W_PH(T$2,$A391)</f>
        <v>3108.85972553369</v>
      </c>
      <c r="U391" s="0" t="n">
        <f aca="false">W_PH(U$2,$A391)</f>
        <v>3108.8783106905</v>
      </c>
      <c r="V391" s="0" t="n">
        <f aca="false">W_PH(V$2,$A391)</f>
        <v>3108.89689621737</v>
      </c>
      <c r="W391" s="0" t="n">
        <f aca="false">W_PH(W$2,$A391)</f>
        <v>3108.91548211745</v>
      </c>
      <c r="X391" s="0" t="n">
        <f aca="false">W_PH(X$2,$A391)</f>
        <v>3108.93406839391</v>
      </c>
      <c r="Y391" s="0" t="n">
        <f aca="false">W_PH(Y$2,$A391)</f>
        <v>3109.119952555</v>
      </c>
      <c r="Z391" s="0" t="n">
        <f aca="false">W_PH(Z$2,$A391)</f>
        <v>3109.30586974459</v>
      </c>
      <c r="AA391" s="0" t="n">
        <f aca="false">W_PH(AA$2,$A391)</f>
        <v>3109.49182311943</v>
      </c>
      <c r="AB391" s="0" t="n">
        <f aca="false">W_PH(AB$2,$A391)</f>
        <v>3109.67780774466</v>
      </c>
      <c r="AC391" s="0" t="n">
        <f aca="false">W_PH(AC$2,$A391)</f>
        <v>3109.86383486393</v>
      </c>
      <c r="AD391" s="0" t="n">
        <f aca="false">W_PH(AD$2,$A391)</f>
        <v>3110.04990763262</v>
      </c>
      <c r="AE391" s="0" t="n">
        <f aca="false">W_PH(AE$2,$A391)</f>
        <v>3110.23602920569</v>
      </c>
      <c r="AF391" s="0" t="n">
        <f aca="false">W_PH(AF$2,$A391)</f>
        <v>3110.42219463969</v>
      </c>
      <c r="AG391" s="0" t="n">
        <f aca="false">W_PH(AG$2,$A391)</f>
        <v>3110.60841518324</v>
      </c>
      <c r="AH391" s="0" t="n">
        <f aca="false">W_PH(AH$2,$A391)</f>
        <v>3112.47419911826</v>
      </c>
      <c r="AI391" s="0" t="n">
        <f aca="false">W_PH(AI$2,$A391)</f>
        <v>3114.34856104185</v>
      </c>
      <c r="AJ391" s="0" t="n">
        <f aca="false">W_PH(AJ$2,$A391)</f>
        <v>3116.23452313293</v>
      </c>
      <c r="AK391" s="0" t="n">
        <f aca="false">W_PH(AK$2,$A391)</f>
        <v>3118.13508618676</v>
      </c>
      <c r="AL391" s="0" t="n">
        <f aca="false">W_PH(AL$2,$A391)</f>
        <v>3120.05324610434</v>
      </c>
      <c r="AM391" s="0" t="n">
        <f aca="false">W_PH(AM$2,$A391)</f>
        <v>3121.99201063156</v>
      </c>
      <c r="AN391" s="0" t="n">
        <f aca="false">W_PH(AN$2,$A391)</f>
        <v>3123.95436705918</v>
      </c>
      <c r="AO391" s="0" t="n">
        <f aca="false">W_PH(AO$2,$A391)</f>
        <v>3125.94331542787</v>
      </c>
      <c r="AP391" s="0" t="n">
        <f aca="false">W_PH(AP$2,$A391)</f>
        <v>2015</v>
      </c>
      <c r="AQ391" s="0" t="n">
        <f aca="false">W_PH(AQ$2,$A391)</f>
        <v>2015</v>
      </c>
      <c r="AR391" s="0" t="n">
        <f aca="false">W_PH(AR$2,$A391)</f>
        <v>2015</v>
      </c>
      <c r="AS391" s="0" t="n">
        <f aca="false">W_PH(AS$2,$A391)</f>
        <v>2015</v>
      </c>
    </row>
    <row r="392" customFormat="false" ht="12.8" hidden="false" customHeight="false" outlineLevel="0" collapsed="false">
      <c r="A392" s="0" t="n">
        <v>2373.1728288908</v>
      </c>
      <c r="B392" s="0" t="n">
        <f aca="false">W_PH(B$2,$A392)</f>
        <v>2015</v>
      </c>
      <c r="C392" s="0" t="n">
        <f aca="false">W_PH(C$2,$A392)</f>
        <v>3112.12915262847</v>
      </c>
      <c r="D392" s="0" t="n">
        <f aca="false">W_PH(D$2,$A392)</f>
        <v>3112.12933859873</v>
      </c>
      <c r="E392" s="0" t="n">
        <f aca="false">W_PH(E$2,$A392)</f>
        <v>3112.12952456902</v>
      </c>
      <c r="F392" s="0" t="n">
        <f aca="false">W_PH(F$2,$A392)</f>
        <v>3112.12971053934</v>
      </c>
      <c r="G392" s="0" t="n">
        <f aca="false">W_PH(G$2,$A392)</f>
        <v>3112.13157428152</v>
      </c>
      <c r="H392" s="0" t="n">
        <f aca="false">W_PH(H$2,$A392)</f>
        <v>3112.13343399007</v>
      </c>
      <c r="I392" s="0" t="n">
        <f aca="false">W_PH(I$2,$A392)</f>
        <v>3112.13529370206</v>
      </c>
      <c r="J392" s="0" t="n">
        <f aca="false">W_PH(J$2,$A392)</f>
        <v>3112.13715341749</v>
      </c>
      <c r="K392" s="0" t="n">
        <f aca="false">W_PH(K$2,$A392)</f>
        <v>3112.13901717345</v>
      </c>
      <c r="L392" s="0" t="n">
        <f aca="false">W_PH(L$2,$A392)</f>
        <v>3112.14088093288</v>
      </c>
      <c r="M392" s="0" t="n">
        <f aca="false">W_PH(M$2,$A392)</f>
        <v>3112.14274065865</v>
      </c>
      <c r="N392" s="0" t="n">
        <f aca="false">W_PH(N$2,$A392)</f>
        <v>3112.14460038787</v>
      </c>
      <c r="O392" s="0" t="n">
        <f aca="false">W_PH(O$2,$A392)</f>
        <v>3112.14646012054</v>
      </c>
      <c r="P392" s="0" t="n">
        <f aca="false">W_PH(P$2,$A392)</f>
        <v>3112.16507378673</v>
      </c>
      <c r="Q392" s="0" t="n">
        <f aca="false">W_PH(Q$2,$A392)</f>
        <v>3112.18368780232</v>
      </c>
      <c r="R392" s="0" t="n">
        <f aca="false">W_PH(R$2,$A392)</f>
        <v>3112.20230217045</v>
      </c>
      <c r="S392" s="0" t="n">
        <f aca="false">W_PH(S$2,$A392)</f>
        <v>3112.22091689427</v>
      </c>
      <c r="T392" s="0" t="n">
        <f aca="false">W_PH(T$2,$A392)</f>
        <v>3112.23953197691</v>
      </c>
      <c r="U392" s="0" t="n">
        <f aca="false">W_PH(U$2,$A392)</f>
        <v>3112.25814742154</v>
      </c>
      <c r="V392" s="0" t="n">
        <f aca="false">W_PH(V$2,$A392)</f>
        <v>3112.27676323128</v>
      </c>
      <c r="W392" s="0" t="n">
        <f aca="false">W_PH(W$2,$A392)</f>
        <v>3112.29537940928</v>
      </c>
      <c r="X392" s="0" t="n">
        <f aca="false">W_PH(X$2,$A392)</f>
        <v>3112.3139959587</v>
      </c>
      <c r="Y392" s="0" t="n">
        <f aca="false">W_PH(Y$2,$A392)</f>
        <v>3112.50016641715</v>
      </c>
      <c r="Z392" s="0" t="n">
        <f aca="false">W_PH(Z$2,$A392)</f>
        <v>3112.68636938911</v>
      </c>
      <c r="AA392" s="0" t="n">
        <f aca="false">W_PH(AA$2,$A392)</f>
        <v>3112.87260397279</v>
      </c>
      <c r="AB392" s="0" t="n">
        <f aca="false">W_PH(AB$2,$A392)</f>
        <v>3113.05887734511</v>
      </c>
      <c r="AC392" s="0" t="n">
        <f aca="false">W_PH(AC$2,$A392)</f>
        <v>3113.24519264379</v>
      </c>
      <c r="AD392" s="0" t="n">
        <f aca="false">W_PH(AD$2,$A392)</f>
        <v>3113.43155300612</v>
      </c>
      <c r="AE392" s="0" t="n">
        <f aca="false">W_PH(AE$2,$A392)</f>
        <v>3113.6179575252</v>
      </c>
      <c r="AF392" s="0" t="n">
        <f aca="false">W_PH(AF$2,$A392)</f>
        <v>3113.80440529034</v>
      </c>
      <c r="AG392" s="0" t="n">
        <f aca="false">W_PH(AG$2,$A392)</f>
        <v>3113.99091561422</v>
      </c>
      <c r="AH392" s="0" t="n">
        <f aca="false">W_PH(AH$2,$A392)</f>
        <v>3115.85950168597</v>
      </c>
      <c r="AI392" s="0" t="n">
        <f aca="false">W_PH(AI$2,$A392)</f>
        <v>3117.7366067174</v>
      </c>
      <c r="AJ392" s="0" t="n">
        <f aca="false">W_PH(AJ$2,$A392)</f>
        <v>3119.62522718669</v>
      </c>
      <c r="AK392" s="0" t="n">
        <f aca="false">W_PH(AK$2,$A392)</f>
        <v>3121.52834642251</v>
      </c>
      <c r="AL392" s="0" t="n">
        <f aca="false">W_PH(AL$2,$A392)</f>
        <v>3123.44895115275</v>
      </c>
      <c r="AM392" s="0" t="n">
        <f aca="false">W_PH(AM$2,$A392)</f>
        <v>3125.39001554581</v>
      </c>
      <c r="AN392" s="0" t="n">
        <f aca="false">W_PH(AN$2,$A392)</f>
        <v>3127.35452613203</v>
      </c>
      <c r="AO392" s="0" t="n">
        <f aca="false">W_PH(AO$2,$A392)</f>
        <v>3129.34545363486</v>
      </c>
      <c r="AP392" s="0" t="n">
        <f aca="false">W_PH(AP$2,$A392)</f>
        <v>2015</v>
      </c>
      <c r="AQ392" s="0" t="n">
        <f aca="false">W_PH(AQ$2,$A392)</f>
        <v>2015</v>
      </c>
      <c r="AR392" s="0" t="n">
        <f aca="false">W_PH(AR$2,$A392)</f>
        <v>2015</v>
      </c>
      <c r="AS392" s="0" t="n">
        <f aca="false">W_PH(AS$2,$A392)</f>
        <v>2015</v>
      </c>
    </row>
    <row r="393" customFormat="false" ht="12.8" hidden="false" customHeight="false" outlineLevel="0" collapsed="false">
      <c r="A393" s="0" t="n">
        <v>2377.47205503009</v>
      </c>
      <c r="B393" s="0" t="n">
        <f aca="false">W_PH(B$2,$A393)</f>
        <v>2015</v>
      </c>
      <c r="C393" s="0" t="n">
        <f aca="false">W_PH(C$2,$A393)</f>
        <v>3115.50281434624</v>
      </c>
      <c r="D393" s="0" t="n">
        <f aca="false">W_PH(D$2,$A393)</f>
        <v>3115.50300101533</v>
      </c>
      <c r="E393" s="0" t="n">
        <f aca="false">W_PH(E$2,$A393)</f>
        <v>3115.50318768446</v>
      </c>
      <c r="F393" s="0" t="n">
        <f aca="false">W_PH(F$2,$A393)</f>
        <v>3115.50337435362</v>
      </c>
      <c r="G393" s="0" t="n">
        <f aca="false">W_PH(G$2,$A393)</f>
        <v>3115.5052370143</v>
      </c>
      <c r="H393" s="0" t="n">
        <f aca="false">W_PH(H$2,$A393)</f>
        <v>3115.50709967836</v>
      </c>
      <c r="I393" s="0" t="n">
        <f aca="false">W_PH(I$2,$A393)</f>
        <v>3115.50896637862</v>
      </c>
      <c r="J393" s="0" t="n">
        <f aca="false">W_PH(J$2,$A393)</f>
        <v>3115.51083308229</v>
      </c>
      <c r="K393" s="0" t="n">
        <f aca="false">W_PH(K$2,$A393)</f>
        <v>3115.51269172371</v>
      </c>
      <c r="L393" s="0" t="n">
        <f aca="false">W_PH(L$2,$A393)</f>
        <v>3115.51455843418</v>
      </c>
      <c r="M393" s="0" t="n">
        <f aca="false">W_PH(M$2,$A393)</f>
        <v>3115.51642514807</v>
      </c>
      <c r="N393" s="0" t="n">
        <f aca="false">W_PH(N$2,$A393)</f>
        <v>3115.51828379967</v>
      </c>
      <c r="O393" s="0" t="n">
        <f aca="false">W_PH(O$2,$A393)</f>
        <v>3115.52015052038</v>
      </c>
      <c r="P393" s="0" t="n">
        <f aca="false">W_PH(P$2,$A393)</f>
        <v>3115.53879371872</v>
      </c>
      <c r="Q393" s="0" t="n">
        <f aca="false">W_PH(Q$2,$A393)</f>
        <v>3115.55743726167</v>
      </c>
      <c r="R393" s="0" t="n">
        <f aca="false">W_PH(R$2,$A393)</f>
        <v>3115.57607711926</v>
      </c>
      <c r="S393" s="0" t="n">
        <f aca="false">W_PH(S$2,$A393)</f>
        <v>3115.59471732756</v>
      </c>
      <c r="T393" s="0" t="n">
        <f aca="false">W_PH(T$2,$A393)</f>
        <v>3115.61336192297</v>
      </c>
      <c r="U393" s="0" t="n">
        <f aca="false">W_PH(U$2,$A393)</f>
        <v>3115.63200687551</v>
      </c>
      <c r="V393" s="0" t="n">
        <f aca="false">W_PH(V$2,$A393)</f>
        <v>3115.65064815485</v>
      </c>
      <c r="W393" s="0" t="n">
        <f aca="false">W_PH(W$2,$A393)</f>
        <v>3115.66928979741</v>
      </c>
      <c r="X393" s="0" t="n">
        <f aca="false">W_PH(X$2,$A393)</f>
        <v>3115.68793583992</v>
      </c>
      <c r="Y393" s="0" t="n">
        <f aca="false">W_PH(Y$2,$A393)</f>
        <v>3115.87439290393</v>
      </c>
      <c r="Z393" s="0" t="n">
        <f aca="false">W_PH(Z$2,$A393)</f>
        <v>3116.0608739061</v>
      </c>
      <c r="AA393" s="0" t="n">
        <f aca="false">W_PH(AA$2,$A393)</f>
        <v>3116.24739810647</v>
      </c>
      <c r="AB393" s="0" t="n">
        <f aca="false">W_PH(AB$2,$A393)</f>
        <v>3116.43395248252</v>
      </c>
      <c r="AC393" s="0" t="n">
        <f aca="false">W_PH(AC$2,$A393)</f>
        <v>3116.62054822454</v>
      </c>
      <c r="AD393" s="0" t="n">
        <f aca="false">W_PH(AD$2,$A393)</f>
        <v>3116.80718845187</v>
      </c>
      <c r="AE393" s="0" t="n">
        <f aca="false">W_PH(AE$2,$A393)</f>
        <v>3116.99387628344</v>
      </c>
      <c r="AF393" s="0" t="n">
        <f aca="false">W_PH(AF$2,$A393)</f>
        <v>3117.18060675724</v>
      </c>
      <c r="AG393" s="0" t="n">
        <f aca="false">W_PH(AG$2,$A393)</f>
        <v>3117.36739106851</v>
      </c>
      <c r="AH393" s="0" t="n">
        <f aca="false">W_PH(AH$2,$A393)</f>
        <v>3119.2387513353</v>
      </c>
      <c r="AI393" s="0" t="n">
        <f aca="false">W_PH(AI$2,$A393)</f>
        <v>3121.11856046341</v>
      </c>
      <c r="AJ393" s="0" t="n">
        <f aca="false">W_PH(AJ$2,$A393)</f>
        <v>3123.00980151964</v>
      </c>
      <c r="AK393" s="0" t="n">
        <f aca="false">W_PH(AK$2,$A393)</f>
        <v>3124.91543643879</v>
      </c>
      <c r="AL393" s="0" t="n">
        <f aca="false">W_PH(AL$2,$A393)</f>
        <v>3126.83843879544</v>
      </c>
      <c r="AM393" s="0" t="n">
        <f aca="false">W_PH(AM$2,$A393)</f>
        <v>3128.78177384815</v>
      </c>
      <c r="AN393" s="0" t="n">
        <f aca="false">W_PH(AN$2,$A393)</f>
        <v>3130.74840298026</v>
      </c>
      <c r="AO393" s="0" t="n">
        <f aca="false">W_PH(AO$2,$A393)</f>
        <v>3132.74128413483</v>
      </c>
      <c r="AP393" s="0" t="n">
        <f aca="false">W_PH(AP$2,$A393)</f>
        <v>2015</v>
      </c>
      <c r="AQ393" s="0" t="n">
        <f aca="false">W_PH(AQ$2,$A393)</f>
        <v>2015</v>
      </c>
      <c r="AR393" s="0" t="n">
        <f aca="false">W_PH(AR$2,$A393)</f>
        <v>2015</v>
      </c>
      <c r="AS393" s="0" t="n">
        <f aca="false">W_PH(AS$2,$A393)</f>
        <v>2015</v>
      </c>
    </row>
    <row r="394" customFormat="false" ht="12.8" hidden="false" customHeight="false" outlineLevel="0" collapsed="false">
      <c r="A394" s="0" t="n">
        <v>2381.77128116939</v>
      </c>
      <c r="B394" s="0" t="n">
        <f aca="false">W_PH(B$2,$A394)</f>
        <v>2015</v>
      </c>
      <c r="C394" s="0" t="n">
        <f aca="false">W_PH(C$2,$A394)</f>
        <v>3118.87053753785</v>
      </c>
      <c r="D394" s="0" t="n">
        <f aca="false">W_PH(D$2,$A394)</f>
        <v>3118.8707208687</v>
      </c>
      <c r="E394" s="0" t="n">
        <f aca="false">W_PH(E$2,$A394)</f>
        <v>3118.87090822811</v>
      </c>
      <c r="F394" s="0" t="n">
        <f aca="false">W_PH(F$2,$A394)</f>
        <v>3118.87109155903</v>
      </c>
      <c r="G394" s="0" t="n">
        <f aca="false">W_PH(G$2,$A394)</f>
        <v>3118.8729611268</v>
      </c>
      <c r="H394" s="0" t="n">
        <f aca="false">W_PH(H$2,$A394)</f>
        <v>3118.87483069792</v>
      </c>
      <c r="I394" s="0" t="n">
        <f aca="false">W_PH(I$2,$A394)</f>
        <v>3118.87669624385</v>
      </c>
      <c r="J394" s="0" t="n">
        <f aca="false">W_PH(J$2,$A394)</f>
        <v>3118.87856179311</v>
      </c>
      <c r="K394" s="0" t="n">
        <f aca="false">W_PH(K$2,$A394)</f>
        <v>3118.88042734573</v>
      </c>
      <c r="L394" s="0" t="n">
        <f aca="false">W_PH(L$2,$A394)</f>
        <v>3118.88229693027</v>
      </c>
      <c r="M394" s="0" t="n">
        <f aca="false">W_PH(M$2,$A394)</f>
        <v>3118.88416651818</v>
      </c>
      <c r="N394" s="0" t="n">
        <f aca="false">W_PH(N$2,$A394)</f>
        <v>3118.88603208086</v>
      </c>
      <c r="O394" s="0" t="n">
        <f aca="false">W_PH(O$2,$A394)</f>
        <v>3118.88789764691</v>
      </c>
      <c r="P394" s="0" t="n">
        <f aca="false">W_PH(P$2,$A394)</f>
        <v>3118.90656960748</v>
      </c>
      <c r="Q394" s="0" t="n">
        <f aca="false">W_PH(Q$2,$A394)</f>
        <v>3118.92523385042</v>
      </c>
      <c r="R394" s="0" t="n">
        <f aca="false">W_PH(R$2,$A394)</f>
        <v>3118.94390649375</v>
      </c>
      <c r="S394" s="0" t="n">
        <f aca="false">W_PH(S$2,$A394)</f>
        <v>3118.96257948321</v>
      </c>
      <c r="T394" s="0" t="n">
        <f aca="false">W_PH(T$2,$A394)</f>
        <v>3118.98124879288</v>
      </c>
      <c r="U394" s="0" t="n">
        <f aca="false">W_PH(U$2,$A394)</f>
        <v>3118.99991845473</v>
      </c>
      <c r="V394" s="0" t="n">
        <f aca="false">W_PH(V$2,$A394)</f>
        <v>3119.01859250105</v>
      </c>
      <c r="W394" s="0" t="n">
        <f aca="false">W_PH(W$2,$A394)</f>
        <v>3119.03726287666</v>
      </c>
      <c r="X394" s="0" t="n">
        <f aca="false">W_PH(X$2,$A394)</f>
        <v>3119.05593361378</v>
      </c>
      <c r="Y394" s="0" t="n">
        <f aca="false">W_PH(Y$2,$A394)</f>
        <v>3119.24266961177</v>
      </c>
      <c r="Z394" s="0" t="n">
        <f aca="false">W_PH(Z$2,$A394)</f>
        <v>3119.42943308933</v>
      </c>
      <c r="AA394" s="0" t="n">
        <f aca="false">W_PH(AA$2,$A394)</f>
        <v>3119.6162311786</v>
      </c>
      <c r="AB394" s="0" t="n">
        <f aca="false">W_PH(AB$2,$A394)</f>
        <v>3119.80306698196</v>
      </c>
      <c r="AC394" s="0" t="n">
        <f aca="false">W_PH(AC$2,$A394)</f>
        <v>3119.98994360138</v>
      </c>
      <c r="AD394" s="0" t="n">
        <f aca="false">W_PH(AD$2,$A394)</f>
        <v>3120.17686010413</v>
      </c>
      <c r="AE394" s="0" t="n">
        <f aca="false">W_PH(AE$2,$A394)</f>
        <v>3120.36381958887</v>
      </c>
      <c r="AF394" s="0" t="n">
        <f aca="false">W_PH(AF$2,$A394)</f>
        <v>3120.55082918978</v>
      </c>
      <c r="AG394" s="0" t="n">
        <f aca="false">W_PH(AG$2,$A394)</f>
        <v>3120.73788797042</v>
      </c>
      <c r="AH394" s="0" t="n">
        <f aca="false">W_PH(AH$2,$A394)</f>
        <v>3122.61197919748</v>
      </c>
      <c r="AI394" s="0" t="n">
        <f aca="false">W_PH(AI$2,$A394)</f>
        <v>3124.49445023459</v>
      </c>
      <c r="AJ394" s="0" t="n">
        <f aca="false">W_PH(AJ$2,$A394)</f>
        <v>3126.38827087571</v>
      </c>
      <c r="AK394" s="0" t="n">
        <f aca="false">W_PH(AK$2,$A394)</f>
        <v>3128.29638995352</v>
      </c>
      <c r="AL394" s="0" t="n">
        <f aca="false">W_PH(AL$2,$A394)</f>
        <v>3130.22175991622</v>
      </c>
      <c r="AM394" s="0" t="n">
        <f aca="false">W_PH(AM$2,$A394)</f>
        <v>3132.1673290644</v>
      </c>
      <c r="AN394" s="0" t="n">
        <f aca="false">W_PH(AN$2,$A394)</f>
        <v>3134.13605011176</v>
      </c>
      <c r="AO394" s="0" t="n">
        <f aca="false">W_PH(AO$2,$A394)</f>
        <v>3136.13084789735</v>
      </c>
      <c r="AP394" s="0" t="n">
        <f aca="false">W_PH(AP$2,$A394)</f>
        <v>2015</v>
      </c>
      <c r="AQ394" s="0" t="n">
        <f aca="false">W_PH(AQ$2,$A394)</f>
        <v>2015</v>
      </c>
      <c r="AR394" s="0" t="n">
        <f aca="false">W_PH(AR$2,$A394)</f>
        <v>2015</v>
      </c>
      <c r="AS394" s="0" t="n">
        <f aca="false">W_PH(AS$2,$A394)</f>
        <v>2015</v>
      </c>
    </row>
    <row r="395" customFormat="false" ht="12.8" hidden="false" customHeight="false" outlineLevel="0" collapsed="false">
      <c r="A395" s="0" t="n">
        <v>2386.07050730868</v>
      </c>
      <c r="B395" s="0" t="n">
        <f aca="false">W_PH(B$2,$A395)</f>
        <v>2015</v>
      </c>
      <c r="C395" s="0" t="n">
        <f aca="false">W_PH(C$2,$A395)</f>
        <v>3122.23234726919</v>
      </c>
      <c r="D395" s="0" t="n">
        <f aca="false">W_PH(D$2,$A395)</f>
        <v>3122.23253531041</v>
      </c>
      <c r="E395" s="0" t="n">
        <f aca="false">W_PH(E$2,$A395)</f>
        <v>3122.23272335167</v>
      </c>
      <c r="F395" s="0" t="n">
        <f aca="false">W_PH(F$2,$A395)</f>
        <v>3122.23291139296</v>
      </c>
      <c r="G395" s="0" t="n">
        <f aca="false">W_PH(G$2,$A395)</f>
        <v>3122.23477571048</v>
      </c>
      <c r="H395" s="0" t="n">
        <f aca="false">W_PH(H$2,$A395)</f>
        <v>3122.2366480799</v>
      </c>
      <c r="I395" s="0" t="n">
        <f aca="false">W_PH(I$2,$A395)</f>
        <v>3122.23852045262</v>
      </c>
      <c r="J395" s="0" t="n">
        <f aca="false">W_PH(J$2,$A395)</f>
        <v>3122.24038478001</v>
      </c>
      <c r="K395" s="0" t="n">
        <f aca="false">W_PH(K$2,$A395)</f>
        <v>3122.24225715935</v>
      </c>
      <c r="L395" s="0" t="n">
        <f aca="false">W_PH(L$2,$A395)</f>
        <v>3122.24412954201</v>
      </c>
      <c r="M395" s="0" t="n">
        <f aca="false">W_PH(M$2,$A395)</f>
        <v>3122.24599387929</v>
      </c>
      <c r="N395" s="0" t="n">
        <f aca="false">W_PH(N$2,$A395)</f>
        <v>3122.24786626858</v>
      </c>
      <c r="O395" s="0" t="n">
        <f aca="false">W_PH(O$2,$A395)</f>
        <v>3122.2497386612</v>
      </c>
      <c r="P395" s="0" t="n">
        <f aca="false">W_PH(P$2,$A395)</f>
        <v>3122.26843057553</v>
      </c>
      <c r="Q395" s="0" t="n">
        <f aca="false">W_PH(Q$2,$A395)</f>
        <v>3122.28713087385</v>
      </c>
      <c r="R395" s="0" t="n">
        <f aca="false">W_PH(R$2,$A395)</f>
        <v>3122.30583151053</v>
      </c>
      <c r="S395" s="0" t="n">
        <f aca="false">W_PH(S$2,$A395)</f>
        <v>3122.32452443925</v>
      </c>
      <c r="T395" s="0" t="n">
        <f aca="false">W_PH(T$2,$A395)</f>
        <v>3122.34322576173</v>
      </c>
      <c r="U395" s="0" t="n">
        <f aca="false">W_PH(U$2,$A395)</f>
        <v>3122.36192340698</v>
      </c>
      <c r="V395" s="0" t="n">
        <f aca="false">W_PH(V$2,$A395)</f>
        <v>3122.38062140277</v>
      </c>
      <c r="W395" s="0" t="n">
        <f aca="false">W_PH(W$2,$A395)</f>
        <v>3122.39932377722</v>
      </c>
      <c r="X395" s="0" t="n">
        <f aca="false">W_PH(X$2,$A395)</f>
        <v>3122.41801845837</v>
      </c>
      <c r="Y395" s="0" t="n">
        <f aca="false">W_PH(Y$2,$A395)</f>
        <v>3122.60503387191</v>
      </c>
      <c r="Z395" s="0" t="n">
        <f aca="false">W_PH(Z$2,$A395)</f>
        <v>3122.79207225426</v>
      </c>
      <c r="AA395" s="0" t="n">
        <f aca="false">W_PH(AA$2,$A395)</f>
        <v>3122.97914474074</v>
      </c>
      <c r="AB395" s="0" t="n">
        <f aca="false">W_PH(AB$2,$A395)</f>
        <v>3123.16625441606</v>
      </c>
      <c r="AC395" s="0" t="n">
        <f aca="false">W_PH(AC$2,$A395)</f>
        <v>3123.35340033538</v>
      </c>
      <c r="AD395" s="0" t="n">
        <f aca="false">W_PH(AD$2,$A395)</f>
        <v>3123.54058961012</v>
      </c>
      <c r="AE395" s="0" t="n">
        <f aca="false">W_PH(AE$2,$A395)</f>
        <v>3123.72782532378</v>
      </c>
      <c r="AF395" s="0" t="n">
        <f aca="false">W_PH(AF$2,$A395)</f>
        <v>3123.91511055946</v>
      </c>
      <c r="AG395" s="0" t="n">
        <f aca="false">W_PH(AG$2,$A395)</f>
        <v>3124.10244033504</v>
      </c>
      <c r="AH395" s="0" t="n">
        <f aca="false">W_PH(AH$2,$A395)</f>
        <v>3125.97921614713</v>
      </c>
      <c r="AI395" s="0" t="n">
        <f aca="false">W_PH(AI$2,$A395)</f>
        <v>3127.86431992683</v>
      </c>
      <c r="AJ395" s="0" t="n">
        <f aca="false">W_PH(AJ$2,$A395)</f>
        <v>3129.76068408922</v>
      </c>
      <c r="AK395" s="0" t="n">
        <f aca="false">W_PH(AK$2,$A395)</f>
        <v>3131.67124851515</v>
      </c>
      <c r="AL395" s="0" t="n">
        <f aca="false">W_PH(AL$2,$A395)</f>
        <v>3133.59894872484</v>
      </c>
      <c r="AM395" s="0" t="n">
        <f aca="false">W_PH(AM$2,$A395)</f>
        <v>3135.54671619973</v>
      </c>
      <c r="AN395" s="0" t="n">
        <f aca="false">W_PH(AN$2,$A395)</f>
        <v>3137.51748692798</v>
      </c>
      <c r="AO395" s="0" t="n">
        <f aca="false">W_PH(AO$2,$A395)</f>
        <v>3139.5141855243</v>
      </c>
      <c r="AP395" s="0" t="n">
        <f aca="false">W_PH(AP$2,$A395)</f>
        <v>2015</v>
      </c>
      <c r="AQ395" s="0" t="n">
        <f aca="false">W_PH(AQ$2,$A395)</f>
        <v>2015</v>
      </c>
      <c r="AR395" s="0" t="n">
        <f aca="false">W_PH(AR$2,$A395)</f>
        <v>2015</v>
      </c>
      <c r="AS395" s="0" t="n">
        <f aca="false">W_PH(AS$2,$A395)</f>
        <v>2015</v>
      </c>
    </row>
    <row r="396" customFormat="false" ht="12.8" hidden="false" customHeight="false" outlineLevel="0" collapsed="false">
      <c r="A396" s="0" t="n">
        <v>2390.36973344798</v>
      </c>
      <c r="B396" s="0" t="n">
        <f aca="false">W_PH(B$2,$A396)</f>
        <v>2015</v>
      </c>
      <c r="C396" s="0" t="n">
        <f aca="false">W_PH(C$2,$A396)</f>
        <v>3125.58828849832</v>
      </c>
      <c r="D396" s="0" t="n">
        <f aca="false">W_PH(D$2,$A396)</f>
        <v>3125.58847319297</v>
      </c>
      <c r="E396" s="0" t="n">
        <f aca="false">W_PH(E$2,$A396)</f>
        <v>3125.58865788766</v>
      </c>
      <c r="F396" s="0" t="n">
        <f aca="false">W_PH(F$2,$A396)</f>
        <v>3125.58884660245</v>
      </c>
      <c r="G396" s="0" t="n">
        <f aca="false">W_PH(G$2,$A396)</f>
        <v>3125.59071767188</v>
      </c>
      <c r="H396" s="0" t="n">
        <f aca="false">W_PH(H$2,$A396)</f>
        <v>3125.59259276465</v>
      </c>
      <c r="I396" s="0" t="n">
        <f aca="false">W_PH(I$2,$A396)</f>
        <v>3125.59446786068</v>
      </c>
      <c r="J396" s="0" t="n">
        <f aca="false">W_PH(J$2,$A396)</f>
        <v>3125.59633893987</v>
      </c>
      <c r="K396" s="0" t="n">
        <f aca="false">W_PH(K$2,$A396)</f>
        <v>3125.59821002231</v>
      </c>
      <c r="L396" s="0" t="n">
        <f aca="false">W_PH(L$2,$A396)</f>
        <v>3125.60008110801</v>
      </c>
      <c r="M396" s="0" t="n">
        <f aca="false">W_PH(M$2,$A396)</f>
        <v>3125.60195219697</v>
      </c>
      <c r="N396" s="0" t="n">
        <f aca="false">W_PH(N$2,$A396)</f>
        <v>3125.60382730933</v>
      </c>
      <c r="O396" s="0" t="n">
        <f aca="false">W_PH(O$2,$A396)</f>
        <v>3125.60570242498</v>
      </c>
      <c r="P396" s="0" t="n">
        <f aca="false">W_PH(P$2,$A396)</f>
        <v>3125.62442160083</v>
      </c>
      <c r="Q396" s="0" t="n">
        <f aca="false">W_PH(Q$2,$A396)</f>
        <v>3125.64314914765</v>
      </c>
      <c r="R396" s="0" t="n">
        <f aca="false">W_PH(R$2,$A396)</f>
        <v>3125.66187702822</v>
      </c>
      <c r="S396" s="0" t="n">
        <f aca="false">W_PH(S$2,$A396)</f>
        <v>3125.68059720465</v>
      </c>
      <c r="T396" s="0" t="n">
        <f aca="false">W_PH(T$2,$A396)</f>
        <v>3125.69932576176</v>
      </c>
      <c r="U396" s="0" t="n">
        <f aca="false">W_PH(U$2,$A396)</f>
        <v>3125.71805064119</v>
      </c>
      <c r="V396" s="0" t="n">
        <f aca="false">W_PH(V$2,$A396)</f>
        <v>3125.7367758665</v>
      </c>
      <c r="W396" s="0" t="n">
        <f aca="false">W_PH(W$2,$A396)</f>
        <v>3125.75550546156</v>
      </c>
      <c r="X396" s="0" t="n">
        <f aca="false">W_PH(X$2,$A396)</f>
        <v>3125.77422736704</v>
      </c>
      <c r="Y396" s="0" t="n">
        <f aca="false">W_PH(Y$2,$A396)</f>
        <v>3125.96151068868</v>
      </c>
      <c r="Z396" s="0" t="n">
        <f aca="false">W_PH(Z$2,$A396)</f>
        <v>3126.14882454912</v>
      </c>
      <c r="AA396" s="0" t="n">
        <f aca="false">W_PH(AA$2,$A396)</f>
        <v>3126.33616799266</v>
      </c>
      <c r="AB396" s="0" t="n">
        <f aca="false">W_PH(AB$2,$A396)</f>
        <v>3126.52354408408</v>
      </c>
      <c r="AC396" s="0" t="n">
        <f aca="false">W_PH(AC$2,$A396)</f>
        <v>3126.71095991268</v>
      </c>
      <c r="AD396" s="0" t="n">
        <f aca="false">W_PH(AD$2,$A396)</f>
        <v>3126.89842257055</v>
      </c>
      <c r="AE396" s="0" t="n">
        <f aca="false">W_PH(AE$2,$A396)</f>
        <v>3127.08592304663</v>
      </c>
      <c r="AF396" s="0" t="n">
        <f aca="false">W_PH(AF$2,$A396)</f>
        <v>3127.27347648362</v>
      </c>
      <c r="AG396" s="0" t="n">
        <f aca="false">W_PH(AG$2,$A396)</f>
        <v>3127.46107789296</v>
      </c>
      <c r="AH396" s="0" t="n">
        <f aca="false">W_PH(AH$2,$A396)</f>
        <v>3129.34050894983</v>
      </c>
      <c r="AI396" s="0" t="n">
        <f aca="false">W_PH(AI$2,$A396)</f>
        <v>3131.22819693939</v>
      </c>
      <c r="AJ396" s="0" t="n">
        <f aca="false">W_PH(AJ$2,$A396)</f>
        <v>3133.12706533036</v>
      </c>
      <c r="AK396" s="0" t="n">
        <f aca="false">W_PH(AK$2,$A396)</f>
        <v>3135.04003710365</v>
      </c>
      <c r="AL396" s="0" t="n">
        <f aca="false">W_PH(AL$2,$A396)</f>
        <v>3136.97003912492</v>
      </c>
      <c r="AM396" s="0" t="n">
        <f aca="false">W_PH(AM$2,$A396)</f>
        <v>3138.91997808932</v>
      </c>
      <c r="AN396" s="0" t="n">
        <f aca="false">W_PH(AN$2,$A396)</f>
        <v>3140.89276523066</v>
      </c>
      <c r="AO396" s="0" t="n">
        <f aca="false">W_PH(AO$2,$A396)</f>
        <v>3142.89132090089</v>
      </c>
      <c r="AP396" s="0" t="n">
        <f aca="false">W_PH(AP$2,$A396)</f>
        <v>2015</v>
      </c>
      <c r="AQ396" s="0" t="n">
        <f aca="false">W_PH(AQ$2,$A396)</f>
        <v>2015</v>
      </c>
      <c r="AR396" s="0" t="n">
        <f aca="false">W_PH(AR$2,$A396)</f>
        <v>2015</v>
      </c>
      <c r="AS396" s="0" t="n">
        <f aca="false">W_PH(AS$2,$A396)</f>
        <v>2015</v>
      </c>
    </row>
    <row r="397" customFormat="false" ht="12.8" hidden="false" customHeight="false" outlineLevel="0" collapsed="false">
      <c r="A397" s="0" t="n">
        <v>2394.66895958727</v>
      </c>
      <c r="B397" s="0" t="n">
        <f aca="false">W_PH(B$2,$A397)</f>
        <v>2015</v>
      </c>
      <c r="C397" s="0" t="n">
        <f aca="false">W_PH(C$2,$A397)</f>
        <v>3128.93838179853</v>
      </c>
      <c r="D397" s="0" t="n">
        <f aca="false">W_PH(D$2,$A397)</f>
        <v>3128.93857117854</v>
      </c>
      <c r="E397" s="0" t="n">
        <f aca="false">W_PH(E$2,$A397)</f>
        <v>3128.93876055858</v>
      </c>
      <c r="F397" s="0" t="n">
        <f aca="false">W_PH(F$2,$A397)</f>
        <v>3128.93894993865</v>
      </c>
      <c r="G397" s="0" t="n">
        <f aca="false">W_PH(G$2,$A397)</f>
        <v>3128.94081964583</v>
      </c>
      <c r="H397" s="0" t="n">
        <f aca="false">W_PH(H$2,$A397)</f>
        <v>3128.942697388</v>
      </c>
      <c r="I397" s="0" t="n">
        <f aca="false">W_PH(I$2,$A397)</f>
        <v>3128.94457513338</v>
      </c>
      <c r="J397" s="0" t="n">
        <f aca="false">W_PH(J$2,$A397)</f>
        <v>3128.94644485016</v>
      </c>
      <c r="K397" s="0" t="n">
        <f aca="false">W_PH(K$2,$A397)</f>
        <v>3128.94832260198</v>
      </c>
      <c r="L397" s="0" t="n">
        <f aca="false">W_PH(L$2,$A397)</f>
        <v>3128.95020035702</v>
      </c>
      <c r="M397" s="0" t="n">
        <f aca="false">W_PH(M$2,$A397)</f>
        <v>3128.95207008342</v>
      </c>
      <c r="N397" s="0" t="n">
        <f aca="false">W_PH(N$2,$A397)</f>
        <v>3128.95394784491</v>
      </c>
      <c r="O397" s="0" t="n">
        <f aca="false">W_PH(O$2,$A397)</f>
        <v>3128.95582560964</v>
      </c>
      <c r="P397" s="0" t="n">
        <f aca="false">W_PH(P$2,$A397)</f>
        <v>3128.97457130741</v>
      </c>
      <c r="Q397" s="0" t="n">
        <f aca="false">W_PH(Q$2,$A397)</f>
        <v>3128.99332536322</v>
      </c>
      <c r="R397" s="0" t="n">
        <f aca="false">W_PH(R$2,$A397)</f>
        <v>3129.01207974823</v>
      </c>
      <c r="S397" s="0" t="n">
        <f aca="false">W_PH(S$2,$A397)</f>
        <v>3129.03082643296</v>
      </c>
      <c r="T397" s="0" t="n">
        <f aca="false">W_PH(T$2,$A397)</f>
        <v>3129.04958148537</v>
      </c>
      <c r="U397" s="0" t="n">
        <f aca="false">W_PH(U$2,$A397)</f>
        <v>3129.06833687615</v>
      </c>
      <c r="V397" s="0" t="n">
        <f aca="false">W_PH(V$2,$A397)</f>
        <v>3129.08708457534</v>
      </c>
      <c r="W397" s="0" t="n">
        <f aca="false">W_PH(W$2,$A397)</f>
        <v>3129.10584065186</v>
      </c>
      <c r="X397" s="0" t="n">
        <f aca="false">W_PH(X$2,$A397)</f>
        <v>3129.12459707591</v>
      </c>
      <c r="Y397" s="0" t="n">
        <f aca="false">W_PH(Y$2,$A397)</f>
        <v>3129.31214092828</v>
      </c>
      <c r="Z397" s="0" t="n">
        <f aca="false">W_PH(Z$2,$A397)</f>
        <v>3129.49972287888</v>
      </c>
      <c r="AA397" s="0" t="n">
        <f aca="false">W_PH(AA$2,$A397)</f>
        <v>3129.68732990648</v>
      </c>
      <c r="AB397" s="0" t="n">
        <f aca="false">W_PH(AB$2,$A397)</f>
        <v>3129.87497309584</v>
      </c>
      <c r="AC397" s="0" t="n">
        <f aca="false">W_PH(AC$2,$A397)</f>
        <v>3130.06265951705</v>
      </c>
      <c r="AD397" s="0" t="n">
        <f aca="false">W_PH(AD$2,$A397)</f>
        <v>3130.25038417869</v>
      </c>
      <c r="AE397" s="0" t="n">
        <f aca="false">W_PH(AE$2,$A397)</f>
        <v>3130.43815012705</v>
      </c>
      <c r="AF397" s="0" t="n">
        <f aca="false">W_PH(AF$2,$A397)</f>
        <v>3130.62596845411</v>
      </c>
      <c r="AG397" s="0" t="n">
        <f aca="false">W_PH(AG$2,$A397)</f>
        <v>3130.81383416253</v>
      </c>
      <c r="AH397" s="0" t="n">
        <f aca="false">W_PH(AH$2,$A397)</f>
        <v>3132.69587986113</v>
      </c>
      <c r="AI397" s="0" t="n">
        <f aca="false">W_PH(AI$2,$A397)</f>
        <v>3134.58611246574</v>
      </c>
      <c r="AJ397" s="0" t="n">
        <f aca="false">W_PH(AJ$2,$A397)</f>
        <v>3136.48745471823</v>
      </c>
      <c r="AK397" s="0" t="n">
        <f aca="false">W_PH(AK$2,$A397)</f>
        <v>3138.40280477563</v>
      </c>
      <c r="AL397" s="0" t="n">
        <f aca="false">W_PH(AL$2,$A397)</f>
        <v>3140.33506471818</v>
      </c>
      <c r="AM397" s="0" t="n">
        <f aca="false">W_PH(AM$2,$A397)</f>
        <v>3142.28713279846</v>
      </c>
      <c r="AN397" s="0" t="n">
        <f aca="false">W_PH(AN$2,$A397)</f>
        <v>3144.26192011039</v>
      </c>
      <c r="AO397" s="0" t="n">
        <f aca="false">W_PH(AO$2,$A397)</f>
        <v>3146.26230213599</v>
      </c>
      <c r="AP397" s="0" t="n">
        <f aca="false">W_PH(AP$2,$A397)</f>
        <v>2015</v>
      </c>
      <c r="AQ397" s="0" t="n">
        <f aca="false">W_PH(AQ$2,$A397)</f>
        <v>2015</v>
      </c>
      <c r="AR397" s="0" t="n">
        <f aca="false">W_PH(AR$2,$A397)</f>
        <v>2015</v>
      </c>
      <c r="AS397" s="0" t="n">
        <f aca="false">W_PH(AS$2,$A397)</f>
        <v>2015</v>
      </c>
    </row>
    <row r="398" customFormat="false" ht="12.8" hidden="false" customHeight="false" outlineLevel="0" collapsed="false">
      <c r="A398" s="0" t="n">
        <v>2398.96818572657</v>
      </c>
      <c r="B398" s="0" t="n">
        <f aca="false">W_PH(B$2,$A398)</f>
        <v>2015</v>
      </c>
      <c r="C398" s="0" t="n">
        <f aca="false">W_PH(C$2,$A398)</f>
        <v>3132.28267162763</v>
      </c>
      <c r="D398" s="0" t="n">
        <f aca="false">W_PH(D$2,$A398)</f>
        <v>3132.28286166479</v>
      </c>
      <c r="E398" s="0" t="n">
        <f aca="false">W_PH(E$2,$A398)</f>
        <v>3132.28305170198</v>
      </c>
      <c r="F398" s="0" t="n">
        <f aca="false">W_PH(F$2,$A398)</f>
        <v>3132.28323772749</v>
      </c>
      <c r="G398" s="0" t="n">
        <f aca="false">W_PH(G$2,$A398)</f>
        <v>3132.28511804291</v>
      </c>
      <c r="H398" s="0" t="n">
        <f aca="false">W_PH(H$2,$A398)</f>
        <v>3132.28699434979</v>
      </c>
      <c r="I398" s="0" t="n">
        <f aca="false">W_PH(I$2,$A398)</f>
        <v>3132.28887065982</v>
      </c>
      <c r="J398" s="0" t="n">
        <f aca="false">W_PH(J$2,$A398)</f>
        <v>3132.29074697302</v>
      </c>
      <c r="K398" s="0" t="n">
        <f aca="false">W_PH(K$2,$A398)</f>
        <v>3132.29262730112</v>
      </c>
      <c r="L398" s="0" t="n">
        <f aca="false">W_PH(L$2,$A398)</f>
        <v>3132.29450763241</v>
      </c>
      <c r="M398" s="0" t="n">
        <f aca="false">W_PH(M$2,$A398)</f>
        <v>3132.29638395513</v>
      </c>
      <c r="N398" s="0" t="n">
        <f aca="false">W_PH(N$2,$A398)</f>
        <v>3132.29826028102</v>
      </c>
      <c r="O398" s="0" t="n">
        <f aca="false">W_PH(O$2,$A398)</f>
        <v>3132.30013661008</v>
      </c>
      <c r="P398" s="0" t="n">
        <f aca="false">W_PH(P$2,$A398)</f>
        <v>3132.31891612357</v>
      </c>
      <c r="Q398" s="0" t="n">
        <f aca="false">W_PH(Q$2,$A398)</f>
        <v>3132.33769595873</v>
      </c>
      <c r="R398" s="0" t="n">
        <f aca="false">W_PH(R$2,$A398)</f>
        <v>3132.35647210659</v>
      </c>
      <c r="S398" s="0" t="n">
        <f aca="false">W_PH(S$2,$A398)</f>
        <v>3132.37524858205</v>
      </c>
      <c r="T398" s="0" t="n">
        <f aca="false">W_PH(T$2,$A398)</f>
        <v>3132.39402940031</v>
      </c>
      <c r="U398" s="0" t="n">
        <f aca="false">W_PH(U$2,$A398)</f>
        <v>3132.41281055241</v>
      </c>
      <c r="V398" s="0" t="n">
        <f aca="false">W_PH(V$2,$A398)</f>
        <v>3132.43158401671</v>
      </c>
      <c r="W398" s="0" t="n">
        <f aca="false">W_PH(W$2,$A398)</f>
        <v>3132.45036584542</v>
      </c>
      <c r="X398" s="0" t="n">
        <f aca="false">W_PH(X$2,$A398)</f>
        <v>3132.46914801707</v>
      </c>
      <c r="Y398" s="0" t="n">
        <f aca="false">W_PH(Y$2,$A398)</f>
        <v>3132.6569571578</v>
      </c>
      <c r="Z398" s="0" t="n">
        <f aca="false">W_PH(Z$2,$A398)</f>
        <v>3132.84479589418</v>
      </c>
      <c r="AA398" s="0" t="n">
        <f aca="false">W_PH(AA$2,$A398)</f>
        <v>3133.03267127405</v>
      </c>
      <c r="AB398" s="0" t="n">
        <f aca="false">W_PH(AB$2,$A398)</f>
        <v>3133.22058231674</v>
      </c>
      <c r="AC398" s="0" t="n">
        <f aca="false">W_PH(AC$2,$A398)</f>
        <v>3133.40852803808</v>
      </c>
      <c r="AD398" s="0" t="n">
        <f aca="false">W_PH(AD$2,$A398)</f>
        <v>3133.5965114676</v>
      </c>
      <c r="AE398" s="0" t="n">
        <f aca="false">W_PH(AE$2,$A398)</f>
        <v>3133.78453965242</v>
      </c>
      <c r="AF398" s="0" t="n">
        <f aca="false">W_PH(AF$2,$A398)</f>
        <v>3133.97261964242</v>
      </c>
      <c r="AG398" s="0" t="n">
        <f aca="false">W_PH(AG$2,$A398)</f>
        <v>3134.16074241207</v>
      </c>
      <c r="AH398" s="0" t="n">
        <f aca="false">W_PH(AH$2,$A398)</f>
        <v>3136.04536300723</v>
      </c>
      <c r="AI398" s="0" t="n">
        <f aca="false">W_PH(AI$2,$A398)</f>
        <v>3137.93811357987</v>
      </c>
      <c r="AJ398" s="0" t="n">
        <f aca="false">W_PH(AJ$2,$A398)</f>
        <v>3139.84188397765</v>
      </c>
      <c r="AK398" s="0" t="n">
        <f aca="false">W_PH(AK$2,$A398)</f>
        <v>3141.75957592731</v>
      </c>
      <c r="AL398" s="0" t="n">
        <f aca="false">W_PH(AL$2,$A398)</f>
        <v>3143.69406286629</v>
      </c>
      <c r="AM398" s="0" t="n">
        <f aca="false">W_PH(AM$2,$A398)</f>
        <v>3145.64823880722</v>
      </c>
      <c r="AN398" s="0" t="n">
        <f aca="false">W_PH(AN$2,$A398)</f>
        <v>3147.62497819283</v>
      </c>
      <c r="AO398" s="0" t="n">
        <f aca="false">W_PH(AO$2,$A398)</f>
        <v>3149.62716063154</v>
      </c>
      <c r="AP398" s="0" t="n">
        <f aca="false">W_PH(AP$2,$A398)</f>
        <v>2015</v>
      </c>
      <c r="AQ398" s="0" t="n">
        <f aca="false">W_PH(AQ$2,$A398)</f>
        <v>2015</v>
      </c>
      <c r="AR398" s="0" t="n">
        <f aca="false">W_PH(AR$2,$A398)</f>
        <v>2015</v>
      </c>
      <c r="AS398" s="0" t="n">
        <f aca="false">W_PH(AS$2,$A398)</f>
        <v>2015</v>
      </c>
    </row>
    <row r="399" customFormat="false" ht="12.8" hidden="false" customHeight="false" outlineLevel="0" collapsed="false">
      <c r="A399" s="0" t="n">
        <v>2403.26741186586</v>
      </c>
      <c r="B399" s="0" t="n">
        <f aca="false">W_PH(B$2,$A399)</f>
        <v>2015</v>
      </c>
      <c r="C399" s="0" t="n">
        <f aca="false">W_PH(C$2,$A399)</f>
        <v>3135.62118613008</v>
      </c>
      <c r="D399" s="0" t="n">
        <f aca="false">W_PH(D$2,$A399)</f>
        <v>3135.62137681635</v>
      </c>
      <c r="E399" s="0" t="n">
        <f aca="false">W_PH(E$2,$A399)</f>
        <v>3135.62156750267</v>
      </c>
      <c r="F399" s="0" t="n">
        <f aca="false">W_PH(F$2,$A399)</f>
        <v>3135.62175017392</v>
      </c>
      <c r="G399" s="0" t="n">
        <f aca="false">W_PH(G$2,$A399)</f>
        <v>3135.62363299379</v>
      </c>
      <c r="H399" s="0" t="n">
        <f aca="false">W_PH(H$2,$A399)</f>
        <v>3135.62551581679</v>
      </c>
      <c r="I399" s="0" t="n">
        <f aca="false">W_PH(I$2,$A399)</f>
        <v>3135.62739463535</v>
      </c>
      <c r="J399" s="0" t="n">
        <f aca="false">W_PH(J$2,$A399)</f>
        <v>3135.62927345703</v>
      </c>
      <c r="K399" s="0" t="n">
        <f aca="false">W_PH(K$2,$A399)</f>
        <v>3135.63115628941</v>
      </c>
      <c r="L399" s="0" t="n">
        <f aca="false">W_PH(L$2,$A399)</f>
        <v>3135.63303511734</v>
      </c>
      <c r="M399" s="0" t="n">
        <f aca="false">W_PH(M$2,$A399)</f>
        <v>3135.6349139484</v>
      </c>
      <c r="N399" s="0" t="n">
        <f aca="false">W_PH(N$2,$A399)</f>
        <v>3135.6367967902</v>
      </c>
      <c r="O399" s="0" t="n">
        <f aca="false">W_PH(O$2,$A399)</f>
        <v>3135.63867963514</v>
      </c>
      <c r="P399" s="0" t="n">
        <f aca="false">W_PH(P$2,$A399)</f>
        <v>3135.65748020459</v>
      </c>
      <c r="Q399" s="0" t="n">
        <f aca="false">W_PH(Q$2,$A399)</f>
        <v>3135.67628109115</v>
      </c>
      <c r="R399" s="0" t="n">
        <f aca="false">W_PH(R$2,$A399)</f>
        <v>3135.69508630569</v>
      </c>
      <c r="S399" s="0" t="n">
        <f aca="false">W_PH(S$2,$A399)</f>
        <v>3135.71389184355</v>
      </c>
      <c r="T399" s="0" t="n">
        <f aca="false">W_PH(T$2,$A399)</f>
        <v>3135.73269770774</v>
      </c>
      <c r="U399" s="0" t="n">
        <f aca="false">W_PH(U$2,$A399)</f>
        <v>3135.75150390128</v>
      </c>
      <c r="V399" s="0" t="n">
        <f aca="false">W_PH(V$2,$A399)</f>
        <v>3135.7703104272</v>
      </c>
      <c r="W399" s="0" t="n">
        <f aca="false">W_PH(W$2,$A399)</f>
        <v>3135.78911328027</v>
      </c>
      <c r="X399" s="0" t="n">
        <f aca="false">W_PH(X$2,$A399)</f>
        <v>3135.80791647161</v>
      </c>
      <c r="Y399" s="0" t="n">
        <f aca="false">W_PH(Y$2,$A399)</f>
        <v>3135.9959917086</v>
      </c>
      <c r="Z399" s="0" t="n">
        <f aca="false">W_PH(Z$2,$A399)</f>
        <v>3136.18408806466</v>
      </c>
      <c r="AA399" s="0" t="n">
        <f aca="false">W_PH(AA$2,$A399)</f>
        <v>3136.37222459364</v>
      </c>
      <c r="AB399" s="0" t="n">
        <f aca="false">W_PH(AB$2,$A399)</f>
        <v>3136.56038827005</v>
      </c>
      <c r="AC399" s="0" t="n">
        <f aca="false">W_PH(AC$2,$A399)</f>
        <v>3136.7485901288</v>
      </c>
      <c r="AD399" s="0" t="n">
        <f aca="false">W_PH(AD$2,$A399)</f>
        <v>3136.9368371977</v>
      </c>
      <c r="AE399" s="0" t="n">
        <f aca="false">W_PH(AE$2,$A399)</f>
        <v>3137.12512446602</v>
      </c>
      <c r="AF399" s="0" t="n">
        <f aca="false">W_PH(AF$2,$A399)</f>
        <v>3137.31345896007</v>
      </c>
      <c r="AG399" s="0" t="n">
        <f aca="false">W_PH(AG$2,$A399)</f>
        <v>3137.50183967828</v>
      </c>
      <c r="AH399" s="0" t="n">
        <f aca="false">W_PH(AH$2,$A399)</f>
        <v>3139.38900029982</v>
      </c>
      <c r="AI399" s="0" t="n">
        <f aca="false">W_PH(AI$2,$A399)</f>
        <v>3141.28422284496</v>
      </c>
      <c r="AJ399" s="0" t="n">
        <f aca="false">W_PH(AJ$2,$A399)</f>
        <v>3143.19039264097</v>
      </c>
      <c r="AK399" s="0" t="n">
        <f aca="false">W_PH(AK$2,$A399)</f>
        <v>3145.11039089296</v>
      </c>
      <c r="AL399" s="0" t="n">
        <f aca="false">W_PH(AL$2,$A399)</f>
        <v>3147.04707061867</v>
      </c>
      <c r="AM399" s="0" t="n">
        <f aca="false">W_PH(AM$2,$A399)</f>
        <v>3149.00331357551</v>
      </c>
      <c r="AN399" s="0" t="n">
        <f aca="false">W_PH(AN$2,$A399)</f>
        <v>3150.98198209361</v>
      </c>
      <c r="AO399" s="0" t="n">
        <f aca="false">W_PH(AO$2,$A399)</f>
        <v>3152.98593562881</v>
      </c>
      <c r="AP399" s="0" t="n">
        <f aca="false">W_PH(AP$2,$A399)</f>
        <v>2015</v>
      </c>
      <c r="AQ399" s="0" t="n">
        <f aca="false">W_PH(AQ$2,$A399)</f>
        <v>2015</v>
      </c>
      <c r="AR399" s="0" t="n">
        <f aca="false">W_PH(AR$2,$A399)</f>
        <v>2015</v>
      </c>
      <c r="AS399" s="0" t="n">
        <f aca="false">W_PH(AS$2,$A399)</f>
        <v>2015</v>
      </c>
    </row>
    <row r="400" customFormat="false" ht="12.8" hidden="false" customHeight="false" outlineLevel="0" collapsed="false">
      <c r="A400" s="0" t="n">
        <v>2407.56663800516</v>
      </c>
      <c r="B400" s="0" t="n">
        <f aca="false">W_PH(B$2,$A400)</f>
        <v>2015</v>
      </c>
      <c r="C400" s="0" t="n">
        <f aca="false">W_PH(C$2,$A400)</f>
        <v>3138.95396124363</v>
      </c>
      <c r="D400" s="0" t="n">
        <f aca="false">W_PH(D$2,$A400)</f>
        <v>3138.9541485677</v>
      </c>
      <c r="E400" s="0" t="n">
        <f aca="false">W_PH(E$2,$A400)</f>
        <v>3138.95433589181</v>
      </c>
      <c r="F400" s="0" t="n">
        <f aca="false">W_PH(F$2,$A400)</f>
        <v>3138.95452721935</v>
      </c>
      <c r="G400" s="0" t="n">
        <f aca="false">W_PH(G$2,$A400)</f>
        <v>3138.9564084692</v>
      </c>
      <c r="H400" s="0" t="n">
        <f aca="false">W_PH(H$2,$A400)</f>
        <v>3138.95828972213</v>
      </c>
      <c r="I400" s="0" t="n">
        <f aca="false">W_PH(I$2,$A400)</f>
        <v>3138.96017097813</v>
      </c>
      <c r="J400" s="0" t="n">
        <f aca="false">W_PH(J$2,$A400)</f>
        <v>3138.96205624064</v>
      </c>
      <c r="K400" s="0" t="n">
        <f aca="false">W_PH(K$2,$A400)</f>
        <v>3138.96394150624</v>
      </c>
      <c r="L400" s="0" t="n">
        <f aca="false">W_PH(L$2,$A400)</f>
        <v>3138.96582277148</v>
      </c>
      <c r="M400" s="0" t="n">
        <f aca="false">W_PH(M$2,$A400)</f>
        <v>3138.96770403982</v>
      </c>
      <c r="N400" s="0" t="n">
        <f aca="false">W_PH(N$2,$A400)</f>
        <v>3138.96958531123</v>
      </c>
      <c r="O400" s="0" t="n">
        <f aca="false">W_PH(O$2,$A400)</f>
        <v>3138.97147459269</v>
      </c>
      <c r="P400" s="0" t="n">
        <f aca="false">W_PH(P$2,$A400)</f>
        <v>3138.99030352273</v>
      </c>
      <c r="Q400" s="0" t="n">
        <f aca="false">W_PH(Q$2,$A400)</f>
        <v>3139.0091327657</v>
      </c>
      <c r="R400" s="0" t="n">
        <f aca="false">W_PH(R$2,$A400)</f>
        <v>3139.02796232459</v>
      </c>
      <c r="S400" s="0" t="n">
        <f aca="false">W_PH(S$2,$A400)</f>
        <v>3139.04679220241</v>
      </c>
      <c r="T400" s="0" t="n">
        <f aca="false">W_PH(T$2,$A400)</f>
        <v>3139.06562240216</v>
      </c>
      <c r="U400" s="0" t="n">
        <f aca="false">W_PH(U$2,$A400)</f>
        <v>3139.08445292686</v>
      </c>
      <c r="V400" s="0" t="n">
        <f aca="false">W_PH(V$2,$A400)</f>
        <v>3139.10328377949</v>
      </c>
      <c r="W400" s="0" t="n">
        <f aca="false">W_PH(W$2,$A400)</f>
        <v>3139.12211496307</v>
      </c>
      <c r="X400" s="0" t="n">
        <f aca="false">W_PH(X$2,$A400)</f>
        <v>3139.1409464806</v>
      </c>
      <c r="Y400" s="0" t="n">
        <f aca="false">W_PH(Y$2,$A400)</f>
        <v>3139.32927267421</v>
      </c>
      <c r="Z400" s="0" t="n">
        <f aca="false">W_PH(Z$2,$A400)</f>
        <v>3139.5176275527</v>
      </c>
      <c r="AA400" s="0" t="n">
        <f aca="false">W_PH(AA$2,$A400)</f>
        <v>3139.70601411505</v>
      </c>
      <c r="AB400" s="0" t="n">
        <f aca="false">W_PH(AB$2,$A400)</f>
        <v>3139.89443535988</v>
      </c>
      <c r="AC400" s="0" t="n">
        <f aca="false">W_PH(AC$2,$A400)</f>
        <v>3140.08289428546</v>
      </c>
      <c r="AD400" s="0" t="n">
        <f aca="false">W_PH(AD$2,$A400)</f>
        <v>3140.2713938897</v>
      </c>
      <c r="AE400" s="0" t="n">
        <f aca="false">W_PH(AE$2,$A400)</f>
        <v>3140.45993717017</v>
      </c>
      <c r="AF400" s="0" t="n">
        <f aca="false">W_PH(AF$2,$A400)</f>
        <v>3140.64851910345</v>
      </c>
      <c r="AG400" s="0" t="n">
        <f aca="false">W_PH(AG$2,$A400)</f>
        <v>3140.83715872613</v>
      </c>
      <c r="AH400" s="0" t="n">
        <f aca="false">W_PH(AH$2,$A400)</f>
        <v>3142.72681728409</v>
      </c>
      <c r="AI400" s="0" t="n">
        <f aca="false">W_PH(AI$2,$A400)</f>
        <v>3144.62447871195</v>
      </c>
      <c r="AJ400" s="0" t="n">
        <f aca="false">W_PH(AJ$2,$A400)</f>
        <v>3146.53301590579</v>
      </c>
      <c r="AK400" s="0" t="n">
        <f aca="false">W_PH(AK$2,$A400)</f>
        <v>3148.45527756967</v>
      </c>
      <c r="AL400" s="0" t="n">
        <f aca="false">W_PH(AL$2,$A400)</f>
        <v>3150.39412471684</v>
      </c>
      <c r="AM400" s="0" t="n">
        <f aca="false">W_PH(AM$2,$A400)</f>
        <v>3152.35239867018</v>
      </c>
      <c r="AN400" s="0" t="n">
        <f aca="false">W_PH(AN$2,$A400)</f>
        <v>3154.33296595302</v>
      </c>
      <c r="AO400" s="0" t="n">
        <f aca="false">W_PH(AO$2,$A400)</f>
        <v>3156.33866195727</v>
      </c>
      <c r="AP400" s="0" t="n">
        <f aca="false">W_PH(AP$2,$A400)</f>
        <v>2015</v>
      </c>
      <c r="AQ400" s="0" t="n">
        <f aca="false">W_PH(AQ$2,$A400)</f>
        <v>2015</v>
      </c>
      <c r="AR400" s="0" t="n">
        <f aca="false">W_PH(AR$2,$A400)</f>
        <v>2015</v>
      </c>
      <c r="AS400" s="0" t="n">
        <f aca="false">W_PH(AS$2,$A400)</f>
        <v>2015</v>
      </c>
    </row>
    <row r="401" customFormat="false" ht="12.8" hidden="false" customHeight="false" outlineLevel="0" collapsed="false">
      <c r="A401" s="0" t="n">
        <v>2411.86586414445</v>
      </c>
      <c r="B401" s="0" t="n">
        <f aca="false">W_PH(B$2,$A401)</f>
        <v>2015</v>
      </c>
      <c r="C401" s="0" t="n">
        <f aca="false">W_PH(C$2,$A401)</f>
        <v>3142.28102066436</v>
      </c>
      <c r="D401" s="0" t="n">
        <f aca="false">W_PH(D$2,$A401)</f>
        <v>3142.28120862593</v>
      </c>
      <c r="E401" s="0" t="n">
        <f aca="false">W_PH(E$2,$A401)</f>
        <v>3142.28139658753</v>
      </c>
      <c r="F401" s="0" t="n">
        <f aca="false">W_PH(F$2,$A401)</f>
        <v>3142.28158454916</v>
      </c>
      <c r="G401" s="0" t="n">
        <f aca="false">W_PH(G$2,$A401)</f>
        <v>3142.28347216568</v>
      </c>
      <c r="H401" s="0" t="n">
        <f aca="false">W_PH(H$2,$A401)</f>
        <v>3142.28535978524</v>
      </c>
      <c r="I401" s="0" t="n">
        <f aca="false">W_PH(I$2,$A401)</f>
        <v>3142.28723940924</v>
      </c>
      <c r="J401" s="0" t="n">
        <f aca="false">W_PH(J$2,$A401)</f>
        <v>3142.28912703488</v>
      </c>
      <c r="K401" s="0" t="n">
        <f aca="false">W_PH(K$2,$A401)</f>
        <v>3142.29101466357</v>
      </c>
      <c r="L401" s="0" t="n">
        <f aca="false">W_PH(L$2,$A401)</f>
        <v>3142.29289829599</v>
      </c>
      <c r="M401" s="0" t="n">
        <f aca="false">W_PH(M$2,$A401)</f>
        <v>3142.29478193145</v>
      </c>
      <c r="N401" s="0" t="n">
        <f aca="false">W_PH(N$2,$A401)</f>
        <v>3142.29666956929</v>
      </c>
      <c r="O401" s="0" t="n">
        <f aca="false">W_PH(O$2,$A401)</f>
        <v>3142.2985572102</v>
      </c>
      <c r="P401" s="0" t="n">
        <f aca="false">W_PH(P$2,$A401)</f>
        <v>3142.31740979182</v>
      </c>
      <c r="Q401" s="0" t="n">
        <f aca="false">W_PH(Q$2,$A401)</f>
        <v>3142.33626268207</v>
      </c>
      <c r="R401" s="0" t="n">
        <f aca="false">W_PH(R$2,$A401)</f>
        <v>3142.35511988351</v>
      </c>
      <c r="S401" s="0" t="n">
        <f aca="false">W_PH(S$2,$A401)</f>
        <v>3142.37397739972</v>
      </c>
      <c r="T401" s="0" t="n">
        <f aca="false">W_PH(T$2,$A401)</f>
        <v>3142.39283123394</v>
      </c>
      <c r="U401" s="0" t="n">
        <f aca="false">W_PH(U$2,$A401)</f>
        <v>3142.41168538874</v>
      </c>
      <c r="V401" s="0" t="n">
        <f aca="false">W_PH(V$2,$A401)</f>
        <v>3142.4305398671</v>
      </c>
      <c r="W401" s="0" t="n">
        <f aca="false">W_PH(W$2,$A401)</f>
        <v>3142.44939867198</v>
      </c>
      <c r="X401" s="0" t="n">
        <f aca="false">W_PH(X$2,$A401)</f>
        <v>3142.46825780656</v>
      </c>
      <c r="Y401" s="0" t="n">
        <f aca="false">W_PH(Y$2,$A401)</f>
        <v>3142.65683593633</v>
      </c>
      <c r="Z401" s="0" t="n">
        <f aca="false">W_PH(Z$2,$A401)</f>
        <v>3142.84544230606</v>
      </c>
      <c r="AA401" s="0" t="n">
        <f aca="false">W_PH(AA$2,$A401)</f>
        <v>3143.03407989793</v>
      </c>
      <c r="AB401" s="0" t="n">
        <f aca="false">W_PH(AB$2,$A401)</f>
        <v>3143.22275169378</v>
      </c>
      <c r="AC401" s="0" t="n">
        <f aca="false">W_PH(AC$2,$A401)</f>
        <v>3143.4114606751</v>
      </c>
      <c r="AD401" s="0" t="n">
        <f aca="false">W_PH(AD$2,$A401)</f>
        <v>3143.60020982305</v>
      </c>
      <c r="AE401" s="0" t="n">
        <f aca="false">W_PH(AE$2,$A401)</f>
        <v>3143.78900211843</v>
      </c>
      <c r="AF401" s="0" t="n">
        <f aca="false">W_PH(AF$2,$A401)</f>
        <v>3143.97784054173</v>
      </c>
      <c r="AG401" s="0" t="n">
        <f aca="false">W_PH(AG$2,$A401)</f>
        <v>3144.16672807307</v>
      </c>
      <c r="AH401" s="0" t="n">
        <f aca="false">W_PH(AH$2,$A401)</f>
        <v>3146.05884731474</v>
      </c>
      <c r="AI401" s="0" t="n">
        <f aca="false">W_PH(AI$2,$A401)</f>
        <v>3147.95891934744</v>
      </c>
      <c r="AJ401" s="0" t="n">
        <f aca="false">W_PH(AJ$2,$A401)</f>
        <v>3149.86978063193</v>
      </c>
      <c r="AK401" s="0" t="n">
        <f aca="false">W_PH(AK$2,$A401)</f>
        <v>3151.7942797453</v>
      </c>
      <c r="AL401" s="0" t="n">
        <f aca="false">W_PH(AL$2,$A401)</f>
        <v>3153.73524946755</v>
      </c>
      <c r="AM401" s="0" t="n">
        <f aca="false">W_PH(AM$2,$A401)</f>
        <v>3155.69553532351</v>
      </c>
      <c r="AN401" s="0" t="n">
        <f aca="false">W_PH(AN$2,$A401)</f>
        <v>3157.67796360346</v>
      </c>
      <c r="AO401" s="0" t="n">
        <f aca="false">W_PH(AO$2,$A401)</f>
        <v>3159.68537819187</v>
      </c>
      <c r="AP401" s="0" t="n">
        <f aca="false">W_PH(AP$2,$A401)</f>
        <v>2015</v>
      </c>
      <c r="AQ401" s="0" t="n">
        <f aca="false">W_PH(AQ$2,$A401)</f>
        <v>2015</v>
      </c>
      <c r="AR401" s="0" t="n">
        <f aca="false">W_PH(AR$2,$A401)</f>
        <v>2015</v>
      </c>
      <c r="AS401" s="0" t="n">
        <f aca="false">W_PH(AS$2,$A401)</f>
        <v>2015</v>
      </c>
    </row>
    <row r="402" customFormat="false" ht="12.8" hidden="false" customHeight="false" outlineLevel="0" collapsed="false">
      <c r="A402" s="0" t="n">
        <v>2416.16509028375</v>
      </c>
      <c r="B402" s="0" t="n">
        <f aca="false">W_PH(B$2,$A402)</f>
        <v>2015</v>
      </c>
      <c r="C402" s="0" t="n">
        <f aca="false">W_PH(C$2,$A402)</f>
        <v>3145.60239988221</v>
      </c>
      <c r="D402" s="0" t="n">
        <f aca="false">W_PH(D$2,$A402)</f>
        <v>3145.60258847353</v>
      </c>
      <c r="E402" s="0" t="n">
        <f aca="false">W_PH(E$2,$A402)</f>
        <v>3145.60278106004</v>
      </c>
      <c r="F402" s="0" t="n">
        <f aca="false">W_PH(F$2,$A402)</f>
        <v>3145.60296565625</v>
      </c>
      <c r="G402" s="0" t="n">
        <f aca="false">W_PH(G$2,$A402)</f>
        <v>3145.60485157164</v>
      </c>
      <c r="H402" s="0" t="n">
        <f aca="false">W_PH(H$2,$A402)</f>
        <v>3145.60674548038</v>
      </c>
      <c r="I402" s="0" t="n">
        <f aca="false">W_PH(I$2,$A402)</f>
        <v>3145.60863140176</v>
      </c>
      <c r="J402" s="0" t="n">
        <f aca="false">W_PH(J$2,$A402)</f>
        <v>3145.61051732613</v>
      </c>
      <c r="K402" s="0" t="n">
        <f aca="false">W_PH(K$2,$A402)</f>
        <v>3145.61240325349</v>
      </c>
      <c r="L402" s="0" t="n">
        <f aca="false">W_PH(L$2,$A402)</f>
        <v>3145.61429717428</v>
      </c>
      <c r="M402" s="0" t="n">
        <f aca="false">W_PH(M$2,$A402)</f>
        <v>3145.61618310765</v>
      </c>
      <c r="N402" s="0" t="n">
        <f aca="false">W_PH(N$2,$A402)</f>
        <v>3145.61806904402</v>
      </c>
      <c r="O402" s="0" t="n">
        <f aca="false">W_PH(O$2,$A402)</f>
        <v>3145.6199549834</v>
      </c>
      <c r="P402" s="0" t="n">
        <f aca="false">W_PH(P$2,$A402)</f>
        <v>3145.63883851502</v>
      </c>
      <c r="Q402" s="0" t="n">
        <f aca="false">W_PH(Q$2,$A402)</f>
        <v>3145.65771436056</v>
      </c>
      <c r="R402" s="0" t="n">
        <f aca="false">W_PH(R$2,$A402)</f>
        <v>3145.6765985044</v>
      </c>
      <c r="S402" s="0" t="n">
        <f aca="false">W_PH(S$2,$A402)</f>
        <v>3145.6954749678</v>
      </c>
      <c r="T402" s="0" t="n">
        <f aca="false">W_PH(T$2,$A402)</f>
        <v>3145.71435973574</v>
      </c>
      <c r="U402" s="0" t="n">
        <f aca="false">W_PH(U$2,$A402)</f>
        <v>3145.73323682888</v>
      </c>
      <c r="V402" s="0" t="n">
        <f aca="false">W_PH(V$2,$A402)</f>
        <v>3145.7521222328</v>
      </c>
      <c r="W402" s="0" t="n">
        <f aca="false">W_PH(W$2,$A402)</f>
        <v>3145.77099996756</v>
      </c>
      <c r="X402" s="0" t="n">
        <f aca="false">W_PH(X$2,$A402)</f>
        <v>3145.78988202343</v>
      </c>
      <c r="Y402" s="0" t="n">
        <f aca="false">W_PH(Y$2,$A402)</f>
        <v>3145.97870913952</v>
      </c>
      <c r="Z402" s="0" t="n">
        <f aca="false">W_PH(Z$2,$A402)</f>
        <v>3146.16756805539</v>
      </c>
      <c r="AA402" s="0" t="n">
        <f aca="false">W_PH(AA$2,$A402)</f>
        <v>3146.3564497443</v>
      </c>
      <c r="AB402" s="0" t="n">
        <f aca="false">W_PH(AB$2,$A402)</f>
        <v>3146.54537316264</v>
      </c>
      <c r="AC402" s="0" t="n">
        <f aca="false">W_PH(AC$2,$A402)</f>
        <v>3146.73432928076</v>
      </c>
      <c r="AD402" s="0" t="n">
        <f aca="false">W_PH(AD$2,$A402)</f>
        <v>3146.92332506135</v>
      </c>
      <c r="AE402" s="0" t="n">
        <f aca="false">W_PH(AE$2,$A402)</f>
        <v>3147.11236346863</v>
      </c>
      <c r="AF402" s="0" t="n">
        <f aca="false">W_PH(AF$2,$A402)</f>
        <v>3147.30144746646</v>
      </c>
      <c r="AG402" s="0" t="n">
        <f aca="false">W_PH(AG$2,$A402)</f>
        <v>3147.49057601571</v>
      </c>
      <c r="AH402" s="0" t="n">
        <f aca="false">W_PH(AH$2,$A402)</f>
        <v>3149.38512750593</v>
      </c>
      <c r="AI402" s="0" t="n">
        <f aca="false">W_PH(AI$2,$A402)</f>
        <v>3151.28756656729</v>
      </c>
      <c r="AJ402" s="0" t="n">
        <f aca="false">W_PH(AJ$2,$A402)</f>
        <v>3153.20072148877</v>
      </c>
      <c r="AK402" s="0" t="n">
        <f aca="false">W_PH(AK$2,$A402)</f>
        <v>3155.1274207235</v>
      </c>
      <c r="AL402" s="0" t="n">
        <f aca="false">W_PH(AL$2,$A402)</f>
        <v>3157.07048912846</v>
      </c>
      <c r="AM402" s="0" t="n">
        <f aca="false">W_PH(AM$2,$A402)</f>
        <v>3159.03274825384</v>
      </c>
      <c r="AN402" s="0" t="n">
        <f aca="false">W_PH(AN$2,$A402)</f>
        <v>3161.01701667922</v>
      </c>
      <c r="AO402" s="0" t="n">
        <f aca="false">W_PH(AO$2,$A402)</f>
        <v>3163.02611445554</v>
      </c>
      <c r="AP402" s="0" t="n">
        <f aca="false">W_PH(AP$2,$A402)</f>
        <v>2015</v>
      </c>
      <c r="AQ402" s="0" t="n">
        <f aca="false">W_PH(AQ$2,$A402)</f>
        <v>2015</v>
      </c>
      <c r="AR402" s="0" t="n">
        <f aca="false">W_PH(AR$2,$A402)</f>
        <v>2015</v>
      </c>
      <c r="AS402" s="0" t="n">
        <f aca="false">W_PH(AS$2,$A402)</f>
        <v>2015</v>
      </c>
    </row>
    <row r="403" customFormat="false" ht="12.8" hidden="false" customHeight="false" outlineLevel="0" collapsed="false">
      <c r="A403" s="0" t="n">
        <v>2420.46431642304</v>
      </c>
      <c r="B403" s="0" t="n">
        <f aca="false">W_PH(B$2,$A403)</f>
        <v>2015</v>
      </c>
      <c r="C403" s="0" t="n">
        <f aca="false">W_PH(C$2,$A403)</f>
        <v>3148.91813414878</v>
      </c>
      <c r="D403" s="0" t="n">
        <f aca="false">W_PH(D$2,$A403)</f>
        <v>3148.9183193711</v>
      </c>
      <c r="E403" s="0" t="n">
        <f aca="false">W_PH(E$2,$A403)</f>
        <v>3148.91851257563</v>
      </c>
      <c r="F403" s="0" t="n">
        <f aca="false">W_PH(F$2,$A403)</f>
        <v>3148.91869779801</v>
      </c>
      <c r="G403" s="0" t="n">
        <f aca="false">W_PH(G$2,$A403)</f>
        <v>3148.92058993433</v>
      </c>
      <c r="H403" s="0" t="n">
        <f aca="false">W_PH(H$2,$A403)</f>
        <v>3148.9224820736</v>
      </c>
      <c r="I403" s="0" t="n">
        <f aca="false">W_PH(I$2,$A403)</f>
        <v>3148.92437022473</v>
      </c>
      <c r="J403" s="0" t="n">
        <f aca="false">W_PH(J$2,$A403)</f>
        <v>3148.92625837881</v>
      </c>
      <c r="K403" s="0" t="n">
        <f aca="false">W_PH(K$2,$A403)</f>
        <v>3148.92815052695</v>
      </c>
      <c r="L403" s="0" t="n">
        <f aca="false">W_PH(L$2,$A403)</f>
        <v>3148.93004267807</v>
      </c>
      <c r="M403" s="0" t="n">
        <f aca="false">W_PH(M$2,$A403)</f>
        <v>3148.93193084103</v>
      </c>
      <c r="N403" s="0" t="n">
        <f aca="false">W_PH(N$2,$A403)</f>
        <v>3148.93381900695</v>
      </c>
      <c r="O403" s="0" t="n">
        <f aca="false">W_PH(O$2,$A403)</f>
        <v>3148.93571116698</v>
      </c>
      <c r="P403" s="0" t="n">
        <f aca="false">W_PH(P$2,$A403)</f>
        <v>3148.95461696687</v>
      </c>
      <c r="Q403" s="0" t="n">
        <f aca="false">W_PH(Q$2,$A403)</f>
        <v>3148.97352306729</v>
      </c>
      <c r="R403" s="0" t="n">
        <f aca="false">W_PH(R$2,$A403)</f>
        <v>3148.9924254798</v>
      </c>
      <c r="S403" s="0" t="n">
        <f aca="false">W_PH(S$2,$A403)</f>
        <v>3149.01132819859</v>
      </c>
      <c r="T403" s="0" t="n">
        <f aca="false">W_PH(T$2,$A403)</f>
        <v>3149.03023521813</v>
      </c>
      <c r="U403" s="0" t="n">
        <f aca="false">W_PH(U$2,$A403)</f>
        <v>3149.04914255002</v>
      </c>
      <c r="V403" s="0" t="n">
        <f aca="false">W_PH(V$2,$A403)</f>
        <v>3149.06804221385</v>
      </c>
      <c r="W403" s="0" t="n">
        <f aca="false">W_PH(W$2,$A403)</f>
        <v>3149.08695017911</v>
      </c>
      <c r="X403" s="0" t="n">
        <f aca="false">W_PH(X$2,$A403)</f>
        <v>3149.10585846558</v>
      </c>
      <c r="Y403" s="0" t="n">
        <f aca="false">W_PH(Y$2,$A403)</f>
        <v>3149.29492770548</v>
      </c>
      <c r="Z403" s="0" t="n">
        <f aca="false">W_PH(Z$2,$A403)</f>
        <v>3149.48403230246</v>
      </c>
      <c r="AA403" s="0" t="n">
        <f aca="false">W_PH(AA$2,$A403)</f>
        <v>3149.6731592338</v>
      </c>
      <c r="AB403" s="0" t="n">
        <f aca="false">W_PH(AB$2,$A403)</f>
        <v>3149.86232742292</v>
      </c>
      <c r="AC403" s="0" t="n">
        <f aca="false">W_PH(AC$2,$A403)</f>
        <v>3150.05152384048</v>
      </c>
      <c r="AD403" s="0" t="n">
        <f aca="false">W_PH(AD$2,$A403)</f>
        <v>3150.24076741522</v>
      </c>
      <c r="AE403" s="0" t="n">
        <f aca="false">W_PH(AE$2,$A403)</f>
        <v>3150.43004511122</v>
      </c>
      <c r="AF403" s="0" t="n">
        <f aca="false">W_PH(AF$2,$A403)</f>
        <v>3150.61936786697</v>
      </c>
      <c r="AG403" s="0" t="n">
        <f aca="false">W_PH(AG$2,$A403)</f>
        <v>3150.80874262807</v>
      </c>
      <c r="AH403" s="0" t="n">
        <f aca="false">W_PH(AH$2,$A403)</f>
        <v>3152.70568669555</v>
      </c>
      <c r="AI403" s="0" t="n">
        <f aca="false">W_PH(AI$2,$A403)</f>
        <v>3154.61045803236</v>
      </c>
      <c r="AJ403" s="0" t="n">
        <f aca="false">W_PH(AJ$2,$A403)</f>
        <v>3156.52587287349</v>
      </c>
      <c r="AK403" s="0" t="n">
        <f aca="false">W_PH(AK$2,$A403)</f>
        <v>3158.45473968804</v>
      </c>
      <c r="AL403" s="0" t="n">
        <f aca="false">W_PH(AL$2,$A403)</f>
        <v>3160.39987148664</v>
      </c>
      <c r="AM403" s="0" t="n">
        <f aca="false">W_PH(AM$2,$A403)</f>
        <v>3162.36407405235</v>
      </c>
      <c r="AN403" s="0" t="n">
        <f aca="false">W_PH(AN$2,$A403)</f>
        <v>3164.35015028542</v>
      </c>
      <c r="AO403" s="0" t="n">
        <f aca="false">W_PH(AO$2,$A403)</f>
        <v>3166.36090058075</v>
      </c>
      <c r="AP403" s="0" t="n">
        <f aca="false">W_PH(AP$2,$A403)</f>
        <v>2015</v>
      </c>
      <c r="AQ403" s="0" t="n">
        <f aca="false">W_PH(AQ$2,$A403)</f>
        <v>2015</v>
      </c>
      <c r="AR403" s="0" t="n">
        <f aca="false">W_PH(AR$2,$A403)</f>
        <v>2015</v>
      </c>
      <c r="AS403" s="0" t="n">
        <f aca="false">W_PH(AS$2,$A403)</f>
        <v>2015</v>
      </c>
    </row>
    <row r="404" customFormat="false" ht="12.8" hidden="false" customHeight="false" outlineLevel="0" collapsed="false">
      <c r="A404" s="0" t="n">
        <v>2424.76354256234</v>
      </c>
      <c r="B404" s="0" t="n">
        <f aca="false">W_PH(B$2,$A404)</f>
        <v>2015</v>
      </c>
      <c r="C404" s="0" t="n">
        <f aca="false">W_PH(C$2,$A404)</f>
        <v>3152.22824253211</v>
      </c>
      <c r="D404" s="0" t="n">
        <f aca="false">W_PH(D$2,$A404)</f>
        <v>3152.22843634707</v>
      </c>
      <c r="E404" s="0" t="n">
        <f aca="false">W_PH(E$2,$A404)</f>
        <v>3152.22862218803</v>
      </c>
      <c r="F404" s="0" t="n">
        <f aca="false">W_PH(F$2,$A404)</f>
        <v>3152.22881600305</v>
      </c>
      <c r="G404" s="0" t="n">
        <f aca="false">W_PH(G$2,$A404)</f>
        <v>3152.23070631069</v>
      </c>
      <c r="H404" s="0" t="n">
        <f aca="false">W_PH(H$2,$A404)</f>
        <v>3152.23259662123</v>
      </c>
      <c r="I404" s="0" t="n">
        <f aca="false">W_PH(I$2,$A404)</f>
        <v>3152.23449490874</v>
      </c>
      <c r="J404" s="0" t="n">
        <f aca="false">W_PH(J$2,$A404)</f>
        <v>3152.23638522511</v>
      </c>
      <c r="K404" s="0" t="n">
        <f aca="false">W_PH(K$2,$A404)</f>
        <v>3152.23827554439</v>
      </c>
      <c r="L404" s="0" t="n">
        <f aca="false">W_PH(L$2,$A404)</f>
        <v>3152.24016985364</v>
      </c>
      <c r="M404" s="0" t="n">
        <f aca="false">W_PH(M$2,$A404)</f>
        <v>3152.24206416582</v>
      </c>
      <c r="N404" s="0" t="n">
        <f aca="false">W_PH(N$2,$A404)</f>
        <v>3152.24395449386</v>
      </c>
      <c r="O404" s="0" t="n">
        <f aca="false">W_PH(O$2,$A404)</f>
        <v>3152.24584881191</v>
      </c>
      <c r="P404" s="0" t="n">
        <f aca="false">W_PH(P$2,$A404)</f>
        <v>3152.26478019312</v>
      </c>
      <c r="Q404" s="0" t="n">
        <f aca="false">W_PH(Q$2,$A404)</f>
        <v>3152.28370788364</v>
      </c>
      <c r="R404" s="0" t="n">
        <f aca="false">W_PH(R$2,$A404)</f>
        <v>3152.3026358735</v>
      </c>
      <c r="S404" s="0" t="n">
        <f aca="false">W_PH(S$2,$A404)</f>
        <v>3152.32156416563</v>
      </c>
      <c r="T404" s="0" t="n">
        <f aca="false">W_PH(T$2,$A404)</f>
        <v>3152.34049276297</v>
      </c>
      <c r="U404" s="0" t="n">
        <f aca="false">W_PH(U$2,$A404)</f>
        <v>3152.35942166846</v>
      </c>
      <c r="V404" s="0" t="n">
        <f aca="false">W_PH(V$2,$A404)</f>
        <v>3152.37835088503</v>
      </c>
      <c r="W404" s="0" t="n">
        <f aca="false">W_PH(W$2,$A404)</f>
        <v>3152.39728041562</v>
      </c>
      <c r="X404" s="0" t="n">
        <f aca="false">W_PH(X$2,$A404)</f>
        <v>3152.41621026317</v>
      </c>
      <c r="Y404" s="0" t="n">
        <f aca="false">W_PH(Y$2,$A404)</f>
        <v>3152.60552681771</v>
      </c>
      <c r="Z404" s="0" t="n">
        <f aca="false">W_PH(Z$2,$A404)</f>
        <v>3152.79486633167</v>
      </c>
      <c r="AA404" s="0" t="n">
        <f aca="false">W_PH(AA$2,$A404)</f>
        <v>3152.98423572544</v>
      </c>
      <c r="AB404" s="0" t="n">
        <f aca="false">W_PH(AB$2,$A404)</f>
        <v>3153.17364192203</v>
      </c>
      <c r="AC404" s="0" t="n">
        <f aca="false">W_PH(AC$2,$A404)</f>
        <v>3153.36308386425</v>
      </c>
      <c r="AD404" s="0" t="n">
        <f aca="false">W_PH(AD$2,$A404)</f>
        <v>3153.55256049166</v>
      </c>
      <c r="AE404" s="0" t="n">
        <f aca="false">W_PH(AE$2,$A404)</f>
        <v>3153.74207872633</v>
      </c>
      <c r="AF404" s="0" t="n">
        <f aca="false">W_PH(AF$2,$A404)</f>
        <v>3153.93164549299</v>
      </c>
      <c r="AG404" s="0" t="n">
        <f aca="false">W_PH(AG$2,$A404)</f>
        <v>3154.12125573589</v>
      </c>
      <c r="AH404" s="0" t="n">
        <f aca="false">W_PH(AH$2,$A404)</f>
        <v>3156.02055349416</v>
      </c>
      <c r="AI404" s="0" t="n">
        <f aca="false">W_PH(AI$2,$A404)</f>
        <v>3157.92762712069</v>
      </c>
      <c r="AJ404" s="0" t="n">
        <f aca="false">W_PH(AJ$2,$A404)</f>
        <v>3159.84526489859</v>
      </c>
      <c r="AK404" s="0" t="n">
        <f aca="false">W_PH(AK$2,$A404)</f>
        <v>3161.77627150121</v>
      </c>
      <c r="AL404" s="0" t="n">
        <f aca="false">W_PH(AL$2,$A404)</f>
        <v>3163.72343213371</v>
      </c>
      <c r="AM404" s="0" t="n">
        <f aca="false">W_PH(AM$2,$A404)</f>
        <v>3165.68954900705</v>
      </c>
      <c r="AN404" s="0" t="n">
        <f aca="false">W_PH(AN$2,$A404)</f>
        <v>3167.67740544305</v>
      </c>
      <c r="AO404" s="0" t="n">
        <f aca="false">W_PH(AO$2,$A404)</f>
        <v>3169.68978231249</v>
      </c>
      <c r="AP404" s="0" t="n">
        <f aca="false">W_PH(AP$2,$A404)</f>
        <v>2015</v>
      </c>
      <c r="AQ404" s="0" t="n">
        <f aca="false">W_PH(AQ$2,$A404)</f>
        <v>2015</v>
      </c>
      <c r="AR404" s="0" t="n">
        <f aca="false">W_PH(AR$2,$A404)</f>
        <v>2015</v>
      </c>
      <c r="AS404" s="0" t="n">
        <f aca="false">W_PH(AS$2,$A404)</f>
        <v>2015</v>
      </c>
    </row>
    <row r="405" customFormat="false" ht="12.8" hidden="false" customHeight="false" outlineLevel="0" collapsed="false">
      <c r="A405" s="0" t="n">
        <v>2429.06276870163</v>
      </c>
      <c r="B405" s="0" t="n">
        <f aca="false">W_PH(B$2,$A405)</f>
        <v>2015</v>
      </c>
      <c r="C405" s="0" t="n">
        <f aca="false">W_PH(C$2,$A405)</f>
        <v>3155.53277181313</v>
      </c>
      <c r="D405" s="0" t="n">
        <f aca="false">W_PH(D$2,$A405)</f>
        <v>3155.53296224815</v>
      </c>
      <c r="E405" s="0" t="n">
        <f aca="false">W_PH(E$2,$A405)</f>
        <v>3155.5331526832</v>
      </c>
      <c r="F405" s="0" t="n">
        <f aca="false">W_PH(F$2,$A405)</f>
        <v>3155.53333913532</v>
      </c>
      <c r="G405" s="0" t="n">
        <f aca="false">W_PH(G$2,$A405)</f>
        <v>3155.53523552178</v>
      </c>
      <c r="H405" s="0" t="n">
        <f aca="false">W_PH(H$2,$A405)</f>
        <v>3155.5371319111</v>
      </c>
      <c r="I405" s="0" t="n">
        <f aca="false">W_PH(I$2,$A405)</f>
        <v>3155.53902830331</v>
      </c>
      <c r="J405" s="0" t="n">
        <f aca="false">W_PH(J$2,$A405)</f>
        <v>3155.5409246984</v>
      </c>
      <c r="K405" s="0" t="n">
        <f aca="false">W_PH(K$2,$A405)</f>
        <v>3155.54281711338</v>
      </c>
      <c r="L405" s="0" t="n">
        <f aca="false">W_PH(L$2,$A405)</f>
        <v>3155.54470953124</v>
      </c>
      <c r="M405" s="0" t="n">
        <f aca="false">W_PH(M$2,$A405)</f>
        <v>3155.54660593498</v>
      </c>
      <c r="N405" s="0" t="n">
        <f aca="false">W_PH(N$2,$A405)</f>
        <v>3155.54850234161</v>
      </c>
      <c r="O405" s="0" t="n">
        <f aca="false">W_PH(O$2,$A405)</f>
        <v>3155.55039875115</v>
      </c>
      <c r="P405" s="0" t="n">
        <f aca="false">W_PH(P$2,$A405)</f>
        <v>3155.56934707405</v>
      </c>
      <c r="Q405" s="0" t="n">
        <f aca="false">W_PH(Q$2,$A405)</f>
        <v>3155.58830365562</v>
      </c>
      <c r="R405" s="0" t="n">
        <f aca="false">W_PH(R$2,$A405)</f>
        <v>3155.60725256625</v>
      </c>
      <c r="S405" s="0" t="n">
        <f aca="false">W_PH(S$2,$A405)</f>
        <v>3155.62620974167</v>
      </c>
      <c r="T405" s="0" t="n">
        <f aca="false">W_PH(T$2,$A405)</f>
        <v>3155.64515925171</v>
      </c>
      <c r="U405" s="0" t="n">
        <f aca="false">W_PH(U$2,$A405)</f>
        <v>3155.66411304921</v>
      </c>
      <c r="V405" s="0" t="n">
        <f aca="false">W_PH(V$2,$A405)</f>
        <v>3155.6830671538</v>
      </c>
      <c r="W405" s="0" t="n">
        <f aca="false">W_PH(W$2,$A405)</f>
        <v>3155.70201758478</v>
      </c>
      <c r="X405" s="0" t="n">
        <f aca="false">W_PH(X$2,$A405)</f>
        <v>3155.7209762959</v>
      </c>
      <c r="Y405" s="0" t="n">
        <f aca="false">W_PH(Y$2,$A405)</f>
        <v>3155.91052548679</v>
      </c>
      <c r="Z405" s="0" t="n">
        <f aca="false">W_PH(Z$2,$A405)</f>
        <v>3156.10010519217</v>
      </c>
      <c r="AA405" s="0" t="n">
        <f aca="false">W_PH(AA$2,$A405)</f>
        <v>3156.28971434478</v>
      </c>
      <c r="AB405" s="0" t="n">
        <f aca="false">W_PH(AB$2,$A405)</f>
        <v>3156.47935187413</v>
      </c>
      <c r="AC405" s="0" t="n">
        <f aca="false">W_PH(AC$2,$A405)</f>
        <v>3156.66903265579</v>
      </c>
      <c r="AD405" s="0" t="n">
        <f aca="false">W_PH(AD$2,$A405)</f>
        <v>3156.85874365746</v>
      </c>
      <c r="AE405" s="0" t="n">
        <f aca="false">W_PH(AE$2,$A405)</f>
        <v>3157.04850374506</v>
      </c>
      <c r="AF405" s="0" t="n">
        <f aca="false">W_PH(AF$2,$A405)</f>
        <v>3157.23829987985</v>
      </c>
      <c r="AG405" s="0" t="n">
        <f aca="false">W_PH(AG$2,$A405)</f>
        <v>3157.42814295252</v>
      </c>
      <c r="AH405" s="0" t="n">
        <f aca="false">W_PH(AH$2,$A405)</f>
        <v>3159.32977227766</v>
      </c>
      <c r="AI405" s="0" t="n">
        <f aca="false">W_PH(AI$2,$A405)</f>
        <v>3161.23910695693</v>
      </c>
      <c r="AJ405" s="0" t="n">
        <f aca="false">W_PH(AJ$2,$A405)</f>
        <v>3163.15893545225</v>
      </c>
      <c r="AK405" s="0" t="n">
        <f aca="false">W_PH(AK$2,$A405)</f>
        <v>3165.09204271139</v>
      </c>
      <c r="AL405" s="0" t="n">
        <f aca="false">W_PH(AL$2,$A405)</f>
        <v>3167.04121039871</v>
      </c>
      <c r="AM405" s="0" t="n">
        <f aca="false">W_PH(AM$2,$A405)</f>
        <v>3169.00920507476</v>
      </c>
      <c r="AN405" s="0" t="n">
        <f aca="false">W_PH(AN$2,$A405)</f>
        <v>3170.99880668996</v>
      </c>
      <c r="AO405" s="0" t="n">
        <f aca="false">W_PH(AO$2,$A405)</f>
        <v>3173.0127929025</v>
      </c>
      <c r="AP405" s="0" t="n">
        <f aca="false">W_PH(AP$2,$A405)</f>
        <v>2015</v>
      </c>
      <c r="AQ405" s="0" t="n">
        <f aca="false">W_PH(AQ$2,$A405)</f>
        <v>2015</v>
      </c>
      <c r="AR405" s="0" t="n">
        <f aca="false">W_PH(AR$2,$A405)</f>
        <v>2015</v>
      </c>
      <c r="AS405" s="0" t="n">
        <f aca="false">W_PH(AS$2,$A405)</f>
        <v>2015</v>
      </c>
    </row>
    <row r="406" customFormat="false" ht="12.8" hidden="false" customHeight="false" outlineLevel="0" collapsed="false">
      <c r="A406" s="0" t="n">
        <v>2433.36199484093</v>
      </c>
      <c r="B406" s="0" t="n">
        <f aca="false">W_PH(B$2,$A406)</f>
        <v>2015</v>
      </c>
      <c r="C406" s="0" t="n">
        <f aca="false">W_PH(C$2,$A406)</f>
        <v>3158.83174462043</v>
      </c>
      <c r="D406" s="0" t="n">
        <f aca="false">W_PH(D$2,$A406)</f>
        <v>3158.83193565516</v>
      </c>
      <c r="E406" s="0" t="n">
        <f aca="false">W_PH(E$2,$A406)</f>
        <v>3158.83212271099</v>
      </c>
      <c r="F406" s="0" t="n">
        <f aca="false">W_PH(F$2,$A406)</f>
        <v>3158.83231374577</v>
      </c>
      <c r="G406" s="0" t="n">
        <f aca="false">W_PH(G$2,$A406)</f>
        <v>3158.83421215836</v>
      </c>
      <c r="H406" s="0" t="n">
        <f aca="false">W_PH(H$2,$A406)</f>
        <v>3158.83610659486</v>
      </c>
      <c r="I406" s="0" t="n">
        <f aca="false">W_PH(I$2,$A406)</f>
        <v>3158.83800899207</v>
      </c>
      <c r="J406" s="0" t="n">
        <f aca="false">W_PH(J$2,$A406)</f>
        <v>3158.83990343423</v>
      </c>
      <c r="K406" s="0" t="n">
        <f aca="false">W_PH(K$2,$A406)</f>
        <v>3158.84179787923</v>
      </c>
      <c r="L406" s="0" t="n">
        <f aca="false">W_PH(L$2,$A406)</f>
        <v>3158.84370028499</v>
      </c>
      <c r="M406" s="0" t="n">
        <f aca="false">W_PH(M$2,$A406)</f>
        <v>3158.84559473567</v>
      </c>
      <c r="N406" s="0" t="n">
        <f aca="false">W_PH(N$2,$A406)</f>
        <v>3158.84749316817</v>
      </c>
      <c r="O406" s="0" t="n">
        <f aca="false">W_PH(O$2,$A406)</f>
        <v>3158.84939160352</v>
      </c>
      <c r="P406" s="0" t="n">
        <f aca="false">W_PH(P$2,$A406)</f>
        <v>3158.86836815674</v>
      </c>
      <c r="Q406" s="0" t="n">
        <f aca="false">W_PH(Q$2,$A406)</f>
        <v>3158.88734499855</v>
      </c>
      <c r="R406" s="0" t="n">
        <f aca="false">W_PH(R$2,$A406)</f>
        <v>3158.90631815267</v>
      </c>
      <c r="S406" s="0" t="n">
        <f aca="false">W_PH(S$2,$A406)</f>
        <v>3158.92529160106</v>
      </c>
      <c r="T406" s="0" t="n">
        <f aca="false">W_PH(T$2,$A406)</f>
        <v>3158.94426932597</v>
      </c>
      <c r="U406" s="0" t="n">
        <f aca="false">W_PH(U$2,$A406)</f>
        <v>3158.9632473511</v>
      </c>
      <c r="V406" s="0" t="n">
        <f aca="false">W_PH(V$2,$A406)</f>
        <v>3158.98222567935</v>
      </c>
      <c r="W406" s="0" t="n">
        <f aca="false">W_PH(W$2,$A406)</f>
        <v>3159.00120033408</v>
      </c>
      <c r="X406" s="0" t="n">
        <f aca="false">W_PH(X$2,$A406)</f>
        <v>3159.02017529761</v>
      </c>
      <c r="Y406" s="0" t="n">
        <f aca="false">W_PH(Y$2,$A406)</f>
        <v>3159.20996643773</v>
      </c>
      <c r="Z406" s="0" t="n">
        <f aca="false">W_PH(Z$2,$A406)</f>
        <v>3159.39977573701</v>
      </c>
      <c r="AA406" s="0" t="n">
        <f aca="false">W_PH(AA$2,$A406)</f>
        <v>3159.58962201861</v>
      </c>
      <c r="AB406" s="0" t="n">
        <f aca="false">W_PH(AB$2,$A406)</f>
        <v>3159.77949225682</v>
      </c>
      <c r="AC406" s="0" t="n">
        <f aca="false">W_PH(AC$2,$A406)</f>
        <v>3159.96940527998</v>
      </c>
      <c r="AD406" s="0" t="n">
        <f aca="false">W_PH(AD$2,$A406)</f>
        <v>3160.15934805603</v>
      </c>
      <c r="AE406" s="0" t="n">
        <f aca="false">W_PH(AE$2,$A406)</f>
        <v>3160.34933941846</v>
      </c>
      <c r="AF406" s="0" t="n">
        <f aca="false">W_PH(AF$2,$A406)</f>
        <v>3160.53936632889</v>
      </c>
      <c r="AG406" s="0" t="n">
        <f aca="false">W_PH(AG$2,$A406)</f>
        <v>3160.72944762598</v>
      </c>
      <c r="AH406" s="0" t="n">
        <f aca="false">W_PH(AH$2,$A406)</f>
        <v>3162.63335518723</v>
      </c>
      <c r="AI406" s="0" t="n">
        <f aca="false">W_PH(AI$2,$A406)</f>
        <v>3164.54492241498</v>
      </c>
      <c r="AJ406" s="0" t="n">
        <f aca="false">W_PH(AJ$2,$A406)</f>
        <v>3166.46691412878</v>
      </c>
      <c r="AK406" s="0" t="n">
        <f aca="false">W_PH(AK$2,$A406)</f>
        <v>3168.40209167189</v>
      </c>
      <c r="AL406" s="0" t="n">
        <f aca="false">W_PH(AL$2,$A406)</f>
        <v>3170.35322922457</v>
      </c>
      <c r="AM406" s="0" t="n">
        <f aca="false">W_PH(AM$2,$A406)</f>
        <v>3172.32307393556</v>
      </c>
      <c r="AN406" s="0" t="n">
        <f aca="false">W_PH(AN$2,$A406)</f>
        <v>3174.3143984843</v>
      </c>
      <c r="AO406" s="0" t="n">
        <f aca="false">W_PH(AO$2,$A406)</f>
        <v>3176.32995722525</v>
      </c>
      <c r="AP406" s="0" t="n">
        <f aca="false">W_PH(AP$2,$A406)</f>
        <v>2015</v>
      </c>
      <c r="AQ406" s="0" t="n">
        <f aca="false">W_PH(AQ$2,$A406)</f>
        <v>2015</v>
      </c>
      <c r="AR406" s="0" t="n">
        <f aca="false">W_PH(AR$2,$A406)</f>
        <v>2015</v>
      </c>
      <c r="AS406" s="0" t="n">
        <f aca="false">W_PH(AS$2,$A406)</f>
        <v>2015</v>
      </c>
    </row>
    <row r="407" customFormat="false" ht="12.8" hidden="false" customHeight="false" outlineLevel="0" collapsed="false">
      <c r="A407" s="0" t="n">
        <v>2437.66122098022</v>
      </c>
      <c r="B407" s="0" t="n">
        <f aca="false">W_PH(B$2,$A407)</f>
        <v>2015</v>
      </c>
      <c r="C407" s="0" t="n">
        <f aca="false">W_PH(C$2,$A407)</f>
        <v>3162.12519135331</v>
      </c>
      <c r="D407" s="0" t="n">
        <f aca="false">W_PH(D$2,$A407)</f>
        <v>3162.12537900556</v>
      </c>
      <c r="E407" s="0" t="n">
        <f aca="false">W_PH(E$2,$A407)</f>
        <v>3162.12556665783</v>
      </c>
      <c r="F407" s="0" t="n">
        <f aca="false">W_PH(F$2,$A407)</f>
        <v>3162.12575828503</v>
      </c>
      <c r="G407" s="0" t="n">
        <f aca="false">W_PH(G$2,$A407)</f>
        <v>3162.12765865895</v>
      </c>
      <c r="H407" s="0" t="n">
        <f aca="false">W_PH(H$2,$A407)</f>
        <v>3162.12955506075</v>
      </c>
      <c r="I407" s="0" t="n">
        <f aca="false">W_PH(I$2,$A407)</f>
        <v>3162.13145544026</v>
      </c>
      <c r="J407" s="0" t="n">
        <f aca="false">W_PH(J$2,$A407)</f>
        <v>3162.13335582258</v>
      </c>
      <c r="K407" s="0" t="n">
        <f aca="false">W_PH(K$2,$A407)</f>
        <v>3162.13525620769</v>
      </c>
      <c r="L407" s="0" t="n">
        <f aca="false">W_PH(L$2,$A407)</f>
        <v>3162.13715659562</v>
      </c>
      <c r="M407" s="0" t="n">
        <f aca="false">W_PH(M$2,$A407)</f>
        <v>3162.13905698636</v>
      </c>
      <c r="N407" s="0" t="n">
        <f aca="false">W_PH(N$2,$A407)</f>
        <v>3162.14095737992</v>
      </c>
      <c r="O407" s="0" t="n">
        <f aca="false">W_PH(O$2,$A407)</f>
        <v>3162.14285777629</v>
      </c>
      <c r="P407" s="0" t="n">
        <f aca="false">W_PH(P$2,$A407)</f>
        <v>3162.16185394553</v>
      </c>
      <c r="Q407" s="0" t="n">
        <f aca="false">W_PH(Q$2,$A407)</f>
        <v>3162.18085437452</v>
      </c>
      <c r="R407" s="0" t="n">
        <f aca="false">W_PH(R$2,$A407)</f>
        <v>3162.19985509117</v>
      </c>
      <c r="S407" s="0" t="n">
        <f aca="false">W_PH(S$2,$A407)</f>
        <v>3162.21885212314</v>
      </c>
      <c r="T407" s="0" t="n">
        <f aca="false">W_PH(T$2,$A407)</f>
        <v>3162.23784944842</v>
      </c>
      <c r="U407" s="0" t="n">
        <f aca="false">W_PH(U$2,$A407)</f>
        <v>3162.25685104528</v>
      </c>
      <c r="V407" s="0" t="n">
        <f aca="false">W_PH(V$2,$A407)</f>
        <v>3162.27585294136</v>
      </c>
      <c r="W407" s="0" t="n">
        <f aca="false">W_PH(W$2,$A407)</f>
        <v>3162.29485116403</v>
      </c>
      <c r="X407" s="0" t="n">
        <f aca="false">W_PH(X$2,$A407)</f>
        <v>3162.31384969156</v>
      </c>
      <c r="Y407" s="0" t="n">
        <f aca="false">W_PH(Y$2,$A407)</f>
        <v>3162.50386827515</v>
      </c>
      <c r="Z407" s="0" t="n">
        <f aca="false">W_PH(Z$2,$A407)</f>
        <v>3162.69391257442</v>
      </c>
      <c r="AA407" s="0" t="n">
        <f aca="false">W_PH(AA$2,$A407)</f>
        <v>3162.88398547371</v>
      </c>
      <c r="AB407" s="0" t="n">
        <f aca="false">W_PH(AB$2,$A407)</f>
        <v>3163.07408985708</v>
      </c>
      <c r="AC407" s="0" t="n">
        <f aca="false">W_PH(AC$2,$A407)</f>
        <v>3163.26422860831</v>
      </c>
      <c r="AD407" s="0" t="n">
        <f aca="false">W_PH(AD$2,$A407)</f>
        <v>3163.4544046109</v>
      </c>
      <c r="AE407" s="0" t="n">
        <f aca="false">W_PH(AE$2,$A407)</f>
        <v>3163.64462074804</v>
      </c>
      <c r="AF407" s="0" t="n">
        <f aca="false">W_PH(AF$2,$A407)</f>
        <v>3163.83487990267</v>
      </c>
      <c r="AG407" s="0" t="n">
        <f aca="false">W_PH(AG$2,$A407)</f>
        <v>3164.02518495743</v>
      </c>
      <c r="AH407" s="0" t="n">
        <f aca="false">W_PH(AH$2,$A407)</f>
        <v>3165.93135011412</v>
      </c>
      <c r="AI407" s="0" t="n">
        <f aca="false">W_PH(AI$2,$A407)</f>
        <v>3167.84511414013</v>
      </c>
      <c r="AJ407" s="0" t="n">
        <f aca="false">W_PH(AJ$2,$A407)</f>
        <v>3169.76923028145</v>
      </c>
      <c r="AK407" s="0" t="n">
        <f aca="false">W_PH(AK$2,$A407)</f>
        <v>3171.70644842908</v>
      </c>
      <c r="AL407" s="0" t="n">
        <f aca="false">W_PH(AL$2,$A407)</f>
        <v>3173.65951936059</v>
      </c>
      <c r="AM407" s="0" t="n">
        <f aca="false">W_PH(AM$2,$A407)</f>
        <v>3175.63119101954</v>
      </c>
      <c r="AN407" s="0" t="n">
        <f aca="false">W_PH(AN$2,$A407)</f>
        <v>3177.6242088279</v>
      </c>
      <c r="AO407" s="0" t="n">
        <f aca="false">W_PH(AO$2,$A407)</f>
        <v>3179.64130797116</v>
      </c>
      <c r="AP407" s="0" t="n">
        <f aca="false">W_PH(AP$2,$A407)</f>
        <v>2015</v>
      </c>
      <c r="AQ407" s="0" t="n">
        <f aca="false">W_PH(AQ$2,$A407)</f>
        <v>2015</v>
      </c>
      <c r="AR407" s="0" t="n">
        <f aca="false">W_PH(AR$2,$A407)</f>
        <v>2015</v>
      </c>
      <c r="AS407" s="0" t="n">
        <f aca="false">W_PH(AS$2,$A407)</f>
        <v>2015</v>
      </c>
    </row>
    <row r="408" customFormat="false" ht="12.8" hidden="false" customHeight="false" outlineLevel="0" collapsed="false">
      <c r="A408" s="0" t="n">
        <v>2441.96044711952</v>
      </c>
      <c r="B408" s="0" t="n">
        <f aca="false">W_PH(B$2,$A408)</f>
        <v>2015</v>
      </c>
      <c r="C408" s="0" t="n">
        <f aca="false">W_PH(C$2,$A408)</f>
        <v>3165.4131342603</v>
      </c>
      <c r="D408" s="0" t="n">
        <f aca="false">W_PH(D$2,$A408)</f>
        <v>3165.41332647267</v>
      </c>
      <c r="E408" s="0" t="n">
        <f aca="false">W_PH(E$2,$A408)</f>
        <v>3165.41351868506</v>
      </c>
      <c r="F408" s="0" t="n">
        <f aca="false">W_PH(F$2,$A408)</f>
        <v>3165.41370692659</v>
      </c>
      <c r="G408" s="0" t="n">
        <f aca="false">W_PH(G$2,$A408)</f>
        <v>3165.41560919787</v>
      </c>
      <c r="H408" s="0" t="n">
        <f aca="false">W_PH(H$2,$A408)</f>
        <v>3165.4175114719</v>
      </c>
      <c r="I408" s="0" t="n">
        <f aca="false">W_PH(I$2,$A408)</f>
        <v>3165.41941374869</v>
      </c>
      <c r="J408" s="0" t="n">
        <f aca="false">W_PH(J$2,$A408)</f>
        <v>3165.42131602825</v>
      </c>
      <c r="K408" s="0" t="n">
        <f aca="false">W_PH(K$2,$A408)</f>
        <v>3165.42321831057</v>
      </c>
      <c r="L408" s="0" t="n">
        <f aca="false">W_PH(L$2,$A408)</f>
        <v>3165.42512059566</v>
      </c>
      <c r="M408" s="0" t="n">
        <f aca="false">W_PH(M$2,$A408)</f>
        <v>3165.42702288353</v>
      </c>
      <c r="N408" s="0" t="n">
        <f aca="false">W_PH(N$2,$A408)</f>
        <v>3165.42892517417</v>
      </c>
      <c r="O408" s="0" t="n">
        <f aca="false">W_PH(O$2,$A408)</f>
        <v>3165.43082349663</v>
      </c>
      <c r="P408" s="0" t="n">
        <f aca="false">W_PH(P$2,$A408)</f>
        <v>3165.44984658421</v>
      </c>
      <c r="Q408" s="0" t="n">
        <f aca="false">W_PH(Q$2,$A408)</f>
        <v>3165.4688699528</v>
      </c>
      <c r="R408" s="0" t="n">
        <f aca="false">W_PH(R$2,$A408)</f>
        <v>3165.48789360527</v>
      </c>
      <c r="S408" s="0" t="n">
        <f aca="false">W_PH(S$2,$A408)</f>
        <v>3165.50691357326</v>
      </c>
      <c r="T408" s="0" t="n">
        <f aca="false">W_PH(T$2,$A408)</f>
        <v>3165.52593383074</v>
      </c>
      <c r="U408" s="0" t="n">
        <f aca="false">W_PH(U$2,$A408)</f>
        <v>3165.54495835196</v>
      </c>
      <c r="V408" s="0" t="n">
        <f aca="false">W_PH(V$2,$A408)</f>
        <v>3165.56398316856</v>
      </c>
      <c r="W408" s="0" t="n">
        <f aca="false">W_PH(W$2,$A408)</f>
        <v>3165.58300034036</v>
      </c>
      <c r="X408" s="0" t="n">
        <f aca="false">W_PH(X$2,$A408)</f>
        <v>3165.60202575619</v>
      </c>
      <c r="Y408" s="0" t="n">
        <f aca="false">W_PH(Y$2,$A408)</f>
        <v>3165.79227327452</v>
      </c>
      <c r="Z408" s="0" t="n">
        <f aca="false">W_PH(Z$2,$A408)</f>
        <v>3165.98253816498</v>
      </c>
      <c r="AA408" s="0" t="n">
        <f aca="false">W_PH(AA$2,$A408)</f>
        <v>3166.17283918667</v>
      </c>
      <c r="AB408" s="0" t="n">
        <f aca="false">W_PH(AB$2,$A408)</f>
        <v>3166.36317126324</v>
      </c>
      <c r="AC408" s="0" t="n">
        <f aca="false">W_PH(AC$2,$A408)</f>
        <v>3166.55353726265</v>
      </c>
      <c r="AD408" s="0" t="n">
        <f aca="false">W_PH(AD$2,$A408)</f>
        <v>3166.74393607677</v>
      </c>
      <c r="AE408" s="0" t="n">
        <f aca="false">W_PH(AE$2,$A408)</f>
        <v>3166.93437852394</v>
      </c>
      <c r="AF408" s="0" t="n">
        <f aca="false">W_PH(AF$2,$A408)</f>
        <v>3167.12485951895</v>
      </c>
      <c r="AG408" s="0" t="n">
        <f aca="false">W_PH(AG$2,$A408)</f>
        <v>3167.31538988242</v>
      </c>
      <c r="AH408" s="0" t="n">
        <f aca="false">W_PH(AH$2,$A408)</f>
        <v>3169.22378074083</v>
      </c>
      <c r="AI408" s="0" t="n">
        <f aca="false">W_PH(AI$2,$A408)</f>
        <v>3171.13970653236</v>
      </c>
      <c r="AJ408" s="0" t="n">
        <f aca="false">W_PH(AJ$2,$A408)</f>
        <v>3173.06591702434</v>
      </c>
      <c r="AK408" s="0" t="n">
        <f aca="false">W_PH(AK$2,$A408)</f>
        <v>3175.00514278078</v>
      </c>
      <c r="AL408" s="0" t="n">
        <f aca="false">W_PH(AL$2,$A408)</f>
        <v>3176.96012333288</v>
      </c>
      <c r="AM408" s="0" t="n">
        <f aca="false">W_PH(AM$2,$A408)</f>
        <v>3178.93358745086</v>
      </c>
      <c r="AN408" s="0" t="n">
        <f aca="false">W_PH(AN$2,$A408)</f>
        <v>3180.92826546198</v>
      </c>
      <c r="AO408" s="0" t="n">
        <f aca="false">W_PH(AO$2,$A408)</f>
        <v>3182.94689366538</v>
      </c>
      <c r="AP408" s="0" t="n">
        <f aca="false">W_PH(AP$2,$A408)</f>
        <v>2015</v>
      </c>
      <c r="AQ408" s="0" t="n">
        <f aca="false">W_PH(AQ$2,$A408)</f>
        <v>2015</v>
      </c>
      <c r="AR408" s="0" t="n">
        <f aca="false">W_PH(AR$2,$A408)</f>
        <v>2015</v>
      </c>
      <c r="AS408" s="0" t="n">
        <f aca="false">W_PH(AS$2,$A408)</f>
        <v>2015</v>
      </c>
    </row>
    <row r="409" customFormat="false" ht="12.8" hidden="false" customHeight="false" outlineLevel="0" collapsed="false">
      <c r="A409" s="0" t="n">
        <v>2446.25967325881</v>
      </c>
      <c r="B409" s="0" t="n">
        <f aca="false">W_PH(B$2,$A409)</f>
        <v>2015</v>
      </c>
      <c r="C409" s="0" t="n">
        <f aca="false">W_PH(C$2,$A409)</f>
        <v>3168.69561921675</v>
      </c>
      <c r="D409" s="0" t="n">
        <f aca="false">W_PH(D$2,$A409)</f>
        <v>3168.69580804033</v>
      </c>
      <c r="E409" s="0" t="n">
        <f aca="false">W_PH(E$2,$A409)</f>
        <v>3168.69599686394</v>
      </c>
      <c r="F409" s="0" t="n">
        <f aca="false">W_PH(F$2,$A409)</f>
        <v>3168.69618965449</v>
      </c>
      <c r="G409" s="0" t="n">
        <f aca="false">W_PH(G$2,$A409)</f>
        <v>3168.69809375997</v>
      </c>
      <c r="H409" s="0" t="n">
        <f aca="false">W_PH(H$2,$A409)</f>
        <v>3168.69999786817</v>
      </c>
      <c r="I409" s="0" t="n">
        <f aca="false">W_PH(I$2,$A409)</f>
        <v>3168.70190197909</v>
      </c>
      <c r="J409" s="0" t="n">
        <f aca="false">W_PH(J$2,$A409)</f>
        <v>3168.70381005968</v>
      </c>
      <c r="K409" s="0" t="n">
        <f aca="false">W_PH(K$2,$A409)</f>
        <v>3168.70571417606</v>
      </c>
      <c r="L409" s="0" t="n">
        <f aca="false">W_PH(L$2,$A409)</f>
        <v>3168.70761829518</v>
      </c>
      <c r="M409" s="0" t="n">
        <f aca="false">W_PH(M$2,$A409)</f>
        <v>3168.70952241703</v>
      </c>
      <c r="N409" s="0" t="n">
        <f aca="false">W_PH(N$2,$A409)</f>
        <v>3168.71142654162</v>
      </c>
      <c r="O409" s="0" t="n">
        <f aca="false">W_PH(O$2,$A409)</f>
        <v>3168.71333066895</v>
      </c>
      <c r="P409" s="0" t="n">
        <f aca="false">W_PH(P$2,$A409)</f>
        <v>3168.73237209357</v>
      </c>
      <c r="Q409" s="0" t="n">
        <f aca="false">W_PH(Q$2,$A409)</f>
        <v>3168.75141379535</v>
      </c>
      <c r="R409" s="0" t="n">
        <f aca="false">W_PH(R$2,$A409)</f>
        <v>3168.77046371148</v>
      </c>
      <c r="S409" s="0" t="n">
        <f aca="false">W_PH(S$2,$A409)</f>
        <v>3168.78950597626</v>
      </c>
      <c r="T409" s="0" t="n">
        <f aca="false">W_PH(T$2,$A409)</f>
        <v>3168.80854852677</v>
      </c>
      <c r="U409" s="0" t="n">
        <f aca="false">W_PH(U$2,$A409)</f>
        <v>3168.82759136585</v>
      </c>
      <c r="V409" s="0" t="n">
        <f aca="false">W_PH(V$2,$A409)</f>
        <v>3168.84664243128</v>
      </c>
      <c r="W409" s="0" t="n">
        <f aca="false">W_PH(W$2,$A409)</f>
        <v>3168.86568585623</v>
      </c>
      <c r="X409" s="0" t="n">
        <f aca="false">W_PH(X$2,$A409)</f>
        <v>3168.88472957833</v>
      </c>
      <c r="Y409" s="0" t="n">
        <f aca="false">W_PH(Y$2,$A409)</f>
        <v>3169.07519964448</v>
      </c>
      <c r="Z409" s="0" t="n">
        <f aca="false">W_PH(Z$2,$A409)</f>
        <v>3169.26569463634</v>
      </c>
      <c r="AA409" s="0" t="n">
        <f aca="false">W_PH(AA$2,$A409)</f>
        <v>3169.45621343704</v>
      </c>
      <c r="AB409" s="0" t="n">
        <f aca="false">W_PH(AB$2,$A409)</f>
        <v>3169.6467668378</v>
      </c>
      <c r="AC409" s="0" t="n">
        <f aca="false">W_PH(AC$2,$A409)</f>
        <v>3169.83735769299</v>
      </c>
      <c r="AD409" s="0" t="n">
        <f aca="false">W_PH(AD$2,$A409)</f>
        <v>3170.02798091316</v>
      </c>
      <c r="AE409" s="0" t="n">
        <f aca="false">W_PH(AE$2,$A409)</f>
        <v>3170.21864332042</v>
      </c>
      <c r="AF409" s="0" t="n">
        <f aca="false">W_PH(AF$2,$A409)</f>
        <v>3170.40934776627</v>
      </c>
      <c r="AG409" s="0" t="n">
        <f aca="false">W_PH(AG$2,$A409)</f>
        <v>3170.60009710191</v>
      </c>
      <c r="AH409" s="0" t="n">
        <f aca="false">W_PH(AH$2,$A409)</f>
        <v>3172.51067055355</v>
      </c>
      <c r="AI409" s="0" t="n">
        <f aca="false">W_PH(AI$2,$A409)</f>
        <v>3174.42873175986</v>
      </c>
      <c r="AJ409" s="0" t="n">
        <f aca="false">W_PH(AJ$2,$A409)</f>
        <v>3176.35700721948</v>
      </c>
      <c r="AK409" s="0" t="n">
        <f aca="false">W_PH(AK$2,$A409)</f>
        <v>3178.29820828053</v>
      </c>
      <c r="AL409" s="0" t="n">
        <f aca="false">W_PH(AL$2,$A409)</f>
        <v>3180.25506732823</v>
      </c>
      <c r="AM409" s="0" t="n">
        <f aca="false">W_PH(AM$2,$A409)</f>
        <v>3182.23029810205</v>
      </c>
      <c r="AN409" s="0" t="n">
        <f aca="false">W_PH(AN$2,$A409)</f>
        <v>3184.22661195149</v>
      </c>
      <c r="AO409" s="0" t="n">
        <f aca="false">W_PH(AO$2,$A409)</f>
        <v>3186.24673026354</v>
      </c>
      <c r="AP409" s="0" t="n">
        <f aca="false">W_PH(AP$2,$A409)</f>
        <v>2015</v>
      </c>
      <c r="AQ409" s="0" t="n">
        <f aca="false">W_PH(AQ$2,$A409)</f>
        <v>2015</v>
      </c>
      <c r="AR409" s="0" t="n">
        <f aca="false">W_PH(AR$2,$A409)</f>
        <v>2015</v>
      </c>
      <c r="AS409" s="0" t="n">
        <f aca="false">W_PH(AS$2,$A409)</f>
        <v>2015</v>
      </c>
    </row>
    <row r="410" customFormat="false" ht="12.8" hidden="false" customHeight="false" outlineLevel="0" collapsed="false">
      <c r="A410" s="0" t="n">
        <v>2450.55889939811</v>
      </c>
      <c r="B410" s="0" t="n">
        <f aca="false">W_PH(B$2,$A410)</f>
        <v>2015</v>
      </c>
      <c r="C410" s="0" t="n">
        <f aca="false">W_PH(C$2,$A410)</f>
        <v>3171.97266408963</v>
      </c>
      <c r="D410" s="0" t="n">
        <f aca="false">W_PH(D$2,$A410)</f>
        <v>3171.97285348828</v>
      </c>
      <c r="E410" s="0" t="n">
        <f aca="false">W_PH(E$2,$A410)</f>
        <v>3171.97304288697</v>
      </c>
      <c r="F410" s="0" t="n">
        <f aca="false">W_PH(F$2,$A410)</f>
        <v>3171.97323228567</v>
      </c>
      <c r="G410" s="0" t="n">
        <f aca="false">W_PH(G$2,$A410)</f>
        <v>3171.97514212597</v>
      </c>
      <c r="H410" s="0" t="n">
        <f aca="false">W_PH(H$2,$A410)</f>
        <v>3171.97704404307</v>
      </c>
      <c r="I410" s="0" t="n">
        <f aca="false">W_PH(I$2,$A410)</f>
        <v>3171.97895388875</v>
      </c>
      <c r="J410" s="0" t="n">
        <f aca="false">W_PH(J$2,$A410)</f>
        <v>3171.98085977417</v>
      </c>
      <c r="K410" s="0" t="n">
        <f aca="false">W_PH(K$2,$A410)</f>
        <v>3171.98276566228</v>
      </c>
      <c r="L410" s="0" t="n">
        <f aca="false">W_PH(L$2,$A410)</f>
        <v>3171.98467551606</v>
      </c>
      <c r="M410" s="0" t="n">
        <f aca="false">W_PH(M$2,$A410)</f>
        <v>3171.98657744658</v>
      </c>
      <c r="N410" s="0" t="n">
        <f aca="false">W_PH(N$2,$A410)</f>
        <v>3171.98848730577</v>
      </c>
      <c r="O410" s="0" t="n">
        <f aca="false">W_PH(O$2,$A410)</f>
        <v>3171.99039320468</v>
      </c>
      <c r="P410" s="0" t="n">
        <f aca="false">W_PH(P$2,$A410)</f>
        <v>3172.00945630606</v>
      </c>
      <c r="Q410" s="0" t="n">
        <f aca="false">W_PH(Q$2,$A410)</f>
        <v>3172.02852364406</v>
      </c>
      <c r="R410" s="0" t="n">
        <f aca="false">W_PH(R$2,$A410)</f>
        <v>3172.04759125852</v>
      </c>
      <c r="S410" s="0" t="n">
        <f aca="false">W_PH(S$2,$A410)</f>
        <v>3172.06665915228</v>
      </c>
      <c r="T410" s="0" t="n">
        <f aca="false">W_PH(T$2,$A410)</f>
        <v>3172.08572732817</v>
      </c>
      <c r="U410" s="0" t="n">
        <f aca="false">W_PH(U$2,$A410)</f>
        <v>3172.10479182564</v>
      </c>
      <c r="V410" s="0" t="n">
        <f aca="false">W_PH(V$2,$A410)</f>
        <v>3172.1238566108</v>
      </c>
      <c r="W410" s="0" t="n">
        <f aca="false">W_PH(W$2,$A410)</f>
        <v>3172.14292565003</v>
      </c>
      <c r="X410" s="0" t="n">
        <f aca="false">W_PH(X$2,$A410)</f>
        <v>3172.16199498277</v>
      </c>
      <c r="Y410" s="0" t="n">
        <f aca="false">W_PH(Y$2,$A410)</f>
        <v>3172.35268129249</v>
      </c>
      <c r="Z410" s="0" t="n">
        <f aca="false">W_PH(Z$2,$A410)</f>
        <v>3172.54339610558</v>
      </c>
      <c r="AA410" s="0" t="n">
        <f aca="false">W_PH(AA$2,$A410)</f>
        <v>3172.73413829565</v>
      </c>
      <c r="AB410" s="0" t="n">
        <f aca="false">W_PH(AB$2,$A410)</f>
        <v>3172.92491069971</v>
      </c>
      <c r="AC410" s="0" t="n">
        <f aca="false">W_PH(AC$2,$A410)</f>
        <v>3173.11571615445</v>
      </c>
      <c r="AD410" s="0" t="n">
        <f aca="false">W_PH(AD$2,$A410)</f>
        <v>3173.30656146411</v>
      </c>
      <c r="AE410" s="0" t="n">
        <f aca="false">W_PH(AE$2,$A410)</f>
        <v>3173.4974454985</v>
      </c>
      <c r="AF410" s="0" t="n">
        <f aca="false">W_PH(AF$2,$A410)</f>
        <v>3173.68836712446</v>
      </c>
      <c r="AG410" s="0" t="n">
        <f aca="false">W_PH(AG$2,$A410)</f>
        <v>3173.87933314541</v>
      </c>
      <c r="AH410" s="0" t="n">
        <f aca="false">W_PH(AH$2,$A410)</f>
        <v>3175.79206272785</v>
      </c>
      <c r="AI410" s="0" t="n">
        <f aca="false">W_PH(AI$2,$A410)</f>
        <v>3177.71222175281</v>
      </c>
      <c r="AJ410" s="0" t="n">
        <f aca="false">W_PH(AJ$2,$A410)</f>
        <v>3179.64252549991</v>
      </c>
      <c r="AK410" s="0" t="n">
        <f aca="false">W_PH(AK$2,$A410)</f>
        <v>3181.58567822239</v>
      </c>
      <c r="AL410" s="0" t="n">
        <f aca="false">W_PH(AL$2,$A410)</f>
        <v>3183.54438130221</v>
      </c>
      <c r="AM410" s="0" t="n">
        <f aca="false">W_PH(AM$2,$A410)</f>
        <v>3185.52134553714</v>
      </c>
      <c r="AN410" s="0" t="n">
        <f aca="false">W_PH(AN$2,$A410)</f>
        <v>3187.51927145665</v>
      </c>
      <c r="AO410" s="0" t="n">
        <f aca="false">W_PH(AO$2,$A410)</f>
        <v>3189.5408576445</v>
      </c>
      <c r="AP410" s="0" t="n">
        <f aca="false">W_PH(AP$2,$A410)</f>
        <v>2015</v>
      </c>
      <c r="AQ410" s="0" t="n">
        <f aca="false">W_PH(AQ$2,$A410)</f>
        <v>2015</v>
      </c>
      <c r="AR410" s="0" t="n">
        <f aca="false">W_PH(AR$2,$A410)</f>
        <v>2015</v>
      </c>
      <c r="AS410" s="0" t="n">
        <f aca="false">W_PH(AS$2,$A410)</f>
        <v>2015</v>
      </c>
    </row>
    <row r="411" customFormat="false" ht="12.8" hidden="false" customHeight="false" outlineLevel="0" collapsed="false">
      <c r="A411" s="0" t="n">
        <v>2454.8581255374</v>
      </c>
      <c r="B411" s="0" t="n">
        <f aca="false">W_PH(B$2,$A411)</f>
        <v>2015</v>
      </c>
      <c r="C411" s="0" t="n">
        <f aca="false">W_PH(C$2,$A411)</f>
        <v>3175.24429450979</v>
      </c>
      <c r="D411" s="0" t="n">
        <f aca="false">W_PH(D$2,$A411)</f>
        <v>3175.24448843555</v>
      </c>
      <c r="E411" s="0" t="n">
        <f aca="false">W_PH(E$2,$A411)</f>
        <v>3175.24467840235</v>
      </c>
      <c r="F411" s="0" t="n">
        <f aca="false">W_PH(F$2,$A411)</f>
        <v>3175.24487232816</v>
      </c>
      <c r="G411" s="0" t="n">
        <f aca="false">W_PH(G$2,$A411)</f>
        <v>3175.24677991587</v>
      </c>
      <c r="H411" s="0" t="n">
        <f aca="false">W_PH(H$2,$A411)</f>
        <v>3175.24868750623</v>
      </c>
      <c r="I411" s="0" t="n">
        <f aca="false">W_PH(I$2,$A411)</f>
        <v>3175.25059509924</v>
      </c>
      <c r="J411" s="0" t="n">
        <f aca="false">W_PH(J$2,$A411)</f>
        <v>3175.2525026949</v>
      </c>
      <c r="K411" s="0" t="n">
        <f aca="false">W_PH(K$2,$A411)</f>
        <v>3175.25441029321</v>
      </c>
      <c r="L411" s="0" t="n">
        <f aca="false">W_PH(L$2,$A411)</f>
        <v>3175.2563218532</v>
      </c>
      <c r="M411" s="0" t="n">
        <f aca="false">W_PH(M$2,$A411)</f>
        <v>3175.25823341586</v>
      </c>
      <c r="N411" s="0" t="n">
        <f aca="false">W_PH(N$2,$A411)</f>
        <v>3175.26014102216</v>
      </c>
      <c r="O411" s="0" t="n">
        <f aca="false">W_PH(O$2,$A411)</f>
        <v>3175.26204863113</v>
      </c>
      <c r="P411" s="0" t="n">
        <f aca="false">W_PH(P$2,$A411)</f>
        <v>3175.28113674531</v>
      </c>
      <c r="Q411" s="0" t="n">
        <f aca="false">W_PH(Q$2,$A411)</f>
        <v>3175.30022512948</v>
      </c>
      <c r="R411" s="0" t="n">
        <f aca="false">W_PH(R$2,$A411)</f>
        <v>3175.31930982722</v>
      </c>
      <c r="S411" s="0" t="n">
        <f aca="false">W_PH(S$2,$A411)</f>
        <v>3175.3384027191</v>
      </c>
      <c r="T411" s="0" t="n">
        <f aca="false">W_PH(T$2,$A411)</f>
        <v>3175.35748797082</v>
      </c>
      <c r="U411" s="0" t="n">
        <f aca="false">W_PH(U$2,$A411)</f>
        <v>3175.37657746315</v>
      </c>
      <c r="V411" s="0" t="n">
        <f aca="false">W_PH(V$2,$A411)</f>
        <v>3175.3956672396</v>
      </c>
      <c r="W411" s="0" t="n">
        <f aca="false">W_PH(W$2,$A411)</f>
        <v>3175.41475334342</v>
      </c>
      <c r="X411" s="0" t="n">
        <f aca="false">W_PH(X$2,$A411)</f>
        <v>3175.43384369653</v>
      </c>
      <c r="Y411" s="0" t="n">
        <f aca="false">W_PH(Y$2,$A411)</f>
        <v>3175.62475190599</v>
      </c>
      <c r="Z411" s="0" t="n">
        <f aca="false">W_PH(Z$2,$A411)</f>
        <v>3175.81568031457</v>
      </c>
      <c r="AA411" s="0" t="n">
        <f aca="false">W_PH(AA$2,$A411)</f>
        <v>3176.00663966541</v>
      </c>
      <c r="AB411" s="0" t="n">
        <f aca="false">W_PH(AB$2,$A411)</f>
        <v>3176.19762881972</v>
      </c>
      <c r="AC411" s="0" t="n">
        <f aca="false">W_PH(AC$2,$A411)</f>
        <v>3176.38865456186</v>
      </c>
      <c r="AD411" s="0" t="n">
        <f aca="false">W_PH(AD$2,$A411)</f>
        <v>3176.57970782367</v>
      </c>
      <c r="AE411" s="0" t="n">
        <f aca="false">W_PH(AE$2,$A411)</f>
        <v>3176.77080727958</v>
      </c>
      <c r="AF411" s="0" t="n">
        <f aca="false">W_PH(AF$2,$A411)</f>
        <v>3176.961947824</v>
      </c>
      <c r="AG411" s="0" t="n">
        <f aca="false">W_PH(AG$2,$A411)</f>
        <v>3177.15313227721</v>
      </c>
      <c r="AH411" s="0" t="n">
        <f aca="false">W_PH(AH$2,$A411)</f>
        <v>3179.06798030303</v>
      </c>
      <c r="AI411" s="0" t="n">
        <f aca="false">W_PH(AI$2,$A411)</f>
        <v>3180.99020820641</v>
      </c>
      <c r="AJ411" s="0" t="n">
        <f aca="false">W_PH(AJ$2,$A411)</f>
        <v>3182.9225042587</v>
      </c>
      <c r="AK411" s="0" t="n">
        <f aca="false">W_PH(AK$2,$A411)</f>
        <v>3184.86757765945</v>
      </c>
      <c r="AL411" s="0" t="n">
        <f aca="false">W_PH(AL$2,$A411)</f>
        <v>3186.82809896028</v>
      </c>
      <c r="AM411" s="0" t="n">
        <f aca="false">W_PH(AM$2,$A411)</f>
        <v>3188.80676811754</v>
      </c>
      <c r="AN411" s="0" t="n">
        <f aca="false">W_PH(AN$2,$A411)</f>
        <v>3190.80627492835</v>
      </c>
      <c r="AO411" s="0" t="n">
        <f aca="false">W_PH(AO$2,$A411)</f>
        <v>3192.82930733885</v>
      </c>
      <c r="AP411" s="0" t="n">
        <f aca="false">W_PH(AP$2,$A411)</f>
        <v>2015</v>
      </c>
      <c r="AQ411" s="0" t="n">
        <f aca="false">W_PH(AQ$2,$A411)</f>
        <v>2015</v>
      </c>
      <c r="AR411" s="0" t="n">
        <f aca="false">W_PH(AR$2,$A411)</f>
        <v>2015</v>
      </c>
      <c r="AS411" s="0" t="n">
        <f aca="false">W_PH(AS$2,$A411)</f>
        <v>2015</v>
      </c>
    </row>
    <row r="412" customFormat="false" ht="12.8" hidden="false" customHeight="false" outlineLevel="0" collapsed="false">
      <c r="A412" s="0" t="n">
        <v>2459.1573516767</v>
      </c>
      <c r="B412" s="0" t="n">
        <f aca="false">W_PH(B$2,$A412)</f>
        <v>2015</v>
      </c>
      <c r="C412" s="0" t="n">
        <f aca="false">W_PH(C$2,$A412)</f>
        <v>3178.51055174451</v>
      </c>
      <c r="D412" s="0" t="n">
        <f aca="false">W_PH(D$2,$A412)</f>
        <v>3178.51074227254</v>
      </c>
      <c r="E412" s="0" t="n">
        <f aca="false">W_PH(E$2,$A412)</f>
        <v>3178.5109328006</v>
      </c>
      <c r="F412" s="0" t="n">
        <f aca="false">W_PH(F$2,$A412)</f>
        <v>3178.51112332868</v>
      </c>
      <c r="G412" s="0" t="n">
        <f aca="false">W_PH(G$2,$A412)</f>
        <v>3178.51303652105</v>
      </c>
      <c r="H412" s="0" t="n">
        <f aca="false">W_PH(H$2,$A412)</f>
        <v>3178.51494971604</v>
      </c>
      <c r="I412" s="0" t="n">
        <f aca="false">W_PH(I$2,$A412)</f>
        <v>3178.5168589586</v>
      </c>
      <c r="J412" s="0" t="n">
        <f aca="false">W_PH(J$2,$A412)</f>
        <v>3178.51876820376</v>
      </c>
      <c r="K412" s="0" t="n">
        <f aca="false">W_PH(K$2,$A412)</f>
        <v>3178.52068140662</v>
      </c>
      <c r="L412" s="0" t="n">
        <f aca="false">W_PH(L$2,$A412)</f>
        <v>3178.52259065703</v>
      </c>
      <c r="M412" s="0" t="n">
        <f aca="false">W_PH(M$2,$A412)</f>
        <v>3178.52449991007</v>
      </c>
      <c r="N412" s="0" t="n">
        <f aca="false">W_PH(N$2,$A412)</f>
        <v>3178.52641312082</v>
      </c>
      <c r="O412" s="0" t="n">
        <f aca="false">W_PH(O$2,$A412)</f>
        <v>3178.52832633421</v>
      </c>
      <c r="P412" s="0" t="n">
        <f aca="false">W_PH(P$2,$A412)</f>
        <v>3178.54743488303</v>
      </c>
      <c r="Q412" s="0" t="n">
        <f aca="false">W_PH(Q$2,$A412)</f>
        <v>3178.56654369826</v>
      </c>
      <c r="R412" s="0" t="n">
        <f aca="false">W_PH(R$2,$A412)</f>
        <v>3178.58565278271</v>
      </c>
      <c r="S412" s="0" t="n">
        <f aca="false">W_PH(S$2,$A412)</f>
        <v>3178.6047621392</v>
      </c>
      <c r="T412" s="0" t="n">
        <f aca="false">W_PH(T$2,$A412)</f>
        <v>3178.62387177053</v>
      </c>
      <c r="U412" s="0" t="n">
        <f aca="false">W_PH(U$2,$A412)</f>
        <v>3178.64298167953</v>
      </c>
      <c r="V412" s="0" t="n">
        <f aca="false">W_PH(V$2,$A412)</f>
        <v>3178.66209186899</v>
      </c>
      <c r="W412" s="0" t="n">
        <f aca="false">W_PH(W$2,$A412)</f>
        <v>3178.68120234173</v>
      </c>
      <c r="X412" s="0" t="n">
        <f aca="false">W_PH(X$2,$A412)</f>
        <v>3178.70031310056</v>
      </c>
      <c r="Y412" s="0" t="n">
        <f aca="false">W_PH(Y$2,$A412)</f>
        <v>3178.89142912943</v>
      </c>
      <c r="Z412" s="0" t="n">
        <f aca="false">W_PH(Z$2,$A412)</f>
        <v>3179.08257685646</v>
      </c>
      <c r="AA412" s="0" t="n">
        <f aca="false">W_PH(AA$2,$A412)</f>
        <v>3179.27375117671</v>
      </c>
      <c r="AB412" s="0" t="n">
        <f aca="false">W_PH(AB$2,$A412)</f>
        <v>3179.464950938</v>
      </c>
      <c r="AC412" s="0" t="n">
        <f aca="false">W_PH(AC$2,$A412)</f>
        <v>3179.65618290339</v>
      </c>
      <c r="AD412" s="0" t="n">
        <f aca="false">W_PH(AD$2,$A412)</f>
        <v>3179.84745779813</v>
      </c>
      <c r="AE412" s="0" t="n">
        <f aca="false">W_PH(AE$2,$A412)</f>
        <v>3180.0387665505</v>
      </c>
      <c r="AF412" s="0" t="n">
        <f aca="false">W_PH(AF$2,$A412)</f>
        <v>3180.23011988594</v>
      </c>
      <c r="AG412" s="0" t="n">
        <f aca="false">W_PH(AG$2,$A412)</f>
        <v>3180.42151268796</v>
      </c>
      <c r="AH412" s="0" t="n">
        <f aca="false">W_PH(AH$2,$A412)</f>
        <v>3182.33845009829</v>
      </c>
      <c r="AI412" s="0" t="n">
        <f aca="false">W_PH(AI$2,$A412)</f>
        <v>3184.26271065842</v>
      </c>
      <c r="AJ412" s="0" t="n">
        <f aca="false">W_PH(AJ$2,$A412)</f>
        <v>3186.19697962782</v>
      </c>
      <c r="AK412" s="0" t="n">
        <f aca="false">W_PH(AK$2,$A412)</f>
        <v>3188.14393541444</v>
      </c>
      <c r="AL412" s="0" t="n">
        <f aca="false">W_PH(AL$2,$A412)</f>
        <v>3190.10624975042</v>
      </c>
      <c r="AM412" s="0" t="n">
        <f aca="false">W_PH(AM$2,$A412)</f>
        <v>3192.0865999132</v>
      </c>
      <c r="AN412" s="0" t="n">
        <f aca="false">W_PH(AN$2,$A412)</f>
        <v>3194.08766106628</v>
      </c>
      <c r="AO412" s="0" t="n">
        <f aca="false">W_PH(AO$2,$A412)</f>
        <v>3196.11211060385</v>
      </c>
      <c r="AP412" s="0" t="n">
        <f aca="false">W_PH(AP$2,$A412)</f>
        <v>2015</v>
      </c>
      <c r="AQ412" s="0" t="n">
        <f aca="false">W_PH(AQ$2,$A412)</f>
        <v>2015</v>
      </c>
      <c r="AR412" s="0" t="n">
        <f aca="false">W_PH(AR$2,$A412)</f>
        <v>2015</v>
      </c>
      <c r="AS412" s="0" t="n">
        <f aca="false">W_PH(AS$2,$A412)</f>
        <v>2015</v>
      </c>
    </row>
    <row r="413" customFormat="false" ht="12.8" hidden="false" customHeight="false" outlineLevel="0" collapsed="false">
      <c r="A413" s="0" t="n">
        <v>2463.45657781599</v>
      </c>
      <c r="B413" s="0" t="n">
        <f aca="false">W_PH(B$2,$A413)</f>
        <v>2015</v>
      </c>
      <c r="C413" s="0" t="n">
        <f aca="false">W_PH(C$2,$A413)</f>
        <v>3181.7714570611</v>
      </c>
      <c r="D413" s="0" t="n">
        <f aca="false">W_PH(D$2,$A413)</f>
        <v>3181.7716481436</v>
      </c>
      <c r="E413" s="0" t="n">
        <f aca="false">W_PH(E$2,$A413)</f>
        <v>3181.77183922613</v>
      </c>
      <c r="F413" s="0" t="n">
        <f aca="false">W_PH(F$2,$A413)</f>
        <v>3181.77203030869</v>
      </c>
      <c r="G413" s="0" t="n">
        <f aca="false">W_PH(G$2,$A413)</f>
        <v>3181.7739450868</v>
      </c>
      <c r="H413" s="0" t="n">
        <f aca="false">W_PH(H$2,$A413)</f>
        <v>3181.77585591636</v>
      </c>
      <c r="I413" s="0" t="n">
        <f aca="false">W_PH(I$2,$A413)</f>
        <v>3181.7777667485</v>
      </c>
      <c r="J413" s="0" t="n">
        <f aca="false">W_PH(J$2,$A413)</f>
        <v>3181.77968548551</v>
      </c>
      <c r="K413" s="0" t="n">
        <f aca="false">W_PH(K$2,$A413)</f>
        <v>3181.78159632282</v>
      </c>
      <c r="L413" s="0" t="n">
        <f aca="false">W_PH(L$2,$A413)</f>
        <v>3181.78350716271</v>
      </c>
      <c r="M413" s="0" t="n">
        <f aca="false">W_PH(M$2,$A413)</f>
        <v>3181.78542195635</v>
      </c>
      <c r="N413" s="0" t="n">
        <f aca="false">W_PH(N$2,$A413)</f>
        <v>3181.78733675259</v>
      </c>
      <c r="O413" s="0" t="n">
        <f aca="false">W_PH(O$2,$A413)</f>
        <v>3181.78924760026</v>
      </c>
      <c r="P413" s="0" t="n">
        <f aca="false">W_PH(P$2,$A413)</f>
        <v>3181.80837992759</v>
      </c>
      <c r="Q413" s="0" t="n">
        <f aca="false">W_PH(Q$2,$A413)</f>
        <v>3181.8275046153</v>
      </c>
      <c r="R413" s="0" t="n">
        <f aca="false">W_PH(R$2,$A413)</f>
        <v>3181.84663747131</v>
      </c>
      <c r="S413" s="0" t="n">
        <f aca="false">W_PH(S$2,$A413)</f>
        <v>3181.86577059594</v>
      </c>
      <c r="T413" s="0" t="n">
        <f aca="false">W_PH(T$2,$A413)</f>
        <v>3181.88490004045</v>
      </c>
      <c r="U413" s="0" t="n">
        <f aca="false">W_PH(U$2,$A413)</f>
        <v>3181.90402975903</v>
      </c>
      <c r="V413" s="0" t="n">
        <f aca="false">W_PH(V$2,$A413)</f>
        <v>3181.92316370612</v>
      </c>
      <c r="W413" s="0" t="n">
        <f aca="false">W_PH(W$2,$A413)</f>
        <v>3181.94229398128</v>
      </c>
      <c r="X413" s="0" t="n">
        <f aca="false">W_PH(X$2,$A413)</f>
        <v>3181.9614245389</v>
      </c>
      <c r="Y413" s="0" t="n">
        <f aca="false">W_PH(Y$2,$A413)</f>
        <v>3182.15275416992</v>
      </c>
      <c r="Z413" s="0" t="n">
        <f aca="false">W_PH(Z$2,$A413)</f>
        <v>3182.34411117086</v>
      </c>
      <c r="AA413" s="0" t="n">
        <f aca="false">W_PH(AA$2,$A413)</f>
        <v>3182.53549438122</v>
      </c>
      <c r="AB413" s="0" t="n">
        <f aca="false">W_PH(AB$2,$A413)</f>
        <v>3182.72690263762</v>
      </c>
      <c r="AC413" s="0" t="n">
        <f aca="false">W_PH(AC$2,$A413)</f>
        <v>3182.91835059421</v>
      </c>
      <c r="AD413" s="0" t="n">
        <f aca="false">W_PH(AD$2,$A413)</f>
        <v>3183.109833134</v>
      </c>
      <c r="AE413" s="0" t="n">
        <f aca="false">W_PH(AE$2,$A413)</f>
        <v>3183.30134513446</v>
      </c>
      <c r="AF413" s="0" t="n">
        <f aca="false">W_PH(AF$2,$A413)</f>
        <v>3183.49290521016</v>
      </c>
      <c r="AG413" s="0" t="n">
        <f aca="false">W_PH(AG$2,$A413)</f>
        <v>3183.68450823941</v>
      </c>
      <c r="AH413" s="0" t="n">
        <f aca="false">W_PH(AH$2,$A413)</f>
        <v>3185.60350665912</v>
      </c>
      <c r="AI413" s="0" t="n">
        <f aca="false">W_PH(AI$2,$A413)</f>
        <v>3187.52977229277</v>
      </c>
      <c r="AJ413" s="0" t="n">
        <f aca="false">W_PH(AJ$2,$A413)</f>
        <v>3189.46597952775</v>
      </c>
      <c r="AK413" s="0" t="n">
        <f aca="false">W_PH(AK$2,$A413)</f>
        <v>3191.41479202868</v>
      </c>
      <c r="AL413" s="0" t="n">
        <f aca="false">W_PH(AL$2,$A413)</f>
        <v>3193.37886686831</v>
      </c>
      <c r="AM413" s="0" t="n">
        <f aca="false">W_PH(AM$2,$A413)</f>
        <v>3195.36087072853</v>
      </c>
      <c r="AN413" s="0" t="n">
        <f aca="false">W_PH(AN$2,$A413)</f>
        <v>3197.36346026897</v>
      </c>
      <c r="AO413" s="0" t="n">
        <f aca="false">W_PH(AO$2,$A413)</f>
        <v>3199.38929441911</v>
      </c>
      <c r="AP413" s="0" t="n">
        <f aca="false">W_PH(AP$2,$A413)</f>
        <v>2015</v>
      </c>
      <c r="AQ413" s="0" t="n">
        <f aca="false">W_PH(AQ$2,$A413)</f>
        <v>2015</v>
      </c>
      <c r="AR413" s="0" t="n">
        <f aca="false">W_PH(AR$2,$A413)</f>
        <v>2015</v>
      </c>
      <c r="AS413" s="0" t="n">
        <f aca="false">W_PH(AS$2,$A413)</f>
        <v>2015</v>
      </c>
    </row>
    <row r="414" customFormat="false" ht="12.8" hidden="false" customHeight="false" outlineLevel="0" collapsed="false">
      <c r="A414" s="0" t="n">
        <v>2467.75580395529</v>
      </c>
      <c r="B414" s="0" t="n">
        <f aca="false">W_PH(B$2,$A414)</f>
        <v>2015</v>
      </c>
      <c r="C414" s="0" t="n">
        <f aca="false">W_PH(C$2,$A414)</f>
        <v>3185.02703945782</v>
      </c>
      <c r="D414" s="0" t="n">
        <f aca="false">W_PH(D$2,$A414)</f>
        <v>3185.0272310881</v>
      </c>
      <c r="E414" s="0" t="n">
        <f aca="false">W_PH(E$2,$A414)</f>
        <v>3185.0274227184</v>
      </c>
      <c r="F414" s="0" t="n">
        <f aca="false">W_PH(F$2,$A414)</f>
        <v>3185.02761434873</v>
      </c>
      <c r="G414" s="0" t="n">
        <f aca="false">W_PH(G$2,$A414)</f>
        <v>3185.02952670619</v>
      </c>
      <c r="H414" s="0" t="n">
        <f aca="false">W_PH(H$2,$A414)</f>
        <v>3185.03143906618</v>
      </c>
      <c r="I414" s="0" t="n">
        <f aca="false">W_PH(I$2,$A414)</f>
        <v>3185.03335537595</v>
      </c>
      <c r="J414" s="0" t="n">
        <f aca="false">W_PH(J$2,$A414)</f>
        <v>3185.03527168827</v>
      </c>
      <c r="K414" s="0" t="n">
        <f aca="false">W_PH(K$2,$A414)</f>
        <v>3185.03718800314</v>
      </c>
      <c r="L414" s="0" t="n">
        <f aca="false">W_PH(L$2,$A414)</f>
        <v>3185.03910432058</v>
      </c>
      <c r="M414" s="0" t="n">
        <f aca="false">W_PH(M$2,$A414)</f>
        <v>3185.04101669333</v>
      </c>
      <c r="N414" s="0" t="n">
        <f aca="false">W_PH(N$2,$A414)</f>
        <v>3185.04292906862</v>
      </c>
      <c r="O414" s="0" t="n">
        <f aca="false">W_PH(O$2,$A414)</f>
        <v>3185.04484539375</v>
      </c>
      <c r="P414" s="0" t="n">
        <f aca="false">W_PH(P$2,$A414)</f>
        <v>3185.06400089219</v>
      </c>
      <c r="Q414" s="0" t="n">
        <f aca="false">W_PH(Q$2,$A414)</f>
        <v>3185.08314875548</v>
      </c>
      <c r="R414" s="0" t="n">
        <f aca="false">W_PH(R$2,$A414)</f>
        <v>3185.10230082843</v>
      </c>
      <c r="S414" s="0" t="n">
        <f aca="false">W_PH(S$2,$A414)</f>
        <v>3185.12145316647</v>
      </c>
      <c r="T414" s="0" t="n">
        <f aca="false">W_PH(T$2,$A414)</f>
        <v>3185.14060182478</v>
      </c>
      <c r="U414" s="0" t="n">
        <f aca="false">W_PH(U$2,$A414)</f>
        <v>3185.15975864894</v>
      </c>
      <c r="V414" s="0" t="n">
        <f aca="false">W_PH(V$2,$A414)</f>
        <v>3185.1789078512</v>
      </c>
      <c r="W414" s="0" t="n">
        <f aca="false">W_PH(W$2,$A414)</f>
        <v>3185.19805732955</v>
      </c>
      <c r="X414" s="0" t="n">
        <f aca="false">W_PH(X$2,$A414)</f>
        <v>3185.21721498249</v>
      </c>
      <c r="Y414" s="0" t="n">
        <f aca="false">W_PH(Y$2,$A414)</f>
        <v>3185.40875219621</v>
      </c>
      <c r="Z414" s="0" t="n">
        <f aca="false">W_PH(Z$2,$A414)</f>
        <v>3185.60031246421</v>
      </c>
      <c r="AA414" s="0" t="n">
        <f aca="false">W_PH(AA$2,$A414)</f>
        <v>3185.7918985627</v>
      </c>
      <c r="AB414" s="0" t="n">
        <f aca="false">W_PH(AB$2,$A414)</f>
        <v>3185.98352116868</v>
      </c>
      <c r="AC414" s="0" t="n">
        <f aca="false">W_PH(AC$2,$A414)</f>
        <v>3186.17517120839</v>
      </c>
      <c r="AD414" s="0" t="n">
        <f aca="false">W_PH(AD$2,$A414)</f>
        <v>3186.3668554072</v>
      </c>
      <c r="AE414" s="0" t="n">
        <f aca="false">W_PH(AE$2,$A414)</f>
        <v>3186.55858049292</v>
      </c>
      <c r="AF414" s="0" t="n">
        <f aca="false">W_PH(AF$2,$A414)</f>
        <v>3186.75034528944</v>
      </c>
      <c r="AG414" s="0" t="n">
        <f aca="false">W_PH(AG$2,$A414)</f>
        <v>3186.94215257165</v>
      </c>
      <c r="AH414" s="0" t="n">
        <f aca="false">W_PH(AH$2,$A414)</f>
        <v>3188.86317241749</v>
      </c>
      <c r="AI414" s="0" t="n">
        <f aca="false">W_PH(AI$2,$A414)</f>
        <v>3190.79141618299</v>
      </c>
      <c r="AJ414" s="0" t="n">
        <f aca="false">W_PH(AJ$2,$A414)</f>
        <v>3192.72953165912</v>
      </c>
      <c r="AK414" s="0" t="n">
        <f aca="false">W_PH(AK$2,$A414)</f>
        <v>3194.68017184437</v>
      </c>
      <c r="AL414" s="0" t="n">
        <f aca="false">W_PH(AL$2,$A414)</f>
        <v>3196.64597926743</v>
      </c>
      <c r="AM414" s="0" t="n">
        <f aca="false">W_PH(AM$2,$A414)</f>
        <v>3198.62960612785</v>
      </c>
      <c r="AN414" s="0" t="n">
        <f aca="false">W_PH(AN$2,$A414)</f>
        <v>3200.63369468233</v>
      </c>
      <c r="AO414" s="0" t="n">
        <f aca="false">W_PH(AO$2,$A414)</f>
        <v>3202.66089752644</v>
      </c>
      <c r="AP414" s="0" t="n">
        <f aca="false">W_PH(AP$2,$A414)</f>
        <v>2015</v>
      </c>
      <c r="AQ414" s="0" t="n">
        <f aca="false">W_PH(AQ$2,$A414)</f>
        <v>2015</v>
      </c>
      <c r="AR414" s="0" t="n">
        <f aca="false">W_PH(AR$2,$A414)</f>
        <v>2015</v>
      </c>
      <c r="AS414" s="0" t="n">
        <f aca="false">W_PH(AS$2,$A414)</f>
        <v>2015</v>
      </c>
    </row>
    <row r="415" customFormat="false" ht="12.8" hidden="false" customHeight="false" outlineLevel="0" collapsed="false">
      <c r="A415" s="0" t="n">
        <v>2472.05503009458</v>
      </c>
      <c r="B415" s="0" t="n">
        <f aca="false">W_PH(B$2,$A415)</f>
        <v>2015</v>
      </c>
      <c r="C415" s="0" t="n">
        <f aca="false">W_PH(C$2,$A415)</f>
        <v>3188.27731985357</v>
      </c>
      <c r="D415" s="0" t="n">
        <f aca="false">W_PH(D$2,$A415)</f>
        <v>3188.277512025</v>
      </c>
      <c r="E415" s="0" t="n">
        <f aca="false">W_PH(E$2,$A415)</f>
        <v>3188.27770419645</v>
      </c>
      <c r="F415" s="0" t="n">
        <f aca="false">W_PH(F$2,$A415)</f>
        <v>3188.27789636792</v>
      </c>
      <c r="G415" s="0" t="n">
        <f aca="false">W_PH(G$2,$A415)</f>
        <v>3188.27981414074</v>
      </c>
      <c r="H415" s="0" t="n">
        <f aca="false">W_PH(H$2,$A415)</f>
        <v>3188.28173191607</v>
      </c>
      <c r="I415" s="0" t="n">
        <f aca="false">W_PH(I$2,$A415)</f>
        <v>3188.28364575058</v>
      </c>
      <c r="J415" s="0" t="n">
        <f aca="false">W_PH(J$2,$A415)</f>
        <v>3188.28556747429</v>
      </c>
      <c r="K415" s="0" t="n">
        <f aca="false">W_PH(K$2,$A415)</f>
        <v>3188.28748131383</v>
      </c>
      <c r="L415" s="0" t="n">
        <f aca="false">W_PH(L$2,$A415)</f>
        <v>3188.28940304259</v>
      </c>
      <c r="M415" s="0" t="n">
        <f aca="false">W_PH(M$2,$A415)</f>
        <v>3188.29131688717</v>
      </c>
      <c r="N415" s="0" t="n">
        <f aca="false">W_PH(N$2,$A415)</f>
        <v>3188.29323467763</v>
      </c>
      <c r="O415" s="0" t="n">
        <f aca="false">W_PH(O$2,$A415)</f>
        <v>3188.29515247063</v>
      </c>
      <c r="P415" s="0" t="n">
        <f aca="false">W_PH(P$2,$A415)</f>
        <v>3188.31432265366</v>
      </c>
      <c r="Q415" s="0" t="n">
        <f aca="false">W_PH(Q$2,$A415)</f>
        <v>3188.33349309278</v>
      </c>
      <c r="R415" s="0" t="n">
        <f aca="false">W_PH(R$2,$A415)</f>
        <v>3188.35266379076</v>
      </c>
      <c r="S415" s="0" t="n">
        <f aca="false">W_PH(S$2,$A415)</f>
        <v>3188.37183869399</v>
      </c>
      <c r="T415" s="0" t="n">
        <f aca="false">W_PH(T$2,$A415)</f>
        <v>3188.39100991804</v>
      </c>
      <c r="U415" s="0" t="n">
        <f aca="false">W_PH(U$2,$A415)</f>
        <v>3188.41018535302</v>
      </c>
      <c r="V415" s="0" t="n">
        <f aca="false">W_PH(V$2,$A415)</f>
        <v>3188.4293571142</v>
      </c>
      <c r="W415" s="0" t="n">
        <f aca="false">W_PH(W$2,$A415)</f>
        <v>3188.44852914807</v>
      </c>
      <c r="X415" s="0" t="n">
        <f aca="false">W_PH(X$2,$A415)</f>
        <v>3188.4677014574</v>
      </c>
      <c r="Y415" s="0" t="n">
        <f aca="false">W_PH(Y$2,$A415)</f>
        <v>3188.65944030876</v>
      </c>
      <c r="Z415" s="0" t="n">
        <f aca="false">W_PH(Z$2,$A415)</f>
        <v>3188.85120974705</v>
      </c>
      <c r="AA415" s="0" t="n">
        <f aca="false">W_PH(AA$2,$A415)</f>
        <v>3189.04300464562</v>
      </c>
      <c r="AB415" s="0" t="n">
        <f aca="false">W_PH(AB$2,$A415)</f>
        <v>3189.23482381893</v>
      </c>
      <c r="AC415" s="0" t="n">
        <f aca="false">W_PH(AC$2,$A415)</f>
        <v>3189.42667792032</v>
      </c>
      <c r="AD415" s="0" t="n">
        <f aca="false">W_PH(AD$2,$A415)</f>
        <v>3189.61856971237</v>
      </c>
      <c r="AE415" s="0" t="n">
        <f aca="false">W_PH(AE$2,$A415)</f>
        <v>3189.81049406035</v>
      </c>
      <c r="AF415" s="0" t="n">
        <f aca="false">W_PH(AF$2,$A415)</f>
        <v>3190.00245767168</v>
      </c>
      <c r="AG415" s="0" t="n">
        <f aca="false">W_PH(AG$2,$A415)</f>
        <v>3190.19447120598</v>
      </c>
      <c r="AH415" s="0" t="n">
        <f aca="false">W_PH(AH$2,$A415)</f>
        <v>3192.11748544933</v>
      </c>
      <c r="AI415" s="0" t="n">
        <f aca="false">W_PH(AI$2,$A415)</f>
        <v>3194.0476731372</v>
      </c>
      <c r="AJ415" s="0" t="n">
        <f aca="false">W_PH(AJ$2,$A415)</f>
        <v>3195.98766350542</v>
      </c>
      <c r="AK415" s="0" t="n">
        <f aca="false">W_PH(AK$2,$A415)</f>
        <v>3197.94009899417</v>
      </c>
      <c r="AL415" s="0" t="n">
        <f aca="false">W_PH(AL$2,$A415)</f>
        <v>3199.90761168385</v>
      </c>
      <c r="AM415" s="0" t="n">
        <f aca="false">W_PH(AM$2,$A415)</f>
        <v>3201.89283942276</v>
      </c>
      <c r="AN415" s="0" t="n">
        <f aca="false">W_PH(AN$2,$A415)</f>
        <v>3203.89840620009</v>
      </c>
      <c r="AO415" s="0" t="n">
        <f aca="false">W_PH(AO$2,$A415)</f>
        <v>3205.92695037112</v>
      </c>
      <c r="AP415" s="0" t="n">
        <f aca="false">W_PH(AP$2,$A415)</f>
        <v>2015</v>
      </c>
      <c r="AQ415" s="0" t="n">
        <f aca="false">W_PH(AQ$2,$A415)</f>
        <v>2015</v>
      </c>
      <c r="AR415" s="0" t="n">
        <f aca="false">W_PH(AR$2,$A415)</f>
        <v>2015</v>
      </c>
      <c r="AS415" s="0" t="n">
        <f aca="false">W_PH(AS$2,$A415)</f>
        <v>2015</v>
      </c>
    </row>
    <row r="416" customFormat="false" ht="12.8" hidden="false" customHeight="false" outlineLevel="0" collapsed="false">
      <c r="A416" s="0" t="n">
        <v>2476.35425623388</v>
      </c>
      <c r="B416" s="0" t="n">
        <f aca="false">W_PH(B$2,$A416)</f>
        <v>2015</v>
      </c>
      <c r="C416" s="0" t="n">
        <f aca="false">W_PH(C$2,$A416)</f>
        <v>3191.52234264438</v>
      </c>
      <c r="D416" s="0" t="n">
        <f aca="false">W_PH(D$2,$A416)</f>
        <v>3191.52253141098</v>
      </c>
      <c r="E416" s="0" t="n">
        <f aca="false">W_PH(E$2,$A416)</f>
        <v>3191.52272411703</v>
      </c>
      <c r="F416" s="0" t="n">
        <f aca="false">W_PH(F$2,$A416)</f>
        <v>3191.52291288367</v>
      </c>
      <c r="G416" s="0" t="n">
        <f aca="false">W_PH(G$2,$A416)</f>
        <v>3191.52483206697</v>
      </c>
      <c r="H416" s="0" t="n">
        <f aca="false">W_PH(H$2,$A416)</f>
        <v>3191.52675125274</v>
      </c>
      <c r="I416" s="0" t="n">
        <f aca="false">W_PH(I$2,$A416)</f>
        <v>3191.52867044099</v>
      </c>
      <c r="J416" s="0" t="n">
        <f aca="false">W_PH(J$2,$A416)</f>
        <v>3191.53058963172</v>
      </c>
      <c r="K416" s="0" t="n">
        <f aca="false">W_PH(K$2,$A416)</f>
        <v>3191.53250882495</v>
      </c>
      <c r="L416" s="0" t="n">
        <f aca="false">W_PH(L$2,$A416)</f>
        <v>3191.53442802066</v>
      </c>
      <c r="M416" s="0" t="n">
        <f aca="false">W_PH(M$2,$A416)</f>
        <v>3191.53634721887</v>
      </c>
      <c r="N416" s="0" t="n">
        <f aca="false">W_PH(N$2,$A416)</f>
        <v>3191.53826641957</v>
      </c>
      <c r="O416" s="0" t="n">
        <f aca="false">W_PH(O$2,$A416)</f>
        <v>3191.54018562276</v>
      </c>
      <c r="P416" s="0" t="n">
        <f aca="false">W_PH(P$2,$A416)</f>
        <v>3191.55937779275</v>
      </c>
      <c r="Q416" s="0" t="n">
        <f aca="false">W_PH(Q$2,$A416)</f>
        <v>3191.57857021555</v>
      </c>
      <c r="R416" s="0" t="n">
        <f aca="false">W_PH(R$2,$A416)</f>
        <v>3191.59776289393</v>
      </c>
      <c r="S416" s="0" t="n">
        <f aca="false">W_PH(S$2,$A416)</f>
        <v>3191.61695583064</v>
      </c>
      <c r="T416" s="0" t="n">
        <f aca="false">W_PH(T$2,$A416)</f>
        <v>3191.63614902842</v>
      </c>
      <c r="U416" s="0" t="n">
        <f aca="false">W_PH(U$2,$A416)</f>
        <v>3191.65534249004</v>
      </c>
      <c r="V416" s="0" t="n">
        <f aca="false">W_PH(V$2,$A416)</f>
        <v>3191.67453227827</v>
      </c>
      <c r="W416" s="0" t="n">
        <f aca="false">W_PH(W$2,$A416)</f>
        <v>3191.69372233571</v>
      </c>
      <c r="X416" s="0" t="n">
        <f aca="false">W_PH(X$2,$A416)</f>
        <v>3191.71291660518</v>
      </c>
      <c r="Y416" s="0" t="n">
        <f aca="false">W_PH(Y$2,$A416)</f>
        <v>3191.90485910652</v>
      </c>
      <c r="Z416" s="0" t="n">
        <f aca="false">W_PH(Z$2,$A416)</f>
        <v>3192.0968278949</v>
      </c>
      <c r="AA416" s="0" t="n">
        <f aca="false">W_PH(AA$2,$A416)</f>
        <v>3192.28882177668</v>
      </c>
      <c r="AB416" s="0" t="n">
        <f aca="false">W_PH(AB$2,$A416)</f>
        <v>3192.48084744078</v>
      </c>
      <c r="AC416" s="0" t="n">
        <f aca="false">W_PH(AC$2,$A416)</f>
        <v>3192.67289580521</v>
      </c>
      <c r="AD416" s="0" t="n">
        <f aca="false">W_PH(AD$2,$A416)</f>
        <v>3192.86498538774</v>
      </c>
      <c r="AE416" s="0" t="n">
        <f aca="false">W_PH(AE$2,$A416)</f>
        <v>3193.05711104863</v>
      </c>
      <c r="AF416" s="0" t="n">
        <f aca="false">W_PH(AF$2,$A416)</f>
        <v>3193.24927553329</v>
      </c>
      <c r="AG416" s="0" t="n">
        <f aca="false">W_PH(AG$2,$A416)</f>
        <v>3193.44148947867</v>
      </c>
      <c r="AH416" s="0" t="n">
        <f aca="false">W_PH(AH$2,$A416)</f>
        <v>3195.36646777803</v>
      </c>
      <c r="AI416" s="0" t="n">
        <f aca="false">W_PH(AI$2,$A416)</f>
        <v>3197.29856582508</v>
      </c>
      <c r="AJ416" s="0" t="n">
        <f aca="false">W_PH(AJ$2,$A416)</f>
        <v>3199.24040630064</v>
      </c>
      <c r="AK416" s="0" t="n">
        <f aca="false">W_PH(AK$2,$A416)</f>
        <v>3201.19460931701</v>
      </c>
      <c r="AL416" s="0" t="n">
        <f aca="false">W_PH(AL$2,$A416)</f>
        <v>3203.16380454635</v>
      </c>
      <c r="AM416" s="0" t="n">
        <f aca="false">W_PH(AM$2,$A416)</f>
        <v>3205.15059569929</v>
      </c>
      <c r="AN416" s="0" t="n">
        <f aca="false">W_PH(AN$2,$A416)</f>
        <v>3207.15761646806</v>
      </c>
      <c r="AO416" s="0" t="n">
        <f aca="false">W_PH(AO$2,$A416)</f>
        <v>3209.18747515064</v>
      </c>
      <c r="AP416" s="0" t="n">
        <f aca="false">W_PH(AP$2,$A416)</f>
        <v>2015</v>
      </c>
      <c r="AQ416" s="0" t="n">
        <f aca="false">W_PH(AQ$2,$A416)</f>
        <v>2015</v>
      </c>
      <c r="AR416" s="0" t="n">
        <f aca="false">W_PH(AR$2,$A416)</f>
        <v>2015</v>
      </c>
      <c r="AS416" s="0" t="n">
        <f aca="false">W_PH(AS$2,$A416)</f>
        <v>2015</v>
      </c>
    </row>
    <row r="417" customFormat="false" ht="12.8" hidden="false" customHeight="false" outlineLevel="0" collapsed="false">
      <c r="A417" s="0" t="n">
        <v>2480.65348237317</v>
      </c>
      <c r="B417" s="0" t="n">
        <f aca="false">W_PH(B$2,$A417)</f>
        <v>2015</v>
      </c>
      <c r="C417" s="0" t="n">
        <f aca="false">W_PH(C$2,$A417)</f>
        <v>3194.76211655574</v>
      </c>
      <c r="D417" s="0" t="n">
        <f aca="false">W_PH(D$2,$A417)</f>
        <v>3194.76230978991</v>
      </c>
      <c r="E417" s="0" t="n">
        <f aca="false">W_PH(E$2,$A417)</f>
        <v>3194.76250302411</v>
      </c>
      <c r="F417" s="0" t="n">
        <f aca="false">W_PH(F$2,$A417)</f>
        <v>3194.76269625833</v>
      </c>
      <c r="G417" s="0" t="n">
        <f aca="false">W_PH(G$2,$A417)</f>
        <v>3194.76461285959</v>
      </c>
      <c r="H417" s="0" t="n">
        <f aca="false">W_PH(H$2,$A417)</f>
        <v>3194.76653733446</v>
      </c>
      <c r="I417" s="0" t="n">
        <f aca="false">W_PH(I$2,$A417)</f>
        <v>3194.76845787619</v>
      </c>
      <c r="J417" s="0" t="n">
        <f aca="false">W_PH(J$2,$A417)</f>
        <v>3194.77037842038</v>
      </c>
      <c r="K417" s="0" t="n">
        <f aca="false">W_PH(K$2,$A417)</f>
        <v>3194.77229896701</v>
      </c>
      <c r="L417" s="0" t="n">
        <f aca="false">W_PH(L$2,$A417)</f>
        <v>3194.7742195161</v>
      </c>
      <c r="M417" s="0" t="n">
        <f aca="false">W_PH(M$2,$A417)</f>
        <v>3194.77614400327</v>
      </c>
      <c r="N417" s="0" t="n">
        <f aca="false">W_PH(N$2,$A417)</f>
        <v>3194.77806062166</v>
      </c>
      <c r="O417" s="0" t="n">
        <f aca="false">W_PH(O$2,$A417)</f>
        <v>3194.77998511377</v>
      </c>
      <c r="P417" s="0" t="n">
        <f aca="false">W_PH(P$2,$A417)</f>
        <v>3194.79919475034</v>
      </c>
      <c r="Q417" s="0" t="n">
        <f aca="false">W_PH(Q$2,$A417)</f>
        <v>3194.81840463638</v>
      </c>
      <c r="R417" s="0" t="n">
        <f aca="false">W_PH(R$2,$A417)</f>
        <v>3194.83761871046</v>
      </c>
      <c r="S417" s="0" t="n">
        <f aca="false">W_PH(S$2,$A417)</f>
        <v>3194.85683303961</v>
      </c>
      <c r="T417" s="0" t="n">
        <f aca="false">W_PH(T$2,$A417)</f>
        <v>3194.87603975466</v>
      </c>
      <c r="U417" s="0" t="n">
        <f aca="false">W_PH(U$2,$A417)</f>
        <v>3194.89525460204</v>
      </c>
      <c r="V417" s="0" t="n">
        <f aca="false">W_PH(V$2,$A417)</f>
        <v>3194.91446971271</v>
      </c>
      <c r="W417" s="0" t="n">
        <f aca="false">W_PH(W$2,$A417)</f>
        <v>3194.93367721709</v>
      </c>
      <c r="X417" s="0" t="n">
        <f aca="false">W_PH(X$2,$A417)</f>
        <v>3194.95289286239</v>
      </c>
      <c r="Y417" s="0" t="n">
        <f aca="false">W_PH(Y$2,$A417)</f>
        <v>3195.14503320389</v>
      </c>
      <c r="Z417" s="0" t="n">
        <f aca="false">W_PH(Z$2,$A417)</f>
        <v>3195.33719554481</v>
      </c>
      <c r="AA417" s="0" t="n">
        <f aca="false">W_PH(AA$2,$A417)</f>
        <v>3195.52939049316</v>
      </c>
      <c r="AB417" s="0" t="n">
        <f aca="false">W_PH(AB$2,$A417)</f>
        <v>3195.72160896799</v>
      </c>
      <c r="AC417" s="0" t="n">
        <f aca="false">W_PH(AC$2,$A417)</f>
        <v>3195.91385763814</v>
      </c>
      <c r="AD417" s="0" t="n">
        <f aca="false">W_PH(AD$2,$A417)</f>
        <v>3196.10614317477</v>
      </c>
      <c r="AE417" s="0" t="n">
        <f aca="false">W_PH(AE$2,$A417)</f>
        <v>3196.29846831073</v>
      </c>
      <c r="AF417" s="0" t="n">
        <f aca="false">W_PH(AF$2,$A417)</f>
        <v>3196.49083183733</v>
      </c>
      <c r="AG417" s="0" t="n">
        <f aca="false">W_PH(AG$2,$A417)</f>
        <v>3196.68323254314</v>
      </c>
      <c r="AH417" s="0" t="n">
        <f aca="false">W_PH(AH$2,$A417)</f>
        <v>3198.61014914704</v>
      </c>
      <c r="AI417" s="0" t="n">
        <f aca="false">W_PH(AI$2,$A417)</f>
        <v>3200.54412859406</v>
      </c>
      <c r="AJ417" s="0" t="n">
        <f aca="false">W_PH(AJ$2,$A417)</f>
        <v>3202.48779105044</v>
      </c>
      <c r="AK417" s="0" t="n">
        <f aca="false">W_PH(AK$2,$A417)</f>
        <v>3204.44373443023</v>
      </c>
      <c r="AL417" s="0" t="n">
        <f aca="false">W_PH(AL$2,$A417)</f>
        <v>3206.41457813807</v>
      </c>
      <c r="AM417" s="0" t="n">
        <f aca="false">W_PH(AM$2,$A417)</f>
        <v>3208.40291175821</v>
      </c>
      <c r="AN417" s="0" t="n">
        <f aca="false">W_PH(AN$2,$A417)</f>
        <v>3210.41135887331</v>
      </c>
      <c r="AO417" s="0" t="n">
        <f aca="false">W_PH(AO$2,$A417)</f>
        <v>3212.44250980241</v>
      </c>
      <c r="AP417" s="0" t="n">
        <f aca="false">W_PH(AP$2,$A417)</f>
        <v>2015</v>
      </c>
      <c r="AQ417" s="0" t="n">
        <f aca="false">W_PH(AQ$2,$A417)</f>
        <v>2015</v>
      </c>
      <c r="AR417" s="0" t="n">
        <f aca="false">W_PH(AR$2,$A417)</f>
        <v>2015</v>
      </c>
      <c r="AS417" s="0" t="n">
        <f aca="false">W_PH(AS$2,$A417)</f>
        <v>2015</v>
      </c>
    </row>
    <row r="418" customFormat="false" ht="12.8" hidden="false" customHeight="false" outlineLevel="0" collapsed="false">
      <c r="A418" s="0" t="n">
        <v>2484.95270851247</v>
      </c>
      <c r="B418" s="0" t="n">
        <f aca="false">W_PH(B$2,$A418)</f>
        <v>2015</v>
      </c>
      <c r="C418" s="0" t="n">
        <f aca="false">W_PH(C$2,$A418)</f>
        <v>3197.99668165781</v>
      </c>
      <c r="D418" s="0" t="n">
        <f aca="false">W_PH(D$2,$A418)</f>
        <v>3197.99687541374</v>
      </c>
      <c r="E418" s="0" t="n">
        <f aca="false">W_PH(E$2,$A418)</f>
        <v>3197.99706916969</v>
      </c>
      <c r="F418" s="0" t="n">
        <f aca="false">W_PH(F$2,$A418)</f>
        <v>3197.99725899394</v>
      </c>
      <c r="G418" s="0" t="n">
        <f aca="false">W_PH(G$2,$A418)</f>
        <v>3197.99918475984</v>
      </c>
      <c r="H418" s="0" t="n">
        <f aca="false">W_PH(H$2,$A418)</f>
        <v>3198.00110659643</v>
      </c>
      <c r="I418" s="0" t="n">
        <f aca="false">W_PH(I$2,$A418)</f>
        <v>3198.00302843542</v>
      </c>
      <c r="J418" s="0" t="n">
        <f aca="false">W_PH(J$2,$A418)</f>
        <v>3198.00495027683</v>
      </c>
      <c r="K418" s="0" t="n">
        <f aca="false">W_PH(K$2,$A418)</f>
        <v>3198.00687212067</v>
      </c>
      <c r="L418" s="0" t="n">
        <f aca="false">W_PH(L$2,$A418)</f>
        <v>3198.00879789869</v>
      </c>
      <c r="M418" s="0" t="n">
        <f aca="false">W_PH(M$2,$A418)</f>
        <v>3198.01071974737</v>
      </c>
      <c r="N418" s="0" t="n">
        <f aca="false">W_PH(N$2,$A418)</f>
        <v>3198.01264553026</v>
      </c>
      <c r="O418" s="0" t="n">
        <f aca="false">W_PH(O$2,$A418)</f>
        <v>3198.01456738381</v>
      </c>
      <c r="P418" s="0" t="n">
        <f aca="false">W_PH(P$2,$A418)</f>
        <v>3198.03379784901</v>
      </c>
      <c r="Q418" s="0" t="n">
        <f aca="false">W_PH(Q$2,$A418)</f>
        <v>3198.0530285605</v>
      </c>
      <c r="R418" s="0" t="n">
        <f aca="false">W_PH(R$2,$A418)</f>
        <v>3198.07225952101</v>
      </c>
      <c r="S418" s="0" t="n">
        <f aca="false">W_PH(S$2,$A418)</f>
        <v>3198.09149073325</v>
      </c>
      <c r="T418" s="0" t="n">
        <f aca="false">W_PH(T$2,$A418)</f>
        <v>3198.11072219995</v>
      </c>
      <c r="U418" s="0" t="n">
        <f aca="false">W_PH(U$2,$A418)</f>
        <v>3198.12995392382</v>
      </c>
      <c r="V418" s="0" t="n">
        <f aca="false">W_PH(V$2,$A418)</f>
        <v>3198.14918590759</v>
      </c>
      <c r="W418" s="0" t="n">
        <f aca="false">W_PH(W$2,$A418)</f>
        <v>3198.16841815399</v>
      </c>
      <c r="X418" s="0" t="n">
        <f aca="false">W_PH(X$2,$A418)</f>
        <v>3198.18765066572</v>
      </c>
      <c r="Y418" s="0" t="n">
        <f aca="false">W_PH(Y$2,$A418)</f>
        <v>3198.37998704249</v>
      </c>
      <c r="Z418" s="0" t="n">
        <f aca="false">W_PH(Z$2,$A418)</f>
        <v>3198.57234901174</v>
      </c>
      <c r="AA418" s="0" t="n">
        <f aca="false">W_PH(AA$2,$A418)</f>
        <v>3198.764731424</v>
      </c>
      <c r="AB418" s="0" t="n">
        <f aca="false">W_PH(AB$2,$A418)</f>
        <v>3198.95714879901</v>
      </c>
      <c r="AC418" s="0" t="n">
        <f aca="false">W_PH(AC$2,$A418)</f>
        <v>3199.14959205076</v>
      </c>
      <c r="AD418" s="0" t="n">
        <f aca="false">W_PH(AD$2,$A418)</f>
        <v>3199.34206783006</v>
      </c>
      <c r="AE418" s="0" t="n">
        <f aca="false">W_PH(AE$2,$A418)</f>
        <v>3199.53458672684</v>
      </c>
      <c r="AF418" s="0" t="n">
        <f aca="false">W_PH(AF$2,$A418)</f>
        <v>3199.72713964884</v>
      </c>
      <c r="AG418" s="0" t="n">
        <f aca="false">W_PH(AG$2,$A418)</f>
        <v>3199.91973324817</v>
      </c>
      <c r="AH418" s="0" t="n">
        <f aca="false">W_PH(AH$2,$A418)</f>
        <v>3201.84855120494</v>
      </c>
      <c r="AI418" s="0" t="n">
        <f aca="false">W_PH(AI$2,$A418)</f>
        <v>3203.78439160875</v>
      </c>
      <c r="AJ418" s="0" t="n">
        <f aca="false">W_PH(AJ$2,$A418)</f>
        <v>3205.7298406217</v>
      </c>
      <c r="AK418" s="0" t="n">
        <f aca="false">W_PH(AK$2,$A418)</f>
        <v>3207.68749779095</v>
      </c>
      <c r="AL418" s="0" t="n">
        <f aca="false">W_PH(AL$2,$A418)</f>
        <v>3209.65996048653</v>
      </c>
      <c r="AM418" s="0" t="n">
        <f aca="false">W_PH(AM$2,$A418)</f>
        <v>3211.64981618112</v>
      </c>
      <c r="AN418" s="0" t="n">
        <f aca="false">W_PH(AN$2,$A418)</f>
        <v>3213.65965858111</v>
      </c>
      <c r="AO418" s="0" t="n">
        <f aca="false">W_PH(AO$2,$A418)</f>
        <v>3215.69208001933</v>
      </c>
      <c r="AP418" s="0" t="n">
        <f aca="false">W_PH(AP$2,$A418)</f>
        <v>2015</v>
      </c>
      <c r="AQ418" s="0" t="n">
        <f aca="false">W_PH(AQ$2,$A418)</f>
        <v>2015</v>
      </c>
      <c r="AR418" s="0" t="n">
        <f aca="false">W_PH(AR$2,$A418)</f>
        <v>2015</v>
      </c>
      <c r="AS418" s="0" t="n">
        <f aca="false">W_PH(AS$2,$A418)</f>
        <v>2015</v>
      </c>
    </row>
    <row r="419" customFormat="false" ht="12.8" hidden="false" customHeight="false" outlineLevel="0" collapsed="false">
      <c r="A419" s="0" t="n">
        <v>2489.25193465176</v>
      </c>
      <c r="B419" s="0" t="n">
        <f aca="false">W_PH(B$2,$A419)</f>
        <v>2015</v>
      </c>
      <c r="C419" s="0" t="n">
        <f aca="false">W_PH(C$2,$A419)</f>
        <v>3201.22606207875</v>
      </c>
      <c r="D419" s="0" t="n">
        <f aca="false">W_PH(D$2,$A419)</f>
        <v>3201.22625242222</v>
      </c>
      <c r="E419" s="0" t="n">
        <f aca="false">W_PH(E$2,$A419)</f>
        <v>3201.22644276572</v>
      </c>
      <c r="F419" s="0" t="n">
        <f aca="false">W_PH(F$2,$A419)</f>
        <v>3201.22663703714</v>
      </c>
      <c r="G419" s="0" t="n">
        <f aca="false">W_PH(G$2,$A419)</f>
        <v>3201.22856404105</v>
      </c>
      <c r="H419" s="0" t="n">
        <f aca="false">W_PH(H$2,$A419)</f>
        <v>3201.23048711943</v>
      </c>
      <c r="I419" s="0" t="n">
        <f aca="false">W_PH(I$2,$A419)</f>
        <v>3201.23241020019</v>
      </c>
      <c r="J419" s="0" t="n">
        <f aca="false">W_PH(J$2,$A419)</f>
        <v>3201.23433721125</v>
      </c>
      <c r="K419" s="0" t="n">
        <f aca="false">W_PH(K$2,$A419)</f>
        <v>3201.23626422472</v>
      </c>
      <c r="L419" s="0" t="n">
        <f aca="false">W_PH(L$2,$A419)</f>
        <v>3201.23818731265</v>
      </c>
      <c r="M419" s="0" t="n">
        <f aca="false">W_PH(M$2,$A419)</f>
        <v>3201.24011040296</v>
      </c>
      <c r="N419" s="0" t="n">
        <f aca="false">W_PH(N$2,$A419)</f>
        <v>3201.24203742362</v>
      </c>
      <c r="O419" s="0" t="n">
        <f aca="false">W_PH(O$2,$A419)</f>
        <v>3201.24396444669</v>
      </c>
      <c r="P419" s="0" t="n">
        <f aca="false">W_PH(P$2,$A419)</f>
        <v>3201.26321124229</v>
      </c>
      <c r="Q419" s="0" t="n">
        <f aca="false">W_PH(Q$2,$A419)</f>
        <v>3201.282462209</v>
      </c>
      <c r="R419" s="0" t="n">
        <f aca="false">W_PH(R$2,$A419)</f>
        <v>3201.30171342156</v>
      </c>
      <c r="S419" s="0" t="n">
        <f aca="false">W_PH(S$2,$A419)</f>
        <v>3201.32096095448</v>
      </c>
      <c r="T419" s="0" t="n">
        <f aca="false">W_PH(T$2,$A419)</f>
        <v>3201.34021659509</v>
      </c>
      <c r="U419" s="0" t="n">
        <f aca="false">W_PH(U$2,$A419)</f>
        <v>3201.35946463314</v>
      </c>
      <c r="V419" s="0" t="n">
        <f aca="false">W_PH(V$2,$A419)</f>
        <v>3201.37871685614</v>
      </c>
      <c r="W419" s="0" t="n">
        <f aca="false">W_PH(W$2,$A419)</f>
        <v>3201.39796933854</v>
      </c>
      <c r="X419" s="0" t="n">
        <f aca="false">W_PH(X$2,$A419)</f>
        <v>3201.41721815451</v>
      </c>
      <c r="Y419" s="0" t="n">
        <f aca="false">W_PH(Y$2,$A419)</f>
        <v>3201.60974489314</v>
      </c>
      <c r="Z419" s="0" t="n">
        <f aca="false">W_PH(Z$2,$A419)</f>
        <v>3201.80230081393</v>
      </c>
      <c r="AA419" s="0" t="n">
        <f aca="false">W_PH(AA$2,$A419)</f>
        <v>3201.99487290173</v>
      </c>
      <c r="AB419" s="0" t="n">
        <f aca="false">W_PH(AB$2,$A419)</f>
        <v>3202.18747957937</v>
      </c>
      <c r="AC419" s="0" t="n">
        <f aca="false">W_PH(AC$2,$A419)</f>
        <v>3202.38011568962</v>
      </c>
      <c r="AD419" s="0" t="n">
        <f aca="false">W_PH(AD$2,$A419)</f>
        <v>3202.57278393459</v>
      </c>
      <c r="AE419" s="0" t="n">
        <f aca="false">W_PH(AE$2,$A419)</f>
        <v>3202.765494882</v>
      </c>
      <c r="AF419" s="0" t="n">
        <f aca="false">W_PH(AF$2,$A419)</f>
        <v>3202.95823550327</v>
      </c>
      <c r="AG419" s="0" t="n">
        <f aca="false">W_PH(AG$2,$A419)</f>
        <v>3203.15102423275</v>
      </c>
      <c r="AH419" s="0" t="n">
        <f aca="false">W_PH(AH$2,$A419)</f>
        <v>3205.08171118955</v>
      </c>
      <c r="AI419" s="0" t="n">
        <f aca="false">W_PH(AI$2,$A419)</f>
        <v>3207.01937692742</v>
      </c>
      <c r="AJ419" s="0" t="n">
        <f aca="false">W_PH(AJ$2,$A419)</f>
        <v>3208.9665855964</v>
      </c>
      <c r="AK419" s="0" t="n">
        <f aca="false">W_PH(AK$2,$A419)</f>
        <v>3210.92593057475</v>
      </c>
      <c r="AL419" s="0" t="n">
        <f aca="false">W_PH(AL$2,$A419)</f>
        <v>3212.89998732378</v>
      </c>
      <c r="AM419" s="0" t="n">
        <f aca="false">W_PH(AM$2,$A419)</f>
        <v>3214.8913373171</v>
      </c>
      <c r="AN419" s="0" t="n">
        <f aca="false">W_PH(AN$2,$A419)</f>
        <v>3216.90255643593</v>
      </c>
      <c r="AO419" s="0" t="n">
        <f aca="false">W_PH(AO$2,$A419)</f>
        <v>3218.93621922522</v>
      </c>
      <c r="AP419" s="0" t="n">
        <f aca="false">W_PH(AP$2,$A419)</f>
        <v>2015</v>
      </c>
      <c r="AQ419" s="0" t="n">
        <f aca="false">W_PH(AQ$2,$A419)</f>
        <v>2015</v>
      </c>
      <c r="AR419" s="0" t="n">
        <f aca="false">W_PH(AR$2,$A419)</f>
        <v>2015</v>
      </c>
      <c r="AS419" s="0" t="n">
        <f aca="false">W_PH(AS$2,$A419)</f>
        <v>2015</v>
      </c>
    </row>
    <row r="420" customFormat="false" ht="12.8" hidden="false" customHeight="false" outlineLevel="0" collapsed="false">
      <c r="A420" s="0" t="n">
        <v>2493.55116079106</v>
      </c>
      <c r="B420" s="0" t="n">
        <f aca="false">W_PH(B$2,$A420)</f>
        <v>2015</v>
      </c>
      <c r="C420" s="0" t="n">
        <f aca="false">W_PH(C$2,$A420)</f>
        <v>3204.45027785578</v>
      </c>
      <c r="D420" s="0" t="n">
        <f aca="false">W_PH(D$2,$A420)</f>
        <v>3204.45046871228</v>
      </c>
      <c r="E420" s="0" t="n">
        <f aca="false">W_PH(E$2,$A420)</f>
        <v>3204.45066349288</v>
      </c>
      <c r="F420" s="0" t="n">
        <f aca="false">W_PH(F$2,$A420)</f>
        <v>3204.4508582735</v>
      </c>
      <c r="G420" s="0" t="n">
        <f aca="false">W_PH(G$2,$A420)</f>
        <v>3204.45278253654</v>
      </c>
      <c r="H420" s="0" t="n">
        <f aca="false">W_PH(H$2,$A420)</f>
        <v>3204.45471072602</v>
      </c>
      <c r="I420" s="0" t="n">
        <f aca="false">W_PH(I$2,$A420)</f>
        <v>3204.45663891785</v>
      </c>
      <c r="J420" s="0" t="n">
        <f aca="false">W_PH(J$2,$A420)</f>
        <v>3204.45856318794</v>
      </c>
      <c r="K420" s="0" t="n">
        <f aca="false">W_PH(K$2,$A420)</f>
        <v>3204.46049138449</v>
      </c>
      <c r="L420" s="0" t="n">
        <f aca="false">W_PH(L$2,$A420)</f>
        <v>3204.46241958342</v>
      </c>
      <c r="M420" s="0" t="n">
        <f aca="false">W_PH(M$2,$A420)</f>
        <v>3204.46434386058</v>
      </c>
      <c r="N420" s="0" t="n">
        <f aca="false">W_PH(N$2,$A420)</f>
        <v>3204.46627206424</v>
      </c>
      <c r="O420" s="0" t="n">
        <f aca="false">W_PH(O$2,$A420)</f>
        <v>3204.46820027027</v>
      </c>
      <c r="P420" s="0" t="n">
        <f aca="false">W_PH(P$2,$A420)</f>
        <v>3204.48746676496</v>
      </c>
      <c r="Q420" s="0" t="n">
        <f aca="false">W_PH(Q$2,$A420)</f>
        <v>3204.50673349958</v>
      </c>
      <c r="R420" s="0" t="n">
        <f aca="false">W_PH(R$2,$A420)</f>
        <v>3204.52600832547</v>
      </c>
      <c r="S420" s="0" t="n">
        <f aca="false">W_PH(S$2,$A420)</f>
        <v>3204.54527554815</v>
      </c>
      <c r="T420" s="0" t="n">
        <f aca="false">W_PH(T$2,$A420)</f>
        <v>3204.56454301883</v>
      </c>
      <c r="U420" s="0" t="n">
        <f aca="false">W_PH(U$2,$A420)</f>
        <v>3204.58381466472</v>
      </c>
      <c r="V420" s="0" t="n">
        <f aca="false">W_PH(V$2,$A420)</f>
        <v>3204.60308656412</v>
      </c>
      <c r="W420" s="0" t="n">
        <f aca="false">W_PH(W$2,$A420)</f>
        <v>3204.62235479509</v>
      </c>
      <c r="X420" s="0" t="n">
        <f aca="false">W_PH(X$2,$A420)</f>
        <v>3204.64162328484</v>
      </c>
      <c r="Y420" s="0" t="n">
        <f aca="false">W_PH(Y$2,$A420)</f>
        <v>3204.83434263371</v>
      </c>
      <c r="Z420" s="0" t="n">
        <f aca="false">W_PH(Z$2,$A420)</f>
        <v>3205.02708297573</v>
      </c>
      <c r="AA420" s="0" t="n">
        <f aca="false">W_PH(AA$2,$A420)</f>
        <v>3205.21985092576</v>
      </c>
      <c r="AB420" s="0" t="n">
        <f aca="false">W_PH(AB$2,$A420)</f>
        <v>3205.41264131947</v>
      </c>
      <c r="AC420" s="0" t="n">
        <f aca="false">W_PH(AC$2,$A420)</f>
        <v>3205.60546469856</v>
      </c>
      <c r="AD420" s="0" t="n">
        <f aca="false">W_PH(AD$2,$A420)</f>
        <v>3205.79832375266</v>
      </c>
      <c r="AE420" s="0" t="n">
        <f aca="false">W_PH(AE$2,$A420)</f>
        <v>3205.99121331317</v>
      </c>
      <c r="AF420" s="0" t="n">
        <f aca="false">W_PH(AF$2,$A420)</f>
        <v>3206.18414785459</v>
      </c>
      <c r="AG420" s="0" t="n">
        <f aca="false">W_PH(AG$2,$A420)</f>
        <v>3206.37711827709</v>
      </c>
      <c r="AH420" s="0" t="n">
        <f aca="false">W_PH(AH$2,$A420)</f>
        <v>3208.30965429625</v>
      </c>
      <c r="AI420" s="0" t="n">
        <f aca="false">W_PH(AI$2,$A420)</f>
        <v>3210.24911431451</v>
      </c>
      <c r="AJ420" s="0" t="n">
        <f aca="false">W_PH(AJ$2,$A420)</f>
        <v>3212.19805633627</v>
      </c>
      <c r="AK420" s="0" t="n">
        <f aca="false">W_PH(AK$2,$A420)</f>
        <v>3214.15905581913</v>
      </c>
      <c r="AL420" s="0" t="n">
        <f aca="false">W_PH(AL$2,$A420)</f>
        <v>3216.13468620647</v>
      </c>
      <c r="AM420" s="0" t="n">
        <f aca="false">W_PH(AM$2,$A420)</f>
        <v>3218.12750328557</v>
      </c>
      <c r="AN420" s="0" t="n">
        <f aca="false">W_PH(AN$2,$A420)</f>
        <v>3220.14007313556</v>
      </c>
      <c r="AO420" s="0" t="n">
        <f aca="false">W_PH(AO$2,$A420)</f>
        <v>3222.17496058051</v>
      </c>
      <c r="AP420" s="0" t="n">
        <f aca="false">W_PH(AP$2,$A420)</f>
        <v>2015</v>
      </c>
      <c r="AQ420" s="0" t="n">
        <f aca="false">W_PH(AQ$2,$A420)</f>
        <v>2015</v>
      </c>
      <c r="AR420" s="0" t="n">
        <f aca="false">W_PH(AR$2,$A420)</f>
        <v>2015</v>
      </c>
      <c r="AS420" s="0" t="n">
        <f aca="false">W_PH(AS$2,$A420)</f>
        <v>2015</v>
      </c>
    </row>
    <row r="421" customFormat="false" ht="12.8" hidden="false" customHeight="false" outlineLevel="0" collapsed="false">
      <c r="A421" s="0" t="n">
        <v>2497.85038693035</v>
      </c>
      <c r="B421" s="0" t="n">
        <f aca="false">W_PH(B$2,$A421)</f>
        <v>2015</v>
      </c>
      <c r="C421" s="0" t="n">
        <f aca="false">W_PH(C$2,$A421)</f>
        <v>3207.66936455744</v>
      </c>
      <c r="D421" s="0" t="n">
        <f aca="false">W_PH(D$2,$A421)</f>
        <v>3207.66955984106</v>
      </c>
      <c r="E421" s="0" t="n">
        <f aca="false">W_PH(E$2,$A421)</f>
        <v>3207.66974728414</v>
      </c>
      <c r="F421" s="0" t="n">
        <f aca="false">W_PH(F$2,$A421)</f>
        <v>3207.66994256781</v>
      </c>
      <c r="G421" s="0" t="n">
        <f aca="false">W_PH(G$2,$A421)</f>
        <v>3207.67187188406</v>
      </c>
      <c r="H421" s="0" t="n">
        <f aca="false">W_PH(H$2,$A421)</f>
        <v>3207.67380120264</v>
      </c>
      <c r="I421" s="0" t="n">
        <f aca="false">W_PH(I$2,$A421)</f>
        <v>3207.67573052355</v>
      </c>
      <c r="J421" s="0" t="n">
        <f aca="false">W_PH(J$2,$A421)</f>
        <v>3207.67765984678</v>
      </c>
      <c r="K421" s="0" t="n">
        <f aca="false">W_PH(K$2,$A421)</f>
        <v>3207.67958917235</v>
      </c>
      <c r="L421" s="0" t="n">
        <f aca="false">W_PH(L$2,$A421)</f>
        <v>3207.68151457992</v>
      </c>
      <c r="M421" s="0" t="n">
        <f aca="false">W_PH(M$2,$A421)</f>
        <v>3207.68344391015</v>
      </c>
      <c r="N421" s="0" t="n">
        <f aca="false">W_PH(N$2,$A421)</f>
        <v>3207.68536932239</v>
      </c>
      <c r="O421" s="0" t="n">
        <f aca="false">W_PH(O$2,$A421)</f>
        <v>3207.68729865729</v>
      </c>
      <c r="P421" s="0" t="n">
        <f aca="false">W_PH(P$2,$A421)</f>
        <v>3207.7065882153</v>
      </c>
      <c r="Q421" s="0" t="n">
        <f aca="false">W_PH(Q$2,$A421)</f>
        <v>3207.72587801031</v>
      </c>
      <c r="R421" s="0" t="n">
        <f aca="false">W_PH(R$2,$A421)</f>
        <v>3207.74516412445</v>
      </c>
      <c r="S421" s="0" t="n">
        <f aca="false">W_PH(S$2,$A421)</f>
        <v>3207.76445048083</v>
      </c>
      <c r="T421" s="0" t="n">
        <f aca="false">W_PH(T$2,$A421)</f>
        <v>3207.78374100274</v>
      </c>
      <c r="U421" s="0" t="n">
        <f aca="false">W_PH(U$2,$A421)</f>
        <v>3207.80303177236</v>
      </c>
      <c r="V421" s="0" t="n">
        <f aca="false">W_PH(V$2,$A421)</f>
        <v>3207.8223188716</v>
      </c>
      <c r="W421" s="0" t="n">
        <f aca="false">W_PH(W$2,$A421)</f>
        <v>3207.84160622377</v>
      </c>
      <c r="X421" s="0" t="n">
        <f aca="false">W_PH(X$2,$A421)</f>
        <v>3207.86089383155</v>
      </c>
      <c r="Y421" s="0" t="n">
        <f aca="false">W_PH(Y$2,$A421)</f>
        <v>3208.05380024334</v>
      </c>
      <c r="Z421" s="0" t="n">
        <f aca="false">W_PH(Z$2,$A421)</f>
        <v>3208.24672732294</v>
      </c>
      <c r="AA421" s="0" t="n">
        <f aca="false">W_PH(AA$2,$A421)</f>
        <v>3208.43967774446</v>
      </c>
      <c r="AB421" s="0" t="n">
        <f aca="false">W_PH(AB$2,$A421)</f>
        <v>3208.63265418181</v>
      </c>
      <c r="AC421" s="0" t="n">
        <f aca="false">W_PH(AC$2,$A421)</f>
        <v>3208.82566323268</v>
      </c>
      <c r="AD421" s="0" t="n">
        <f aca="false">W_PH(AD$2,$A421)</f>
        <v>3209.01870364792</v>
      </c>
      <c r="AE421" s="0" t="n">
        <f aca="false">W_PH(AE$2,$A421)</f>
        <v>3209.21178202609</v>
      </c>
      <c r="AF421" s="0" t="n">
        <f aca="false">W_PH(AF$2,$A421)</f>
        <v>3209.40489711644</v>
      </c>
      <c r="AG421" s="0" t="n">
        <f aca="false">W_PH(AG$2,$A421)</f>
        <v>3209.59805159204</v>
      </c>
      <c r="AH421" s="0" t="n">
        <f aca="false">W_PH(AH$2,$A421)</f>
        <v>3211.53240553706</v>
      </c>
      <c r="AI421" s="0" t="n">
        <f aca="false">W_PH(AI$2,$A421)</f>
        <v>3213.47362938749</v>
      </c>
      <c r="AJ421" s="0" t="n">
        <f aca="false">W_PH(AJ$2,$A421)</f>
        <v>3215.42427904099</v>
      </c>
      <c r="AK421" s="0" t="n">
        <f aca="false">W_PH(AK$2,$A421)</f>
        <v>3217.3869121691</v>
      </c>
      <c r="AL421" s="0" t="n">
        <f aca="false">W_PH(AL$2,$A421)</f>
        <v>3219.36408051692</v>
      </c>
      <c r="AM421" s="0" t="n">
        <f aca="false">W_PH(AM$2,$A421)</f>
        <v>3221.35833405619</v>
      </c>
      <c r="AN421" s="0" t="n">
        <f aca="false">W_PH(AN$2,$A421)</f>
        <v>3223.37223314482</v>
      </c>
      <c r="AO421" s="0" t="n">
        <f aca="false">W_PH(AO$2,$A421)</f>
        <v>3225.40831712404</v>
      </c>
      <c r="AP421" s="0" t="n">
        <f aca="false">W_PH(AP$2,$A421)</f>
        <v>2015</v>
      </c>
      <c r="AQ421" s="0" t="n">
        <f aca="false">W_PH(AQ$2,$A421)</f>
        <v>2015</v>
      </c>
      <c r="AR421" s="0" t="n">
        <f aca="false">W_PH(AR$2,$A421)</f>
        <v>2015</v>
      </c>
      <c r="AS421" s="0" t="n">
        <f aca="false">W_PH(AS$2,$A421)</f>
        <v>2015</v>
      </c>
    </row>
    <row r="422" customFormat="false" ht="12.8" hidden="false" customHeight="false" outlineLevel="0" collapsed="false">
      <c r="A422" s="0" t="n">
        <v>2502.14961306965</v>
      </c>
      <c r="B422" s="0" t="n">
        <f aca="false">W_PH(B$2,$A422)</f>
        <v>2015</v>
      </c>
      <c r="C422" s="0" t="n">
        <f aca="false">W_PH(C$2,$A422)</f>
        <v>3210.8833418776</v>
      </c>
      <c r="D422" s="0" t="n">
        <f aca="false">W_PH(D$2,$A422)</f>
        <v>3210.88353765817</v>
      </c>
      <c r="E422" s="0" t="n">
        <f aca="false">W_PH(E$2,$A422)</f>
        <v>3210.88372560578</v>
      </c>
      <c r="F422" s="0" t="n">
        <f aca="false">W_PH(F$2,$A422)</f>
        <v>3210.8839213864</v>
      </c>
      <c r="G422" s="0" t="n">
        <f aca="false">W_PH(G$2,$A422)</f>
        <v>3210.88585177838</v>
      </c>
      <c r="H422" s="0" t="n">
        <f aca="false">W_PH(H$2,$A422)</f>
        <v>3210.88778217266</v>
      </c>
      <c r="I422" s="0" t="n">
        <f aca="false">W_PH(I$2,$A422)</f>
        <v>3210.88971256923</v>
      </c>
      <c r="J422" s="0" t="n">
        <f aca="false">W_PH(J$2,$A422)</f>
        <v>3210.89164296809</v>
      </c>
      <c r="K422" s="0" t="n">
        <f aca="false">W_PH(K$2,$A422)</f>
        <v>3210.89357336925</v>
      </c>
      <c r="L422" s="0" t="n">
        <f aca="false">W_PH(L$2,$A422)</f>
        <v>3210.89550377271</v>
      </c>
      <c r="M422" s="0" t="n">
        <f aca="false">W_PH(M$2,$A422)</f>
        <v>3210.89743809502</v>
      </c>
      <c r="N422" s="0" t="n">
        <f aca="false">W_PH(N$2,$A422)</f>
        <v>3210.89936458655</v>
      </c>
      <c r="O422" s="0" t="n">
        <f aca="false">W_PH(O$2,$A422)</f>
        <v>3210.90129891349</v>
      </c>
      <c r="P422" s="0" t="n">
        <f aca="false">W_PH(P$2,$A422)</f>
        <v>3210.92060314496</v>
      </c>
      <c r="Q422" s="0" t="n">
        <f aca="false">W_PH(Q$2,$A422)</f>
        <v>3210.93990761028</v>
      </c>
      <c r="R422" s="0" t="n">
        <f aca="false">W_PH(R$2,$A422)</f>
        <v>3210.95921231212</v>
      </c>
      <c r="S422" s="0" t="n">
        <f aca="false">W_PH(S$2,$A422)</f>
        <v>3210.97852116992</v>
      </c>
      <c r="T422" s="0" t="n">
        <f aca="false">W_PH(T$2,$A422)</f>
        <v>3210.99783026967</v>
      </c>
      <c r="U422" s="0" t="n">
        <f aca="false">W_PH(U$2,$A422)</f>
        <v>3211.01713569715</v>
      </c>
      <c r="V422" s="0" t="n">
        <f aca="false">W_PH(V$2,$A422)</f>
        <v>3211.03644137178</v>
      </c>
      <c r="W422" s="0" t="n">
        <f aca="false">W_PH(W$2,$A422)</f>
        <v>3211.05574729625</v>
      </c>
      <c r="X422" s="0" t="n">
        <f aca="false">W_PH(X$2,$A422)</f>
        <v>3211.07505347322</v>
      </c>
      <c r="Y422" s="0" t="n">
        <f aca="false">W_PH(Y$2,$A422)</f>
        <v>3211.26814538689</v>
      </c>
      <c r="Z422" s="0" t="n">
        <f aca="false">W_PH(Z$2,$A422)</f>
        <v>3211.46124981178</v>
      </c>
      <c r="AA422" s="0" t="n">
        <f aca="false">W_PH(AA$2,$A422)</f>
        <v>3211.65438507989</v>
      </c>
      <c r="AB422" s="0" t="n">
        <f aca="false">W_PH(AB$2,$A422)</f>
        <v>3211.8475460156</v>
      </c>
      <c r="AC422" s="0" t="n">
        <f aca="false">W_PH(AC$2,$A422)</f>
        <v>3212.04073527855</v>
      </c>
      <c r="AD422" s="0" t="n">
        <f aca="false">W_PH(AD$2,$A422)</f>
        <v>3212.23395944892</v>
      </c>
      <c r="AE422" s="0" t="n">
        <f aca="false">W_PH(AE$2,$A422)</f>
        <v>3212.42721726649</v>
      </c>
      <c r="AF422" s="0" t="n">
        <f aca="false">W_PH(AF$2,$A422)</f>
        <v>3212.62051531232</v>
      </c>
      <c r="AG422" s="0" t="n">
        <f aca="false">W_PH(AG$2,$A422)</f>
        <v>3212.81385232464</v>
      </c>
      <c r="AH422" s="0" t="n">
        <f aca="false">W_PH(AH$2,$A422)</f>
        <v>3214.74998974274</v>
      </c>
      <c r="AI422" s="0" t="n">
        <f aca="false">W_PH(AI$2,$A422)</f>
        <v>3216.69295150813</v>
      </c>
      <c r="AJ422" s="0" t="n">
        <f aca="false">W_PH(AJ$2,$A422)</f>
        <v>3218.64527971146</v>
      </c>
      <c r="AK422" s="0" t="n">
        <f aca="false">W_PH(AK$2,$A422)</f>
        <v>3220.6095143361</v>
      </c>
      <c r="AL422" s="0" t="n">
        <f aca="false">W_PH(AL$2,$A422)</f>
        <v>3222.58820134205</v>
      </c>
      <c r="AM422" s="0" t="n">
        <f aca="false">W_PH(AM$2,$A422)</f>
        <v>3224.58387315257</v>
      </c>
      <c r="AN422" s="0" t="n">
        <f aca="false">W_PH(AN$2,$A422)</f>
        <v>3226.59907260206</v>
      </c>
      <c r="AO422" s="0" t="n">
        <f aca="false">W_PH(AO$2,$A422)</f>
        <v>3228.63633346872</v>
      </c>
      <c r="AP422" s="0" t="n">
        <f aca="false">W_PH(AP$2,$A422)</f>
        <v>2015</v>
      </c>
      <c r="AQ422" s="0" t="n">
        <f aca="false">W_PH(AQ$2,$A422)</f>
        <v>2015</v>
      </c>
      <c r="AR422" s="0" t="n">
        <f aca="false">W_PH(AR$2,$A422)</f>
        <v>2015</v>
      </c>
      <c r="AS422" s="0" t="n">
        <f aca="false">W_PH(AS$2,$A422)</f>
        <v>2015</v>
      </c>
    </row>
    <row r="423" customFormat="false" ht="12.8" hidden="false" customHeight="false" outlineLevel="0" collapsed="false">
      <c r="A423" s="0" t="n">
        <v>2506.44883920894</v>
      </c>
      <c r="B423" s="0" t="n">
        <f aca="false">W_PH(B$2,$A423)</f>
        <v>2015</v>
      </c>
      <c r="C423" s="0" t="n">
        <f aca="false">W_PH(C$2,$A423)</f>
        <v>3214.09223718952</v>
      </c>
      <c r="D423" s="0" t="n">
        <f aca="false">W_PH(D$2,$A423)</f>
        <v>3214.09243346102</v>
      </c>
      <c r="E423" s="0" t="n">
        <f aca="false">W_PH(E$2,$A423)</f>
        <v>3214.09262581983</v>
      </c>
      <c r="F423" s="0" t="n">
        <f aca="false">W_PH(F$2,$A423)</f>
        <v>3214.09281817866</v>
      </c>
      <c r="G423" s="0" t="n">
        <f aca="false">W_PH(G$2,$A423)</f>
        <v>3214.09474959364</v>
      </c>
      <c r="H423" s="0" t="n">
        <f aca="false">W_PH(H$2,$A423)</f>
        <v>3214.09668101087</v>
      </c>
      <c r="I423" s="0" t="n">
        <f aca="false">W_PH(I$2,$A423)</f>
        <v>3214.09861634311</v>
      </c>
      <c r="J423" s="0" t="n">
        <f aca="false">W_PH(J$2,$A423)</f>
        <v>3214.10054776488</v>
      </c>
      <c r="K423" s="0" t="n">
        <f aca="false">W_PH(K$2,$A423)</f>
        <v>3214.10248310166</v>
      </c>
      <c r="L423" s="0" t="n">
        <f aca="false">W_PH(L$2,$A423)</f>
        <v>3214.10441452797</v>
      </c>
      <c r="M423" s="0" t="n">
        <f aca="false">W_PH(M$2,$A423)</f>
        <v>3214.10634595655</v>
      </c>
      <c r="N423" s="0" t="n">
        <f aca="false">W_PH(N$2,$A423)</f>
        <v>3214.10827738741</v>
      </c>
      <c r="O423" s="0" t="n">
        <f aca="false">W_PH(O$2,$A423)</f>
        <v>3214.11020882054</v>
      </c>
      <c r="P423" s="0" t="n">
        <f aca="false">W_PH(P$2,$A423)</f>
        <v>3214.12953110335</v>
      </c>
      <c r="Q423" s="0" t="n">
        <f aca="false">W_PH(Q$2,$A423)</f>
        <v>3214.14886144282</v>
      </c>
      <c r="R423" s="0" t="n">
        <f aca="false">W_PH(R$2,$A423)</f>
        <v>3214.16818419014</v>
      </c>
      <c r="S423" s="0" t="n">
        <f aca="false">W_PH(S$2,$A423)</f>
        <v>3214.18750717362</v>
      </c>
      <c r="T423" s="0" t="n">
        <f aca="false">W_PH(T$2,$A423)</f>
        <v>3214.20683039592</v>
      </c>
      <c r="U423" s="0" t="n">
        <f aca="false">W_PH(U$2,$A423)</f>
        <v>3214.22615385968</v>
      </c>
      <c r="V423" s="0" t="n">
        <f aca="false">W_PH(V$2,$A423)</f>
        <v>3214.24548148075</v>
      </c>
      <c r="W423" s="0" t="n">
        <f aca="false">W_PH(W$2,$A423)</f>
        <v>3214.2648093487</v>
      </c>
      <c r="X423" s="0" t="n">
        <f aca="false">W_PH(X$2,$A423)</f>
        <v>3214.28413355288</v>
      </c>
      <c r="Y423" s="0" t="n">
        <f aca="false">W_PH(Y$2,$A423)</f>
        <v>3214.47739772319</v>
      </c>
      <c r="Z423" s="0" t="n">
        <f aca="false">W_PH(Z$2,$A423)</f>
        <v>3214.67068975202</v>
      </c>
      <c r="AA423" s="0" t="n">
        <f aca="false">W_PH(AA$2,$A423)</f>
        <v>3214.8640005436</v>
      </c>
      <c r="AB423" s="0" t="n">
        <f aca="false">W_PH(AB$2,$A423)</f>
        <v>3215.05734057334</v>
      </c>
      <c r="AC423" s="0" t="n">
        <f aca="false">W_PH(AC$2,$A423)</f>
        <v>3215.25071248866</v>
      </c>
      <c r="AD423" s="0" t="n">
        <f aca="false">W_PH(AD$2,$A423)</f>
        <v>3215.44411110302</v>
      </c>
      <c r="AE423" s="0" t="n">
        <f aca="false">W_PH(AE$2,$A423)</f>
        <v>3215.63755081244</v>
      </c>
      <c r="AF423" s="0" t="n">
        <f aca="false">W_PH(AF$2,$A423)</f>
        <v>3215.83102642944</v>
      </c>
      <c r="AG423" s="0" t="n">
        <f aca="false">W_PH(AG$2,$A423)</f>
        <v>3216.02454059901</v>
      </c>
      <c r="AH423" s="0" t="n">
        <f aca="false">W_PH(AH$2,$A423)</f>
        <v>3217.96243548956</v>
      </c>
      <c r="AI423" s="0" t="n">
        <f aca="false">W_PH(AI$2,$A423)</f>
        <v>3219.90710983439</v>
      </c>
      <c r="AJ423" s="0" t="n">
        <f aca="false">W_PH(AJ$2,$A423)</f>
        <v>3221.86109202475</v>
      </c>
      <c r="AK423" s="0" t="n">
        <f aca="false">W_PH(AK$2,$A423)</f>
        <v>3223.82690052821</v>
      </c>
      <c r="AL423" s="0" t="n">
        <f aca="false">W_PH(AL$2,$A423)</f>
        <v>3225.80707953904</v>
      </c>
      <c r="AM423" s="0" t="n">
        <f aca="false">W_PH(AM$2,$A423)</f>
        <v>3227.80414009098</v>
      </c>
      <c r="AN423" s="0" t="n">
        <f aca="false">W_PH(AN$2,$A423)</f>
        <v>3229.82061946558</v>
      </c>
      <c r="AO423" s="0" t="n">
        <f aca="false">W_PH(AO$2,$A423)</f>
        <v>3231.85903410333</v>
      </c>
      <c r="AP423" s="0" t="n">
        <f aca="false">W_PH(AP$2,$A423)</f>
        <v>2015</v>
      </c>
      <c r="AQ423" s="0" t="n">
        <f aca="false">W_PH(AQ$2,$A423)</f>
        <v>2015</v>
      </c>
      <c r="AR423" s="0" t="n">
        <f aca="false">W_PH(AR$2,$A423)</f>
        <v>2015</v>
      </c>
      <c r="AS423" s="0" t="n">
        <f aca="false">W_PH(AS$2,$A423)</f>
        <v>2015</v>
      </c>
    </row>
    <row r="424" customFormat="false" ht="12.8" hidden="false" customHeight="false" outlineLevel="0" collapsed="false">
      <c r="A424" s="0" t="n">
        <v>2510.74806534824</v>
      </c>
      <c r="B424" s="0" t="n">
        <f aca="false">W_PH(B$2,$A424)</f>
        <v>2015</v>
      </c>
      <c r="C424" s="0" t="n">
        <f aca="false">W_PH(C$2,$A424)</f>
        <v>3217.29608160088</v>
      </c>
      <c r="D424" s="0" t="n">
        <f aca="false">W_PH(D$2,$A424)</f>
        <v>3217.29627444841</v>
      </c>
      <c r="E424" s="0" t="n">
        <f aca="false">W_PH(E$2,$A424)</f>
        <v>3217.29646729596</v>
      </c>
      <c r="F424" s="0" t="n">
        <f aca="false">W_PH(F$2,$A424)</f>
        <v>3217.29666014353</v>
      </c>
      <c r="G424" s="0" t="n">
        <f aca="false">W_PH(G$2,$A424)</f>
        <v>3217.29859252943</v>
      </c>
      <c r="H424" s="0" t="n">
        <f aca="false">W_PH(H$2,$A424)</f>
        <v>3217.30052882654</v>
      </c>
      <c r="I424" s="0" t="n">
        <f aca="false">W_PH(I$2,$A424)</f>
        <v>3217.30246512588</v>
      </c>
      <c r="J424" s="0" t="n">
        <f aca="false">W_PH(J$2,$A424)</f>
        <v>3217.30439751849</v>
      </c>
      <c r="K424" s="0" t="n">
        <f aca="false">W_PH(K$2,$A424)</f>
        <v>3217.30632991333</v>
      </c>
      <c r="L424" s="0" t="n">
        <f aca="false">W_PH(L$2,$A424)</f>
        <v>3217.3082662194</v>
      </c>
      <c r="M424" s="0" t="n">
        <f aca="false">W_PH(M$2,$A424)</f>
        <v>3217.31020252773</v>
      </c>
      <c r="N424" s="0" t="n">
        <f aca="false">W_PH(N$2,$A424)</f>
        <v>3217.31213102029</v>
      </c>
      <c r="O424" s="0" t="n">
        <f aca="false">W_PH(O$2,$A424)</f>
        <v>3217.31406733312</v>
      </c>
      <c r="P424" s="0" t="n">
        <f aca="false">W_PH(P$2,$A424)</f>
        <v>3217.33340713168</v>
      </c>
      <c r="Q424" s="0" t="n">
        <f aca="false">W_PH(Q$2,$A424)</f>
        <v>3217.35275497642</v>
      </c>
      <c r="R424" s="0" t="n">
        <f aca="false">W_PH(R$2,$A424)</f>
        <v>3217.37209523358</v>
      </c>
      <c r="S424" s="0" t="n">
        <f aca="false">W_PH(S$2,$A424)</f>
        <v>3217.39143572393</v>
      </c>
      <c r="T424" s="0" t="n">
        <f aca="false">W_PH(T$2,$A424)</f>
        <v>3217.41077645011</v>
      </c>
      <c r="U424" s="0" t="n">
        <f aca="false">W_PH(U$2,$A424)</f>
        <v>3217.43012132413</v>
      </c>
      <c r="V424" s="0" t="n">
        <f aca="false">W_PH(V$2,$A424)</f>
        <v>3217.44946643936</v>
      </c>
      <c r="W424" s="0" t="n">
        <f aca="false">W_PH(W$2,$A424)</f>
        <v>3217.46880788896</v>
      </c>
      <c r="X424" s="0" t="n">
        <f aca="false">W_PH(X$2,$A424)</f>
        <v>3217.48814958494</v>
      </c>
      <c r="Y424" s="0" t="n">
        <f aca="false">W_PH(Y$2,$A424)</f>
        <v>3217.68159631567</v>
      </c>
      <c r="Z424" s="0" t="n">
        <f aca="false">W_PH(Z$2,$A424)</f>
        <v>3217.87505885561</v>
      </c>
      <c r="AA424" s="0" t="n">
        <f aca="false">W_PH(AA$2,$A424)</f>
        <v>3218.06855156901</v>
      </c>
      <c r="AB424" s="0" t="n">
        <f aca="false">W_PH(AB$2,$A424)</f>
        <v>3218.26206535559</v>
      </c>
      <c r="AC424" s="0" t="n">
        <f aca="false">W_PH(AC$2,$A424)</f>
        <v>3218.45561458282</v>
      </c>
      <c r="AD424" s="0" t="n">
        <f aca="false">W_PH(AD$2,$A424)</f>
        <v>3218.64919014656</v>
      </c>
      <c r="AE424" s="0" t="n">
        <f aca="false">W_PH(AE$2,$A424)</f>
        <v>3218.84280250382</v>
      </c>
      <c r="AF424" s="0" t="n">
        <f aca="false">W_PH(AF$2,$A424)</f>
        <v>3219.03645428767</v>
      </c>
      <c r="AG424" s="0" t="n">
        <f aca="false">W_PH(AG$2,$A424)</f>
        <v>3219.23014030125</v>
      </c>
      <c r="AH424" s="0" t="n">
        <f aca="false">W_PH(AH$2,$A424)</f>
        <v>3221.16977116118</v>
      </c>
      <c r="AI424" s="0" t="n">
        <f aca="false">W_PH(AI$2,$A424)</f>
        <v>3223.11612546979</v>
      </c>
      <c r="AJ424" s="0" t="n">
        <f aca="false">W_PH(AJ$2,$A424)</f>
        <v>3225.07172977034</v>
      </c>
      <c r="AK424" s="0" t="n">
        <f aca="false">W_PH(AK$2,$A424)</f>
        <v>3227.03909295034</v>
      </c>
      <c r="AL424" s="0" t="n">
        <f aca="false">W_PH(AL$2,$A424)</f>
        <v>3229.02073785121</v>
      </c>
      <c r="AM424" s="0" t="n">
        <f aca="false">W_PH(AM$2,$A424)</f>
        <v>3231.01916604994</v>
      </c>
      <c r="AN424" s="0" t="n">
        <f aca="false">W_PH(AN$2,$A424)</f>
        <v>3233.03689751364</v>
      </c>
      <c r="AO424" s="0" t="n">
        <f aca="false">W_PH(AO$2,$A424)</f>
        <v>3235.07644330072</v>
      </c>
      <c r="AP424" s="0" t="n">
        <f aca="false">W_PH(AP$2,$A424)</f>
        <v>2015</v>
      </c>
      <c r="AQ424" s="0" t="n">
        <f aca="false">W_PH(AQ$2,$A424)</f>
        <v>2015</v>
      </c>
      <c r="AR424" s="0" t="n">
        <f aca="false">W_PH(AR$2,$A424)</f>
        <v>2015</v>
      </c>
      <c r="AS424" s="0" t="n">
        <f aca="false">W_PH(AS$2,$A424)</f>
        <v>2015</v>
      </c>
    </row>
    <row r="425" customFormat="false" ht="12.8" hidden="false" customHeight="false" outlineLevel="0" collapsed="false">
      <c r="A425" s="0" t="n">
        <v>2515.04729148753</v>
      </c>
      <c r="B425" s="0" t="n">
        <f aca="false">W_PH(B$2,$A425)</f>
        <v>2015</v>
      </c>
      <c r="C425" s="0" t="n">
        <f aca="false">W_PH(C$2,$A425)</f>
        <v>3220.49489041091</v>
      </c>
      <c r="D425" s="0" t="n">
        <f aca="false">W_PH(D$2,$A425)</f>
        <v>3220.49508764651</v>
      </c>
      <c r="E425" s="0" t="n">
        <f aca="false">W_PH(E$2,$A425)</f>
        <v>3220.49527707169</v>
      </c>
      <c r="F425" s="0" t="n">
        <f aca="false">W_PH(F$2,$A425)</f>
        <v>3220.49547430733</v>
      </c>
      <c r="G425" s="0" t="n">
        <f aca="false">W_PH(G$2,$A425)</f>
        <v>3220.49740761275</v>
      </c>
      <c r="H425" s="0" t="n">
        <f aca="false">W_PH(H$2,$A425)</f>
        <v>3220.49934482559</v>
      </c>
      <c r="I425" s="0" t="n">
        <f aca="false">W_PH(I$2,$A425)</f>
        <v>3220.50128204065</v>
      </c>
      <c r="J425" s="0" t="n">
        <f aca="false">W_PH(J$2,$A425)</f>
        <v>3220.50321535267</v>
      </c>
      <c r="K425" s="0" t="n">
        <f aca="false">W_PH(K$2,$A425)</f>
        <v>3220.50515257215</v>
      </c>
      <c r="L425" s="0" t="n">
        <f aca="false">W_PH(L$2,$A425)</f>
        <v>3220.50708979384</v>
      </c>
      <c r="M425" s="0" t="n">
        <f aca="false">W_PH(M$2,$A425)</f>
        <v>3220.5090231125</v>
      </c>
      <c r="N425" s="0" t="n">
        <f aca="false">W_PH(N$2,$A425)</f>
        <v>3220.51096033864</v>
      </c>
      <c r="O425" s="0" t="n">
        <f aca="false">W_PH(O$2,$A425)</f>
        <v>3220.51289756699</v>
      </c>
      <c r="P425" s="0" t="n">
        <f aca="false">W_PH(P$2,$A425)</f>
        <v>3220.53225435228</v>
      </c>
      <c r="Q425" s="0" t="n">
        <f aca="false">W_PH(Q$2,$A425)</f>
        <v>3220.55161526798</v>
      </c>
      <c r="R425" s="0" t="n">
        <f aca="false">W_PH(R$2,$A425)</f>
        <v>3220.57097641142</v>
      </c>
      <c r="S425" s="0" t="n">
        <f aca="false">W_PH(S$2,$A425)</f>
        <v>3220.59033387974</v>
      </c>
      <c r="T425" s="0" t="n">
        <f aca="false">W_PH(T$2,$A425)</f>
        <v>3220.60969158095</v>
      </c>
      <c r="U425" s="0" t="n">
        <f aca="false">W_PH(U$2,$A425)</f>
        <v>3220.62905342327</v>
      </c>
      <c r="V425" s="0" t="n">
        <f aca="false">W_PH(V$2,$A425)</f>
        <v>3220.64841550384</v>
      </c>
      <c r="W425" s="0" t="n">
        <f aca="false">W_PH(W$2,$A425)</f>
        <v>3220.66777391954</v>
      </c>
      <c r="X425" s="0" t="n">
        <f aca="false">W_PH(X$2,$A425)</f>
        <v>3220.68713257862</v>
      </c>
      <c r="Y425" s="0" t="n">
        <f aca="false">W_PH(Y$2,$A425)</f>
        <v>3220.88075266345</v>
      </c>
      <c r="Z425" s="0" t="n">
        <f aca="false">W_PH(Z$2,$A425)</f>
        <v>3221.07439216139</v>
      </c>
      <c r="AA425" s="0" t="n">
        <f aca="false">W_PH(AA$2,$A425)</f>
        <v>3221.26805759826</v>
      </c>
      <c r="AB425" s="0" t="n">
        <f aca="false">W_PH(AB$2,$A425)</f>
        <v>3221.46174768578</v>
      </c>
      <c r="AC425" s="0" t="n">
        <f aca="false">W_PH(AC$2,$A425)</f>
        <v>3221.65546504194</v>
      </c>
      <c r="AD425" s="0" t="n">
        <f aca="false">W_PH(AD$2,$A425)</f>
        <v>3221.84922010314</v>
      </c>
      <c r="AE425" s="0" t="n">
        <f aca="false">W_PH(AE$2,$A425)</f>
        <v>3222.04300376089</v>
      </c>
      <c r="AF425" s="0" t="n">
        <f aca="false">W_PH(AF$2,$A425)</f>
        <v>3222.2368264519</v>
      </c>
      <c r="AG425" s="0" t="n">
        <f aca="false">W_PH(AG$2,$A425)</f>
        <v>3222.43069079528</v>
      </c>
      <c r="AH425" s="0" t="n">
        <f aca="false">W_PH(AH$2,$A425)</f>
        <v>3224.37201711711</v>
      </c>
      <c r="AI425" s="0" t="n">
        <f aca="false">W_PH(AI$2,$A425)</f>
        <v>3226.32003111809</v>
      </c>
      <c r="AJ425" s="0" t="n">
        <f aca="false">W_PH(AJ$2,$A425)</f>
        <v>3228.27723409216</v>
      </c>
      <c r="AK425" s="0" t="n">
        <f aca="false">W_PH(AK$2,$A425)</f>
        <v>3230.24612149172</v>
      </c>
      <c r="AL425" s="0" t="n">
        <f aca="false">W_PH(AL$2,$A425)</f>
        <v>3232.22920277008</v>
      </c>
      <c r="AM425" s="0" t="n">
        <f aca="false">W_PH(AM$2,$A425)</f>
        <v>3234.2289740863</v>
      </c>
      <c r="AN425" s="0" t="n">
        <f aca="false">W_PH(AN$2,$A425)</f>
        <v>3236.24793821837</v>
      </c>
      <c r="AO425" s="0" t="n">
        <f aca="false">W_PH(AO$2,$A425)</f>
        <v>3238.28859303059</v>
      </c>
      <c r="AP425" s="0" t="n">
        <f aca="false">W_PH(AP$2,$A425)</f>
        <v>2015</v>
      </c>
      <c r="AQ425" s="0" t="n">
        <f aca="false">W_PH(AQ$2,$A425)</f>
        <v>2015</v>
      </c>
      <c r="AR425" s="0" t="n">
        <f aca="false">W_PH(AR$2,$A425)</f>
        <v>2015</v>
      </c>
      <c r="AS425" s="0" t="n">
        <f aca="false">W_PH(AS$2,$A425)</f>
        <v>2015</v>
      </c>
    </row>
    <row r="426" customFormat="false" ht="12.8" hidden="false" customHeight="false" outlineLevel="0" collapsed="false">
      <c r="A426" s="0" t="n">
        <v>2519.34651762683</v>
      </c>
      <c r="B426" s="0" t="n">
        <f aca="false">W_PH(B$2,$A426)</f>
        <v>2015</v>
      </c>
      <c r="C426" s="0" t="n">
        <f aca="false">W_PH(C$2,$A426)</f>
        <v>3223.68869830038</v>
      </c>
      <c r="D426" s="0" t="n">
        <f aca="false">W_PH(D$2,$A426)</f>
        <v>3223.68889210778</v>
      </c>
      <c r="E426" s="0" t="n">
        <f aca="false">W_PH(E$2,$A426)</f>
        <v>3223.6890859152</v>
      </c>
      <c r="F426" s="0" t="n">
        <f aca="false">W_PH(F$2,$A426)</f>
        <v>3223.68927972265</v>
      </c>
      <c r="G426" s="0" t="n">
        <f aca="false">W_PH(G$2,$A426)</f>
        <v>3223.6912177983</v>
      </c>
      <c r="H426" s="0" t="n">
        <f aca="false">W_PH(H$2,$A426)</f>
        <v>3223.69315587613</v>
      </c>
      <c r="I426" s="0" t="n">
        <f aca="false">W_PH(I$2,$A426)</f>
        <v>3223.69509395613</v>
      </c>
      <c r="J426" s="0" t="n">
        <f aca="false">W_PH(J$2,$A426)</f>
        <v>3223.69703203832</v>
      </c>
      <c r="K426" s="0" t="n">
        <f aca="false">W_PH(K$2,$A426)</f>
        <v>3223.6989701227</v>
      </c>
      <c r="L426" s="0" t="n">
        <f aca="false">W_PH(L$2,$A426)</f>
        <v>3223.70090820926</v>
      </c>
      <c r="M426" s="0" t="n">
        <f aca="false">W_PH(M$2,$A426)</f>
        <v>3223.70284629801</v>
      </c>
      <c r="N426" s="0" t="n">
        <f aca="false">W_PH(N$2,$A426)</f>
        <v>3223.70478048742</v>
      </c>
      <c r="O426" s="0" t="n">
        <f aca="false">W_PH(O$2,$A426)</f>
        <v>3223.70671858056</v>
      </c>
      <c r="P426" s="0" t="n">
        <f aca="false">W_PH(P$2,$A426)</f>
        <v>3223.7260957316</v>
      </c>
      <c r="Q426" s="0" t="n">
        <f aca="false">W_PH(Q$2,$A426)</f>
        <v>3223.74546920325</v>
      </c>
      <c r="R426" s="0" t="n">
        <f aca="false">W_PH(R$2,$A426)</f>
        <v>3223.76485070308</v>
      </c>
      <c r="S426" s="0" t="n">
        <f aca="false">W_PH(S$2,$A426)</f>
        <v>3223.78422462696</v>
      </c>
      <c r="T426" s="0" t="n">
        <f aca="false">W_PH(T$2,$A426)</f>
        <v>3223.80360268265</v>
      </c>
      <c r="U426" s="0" t="n">
        <f aca="false">W_PH(U$2,$A426)</f>
        <v>3223.82298097103</v>
      </c>
      <c r="V426" s="0" t="n">
        <f aca="false">W_PH(V$2,$A426)</f>
        <v>3223.84235559278</v>
      </c>
      <c r="W426" s="0" t="n">
        <f aca="false">W_PH(W$2,$A426)</f>
        <v>3223.86173435432</v>
      </c>
      <c r="X426" s="0" t="n">
        <f aca="false">W_PH(X$2,$A426)</f>
        <v>3223.88111335639</v>
      </c>
      <c r="Y426" s="0" t="n">
        <f aca="false">W_PH(Y$2,$A426)</f>
        <v>3224.07490156902</v>
      </c>
      <c r="Z426" s="0" t="n">
        <f aca="false">W_PH(Z$2,$A426)</f>
        <v>3224.268712795</v>
      </c>
      <c r="AA426" s="0" t="n">
        <f aca="false">W_PH(AA$2,$A426)</f>
        <v>3224.46254573686</v>
      </c>
      <c r="AB426" s="0" t="n">
        <f aca="false">W_PH(AB$2,$A426)</f>
        <v>3224.65640690341</v>
      </c>
      <c r="AC426" s="0" t="n">
        <f aca="false">W_PH(AC$2,$A426)</f>
        <v>3224.85030280564</v>
      </c>
      <c r="AD426" s="0" t="n">
        <f aca="false">W_PH(AD$2,$A426)</f>
        <v>3225.04422042905</v>
      </c>
      <c r="AE426" s="0" t="n">
        <f aca="false">W_PH(AE$2,$A426)</f>
        <v>3225.23817799859</v>
      </c>
      <c r="AF426" s="0" t="n">
        <f aca="false">W_PH(AF$2,$A426)</f>
        <v>3225.43217030824</v>
      </c>
      <c r="AG426" s="0" t="n">
        <f aca="false">W_PH(AG$2,$A426)</f>
        <v>3225.62619996171</v>
      </c>
      <c r="AH426" s="0" t="n">
        <f aca="false">W_PH(AH$2,$A426)</f>
        <v>3227.5692052985</v>
      </c>
      <c r="AI426" s="0" t="n">
        <f aca="false">W_PH(AI$2,$A426)</f>
        <v>3229.51884751435</v>
      </c>
      <c r="AJ426" s="0" t="n">
        <f aca="false">W_PH(AJ$2,$A426)</f>
        <v>3231.47762233504</v>
      </c>
      <c r="AK426" s="0" t="n">
        <f aca="false">W_PH(AK$2,$A426)</f>
        <v>3233.44800796838</v>
      </c>
      <c r="AL426" s="0" t="n">
        <f aca="false">W_PH(AL$2,$A426)</f>
        <v>3235.43250451718</v>
      </c>
      <c r="AM426" s="0" t="n">
        <f aca="false">W_PH(AM$2,$A426)</f>
        <v>3237.43359494187</v>
      </c>
      <c r="AN426" s="0" t="n">
        <f aca="false">W_PH(AN$2,$A426)</f>
        <v>3239.45376886898</v>
      </c>
      <c r="AO426" s="0" t="n">
        <f aca="false">W_PH(AO$2,$A426)</f>
        <v>3241.49550711656</v>
      </c>
      <c r="AP426" s="0" t="n">
        <f aca="false">W_PH(AP$2,$A426)</f>
        <v>2015</v>
      </c>
      <c r="AQ426" s="0" t="n">
        <f aca="false">W_PH(AQ$2,$A426)</f>
        <v>2015</v>
      </c>
      <c r="AR426" s="0" t="n">
        <f aca="false">W_PH(AR$2,$A426)</f>
        <v>2015</v>
      </c>
      <c r="AS426" s="0" t="n">
        <f aca="false">W_PH(AS$2,$A426)</f>
        <v>2015</v>
      </c>
    </row>
    <row r="427" customFormat="false" ht="12.8" hidden="false" customHeight="false" outlineLevel="0" collapsed="false">
      <c r="A427" s="0" t="n">
        <v>2523.64574376612</v>
      </c>
      <c r="B427" s="0" t="n">
        <f aca="false">W_PH(B$2,$A427)</f>
        <v>2015</v>
      </c>
      <c r="C427" s="0" t="n">
        <f aca="false">W_PH(C$2,$A427)</f>
        <v>3226.87752416014</v>
      </c>
      <c r="D427" s="0" t="n">
        <f aca="false">W_PH(D$2,$A427)</f>
        <v>3226.8777184388</v>
      </c>
      <c r="E427" s="0" t="n">
        <f aca="false">W_PH(E$2,$A427)</f>
        <v>3226.8779127175</v>
      </c>
      <c r="F427" s="0" t="n">
        <f aca="false">W_PH(F$2,$A427)</f>
        <v>3226.87810699621</v>
      </c>
      <c r="G427" s="0" t="n">
        <f aca="false">W_PH(G$2,$A427)</f>
        <v>3226.88004588675</v>
      </c>
      <c r="H427" s="0" t="n">
        <f aca="false">W_PH(H$2,$A427)</f>
        <v>3226.88198867722</v>
      </c>
      <c r="I427" s="0" t="n">
        <f aca="false">W_PH(I$2,$A427)</f>
        <v>3226.88392367428</v>
      </c>
      <c r="J427" s="0" t="n">
        <f aca="false">W_PH(J$2,$A427)</f>
        <v>3226.88586646906</v>
      </c>
      <c r="K427" s="0" t="n">
        <f aca="false">W_PH(K$2,$A427)</f>
        <v>3226.88780147041</v>
      </c>
      <c r="L427" s="0" t="n">
        <f aca="false">W_PH(L$2,$A427)</f>
        <v>3226.88974426951</v>
      </c>
      <c r="M427" s="0" t="n">
        <f aca="false">W_PH(M$2,$A427)</f>
        <v>3226.89167927517</v>
      </c>
      <c r="N427" s="0" t="n">
        <f aca="false">W_PH(N$2,$A427)</f>
        <v>3226.89362207861</v>
      </c>
      <c r="O427" s="0" t="n">
        <f aca="false">W_PH(O$2,$A427)</f>
        <v>3226.8955609864</v>
      </c>
      <c r="P427" s="0" t="n">
        <f aca="false">W_PH(P$2,$A427)</f>
        <v>3226.91495408182</v>
      </c>
      <c r="Q427" s="0" t="n">
        <f aca="false">W_PH(Q$2,$A427)</f>
        <v>3226.93434739668</v>
      </c>
      <c r="R427" s="0" t="n">
        <f aca="false">W_PH(R$2,$A427)</f>
        <v>3226.95374093356</v>
      </c>
      <c r="S427" s="0" t="n">
        <f aca="false">W_PH(S$2,$A427)</f>
        <v>3226.97313469506</v>
      </c>
      <c r="T427" s="0" t="n">
        <f aca="false">W_PH(T$2,$A427)</f>
        <v>3226.99252868377</v>
      </c>
      <c r="U427" s="0" t="n">
        <f aca="false">W_PH(U$2,$A427)</f>
        <v>3227.0119229023</v>
      </c>
      <c r="V427" s="0" t="n">
        <f aca="false">W_PH(V$2,$A427)</f>
        <v>3227.03131735323</v>
      </c>
      <c r="W427" s="0" t="n">
        <f aca="false">W_PH(W$2,$A427)</f>
        <v>3227.05071203916</v>
      </c>
      <c r="X427" s="0" t="n">
        <f aca="false">W_PH(X$2,$A427)</f>
        <v>3227.07010696268</v>
      </c>
      <c r="Y427" s="0" t="n">
        <f aca="false">W_PH(Y$2,$A427)</f>
        <v>3227.26406593743</v>
      </c>
      <c r="Z427" s="0" t="n">
        <f aca="false">W_PH(Z$2,$A427)</f>
        <v>3227.45804372547</v>
      </c>
      <c r="AA427" s="0" t="n">
        <f aca="false">W_PH(AA$2,$A427)</f>
        <v>3227.65204681786</v>
      </c>
      <c r="AB427" s="0" t="n">
        <f aca="false">W_PH(AB$2,$A427)</f>
        <v>3227.84607780717</v>
      </c>
      <c r="AC427" s="0" t="n">
        <f aca="false">W_PH(AC$2,$A427)</f>
        <v>3228.04013538466</v>
      </c>
      <c r="AD427" s="0" t="n">
        <f aca="false">W_PH(AD$2,$A427)</f>
        <v>3228.2342260427</v>
      </c>
      <c r="AE427" s="0" t="n">
        <f aca="false">W_PH(AE$2,$A427)</f>
        <v>3228.42834847111</v>
      </c>
      <c r="AF427" s="0" t="n">
        <f aca="false">W_PH(AF$2,$A427)</f>
        <v>3228.62250916312</v>
      </c>
      <c r="AG427" s="0" t="n">
        <f aca="false">W_PH(AG$2,$A427)</f>
        <v>3228.81670680714</v>
      </c>
      <c r="AH427" s="0" t="n">
        <f aca="false">W_PH(AH$2,$A427)</f>
        <v>3230.76135571734</v>
      </c>
      <c r="AI427" s="0" t="n">
        <f aca="false">W_PH(AI$2,$A427)</f>
        <v>3232.71260305989</v>
      </c>
      <c r="AJ427" s="0" t="n">
        <f aca="false">W_PH(AJ$2,$A427)</f>
        <v>3234.67291952931</v>
      </c>
      <c r="AK427" s="0" t="n">
        <f aca="false">W_PH(AK$2,$A427)</f>
        <v>3236.64478186913</v>
      </c>
      <c r="AL427" s="0" t="n">
        <f aca="false">W_PH(AL$2,$A427)</f>
        <v>3238.63066916383</v>
      </c>
      <c r="AM427" s="0" t="n">
        <f aca="false">W_PH(AM$2,$A427)</f>
        <v>3240.63305519526</v>
      </c>
      <c r="AN427" s="0" t="n">
        <f aca="false">W_PH(AN$2,$A427)</f>
        <v>3242.65441259569</v>
      </c>
      <c r="AO427" s="0" t="n">
        <f aca="false">W_PH(AO$2,$A427)</f>
        <v>3244.69721706766</v>
      </c>
      <c r="AP427" s="0" t="n">
        <f aca="false">W_PH(AP$2,$A427)</f>
        <v>2015</v>
      </c>
      <c r="AQ427" s="0" t="n">
        <f aca="false">W_PH(AQ$2,$A427)</f>
        <v>2015</v>
      </c>
      <c r="AR427" s="0" t="n">
        <f aca="false">W_PH(AR$2,$A427)</f>
        <v>2015</v>
      </c>
      <c r="AS427" s="0" t="n">
        <f aca="false">W_PH(AS$2,$A427)</f>
        <v>2015</v>
      </c>
    </row>
    <row r="428" customFormat="false" ht="12.8" hidden="false" customHeight="false" outlineLevel="0" collapsed="false">
      <c r="A428" s="0" t="n">
        <v>2527.94496990542</v>
      </c>
      <c r="B428" s="0" t="n">
        <f aca="false">W_PH(B$2,$A428)</f>
        <v>2015</v>
      </c>
      <c r="C428" s="0" t="n">
        <f aca="false">W_PH(C$2,$A428)</f>
        <v>3230.06139453169</v>
      </c>
      <c r="D428" s="0" t="n">
        <f aca="false">W_PH(D$2,$A428)</f>
        <v>3230.06159317</v>
      </c>
      <c r="E428" s="0" t="n">
        <f aca="false">W_PH(E$2,$A428)</f>
        <v>3230.06178402021</v>
      </c>
      <c r="F428" s="0" t="n">
        <f aca="false">W_PH(F$2,$A428)</f>
        <v>3230.0619787645</v>
      </c>
      <c r="G428" s="0" t="n">
        <f aca="false">W_PH(G$2,$A428)</f>
        <v>3230.06392231451</v>
      </c>
      <c r="H428" s="0" t="n">
        <f aca="false">W_PH(H$2,$A428)</f>
        <v>3230.06586197257</v>
      </c>
      <c r="I428" s="0" t="n">
        <f aca="false">W_PH(I$2,$A428)</f>
        <v>3230.06780163275</v>
      </c>
      <c r="J428" s="0" t="n">
        <f aca="false">W_PH(J$2,$A428)</f>
        <v>3230.06974129505</v>
      </c>
      <c r="K428" s="0" t="n">
        <f aca="false">W_PH(K$2,$A428)</f>
        <v>3230.07168095948</v>
      </c>
      <c r="L428" s="0" t="n">
        <f aca="false">W_PH(L$2,$A428)</f>
        <v>3230.07362452013</v>
      </c>
      <c r="M428" s="0" t="n">
        <f aca="false">W_PH(M$2,$A428)</f>
        <v>3230.07556808292</v>
      </c>
      <c r="N428" s="0" t="n">
        <f aca="false">W_PH(N$2,$A428)</f>
        <v>3230.07750775374</v>
      </c>
      <c r="O428" s="0" t="n">
        <f aca="false">W_PH(O$2,$A428)</f>
        <v>3230.0794474267</v>
      </c>
      <c r="P428" s="0" t="n">
        <f aca="false">W_PH(P$2,$A428)</f>
        <v>3230.09885985096</v>
      </c>
      <c r="Q428" s="0" t="n">
        <f aca="false">W_PH(Q$2,$A428)</f>
        <v>3230.11826470351</v>
      </c>
      <c r="R428" s="0" t="n">
        <f aca="false">W_PH(R$2,$A428)</f>
        <v>3230.13767756372</v>
      </c>
      <c r="S428" s="0" t="n">
        <f aca="false">W_PH(S$2,$A428)</f>
        <v>3230.15709064585</v>
      </c>
      <c r="T428" s="0" t="n">
        <f aca="false">W_PH(T$2,$A428)</f>
        <v>3230.17649616367</v>
      </c>
      <c r="U428" s="0" t="n">
        <f aca="false">W_PH(U$2,$A428)</f>
        <v>3230.19590969725</v>
      </c>
      <c r="V428" s="0" t="n">
        <f aca="false">W_PH(V$2,$A428)</f>
        <v>3230.21532346047</v>
      </c>
      <c r="W428" s="0" t="n">
        <f aca="false">W_PH(W$2,$A428)</f>
        <v>3230.2347296668</v>
      </c>
      <c r="X428" s="0" t="n">
        <f aca="false">W_PH(X$2,$A428)</f>
        <v>3230.25414389697</v>
      </c>
      <c r="Y428" s="0" t="n">
        <f aca="false">W_PH(Y$2,$A428)</f>
        <v>3230.44826851979</v>
      </c>
      <c r="Z428" s="0" t="n">
        <f aca="false">W_PH(Z$2,$A428)</f>
        <v>3230.64241166277</v>
      </c>
      <c r="AA428" s="0" t="n">
        <f aca="false">W_PH(AA$2,$A428)</f>
        <v>3230.83658369607</v>
      </c>
      <c r="AB428" s="0" t="n">
        <f aca="false">W_PH(AB$2,$A428)</f>
        <v>3231.03077940674</v>
      </c>
      <c r="AC428" s="0" t="n">
        <f aca="false">W_PH(AC$2,$A428)</f>
        <v>3231.22500137204</v>
      </c>
      <c r="AD428" s="0" t="n">
        <f aca="false">W_PH(AD$2,$A428)</f>
        <v>3231.41925606714</v>
      </c>
      <c r="AE428" s="0" t="n">
        <f aca="false">W_PH(AE$2,$A428)</f>
        <v>3231.61354217216</v>
      </c>
      <c r="AF428" s="0" t="n">
        <f aca="false">W_PH(AF$2,$A428)</f>
        <v>3231.80786616312</v>
      </c>
      <c r="AG428" s="0" t="n">
        <f aca="false">W_PH(AG$2,$A428)</f>
        <v>3232.00222671876</v>
      </c>
      <c r="AH428" s="0" t="n">
        <f aca="false">W_PH(AH$2,$A428)</f>
        <v>3233.94850385342</v>
      </c>
      <c r="AI428" s="0" t="n">
        <f aca="false">W_PH(AI$2,$A428)</f>
        <v>3235.90132596347</v>
      </c>
      <c r="AJ428" s="0" t="n">
        <f aca="false">W_PH(AJ$2,$A428)</f>
        <v>3237.86315835318</v>
      </c>
      <c r="AK428" s="0" t="n">
        <f aca="false">W_PH(AK$2,$A428)</f>
        <v>3239.83647247413</v>
      </c>
      <c r="AL428" s="0" t="n">
        <f aca="false">W_PH(AL$2,$A428)</f>
        <v>3241.82372258118</v>
      </c>
      <c r="AM428" s="0" t="n">
        <f aca="false">W_PH(AM$2,$A428)</f>
        <v>3243.82737728523</v>
      </c>
      <c r="AN428" s="0" t="n">
        <f aca="false">W_PH(AN$2,$A428)</f>
        <v>3245.8499002054</v>
      </c>
      <c r="AO428" s="0" t="n">
        <f aca="false">W_PH(AO$2,$A428)</f>
        <v>3247.89374626963</v>
      </c>
      <c r="AP428" s="0" t="n">
        <f aca="false">W_PH(AP$2,$A428)</f>
        <v>2015</v>
      </c>
      <c r="AQ428" s="0" t="n">
        <f aca="false">W_PH(AQ$2,$A428)</f>
        <v>2015</v>
      </c>
      <c r="AR428" s="0" t="n">
        <f aca="false">W_PH(AR$2,$A428)</f>
        <v>2015</v>
      </c>
      <c r="AS428" s="0" t="n">
        <f aca="false">W_PH(AS$2,$A428)</f>
        <v>2015</v>
      </c>
    </row>
    <row r="429" customFormat="false" ht="12.8" hidden="false" customHeight="false" outlineLevel="0" collapsed="false">
      <c r="A429" s="0" t="n">
        <v>2532.24419604471</v>
      </c>
      <c r="B429" s="0" t="n">
        <f aca="false">W_PH(B$2,$A429)</f>
        <v>2015</v>
      </c>
      <c r="C429" s="0" t="n">
        <f aca="false">W_PH(C$2,$A429)</f>
        <v>3233.24033579106</v>
      </c>
      <c r="D429" s="0" t="n">
        <f aca="false">W_PH(D$2,$A429)</f>
        <v>3233.24053099526</v>
      </c>
      <c r="E429" s="0" t="n">
        <f aca="false">W_PH(E$2,$A429)</f>
        <v>3233.24072619948</v>
      </c>
      <c r="F429" s="0" t="n">
        <f aca="false">W_PH(F$2,$A429)</f>
        <v>3233.24091751335</v>
      </c>
      <c r="G429" s="0" t="n">
        <f aca="false">W_PH(G$2,$A429)</f>
        <v>3233.24286177619</v>
      </c>
      <c r="H429" s="0" t="n">
        <f aca="false">W_PH(H$2,$A429)</f>
        <v>3233.24480604112</v>
      </c>
      <c r="I429" s="0" t="n">
        <f aca="false">W_PH(I$2,$A429)</f>
        <v>3233.24675030815</v>
      </c>
      <c r="J429" s="0" t="n">
        <f aca="false">W_PH(J$2,$A429)</f>
        <v>3233.24869068689</v>
      </c>
      <c r="K429" s="0" t="n">
        <f aca="false">W_PH(K$2,$A429)</f>
        <v>3233.25063106773</v>
      </c>
      <c r="L429" s="0" t="n">
        <f aca="false">W_PH(L$2,$A429)</f>
        <v>3233.25257534107</v>
      </c>
      <c r="M429" s="0" t="n">
        <f aca="false">W_PH(M$2,$A429)</f>
        <v>3233.25451961652</v>
      </c>
      <c r="N429" s="0" t="n">
        <f aca="false">W_PH(N$2,$A429)</f>
        <v>3233.25646389408</v>
      </c>
      <c r="O429" s="0" t="n">
        <f aca="false">W_PH(O$2,$A429)</f>
        <v>3233.25840039292</v>
      </c>
      <c r="P429" s="0" t="n">
        <f aca="false">W_PH(P$2,$A429)</f>
        <v>3233.27782774464</v>
      </c>
      <c r="Q429" s="0" t="n">
        <f aca="false">W_PH(Q$2,$A429)</f>
        <v>3233.29725531035</v>
      </c>
      <c r="R429" s="0" t="n">
        <f aca="false">W_PH(R$2,$A429)</f>
        <v>3233.31668309261</v>
      </c>
      <c r="S429" s="0" t="n">
        <f aca="false">W_PH(S$2,$A429)</f>
        <v>3233.33611109399</v>
      </c>
      <c r="T429" s="0" t="n">
        <f aca="false">W_PH(T$2,$A429)</f>
        <v>3233.35553931706</v>
      </c>
      <c r="U429" s="0" t="n">
        <f aca="false">W_PH(U$2,$A429)</f>
        <v>3233.37496387363</v>
      </c>
      <c r="V429" s="0" t="n">
        <f aca="false">W_PH(V$2,$A429)</f>
        <v>3233.39438865691</v>
      </c>
      <c r="W429" s="0" t="n">
        <f aca="false">W_PH(W$2,$A429)</f>
        <v>3233.41381756034</v>
      </c>
      <c r="X429" s="0" t="n">
        <f aca="false">W_PH(X$2,$A429)</f>
        <v>3233.43324669573</v>
      </c>
      <c r="Y429" s="0" t="n">
        <f aca="false">W_PH(Y$2,$A429)</f>
        <v>3233.62753580636</v>
      </c>
      <c r="Z429" s="0" t="n">
        <f aca="false">W_PH(Z$2,$A429)</f>
        <v>3233.82184314879</v>
      </c>
      <c r="AA429" s="0" t="n">
        <f aca="false">W_PH(AA$2,$A429)</f>
        <v>3234.01617517983</v>
      </c>
      <c r="AB429" s="0" t="n">
        <f aca="false">W_PH(AB$2,$A429)</f>
        <v>3234.21053057202</v>
      </c>
      <c r="AC429" s="0" t="n">
        <f aca="false">W_PH(AC$2,$A429)</f>
        <v>3234.40491967676</v>
      </c>
      <c r="AD429" s="0" t="n">
        <f aca="false">W_PH(AD$2,$A429)</f>
        <v>3234.5993372726</v>
      </c>
      <c r="AE429" s="0" t="n">
        <f aca="false">W_PH(AE$2,$A429)</f>
        <v>3234.79378592323</v>
      </c>
      <c r="AF429" s="0" t="n">
        <f aca="false">W_PH(AF$2,$A429)</f>
        <v>3234.9882681922</v>
      </c>
      <c r="AG429" s="0" t="n">
        <f aca="false">W_PH(AG$2,$A429)</f>
        <v>3235.18279443484</v>
      </c>
      <c r="AH429" s="0" t="n">
        <f aca="false">W_PH(AH$2,$A429)</f>
        <v>3237.1306615647</v>
      </c>
      <c r="AI429" s="0" t="n">
        <f aca="false">W_PH(AI$2,$A429)</f>
        <v>3239.08503252246</v>
      </c>
      <c r="AJ429" s="0" t="n">
        <f aca="false">W_PH(AJ$2,$A429)</f>
        <v>3241.04836344574</v>
      </c>
      <c r="AK429" s="0" t="n">
        <f aca="false">W_PH(AK$2,$A429)</f>
        <v>3243.02309710384</v>
      </c>
      <c r="AL429" s="0" t="n">
        <f aca="false">W_PH(AL$2,$A429)</f>
        <v>3245.01169044267</v>
      </c>
      <c r="AM429" s="0" t="n">
        <f aca="false">W_PH(AM$2,$A429)</f>
        <v>3247.0165952465</v>
      </c>
      <c r="AN429" s="0" t="n">
        <f aca="false">W_PH(AN$2,$A429)</f>
        <v>3249.04025834295</v>
      </c>
      <c r="AO429" s="0" t="n">
        <f aca="false">W_PH(AO$2,$A429)</f>
        <v>3251.08512578217</v>
      </c>
      <c r="AP429" s="0" t="n">
        <f aca="false">W_PH(AP$2,$A429)</f>
        <v>2015</v>
      </c>
      <c r="AQ429" s="0" t="n">
        <f aca="false">W_PH(AQ$2,$A429)</f>
        <v>2015</v>
      </c>
      <c r="AR429" s="0" t="n">
        <f aca="false">W_PH(AR$2,$A429)</f>
        <v>2015</v>
      </c>
      <c r="AS429" s="0" t="n">
        <f aca="false">W_PH(AS$2,$A429)</f>
        <v>2015</v>
      </c>
    </row>
    <row r="430" customFormat="false" ht="12.8" hidden="false" customHeight="false" outlineLevel="0" collapsed="false">
      <c r="A430" s="0" t="n">
        <v>2536.54342218401</v>
      </c>
      <c r="B430" s="0" t="n">
        <f aca="false">W_PH(B$2,$A430)</f>
        <v>2015</v>
      </c>
      <c r="C430" s="0" t="n">
        <f aca="false">W_PH(C$2,$A430)</f>
        <v>3236.4143702638</v>
      </c>
      <c r="D430" s="0" t="n">
        <f aca="false">W_PH(D$2,$A430)</f>
        <v>3236.4145659224</v>
      </c>
      <c r="E430" s="0" t="n">
        <f aca="false">W_PH(E$2,$A430)</f>
        <v>3236.41476158101</v>
      </c>
      <c r="F430" s="0" t="n">
        <f aca="false">W_PH(F$2,$A430)</f>
        <v>3236.41495335295</v>
      </c>
      <c r="G430" s="0" t="n">
        <f aca="false">W_PH(G$2,$A430)</f>
        <v>3236.41689828037</v>
      </c>
      <c r="H430" s="0" t="n">
        <f aca="false">W_PH(H$2,$A430)</f>
        <v>3236.41884320985</v>
      </c>
      <c r="I430" s="0" t="n">
        <f aca="false">W_PH(I$2,$A430)</f>
        <v>3236.42078425469</v>
      </c>
      <c r="J430" s="0" t="n">
        <f aca="false">W_PH(J$2,$A430)</f>
        <v>3236.42273307502</v>
      </c>
      <c r="K430" s="0" t="n">
        <f aca="false">W_PH(K$2,$A430)</f>
        <v>3236.424674124</v>
      </c>
      <c r="L430" s="0" t="n">
        <f aca="false">W_PH(L$2,$A430)</f>
        <v>3236.42662294851</v>
      </c>
      <c r="M430" s="0" t="n">
        <f aca="false">W_PH(M$2,$A430)</f>
        <v>3236.42856400164</v>
      </c>
      <c r="N430" s="0" t="n">
        <f aca="false">W_PH(N$2,$A430)</f>
        <v>3236.43050894358</v>
      </c>
      <c r="O430" s="0" t="n">
        <f aca="false">W_PH(O$2,$A430)</f>
        <v>3236.43245388761</v>
      </c>
      <c r="P430" s="0" t="n">
        <f aca="false">W_PH(P$2,$A430)</f>
        <v>3236.45189566962</v>
      </c>
      <c r="Q430" s="0" t="n">
        <f aca="false">W_PH(Q$2,$A430)</f>
        <v>3236.47133766289</v>
      </c>
      <c r="R430" s="0" t="n">
        <f aca="false">W_PH(R$2,$A430)</f>
        <v>3236.49077986998</v>
      </c>
      <c r="S430" s="0" t="n">
        <f aca="false">W_PH(S$2,$A430)</f>
        <v>3236.51022229344</v>
      </c>
      <c r="T430" s="0" t="n">
        <f aca="false">W_PH(T$2,$A430)</f>
        <v>3236.52966493581</v>
      </c>
      <c r="U430" s="0" t="n">
        <f aca="false">W_PH(U$2,$A430)</f>
        <v>3236.54910779966</v>
      </c>
      <c r="V430" s="0" t="n">
        <f aca="false">W_PH(V$2,$A430)</f>
        <v>3236.56855088755</v>
      </c>
      <c r="W430" s="0" t="n">
        <f aca="false">W_PH(W$2,$A430)</f>
        <v>3236.58799420202</v>
      </c>
      <c r="X430" s="0" t="n">
        <f aca="false">W_PH(X$2,$A430)</f>
        <v>3236.60743774562</v>
      </c>
      <c r="Y430" s="0" t="n">
        <f aca="false">W_PH(Y$2,$A430)</f>
        <v>3236.80188634637</v>
      </c>
      <c r="Z430" s="0" t="n">
        <f aca="false">W_PH(Z$2,$A430)</f>
        <v>3236.99636067091</v>
      </c>
      <c r="AA430" s="0" t="n">
        <f aca="false">W_PH(AA$2,$A430)</f>
        <v>3237.19085160676</v>
      </c>
      <c r="AB430" s="0" t="n">
        <f aca="false">W_PH(AB$2,$A430)</f>
        <v>3237.38536948198</v>
      </c>
      <c r="AC430" s="0" t="n">
        <f aca="false">W_PH(AC$2,$A430)</f>
        <v>3237.5799168489</v>
      </c>
      <c r="AD430" s="0" t="n">
        <f aca="false">W_PH(AD$2,$A430)</f>
        <v>3237.7744884786</v>
      </c>
      <c r="AE430" s="0" t="n">
        <f aca="false">W_PH(AE$2,$A430)</f>
        <v>3237.96909859322</v>
      </c>
      <c r="AF430" s="0" t="n">
        <f aca="false">W_PH(AF$2,$A430)</f>
        <v>3238.16374196305</v>
      </c>
      <c r="AG430" s="0" t="n">
        <f aca="false">W_PH(AG$2,$A430)</f>
        <v>3238.35842892271</v>
      </c>
      <c r="AH430" s="0" t="n">
        <f aca="false">W_PH(AH$2,$A430)</f>
        <v>3240.30786007845</v>
      </c>
      <c r="AI430" s="0" t="n">
        <f aca="false">W_PH(AI$2,$A430)</f>
        <v>3242.26375450502</v>
      </c>
      <c r="AJ430" s="0" t="n">
        <f aca="false">W_PH(AJ$2,$A430)</f>
        <v>3244.22855144859</v>
      </c>
      <c r="AK430" s="0" t="n">
        <f aca="false">W_PH(AK$2,$A430)</f>
        <v>3246.20468857794</v>
      </c>
      <c r="AL430" s="0" t="n">
        <f aca="false">W_PH(AL$2,$A430)</f>
        <v>3248.19460214539</v>
      </c>
      <c r="AM430" s="0" t="n">
        <f aca="false">W_PH(AM$2,$A430)</f>
        <v>3250.2007271821</v>
      </c>
      <c r="AN430" s="0" t="n">
        <f aca="false">W_PH(AN$2,$A430)</f>
        <v>3252.22551344372</v>
      </c>
      <c r="AO430" s="0" t="n">
        <f aca="false">W_PH(AO$2,$A430)</f>
        <v>3254.27138249799</v>
      </c>
      <c r="AP430" s="0" t="n">
        <f aca="false">W_PH(AP$2,$A430)</f>
        <v>2015</v>
      </c>
      <c r="AQ430" s="0" t="n">
        <f aca="false">W_PH(AQ$2,$A430)</f>
        <v>2015</v>
      </c>
      <c r="AR430" s="0" t="n">
        <f aca="false">W_PH(AR$2,$A430)</f>
        <v>2015</v>
      </c>
      <c r="AS430" s="0" t="n">
        <f aca="false">W_PH(AS$2,$A430)</f>
        <v>2015</v>
      </c>
    </row>
    <row r="431" customFormat="false" ht="12.8" hidden="false" customHeight="false" outlineLevel="0" collapsed="false">
      <c r="A431" s="0" t="n">
        <v>2540.8426483233</v>
      </c>
      <c r="B431" s="0" t="n">
        <f aca="false">W_PH(B$2,$A431)</f>
        <v>2015</v>
      </c>
      <c r="C431" s="0" t="n">
        <f aca="false">W_PH(C$2,$A431)</f>
        <v>3239.58352012813</v>
      </c>
      <c r="D431" s="0" t="n">
        <f aca="false">W_PH(D$2,$A431)</f>
        <v>3239.58372011865</v>
      </c>
      <c r="E431" s="0" t="n">
        <f aca="false">W_PH(E$2,$A431)</f>
        <v>3239.58391234313</v>
      </c>
      <c r="F431" s="0" t="n">
        <f aca="false">W_PH(F$2,$A431)</f>
        <v>3239.58410456764</v>
      </c>
      <c r="G431" s="0" t="n">
        <f aca="false">W_PH(G$2,$A431)</f>
        <v>3239.58605011197</v>
      </c>
      <c r="H431" s="0" t="n">
        <f aca="false">W_PH(H$2,$A431)</f>
        <v>3239.58799565834</v>
      </c>
      <c r="I431" s="0" t="n">
        <f aca="false">W_PH(I$2,$A431)</f>
        <v>3239.58994120676</v>
      </c>
      <c r="J431" s="0" t="n">
        <f aca="false">W_PH(J$2,$A431)</f>
        <v>3239.59189064027</v>
      </c>
      <c r="K431" s="0" t="n">
        <f aca="false">W_PH(K$2,$A431)</f>
        <v>3239.59383619278</v>
      </c>
      <c r="L431" s="0" t="n">
        <f aca="false">W_PH(L$2,$A431)</f>
        <v>3239.59578174734</v>
      </c>
      <c r="M431" s="0" t="n">
        <f aca="false">W_PH(M$2,$A431)</f>
        <v>3239.59772730396</v>
      </c>
      <c r="N431" s="0" t="n">
        <f aca="false">W_PH(N$2,$A431)</f>
        <v>3239.59967286263</v>
      </c>
      <c r="O431" s="0" t="n">
        <f aca="false">W_PH(O$2,$A431)</f>
        <v>3239.60162230644</v>
      </c>
      <c r="P431" s="0" t="n">
        <f aca="false">W_PH(P$2,$A431)</f>
        <v>3239.62107802751</v>
      </c>
      <c r="Q431" s="0" t="n">
        <f aca="false">W_PH(Q$2,$A431)</f>
        <v>3239.64053395715</v>
      </c>
      <c r="R431" s="0" t="n">
        <f aca="false">W_PH(R$2,$A431)</f>
        <v>3239.65999398114</v>
      </c>
      <c r="S431" s="0" t="n">
        <f aca="false">W_PH(S$2,$A431)</f>
        <v>3239.67945421888</v>
      </c>
      <c r="T431" s="0" t="n">
        <f aca="false">W_PH(T$2,$A431)</f>
        <v>3239.69891078958</v>
      </c>
      <c r="U431" s="0" t="n">
        <f aca="false">W_PH(U$2,$A431)</f>
        <v>3239.71837146242</v>
      </c>
      <c r="V431" s="0" t="n">
        <f aca="false">W_PH(V$2,$A431)</f>
        <v>3239.73783235664</v>
      </c>
      <c r="W431" s="0" t="n">
        <f aca="false">W_PH(W$2,$A431)</f>
        <v>3239.75728959126</v>
      </c>
      <c r="X431" s="0" t="n">
        <f aca="false">W_PH(X$2,$A431)</f>
        <v>3239.77674705224</v>
      </c>
      <c r="Y431" s="0" t="n">
        <f aca="false">W_PH(Y$2,$A431)</f>
        <v>3239.97135797543</v>
      </c>
      <c r="Z431" s="0" t="n">
        <f aca="false">W_PH(Z$2,$A431)</f>
        <v>3240.16598656672</v>
      </c>
      <c r="AA431" s="0" t="n">
        <f aca="false">W_PH(AA$2,$A431)</f>
        <v>3240.3606353639</v>
      </c>
      <c r="AB431" s="0" t="n">
        <f aca="false">W_PH(AB$2,$A431)</f>
        <v>3240.5553069046</v>
      </c>
      <c r="AC431" s="0" t="n">
        <f aca="false">W_PH(AC$2,$A431)</f>
        <v>3240.75001149897</v>
      </c>
      <c r="AD431" s="0" t="n">
        <f aca="false">W_PH(AD$2,$A431)</f>
        <v>3240.944743914</v>
      </c>
      <c r="AE431" s="0" t="n">
        <f aca="false">W_PH(AE$2,$A431)</f>
        <v>3241.13951057439</v>
      </c>
      <c r="AF431" s="0" t="n">
        <f aca="false">W_PH(AF$2,$A431)</f>
        <v>3241.33431013102</v>
      </c>
      <c r="AG431" s="0" t="n">
        <f aca="false">W_PH(AG$2,$A431)</f>
        <v>3241.52914900945</v>
      </c>
      <c r="AH431" s="0" t="n">
        <f aca="false">W_PH(AH$2,$A431)</f>
        <v>3243.48013042843</v>
      </c>
      <c r="AI431" s="0" t="n">
        <f aca="false">W_PH(AI$2,$A431)</f>
        <v>3245.43752347759</v>
      </c>
      <c r="AJ431" s="0" t="n">
        <f aca="false">W_PH(AJ$2,$A431)</f>
        <v>3247.40376228409</v>
      </c>
      <c r="AK431" s="0" t="n">
        <f aca="false">W_PH(AK$2,$A431)</f>
        <v>3249.38127167883</v>
      </c>
      <c r="AL431" s="0" t="n">
        <f aca="false">W_PH(AL$2,$A431)</f>
        <v>3251.37247513234</v>
      </c>
      <c r="AM431" s="0" t="n">
        <f aca="false">W_PH(AM$2,$A431)</f>
        <v>3253.37981062772</v>
      </c>
      <c r="AN431" s="0" t="n">
        <f aca="false">W_PH(AN$2,$A431)</f>
        <v>3255.40568388639</v>
      </c>
      <c r="AO431" s="0" t="n">
        <f aca="false">W_PH(AO$2,$A431)</f>
        <v>3257.45253916664</v>
      </c>
      <c r="AP431" s="0" t="n">
        <f aca="false">W_PH(AP$2,$A431)</f>
        <v>2015</v>
      </c>
      <c r="AQ431" s="0" t="n">
        <f aca="false">W_PH(AQ$2,$A431)</f>
        <v>2015</v>
      </c>
      <c r="AR431" s="0" t="n">
        <f aca="false">W_PH(AR$2,$A431)</f>
        <v>2015</v>
      </c>
      <c r="AS431" s="0" t="n">
        <f aca="false">W_PH(AS$2,$A431)</f>
        <v>2015</v>
      </c>
    </row>
    <row r="432" customFormat="false" ht="12.8" hidden="false" customHeight="false" outlineLevel="0" collapsed="false">
      <c r="A432" s="0" t="n">
        <v>2545.1418744626</v>
      </c>
      <c r="B432" s="0" t="n">
        <f aca="false">W_PH(B$2,$A432)</f>
        <v>2015</v>
      </c>
      <c r="C432" s="0" t="n">
        <f aca="false">W_PH(C$2,$A432)</f>
        <v>3242.74781517521</v>
      </c>
      <c r="D432" s="0" t="n">
        <f aca="false">W_PH(D$2,$A432)</f>
        <v>3242.74800784679</v>
      </c>
      <c r="E432" s="0" t="n">
        <f aca="false">W_PH(E$2,$A432)</f>
        <v>3242.74820827714</v>
      </c>
      <c r="F432" s="0" t="n">
        <f aca="false">W_PH(F$2,$A432)</f>
        <v>3242.74840094876</v>
      </c>
      <c r="G432" s="0" t="n">
        <f aca="false">W_PH(G$2,$A432)</f>
        <v>3242.75035094234</v>
      </c>
      <c r="H432" s="0" t="n">
        <f aca="false">W_PH(H$2,$A432)</f>
        <v>3242.75229317917</v>
      </c>
      <c r="I432" s="0" t="n">
        <f aca="false">W_PH(I$2,$A432)</f>
        <v>3242.75424317678</v>
      </c>
      <c r="J432" s="0" t="n">
        <f aca="false">W_PH(J$2,$A432)</f>
        <v>3242.75618929703</v>
      </c>
      <c r="K432" s="0" t="n">
        <f aca="false">W_PH(K$2,$A432)</f>
        <v>3242.75813541929</v>
      </c>
      <c r="L432" s="0" t="n">
        <f aca="false">W_PH(L$2,$A432)</f>
        <v>3242.76008542298</v>
      </c>
      <c r="M432" s="0" t="n">
        <f aca="false">W_PH(M$2,$A432)</f>
        <v>3242.76203154929</v>
      </c>
      <c r="N432" s="0" t="n">
        <f aca="false">W_PH(N$2,$A432)</f>
        <v>3242.76397767763</v>
      </c>
      <c r="O432" s="0" t="n">
        <f aca="false">W_PH(O$2,$A432)</f>
        <v>3242.76592768743</v>
      </c>
      <c r="P432" s="0" t="n">
        <f aca="false">W_PH(P$2,$A432)</f>
        <v>3242.78540074178</v>
      </c>
      <c r="Q432" s="0" t="n">
        <f aca="false">W_PH(Q$2,$A432)</f>
        <v>3242.80487400214</v>
      </c>
      <c r="R432" s="0" t="n">
        <f aca="false">W_PH(R$2,$A432)</f>
        <v>3242.82435135064</v>
      </c>
      <c r="S432" s="0" t="n">
        <f aca="false">W_PH(S$2,$A432)</f>
        <v>3242.84382115103</v>
      </c>
      <c r="T432" s="0" t="n">
        <f aca="false">W_PH(T$2,$A432)</f>
        <v>3242.86329892432</v>
      </c>
      <c r="U432" s="0" t="n">
        <f aca="false">W_PH(U$2,$A432)</f>
        <v>3242.88277303409</v>
      </c>
      <c r="V432" s="0" t="n">
        <f aca="false">W_PH(V$2,$A432)</f>
        <v>3242.90224736253</v>
      </c>
      <c r="W432" s="0" t="n">
        <f aca="false">W_PH(W$2,$A432)</f>
        <v>3242.92172191215</v>
      </c>
      <c r="X432" s="0" t="n">
        <f aca="false">W_PH(X$2,$A432)</f>
        <v>3242.94119668548</v>
      </c>
      <c r="Y432" s="0" t="n">
        <f aca="false">W_PH(Y$2,$A432)</f>
        <v>3243.13595727939</v>
      </c>
      <c r="Z432" s="0" t="n">
        <f aca="false">W_PH(Z$2,$A432)</f>
        <v>3243.33074302574</v>
      </c>
      <c r="AA432" s="0" t="n">
        <f aca="false">W_PH(AA$2,$A432)</f>
        <v>3243.52554868942</v>
      </c>
      <c r="AB432" s="0" t="n">
        <f aca="false">W_PH(AB$2,$A432)</f>
        <v>3243.72037679501</v>
      </c>
      <c r="AC432" s="0" t="n">
        <f aca="false">W_PH(AC$2,$A432)</f>
        <v>3243.91523763227</v>
      </c>
      <c r="AD432" s="0" t="n">
        <f aca="false">W_PH(AD$2,$A432)</f>
        <v>3244.11012207931</v>
      </c>
      <c r="AE432" s="0" t="n">
        <f aca="false">W_PH(AE$2,$A432)</f>
        <v>3244.3050443099</v>
      </c>
      <c r="AF432" s="0" t="n">
        <f aca="false">W_PH(AF$2,$A432)</f>
        <v>3244.4999951987</v>
      </c>
      <c r="AG432" s="0" t="n">
        <f aca="false">W_PH(AG$2,$A432)</f>
        <v>3244.6949889225</v>
      </c>
      <c r="AH432" s="0" t="n">
        <f aca="false">W_PH(AH$2,$A432)</f>
        <v>3246.64748011595</v>
      </c>
      <c r="AI432" s="0" t="n">
        <f aca="false">W_PH(AI$2,$A432)</f>
        <v>3248.60634743423</v>
      </c>
      <c r="AJ432" s="0" t="n">
        <f aca="false">W_PH(AJ$2,$A432)</f>
        <v>3250.57400442996</v>
      </c>
      <c r="AK432" s="0" t="n">
        <f aca="false">W_PH(AK$2,$A432)</f>
        <v>3252.55286709945</v>
      </c>
      <c r="AL432" s="0" t="n">
        <f aca="false">W_PH(AL$2,$A432)</f>
        <v>3254.54534624292</v>
      </c>
      <c r="AM432" s="0" t="n">
        <f aca="false">W_PH(AM$2,$A432)</f>
        <v>3256.55385937696</v>
      </c>
      <c r="AN432" s="0" t="n">
        <f aca="false">W_PH(AN$2,$A432)</f>
        <v>3258.58080748202</v>
      </c>
      <c r="AO432" s="0" t="n">
        <f aca="false">W_PH(AO$2,$A432)</f>
        <v>3260.62861834337</v>
      </c>
      <c r="AP432" s="0" t="n">
        <f aca="false">W_PH(AP$2,$A432)</f>
        <v>2015</v>
      </c>
      <c r="AQ432" s="0" t="n">
        <f aca="false">W_PH(AQ$2,$A432)</f>
        <v>2015</v>
      </c>
      <c r="AR432" s="0" t="n">
        <f aca="false">W_PH(AR$2,$A432)</f>
        <v>2015</v>
      </c>
      <c r="AS432" s="0" t="n">
        <f aca="false">W_PH(AS$2,$A432)</f>
        <v>2015</v>
      </c>
    </row>
    <row r="433" customFormat="false" ht="12.8" hidden="false" customHeight="false" outlineLevel="0" collapsed="false">
      <c r="A433" s="0" t="n">
        <v>2549.44110060189</v>
      </c>
      <c r="B433" s="0" t="n">
        <f aca="false">W_PH(B$2,$A433)</f>
        <v>2015</v>
      </c>
      <c r="C433" s="0" t="n">
        <f aca="false">W_PH(C$2,$A433)</f>
        <v>3245.90727727136</v>
      </c>
      <c r="D433" s="0" t="n">
        <f aca="false">W_PH(D$2,$A433)</f>
        <v>3245.90747038467</v>
      </c>
      <c r="E433" s="0" t="n">
        <f aca="false">W_PH(E$2,$A433)</f>
        <v>3245.90766349801</v>
      </c>
      <c r="F433" s="0" t="n">
        <f aca="false">W_PH(F$2,$A433)</f>
        <v>3245.90785661136</v>
      </c>
      <c r="G433" s="0" t="n">
        <f aca="false">W_PH(G$2,$A433)</f>
        <v>3245.90981100042</v>
      </c>
      <c r="H433" s="0" t="n">
        <f aca="false">W_PH(H$2,$A433)</f>
        <v>3245.91175763999</v>
      </c>
      <c r="I433" s="0" t="n">
        <f aca="false">W_PH(I$2,$A433)</f>
        <v>3245.91370428154</v>
      </c>
      <c r="J433" s="0" t="n">
        <f aca="false">W_PH(J$2,$A433)</f>
        <v>3245.91565480084</v>
      </c>
      <c r="K433" s="0" t="n">
        <f aca="false">W_PH(K$2,$A433)</f>
        <v>3245.91760532215</v>
      </c>
      <c r="L433" s="0" t="n">
        <f aca="false">W_PH(L$2,$A433)</f>
        <v>3245.91955196968</v>
      </c>
      <c r="M433" s="0" t="n">
        <f aca="false">W_PH(M$2,$A433)</f>
        <v>3245.92149861922</v>
      </c>
      <c r="N433" s="0" t="n">
        <f aca="false">W_PH(N$2,$A433)</f>
        <v>3245.92345302231</v>
      </c>
      <c r="O433" s="0" t="n">
        <f aca="false">W_PH(O$2,$A433)</f>
        <v>3245.92539967585</v>
      </c>
      <c r="P433" s="0" t="n">
        <f aca="false">W_PH(P$2,$A433)</f>
        <v>3245.94488957693</v>
      </c>
      <c r="Q433" s="0" t="n">
        <f aca="false">W_PH(Q$2,$A433)</f>
        <v>3245.9643796815</v>
      </c>
      <c r="R433" s="0" t="n">
        <f aca="false">W_PH(R$2,$A433)</f>
        <v>3245.9838699921</v>
      </c>
      <c r="S433" s="0" t="n">
        <f aca="false">W_PH(S$2,$A433)</f>
        <v>3246.00335663522</v>
      </c>
      <c r="T433" s="0" t="n">
        <f aca="false">W_PH(T$2,$A433)</f>
        <v>3246.02284348928</v>
      </c>
      <c r="U433" s="0" t="n">
        <f aca="false">W_PH(U$2,$A433)</f>
        <v>3246.04233443291</v>
      </c>
      <c r="V433" s="0" t="n">
        <f aca="false">W_PH(V$2,$A433)</f>
        <v>3246.06182559262</v>
      </c>
      <c r="W433" s="0" t="n">
        <f aca="false">W_PH(W$2,$A433)</f>
        <v>3246.08131697091</v>
      </c>
      <c r="X433" s="0" t="n">
        <f aca="false">W_PH(X$2,$A433)</f>
        <v>3246.10080857032</v>
      </c>
      <c r="Y433" s="0" t="n">
        <f aca="false">W_PH(Y$2,$A433)</f>
        <v>3246.29572177141</v>
      </c>
      <c r="Z433" s="0" t="n">
        <f aca="false">W_PH(Z$2,$A433)</f>
        <v>3246.49065984559</v>
      </c>
      <c r="AA433" s="0" t="n">
        <f aca="false">W_PH(AA$2,$A433)</f>
        <v>3246.68561755208</v>
      </c>
      <c r="AB433" s="0" t="n">
        <f aca="false">W_PH(AB$2,$A433)</f>
        <v>3246.88059740251</v>
      </c>
      <c r="AC433" s="0" t="n">
        <f aca="false">W_PH(AC$2,$A433)</f>
        <v>3247.07560966635</v>
      </c>
      <c r="AD433" s="0" t="n">
        <f aca="false">W_PH(AD$2,$A433)</f>
        <v>3247.27064909926</v>
      </c>
      <c r="AE433" s="0" t="n">
        <f aca="false">W_PH(AE$2,$A433)</f>
        <v>3247.46571821259</v>
      </c>
      <c r="AF433" s="0" t="n">
        <f aca="false">W_PH(AF$2,$A433)</f>
        <v>3247.66082339812</v>
      </c>
      <c r="AG433" s="0" t="n">
        <f aca="false">W_PH(AG$2,$A433)</f>
        <v>3247.85596716859</v>
      </c>
      <c r="AH433" s="0" t="n">
        <f aca="false">W_PH(AH$2,$A433)</f>
        <v>3249.80995152082</v>
      </c>
      <c r="AI433" s="0" t="n">
        <f aca="false">W_PH(AI$2,$A433)</f>
        <v>3251.7702653967</v>
      </c>
      <c r="AJ433" s="0" t="n">
        <f aca="false">W_PH(AJ$2,$A433)</f>
        <v>3253.73931742687</v>
      </c>
      <c r="AK433" s="0" t="n">
        <f aca="false">W_PH(AK$2,$A433)</f>
        <v>3255.71950317109</v>
      </c>
      <c r="AL433" s="0" t="n">
        <f aca="false">W_PH(AL$2,$A433)</f>
        <v>3257.7132325451</v>
      </c>
      <c r="AM433" s="0" t="n">
        <f aca="false">W_PH(AM$2,$A433)</f>
        <v>3259.72289881253</v>
      </c>
      <c r="AN433" s="0" t="n">
        <f aca="false">W_PH(AN$2,$A433)</f>
        <v>3261.75091004041</v>
      </c>
      <c r="AO433" s="0" t="n">
        <f aca="false">W_PH(AO$2,$A433)</f>
        <v>3263.79965807682</v>
      </c>
      <c r="AP433" s="0" t="n">
        <f aca="false">W_PH(AP$2,$A433)</f>
        <v>2015</v>
      </c>
      <c r="AQ433" s="0" t="n">
        <f aca="false">W_PH(AQ$2,$A433)</f>
        <v>2015</v>
      </c>
      <c r="AR433" s="0" t="n">
        <f aca="false">W_PH(AR$2,$A433)</f>
        <v>2015</v>
      </c>
      <c r="AS433" s="0" t="n">
        <f aca="false">W_PH(AS$2,$A433)</f>
        <v>2015</v>
      </c>
    </row>
    <row r="434" customFormat="false" ht="12.8" hidden="false" customHeight="false" outlineLevel="0" collapsed="false">
      <c r="A434" s="0" t="n">
        <v>2553.74032674119</v>
      </c>
      <c r="B434" s="0" t="n">
        <f aca="false">W_PH(B$2,$A434)</f>
        <v>2015</v>
      </c>
      <c r="C434" s="0" t="n">
        <f aca="false">W_PH(C$2,$A434)</f>
        <v>3249.06192039611</v>
      </c>
      <c r="D434" s="0" t="n">
        <f aca="false">W_PH(D$2,$A434)</f>
        <v>3249.06211394584</v>
      </c>
      <c r="E434" s="0" t="n">
        <f aca="false">W_PH(E$2,$A434)</f>
        <v>3249.06231136769</v>
      </c>
      <c r="F434" s="0" t="n">
        <f aca="false">W_PH(F$2,$A434)</f>
        <v>3249.06250878957</v>
      </c>
      <c r="G434" s="0" t="n">
        <f aca="false">W_PH(G$2,$A434)</f>
        <v>3249.06445590463</v>
      </c>
      <c r="H434" s="0" t="n">
        <f aca="false">W_PH(H$2,$A434)</f>
        <v>3249.06640689377</v>
      </c>
      <c r="I434" s="0" t="n">
        <f aca="false">W_PH(I$2,$A434)</f>
        <v>3249.06835788487</v>
      </c>
      <c r="J434" s="0" t="n">
        <f aca="false">W_PH(J$2,$A434)</f>
        <v>3249.07030500582</v>
      </c>
      <c r="K434" s="0" t="n">
        <f aca="false">W_PH(K$2,$A434)</f>
        <v>3249.07225600086</v>
      </c>
      <c r="L434" s="0" t="n">
        <f aca="false">W_PH(L$2,$A434)</f>
        <v>3249.07420699789</v>
      </c>
      <c r="M434" s="0" t="n">
        <f aca="false">W_PH(M$2,$A434)</f>
        <v>3249.07615799689</v>
      </c>
      <c r="N434" s="0" t="n">
        <f aca="false">W_PH(N$2,$A434)</f>
        <v>3249.07810899787</v>
      </c>
      <c r="O434" s="0" t="n">
        <f aca="false">W_PH(O$2,$A434)</f>
        <v>3249.08006000084</v>
      </c>
      <c r="P434" s="0" t="n">
        <f aca="false">W_PH(P$2,$A434)</f>
        <v>3249.09956239573</v>
      </c>
      <c r="Q434" s="0" t="n">
        <f aca="false">W_PH(Q$2,$A434)</f>
        <v>3249.11906886379</v>
      </c>
      <c r="R434" s="0" t="n">
        <f aca="false">W_PH(R$2,$A434)</f>
        <v>3249.13857553538</v>
      </c>
      <c r="S434" s="0" t="n">
        <f aca="false">W_PH(S$2,$A434)</f>
        <v>3249.15807854061</v>
      </c>
      <c r="T434" s="0" t="n">
        <f aca="false">W_PH(T$2,$A434)</f>
        <v>3249.17758175426</v>
      </c>
      <c r="U434" s="0" t="n">
        <f aca="false">W_PH(U$2,$A434)</f>
        <v>3249.19708517883</v>
      </c>
      <c r="V434" s="0" t="n">
        <f aca="false">W_PH(V$2,$A434)</f>
        <v>3249.21659268936</v>
      </c>
      <c r="W434" s="0" t="n">
        <f aca="false">W_PH(W$2,$A434)</f>
        <v>3249.23610041591</v>
      </c>
      <c r="X434" s="0" t="n">
        <f aca="false">W_PH(X$2,$A434)</f>
        <v>3249.25560448836</v>
      </c>
      <c r="Y434" s="0" t="n">
        <f aca="false">W_PH(Y$2,$A434)</f>
        <v>3249.45066939627</v>
      </c>
      <c r="Z434" s="0" t="n">
        <f aca="false">W_PH(Z$2,$A434)</f>
        <v>3249.64575115499</v>
      </c>
      <c r="AA434" s="0" t="n">
        <f aca="false">W_PH(AA$2,$A434)</f>
        <v>3249.84086388611</v>
      </c>
      <c r="AB434" s="0" t="n">
        <f aca="false">W_PH(AB$2,$A434)</f>
        <v>3250.03599071941</v>
      </c>
      <c r="AC434" s="0" t="n">
        <f aca="false">W_PH(AC$2,$A434)</f>
        <v>3250.23115352684</v>
      </c>
      <c r="AD434" s="0" t="n">
        <f aca="false">W_PH(AD$2,$A434)</f>
        <v>3250.42634318434</v>
      </c>
      <c r="AE434" s="0" t="n">
        <f aca="false">W_PH(AE$2,$A434)</f>
        <v>3250.62156219039</v>
      </c>
      <c r="AF434" s="0" t="n">
        <f aca="false">W_PH(AF$2,$A434)</f>
        <v>3250.81681692028</v>
      </c>
      <c r="AG434" s="0" t="n">
        <f aca="false">W_PH(AG$2,$A434)</f>
        <v>3251.0121098739</v>
      </c>
      <c r="AH434" s="0" t="n">
        <f aca="false">W_PH(AH$2,$A434)</f>
        <v>3252.96755572879</v>
      </c>
      <c r="AI434" s="0" t="n">
        <f aca="false">W_PH(AI$2,$A434)</f>
        <v>3254.9292967214</v>
      </c>
      <c r="AJ434" s="0" t="n">
        <f aca="false">W_PH(AJ$2,$A434)</f>
        <v>3256.89971722328</v>
      </c>
      <c r="AK434" s="0" t="n">
        <f aca="false">W_PH(AK$2,$A434)</f>
        <v>3258.88120803006</v>
      </c>
      <c r="AL434" s="0" t="n">
        <f aca="false">W_PH(AL$2,$A434)</f>
        <v>3260.87615875867</v>
      </c>
      <c r="AM434" s="0" t="n">
        <f aca="false">W_PH(AM$2,$A434)</f>
        <v>3262.8869619399</v>
      </c>
      <c r="AN434" s="0" t="n">
        <f aca="false">W_PH(AN$2,$A434)</f>
        <v>3264.91600152153</v>
      </c>
      <c r="AO434" s="0" t="n">
        <f aca="false">W_PH(AO$2,$A434)</f>
        <v>3266.96567265697</v>
      </c>
      <c r="AP434" s="0" t="n">
        <f aca="false">W_PH(AP$2,$A434)</f>
        <v>2015</v>
      </c>
      <c r="AQ434" s="0" t="n">
        <f aca="false">W_PH(AQ$2,$A434)</f>
        <v>2015</v>
      </c>
      <c r="AR434" s="0" t="n">
        <f aca="false">W_PH(AR$2,$A434)</f>
        <v>2015</v>
      </c>
      <c r="AS434" s="0" t="n">
        <f aca="false">W_PH(AS$2,$A434)</f>
        <v>2015</v>
      </c>
    </row>
    <row r="435" customFormat="false" ht="12.8" hidden="false" customHeight="false" outlineLevel="0" collapsed="false">
      <c r="A435" s="0" t="n">
        <v>2558.03955288048</v>
      </c>
      <c r="B435" s="0" t="n">
        <f aca="false">W_PH(B$2,$A435)</f>
        <v>2015</v>
      </c>
      <c r="C435" s="0" t="n">
        <f aca="false">W_PH(C$2,$A435)</f>
        <v>3252.2117816278</v>
      </c>
      <c r="D435" s="0" t="n">
        <f aca="false">W_PH(D$2,$A435)</f>
        <v>3252.21197560867</v>
      </c>
      <c r="E435" s="0" t="n">
        <f aca="false">W_PH(E$2,$A435)</f>
        <v>3252.21216958957</v>
      </c>
      <c r="F435" s="0" t="n">
        <f aca="false">W_PH(F$2,$A435)</f>
        <v>3252.21236357048</v>
      </c>
      <c r="G435" s="0" t="n">
        <f aca="false">W_PH(G$2,$A435)</f>
        <v>3252.21431885469</v>
      </c>
      <c r="H435" s="0" t="n">
        <f aca="false">W_PH(H$2,$A435)</f>
        <v>3252.21626640383</v>
      </c>
      <c r="I435" s="0" t="n">
        <f aca="false">W_PH(I$2,$A435)</f>
        <v>3252.21822169192</v>
      </c>
      <c r="J435" s="0" t="n">
        <f aca="false">W_PH(J$2,$A435)</f>
        <v>3252.22016924493</v>
      </c>
      <c r="K435" s="0" t="n">
        <f aca="false">W_PH(K$2,$A435)</f>
        <v>3252.22212453693</v>
      </c>
      <c r="L435" s="0" t="n">
        <f aca="false">W_PH(L$2,$A435)</f>
        <v>3252.22407596236</v>
      </c>
      <c r="M435" s="0" t="n">
        <f aca="false">W_PH(M$2,$A435)</f>
        <v>3252.22602738973</v>
      </c>
      <c r="N435" s="0" t="n">
        <f aca="false">W_PH(N$2,$A435)</f>
        <v>3252.2279826876</v>
      </c>
      <c r="O435" s="0" t="n">
        <f aca="false">W_PH(O$2,$A435)</f>
        <v>3252.22993025035</v>
      </c>
      <c r="P435" s="0" t="n">
        <f aca="false">W_PH(P$2,$A435)</f>
        <v>3252.24945240855</v>
      </c>
      <c r="Q435" s="0" t="n">
        <f aca="false">W_PH(Q$2,$A435)</f>
        <v>3252.26896702801</v>
      </c>
      <c r="R435" s="0" t="n">
        <f aca="false">W_PH(R$2,$A435)</f>
        <v>3252.28848958571</v>
      </c>
      <c r="S435" s="0" t="n">
        <f aca="false">W_PH(S$2,$A435)</f>
        <v>3252.3080084782</v>
      </c>
      <c r="T435" s="0" t="n">
        <f aca="false">W_PH(T$2,$A435)</f>
        <v>3252.32752757662</v>
      </c>
      <c r="U435" s="0" t="n">
        <f aca="false">W_PH(U$2,$A435)</f>
        <v>3252.34705075231</v>
      </c>
      <c r="V435" s="0" t="n">
        <f aca="false">W_PH(V$2,$A435)</f>
        <v>3252.36656640119</v>
      </c>
      <c r="W435" s="0" t="n">
        <f aca="false">W_PH(W$2,$A435)</f>
        <v>3252.38609000129</v>
      </c>
      <c r="X435" s="0" t="n">
        <f aca="false">W_PH(X$2,$A435)</f>
        <v>3252.40560607933</v>
      </c>
      <c r="Y435" s="0" t="n">
        <f aca="false">W_PH(Y$2,$A435)</f>
        <v>3252.60082184028</v>
      </c>
      <c r="Z435" s="0" t="n">
        <f aca="false">W_PH(Z$2,$A435)</f>
        <v>3252.79605418881</v>
      </c>
      <c r="AA435" s="0" t="n">
        <f aca="false">W_PH(AA$2,$A435)</f>
        <v>3252.99130948167</v>
      </c>
      <c r="AB435" s="0" t="n">
        <f aca="false">W_PH(AB$2,$A435)</f>
        <v>3253.18658633536</v>
      </c>
      <c r="AC435" s="0" t="n">
        <f aca="false">W_PH(AC$2,$A435)</f>
        <v>3253.38189497913</v>
      </c>
      <c r="AD435" s="0" t="n">
        <f aca="false">W_PH(AD$2,$A435)</f>
        <v>3253.57723015765</v>
      </c>
      <c r="AE435" s="0" t="n">
        <f aca="false">W_PH(AE$2,$A435)</f>
        <v>3253.77259435669</v>
      </c>
      <c r="AF435" s="0" t="n">
        <f aca="false">W_PH(AF$2,$A435)</f>
        <v>3253.96799780834</v>
      </c>
      <c r="AG435" s="0" t="n">
        <f aca="false">W_PH(AG$2,$A435)</f>
        <v>3254.16343525388</v>
      </c>
      <c r="AH435" s="0" t="n">
        <f aca="false">W_PH(AH$2,$A435)</f>
        <v>3256.12032698827</v>
      </c>
      <c r="AI435" s="0" t="n">
        <f aca="false">W_PH(AI$2,$A435)</f>
        <v>3258.08346061683</v>
      </c>
      <c r="AJ435" s="0" t="n">
        <f aca="false">W_PH(AJ$2,$A435)</f>
        <v>3260.05522740666</v>
      </c>
      <c r="AK435" s="0" t="n">
        <f aca="false">W_PH(AK$2,$A435)</f>
        <v>3262.03800183156</v>
      </c>
      <c r="AL435" s="0" t="n">
        <f aca="false">W_PH(AL$2,$A435)</f>
        <v>3264.03415721756</v>
      </c>
      <c r="AM435" s="0" t="n">
        <f aca="false">W_PH(AM$2,$A435)</f>
        <v>3266.04607373398</v>
      </c>
      <c r="AN435" s="0" t="n">
        <f aca="false">W_PH(AN$2,$A435)</f>
        <v>3268.07612302178</v>
      </c>
      <c r="AO435" s="0" t="n">
        <f aca="false">W_PH(AO$2,$A435)</f>
        <v>3270.12669187226</v>
      </c>
      <c r="AP435" s="0" t="n">
        <f aca="false">W_PH(AP$2,$A435)</f>
        <v>2015</v>
      </c>
      <c r="AQ435" s="0" t="n">
        <f aca="false">W_PH(AQ$2,$A435)</f>
        <v>2015</v>
      </c>
      <c r="AR435" s="0" t="n">
        <f aca="false">W_PH(AR$2,$A435)</f>
        <v>2015</v>
      </c>
      <c r="AS435" s="0" t="n">
        <f aca="false">W_PH(AS$2,$A435)</f>
        <v>2015</v>
      </c>
    </row>
    <row r="436" customFormat="false" ht="12.8" hidden="false" customHeight="false" outlineLevel="0" collapsed="false">
      <c r="A436" s="0" t="n">
        <v>2562.33877901978</v>
      </c>
      <c r="B436" s="0" t="n">
        <f aca="false">W_PH(B$2,$A436)</f>
        <v>2015</v>
      </c>
      <c r="C436" s="0" t="n">
        <f aca="false">W_PH(C$2,$A436)</f>
        <v>3255.35687465801</v>
      </c>
      <c r="D436" s="0" t="n">
        <f aca="false">W_PH(D$2,$A436)</f>
        <v>3255.35706906483</v>
      </c>
      <c r="E436" s="0" t="n">
        <f aca="false">W_PH(E$2,$A436)</f>
        <v>3255.35726347168</v>
      </c>
      <c r="F436" s="0" t="n">
        <f aca="false">W_PH(F$2,$A436)</f>
        <v>3255.35745787854</v>
      </c>
      <c r="G436" s="0" t="n">
        <f aca="false">W_PH(G$2,$A436)</f>
        <v>3255.35940967801</v>
      </c>
      <c r="H436" s="0" t="n">
        <f aca="false">W_PH(H$2,$A436)</f>
        <v>3255.36136147939</v>
      </c>
      <c r="I436" s="0" t="n">
        <f aca="false">W_PH(I$2,$A436)</f>
        <v>3255.3633171476</v>
      </c>
      <c r="J436" s="0" t="n">
        <f aca="false">W_PH(J$2,$A436)</f>
        <v>3255.36527281774</v>
      </c>
      <c r="K436" s="0" t="n">
        <f aca="false">W_PH(K$2,$A436)</f>
        <v>3255.36722462488</v>
      </c>
      <c r="L436" s="0" t="n">
        <f aca="false">W_PH(L$2,$A436)</f>
        <v>3255.36917643394</v>
      </c>
      <c r="M436" s="0" t="n">
        <f aca="false">W_PH(M$2,$A436)</f>
        <v>3255.37112824493</v>
      </c>
      <c r="N436" s="0" t="n">
        <f aca="false">W_PH(N$2,$A436)</f>
        <v>3255.37308392278</v>
      </c>
      <c r="O436" s="0" t="n">
        <f aca="false">W_PH(O$2,$A436)</f>
        <v>3255.37503960257</v>
      </c>
      <c r="P436" s="0" t="n">
        <f aca="false">W_PH(P$2,$A436)</f>
        <v>3255.39457331773</v>
      </c>
      <c r="Q436" s="0" t="n">
        <f aca="false">W_PH(Q$2,$A436)</f>
        <v>3255.41410722892</v>
      </c>
      <c r="R436" s="0" t="n">
        <f aca="false">W_PH(R$2,$A436)</f>
        <v>3255.43364133862</v>
      </c>
      <c r="S436" s="0" t="n">
        <f aca="false">W_PH(S$2,$A436)</f>
        <v>3255.4531756493</v>
      </c>
      <c r="T436" s="0" t="n">
        <f aca="false">W_PH(T$2,$A436)</f>
        <v>3255.47271016346</v>
      </c>
      <c r="U436" s="0" t="n">
        <f aca="false">W_PH(U$2,$A436)</f>
        <v>3255.49224101829</v>
      </c>
      <c r="V436" s="0" t="n">
        <f aca="false">W_PH(V$2,$A436)</f>
        <v>3255.51177594676</v>
      </c>
      <c r="W436" s="0" t="n">
        <f aca="false">W_PH(W$2,$A436)</f>
        <v>3255.53131108611</v>
      </c>
      <c r="X436" s="0" t="n">
        <f aca="false">W_PH(X$2,$A436)</f>
        <v>3255.55084257343</v>
      </c>
      <c r="Y436" s="0" t="n">
        <f aca="false">W_PH(Y$2,$A436)</f>
        <v>3255.74620451459</v>
      </c>
      <c r="Z436" s="0" t="n">
        <f aca="false">W_PH(Z$2,$A436)</f>
        <v>3255.94158278338</v>
      </c>
      <c r="AA436" s="0" t="n">
        <f aca="false">W_PH(AA$2,$A436)</f>
        <v>3256.13698372026</v>
      </c>
      <c r="AB436" s="0" t="n">
        <f aca="false">W_PH(AB$2,$A436)</f>
        <v>3256.33240593269</v>
      </c>
      <c r="AC436" s="0" t="n">
        <f aca="false">W_PH(AC$2,$A436)</f>
        <v>3256.52785576198</v>
      </c>
      <c r="AD436" s="0" t="n">
        <f aca="false">W_PH(AD$2,$A436)</f>
        <v>3256.72333568293</v>
      </c>
      <c r="AE436" s="0" t="n">
        <f aca="false">W_PH(AE$2,$A436)</f>
        <v>3256.91884817021</v>
      </c>
      <c r="AF436" s="0" t="n">
        <f aca="false">W_PH(AF$2,$A436)</f>
        <v>3257.1143879593</v>
      </c>
      <c r="AG436" s="0" t="n">
        <f aca="false">W_PH(AG$2,$A436)</f>
        <v>3257.30996913184</v>
      </c>
      <c r="AH436" s="0" t="n">
        <f aca="false">W_PH(AH$2,$A436)</f>
        <v>3259.26827609746</v>
      </c>
      <c r="AI436" s="0" t="n">
        <f aca="false">W_PH(AI$2,$A436)</f>
        <v>3261.23279166664</v>
      </c>
      <c r="AJ436" s="0" t="n">
        <f aca="false">W_PH(AJ$2,$A436)</f>
        <v>3263.20587916691</v>
      </c>
      <c r="AK436" s="0" t="n">
        <f aca="false">W_PH(AK$2,$A436)</f>
        <v>3265.18990846156</v>
      </c>
      <c r="AL436" s="0" t="n">
        <f aca="false">W_PH(AL$2,$A436)</f>
        <v>3267.18724446171</v>
      </c>
      <c r="AM436" s="0" t="n">
        <f aca="false">W_PH(AM$2,$A436)</f>
        <v>3269.20025118165</v>
      </c>
      <c r="AN436" s="0" t="n">
        <f aca="false">W_PH(AN$2,$A436)</f>
        <v>3271.23129585532</v>
      </c>
      <c r="AO436" s="0" t="n">
        <f aca="false">W_PH(AO$2,$A436)</f>
        <v>3273.28274529369</v>
      </c>
      <c r="AP436" s="0" t="n">
        <f aca="false">W_PH(AP$2,$A436)</f>
        <v>2015</v>
      </c>
      <c r="AQ436" s="0" t="n">
        <f aca="false">W_PH(AQ$2,$A436)</f>
        <v>2015</v>
      </c>
      <c r="AR436" s="0" t="n">
        <f aca="false">W_PH(AR$2,$A436)</f>
        <v>2015</v>
      </c>
      <c r="AS436" s="0" t="n">
        <f aca="false">W_PH(AS$2,$A436)</f>
        <v>2015</v>
      </c>
    </row>
    <row r="437" customFormat="false" ht="12.8" hidden="false" customHeight="false" outlineLevel="0" collapsed="false">
      <c r="A437" s="0" t="n">
        <v>2566.63800515907</v>
      </c>
      <c r="B437" s="0" t="n">
        <f aca="false">W_PH(B$2,$A437)</f>
        <v>2015</v>
      </c>
      <c r="C437" s="0" t="n">
        <f aca="false">W_PH(C$2,$A437)</f>
        <v>3258.49722079164</v>
      </c>
      <c r="D437" s="0" t="n">
        <f aca="false">W_PH(D$2,$A437)</f>
        <v>3258.49741561927</v>
      </c>
      <c r="E437" s="0" t="n">
        <f aca="false">W_PH(E$2,$A437)</f>
        <v>3258.49761044692</v>
      </c>
      <c r="F437" s="0" t="n">
        <f aca="false">W_PH(F$2,$A437)</f>
        <v>3258.49780527458</v>
      </c>
      <c r="G437" s="0" t="n">
        <f aca="false">W_PH(G$2,$A437)</f>
        <v>3258.49976127492</v>
      </c>
      <c r="H437" s="0" t="n">
        <f aca="false">W_PH(H$2,$A437)</f>
        <v>3258.50171727715</v>
      </c>
      <c r="I437" s="0" t="n">
        <f aca="false">W_PH(I$2,$A437)</f>
        <v>3258.50367328128</v>
      </c>
      <c r="J437" s="0" t="n">
        <f aca="false">W_PH(J$2,$A437)</f>
        <v>3258.50562928731</v>
      </c>
      <c r="K437" s="0" t="n">
        <f aca="false">W_PH(K$2,$A437)</f>
        <v>3258.5075814339</v>
      </c>
      <c r="L437" s="0" t="n">
        <f aca="false">W_PH(L$2,$A437)</f>
        <v>3258.50953358239</v>
      </c>
      <c r="M437" s="0" t="n">
        <f aca="false">W_PH(M$2,$A437)</f>
        <v>3258.51148959413</v>
      </c>
      <c r="N437" s="0" t="n">
        <f aca="false">W_PH(N$2,$A437)</f>
        <v>3258.51344560777</v>
      </c>
      <c r="O437" s="0" t="n">
        <f aca="false">W_PH(O$2,$A437)</f>
        <v>3258.51540162332</v>
      </c>
      <c r="P437" s="0" t="n">
        <f aca="false">W_PH(P$2,$A437)</f>
        <v>3258.53494643897</v>
      </c>
      <c r="Q437" s="0" t="n">
        <f aca="false">W_PH(Q$2,$A437)</f>
        <v>3258.55449917108</v>
      </c>
      <c r="R437" s="0" t="n">
        <f aca="false">W_PH(R$2,$A437)</f>
        <v>3258.57404437638</v>
      </c>
      <c r="S437" s="0" t="n">
        <f aca="false">W_PH(S$2,$A437)</f>
        <v>3258.5935936417</v>
      </c>
      <c r="T437" s="0" t="n">
        <f aca="false">W_PH(T$2,$A437)</f>
        <v>3258.61314310806</v>
      </c>
      <c r="U437" s="0" t="n">
        <f aca="false">W_PH(U$2,$A437)</f>
        <v>3258.63268891626</v>
      </c>
      <c r="V437" s="0" t="n">
        <f aca="false">W_PH(V$2,$A437)</f>
        <v>3258.65223879203</v>
      </c>
      <c r="W437" s="0" t="n">
        <f aca="false">W_PH(W$2,$A437)</f>
        <v>3258.67178887623</v>
      </c>
      <c r="X437" s="0" t="n">
        <f aca="false">W_PH(X$2,$A437)</f>
        <v>3258.6913353095</v>
      </c>
      <c r="Y437" s="0" t="n">
        <f aca="false">W_PH(Y$2,$A437)</f>
        <v>3258.88683881402</v>
      </c>
      <c r="Z437" s="0" t="n">
        <f aca="false">W_PH(Z$2,$A437)</f>
        <v>3259.08235838943</v>
      </c>
      <c r="AA437" s="0" t="n">
        <f aca="false">W_PH(AA$2,$A437)</f>
        <v>3259.27790036001</v>
      </c>
      <c r="AB437" s="0" t="n">
        <f aca="false">W_PH(AB$2,$A437)</f>
        <v>3259.47346718815</v>
      </c>
      <c r="AC437" s="0" t="n">
        <f aca="false">W_PH(AC$2,$A437)</f>
        <v>3259.66905747176</v>
      </c>
      <c r="AD437" s="0" t="n">
        <f aca="false">W_PH(AD$2,$A437)</f>
        <v>3259.86468140131</v>
      </c>
      <c r="AE437" s="0" t="n">
        <f aca="false">W_PH(AE$2,$A437)</f>
        <v>3260.06033370966</v>
      </c>
      <c r="AF437" s="0" t="n">
        <f aca="false">W_PH(AF$2,$A437)</f>
        <v>3260.25602072323</v>
      </c>
      <c r="AG437" s="0" t="n">
        <f aca="false">W_PH(AG$2,$A437)</f>
        <v>3260.45174103755</v>
      </c>
      <c r="AH437" s="0" t="n">
        <f aca="false">W_PH(AH$2,$A437)</f>
        <v>3262.41144084731</v>
      </c>
      <c r="AI437" s="0" t="n">
        <f aca="false">W_PH(AI$2,$A437)</f>
        <v>3264.37730099044</v>
      </c>
      <c r="AJ437" s="0" t="n">
        <f aca="false">W_PH(AJ$2,$A437)</f>
        <v>3266.35168797085</v>
      </c>
      <c r="AK437" s="0" t="n">
        <f aca="false">W_PH(AK$2,$A437)</f>
        <v>3268.33695163295</v>
      </c>
      <c r="AL437" s="0" t="n">
        <f aca="false">W_PH(AL$2,$A437)</f>
        <v>3270.3354485566</v>
      </c>
      <c r="AM437" s="0" t="n">
        <f aca="false">W_PH(AM$2,$A437)</f>
        <v>3272.34952669919</v>
      </c>
      <c r="AN437" s="0" t="n">
        <f aca="false">W_PH(AN$2,$A437)</f>
        <v>3274.38154116016</v>
      </c>
      <c r="AO437" s="0" t="n">
        <f aca="false">W_PH(AO$2,$A437)</f>
        <v>3276.43384665785</v>
      </c>
      <c r="AP437" s="0" t="n">
        <f aca="false">W_PH(AP$2,$A437)</f>
        <v>2015</v>
      </c>
      <c r="AQ437" s="0" t="n">
        <f aca="false">W_PH(AQ$2,$A437)</f>
        <v>2015</v>
      </c>
      <c r="AR437" s="0" t="n">
        <f aca="false">W_PH(AR$2,$A437)</f>
        <v>2015</v>
      </c>
      <c r="AS437" s="0" t="n">
        <f aca="false">W_PH(AS$2,$A437)</f>
        <v>2015</v>
      </c>
    </row>
    <row r="438" customFormat="false" ht="12.8" hidden="false" customHeight="false" outlineLevel="0" collapsed="false">
      <c r="A438" s="0" t="n">
        <v>2570.93723129837</v>
      </c>
      <c r="B438" s="0" t="n">
        <f aca="false">W_PH(B$2,$A438)</f>
        <v>2015</v>
      </c>
      <c r="C438" s="0" t="n">
        <f aca="false">W_PH(C$2,$A438)</f>
        <v>3261.63284891232</v>
      </c>
      <c r="D438" s="0" t="n">
        <f aca="false">W_PH(D$2,$A438)</f>
        <v>3261.63304415567</v>
      </c>
      <c r="E438" s="0" t="n">
        <f aca="false">W_PH(E$2,$A438)</f>
        <v>3261.63323939904</v>
      </c>
      <c r="F438" s="0" t="n">
        <f aca="false">W_PH(F$2,$A438)</f>
        <v>3261.63343850016</v>
      </c>
      <c r="G438" s="0" t="n">
        <f aca="false">W_PH(G$2,$A438)</f>
        <v>3261.63539479281</v>
      </c>
      <c r="H438" s="0" t="n">
        <f aca="false">W_PH(H$2,$A438)</f>
        <v>3261.63734722958</v>
      </c>
      <c r="I438" s="0" t="n">
        <f aca="false">W_PH(I$2,$A438)</f>
        <v>3261.63930738372</v>
      </c>
      <c r="J438" s="0" t="n">
        <f aca="false">W_PH(J$2,$A438)</f>
        <v>3261.64125982423</v>
      </c>
      <c r="K438" s="0" t="n">
        <f aca="false">W_PH(K$2,$A438)</f>
        <v>3261.64321998212</v>
      </c>
      <c r="L438" s="0" t="n">
        <f aca="false">W_PH(L$2,$A438)</f>
        <v>3261.64517242638</v>
      </c>
      <c r="M438" s="0" t="n">
        <f aca="false">W_PH(M$2,$A438)</f>
        <v>3261.64713258804</v>
      </c>
      <c r="N438" s="0" t="n">
        <f aca="false">W_PH(N$2,$A438)</f>
        <v>3261.64908503605</v>
      </c>
      <c r="O438" s="0" t="n">
        <f aca="false">W_PH(O$2,$A438)</f>
        <v>3261.65104520149</v>
      </c>
      <c r="P438" s="0" t="n">
        <f aca="false">W_PH(P$2,$A438)</f>
        <v>3261.67060838244</v>
      </c>
      <c r="Q438" s="0" t="n">
        <f aca="false">W_PH(Q$2,$A438)</f>
        <v>3261.69016789679</v>
      </c>
      <c r="R438" s="0" t="n">
        <f aca="false">W_PH(R$2,$A438)</f>
        <v>3261.70972760476</v>
      </c>
      <c r="S438" s="0" t="n">
        <f aca="false">W_PH(S$2,$A438)</f>
        <v>3261.7292913668</v>
      </c>
      <c r="T438" s="0" t="n">
        <f aca="false">W_PH(T$2,$A438)</f>
        <v>3261.74885532748</v>
      </c>
      <c r="U438" s="0" t="n">
        <f aca="false">W_PH(U$2,$A438)</f>
        <v>3261.76841948924</v>
      </c>
      <c r="V438" s="0" t="n">
        <f aca="false">W_PH(V$2,$A438)</f>
        <v>3261.7879799964</v>
      </c>
      <c r="W438" s="0" t="n">
        <f aca="false">W_PH(W$2,$A438)</f>
        <v>3261.80754070946</v>
      </c>
      <c r="X438" s="0" t="n">
        <f aca="false">W_PH(X$2,$A438)</f>
        <v>3261.82710548909</v>
      </c>
      <c r="Y438" s="0" t="n">
        <f aca="false">W_PH(Y$2,$A438)</f>
        <v>3262.02274985404</v>
      </c>
      <c r="Z438" s="0" t="n">
        <f aca="false">W_PH(Z$2,$A438)</f>
        <v>3262.21841003734</v>
      </c>
      <c r="AA438" s="0" t="n">
        <f aca="false">W_PH(AA$2,$A438)</f>
        <v>3262.41408848743</v>
      </c>
      <c r="AB438" s="0" t="n">
        <f aca="false">W_PH(AB$2,$A438)</f>
        <v>3262.60979537326</v>
      </c>
      <c r="AC438" s="0" t="n">
        <f aca="false">W_PH(AC$2,$A438)</f>
        <v>3262.80552928539</v>
      </c>
      <c r="AD438" s="0" t="n">
        <f aca="false">W_PH(AD$2,$A438)</f>
        <v>3263.00128881229</v>
      </c>
      <c r="AE438" s="0" t="n">
        <f aca="false">W_PH(AE$2,$A438)</f>
        <v>3263.1970802639</v>
      </c>
      <c r="AF438" s="0" t="n">
        <f aca="false">W_PH(AF$2,$A438)</f>
        <v>3263.39290222752</v>
      </c>
      <c r="AG438" s="0" t="n">
        <f aca="false">W_PH(AG$2,$A438)</f>
        <v>3263.58876487673</v>
      </c>
      <c r="AH438" s="0" t="n">
        <f aca="false">W_PH(AH$2,$A438)</f>
        <v>3265.54982787616</v>
      </c>
      <c r="AI438" s="0" t="n">
        <f aca="false">W_PH(AI$2,$A438)</f>
        <v>3267.51702283214</v>
      </c>
      <c r="AJ438" s="0" t="n">
        <f aca="false">W_PH(AJ$2,$A438)</f>
        <v>3269.49268466232</v>
      </c>
      <c r="AK438" s="0" t="n">
        <f aca="false">W_PH(AK$2,$A438)</f>
        <v>3271.47916265267</v>
      </c>
      <c r="AL438" s="0" t="n">
        <f aca="false">W_PH(AL$2,$A438)</f>
        <v>3273.47878959973</v>
      </c>
      <c r="AM438" s="0" t="n">
        <f aca="false">W_PH(AM$2,$A438)</f>
        <v>3275.4939169193</v>
      </c>
      <c r="AN438" s="0" t="n">
        <f aca="false">W_PH(AN$2,$A438)</f>
        <v>3277.52688379673</v>
      </c>
      <c r="AO438" s="0" t="n">
        <f aca="false">W_PH(AO$2,$A438)</f>
        <v>3279.58002905825</v>
      </c>
      <c r="AP438" s="0" t="n">
        <f aca="false">W_PH(AP$2,$A438)</f>
        <v>2015</v>
      </c>
      <c r="AQ438" s="0" t="n">
        <f aca="false">W_PH(AQ$2,$A438)</f>
        <v>2015</v>
      </c>
      <c r="AR438" s="0" t="n">
        <f aca="false">W_PH(AR$2,$A438)</f>
        <v>2015</v>
      </c>
      <c r="AS438" s="0" t="n">
        <f aca="false">W_PH(AS$2,$A438)</f>
        <v>2015</v>
      </c>
    </row>
    <row r="439" customFormat="false" ht="12.8" hidden="false" customHeight="false" outlineLevel="0" collapsed="false">
      <c r="A439" s="0" t="n">
        <v>2575.23645743766</v>
      </c>
      <c r="B439" s="0" t="n">
        <f aca="false">W_PH(B$2,$A439)</f>
        <v>2015</v>
      </c>
      <c r="C439" s="0" t="n">
        <f aca="false">W_PH(C$2,$A439)</f>
        <v>3264.7637800315</v>
      </c>
      <c r="D439" s="0" t="n">
        <f aca="false">W_PH(D$2,$A439)</f>
        <v>3264.76397568555</v>
      </c>
      <c r="E439" s="0" t="n">
        <f aca="false">W_PH(E$2,$A439)</f>
        <v>3264.76417133961</v>
      </c>
      <c r="F439" s="0" t="n">
        <f aca="false">W_PH(F$2,$A439)</f>
        <v>3264.7643669937</v>
      </c>
      <c r="G439" s="0" t="n">
        <f aca="false">W_PH(G$2,$A439)</f>
        <v>3264.76632738971</v>
      </c>
      <c r="H439" s="0" t="n">
        <f aca="false">W_PH(H$2,$A439)</f>
        <v>3264.76828778758</v>
      </c>
      <c r="I439" s="0" t="n">
        <f aca="false">W_PH(I$2,$A439)</f>
        <v>3264.77024433311</v>
      </c>
      <c r="J439" s="0" t="n">
        <f aca="false">W_PH(J$2,$A439)</f>
        <v>3264.77220088049</v>
      </c>
      <c r="K439" s="0" t="n">
        <f aca="false">W_PH(K$2,$A439)</f>
        <v>3264.77415742973</v>
      </c>
      <c r="L439" s="0" t="n">
        <f aca="false">W_PH(L$2,$A439)</f>
        <v>3264.77611398081</v>
      </c>
      <c r="M439" s="0" t="n">
        <f aca="false">W_PH(M$2,$A439)</f>
        <v>3264.77807053375</v>
      </c>
      <c r="N439" s="0" t="n">
        <f aca="false">W_PH(N$2,$A439)</f>
        <v>3264.78003094276</v>
      </c>
      <c r="O439" s="0" t="n">
        <f aca="false">W_PH(O$2,$A439)</f>
        <v>3264.78198749942</v>
      </c>
      <c r="P439" s="0" t="n">
        <f aca="false">W_PH(P$2,$A439)</f>
        <v>3264.80156473165</v>
      </c>
      <c r="Q439" s="0" t="n">
        <f aca="false">W_PH(Q$2,$A439)</f>
        <v>3264.82113829851</v>
      </c>
      <c r="R439" s="0" t="n">
        <f aca="false">W_PH(R$2,$A439)</f>
        <v>3264.84071591102</v>
      </c>
      <c r="S439" s="0" t="n">
        <f aca="false">W_PH(S$2,$A439)</f>
        <v>3264.86029371736</v>
      </c>
      <c r="T439" s="0" t="n">
        <f aca="false">W_PH(T$2,$A439)</f>
        <v>3264.8798678655</v>
      </c>
      <c r="U439" s="0" t="n">
        <f aca="false">W_PH(U$2,$A439)</f>
        <v>3264.89944221224</v>
      </c>
      <c r="V439" s="0" t="n">
        <f aca="false">W_PH(V$2,$A439)</f>
        <v>3264.91902446916</v>
      </c>
      <c r="W439" s="0" t="n">
        <f aca="false">W_PH(W$2,$A439)</f>
        <v>3264.93859922052</v>
      </c>
      <c r="X439" s="0" t="n">
        <f aca="false">W_PH(X$2,$A439)</f>
        <v>3264.95817417781</v>
      </c>
      <c r="Y439" s="0" t="n">
        <f aca="false">W_PH(Y$2,$A439)</f>
        <v>3265.15395488882</v>
      </c>
      <c r="Z439" s="0" t="n">
        <f aca="false">W_PH(Z$2,$A439)</f>
        <v>3265.34975116875</v>
      </c>
      <c r="AA439" s="0" t="n">
        <f aca="false">W_PH(AA$2,$A439)</f>
        <v>3265.54557316603</v>
      </c>
      <c r="AB439" s="0" t="n">
        <f aca="false">W_PH(AB$2,$A439)</f>
        <v>3265.74141560636</v>
      </c>
      <c r="AC439" s="0" t="n">
        <f aca="false">W_PH(AC$2,$A439)</f>
        <v>3265.93728478286</v>
      </c>
      <c r="AD439" s="0" t="n">
        <f aca="false">W_PH(AD$2,$A439)</f>
        <v>3266.13318313291</v>
      </c>
      <c r="AE439" s="0" t="n">
        <f aca="false">W_PH(AE$2,$A439)</f>
        <v>3266.32910923563</v>
      </c>
      <c r="AF439" s="0" t="n">
        <f aca="false">W_PH(AF$2,$A439)</f>
        <v>3266.52506938543</v>
      </c>
      <c r="AG439" s="0" t="n">
        <f aca="false">W_PH(AG$2,$A439)</f>
        <v>3266.72106987863</v>
      </c>
      <c r="AH439" s="0" t="n">
        <f aca="false">W_PH(AH$2,$A439)</f>
        <v>3268.68347464547</v>
      </c>
      <c r="AI439" s="0" t="n">
        <f aca="false">W_PH(AI$2,$A439)</f>
        <v>3270.65197575851</v>
      </c>
      <c r="AJ439" s="0" t="n">
        <f aca="false">W_PH(AJ$2,$A439)</f>
        <v>3272.62888827033</v>
      </c>
      <c r="AK439" s="0" t="n">
        <f aca="false">W_PH(AK$2,$A439)</f>
        <v>3274.61655323405</v>
      </c>
      <c r="AL439" s="0" t="n">
        <f aca="false">W_PH(AL$2,$A439)</f>
        <v>3276.61729529555</v>
      </c>
      <c r="AM439" s="0" t="n">
        <f aca="false">W_PH(AM$2,$A439)</f>
        <v>3278.63345387664</v>
      </c>
      <c r="AN439" s="0" t="n">
        <f aca="false">W_PH(AN$2,$A439)</f>
        <v>3280.66734843755</v>
      </c>
      <c r="AO439" s="0" t="n">
        <f aca="false">W_PH(AO$2,$A439)</f>
        <v>3282.72131756845</v>
      </c>
      <c r="AP439" s="0" t="n">
        <f aca="false">W_PH(AP$2,$A439)</f>
        <v>2015</v>
      </c>
      <c r="AQ439" s="0" t="n">
        <f aca="false">W_PH(AQ$2,$A439)</f>
        <v>2015</v>
      </c>
      <c r="AR439" s="0" t="n">
        <f aca="false">W_PH(AR$2,$A439)</f>
        <v>2015</v>
      </c>
      <c r="AS439" s="0" t="n">
        <f aca="false">W_PH(AS$2,$A439)</f>
        <v>2015</v>
      </c>
    </row>
    <row r="440" customFormat="false" ht="12.8" hidden="false" customHeight="false" outlineLevel="0" collapsed="false">
      <c r="A440" s="0" t="n">
        <v>2579.53568357696</v>
      </c>
      <c r="B440" s="0" t="n">
        <f aca="false">W_PH(B$2,$A440)</f>
        <v>2015</v>
      </c>
      <c r="C440" s="0" t="n">
        <f aca="false">W_PH(C$2,$A440)</f>
        <v>3267.89003887749</v>
      </c>
      <c r="D440" s="0" t="n">
        <f aca="false">W_PH(D$2,$A440)</f>
        <v>3267.89023493726</v>
      </c>
      <c r="E440" s="0" t="n">
        <f aca="false">W_PH(E$2,$A440)</f>
        <v>3267.89043099705</v>
      </c>
      <c r="F440" s="0" t="n">
        <f aca="false">W_PH(F$2,$A440)</f>
        <v>3267.89062705685</v>
      </c>
      <c r="G440" s="0" t="n">
        <f aca="false">W_PH(G$2,$A440)</f>
        <v>3267.8925838053</v>
      </c>
      <c r="H440" s="0" t="n">
        <f aca="false">W_PH(H$2,$A440)</f>
        <v>3267.89454440619</v>
      </c>
      <c r="I440" s="0" t="n">
        <f aca="false">W_PH(I$2,$A440)</f>
        <v>3267.89650500891</v>
      </c>
      <c r="J440" s="0" t="n">
        <f aca="false">W_PH(J$2,$A440)</f>
        <v>3267.89846176282</v>
      </c>
      <c r="K440" s="0" t="n">
        <f aca="false">W_PH(K$2,$A440)</f>
        <v>3267.90041851856</v>
      </c>
      <c r="L440" s="0" t="n">
        <f aca="false">W_PH(L$2,$A440)</f>
        <v>3267.90237912677</v>
      </c>
      <c r="M440" s="0" t="n">
        <f aca="false">W_PH(M$2,$A440)</f>
        <v>3267.90433973682</v>
      </c>
      <c r="N440" s="0" t="n">
        <f aca="false">W_PH(N$2,$A440)</f>
        <v>3267.90630034871</v>
      </c>
      <c r="O440" s="0" t="n">
        <f aca="false">W_PH(O$2,$A440)</f>
        <v>3267.90825711179</v>
      </c>
      <c r="P440" s="0" t="n">
        <f aca="false">W_PH(P$2,$A440)</f>
        <v>3267.92784409746</v>
      </c>
      <c r="Q440" s="0" t="n">
        <f aca="false">W_PH(Q$2,$A440)</f>
        <v>3267.94743512045</v>
      </c>
      <c r="R440" s="0" t="n">
        <f aca="false">W_PH(R$2,$A440)</f>
        <v>3267.9670263325</v>
      </c>
      <c r="S440" s="0" t="n">
        <f aca="false">W_PH(S$2,$A440)</f>
        <v>3267.98661773605</v>
      </c>
      <c r="T440" s="0" t="n">
        <f aca="false">W_PH(T$2,$A440)</f>
        <v>3268.00620548262</v>
      </c>
      <c r="U440" s="0" t="n">
        <f aca="false">W_PH(U$2,$A440)</f>
        <v>3268.02579342543</v>
      </c>
      <c r="V440" s="0" t="n">
        <f aca="false">W_PH(V$2,$A440)</f>
        <v>3268.04538541794</v>
      </c>
      <c r="W440" s="0" t="n">
        <f aca="false">W_PH(W$2,$A440)</f>
        <v>3268.06497761165</v>
      </c>
      <c r="X440" s="0" t="n">
        <f aca="false">W_PH(X$2,$A440)</f>
        <v>3268.08456615788</v>
      </c>
      <c r="Y440" s="0" t="n">
        <f aca="false">W_PH(Y$2,$A440)</f>
        <v>3268.28048260643</v>
      </c>
      <c r="Z440" s="0" t="n">
        <f aca="false">W_PH(Z$2,$A440)</f>
        <v>3268.47641823065</v>
      </c>
      <c r="AA440" s="0" t="n">
        <f aca="false">W_PH(AA$2,$A440)</f>
        <v>3268.67237160326</v>
      </c>
      <c r="AB440" s="0" t="n">
        <f aca="false">W_PH(AB$2,$A440)</f>
        <v>3268.8683490011</v>
      </c>
      <c r="AC440" s="0" t="n">
        <f aca="false">W_PH(AC$2,$A440)</f>
        <v>3269.06435284934</v>
      </c>
      <c r="AD440" s="0" t="n">
        <f aca="false">W_PH(AD$2,$A440)</f>
        <v>3269.26038557309</v>
      </c>
      <c r="AE440" s="0" t="n">
        <f aca="false">W_PH(AE$2,$A440)</f>
        <v>3269.4564457428</v>
      </c>
      <c r="AF440" s="0" t="n">
        <f aca="false">W_PH(AF$2,$A440)</f>
        <v>3269.65254349208</v>
      </c>
      <c r="AG440" s="0" t="n">
        <f aca="false">W_PH(AG$2,$A440)</f>
        <v>3269.8486696806</v>
      </c>
      <c r="AH440" s="0" t="n">
        <f aca="false">W_PH(AH$2,$A440)</f>
        <v>3271.8124029684</v>
      </c>
      <c r="AI440" s="0" t="n">
        <f aca="false">W_PH(AI$2,$A440)</f>
        <v>3273.78217819705</v>
      </c>
      <c r="AJ440" s="0" t="n">
        <f aca="false">W_PH(AJ$2,$A440)</f>
        <v>3275.76032541867</v>
      </c>
      <c r="AK440" s="0" t="n">
        <f aca="false">W_PH(AK$2,$A440)</f>
        <v>3277.74915434385</v>
      </c>
      <c r="AL440" s="0" t="n">
        <f aca="false">W_PH(AL$2,$A440)</f>
        <v>3279.75098927983</v>
      </c>
      <c r="AM440" s="0" t="n">
        <f aca="false">W_PH(AM$2,$A440)</f>
        <v>3281.76815385824</v>
      </c>
      <c r="AN440" s="0" t="n">
        <f aca="false">W_PH(AN$2,$A440)</f>
        <v>3283.80296345791</v>
      </c>
      <c r="AO440" s="0" t="n">
        <f aca="false">W_PH(AO$2,$A440)</f>
        <v>3285.85773707057</v>
      </c>
      <c r="AP440" s="0" t="n">
        <f aca="false">W_PH(AP$2,$A440)</f>
        <v>2015</v>
      </c>
      <c r="AQ440" s="0" t="n">
        <f aca="false">W_PH(AQ$2,$A440)</f>
        <v>2015</v>
      </c>
      <c r="AR440" s="0" t="n">
        <f aca="false">W_PH(AR$2,$A440)</f>
        <v>2015</v>
      </c>
      <c r="AS440" s="0" t="n">
        <f aca="false">W_PH(AS$2,$A440)</f>
        <v>2015</v>
      </c>
    </row>
    <row r="441" customFormat="false" ht="12.8" hidden="false" customHeight="false" outlineLevel="0" collapsed="false">
      <c r="A441" s="0" t="n">
        <v>2583.83490971625</v>
      </c>
      <c r="B441" s="0" t="n">
        <f aca="false">W_PH(B$2,$A441)</f>
        <v>2015</v>
      </c>
      <c r="C441" s="0" t="n">
        <f aca="false">W_PH(C$2,$A441)</f>
        <v>3271.01164233782</v>
      </c>
      <c r="D441" s="0" t="n">
        <f aca="false">W_PH(D$2,$A441)</f>
        <v>3271.0118387984</v>
      </c>
      <c r="E441" s="0" t="n">
        <f aca="false">W_PH(E$2,$A441)</f>
        <v>3271.012035259</v>
      </c>
      <c r="F441" s="0" t="n">
        <f aca="false">W_PH(F$2,$A441)</f>
        <v>3271.01223171962</v>
      </c>
      <c r="G441" s="0" t="n">
        <f aca="false">W_PH(G$2,$A441)</f>
        <v>3271.0141886326</v>
      </c>
      <c r="H441" s="0" t="n">
        <f aca="false">W_PH(H$2,$A441)</f>
        <v>3271.01614939446</v>
      </c>
      <c r="I441" s="0" t="n">
        <f aca="false">W_PH(I$2,$A441)</f>
        <v>3271.01811015813</v>
      </c>
      <c r="J441" s="0" t="n">
        <f aca="false">W_PH(J$2,$A441)</f>
        <v>3271.0200670765</v>
      </c>
      <c r="K441" s="0" t="n">
        <f aca="false">W_PH(K$2,$A441)</f>
        <v>3271.02203169088</v>
      </c>
      <c r="L441" s="0" t="n">
        <f aca="false">W_PH(L$2,$A441)</f>
        <v>3271.02398861286</v>
      </c>
      <c r="M441" s="0" t="n">
        <f aca="false">W_PH(M$2,$A441)</f>
        <v>3271.02595323087</v>
      </c>
      <c r="N441" s="0" t="n">
        <f aca="false">W_PH(N$2,$A441)</f>
        <v>3271.02791015648</v>
      </c>
      <c r="O441" s="0" t="n">
        <f aca="false">W_PH(O$2,$A441)</f>
        <v>3271.02987093101</v>
      </c>
      <c r="P441" s="0" t="n">
        <f aca="false">W_PH(P$2,$A441)</f>
        <v>3271.0494749297</v>
      </c>
      <c r="Q441" s="0" t="n">
        <f aca="false">W_PH(Q$2,$A441)</f>
        <v>3271.06907526554</v>
      </c>
      <c r="R441" s="0" t="n">
        <f aca="false">W_PH(R$2,$A441)</f>
        <v>3271.08867963533</v>
      </c>
      <c r="S441" s="0" t="n">
        <f aca="false">W_PH(S$2,$A441)</f>
        <v>3271.10828419432</v>
      </c>
      <c r="T441" s="0" t="n">
        <f aca="false">W_PH(T$2,$A441)</f>
        <v>3271.12788509756</v>
      </c>
      <c r="U441" s="0" t="n">
        <f aca="false">W_PH(U$2,$A441)</f>
        <v>3271.14749004214</v>
      </c>
      <c r="V441" s="0" t="n">
        <f aca="false">W_PH(V$2,$A441)</f>
        <v>3271.16709518316</v>
      </c>
      <c r="W441" s="0" t="n">
        <f aca="false">W_PH(W$2,$A441)</f>
        <v>3271.18669667552</v>
      </c>
      <c r="X441" s="0" t="n">
        <f aca="false">W_PH(X$2,$A441)</f>
        <v>3271.20629836906</v>
      </c>
      <c r="Y441" s="0" t="n">
        <f aca="false">W_PH(Y$2,$A441)</f>
        <v>3271.40234998851</v>
      </c>
      <c r="Z441" s="0" t="n">
        <f aca="false">W_PH(Z$2,$A441)</f>
        <v>3271.59841669018</v>
      </c>
      <c r="AA441" s="0" t="n">
        <f aca="false">W_PH(AA$2,$A441)</f>
        <v>3271.79450088572</v>
      </c>
      <c r="AB441" s="0" t="n">
        <f aca="false">W_PH(AB$2,$A441)</f>
        <v>3271.99061268576</v>
      </c>
      <c r="AC441" s="0" t="n">
        <f aca="false">W_PH(AC$2,$A441)</f>
        <v>3272.18675065475</v>
      </c>
      <c r="AD441" s="0" t="n">
        <f aca="false">W_PH(AD$2,$A441)</f>
        <v>3272.38291335508</v>
      </c>
      <c r="AE441" s="0" t="n">
        <f aca="false">W_PH(AE$2,$A441)</f>
        <v>3272.57910704913</v>
      </c>
      <c r="AF441" s="0" t="n">
        <f aca="false">W_PH(AF$2,$A441)</f>
        <v>3272.77533800118</v>
      </c>
      <c r="AG441" s="0" t="n">
        <f aca="false">W_PH(AG$2,$A441)</f>
        <v>3272.97159706947</v>
      </c>
      <c r="AH441" s="0" t="n">
        <f aca="false">W_PH(AH$2,$A441)</f>
        <v>3274.9366229418</v>
      </c>
      <c r="AI441" s="0" t="n">
        <f aca="false">W_PH(AI$2,$A441)</f>
        <v>3276.90765616099</v>
      </c>
      <c r="AJ441" s="0" t="n">
        <f aca="false">W_PH(AJ$2,$A441)</f>
        <v>3278.88701095779</v>
      </c>
      <c r="AK441" s="0" t="n">
        <f aca="false">W_PH(AK$2,$A441)</f>
        <v>3280.87698901067</v>
      </c>
      <c r="AL441" s="0" t="n">
        <f aca="false">W_PH(AL$2,$A441)</f>
        <v>3282.87989501686</v>
      </c>
      <c r="AM441" s="0" t="n">
        <f aca="false">W_PH(AM$2,$A441)</f>
        <v>3284.89804852569</v>
      </c>
      <c r="AN441" s="0" t="n">
        <f aca="false">W_PH(AN$2,$A441)</f>
        <v>3286.93374926466</v>
      </c>
      <c r="AO441" s="0" t="n">
        <f aca="false">W_PH(AO$2,$A441)</f>
        <v>3288.98930447998</v>
      </c>
      <c r="AP441" s="0" t="n">
        <f aca="false">W_PH(AP$2,$A441)</f>
        <v>2015</v>
      </c>
      <c r="AQ441" s="0" t="n">
        <f aca="false">W_PH(AQ$2,$A441)</f>
        <v>2015</v>
      </c>
      <c r="AR441" s="0" t="n">
        <f aca="false">W_PH(AR$2,$A441)</f>
        <v>2015</v>
      </c>
      <c r="AS441" s="0" t="n">
        <f aca="false">W_PH(AS$2,$A441)</f>
        <v>2015</v>
      </c>
    </row>
    <row r="442" customFormat="false" ht="12.8" hidden="false" customHeight="false" outlineLevel="0" collapsed="false">
      <c r="A442" s="0" t="n">
        <v>2588.13413585555</v>
      </c>
      <c r="B442" s="0" t="n">
        <f aca="false">W_PH(B$2,$A442)</f>
        <v>2015</v>
      </c>
      <c r="C442" s="0" t="n">
        <f aca="false">W_PH(C$2,$A442)</f>
        <v>3274.1286110267</v>
      </c>
      <c r="D442" s="0" t="n">
        <f aca="false">W_PH(D$2,$A442)</f>
        <v>3274.12880788322</v>
      </c>
      <c r="E442" s="0" t="n">
        <f aca="false">W_PH(E$2,$A442)</f>
        <v>3274.12900089622</v>
      </c>
      <c r="F442" s="0" t="n">
        <f aca="false">W_PH(F$2,$A442)</f>
        <v>3274.12919775278</v>
      </c>
      <c r="G442" s="0" t="n">
        <f aca="false">W_PH(G$2,$A442)</f>
        <v>3274.1311586323</v>
      </c>
      <c r="H442" s="0" t="n">
        <f aca="false">W_PH(H$2,$A442)</f>
        <v>3274.13312335715</v>
      </c>
      <c r="I442" s="0" t="n">
        <f aca="false">W_PH(I$2,$A442)</f>
        <v>3274.13508424022</v>
      </c>
      <c r="J442" s="0" t="n">
        <f aca="false">W_PH(J$2,$A442)</f>
        <v>3274.13704896865</v>
      </c>
      <c r="K442" s="0" t="n">
        <f aca="false">W_PH(K$2,$A442)</f>
        <v>3274.13900985529</v>
      </c>
      <c r="L442" s="0" t="n">
        <f aca="false">W_PH(L$2,$A442)</f>
        <v>3274.14097074372</v>
      </c>
      <c r="M442" s="0" t="n">
        <f aca="false">W_PH(M$2,$A442)</f>
        <v>3274.14293163394</v>
      </c>
      <c r="N442" s="0" t="n">
        <f aca="false">W_PH(N$2,$A442)</f>
        <v>3274.14489252594</v>
      </c>
      <c r="O442" s="0" t="n">
        <f aca="false">W_PH(O$2,$A442)</f>
        <v>3274.14685341974</v>
      </c>
      <c r="P442" s="0" t="n">
        <f aca="false">W_PH(P$2,$A442)</f>
        <v>3274.16647014416</v>
      </c>
      <c r="Q442" s="0" t="n">
        <f aca="false">W_PH(Q$2,$A442)</f>
        <v>3274.1860870507</v>
      </c>
      <c r="R442" s="0" t="n">
        <f aca="false">W_PH(R$2,$A442)</f>
        <v>3274.20570414177</v>
      </c>
      <c r="S442" s="0" t="n">
        <f aca="false">W_PH(S$2,$A442)</f>
        <v>3274.22531757597</v>
      </c>
      <c r="T442" s="0" t="n">
        <f aca="false">W_PH(T$2,$A442)</f>
        <v>3274.2449311994</v>
      </c>
      <c r="U442" s="0" t="n">
        <f aca="false">W_PH(U$2,$A442)</f>
        <v>3274.26454885836</v>
      </c>
      <c r="V442" s="0" t="n">
        <f aca="false">W_PH(V$2,$A442)</f>
        <v>3274.28416671145</v>
      </c>
      <c r="W442" s="0" t="n">
        <f aca="false">W_PH(W$2,$A442)</f>
        <v>3274.30378476108</v>
      </c>
      <c r="X442" s="0" t="n">
        <f aca="false">W_PH(X$2,$A442)</f>
        <v>3274.32340300965</v>
      </c>
      <c r="Y442" s="0" t="n">
        <f aca="false">W_PH(Y$2,$A442)</f>
        <v>3274.51958158751</v>
      </c>
      <c r="Z442" s="0" t="n">
        <f aca="false">W_PH(Z$2,$A442)</f>
        <v>3274.71577500825</v>
      </c>
      <c r="AA442" s="0" t="n">
        <f aca="false">W_PH(AA$2,$A442)</f>
        <v>3274.91199336241</v>
      </c>
      <c r="AB442" s="0" t="n">
        <f aca="false">W_PH(AB$2,$A442)</f>
        <v>3275.10823905239</v>
      </c>
      <c r="AC442" s="0" t="n">
        <f aca="false">W_PH(AC$2,$A442)</f>
        <v>3275.30450294114</v>
      </c>
      <c r="AD442" s="0" t="n">
        <f aca="false">W_PH(AD$2,$A442)</f>
        <v>3275.50079896741</v>
      </c>
      <c r="AE442" s="0" t="n">
        <f aca="false">W_PH(AE$2,$A442)</f>
        <v>3275.69711799114</v>
      </c>
      <c r="AF442" s="0" t="n">
        <f aca="false">W_PH(AF$2,$A442)</f>
        <v>3275.89347395385</v>
      </c>
      <c r="AG442" s="0" t="n">
        <f aca="false">W_PH(AG$2,$A442)</f>
        <v>3276.08986925764</v>
      </c>
      <c r="AH442" s="0" t="n">
        <f aca="false">W_PH(AH$2,$A442)</f>
        <v>3278.05616768116</v>
      </c>
      <c r="AI442" s="0" t="n">
        <f aca="false">W_PH(AI$2,$A442)</f>
        <v>3280.02843935584</v>
      </c>
      <c r="AJ442" s="0" t="n">
        <f aca="false">W_PH(AJ$2,$A442)</f>
        <v>3282.00897506175</v>
      </c>
      <c r="AK442" s="0" t="n">
        <f aca="false">W_PH(AK$2,$A442)</f>
        <v>3284.00007623238</v>
      </c>
      <c r="AL442" s="0" t="n">
        <f aca="false">W_PH(AL$2,$A442)</f>
        <v>3286.00403580135</v>
      </c>
      <c r="AM442" s="0" t="n">
        <f aca="false">W_PH(AM$2,$A442)</f>
        <v>3288.02315382862</v>
      </c>
      <c r="AN442" s="0" t="n">
        <f aca="false">W_PH(AN$2,$A442)</f>
        <v>3290.05972609911</v>
      </c>
      <c r="AO442" s="0" t="n">
        <f aca="false">W_PH(AO$2,$A442)</f>
        <v>3292.11604432658</v>
      </c>
      <c r="AP442" s="0" t="n">
        <f aca="false">W_PH(AP$2,$A442)</f>
        <v>2015</v>
      </c>
      <c r="AQ442" s="0" t="n">
        <f aca="false">W_PH(AQ$2,$A442)</f>
        <v>2015</v>
      </c>
      <c r="AR442" s="0" t="n">
        <f aca="false">W_PH(AR$2,$A442)</f>
        <v>2015</v>
      </c>
      <c r="AS442" s="0" t="n">
        <f aca="false">W_PH(AS$2,$A442)</f>
        <v>2015</v>
      </c>
    </row>
    <row r="443" customFormat="false" ht="12.8" hidden="false" customHeight="false" outlineLevel="0" collapsed="false">
      <c r="A443" s="0" t="n">
        <v>2592.43336199484</v>
      </c>
      <c r="B443" s="0" t="n">
        <f aca="false">W_PH(B$2,$A443)</f>
        <v>2015</v>
      </c>
      <c r="C443" s="0" t="n">
        <f aca="false">W_PH(C$2,$A443)</f>
        <v>3277.24097310861</v>
      </c>
      <c r="D443" s="0" t="n">
        <f aca="false">W_PH(D$2,$A443)</f>
        <v>3277.24116651625</v>
      </c>
      <c r="E443" s="0" t="n">
        <f aca="false">W_PH(E$2,$A443)</f>
        <v>3277.24136376394</v>
      </c>
      <c r="F443" s="0" t="n">
        <f aca="false">W_PH(F$2,$A443)</f>
        <v>3277.24155717161</v>
      </c>
      <c r="G443" s="0" t="n">
        <f aca="false">W_PH(G$2,$A443)</f>
        <v>3277.24352196959</v>
      </c>
      <c r="H443" s="0" t="n">
        <f aca="false">W_PH(H$2,$A443)</f>
        <v>3277.24548676932</v>
      </c>
      <c r="I443" s="0" t="n">
        <f aca="false">W_PH(I$2,$A443)</f>
        <v>3277.24744773077</v>
      </c>
      <c r="J443" s="0" t="n">
        <f aca="false">W_PH(J$2,$A443)</f>
        <v>3277.24940869398</v>
      </c>
      <c r="K443" s="0" t="n">
        <f aca="false">W_PH(K$2,$A443)</f>
        <v>3277.251373499</v>
      </c>
      <c r="L443" s="0" t="n">
        <f aca="false">W_PH(L$2,$A443)</f>
        <v>3277.25333830579</v>
      </c>
      <c r="M443" s="0" t="n">
        <f aca="false">W_PH(M$2,$A443)</f>
        <v>3277.25529927429</v>
      </c>
      <c r="N443" s="0" t="n">
        <f aca="false">W_PH(N$2,$A443)</f>
        <v>3277.25726024455</v>
      </c>
      <c r="O443" s="0" t="n">
        <f aca="false">W_PH(O$2,$A443)</f>
        <v>3277.25922505666</v>
      </c>
      <c r="P443" s="0" t="n">
        <f aca="false">W_PH(P$2,$A443)</f>
        <v>3277.2788540754</v>
      </c>
      <c r="Q443" s="0" t="n">
        <f aca="false">W_PH(Q$2,$A443)</f>
        <v>3277.29848327405</v>
      </c>
      <c r="R443" s="0" t="n">
        <f aca="false">W_PH(R$2,$A443)</f>
        <v>3277.31810881477</v>
      </c>
      <c r="S443" s="0" t="n">
        <f aca="false">W_PH(S$2,$A443)</f>
        <v>3277.33774222062</v>
      </c>
      <c r="T443" s="0" t="n">
        <f aca="false">W_PH(T$2,$A443)</f>
        <v>3277.357368133</v>
      </c>
      <c r="U443" s="0" t="n">
        <f aca="false">W_PH(U$2,$A443)</f>
        <v>3277.37700191548</v>
      </c>
      <c r="V443" s="0" t="n">
        <f aca="false">W_PH(V$2,$A443)</f>
        <v>3277.39662820909</v>
      </c>
      <c r="W443" s="0" t="n">
        <f aca="false">W_PH(W$2,$A443)</f>
        <v>3277.41625853731</v>
      </c>
      <c r="X443" s="0" t="n">
        <f aca="false">W_PH(X$2,$A443)</f>
        <v>3277.43588906217</v>
      </c>
      <c r="Y443" s="0" t="n">
        <f aca="false">W_PH(Y$2,$A443)</f>
        <v>3277.63219796974</v>
      </c>
      <c r="Z443" s="0" t="n">
        <f aca="false">W_PH(Z$2,$A443)</f>
        <v>3277.82852148571</v>
      </c>
      <c r="AA443" s="0" t="n">
        <f aca="false">W_PH(AA$2,$A443)</f>
        <v>3278.02486968156</v>
      </c>
      <c r="AB443" s="0" t="n">
        <f aca="false">W_PH(AB$2,$A443)</f>
        <v>3278.22123726278</v>
      </c>
      <c r="AC443" s="0" t="n">
        <f aca="false">W_PH(AC$2,$A443)</f>
        <v>3278.41763430265</v>
      </c>
      <c r="AD443" s="0" t="n">
        <f aca="false">W_PH(AD$2,$A443)</f>
        <v>3278.61405550463</v>
      </c>
      <c r="AE443" s="0" t="n">
        <f aca="false">W_PH(AE$2,$A443)</f>
        <v>3278.81050325606</v>
      </c>
      <c r="AF443" s="0" t="n">
        <f aca="false">W_PH(AF$2,$A443)</f>
        <v>3279.00698763291</v>
      </c>
      <c r="AG443" s="0" t="n">
        <f aca="false">W_PH(AG$2,$A443)</f>
        <v>3279.2035033356</v>
      </c>
      <c r="AH443" s="0" t="n">
        <f aca="false">W_PH(AH$2,$A443)</f>
        <v>3281.17105471723</v>
      </c>
      <c r="AI443" s="0" t="n">
        <f aca="false">W_PH(AI$2,$A443)</f>
        <v>3283.14453803697</v>
      </c>
      <c r="AJ443" s="0" t="n">
        <f aca="false">W_PH(AJ$2,$A443)</f>
        <v>3285.12623614227</v>
      </c>
      <c r="AK443" s="0" t="n">
        <f aca="false">W_PH(AK$2,$A443)</f>
        <v>3287.11844258748</v>
      </c>
      <c r="AL443" s="0" t="n">
        <f aca="false">W_PH(AL$2,$A443)</f>
        <v>3289.1234347604</v>
      </c>
      <c r="AM443" s="0" t="n">
        <f aca="false">W_PH(AM$2,$A443)</f>
        <v>3291.14350106388</v>
      </c>
      <c r="AN443" s="0" t="n">
        <f aca="false">W_PH(AN$2,$A443)</f>
        <v>3293.18092179237</v>
      </c>
      <c r="AO443" s="0" t="n">
        <f aca="false">W_PH(AO$2,$A443)</f>
        <v>3295.23798871692</v>
      </c>
      <c r="AP443" s="0" t="n">
        <f aca="false">W_PH(AP$2,$A443)</f>
        <v>2015</v>
      </c>
      <c r="AQ443" s="0" t="n">
        <f aca="false">W_PH(AQ$2,$A443)</f>
        <v>2015</v>
      </c>
      <c r="AR443" s="0" t="n">
        <f aca="false">W_PH(AR$2,$A443)</f>
        <v>2015</v>
      </c>
      <c r="AS443" s="0" t="n">
        <f aca="false">W_PH(AS$2,$A443)</f>
        <v>2015</v>
      </c>
    </row>
    <row r="444" customFormat="false" ht="12.8" hidden="false" customHeight="false" outlineLevel="0" collapsed="false">
      <c r="A444" s="0" t="n">
        <v>2596.73258813414</v>
      </c>
      <c r="B444" s="0" t="n">
        <f aca="false">W_PH(B$2,$A444)</f>
        <v>2015</v>
      </c>
      <c r="C444" s="0" t="n">
        <f aca="false">W_PH(C$2,$A444)</f>
        <v>3280.34874124547</v>
      </c>
      <c r="D444" s="0" t="n">
        <f aca="false">W_PH(D$2,$A444)</f>
        <v>3280.348935043</v>
      </c>
      <c r="E444" s="0" t="n">
        <f aca="false">W_PH(E$2,$A444)</f>
        <v>3280.34913267708</v>
      </c>
      <c r="F444" s="0" t="n">
        <f aca="false">W_PH(F$2,$A444)</f>
        <v>3280.34933031118</v>
      </c>
      <c r="G444" s="0" t="n">
        <f aca="false">W_PH(G$2,$A444)</f>
        <v>3280.35129514355</v>
      </c>
      <c r="H444" s="0" t="n">
        <f aca="false">W_PH(H$2,$A444)</f>
        <v>3280.35325997764</v>
      </c>
      <c r="I444" s="0" t="n">
        <f aca="false">W_PH(I$2,$A444)</f>
        <v>3280.35522097693</v>
      </c>
      <c r="J444" s="0" t="n">
        <f aca="false">W_PH(J$2,$A444)</f>
        <v>3280.35718965106</v>
      </c>
      <c r="K444" s="0" t="n">
        <f aca="false">W_PH(K$2,$A444)</f>
        <v>3280.35915065382</v>
      </c>
      <c r="L444" s="0" t="n">
        <f aca="false">W_PH(L$2,$A444)</f>
        <v>3280.36111549488</v>
      </c>
      <c r="M444" s="0" t="n">
        <f aca="false">W_PH(M$2,$A444)</f>
        <v>3280.36308033769</v>
      </c>
      <c r="N444" s="0" t="n">
        <f aca="false">W_PH(N$2,$A444)</f>
        <v>3280.36504134568</v>
      </c>
      <c r="O444" s="0" t="n">
        <f aca="false">W_PH(O$2,$A444)</f>
        <v>3280.36701002856</v>
      </c>
      <c r="P444" s="0" t="n">
        <f aca="false">W_PH(P$2,$A444)</f>
        <v>3280.38665091538</v>
      </c>
      <c r="Q444" s="0" t="n">
        <f aca="false">W_PH(Q$2,$A444)</f>
        <v>3280.40629197991</v>
      </c>
      <c r="R444" s="0" t="n">
        <f aca="false">W_PH(R$2,$A444)</f>
        <v>3280.42593322452</v>
      </c>
      <c r="S444" s="0" t="n">
        <f aca="false">W_PH(S$2,$A444)</f>
        <v>3280.44557465161</v>
      </c>
      <c r="T444" s="0" t="n">
        <f aca="false">W_PH(T$2,$A444)</f>
        <v>3280.46521626355</v>
      </c>
      <c r="U444" s="0" t="n">
        <f aca="false">W_PH(U$2,$A444)</f>
        <v>3280.48485806271</v>
      </c>
      <c r="V444" s="0" t="n">
        <f aca="false">W_PH(V$2,$A444)</f>
        <v>3280.50450005149</v>
      </c>
      <c r="W444" s="0" t="n">
        <f aca="false">W_PH(W$2,$A444)</f>
        <v>3280.52414223224</v>
      </c>
      <c r="X444" s="0" t="n">
        <f aca="false">W_PH(X$2,$A444)</f>
        <v>3280.54378460736</v>
      </c>
      <c r="Y444" s="0" t="n">
        <f aca="false">W_PH(Y$2,$A444)</f>
        <v>3280.7402195718</v>
      </c>
      <c r="Z444" s="0" t="n">
        <f aca="false">W_PH(Z$2,$A444)</f>
        <v>3280.93666891304</v>
      </c>
      <c r="AA444" s="0" t="n">
        <f aca="false">W_PH(AA$2,$A444)</f>
        <v>3281.1331426836</v>
      </c>
      <c r="AB444" s="0" t="n">
        <f aca="false">W_PH(AB$2,$A444)</f>
        <v>3281.32963558411</v>
      </c>
      <c r="AC444" s="0" t="n">
        <f aca="false">W_PH(AC$2,$A444)</f>
        <v>3281.52615766885</v>
      </c>
      <c r="AD444" s="0" t="n">
        <f aca="false">W_PH(AD$2,$A444)</f>
        <v>3281.72270363647</v>
      </c>
      <c r="AE444" s="0" t="n">
        <f aca="false">W_PH(AE$2,$A444)</f>
        <v>3281.91927586239</v>
      </c>
      <c r="AF444" s="0" t="n">
        <f aca="false">W_PH(AF$2,$A444)</f>
        <v>3282.1158844036</v>
      </c>
      <c r="AG444" s="0" t="n">
        <f aca="false">W_PH(AG$2,$A444)</f>
        <v>3282.31252779699</v>
      </c>
      <c r="AH444" s="0" t="n">
        <f aca="false">W_PH(AH$2,$A444)</f>
        <v>3284.28130914593</v>
      </c>
      <c r="AI444" s="0" t="n">
        <f aca="false">W_PH(AI$2,$A444)</f>
        <v>3286.25598160954</v>
      </c>
      <c r="AJ444" s="0" t="n">
        <f aca="false">W_PH(AJ$2,$A444)</f>
        <v>3288.23882403803</v>
      </c>
      <c r="AK444" s="0" t="n">
        <f aca="false">W_PH(AK$2,$A444)</f>
        <v>3290.23211061975</v>
      </c>
      <c r="AL444" s="0" t="n">
        <f aca="false">W_PH(AL$2,$A444)</f>
        <v>3292.23811099116</v>
      </c>
      <c r="AM444" s="0" t="n">
        <f aca="false">W_PH(AM$2,$A444)</f>
        <v>3294.25910198304</v>
      </c>
      <c r="AN444" s="0" t="n">
        <f aca="false">W_PH(AN$2,$A444)</f>
        <v>3296.29736010986</v>
      </c>
      <c r="AO444" s="0" t="n">
        <f aca="false">W_PH(AO$2,$A444)</f>
        <v>3298.35515403569</v>
      </c>
      <c r="AP444" s="0" t="n">
        <f aca="false">W_PH(AP$2,$A444)</f>
        <v>2015</v>
      </c>
      <c r="AQ444" s="0" t="n">
        <f aca="false">W_PH(AQ$2,$A444)</f>
        <v>2015</v>
      </c>
      <c r="AR444" s="0" t="n">
        <f aca="false">W_PH(AR$2,$A444)</f>
        <v>2015</v>
      </c>
      <c r="AS444" s="0" t="n">
        <f aca="false">W_PH(AS$2,$A444)</f>
        <v>2015</v>
      </c>
    </row>
    <row r="445" customFormat="false" ht="12.8" hidden="false" customHeight="false" outlineLevel="0" collapsed="false">
      <c r="A445" s="0" t="n">
        <v>2601.03181427343</v>
      </c>
      <c r="B445" s="0" t="n">
        <f aca="false">W_PH(B$2,$A445)</f>
        <v>2015</v>
      </c>
      <c r="C445" s="0" t="n">
        <f aca="false">W_PH(C$2,$A445)</f>
        <v>3283.45194333222</v>
      </c>
      <c r="D445" s="0" t="n">
        <f aca="false">W_PH(D$2,$A445)</f>
        <v>3283.45214134798</v>
      </c>
      <c r="E445" s="0" t="n">
        <f aca="false">W_PH(E$2,$A445)</f>
        <v>3283.45233936375</v>
      </c>
      <c r="F445" s="0" t="n">
        <f aca="false">W_PH(F$2,$A445)</f>
        <v>3283.45253354651</v>
      </c>
      <c r="G445" s="0" t="n">
        <f aca="false">W_PH(G$2,$A445)</f>
        <v>3283.45449837323</v>
      </c>
      <c r="H445" s="0" t="n">
        <f aca="false">W_PH(H$2,$A445)</f>
        <v>3283.45646320166</v>
      </c>
      <c r="I445" s="0" t="n">
        <f aca="false">W_PH(I$2,$A445)</f>
        <v>3283.45843186486</v>
      </c>
      <c r="J445" s="0" t="n">
        <f aca="false">W_PH(J$2,$A445)</f>
        <v>3283.46039669672</v>
      </c>
      <c r="K445" s="0" t="n">
        <f aca="false">W_PH(K$2,$A445)</f>
        <v>3283.46236153031</v>
      </c>
      <c r="L445" s="0" t="n">
        <f aca="false">W_PH(L$2,$A445)</f>
        <v>3283.46432636561</v>
      </c>
      <c r="M445" s="0" t="n">
        <f aca="false">W_PH(M$2,$A445)</f>
        <v>3283.46629120264</v>
      </c>
      <c r="N445" s="0" t="n">
        <f aca="false">W_PH(N$2,$A445)</f>
        <v>3283.4682560414</v>
      </c>
      <c r="O445" s="0" t="n">
        <f aca="false">W_PH(O$2,$A445)</f>
        <v>3283.47022088188</v>
      </c>
      <c r="P445" s="0" t="n">
        <f aca="false">W_PH(P$2,$A445)</f>
        <v>3283.48987704858</v>
      </c>
      <c r="Q445" s="0" t="n">
        <f aca="false">W_PH(Q$2,$A445)</f>
        <v>3283.50952955774</v>
      </c>
      <c r="R445" s="0" t="n">
        <f aca="false">W_PH(R$2,$A445)</f>
        <v>3283.52918224482</v>
      </c>
      <c r="S445" s="0" t="n">
        <f aca="false">W_PH(S$2,$A445)</f>
        <v>3283.54883894546</v>
      </c>
      <c r="T445" s="0" t="n">
        <f aca="false">W_PH(T$2,$A445)</f>
        <v>3283.56849199552</v>
      </c>
      <c r="U445" s="0" t="n">
        <f aca="false">W_PH(U$2,$A445)</f>
        <v>3283.58814523059</v>
      </c>
      <c r="V445" s="0" t="n">
        <f aca="false">W_PH(V$2,$A445)</f>
        <v>3283.60780248647</v>
      </c>
      <c r="W445" s="0" t="n">
        <f aca="false">W_PH(W$2,$A445)</f>
        <v>3283.62745226527</v>
      </c>
      <c r="X445" s="0" t="n">
        <f aca="false">W_PH(X$2,$A445)</f>
        <v>3283.6471099031</v>
      </c>
      <c r="Y445" s="0" t="n">
        <f aca="false">W_PH(Y$2,$A445)</f>
        <v>3283.84366670191</v>
      </c>
      <c r="Z445" s="0" t="n">
        <f aca="false">W_PH(Z$2,$A445)</f>
        <v>3284.04024531766</v>
      </c>
      <c r="AA445" s="0" t="n">
        <f aca="false">W_PH(AA$2,$A445)</f>
        <v>3284.23684044717</v>
      </c>
      <c r="AB445" s="0" t="n">
        <f aca="false">W_PH(AB$2,$A445)</f>
        <v>3284.43345445421</v>
      </c>
      <c r="AC445" s="0" t="n">
        <f aca="false">W_PH(AC$2,$A445)</f>
        <v>3284.63009737422</v>
      </c>
      <c r="AD445" s="0" t="n">
        <f aca="false">W_PH(AD$2,$A445)</f>
        <v>3284.8267715737</v>
      </c>
      <c r="AE445" s="0" t="n">
        <f aca="false">W_PH(AE$2,$A445)</f>
        <v>3285.02346790871</v>
      </c>
      <c r="AF445" s="0" t="n">
        <f aca="false">W_PH(AF$2,$A445)</f>
        <v>3285.22020025321</v>
      </c>
      <c r="AG445" s="0" t="n">
        <f aca="false">W_PH(AG$2,$A445)</f>
        <v>3285.41695946037</v>
      </c>
      <c r="AH445" s="0" t="n">
        <f aca="false">W_PH(AH$2,$A445)</f>
        <v>3287.38694822425</v>
      </c>
      <c r="AI445" s="0" t="n">
        <f aca="false">W_PH(AI$2,$A445)</f>
        <v>3289.3627916094</v>
      </c>
      <c r="AJ445" s="0" t="n">
        <f aca="false">W_PH(AJ$2,$A445)</f>
        <v>3291.34675299973</v>
      </c>
      <c r="AK445" s="0" t="n">
        <f aca="false">W_PH(AK$2,$A445)</f>
        <v>3293.34109885893</v>
      </c>
      <c r="AL445" s="0" t="n">
        <f aca="false">W_PH(AL$2,$A445)</f>
        <v>3295.34809116295</v>
      </c>
      <c r="AM445" s="0" t="n">
        <f aca="false">W_PH(AM$2,$A445)</f>
        <v>3297.36999140259</v>
      </c>
      <c r="AN445" s="0" t="n">
        <f aca="false">W_PH(AN$2,$A445)</f>
        <v>3299.40906077293</v>
      </c>
      <c r="AO445" s="0" t="n">
        <f aca="false">W_PH(AO$2,$A445)</f>
        <v>3301.46756426446</v>
      </c>
      <c r="AP445" s="0" t="n">
        <f aca="false">W_PH(AP$2,$A445)</f>
        <v>2015</v>
      </c>
      <c r="AQ445" s="0" t="n">
        <f aca="false">W_PH(AQ$2,$A445)</f>
        <v>2015</v>
      </c>
      <c r="AR445" s="0" t="n">
        <f aca="false">W_PH(AR$2,$A445)</f>
        <v>2015</v>
      </c>
      <c r="AS445" s="0" t="n">
        <f aca="false">W_PH(AS$2,$A445)</f>
        <v>2015</v>
      </c>
    </row>
    <row r="446" customFormat="false" ht="12.8" hidden="false" customHeight="false" outlineLevel="0" collapsed="false">
      <c r="A446" s="0" t="n">
        <v>2605.33104041273</v>
      </c>
      <c r="B446" s="0" t="n">
        <f aca="false">W_PH(B$2,$A446)</f>
        <v>2015</v>
      </c>
      <c r="C446" s="0" t="n">
        <f aca="false">W_PH(C$2,$A446)</f>
        <v>3286.5505956214</v>
      </c>
      <c r="D446" s="0" t="n">
        <f aca="false">W_PH(D$2,$A446)</f>
        <v>3286.55079401421</v>
      </c>
      <c r="E446" s="0" t="n">
        <f aca="false">W_PH(E$2,$A446)</f>
        <v>3286.55099240703</v>
      </c>
      <c r="F446" s="0" t="n">
        <f aca="false">W_PH(F$2,$A446)</f>
        <v>3286.55119079987</v>
      </c>
      <c r="G446" s="0" t="n">
        <f aca="false">W_PH(G$2,$A446)</f>
        <v>3286.5531555814</v>
      </c>
      <c r="H446" s="0" t="n">
        <f aca="false">W_PH(H$2,$A446)</f>
        <v>3286.55512036463</v>
      </c>
      <c r="I446" s="0" t="n">
        <f aca="false">W_PH(I$2,$A446)</f>
        <v>3286.55708897912</v>
      </c>
      <c r="J446" s="0" t="n">
        <f aca="false">W_PH(J$2,$A446)</f>
        <v>3286.55905759531</v>
      </c>
      <c r="K446" s="0" t="n">
        <f aca="false">W_PH(K$2,$A446)</f>
        <v>3286.56101855404</v>
      </c>
      <c r="L446" s="0" t="n">
        <f aca="false">W_PH(L$2,$A446)</f>
        <v>3286.56298717363</v>
      </c>
      <c r="M446" s="0" t="n">
        <f aca="false">W_PH(M$2,$A446)</f>
        <v>3286.56495579493</v>
      </c>
      <c r="N446" s="0" t="n">
        <f aca="false">W_PH(N$2,$A446)</f>
        <v>3286.56692058835</v>
      </c>
      <c r="O446" s="0" t="n">
        <f aca="false">W_PH(O$2,$A446)</f>
        <v>3286.56888538347</v>
      </c>
      <c r="P446" s="0" t="n">
        <f aca="false">W_PH(P$2,$A446)</f>
        <v>3286.58855640682</v>
      </c>
      <c r="Q446" s="0" t="n">
        <f aca="false">W_PH(Q$2,$A446)</f>
        <v>3286.60821994439</v>
      </c>
      <c r="R446" s="0" t="n">
        <f aca="false">W_PH(R$2,$A446)</f>
        <v>3286.62788365773</v>
      </c>
      <c r="S446" s="0" t="n">
        <f aca="false">W_PH(S$2,$A446)</f>
        <v>3286.64755520876</v>
      </c>
      <c r="T446" s="0" t="n">
        <f aca="false">W_PH(T$2,$A446)</f>
        <v>3286.6672192808</v>
      </c>
      <c r="U446" s="0" t="n">
        <f aca="false">W_PH(U$2,$A446)</f>
        <v>3286.68688353566</v>
      </c>
      <c r="V446" s="0" t="n">
        <f aca="false">W_PH(V$2,$A446)</f>
        <v>3286.70655180565</v>
      </c>
      <c r="W446" s="0" t="n">
        <f aca="false">W_PH(W$2,$A446)</f>
        <v>3286.72622026326</v>
      </c>
      <c r="X446" s="0" t="n">
        <f aca="false">W_PH(X$2,$A446)</f>
        <v>3286.74588508085</v>
      </c>
      <c r="Y446" s="0" t="n">
        <f aca="false">W_PH(Y$2,$A446)</f>
        <v>3286.94256720217</v>
      </c>
      <c r="Z446" s="0" t="n">
        <f aca="false">W_PH(Z$2,$A446)</f>
        <v>3287.13926324745</v>
      </c>
      <c r="AA446" s="0" t="n">
        <f aca="false">W_PH(AA$2,$A446)</f>
        <v>3287.33597940019</v>
      </c>
      <c r="AB446" s="0" t="n">
        <f aca="false">W_PH(AB$2,$A446)</f>
        <v>3287.53272184573</v>
      </c>
      <c r="AC446" s="0" t="n">
        <f aca="false">W_PH(AC$2,$A446)</f>
        <v>3287.72948144182</v>
      </c>
      <c r="AD446" s="0" t="n">
        <f aca="false">W_PH(AD$2,$A446)</f>
        <v>3287.92627203744</v>
      </c>
      <c r="AE446" s="0" t="n">
        <f aca="false">W_PH(AE$2,$A446)</f>
        <v>3288.12309215404</v>
      </c>
      <c r="AF446" s="0" t="n">
        <f aca="false">W_PH(AF$2,$A446)</f>
        <v>3288.31994031114</v>
      </c>
      <c r="AG446" s="0" t="n">
        <f aca="false">W_PH(AG$2,$A446)</f>
        <v>3288.51682269476</v>
      </c>
      <c r="AH446" s="0" t="n">
        <f aca="false">W_PH(AH$2,$A446)</f>
        <v>3290.48799676285</v>
      </c>
      <c r="AI446" s="0" t="n">
        <f aca="false">W_PH(AI$2,$A446)</f>
        <v>3292.46498558467</v>
      </c>
      <c r="AJ446" s="0" t="n">
        <f aca="false">W_PH(AJ$2,$A446)</f>
        <v>3294.45004485304</v>
      </c>
      <c r="AK446" s="0" t="n">
        <f aca="false">W_PH(AK$2,$A446)</f>
        <v>3296.44542954574</v>
      </c>
      <c r="AL446" s="0" t="n">
        <f aca="false">W_PH(AL$2,$A446)</f>
        <v>3298.45339405454</v>
      </c>
      <c r="AM446" s="0" t="n">
        <f aca="false">W_PH(AM$2,$A446)</f>
        <v>3300.47618075993</v>
      </c>
      <c r="AN446" s="0" t="n">
        <f aca="false">W_PH(AN$2,$A446)</f>
        <v>3302.51604721034</v>
      </c>
      <c r="AO446" s="0" t="n">
        <f aca="false">W_PH(AO$2,$A446)</f>
        <v>3304.57525094422</v>
      </c>
      <c r="AP446" s="0" t="n">
        <f aca="false">W_PH(AP$2,$A446)</f>
        <v>2015</v>
      </c>
      <c r="AQ446" s="0" t="n">
        <f aca="false">W_PH(AQ$2,$A446)</f>
        <v>2015</v>
      </c>
      <c r="AR446" s="0" t="n">
        <f aca="false">W_PH(AR$2,$A446)</f>
        <v>2015</v>
      </c>
      <c r="AS446" s="0" t="n">
        <f aca="false">W_PH(AS$2,$A446)</f>
        <v>2015</v>
      </c>
    </row>
    <row r="447" customFormat="false" ht="12.8" hidden="false" customHeight="false" outlineLevel="0" collapsed="false">
      <c r="A447" s="0" t="n">
        <v>2609.63026655202</v>
      </c>
      <c r="B447" s="0" t="n">
        <f aca="false">W_PH(B$2,$A447)</f>
        <v>2015</v>
      </c>
      <c r="C447" s="0" t="n">
        <f aca="false">W_PH(C$2,$A447)</f>
        <v>3289.64472955925</v>
      </c>
      <c r="D447" s="0" t="n">
        <f aca="false">W_PH(D$2,$A447)</f>
        <v>3289.64492449842</v>
      </c>
      <c r="E447" s="0" t="n">
        <f aca="false">W_PH(E$2,$A447)</f>
        <v>3289.64511943761</v>
      </c>
      <c r="F447" s="0" t="n">
        <f aca="false">W_PH(F$2,$A447)</f>
        <v>3289.6453182029</v>
      </c>
      <c r="G447" s="0" t="n">
        <f aca="false">W_PH(G$2,$A447)</f>
        <v>3289.64728290019</v>
      </c>
      <c r="H447" s="0" t="n">
        <f aca="false">W_PH(H$2,$A447)</f>
        <v>3289.64925525134</v>
      </c>
      <c r="I447" s="0" t="n">
        <f aca="false">W_PH(I$2,$A447)</f>
        <v>3289.65121995198</v>
      </c>
      <c r="J447" s="0" t="n">
        <f aca="false">W_PH(J$2,$A447)</f>
        <v>3289.65318848039</v>
      </c>
      <c r="K447" s="0" t="n">
        <f aca="false">W_PH(K$2,$A447)</f>
        <v>3289.65515701047</v>
      </c>
      <c r="L447" s="0" t="n">
        <f aca="false">W_PH(L$2,$A447)</f>
        <v>3289.65712171613</v>
      </c>
      <c r="M447" s="0" t="n">
        <f aca="false">W_PH(M$2,$A447)</f>
        <v>3289.6590940757</v>
      </c>
      <c r="N447" s="0" t="n">
        <f aca="false">W_PH(N$2,$A447)</f>
        <v>3289.66105878472</v>
      </c>
      <c r="O447" s="0" t="n">
        <f aca="false">W_PH(O$2,$A447)</f>
        <v>3289.66302732155</v>
      </c>
      <c r="P447" s="0" t="n">
        <f aca="false">W_PH(P$2,$A447)</f>
        <v>3289.68270513098</v>
      </c>
      <c r="Q447" s="0" t="n">
        <f aca="false">W_PH(Q$2,$A447)</f>
        <v>3289.70238311179</v>
      </c>
      <c r="R447" s="0" t="n">
        <f aca="false">W_PH(R$2,$A447)</f>
        <v>3289.72206126635</v>
      </c>
      <c r="S447" s="0" t="n">
        <f aca="false">W_PH(S$2,$A447)</f>
        <v>3289.74173959699</v>
      </c>
      <c r="T447" s="0" t="n">
        <f aca="false">W_PH(T$2,$A447)</f>
        <v>3289.76141810606</v>
      </c>
      <c r="U447" s="0" t="n">
        <f aca="false">W_PH(U$2,$A447)</f>
        <v>3289.7810967959</v>
      </c>
      <c r="V447" s="0" t="n">
        <f aca="false">W_PH(V$2,$A447)</f>
        <v>3289.80077566885</v>
      </c>
      <c r="W447" s="0" t="n">
        <f aca="false">W_PH(W$2,$A447)</f>
        <v>3289.82045472726</v>
      </c>
      <c r="X447" s="0" t="n">
        <f aca="false">W_PH(X$2,$A447)</f>
        <v>3289.84013397346</v>
      </c>
      <c r="Y447" s="0" t="n">
        <f aca="false">W_PH(Y$2,$A447)</f>
        <v>3290.03693345301</v>
      </c>
      <c r="Z447" s="0" t="n">
        <f aca="false">W_PH(Z$2,$A447)</f>
        <v>3290.2337504617</v>
      </c>
      <c r="AA447" s="0" t="n">
        <f aca="false">W_PH(AA$2,$A447)</f>
        <v>3290.43058351344</v>
      </c>
      <c r="AB447" s="0" t="n">
        <f aca="false">W_PH(AB$2,$A447)</f>
        <v>3290.6274426054</v>
      </c>
      <c r="AC447" s="0" t="n">
        <f aca="false">W_PH(AC$2,$A447)</f>
        <v>3290.82432242304</v>
      </c>
      <c r="AD447" s="0" t="n">
        <f aca="false">W_PH(AD$2,$A447)</f>
        <v>3291.02123296526</v>
      </c>
      <c r="AE447" s="0" t="n">
        <f aca="false">W_PH(AE$2,$A447)</f>
        <v>3291.21816891561</v>
      </c>
      <c r="AF447" s="0" t="n">
        <f aca="false">W_PH(AF$2,$A447)</f>
        <v>3291.41514027476</v>
      </c>
      <c r="AG447" s="0" t="n">
        <f aca="false">W_PH(AG$2,$A447)</f>
        <v>3291.61214172432</v>
      </c>
      <c r="AH447" s="0" t="n">
        <f aca="false">W_PH(AH$2,$A447)</f>
        <v>3293.58447175076</v>
      </c>
      <c r="AI447" s="0" t="n">
        <f aca="false">W_PH(AI$2,$A447)</f>
        <v>3295.56258863465</v>
      </c>
      <c r="AJ447" s="0" t="n">
        <f aca="false">W_PH(AJ$2,$A447)</f>
        <v>3297.5487289632</v>
      </c>
      <c r="AK447" s="0" t="n">
        <f aca="false">W_PH(AK$2,$A447)</f>
        <v>3299.54513246344</v>
      </c>
      <c r="AL447" s="0" t="n">
        <f aca="false">W_PH(AL$2,$A447)</f>
        <v>3301.55404215246</v>
      </c>
      <c r="AM447" s="0" t="n">
        <f aca="false">W_PH(AM$2,$A447)</f>
        <v>3303.57769680084</v>
      </c>
      <c r="AN447" s="0" t="n">
        <f aca="false">W_PH(AN$2,$A447)</f>
        <v>3305.61834267958</v>
      </c>
      <c r="AO447" s="0" t="n">
        <f aca="false">W_PH(AO$2,$A447)</f>
        <v>3307.67822221771</v>
      </c>
      <c r="AP447" s="0" t="n">
        <f aca="false">W_PH(AP$2,$A447)</f>
        <v>2015</v>
      </c>
      <c r="AQ447" s="0" t="n">
        <f aca="false">W_PH(AQ$2,$A447)</f>
        <v>2015</v>
      </c>
      <c r="AR447" s="0" t="n">
        <f aca="false">W_PH(AR$2,$A447)</f>
        <v>2015</v>
      </c>
      <c r="AS447" s="0" t="n">
        <f aca="false">W_PH(AS$2,$A447)</f>
        <v>2015</v>
      </c>
    </row>
    <row r="448" customFormat="false" ht="12.8" hidden="false" customHeight="false" outlineLevel="0" collapsed="false">
      <c r="A448" s="0" t="n">
        <v>2613.92949269132</v>
      </c>
      <c r="B448" s="0" t="n">
        <f aca="false">W_PH(B$2,$A448)</f>
        <v>2015</v>
      </c>
      <c r="C448" s="0" t="n">
        <f aca="false">W_PH(C$2,$A448)</f>
        <v>3292.73434966876</v>
      </c>
      <c r="D448" s="0" t="n">
        <f aca="false">W_PH(D$2,$A448)</f>
        <v>3292.73454880192</v>
      </c>
      <c r="E448" s="0" t="n">
        <f aca="false">W_PH(E$2,$A448)</f>
        <v>3292.73474411248</v>
      </c>
      <c r="F448" s="0" t="n">
        <f aca="false">W_PH(F$2,$A448)</f>
        <v>3292.73493942304</v>
      </c>
      <c r="G448" s="0" t="n">
        <f aca="false">W_PH(G$2,$A448)</f>
        <v>3292.73690782014</v>
      </c>
      <c r="H448" s="0" t="n">
        <f aca="false">W_PH(H$2,$A448)</f>
        <v>3292.73887621889</v>
      </c>
      <c r="I448" s="0" t="n">
        <f aca="false">W_PH(I$2,$A448)</f>
        <v>3292.74084844193</v>
      </c>
      <c r="J448" s="0" t="n">
        <f aca="false">W_PH(J$2,$A448)</f>
        <v>3292.74281684399</v>
      </c>
      <c r="K448" s="0" t="n">
        <f aca="false">W_PH(K$2,$A448)</f>
        <v>3292.74478524771</v>
      </c>
      <c r="L448" s="0" t="n">
        <f aca="false">W_PH(L$2,$A448)</f>
        <v>3292.74675747574</v>
      </c>
      <c r="M448" s="0" t="n">
        <f aca="false">W_PH(M$2,$A448)</f>
        <v>3292.74872588278</v>
      </c>
      <c r="N448" s="0" t="n">
        <f aca="false">W_PH(N$2,$A448)</f>
        <v>3292.75069429149</v>
      </c>
      <c r="O448" s="0" t="n">
        <f aca="false">W_PH(O$2,$A448)</f>
        <v>3292.75266270186</v>
      </c>
      <c r="P448" s="0" t="n">
        <f aca="false">W_PH(P$2,$A448)</f>
        <v>3292.77235072048</v>
      </c>
      <c r="Q448" s="0" t="n">
        <f aca="false">W_PH(Q$2,$A448)</f>
        <v>3292.79203890842</v>
      </c>
      <c r="R448" s="0" t="n">
        <f aca="false">W_PH(R$2,$A448)</f>
        <v>3292.8117310908</v>
      </c>
      <c r="S448" s="0" t="n">
        <f aca="false">W_PH(S$2,$A448)</f>
        <v>3292.83142344725</v>
      </c>
      <c r="T448" s="0" t="n">
        <f aca="false">W_PH(T$2,$A448)</f>
        <v>3292.85110833431</v>
      </c>
      <c r="U448" s="0" t="n">
        <f aca="false">W_PH(U$2,$A448)</f>
        <v>3292.8708010458</v>
      </c>
      <c r="V448" s="0" t="n">
        <f aca="false">W_PH(V$2,$A448)</f>
        <v>3292.89049393835</v>
      </c>
      <c r="W448" s="0" t="n">
        <f aca="false">W_PH(W$2,$A448)</f>
        <v>3292.91018319126</v>
      </c>
      <c r="X448" s="0" t="n">
        <f aca="false">W_PH(X$2,$A448)</f>
        <v>3292.92987262981</v>
      </c>
      <c r="Y448" s="0" t="n">
        <f aca="false">W_PH(Y$2,$A448)</f>
        <v>3293.12678920875</v>
      </c>
      <c r="Z448" s="0" t="n">
        <f aca="false">W_PH(Z$2,$A448)</f>
        <v>3293.3237230947</v>
      </c>
      <c r="AA448" s="0" t="n">
        <f aca="false">W_PH(AA$2,$A448)</f>
        <v>3293.52067661793</v>
      </c>
      <c r="AB448" s="0" t="n">
        <f aca="false">W_PH(AB$2,$A448)</f>
        <v>3293.71765210866</v>
      </c>
      <c r="AC448" s="0" t="n">
        <f aca="false">W_PH(AC$2,$A448)</f>
        <v>3293.91464807171</v>
      </c>
      <c r="AD448" s="0" t="n">
        <f aca="false">W_PH(AD$2,$A448)</f>
        <v>3294.11167448748</v>
      </c>
      <c r="AE448" s="0" t="n">
        <f aca="false">W_PH(AE$2,$A448)</f>
        <v>3294.30872603493</v>
      </c>
      <c r="AF448" s="0" t="n">
        <f aca="false">W_PH(AF$2,$A448)</f>
        <v>3294.50581269618</v>
      </c>
      <c r="AG448" s="0" t="n">
        <f aca="false">W_PH(AG$2,$A448)</f>
        <v>3294.7029291483</v>
      </c>
      <c r="AH448" s="0" t="n">
        <f aca="false">W_PH(AH$2,$A448)</f>
        <v>3296.67640538254</v>
      </c>
      <c r="AI448" s="0" t="n">
        <f aca="false">W_PH(AI$2,$A448)</f>
        <v>3298.65562186663</v>
      </c>
      <c r="AJ448" s="0" t="n">
        <f aca="false">W_PH(AJ$2,$A448)</f>
        <v>3300.64281531625</v>
      </c>
      <c r="AK448" s="0" t="n">
        <f aca="false">W_PH(AK$2,$A448)</f>
        <v>3302.64022183319</v>
      </c>
      <c r="AL448" s="0" t="n">
        <f aca="false">W_PH(AL$2,$A448)</f>
        <v>3304.65006163382</v>
      </c>
      <c r="AM448" s="0" t="n">
        <f aca="false">W_PH(AM$2,$A448)</f>
        <v>3306.67456994506</v>
      </c>
      <c r="AN448" s="0" t="n">
        <f aca="false">W_PH(AN$2,$A448)</f>
        <v>3308.71597412613</v>
      </c>
      <c r="AO448" s="0" t="n">
        <f aca="false">W_PH(AO$2,$A448)</f>
        <v>3310.77650928279</v>
      </c>
      <c r="AP448" s="0" t="n">
        <f aca="false">W_PH(AP$2,$A448)</f>
        <v>2015</v>
      </c>
      <c r="AQ448" s="0" t="n">
        <f aca="false">W_PH(AQ$2,$A448)</f>
        <v>2015</v>
      </c>
      <c r="AR448" s="0" t="n">
        <f aca="false">W_PH(AR$2,$A448)</f>
        <v>2015</v>
      </c>
      <c r="AS448" s="0" t="n">
        <f aca="false">W_PH(AS$2,$A448)</f>
        <v>2015</v>
      </c>
    </row>
    <row r="449" customFormat="false" ht="12.8" hidden="false" customHeight="false" outlineLevel="0" collapsed="false">
      <c r="A449" s="0" t="n">
        <v>2618.22871883061</v>
      </c>
      <c r="B449" s="0" t="n">
        <f aca="false">W_PH(B$2,$A449)</f>
        <v>2015</v>
      </c>
      <c r="C449" s="0" t="n">
        <f aca="false">W_PH(C$2,$A449)</f>
        <v>3295.81949095957</v>
      </c>
      <c r="D449" s="0" t="n">
        <f aca="false">W_PH(D$2,$A449)</f>
        <v>3295.81968281779</v>
      </c>
      <c r="E449" s="0" t="n">
        <f aca="false">W_PH(E$2,$A449)</f>
        <v>3295.81988231438</v>
      </c>
      <c r="F449" s="0" t="n">
        <f aca="false">W_PH(F$2,$A449)</f>
        <v>3295.82008181098</v>
      </c>
      <c r="G449" s="0" t="n">
        <f aca="false">W_PH(G$2,$A449)</f>
        <v>3295.82204622451</v>
      </c>
      <c r="H449" s="0" t="n">
        <f aca="false">W_PH(H$2,$A449)</f>
        <v>3295.82401827803</v>
      </c>
      <c r="I449" s="0" t="n">
        <f aca="false">W_PH(I$2,$A449)</f>
        <v>3295.8259903332</v>
      </c>
      <c r="J449" s="0" t="n">
        <f aca="false">W_PH(J$2,$A449)</f>
        <v>3295.82796239</v>
      </c>
      <c r="K449" s="0" t="n">
        <f aca="false">W_PH(K$2,$A449)</f>
        <v>3295.82992681004</v>
      </c>
      <c r="L449" s="0" t="n">
        <f aca="false">W_PH(L$2,$A449)</f>
        <v>3295.83189887012</v>
      </c>
      <c r="M449" s="0" t="n">
        <f aca="false">W_PH(M$2,$A449)</f>
        <v>3295.83387093185</v>
      </c>
      <c r="N449" s="0" t="n">
        <f aca="false">W_PH(N$2,$A449)</f>
        <v>3295.83584299523</v>
      </c>
      <c r="O449" s="0" t="n">
        <f aca="false">W_PH(O$2,$A449)</f>
        <v>3295.83780742182</v>
      </c>
      <c r="P449" s="0" t="n">
        <f aca="false">W_PH(P$2,$A449)</f>
        <v>3295.85751288639</v>
      </c>
      <c r="Q449" s="0" t="n">
        <f aca="false">W_PH(Q$2,$A449)</f>
        <v>3295.87721087977</v>
      </c>
      <c r="R449" s="0" t="n">
        <f aca="false">W_PH(R$2,$A449)</f>
        <v>3295.89691668143</v>
      </c>
      <c r="S449" s="0" t="n">
        <f aca="false">W_PH(S$2,$A449)</f>
        <v>3295.91661501637</v>
      </c>
      <c r="T449" s="0" t="n">
        <f aca="false">W_PH(T$2,$A449)</f>
        <v>3295.93631734497</v>
      </c>
      <c r="U449" s="0" t="n">
        <f aca="false">W_PH(U$2,$A449)</f>
        <v>3295.9560198502</v>
      </c>
      <c r="V449" s="0" t="n">
        <f aca="false">W_PH(V$2,$A449)</f>
        <v>3295.97571871484</v>
      </c>
      <c r="W449" s="0" t="n">
        <f aca="false">W_PH(W$2,$A449)</f>
        <v>3295.99542539981</v>
      </c>
      <c r="X449" s="0" t="n">
        <f aca="false">W_PH(X$2,$A449)</f>
        <v>3296.01512462921</v>
      </c>
      <c r="Y449" s="0" t="n">
        <f aca="false">W_PH(Y$2,$A449)</f>
        <v>3296.21215808654</v>
      </c>
      <c r="Z449" s="0" t="n">
        <f aca="false">W_PH(Z$2,$A449)</f>
        <v>3296.40920481181</v>
      </c>
      <c r="AA449" s="0" t="n">
        <f aca="false">W_PH(AA$2,$A449)</f>
        <v>3296.6062747644</v>
      </c>
      <c r="AB449" s="0" t="n">
        <f aca="false">W_PH(AB$2,$A449)</f>
        <v>3296.80336262154</v>
      </c>
      <c r="AC449" s="0" t="n">
        <f aca="false">W_PH(AC$2,$A449)</f>
        <v>3297.00047834435</v>
      </c>
      <c r="AD449" s="0" t="n">
        <f aca="false">W_PH(AD$2,$A449)</f>
        <v>3297.19761660818</v>
      </c>
      <c r="AE449" s="0" t="n">
        <f aca="false">W_PH(AE$2,$A449)</f>
        <v>3297.39477973033</v>
      </c>
      <c r="AF449" s="0" t="n">
        <f aca="false">W_PH(AF$2,$A449)</f>
        <v>3297.5919776745</v>
      </c>
      <c r="AG449" s="0" t="n">
        <f aca="false">W_PH(AG$2,$A449)</f>
        <v>3297.7892127606</v>
      </c>
      <c r="AH449" s="0" t="n">
        <f aca="false">W_PH(AH$2,$A449)</f>
        <v>3299.76380287924</v>
      </c>
      <c r="AI449" s="0" t="n">
        <f aca="false">W_PH(AI$2,$A449)</f>
        <v>3301.7441062481</v>
      </c>
      <c r="AJ449" s="0" t="n">
        <f aca="false">W_PH(AJ$2,$A449)</f>
        <v>3303.73234065477</v>
      </c>
      <c r="AK449" s="0" t="n">
        <f aca="false">W_PH(AK$2,$A449)</f>
        <v>3305.73071943694</v>
      </c>
      <c r="AL449" s="0" t="n">
        <f aca="false">W_PH(AL$2,$A449)</f>
        <v>3307.74147081322</v>
      </c>
      <c r="AM449" s="0" t="n">
        <f aca="false">W_PH(AM$2,$A449)</f>
        <v>3309.76680732307</v>
      </c>
      <c r="AN449" s="0" t="n">
        <f aca="false">W_PH(AN$2,$A449)</f>
        <v>3311.80895675237</v>
      </c>
      <c r="AO449" s="0" t="n">
        <f aca="false">W_PH(AO$2,$A449)</f>
        <v>3313.87012770442</v>
      </c>
      <c r="AP449" s="0" t="n">
        <f aca="false">W_PH(AP$2,$A449)</f>
        <v>2015</v>
      </c>
      <c r="AQ449" s="0" t="n">
        <f aca="false">W_PH(AQ$2,$A449)</f>
        <v>2015</v>
      </c>
      <c r="AR449" s="0" t="n">
        <f aca="false">W_PH(AR$2,$A449)</f>
        <v>2015</v>
      </c>
      <c r="AS449" s="0" t="n">
        <f aca="false">W_PH(AS$2,$A449)</f>
        <v>2015</v>
      </c>
    </row>
    <row r="450" customFormat="false" ht="12.8" hidden="false" customHeight="false" outlineLevel="0" collapsed="false">
      <c r="A450" s="0" t="n">
        <v>2622.52794496991</v>
      </c>
      <c r="B450" s="0" t="n">
        <f aca="false">W_PH(B$2,$A450)</f>
        <v>2015</v>
      </c>
      <c r="C450" s="0" t="n">
        <f aca="false">W_PH(C$2,$A450)</f>
        <v>3298.90015773937</v>
      </c>
      <c r="D450" s="0" t="n">
        <f aca="false">W_PH(D$2,$A450)</f>
        <v>3298.90035759491</v>
      </c>
      <c r="E450" s="0" t="n">
        <f aca="false">W_PH(E$2,$A450)</f>
        <v>3298.90055745047</v>
      </c>
      <c r="F450" s="0" t="n">
        <f aca="false">W_PH(F$2,$A450)</f>
        <v>3298.90074967456</v>
      </c>
      <c r="G450" s="0" t="n">
        <f aca="false">W_PH(G$2,$A450)</f>
        <v>3298.90272533673</v>
      </c>
      <c r="H450" s="0" t="n">
        <f aca="false">W_PH(H$2,$A450)</f>
        <v>3298.90469336901</v>
      </c>
      <c r="I450" s="0" t="n">
        <f aca="false">W_PH(I$2,$A450)</f>
        <v>3298.90666521866</v>
      </c>
      <c r="J450" s="0" t="n">
        <f aca="false">W_PH(J$2,$A450)</f>
        <v>3298.90863706992</v>
      </c>
      <c r="K450" s="0" t="n">
        <f aca="false">W_PH(K$2,$A450)</f>
        <v>3298.91060510704</v>
      </c>
      <c r="L450" s="0" t="n">
        <f aca="false">W_PH(L$2,$A450)</f>
        <v>3298.91258077732</v>
      </c>
      <c r="M450" s="0" t="n">
        <f aca="false">W_PH(M$2,$A450)</f>
        <v>3298.91454881768</v>
      </c>
      <c r="N450" s="0" t="n">
        <f aca="false">W_PH(N$2,$A450)</f>
        <v>3298.91652449121</v>
      </c>
      <c r="O450" s="0" t="n">
        <f aca="false">W_PH(O$2,$A450)</f>
        <v>3298.91849253482</v>
      </c>
      <c r="P450" s="0" t="n">
        <f aca="false">W_PH(P$2,$A450)</f>
        <v>3298.93820358715</v>
      </c>
      <c r="Q450" s="0" t="n">
        <f aca="false">W_PH(Q$2,$A450)</f>
        <v>3298.95791862066</v>
      </c>
      <c r="R450" s="0" t="n">
        <f aca="false">W_PH(R$2,$A450)</f>
        <v>3298.97763000597</v>
      </c>
      <c r="S450" s="0" t="n">
        <f aca="false">W_PH(S$2,$A450)</f>
        <v>3298.99734537717</v>
      </c>
      <c r="T450" s="0" t="n">
        <f aca="false">W_PH(T$2,$A450)</f>
        <v>3299.01705710469</v>
      </c>
      <c r="U450" s="0" t="n">
        <f aca="false">W_PH(U$2,$A450)</f>
        <v>3299.03676900675</v>
      </c>
      <c r="V450" s="0" t="n">
        <f aca="false">W_PH(V$2,$A450)</f>
        <v>3299.05648108568</v>
      </c>
      <c r="W450" s="0" t="n">
        <f aca="false">W_PH(W$2,$A450)</f>
        <v>3299.07619334377</v>
      </c>
      <c r="X450" s="0" t="n">
        <f aca="false">W_PH(X$2,$A450)</f>
        <v>3299.09590959951</v>
      </c>
      <c r="Y450" s="0" t="n">
        <f aca="false">W_PH(Y$2,$A450)</f>
        <v>3299.29305593442</v>
      </c>
      <c r="Z450" s="0" t="n">
        <f aca="false">W_PH(Z$2,$A450)</f>
        <v>3299.4902153248</v>
      </c>
      <c r="AA450" s="0" t="n">
        <f aca="false">W_PH(AA$2,$A450)</f>
        <v>3299.68739771173</v>
      </c>
      <c r="AB450" s="0" t="n">
        <f aca="false">W_PH(AB$2,$A450)</f>
        <v>3299.88459776796</v>
      </c>
      <c r="AC450" s="0" t="n">
        <f aca="false">W_PH(AC$2,$A450)</f>
        <v>3300.08182543628</v>
      </c>
      <c r="AD450" s="0" t="n">
        <f aca="false">W_PH(AD$2,$A450)</f>
        <v>3300.27907156874</v>
      </c>
      <c r="AE450" s="0" t="n">
        <f aca="false">W_PH(AE$2,$A450)</f>
        <v>3300.47635374711</v>
      </c>
      <c r="AF450" s="0" t="n">
        <f aca="false">W_PH(AF$2,$A450)</f>
        <v>3300.67366282206</v>
      </c>
      <c r="AG450" s="0" t="n">
        <f aca="false">W_PH(AG$2,$A450)</f>
        <v>3300.87100491964</v>
      </c>
      <c r="AH450" s="0" t="n">
        <f aca="false">W_PH(AH$2,$A450)</f>
        <v>3302.84669233352</v>
      </c>
      <c r="AI450" s="0" t="n">
        <f aca="false">W_PH(AI$2,$A450)</f>
        <v>3304.82805877921</v>
      </c>
      <c r="AJ450" s="0" t="n">
        <f aca="false">W_PH(AJ$2,$A450)</f>
        <v>3306.81731085291</v>
      </c>
      <c r="AK450" s="0" t="n">
        <f aca="false">W_PH(AK$2,$A450)</f>
        <v>3308.81664690706</v>
      </c>
      <c r="AL450" s="0" t="n">
        <f aca="false">W_PH(AL$2,$A450)</f>
        <v>3310.82829170689</v>
      </c>
      <c r="AM450" s="0" t="n">
        <f aca="false">W_PH(AM$2,$A450)</f>
        <v>3312.85444288545</v>
      </c>
      <c r="AN450" s="0" t="n">
        <f aca="false">W_PH(AN$2,$A450)</f>
        <v>3314.89731332514</v>
      </c>
      <c r="AO450" s="0" t="n">
        <f aca="false">W_PH(AO$2,$A450)</f>
        <v>3316.95910832172</v>
      </c>
      <c r="AP450" s="0" t="n">
        <f aca="false">W_PH(AP$2,$A450)</f>
        <v>2015</v>
      </c>
      <c r="AQ450" s="0" t="n">
        <f aca="false">W_PH(AQ$2,$A450)</f>
        <v>2015</v>
      </c>
      <c r="AR450" s="0" t="n">
        <f aca="false">W_PH(AR$2,$A450)</f>
        <v>2015</v>
      </c>
      <c r="AS450" s="0" t="n">
        <f aca="false">W_PH(AS$2,$A450)</f>
        <v>2015</v>
      </c>
    </row>
    <row r="451" customFormat="false" ht="12.8" hidden="false" customHeight="false" outlineLevel="0" collapsed="false">
      <c r="A451" s="0" t="n">
        <v>2626.8271711092</v>
      </c>
      <c r="B451" s="0" t="n">
        <f aca="false">W_PH(B$2,$A451)</f>
        <v>2015</v>
      </c>
      <c r="C451" s="0" t="n">
        <f aca="false">W_PH(C$2,$A451)</f>
        <v>3301.97638474964</v>
      </c>
      <c r="D451" s="0" t="n">
        <f aca="false">W_PH(D$2,$A451)</f>
        <v>3301.97658495975</v>
      </c>
      <c r="E451" s="0" t="n">
        <f aca="false">W_PH(E$2,$A451)</f>
        <v>3301.97678135756</v>
      </c>
      <c r="F451" s="0" t="n">
        <f aca="false">W_PH(F$2,$A451)</f>
        <v>3301.97697775538</v>
      </c>
      <c r="G451" s="0" t="n">
        <f aca="false">W_PH(G$2,$A451)</f>
        <v>3301.97894935915</v>
      </c>
      <c r="H451" s="0" t="n">
        <f aca="false">W_PH(H$2,$A451)</f>
        <v>3301.98092096452</v>
      </c>
      <c r="I451" s="0" t="n">
        <f aca="false">W_PH(I$2,$A451)</f>
        <v>3301.9828963838</v>
      </c>
      <c r="J451" s="0" t="n">
        <f aca="false">W_PH(J$2,$A451)</f>
        <v>3301.98486799235</v>
      </c>
      <c r="K451" s="0" t="n">
        <f aca="false">W_PH(K$2,$A451)</f>
        <v>3301.98684341484</v>
      </c>
      <c r="L451" s="0" t="n">
        <f aca="false">W_PH(L$2,$A451)</f>
        <v>3301.9888150266</v>
      </c>
      <c r="M451" s="0" t="n">
        <f aca="false">W_PH(M$2,$A451)</f>
        <v>3301.99078663996</v>
      </c>
      <c r="N451" s="0" t="n">
        <f aca="false">W_PH(N$2,$A451)</f>
        <v>3301.99275825492</v>
      </c>
      <c r="O451" s="0" t="n">
        <f aca="false">W_PH(O$2,$A451)</f>
        <v>3301.99472987149</v>
      </c>
      <c r="P451" s="0" t="n">
        <f aca="false">W_PH(P$2,$A451)</f>
        <v>3302.01445375087</v>
      </c>
      <c r="Q451" s="0" t="n">
        <f aca="false">W_PH(Q$2,$A451)</f>
        <v>3302.03417779365</v>
      </c>
      <c r="R451" s="0" t="n">
        <f aca="false">W_PH(R$2,$A451)</f>
        <v>3302.05390200211</v>
      </c>
      <c r="S451" s="0" t="n">
        <f aca="false">W_PH(S$2,$A451)</f>
        <v>3302.07362637857</v>
      </c>
      <c r="T451" s="0" t="n">
        <f aca="false">W_PH(T$2,$A451)</f>
        <v>3302.09335092531</v>
      </c>
      <c r="U451" s="0" t="n">
        <f aca="false">W_PH(U$2,$A451)</f>
        <v>3302.11307564463</v>
      </c>
      <c r="V451" s="0" t="n">
        <f aca="false">W_PH(V$2,$A451)</f>
        <v>3302.13280053883</v>
      </c>
      <c r="W451" s="0" t="n">
        <f aca="false">W_PH(W$2,$A451)</f>
        <v>3302.15252561021</v>
      </c>
      <c r="X451" s="0" t="n">
        <f aca="false">W_PH(X$2,$A451)</f>
        <v>3302.17224704831</v>
      </c>
      <c r="Y451" s="0" t="n">
        <f aca="false">W_PH(Y$2,$A451)</f>
        <v>3302.36950230656</v>
      </c>
      <c r="Z451" s="0" t="n">
        <f aca="false">W_PH(Z$2,$A451)</f>
        <v>3302.56677422403</v>
      </c>
      <c r="AA451" s="0" t="n">
        <f aca="false">W_PH(AA$2,$A451)</f>
        <v>3302.76406509678</v>
      </c>
      <c r="AB451" s="0" t="n">
        <f aca="false">W_PH(AB$2,$A451)</f>
        <v>3302.96137722083</v>
      </c>
      <c r="AC451" s="0" t="n">
        <f aca="false">W_PH(AC$2,$A451)</f>
        <v>3303.15871289218</v>
      </c>
      <c r="AD451" s="0" t="n">
        <f aca="false">W_PH(AD$2,$A451)</f>
        <v>3303.35607440681</v>
      </c>
      <c r="AE451" s="0" t="n">
        <f aca="false">W_PH(AE$2,$A451)</f>
        <v>3303.55346406067</v>
      </c>
      <c r="AF451" s="0" t="n">
        <f aca="false">W_PH(AF$2,$A451)</f>
        <v>3303.7508803334</v>
      </c>
      <c r="AG451" s="0" t="n">
        <f aca="false">W_PH(AG$2,$A451)</f>
        <v>3303.948333153</v>
      </c>
      <c r="AH451" s="0" t="n">
        <f aca="false">W_PH(AH$2,$A451)</f>
        <v>3305.92510167847</v>
      </c>
      <c r="AI451" s="0" t="n">
        <f aca="false">W_PH(AI$2,$A451)</f>
        <v>3307.90750781363</v>
      </c>
      <c r="AJ451" s="0" t="n">
        <f aca="false">W_PH(AJ$2,$A451)</f>
        <v>3309.89775084869</v>
      </c>
      <c r="AK451" s="0" t="n">
        <f aca="false">W_PH(AK$2,$A451)</f>
        <v>3311.8980295617</v>
      </c>
      <c r="AL451" s="0" t="n">
        <f aca="false">W_PH(AL$2,$A451)</f>
        <v>3313.91054233974</v>
      </c>
      <c r="AM451" s="0" t="n">
        <f aca="false">W_PH(AM$2,$A451)</f>
        <v>3315.93749116921</v>
      </c>
      <c r="AN451" s="0" t="n">
        <f aca="false">W_PH(AN$2,$A451)</f>
        <v>3317.98106644751</v>
      </c>
      <c r="AO451" s="0" t="n">
        <f aca="false">W_PH(AO$2,$A451)</f>
        <v>3320.04347022549</v>
      </c>
      <c r="AP451" s="0" t="n">
        <f aca="false">W_PH(AP$2,$A451)</f>
        <v>2015</v>
      </c>
      <c r="AQ451" s="0" t="n">
        <f aca="false">W_PH(AQ$2,$A451)</f>
        <v>2015</v>
      </c>
      <c r="AR451" s="0" t="n">
        <f aca="false">W_PH(AR$2,$A451)</f>
        <v>2015</v>
      </c>
      <c r="AS451" s="0" t="n">
        <f aca="false">W_PH(AS$2,$A451)</f>
        <v>2015</v>
      </c>
    </row>
    <row r="452" customFormat="false" ht="12.8" hidden="false" customHeight="false" outlineLevel="0" collapsed="false">
      <c r="A452" s="0" t="n">
        <v>2631.1263972485</v>
      </c>
      <c r="B452" s="0" t="n">
        <f aca="false">W_PH(B$2,$A452)</f>
        <v>2015</v>
      </c>
      <c r="C452" s="0" t="n">
        <f aca="false">W_PH(C$2,$A452)</f>
        <v>3305.0481913229</v>
      </c>
      <c r="D452" s="0" t="n">
        <f aca="false">W_PH(D$2,$A452)</f>
        <v>3305.04838426543</v>
      </c>
      <c r="E452" s="0" t="n">
        <f aca="false">W_PH(E$2,$A452)</f>
        <v>3305.04858482578</v>
      </c>
      <c r="F452" s="0" t="n">
        <f aca="false">W_PH(F$2,$A452)</f>
        <v>3305.04878157724</v>
      </c>
      <c r="G452" s="0" t="n">
        <f aca="false">W_PH(G$2,$A452)</f>
        <v>3305.05075290163</v>
      </c>
      <c r="H452" s="0" t="n">
        <f aca="false">W_PH(H$2,$A452)</f>
        <v>3305.05272803651</v>
      </c>
      <c r="I452" s="0" t="n">
        <f aca="false">W_PH(I$2,$A452)</f>
        <v>3305.05470317296</v>
      </c>
      <c r="J452" s="0" t="n">
        <f aca="false">W_PH(J$2,$A452)</f>
        <v>3305.05667450208</v>
      </c>
      <c r="K452" s="0" t="n">
        <f aca="false">W_PH(K$2,$A452)</f>
        <v>3305.05864583277</v>
      </c>
      <c r="L452" s="0" t="n">
        <f aca="false">W_PH(L$2,$A452)</f>
        <v>3305.06062097397</v>
      </c>
      <c r="M452" s="0" t="n">
        <f aca="false">W_PH(M$2,$A452)</f>
        <v>3305.06259611675</v>
      </c>
      <c r="N452" s="0" t="n">
        <f aca="false">W_PH(N$2,$A452)</f>
        <v>3305.06457126113</v>
      </c>
      <c r="O452" s="0" t="n">
        <f aca="false">W_PH(O$2,$A452)</f>
        <v>3305.06654259816</v>
      </c>
      <c r="P452" s="0" t="n">
        <f aca="false">W_PH(P$2,$A452)</f>
        <v>3305.08627510103</v>
      </c>
      <c r="Q452" s="0" t="n">
        <f aca="false">W_PH(Q$2,$A452)</f>
        <v>3305.10601157433</v>
      </c>
      <c r="R452" s="0" t="n">
        <f aca="false">W_PH(R$2,$A452)</f>
        <v>3305.12574821143</v>
      </c>
      <c r="S452" s="0" t="n">
        <f aca="false">W_PH(S$2,$A452)</f>
        <v>3305.14548120547</v>
      </c>
      <c r="T452" s="0" t="n">
        <f aca="false">W_PH(T$2,$A452)</f>
        <v>3305.16521436778</v>
      </c>
      <c r="U452" s="0" t="n">
        <f aca="false">W_PH(U$2,$A452)</f>
        <v>3305.18495150985</v>
      </c>
      <c r="V452" s="0" t="n">
        <f aca="false">W_PH(V$2,$A452)</f>
        <v>3305.20468882485</v>
      </c>
      <c r="W452" s="0" t="n">
        <f aca="false">W_PH(W$2,$A452)</f>
        <v>3305.22441869648</v>
      </c>
      <c r="X452" s="0" t="n">
        <f aca="false">W_PH(X$2,$A452)</f>
        <v>3305.2441563641</v>
      </c>
      <c r="Y452" s="0" t="n">
        <f aca="false">W_PH(Y$2,$A452)</f>
        <v>3305.44152044719</v>
      </c>
      <c r="Z452" s="0" t="n">
        <f aca="false">W_PH(Z$2,$A452)</f>
        <v>3305.6389009796</v>
      </c>
      <c r="AA452" s="0" t="n">
        <f aca="false">W_PH(AA$2,$A452)</f>
        <v>3305.83630024617</v>
      </c>
      <c r="AB452" s="0" t="n">
        <f aca="false">W_PH(AB$2,$A452)</f>
        <v>3306.03372053169</v>
      </c>
      <c r="AC452" s="0" t="n">
        <f aca="false">W_PH(AC$2,$A452)</f>
        <v>3306.23116412092</v>
      </c>
      <c r="AD452" s="0" t="n">
        <f aca="false">W_PH(AD$2,$A452)</f>
        <v>3306.42863329863</v>
      </c>
      <c r="AE452" s="0" t="n">
        <f aca="false">W_PH(AE$2,$A452)</f>
        <v>3306.62612653716</v>
      </c>
      <c r="AF452" s="0" t="n">
        <f aca="false">W_PH(AF$2,$A452)</f>
        <v>3306.82365755834</v>
      </c>
      <c r="AG452" s="0" t="n">
        <f aca="false">W_PH(AG$2,$A452)</f>
        <v>3307.02121720974</v>
      </c>
      <c r="AH452" s="0" t="n">
        <f aca="false">W_PH(AH$2,$A452)</f>
        <v>3308.9990357838</v>
      </c>
      <c r="AI452" s="0" t="n">
        <f aca="false">W_PH(AI$2,$A452)</f>
        <v>3310.98246625369</v>
      </c>
      <c r="AJ452" s="0" t="n">
        <f aca="false">W_PH(AJ$2,$A452)</f>
        <v>3312.97368542452</v>
      </c>
      <c r="AK452" s="0" t="n">
        <f aca="false">W_PH(AK$2,$A452)</f>
        <v>3314.97488489764</v>
      </c>
      <c r="AL452" s="0" t="n">
        <f aca="false">W_PH(AL$2,$A452)</f>
        <v>3316.98825593679</v>
      </c>
      <c r="AM452" s="0" t="n">
        <f aca="false">W_PH(AM$2,$A452)</f>
        <v>3319.01597426104</v>
      </c>
      <c r="AN452" s="0" t="n">
        <f aca="false">W_PH(AN$2,$A452)</f>
        <v>3321.06023856068</v>
      </c>
      <c r="AO452" s="0" t="n">
        <f aca="false">W_PH(AO$2,$A452)</f>
        <v>3323.12323235523</v>
      </c>
      <c r="AP452" s="0" t="n">
        <f aca="false">W_PH(AP$2,$A452)</f>
        <v>2015</v>
      </c>
      <c r="AQ452" s="0" t="n">
        <f aca="false">W_PH(AQ$2,$A452)</f>
        <v>2015</v>
      </c>
      <c r="AR452" s="0" t="n">
        <f aca="false">W_PH(AR$2,$A452)</f>
        <v>2015</v>
      </c>
      <c r="AS452" s="0" t="n">
        <f aca="false">W_PH(AS$2,$A452)</f>
        <v>2015</v>
      </c>
    </row>
    <row r="453" customFormat="false" ht="12.8" hidden="false" customHeight="false" outlineLevel="0" collapsed="false">
      <c r="A453" s="0" t="n">
        <v>2635.42562338779</v>
      </c>
      <c r="B453" s="0" t="n">
        <f aca="false">W_PH(B$2,$A453)</f>
        <v>2015</v>
      </c>
      <c r="C453" s="0" t="n">
        <f aca="false">W_PH(C$2,$A453)</f>
        <v>3308.11558525793</v>
      </c>
      <c r="D453" s="0" t="n">
        <f aca="false">W_PH(D$2,$A453)</f>
        <v>3308.11578235868</v>
      </c>
      <c r="E453" s="0" t="n">
        <f aca="false">W_PH(E$2,$A453)</f>
        <v>3308.11597945946</v>
      </c>
      <c r="F453" s="0" t="n">
        <f aca="false">W_PH(F$2,$A453)</f>
        <v>3308.11617656025</v>
      </c>
      <c r="G453" s="0" t="n">
        <f aca="false">W_PH(G$2,$A453)</f>
        <v>3308.11815137448</v>
      </c>
      <c r="H453" s="0" t="n">
        <f aca="false">W_PH(H$2,$A453)</f>
        <v>3308.12012619026</v>
      </c>
      <c r="I453" s="0" t="n">
        <f aca="false">W_PH(I$2,$A453)</f>
        <v>3308.12210100761</v>
      </c>
      <c r="J453" s="0" t="n">
        <f aca="false">W_PH(J$2,$A453)</f>
        <v>3308.12407582651</v>
      </c>
      <c r="K453" s="0" t="n">
        <f aca="false">W_PH(K$2,$A453)</f>
        <v>3308.12605064698</v>
      </c>
      <c r="L453" s="0" t="n">
        <f aca="false">W_PH(L$2,$A453)</f>
        <v>3308.12802546901</v>
      </c>
      <c r="M453" s="0" t="n">
        <f aca="false">W_PH(M$2,$A453)</f>
        <v>3308.12999648708</v>
      </c>
      <c r="N453" s="0" t="n">
        <f aca="false">W_PH(N$2,$A453)</f>
        <v>3308.13197511778</v>
      </c>
      <c r="O453" s="0" t="n">
        <f aca="false">W_PH(O$2,$A453)</f>
        <v>3308.13394613898</v>
      </c>
      <c r="P453" s="0" t="n">
        <f aca="false">W_PH(P$2,$A453)</f>
        <v>3308.15369449324</v>
      </c>
      <c r="Q453" s="0" t="n">
        <f aca="false">W_PH(Q$2,$A453)</f>
        <v>3308.1734392015</v>
      </c>
      <c r="R453" s="0" t="n">
        <f aca="false">W_PH(R$2,$A453)</f>
        <v>3308.19318407157</v>
      </c>
      <c r="S453" s="0" t="n">
        <f aca="false">W_PH(S$2,$A453)</f>
        <v>3308.21292910573</v>
      </c>
      <c r="T453" s="0" t="n">
        <f aca="false">W_PH(T$2,$A453)</f>
        <v>3308.23267430625</v>
      </c>
      <c r="U453" s="0" t="n">
        <f aca="false">W_PH(U$2,$A453)</f>
        <v>3308.25242348121</v>
      </c>
      <c r="V453" s="0" t="n">
        <f aca="false">W_PH(V$2,$A453)</f>
        <v>3308.27216521549</v>
      </c>
      <c r="W453" s="0" t="n">
        <f aca="false">W_PH(W$2,$A453)</f>
        <v>3308.29191473463</v>
      </c>
      <c r="X453" s="0" t="n">
        <f aca="false">W_PH(X$2,$A453)</f>
        <v>3308.31165681747</v>
      </c>
      <c r="Y453" s="0" t="n">
        <f aca="false">W_PH(Y$2,$A453)</f>
        <v>3308.509129662</v>
      </c>
      <c r="Z453" s="0" t="n">
        <f aca="false">W_PH(Z$2,$A453)</f>
        <v>3308.70661494257</v>
      </c>
      <c r="AA453" s="0" t="n">
        <f aca="false">W_PH(AA$2,$A453)</f>
        <v>3308.90411873876</v>
      </c>
      <c r="AB453" s="0" t="n">
        <f aca="false">W_PH(AB$2,$A453)</f>
        <v>3309.10164713187</v>
      </c>
      <c r="AC453" s="0" t="n">
        <f aca="false">W_PH(AC$2,$A453)</f>
        <v>3309.29919478067</v>
      </c>
      <c r="AD453" s="0" t="n">
        <f aca="false">W_PH(AD$2,$A453)</f>
        <v>3309.49677157448</v>
      </c>
      <c r="AE453" s="0" t="n">
        <f aca="false">W_PH(AE$2,$A453)</f>
        <v>3309.69437217031</v>
      </c>
      <c r="AF453" s="0" t="n">
        <f aca="false">W_PH(AF$2,$A453)</f>
        <v>3309.89200645918</v>
      </c>
      <c r="AG453" s="0" t="n">
        <f aca="false">W_PH(AG$2,$A453)</f>
        <v>3310.08966909635</v>
      </c>
      <c r="AH453" s="0" t="n">
        <f aca="false">W_PH(AH$2,$A453)</f>
        <v>3312.0685299592</v>
      </c>
      <c r="AI453" s="0" t="n">
        <f aca="false">W_PH(AI$2,$A453)</f>
        <v>3314.05295835091</v>
      </c>
      <c r="AJ453" s="0" t="n">
        <f aca="false">W_PH(AJ$2,$A453)</f>
        <v>3316.04513538647</v>
      </c>
      <c r="AK453" s="0" t="n">
        <f aca="false">W_PH(AK$2,$A453)</f>
        <v>3318.04723410799</v>
      </c>
      <c r="AL453" s="0" t="n">
        <f aca="false">W_PH(AL$2,$A453)</f>
        <v>3320.06143488429</v>
      </c>
      <c r="AM453" s="0" t="n">
        <f aca="false">W_PH(AM$2,$A453)</f>
        <v>3322.08991409243</v>
      </c>
      <c r="AN453" s="0" t="n">
        <f aca="false">W_PH(AN$2,$A453)</f>
        <v>3324.13485194578</v>
      </c>
      <c r="AO453" s="0" t="n">
        <f aca="false">W_PH(AO$2,$A453)</f>
        <v>3326.19842118469</v>
      </c>
      <c r="AP453" s="0" t="n">
        <f aca="false">W_PH(AP$2,$A453)</f>
        <v>2015</v>
      </c>
      <c r="AQ453" s="0" t="n">
        <f aca="false">W_PH(AQ$2,$A453)</f>
        <v>2015</v>
      </c>
      <c r="AR453" s="0" t="n">
        <f aca="false">W_PH(AR$2,$A453)</f>
        <v>2015</v>
      </c>
      <c r="AS453" s="0" t="n">
        <f aca="false">W_PH(AS$2,$A453)</f>
        <v>2015</v>
      </c>
    </row>
    <row r="454" customFormat="false" ht="12.8" hidden="false" customHeight="false" outlineLevel="0" collapsed="false">
      <c r="A454" s="0" t="n">
        <v>2639.72484952709</v>
      </c>
      <c r="B454" s="0" t="n">
        <f aca="false">W_PH(B$2,$A454)</f>
        <v>2015</v>
      </c>
      <c r="C454" s="0" t="n">
        <f aca="false">W_PH(C$2,$A454)</f>
        <v>3311.17859709069</v>
      </c>
      <c r="D454" s="0" t="n">
        <f aca="false">W_PH(D$2,$A454)</f>
        <v>3311.1787907344</v>
      </c>
      <c r="E454" s="0" t="n">
        <f aca="false">W_PH(E$2,$A454)</f>
        <v>3311.17899198234</v>
      </c>
      <c r="F454" s="0" t="n">
        <f aca="false">W_PH(F$2,$A454)</f>
        <v>3311.17918562608</v>
      </c>
      <c r="G454" s="0" t="n">
        <f aca="false">W_PH(G$2,$A454)</f>
        <v>3311.18116388752</v>
      </c>
      <c r="H454" s="0" t="n">
        <f aca="false">W_PH(H$2,$A454)</f>
        <v>3311.18313834838</v>
      </c>
      <c r="I454" s="0" t="n">
        <f aca="false">W_PH(I$2,$A454)</f>
        <v>3311.1851166129</v>
      </c>
      <c r="J454" s="0" t="n">
        <f aca="false">W_PH(J$2,$A454)</f>
        <v>3311.18709107684</v>
      </c>
      <c r="K454" s="0" t="n">
        <f aca="false">W_PH(K$2,$A454)</f>
        <v>3311.18906554233</v>
      </c>
      <c r="L454" s="0" t="n">
        <f aca="false">W_PH(L$2,$A454)</f>
        <v>3311.19104000936</v>
      </c>
      <c r="M454" s="0" t="n">
        <f aca="false">W_PH(M$2,$A454)</f>
        <v>3311.19301447793</v>
      </c>
      <c r="N454" s="0" t="n">
        <f aca="false">W_PH(N$2,$A454)</f>
        <v>3311.19499275018</v>
      </c>
      <c r="O454" s="0" t="n">
        <f aca="false">W_PH(O$2,$A454)</f>
        <v>3311.19696722186</v>
      </c>
      <c r="P454" s="0" t="n">
        <f aca="false">W_PH(P$2,$A454)</f>
        <v>3311.21672343085</v>
      </c>
      <c r="Q454" s="0" t="n">
        <f aca="false">W_PH(Q$2,$A454)</f>
        <v>3311.23647599531</v>
      </c>
      <c r="R454" s="0" t="n">
        <f aca="false">W_PH(R$2,$A454)</f>
        <v>3311.25623632417</v>
      </c>
      <c r="S454" s="0" t="n">
        <f aca="false">W_PH(S$2,$A454)</f>
        <v>3311.27598921071</v>
      </c>
      <c r="T454" s="0" t="n">
        <f aca="false">W_PH(T$2,$A454)</f>
        <v>3311.29574986635</v>
      </c>
      <c r="U454" s="0" t="n">
        <f aca="false">W_PH(U$2,$A454)</f>
        <v>3311.31550308403</v>
      </c>
      <c r="V454" s="0" t="n">
        <f aca="false">W_PH(V$2,$A454)</f>
        <v>3311.33526027307</v>
      </c>
      <c r="W454" s="0" t="n">
        <f aca="false">W_PH(W$2,$A454)</f>
        <v>3311.35501763338</v>
      </c>
      <c r="X454" s="0" t="n">
        <f aca="false">W_PH(X$2,$A454)</f>
        <v>3311.3747713647</v>
      </c>
      <c r="Y454" s="0" t="n">
        <f aca="false">W_PH(Y$2,$A454)</f>
        <v>3311.57234913937</v>
      </c>
      <c r="Z454" s="0" t="n">
        <f aca="false">W_PH(Z$2,$A454)</f>
        <v>3311.76993914944</v>
      </c>
      <c r="AA454" s="0" t="n">
        <f aca="false">W_PH(AA$2,$A454)</f>
        <v>3311.96755126382</v>
      </c>
      <c r="AB454" s="0" t="n">
        <f aca="false">W_PH(AB$2,$A454)</f>
        <v>3312.16518013792</v>
      </c>
      <c r="AC454" s="0" t="n">
        <f aca="false">W_PH(AC$2,$A454)</f>
        <v>3312.36283183768</v>
      </c>
      <c r="AD454" s="0" t="n">
        <f aca="false">W_PH(AD$2,$A454)</f>
        <v>3312.56051243074</v>
      </c>
      <c r="AE454" s="0" t="n">
        <f aca="false">W_PH(AE$2,$A454)</f>
        <v>3312.75821656989</v>
      </c>
      <c r="AF454" s="0" t="n">
        <f aca="false">W_PH(AF$2,$A454)</f>
        <v>3312.9559503223</v>
      </c>
      <c r="AG454" s="0" t="n">
        <f aca="false">W_PH(AG$2,$A454)</f>
        <v>3313.15371595049</v>
      </c>
      <c r="AH454" s="0" t="n">
        <f aca="false">W_PH(AH$2,$A454)</f>
        <v>3315.13359265712</v>
      </c>
      <c r="AI454" s="0" t="n">
        <f aca="false">W_PH(AI$2,$A454)</f>
        <v>3317.11900058038</v>
      </c>
      <c r="AJ454" s="0" t="n">
        <f aca="false">W_PH(AJ$2,$A454)</f>
        <v>3319.1121175837</v>
      </c>
      <c r="AK454" s="0" t="n">
        <f aca="false">W_PH(AK$2,$A454)</f>
        <v>3321.11509824256</v>
      </c>
      <c r="AL454" s="0" t="n">
        <f aca="false">W_PH(AL$2,$A454)</f>
        <v>3323.13011593562</v>
      </c>
      <c r="AM454" s="0" t="n">
        <f aca="false">W_PH(AM$2,$A454)</f>
        <v>3325.15933627217</v>
      </c>
      <c r="AN454" s="0" t="n">
        <f aca="false">W_PH(AN$2,$A454)</f>
        <v>3327.2049248911</v>
      </c>
      <c r="AO454" s="0" t="n">
        <f aca="false">W_PH(AO$2,$A454)</f>
        <v>3329.26904765681</v>
      </c>
      <c r="AP454" s="0" t="n">
        <f aca="false">W_PH(AP$2,$A454)</f>
        <v>2015</v>
      </c>
      <c r="AQ454" s="0" t="n">
        <f aca="false">W_PH(AQ$2,$A454)</f>
        <v>2015</v>
      </c>
      <c r="AR454" s="0" t="n">
        <f aca="false">W_PH(AR$2,$A454)</f>
        <v>2015</v>
      </c>
      <c r="AS454" s="0" t="n">
        <f aca="false">W_PH(AS$2,$A454)</f>
        <v>2015</v>
      </c>
    </row>
    <row r="455" customFormat="false" ht="12.8" hidden="false" customHeight="false" outlineLevel="0" collapsed="false">
      <c r="A455" s="0" t="n">
        <v>2644.02407566638</v>
      </c>
      <c r="B455" s="0" t="n">
        <f aca="false">W_PH(B$2,$A455)</f>
        <v>2015</v>
      </c>
      <c r="C455" s="0" t="n">
        <f aca="false">W_PH(C$2,$A455)</f>
        <v>3314.23723820771</v>
      </c>
      <c r="D455" s="0" t="n">
        <f aca="false">W_PH(D$2,$A455)</f>
        <v>3314.23743599437</v>
      </c>
      <c r="E455" s="0" t="n">
        <f aca="false">W_PH(E$2,$A455)</f>
        <v>3314.23763378105</v>
      </c>
      <c r="F455" s="0" t="n">
        <f aca="false">W_PH(F$2,$A455)</f>
        <v>3314.23783156774</v>
      </c>
      <c r="G455" s="0" t="n">
        <f aca="false">W_PH(G$2,$A455)</f>
        <v>3314.23980943548</v>
      </c>
      <c r="H455" s="0" t="n">
        <f aca="false">W_PH(H$2,$A455)</f>
        <v>3314.24178350602</v>
      </c>
      <c r="I455" s="0" t="n">
        <f aca="false">W_PH(I$2,$A455)</f>
        <v>3314.24375757808</v>
      </c>
      <c r="J455" s="0" t="n">
        <f aca="false">W_PH(J$2,$A455)</f>
        <v>3314.24573545038</v>
      </c>
      <c r="K455" s="0" t="n">
        <f aca="false">W_PH(K$2,$A455)</f>
        <v>3314.24771332422</v>
      </c>
      <c r="L455" s="0" t="n">
        <f aca="false">W_PH(L$2,$A455)</f>
        <v>3314.24969119958</v>
      </c>
      <c r="M455" s="0" t="n">
        <f aca="false">W_PH(M$2,$A455)</f>
        <v>3314.25166907647</v>
      </c>
      <c r="N455" s="0" t="n">
        <f aca="false">W_PH(N$2,$A455)</f>
        <v>3314.25364315615</v>
      </c>
      <c r="O455" s="0" t="n">
        <f aca="false">W_PH(O$2,$A455)</f>
        <v>3314.25561723735</v>
      </c>
      <c r="P455" s="0" t="n">
        <f aca="false">W_PH(P$2,$A455)</f>
        <v>3314.27538852432</v>
      </c>
      <c r="Q455" s="0" t="n">
        <f aca="false">W_PH(Q$2,$A455)</f>
        <v>3314.29515236955</v>
      </c>
      <c r="R455" s="0" t="n">
        <f aca="false">W_PH(R$2,$A455)</f>
        <v>3314.31491637281</v>
      </c>
      <c r="S455" s="0" t="n">
        <f aca="false">W_PH(S$2,$A455)</f>
        <v>3314.33468433528</v>
      </c>
      <c r="T455" s="0" t="n">
        <f aca="false">W_PH(T$2,$A455)</f>
        <v>3314.35445246037</v>
      </c>
      <c r="U455" s="0" t="n">
        <f aca="false">W_PH(U$2,$A455)</f>
        <v>3314.37421695132</v>
      </c>
      <c r="V455" s="0" t="n">
        <f aca="false">W_PH(V$2,$A455)</f>
        <v>3314.39398160931</v>
      </c>
      <c r="W455" s="0" t="n">
        <f aca="false">W_PH(W$2,$A455)</f>
        <v>3314.4137502357</v>
      </c>
      <c r="X455" s="0" t="n">
        <f aca="false">W_PH(X$2,$A455)</f>
        <v>3314.43351903371</v>
      </c>
      <c r="Y455" s="0" t="n">
        <f aca="false">W_PH(Y$2,$A455)</f>
        <v>3314.63119415189</v>
      </c>
      <c r="Z455" s="0" t="n">
        <f aca="false">W_PH(Z$2,$A455)</f>
        <v>3314.82888890637</v>
      </c>
      <c r="AA455" s="0" t="n">
        <f aca="false">W_PH(AA$2,$A455)</f>
        <v>3315.02659794922</v>
      </c>
      <c r="AB455" s="0" t="n">
        <f aca="false">W_PH(AB$2,$A455)</f>
        <v>3315.2243311324</v>
      </c>
      <c r="AC455" s="0" t="n">
        <f aca="false">W_PH(AC$2,$A455)</f>
        <v>3315.42209070877</v>
      </c>
      <c r="AD455" s="0" t="n">
        <f aca="false">W_PH(AD$2,$A455)</f>
        <v>3315.61986752618</v>
      </c>
      <c r="AE455" s="0" t="n">
        <f aca="false">W_PH(AE$2,$A455)</f>
        <v>3315.8176752399</v>
      </c>
      <c r="AF455" s="0" t="n">
        <f aca="false">W_PH(AF$2,$A455)</f>
        <v>3316.01551230025</v>
      </c>
      <c r="AG455" s="0" t="n">
        <f aca="false">W_PH(AG$2,$A455)</f>
        <v>3316.21337715583</v>
      </c>
      <c r="AH455" s="0" t="n">
        <f aca="false">W_PH(AH$2,$A455)</f>
        <v>3318.19424747421</v>
      </c>
      <c r="AI455" s="0" t="n">
        <f aca="false">W_PH(AI$2,$A455)</f>
        <v>3320.18062454484</v>
      </c>
      <c r="AJ455" s="0" t="n">
        <f aca="false">W_PH(AJ$2,$A455)</f>
        <v>3322.17465255839</v>
      </c>
      <c r="AK455" s="0" t="n">
        <f aca="false">W_PH(AK$2,$A455)</f>
        <v>3324.17849820935</v>
      </c>
      <c r="AL455" s="0" t="n">
        <f aca="false">W_PH(AL$2,$A455)</f>
        <v>3326.19431269924</v>
      </c>
      <c r="AM455" s="0" t="n">
        <f aca="false">W_PH(AM$2,$A455)</f>
        <v>3328.22425476132</v>
      </c>
      <c r="AN455" s="0" t="n">
        <f aca="false">W_PH(AN$2,$A455)</f>
        <v>3330.27048320488</v>
      </c>
      <c r="AO455" s="0" t="n">
        <f aca="false">W_PH(AO$2,$A455)</f>
        <v>3332.33514943914</v>
      </c>
      <c r="AP455" s="0" t="n">
        <f aca="false">W_PH(AP$2,$A455)</f>
        <v>2015</v>
      </c>
      <c r="AQ455" s="0" t="n">
        <f aca="false">W_PH(AQ$2,$A455)</f>
        <v>2015</v>
      </c>
      <c r="AR455" s="0" t="n">
        <f aca="false">W_PH(AR$2,$A455)</f>
        <v>2015</v>
      </c>
      <c r="AS455" s="0" t="n">
        <f aca="false">W_PH(AS$2,$A455)</f>
        <v>2015</v>
      </c>
    </row>
    <row r="456" customFormat="false" ht="12.8" hidden="false" customHeight="false" outlineLevel="0" collapsed="false">
      <c r="A456" s="0" t="n">
        <v>2648.32330180567</v>
      </c>
      <c r="B456" s="0" t="n">
        <f aca="false">W_PH(B$2,$A456)</f>
        <v>2015</v>
      </c>
      <c r="C456" s="0" t="n">
        <f aca="false">W_PH(C$2,$A456)</f>
        <v>3317.29153508995</v>
      </c>
      <c r="D456" s="0" t="n">
        <f aca="false">W_PH(D$2,$A456)</f>
        <v>3317.29172941794</v>
      </c>
      <c r="E456" s="0" t="n">
        <f aca="false">W_PH(E$2,$A456)</f>
        <v>3317.29192754128</v>
      </c>
      <c r="F456" s="0" t="n">
        <f aca="false">W_PH(F$2,$A456)</f>
        <v>3317.29212566464</v>
      </c>
      <c r="G456" s="0" t="n">
        <f aca="false">W_PH(G$2,$A456)</f>
        <v>3317.29410310373</v>
      </c>
      <c r="H456" s="0" t="n">
        <f aca="false">W_PH(H$2,$A456)</f>
        <v>3317.29608054431</v>
      </c>
      <c r="I456" s="0" t="n">
        <f aca="false">W_PH(I$2,$A456)</f>
        <v>3317.2980579864</v>
      </c>
      <c r="J456" s="0" t="n">
        <f aca="false">W_PH(J$2,$A456)</f>
        <v>3317.30003542999</v>
      </c>
      <c r="K456" s="0" t="n">
        <f aca="false">W_PH(K$2,$A456)</f>
        <v>3317.30201667045</v>
      </c>
      <c r="L456" s="0" t="n">
        <f aca="false">W_PH(L$2,$A456)</f>
        <v>3317.30399032168</v>
      </c>
      <c r="M456" s="0" t="n">
        <f aca="false">W_PH(M$2,$A456)</f>
        <v>3317.30597156517</v>
      </c>
      <c r="N456" s="0" t="n">
        <f aca="false">W_PH(N$2,$A456)</f>
        <v>3317.30794521942</v>
      </c>
      <c r="O456" s="0" t="n">
        <f aca="false">W_PH(O$2,$A456)</f>
        <v>3317.30992646595</v>
      </c>
      <c r="P456" s="0" t="n">
        <f aca="false">W_PH(P$2,$A456)</f>
        <v>3317.32970106123</v>
      </c>
      <c r="Q456" s="0" t="n">
        <f aca="false">W_PH(Q$2,$A456)</f>
        <v>3317.34947581049</v>
      </c>
      <c r="R456" s="0" t="n">
        <f aca="false">W_PH(R$2,$A456)</f>
        <v>3317.36925071596</v>
      </c>
      <c r="S456" s="0" t="n">
        <f aca="false">W_PH(S$2,$A456)</f>
        <v>3317.38902577989</v>
      </c>
      <c r="T456" s="0" t="n">
        <f aca="false">W_PH(T$2,$A456)</f>
        <v>3317.40880480011</v>
      </c>
      <c r="U456" s="0" t="n">
        <f aca="false">W_PH(U$2,$A456)</f>
        <v>3317.42858398336</v>
      </c>
      <c r="V456" s="0" t="n">
        <f aca="false">W_PH(V$2,$A456)</f>
        <v>3317.4483595362</v>
      </c>
      <c r="W456" s="0" t="n">
        <f aca="false">W_PH(W$2,$A456)</f>
        <v>3317.46813525646</v>
      </c>
      <c r="X456" s="0" t="n">
        <f aca="false">W_PH(X$2,$A456)</f>
        <v>3317.48791114639</v>
      </c>
      <c r="Y456" s="0" t="n">
        <f aca="false">W_PH(Y$2,$A456)</f>
        <v>3317.68568746297</v>
      </c>
      <c r="Z456" s="0" t="n">
        <f aca="false">W_PH(Z$2,$A456)</f>
        <v>3317.8834832141</v>
      </c>
      <c r="AA456" s="0" t="n">
        <f aca="false">W_PH(AA$2,$A456)</f>
        <v>3318.08129684471</v>
      </c>
      <c r="AB456" s="0" t="n">
        <f aca="false">W_PH(AB$2,$A456)</f>
        <v>3318.27912679808</v>
      </c>
      <c r="AC456" s="0" t="n">
        <f aca="false">W_PH(AC$2,$A456)</f>
        <v>3318.47698290932</v>
      </c>
      <c r="AD456" s="0" t="n">
        <f aca="false">W_PH(AD$2,$A456)</f>
        <v>3318.67486362208</v>
      </c>
      <c r="AE456" s="0" t="n">
        <f aca="false">W_PH(AE$2,$A456)</f>
        <v>3318.87277117704</v>
      </c>
      <c r="AF456" s="0" t="n">
        <f aca="false">W_PH(AF$2,$A456)</f>
        <v>3319.07070781484</v>
      </c>
      <c r="AG456" s="0" t="n">
        <f aca="false">W_PH(AG$2,$A456)</f>
        <v>3319.26867197665</v>
      </c>
      <c r="AH456" s="0" t="n">
        <f aca="false">W_PH(AH$2,$A456)</f>
        <v>3321.25051786839</v>
      </c>
      <c r="AI456" s="0" t="n">
        <f aca="false">W_PH(AI$2,$A456)</f>
        <v>3323.2378312131</v>
      </c>
      <c r="AJ456" s="0" t="n">
        <f aca="false">W_PH(AJ$2,$A456)</f>
        <v>3325.23276071744</v>
      </c>
      <c r="AK456" s="0" t="n">
        <f aca="false">W_PH(AK$2,$A456)</f>
        <v>3327.23745096041</v>
      </c>
      <c r="AL456" s="0" t="n">
        <f aca="false">W_PH(AL$2,$A456)</f>
        <v>3329.2540463068</v>
      </c>
      <c r="AM456" s="0" t="n">
        <f aca="false">W_PH(AM$2,$A456)</f>
        <v>3331.28469104714</v>
      </c>
      <c r="AN456" s="0" t="n">
        <f aca="false">W_PH(AN$2,$A456)</f>
        <v>3333.33153721743</v>
      </c>
      <c r="AO456" s="0" t="n">
        <f aca="false">W_PH(AO$2,$A456)</f>
        <v>3335.39672950411</v>
      </c>
      <c r="AP456" s="0" t="n">
        <f aca="false">W_PH(AP$2,$A456)</f>
        <v>2015</v>
      </c>
      <c r="AQ456" s="0" t="n">
        <f aca="false">W_PH(AQ$2,$A456)</f>
        <v>2015</v>
      </c>
      <c r="AR456" s="0" t="n">
        <f aca="false">W_PH(AR$2,$A456)</f>
        <v>2015</v>
      </c>
      <c r="AS456" s="0" t="n">
        <f aca="false">W_PH(AS$2,$A456)</f>
        <v>2015</v>
      </c>
    </row>
    <row r="457" customFormat="false" ht="12.8" hidden="false" customHeight="false" outlineLevel="0" collapsed="false">
      <c r="A457" s="0" t="n">
        <v>2652.62252794497</v>
      </c>
      <c r="B457" s="0" t="n">
        <f aca="false">W_PH(B$2,$A457)</f>
        <v>2015</v>
      </c>
      <c r="C457" s="0" t="n">
        <f aca="false">W_PH(C$2,$A457)</f>
        <v>3320.34149891054</v>
      </c>
      <c r="D457" s="0" t="n">
        <f aca="false">W_PH(D$2,$A457)</f>
        <v>3320.34169736641</v>
      </c>
      <c r="E457" s="0" t="n">
        <f aca="false">W_PH(E$2,$A457)</f>
        <v>3320.34189203032</v>
      </c>
      <c r="F457" s="0" t="n">
        <f aca="false">W_PH(F$2,$A457)</f>
        <v>3320.3420942782</v>
      </c>
      <c r="G457" s="0" t="n">
        <f aca="false">W_PH(G$2,$A457)</f>
        <v>3320.34407125408</v>
      </c>
      <c r="H457" s="0" t="n">
        <f aca="false">W_PH(H$2,$A457)</f>
        <v>3320.34604823143</v>
      </c>
      <c r="I457" s="0" t="n">
        <f aca="false">W_PH(I$2,$A457)</f>
        <v>3320.34802521027</v>
      </c>
      <c r="J457" s="0" t="n">
        <f aca="false">W_PH(J$2,$A457)</f>
        <v>3320.35000598259</v>
      </c>
      <c r="K457" s="0" t="n">
        <f aca="false">W_PH(K$2,$A457)</f>
        <v>3320.3519867564</v>
      </c>
      <c r="L457" s="0" t="n">
        <f aca="false">W_PH(L$2,$A457)</f>
        <v>3320.3539637397</v>
      </c>
      <c r="M457" s="0" t="n">
        <f aca="false">W_PH(M$2,$A457)</f>
        <v>3320.35594072449</v>
      </c>
      <c r="N457" s="0" t="n">
        <f aca="false">W_PH(N$2,$A457)</f>
        <v>3320.35792150279</v>
      </c>
      <c r="O457" s="0" t="n">
        <f aca="false">W_PH(O$2,$A457)</f>
        <v>3320.35990228259</v>
      </c>
      <c r="P457" s="0" t="n">
        <f aca="false">W_PH(P$2,$A457)</f>
        <v>3320.37968741135</v>
      </c>
      <c r="Q457" s="0" t="n">
        <f aca="false">W_PH(Q$2,$A457)</f>
        <v>3320.39947269229</v>
      </c>
      <c r="R457" s="0" t="n">
        <f aca="false">W_PH(R$2,$A457)</f>
        <v>3320.41925812766</v>
      </c>
      <c r="S457" s="0" t="n">
        <f aca="false">W_PH(S$2,$A457)</f>
        <v>3320.43904371968</v>
      </c>
      <c r="T457" s="0" t="n">
        <f aca="false">W_PH(T$2,$A457)</f>
        <v>3320.45882947059</v>
      </c>
      <c r="U457" s="0" t="n">
        <f aca="false">W_PH(U$2,$A457)</f>
        <v>3320.47861538261</v>
      </c>
      <c r="V457" s="0" t="n">
        <f aca="false">W_PH(V$2,$A457)</f>
        <v>3320.49840145798</v>
      </c>
      <c r="W457" s="0" t="n">
        <f aca="false">W_PH(W$2,$A457)</f>
        <v>3320.51818769893</v>
      </c>
      <c r="X457" s="0" t="n">
        <f aca="false">W_PH(X$2,$A457)</f>
        <v>3320.53797410769</v>
      </c>
      <c r="Y457" s="0" t="n">
        <f aca="false">W_PH(Y$2,$A457)</f>
        <v>3320.73585550125</v>
      </c>
      <c r="Z457" s="0" t="n">
        <f aca="false">W_PH(Z$2,$A457)</f>
        <v>3320.93374475198</v>
      </c>
      <c r="AA457" s="0" t="n">
        <f aca="false">W_PH(AA$2,$A457)</f>
        <v>3321.13165546817</v>
      </c>
      <c r="AB457" s="0" t="n">
        <f aca="false">W_PH(AB$2,$A457)</f>
        <v>3321.32958608687</v>
      </c>
      <c r="AC457" s="0" t="n">
        <f aca="false">W_PH(AC$2,$A457)</f>
        <v>3321.52753883794</v>
      </c>
      <c r="AD457" s="0" t="n">
        <f aca="false">W_PH(AD$2,$A457)</f>
        <v>3321.72551595123</v>
      </c>
      <c r="AE457" s="0" t="n">
        <f aca="false">W_PH(AE$2,$A457)</f>
        <v>3321.9235196566</v>
      </c>
      <c r="AF457" s="0" t="n">
        <f aca="false">W_PH(AF$2,$A457)</f>
        <v>3322.12155218387</v>
      </c>
      <c r="AG457" s="0" t="n">
        <f aca="false">W_PH(AG$2,$A457)</f>
        <v>3322.3196157629</v>
      </c>
      <c r="AH457" s="0" t="n">
        <f aca="false">W_PH(AH$2,$A457)</f>
        <v>3324.3024195599</v>
      </c>
      <c r="AI457" s="0" t="n">
        <f aca="false">W_PH(AI$2,$A457)</f>
        <v>3326.29065573333</v>
      </c>
      <c r="AJ457" s="0" t="n">
        <f aca="false">W_PH(AJ$2,$A457)</f>
        <v>3328.28646614215</v>
      </c>
      <c r="AK457" s="0" t="n">
        <f aca="false">W_PH(AK$2,$A457)</f>
        <v>3330.29198094753</v>
      </c>
      <c r="AL457" s="0" t="n">
        <f aca="false">W_PH(AL$2,$A457)</f>
        <v>3332.30933774618</v>
      </c>
      <c r="AM457" s="0" t="n">
        <f aca="false">W_PH(AM$2,$A457)</f>
        <v>3334.34067028792</v>
      </c>
      <c r="AN457" s="0" t="n">
        <f aca="false">W_PH(AN$2,$A457)</f>
        <v>3336.38812009034</v>
      </c>
      <c r="AO457" s="0" t="n">
        <f aca="false">W_PH(AO$2,$A457)</f>
        <v>3338.45382135624</v>
      </c>
      <c r="AP457" s="0" t="n">
        <f aca="false">W_PH(AP$2,$A457)</f>
        <v>2015</v>
      </c>
      <c r="AQ457" s="0" t="n">
        <f aca="false">W_PH(AQ$2,$A457)</f>
        <v>2015</v>
      </c>
      <c r="AR457" s="0" t="n">
        <f aca="false">W_PH(AR$2,$A457)</f>
        <v>2015</v>
      </c>
      <c r="AS457" s="0" t="n">
        <f aca="false">W_PH(AS$2,$A457)</f>
        <v>2015</v>
      </c>
    </row>
    <row r="458" customFormat="false" ht="12.8" hidden="false" customHeight="false" outlineLevel="0" collapsed="false">
      <c r="A458" s="0" t="n">
        <v>2656.92175408426</v>
      </c>
      <c r="B458" s="0" t="n">
        <f aca="false">W_PH(B$2,$A458)</f>
        <v>2015</v>
      </c>
      <c r="C458" s="0" t="n">
        <f aca="false">W_PH(C$2,$A458)</f>
        <v>3323.38715591212</v>
      </c>
      <c r="D458" s="0" t="n">
        <f aca="false">W_PH(D$2,$A458)</f>
        <v>3323.38735090783</v>
      </c>
      <c r="E458" s="0" t="n">
        <f aca="false">W_PH(E$2,$A458)</f>
        <v>3323.3875534808</v>
      </c>
      <c r="F458" s="0" t="n">
        <f aca="false">W_PH(F$2,$A458)</f>
        <v>3323.38774847654</v>
      </c>
      <c r="G458" s="0" t="n">
        <f aca="false">W_PH(G$2,$A458)</f>
        <v>3323.3897287437</v>
      </c>
      <c r="H458" s="0" t="n">
        <f aca="false">W_PH(H$2,$A458)</f>
        <v>3323.39170901234</v>
      </c>
      <c r="I458" s="0" t="n">
        <f aca="false">W_PH(I$2,$A458)</f>
        <v>3323.39368928244</v>
      </c>
      <c r="J458" s="0" t="n">
        <f aca="false">W_PH(J$2,$A458)</f>
        <v>3323.39566955401</v>
      </c>
      <c r="K458" s="0" t="n">
        <f aca="false">W_PH(K$2,$A458)</f>
        <v>3323.39764603841</v>
      </c>
      <c r="L458" s="0" t="n">
        <f aca="false">W_PH(L$2,$A458)</f>
        <v>3323.39962631292</v>
      </c>
      <c r="M458" s="0" t="n">
        <f aca="false">W_PH(M$2,$A458)</f>
        <v>3323.40160280026</v>
      </c>
      <c r="N458" s="0" t="n">
        <f aca="false">W_PH(N$2,$A458)</f>
        <v>3323.40358307772</v>
      </c>
      <c r="O458" s="0" t="n">
        <f aca="false">W_PH(O$2,$A458)</f>
        <v>3323.40556335667</v>
      </c>
      <c r="P458" s="0" t="n">
        <f aca="false">W_PH(P$2,$A458)</f>
        <v>3323.42535865072</v>
      </c>
      <c r="Q458" s="0" t="n">
        <f aca="false">W_PH(Q$2,$A458)</f>
        <v>3323.44515409521</v>
      </c>
      <c r="R458" s="0" t="n">
        <f aca="false">W_PH(R$2,$A458)</f>
        <v>3323.46494969234</v>
      </c>
      <c r="S458" s="0" t="n">
        <f aca="false">W_PH(S$2,$A458)</f>
        <v>3323.48474544435</v>
      </c>
      <c r="T458" s="0" t="n">
        <f aca="false">W_PH(T$2,$A458)</f>
        <v>3323.50454135344</v>
      </c>
      <c r="U458" s="0" t="n">
        <f aca="false">W_PH(U$2,$A458)</f>
        <v>3323.52433742186</v>
      </c>
      <c r="V458" s="0" t="n">
        <f aca="false">W_PH(V$2,$A458)</f>
        <v>3323.5441336518</v>
      </c>
      <c r="W458" s="0" t="n">
        <f aca="false">W_PH(W$2,$A458)</f>
        <v>3323.5639300455</v>
      </c>
      <c r="X458" s="0" t="n">
        <f aca="false">W_PH(X$2,$A458)</f>
        <v>3323.58372660517</v>
      </c>
      <c r="Y458" s="0" t="n">
        <f aca="false">W_PH(Y$2,$A458)</f>
        <v>3323.78170181894</v>
      </c>
      <c r="Z458" s="0" t="n">
        <f aca="false">W_PH(Z$2,$A458)</f>
        <v>3323.97968849277</v>
      </c>
      <c r="AA458" s="0" t="n">
        <f aca="false">W_PH(AA$2,$A458)</f>
        <v>3324.17769642509</v>
      </c>
      <c r="AB458" s="0" t="n">
        <f aca="false">W_PH(AB$2,$A458)</f>
        <v>3324.3757202549</v>
      </c>
      <c r="AC458" s="0" t="n">
        <f aca="false">W_PH(AC$2,$A458)</f>
        <v>3324.57376978224</v>
      </c>
      <c r="AD458" s="0" t="n">
        <f aca="false">W_PH(AD$2,$A458)</f>
        <v>3324.77184722742</v>
      </c>
      <c r="AE458" s="0" t="n">
        <f aca="false">W_PH(AE$2,$A458)</f>
        <v>3324.96994343514</v>
      </c>
      <c r="AF458" s="0" t="n">
        <f aca="false">W_PH(AF$2,$A458)</f>
        <v>3325.16807199893</v>
      </c>
      <c r="AG458" s="0" t="n">
        <f aca="false">W_PH(AG$2,$A458)</f>
        <v>3325.36623134642</v>
      </c>
      <c r="AH458" s="0" t="n">
        <f aca="false">W_PH(AH$2,$A458)</f>
        <v>3327.34996816051</v>
      </c>
      <c r="AI458" s="0" t="n">
        <f aca="false">W_PH(AI$2,$A458)</f>
        <v>3329.33911026593</v>
      </c>
      <c r="AJ458" s="0" t="n">
        <f aca="false">W_PH(AJ$2,$A458)</f>
        <v>3331.33578135323</v>
      </c>
      <c r="AK458" s="0" t="n">
        <f aca="false">W_PH(AK$2,$A458)</f>
        <v>3333.3421010452</v>
      </c>
      <c r="AL458" s="0" t="n">
        <f aca="false">W_PH(AL$2,$A458)</f>
        <v>3335.36020023841</v>
      </c>
      <c r="AM458" s="0" t="n">
        <f aca="false">W_PH(AM$2,$A458)</f>
        <v>3337.39220984833</v>
      </c>
      <c r="AN458" s="0" t="n">
        <f aca="false">W_PH(AN$2,$A458)</f>
        <v>3339.44024569106</v>
      </c>
      <c r="AO458" s="0" t="n">
        <f aca="false">W_PH(AO$2,$A458)</f>
        <v>3341.50643536047</v>
      </c>
      <c r="AP458" s="0" t="n">
        <f aca="false">W_PH(AP$2,$A458)</f>
        <v>2015</v>
      </c>
      <c r="AQ458" s="0" t="n">
        <f aca="false">W_PH(AQ$2,$A458)</f>
        <v>2015</v>
      </c>
      <c r="AR458" s="0" t="n">
        <f aca="false">W_PH(AR$2,$A458)</f>
        <v>2015</v>
      </c>
      <c r="AS458" s="0" t="n">
        <f aca="false">W_PH(AS$2,$A458)</f>
        <v>2015</v>
      </c>
    </row>
    <row r="459" customFormat="false" ht="12.8" hidden="false" customHeight="false" outlineLevel="0" collapsed="false">
      <c r="A459" s="0" t="n">
        <v>2661.22098022356</v>
      </c>
      <c r="B459" s="0" t="n">
        <f aca="false">W_PH(B$2,$A459)</f>
        <v>2015</v>
      </c>
      <c r="C459" s="0" t="n">
        <f aca="false">W_PH(C$2,$A459)</f>
        <v>3326.42852084389</v>
      </c>
      <c r="D459" s="0" t="n">
        <f aca="false">W_PH(D$2,$A459)</f>
        <v>3326.42871616736</v>
      </c>
      <c r="E459" s="0" t="n">
        <f aca="false">W_PH(E$2,$A459)</f>
        <v>3326.42891527613</v>
      </c>
      <c r="F459" s="0" t="n">
        <f aca="false">W_PH(F$2,$A459)</f>
        <v>3326.42911438491</v>
      </c>
      <c r="G459" s="0" t="n">
        <f aca="false">W_PH(G$2,$A459)</f>
        <v>3326.43109411767</v>
      </c>
      <c r="H459" s="0" t="n">
        <f aca="false">W_PH(H$2,$A459)</f>
        <v>3326.43307385187</v>
      </c>
      <c r="I459" s="0" t="n">
        <f aca="false">W_PH(I$2,$A459)</f>
        <v>3326.43505737283</v>
      </c>
      <c r="J459" s="0" t="n">
        <f aca="false">W_PH(J$2,$A459)</f>
        <v>3326.43703332463</v>
      </c>
      <c r="K459" s="0" t="n">
        <f aca="false">W_PH(K$2,$A459)</f>
        <v>3326.43901684849</v>
      </c>
      <c r="L459" s="0" t="n">
        <f aca="false">W_PH(L$2,$A459)</f>
        <v>3326.44099658851</v>
      </c>
      <c r="M459" s="0" t="n">
        <f aca="false">W_PH(M$2,$A459)</f>
        <v>3326.44297632998</v>
      </c>
      <c r="N459" s="0" t="n">
        <f aca="false">W_PH(N$2,$A459)</f>
        <v>3326.44495985823</v>
      </c>
      <c r="O459" s="0" t="n">
        <f aca="false">W_PH(O$2,$A459)</f>
        <v>3326.4469358173</v>
      </c>
      <c r="P459" s="0" t="n">
        <f aca="false">W_PH(P$2,$A459)</f>
        <v>3326.46674091277</v>
      </c>
      <c r="Q459" s="0" t="n">
        <f aca="false">W_PH(Q$2,$A459)</f>
        <v>3326.48654615693</v>
      </c>
      <c r="R459" s="0" t="n">
        <f aca="false">W_PH(R$2,$A459)</f>
        <v>3326.506351552</v>
      </c>
      <c r="S459" s="0" t="n">
        <f aca="false">W_PH(S$2,$A459)</f>
        <v>3326.52615710017</v>
      </c>
      <c r="T459" s="0" t="n">
        <f aca="false">W_PH(T$2,$A459)</f>
        <v>3326.54596280367</v>
      </c>
      <c r="U459" s="0" t="n">
        <f aca="false">W_PH(U$2,$A459)</f>
        <v>3326.5657686647</v>
      </c>
      <c r="V459" s="0" t="n">
        <f aca="false">W_PH(V$2,$A459)</f>
        <v>3326.58557468547</v>
      </c>
      <c r="W459" s="0" t="n">
        <f aca="false">W_PH(W$2,$A459)</f>
        <v>3326.6053808682</v>
      </c>
      <c r="X459" s="0" t="n">
        <f aca="false">W_PH(X$2,$A459)</f>
        <v>3326.62518721508</v>
      </c>
      <c r="Y459" s="0" t="n">
        <f aca="false">W_PH(Y$2,$A459)</f>
        <v>3326.82325262666</v>
      </c>
      <c r="Z459" s="0" t="n">
        <f aca="false">W_PH(Z$2,$A459)</f>
        <v>3327.02133688328</v>
      </c>
      <c r="AA459" s="0" t="n">
        <f aca="false">W_PH(AA$2,$A459)</f>
        <v>3327.2194384077</v>
      </c>
      <c r="AB459" s="0" t="n">
        <f aca="false">W_PH(AB$2,$A459)</f>
        <v>3327.41755562107</v>
      </c>
      <c r="AC459" s="0" t="n">
        <f aca="false">W_PH(AC$2,$A459)</f>
        <v>3327.6157020937</v>
      </c>
      <c r="AD459" s="0" t="n">
        <f aca="false">W_PH(AD$2,$A459)</f>
        <v>3327.81386867218</v>
      </c>
      <c r="AE459" s="0" t="n">
        <f aca="false">W_PH(AE$2,$A459)</f>
        <v>3328.01206135223</v>
      </c>
      <c r="AF459" s="0" t="n">
        <f aca="false">W_PH(AF$2,$A459)</f>
        <v>3328.21028234232</v>
      </c>
      <c r="AG459" s="0" t="n">
        <f aca="false">W_PH(AG$2,$A459)</f>
        <v>3328.40853385088</v>
      </c>
      <c r="AH459" s="0" t="n">
        <f aca="false">W_PH(AH$2,$A459)</f>
        <v>3330.39318676119</v>
      </c>
      <c r="AI459" s="0" t="n">
        <f aca="false">W_PH(AI$2,$A459)</f>
        <v>3332.38321446758</v>
      </c>
      <c r="AJ459" s="0" t="n">
        <f aca="false">W_PH(AJ$2,$A459)</f>
        <v>3334.38072637083</v>
      </c>
      <c r="AK459" s="0" t="n">
        <f aca="false">W_PH(AK$2,$A459)</f>
        <v>3336.38783924033</v>
      </c>
      <c r="AL459" s="0" t="n">
        <f aca="false">W_PH(AL$2,$A459)</f>
        <v>3338.40666212748</v>
      </c>
      <c r="AM459" s="0" t="n">
        <f aca="false">W_PH(AM$2,$A459)</f>
        <v>3340.43932696228</v>
      </c>
      <c r="AN459" s="0" t="n">
        <f aca="false">W_PH(AN$2,$A459)</f>
        <v>3342.48793158263</v>
      </c>
      <c r="AO459" s="0" t="n">
        <f aca="false">W_PH(AO$2,$A459)</f>
        <v>3344.55460468825</v>
      </c>
      <c r="AP459" s="0" t="n">
        <f aca="false">W_PH(AP$2,$A459)</f>
        <v>2015</v>
      </c>
      <c r="AQ459" s="0" t="n">
        <f aca="false">W_PH(AQ$2,$A459)</f>
        <v>2015</v>
      </c>
      <c r="AR459" s="0" t="n">
        <f aca="false">W_PH(AR$2,$A459)</f>
        <v>2015</v>
      </c>
      <c r="AS459" s="0" t="n">
        <f aca="false">W_PH(AS$2,$A459)</f>
        <v>2015</v>
      </c>
    </row>
    <row r="460" customFormat="false" ht="12.8" hidden="false" customHeight="false" outlineLevel="0" collapsed="false">
      <c r="A460" s="0" t="n">
        <v>2665.52020636285</v>
      </c>
      <c r="B460" s="0" t="n">
        <f aca="false">W_PH(B$2,$A460)</f>
        <v>2015</v>
      </c>
      <c r="C460" s="0" t="n">
        <f aca="false">W_PH(C$2,$A460)</f>
        <v>3329.46560835863</v>
      </c>
      <c r="D460" s="0" t="n">
        <f aca="false">W_PH(D$2,$A460)</f>
        <v>3329.46580778781</v>
      </c>
      <c r="E460" s="0" t="n">
        <f aca="false">W_PH(E$2,$A460)</f>
        <v>3329.466007217</v>
      </c>
      <c r="F460" s="0" t="n">
        <f aca="false">W_PH(F$2,$A460)</f>
        <v>3329.46620286425</v>
      </c>
      <c r="G460" s="0" t="n">
        <f aca="false">W_PH(G$2,$A460)</f>
        <v>3329.46818581125</v>
      </c>
      <c r="H460" s="0" t="n">
        <f aca="false">W_PH(H$2,$A460)</f>
        <v>3329.47016875968</v>
      </c>
      <c r="I460" s="0" t="n">
        <f aca="false">W_PH(I$2,$A460)</f>
        <v>3329.47214792758</v>
      </c>
      <c r="J460" s="0" t="n">
        <f aca="false">W_PH(J$2,$A460)</f>
        <v>3329.47413087888</v>
      </c>
      <c r="K460" s="0" t="n">
        <f aca="false">W_PH(K$2,$A460)</f>
        <v>3329.47611383161</v>
      </c>
      <c r="L460" s="0" t="n">
        <f aca="false">W_PH(L$2,$A460)</f>
        <v>3329.47809300382</v>
      </c>
      <c r="M460" s="0" t="n">
        <f aca="false">W_PH(M$2,$A460)</f>
        <v>3329.48007217746</v>
      </c>
      <c r="N460" s="0" t="n">
        <f aca="false">W_PH(N$2,$A460)</f>
        <v>3329.48205891651</v>
      </c>
      <c r="O460" s="0" t="n">
        <f aca="false">W_PH(O$2,$A460)</f>
        <v>3329.48403809303</v>
      </c>
      <c r="P460" s="0" t="n">
        <f aca="false">W_PH(P$2,$A460)</f>
        <v>3329.5038526302</v>
      </c>
      <c r="Q460" s="0" t="n">
        <f aca="false">W_PH(Q$2,$A460)</f>
        <v>3329.52366731435</v>
      </c>
      <c r="R460" s="0" t="n">
        <f aca="false">W_PH(R$2,$A460)</f>
        <v>3329.54348214767</v>
      </c>
      <c r="S460" s="0" t="n">
        <f aca="false">W_PH(S$2,$A460)</f>
        <v>3329.56329713237</v>
      </c>
      <c r="T460" s="0" t="n">
        <f aca="false">W_PH(T$2,$A460)</f>
        <v>3329.58311227063</v>
      </c>
      <c r="U460" s="0" t="n">
        <f aca="false">W_PH(U$2,$A460)</f>
        <v>3329.60292756467</v>
      </c>
      <c r="V460" s="0" t="n">
        <f aca="false">W_PH(V$2,$A460)</f>
        <v>3329.62273923441</v>
      </c>
      <c r="W460" s="0" t="n">
        <f aca="false">W_PH(W$2,$A460)</f>
        <v>3329.64255484655</v>
      </c>
      <c r="X460" s="0" t="n">
        <f aca="false">W_PH(X$2,$A460)</f>
        <v>3329.66237062105</v>
      </c>
      <c r="Y460" s="0" t="n">
        <f aca="false">W_PH(Y$2,$A460)</f>
        <v>3329.86053021467</v>
      </c>
      <c r="Z460" s="0" t="n">
        <f aca="false">W_PH(Z$2,$A460)</f>
        <v>3330.05870467932</v>
      </c>
      <c r="AA460" s="0" t="n">
        <f aca="false">W_PH(AA$2,$A460)</f>
        <v>3330.25689621287</v>
      </c>
      <c r="AB460" s="0" t="n">
        <f aca="false">W_PH(AB$2,$A460)</f>
        <v>3330.45511079709</v>
      </c>
      <c r="AC460" s="0" t="n">
        <f aca="false">W_PH(AC$2,$A460)</f>
        <v>3330.65334306238</v>
      </c>
      <c r="AD460" s="0" t="n">
        <f aca="false">W_PH(AD$2,$A460)</f>
        <v>3330.85160277486</v>
      </c>
      <c r="AE460" s="0" t="n">
        <f aca="false">W_PH(AE$2,$A460)</f>
        <v>3331.04989213358</v>
      </c>
      <c r="AF460" s="0" t="n">
        <f aca="false">W_PH(AF$2,$A460)</f>
        <v>3331.24820198102</v>
      </c>
      <c r="AG460" s="0" t="n">
        <f aca="false">W_PH(AG$2,$A460)</f>
        <v>3331.44654587045</v>
      </c>
      <c r="AH460" s="0" t="n">
        <f aca="false">W_PH(AH$2,$A460)</f>
        <v>3333.43209831925</v>
      </c>
      <c r="AI460" s="0" t="n">
        <f aca="false">W_PH(AI$2,$A460)</f>
        <v>3335.42298787006</v>
      </c>
      <c r="AJ460" s="0" t="n">
        <f aca="false">W_PH(AJ$2,$A460)</f>
        <v>3337.4213286805</v>
      </c>
      <c r="AK460" s="0" t="n">
        <f aca="false">W_PH(AK$2,$A460)</f>
        <v>3339.42920815114</v>
      </c>
      <c r="AL460" s="0" t="n">
        <f aca="false">W_PH(AL$2,$A460)</f>
        <v>3341.448743979</v>
      </c>
      <c r="AM460" s="0" t="n">
        <f aca="false">W_PH(AM$2,$A460)</f>
        <v>3343.48203873441</v>
      </c>
      <c r="AN460" s="0" t="n">
        <f aca="false">W_PH(AN$2,$A460)</f>
        <v>3345.53120281889</v>
      </c>
      <c r="AO460" s="0" t="n">
        <f aca="false">W_PH(AO$2,$A460)</f>
        <v>3347.5983356043</v>
      </c>
      <c r="AP460" s="0" t="n">
        <f aca="false">W_PH(AP$2,$A460)</f>
        <v>2015</v>
      </c>
      <c r="AQ460" s="0" t="n">
        <f aca="false">W_PH(AQ$2,$A460)</f>
        <v>2015</v>
      </c>
      <c r="AR460" s="0" t="n">
        <f aca="false">W_PH(AR$2,$A460)</f>
        <v>2015</v>
      </c>
      <c r="AS460" s="0" t="n">
        <f aca="false">W_PH(AS$2,$A460)</f>
        <v>2015</v>
      </c>
    </row>
    <row r="461" customFormat="false" ht="12.8" hidden="false" customHeight="false" outlineLevel="0" collapsed="false">
      <c r="A461" s="0" t="n">
        <v>2669.81943250215</v>
      </c>
      <c r="B461" s="0" t="n">
        <f aca="false">W_PH(B$2,$A461)</f>
        <v>2015</v>
      </c>
      <c r="C461" s="0" t="n">
        <f aca="false">W_PH(C$2,$A461)</f>
        <v>3332.49844434954</v>
      </c>
      <c r="D461" s="0" t="n">
        <f aca="false">W_PH(D$2,$A461)</f>
        <v>3332.49864787382</v>
      </c>
      <c r="E461" s="0" t="n">
        <f aca="false">W_PH(E$2,$A461)</f>
        <v>3332.49884384085</v>
      </c>
      <c r="F461" s="0" t="n">
        <f aca="false">W_PH(F$2,$A461)</f>
        <v>3332.4990398079</v>
      </c>
      <c r="G461" s="0" t="n">
        <f aca="false">W_PH(G$2,$A461)</f>
        <v>3332.50102215094</v>
      </c>
      <c r="H461" s="0" t="n">
        <f aca="false">W_PH(H$2,$A461)</f>
        <v>3332.5030044954</v>
      </c>
      <c r="I461" s="0" t="n">
        <f aca="false">W_PH(I$2,$A461)</f>
        <v>3332.50498684127</v>
      </c>
      <c r="J461" s="0" t="n">
        <f aca="false">W_PH(J$2,$A461)</f>
        <v>3332.50696918856</v>
      </c>
      <c r="K461" s="0" t="n">
        <f aca="false">W_PH(K$2,$A461)</f>
        <v>3332.50895153727</v>
      </c>
      <c r="L461" s="0" t="n">
        <f aca="false">W_PH(L$2,$A461)</f>
        <v>3332.51093388741</v>
      </c>
      <c r="M461" s="0" t="n">
        <f aca="false">W_PH(M$2,$A461)</f>
        <v>3332.51291623897</v>
      </c>
      <c r="N461" s="0" t="n">
        <f aca="false">W_PH(N$2,$A461)</f>
        <v>3332.51489859195</v>
      </c>
      <c r="O461" s="0" t="n">
        <f aca="false">W_PH(O$2,$A461)</f>
        <v>3332.51688094636</v>
      </c>
      <c r="P461" s="0" t="n">
        <f aca="false">W_PH(P$2,$A461)</f>
        <v>3332.53670456954</v>
      </c>
      <c r="Q461" s="0" t="n">
        <f aca="false">W_PH(Q$2,$A461)</f>
        <v>3332.556528338</v>
      </c>
      <c r="R461" s="0" t="n">
        <f aca="false">W_PH(R$2,$A461)</f>
        <v>3332.57635225393</v>
      </c>
      <c r="S461" s="0" t="n">
        <f aca="false">W_PH(S$2,$A461)</f>
        <v>3332.59617631951</v>
      </c>
      <c r="T461" s="0" t="n">
        <f aca="false">W_PH(T$2,$A461)</f>
        <v>3332.61600053694</v>
      </c>
      <c r="U461" s="0" t="n">
        <f aca="false">W_PH(U$2,$A461)</f>
        <v>3332.6358249084</v>
      </c>
      <c r="V461" s="0" t="n">
        <f aca="false">W_PH(V$2,$A461)</f>
        <v>3332.65564943608</v>
      </c>
      <c r="W461" s="0" t="n">
        <f aca="false">W_PH(W$2,$A461)</f>
        <v>3332.67547412217</v>
      </c>
      <c r="X461" s="0" t="n">
        <f aca="false">W_PH(X$2,$A461)</f>
        <v>3332.69529896886</v>
      </c>
      <c r="Y461" s="0" t="n">
        <f aca="false">W_PH(Y$2,$A461)</f>
        <v>3332.89354919126</v>
      </c>
      <c r="Z461" s="0" t="n">
        <f aca="false">W_PH(Z$2,$A461)</f>
        <v>3333.09181409941</v>
      </c>
      <c r="AA461" s="0" t="n">
        <f aca="false">W_PH(AA$2,$A461)</f>
        <v>3333.29009966085</v>
      </c>
      <c r="AB461" s="0" t="n">
        <f aca="false">W_PH(AB$2,$A461)</f>
        <v>3333.4884005029</v>
      </c>
      <c r="AC461" s="0" t="n">
        <f aca="false">W_PH(AC$2,$A461)</f>
        <v>3333.68672637371</v>
      </c>
      <c r="AD461" s="0" t="n">
        <f aca="false">W_PH(AD$2,$A461)</f>
        <v>3333.8850756804</v>
      </c>
      <c r="AE461" s="0" t="n">
        <f aca="false">W_PH(AE$2,$A461)</f>
        <v>3334.08344682858</v>
      </c>
      <c r="AF461" s="0" t="n">
        <f aca="false">W_PH(AF$2,$A461)</f>
        <v>3334.28184956875</v>
      </c>
      <c r="AG461" s="0" t="n">
        <f aca="false">W_PH(AG$2,$A461)</f>
        <v>3334.4802823069</v>
      </c>
      <c r="AH461" s="0" t="n">
        <f aca="false">W_PH(AH$2,$A461)</f>
        <v>3336.46671808669</v>
      </c>
      <c r="AI461" s="0" t="n">
        <f aca="false">W_PH(AI$2,$A461)</f>
        <v>3338.4584574621</v>
      </c>
      <c r="AJ461" s="0" t="n">
        <f aca="false">W_PH(AJ$2,$A461)</f>
        <v>3340.45759284654</v>
      </c>
      <c r="AK461" s="0" t="n">
        <f aca="false">W_PH(AK$2,$A461)</f>
        <v>3342.46623168464</v>
      </c>
      <c r="AL461" s="0" t="n">
        <f aca="false">W_PH(AL$2,$A461)</f>
        <v>3344.48645861778</v>
      </c>
      <c r="AM461" s="0" t="n">
        <f aca="false">W_PH(AM$2,$A461)</f>
        <v>3346.52037355669</v>
      </c>
      <c r="AN461" s="0" t="n">
        <f aca="false">W_PH(AN$2,$A461)</f>
        <v>3348.57007667507</v>
      </c>
      <c r="AO461" s="0" t="n">
        <f aca="false">W_PH(AO$2,$A461)</f>
        <v>3350.637660965</v>
      </c>
      <c r="AP461" s="0" t="n">
        <f aca="false">W_PH(AP$2,$A461)</f>
        <v>2015</v>
      </c>
      <c r="AQ461" s="0" t="n">
        <f aca="false">W_PH(AQ$2,$A461)</f>
        <v>2015</v>
      </c>
      <c r="AR461" s="0" t="n">
        <f aca="false">W_PH(AR$2,$A461)</f>
        <v>2015</v>
      </c>
      <c r="AS461" s="0" t="n">
        <f aca="false">W_PH(AS$2,$A461)</f>
        <v>2015</v>
      </c>
    </row>
    <row r="462" customFormat="false" ht="12.8" hidden="false" customHeight="false" outlineLevel="0" collapsed="false">
      <c r="A462" s="0" t="n">
        <v>2674.11865864144</v>
      </c>
      <c r="B462" s="0" t="n">
        <f aca="false">W_PH(B$2,$A462)</f>
        <v>2015</v>
      </c>
      <c r="C462" s="0" t="n">
        <f aca="false">W_PH(C$2,$A462)</f>
        <v>3335.52704702487</v>
      </c>
      <c r="D462" s="0" t="n">
        <f aca="false">W_PH(D$2,$A462)</f>
        <v>3335.52724330776</v>
      </c>
      <c r="E462" s="0" t="n">
        <f aca="false">W_PH(E$2,$A462)</f>
        <v>3335.52744336599</v>
      </c>
      <c r="F462" s="0" t="n">
        <f aca="false">W_PH(F$2,$A462)</f>
        <v>3335.52764342423</v>
      </c>
      <c r="G462" s="0" t="n">
        <f aca="false">W_PH(G$2,$A462)</f>
        <v>3335.52962513082</v>
      </c>
      <c r="H462" s="0" t="n">
        <f aca="false">W_PH(H$2,$A462)</f>
        <v>3335.5316068388</v>
      </c>
      <c r="I462" s="0" t="n">
        <f aca="false">W_PH(I$2,$A462)</f>
        <v>3335.5335923235</v>
      </c>
      <c r="J462" s="0" t="n">
        <f aca="false">W_PH(J$2,$A462)</f>
        <v>3335.53557403428</v>
      </c>
      <c r="K462" s="0" t="n">
        <f aca="false">W_PH(K$2,$A462)</f>
        <v>3335.53755574646</v>
      </c>
      <c r="L462" s="0" t="n">
        <f aca="false">W_PH(L$2,$A462)</f>
        <v>3335.53954123538</v>
      </c>
      <c r="M462" s="0" t="n">
        <f aca="false">W_PH(M$2,$A462)</f>
        <v>3335.54152672572</v>
      </c>
      <c r="N462" s="0" t="n">
        <f aca="false">W_PH(N$2,$A462)</f>
        <v>3335.54350466677</v>
      </c>
      <c r="O462" s="0" t="n">
        <f aca="false">W_PH(O$2,$A462)</f>
        <v>3335.54549015993</v>
      </c>
      <c r="P462" s="0" t="n">
        <f aca="false">W_PH(P$2,$A462)</f>
        <v>3335.56532251757</v>
      </c>
      <c r="Q462" s="0" t="n">
        <f aca="false">W_PH(Q$2,$A462)</f>
        <v>3335.58515501881</v>
      </c>
      <c r="R462" s="0" t="n">
        <f aca="false">W_PH(R$2,$A462)</f>
        <v>3335.60498766582</v>
      </c>
      <c r="S462" s="0" t="n">
        <f aca="false">W_PH(S$2,$A462)</f>
        <v>3335.6248204608</v>
      </c>
      <c r="T462" s="0" t="n">
        <f aca="false">W_PH(T$2,$A462)</f>
        <v>3335.64465340592</v>
      </c>
      <c r="U462" s="0" t="n">
        <f aca="false">W_PH(U$2,$A462)</f>
        <v>3335.66448650334</v>
      </c>
      <c r="V462" s="0" t="n">
        <f aca="false">W_PH(V$2,$A462)</f>
        <v>3335.68431975527</v>
      </c>
      <c r="W462" s="0" t="n">
        <f aca="false">W_PH(W$2,$A462)</f>
        <v>3335.70415316386</v>
      </c>
      <c r="X462" s="0" t="n">
        <f aca="false">W_PH(X$2,$A462)</f>
        <v>3335.7239867313</v>
      </c>
      <c r="Y462" s="0" t="n">
        <f aca="false">W_PH(Y$2,$A462)</f>
        <v>3335.92232406935</v>
      </c>
      <c r="Z462" s="0" t="n">
        <f aca="false">W_PH(Z$2,$A462)</f>
        <v>3336.12067968655</v>
      </c>
      <c r="AA462" s="0" t="n">
        <f aca="false">W_PH(AA$2,$A462)</f>
        <v>3336.31904820721</v>
      </c>
      <c r="AB462" s="0" t="n">
        <f aca="false">W_PH(AB$2,$A462)</f>
        <v>3336.51744313882</v>
      </c>
      <c r="AC462" s="0" t="n">
        <f aca="false">W_PH(AC$2,$A462)</f>
        <v>3336.71585532769</v>
      </c>
      <c r="AD462" s="0" t="n">
        <f aca="false">W_PH(AD$2,$A462)</f>
        <v>3336.91429072759</v>
      </c>
      <c r="AE462" s="0" t="n">
        <f aca="false">W_PH(AE$2,$A462)</f>
        <v>3337.11275529386</v>
      </c>
      <c r="AF462" s="0" t="n">
        <f aca="false">W_PH(AF$2,$A462)</f>
        <v>3337.31124364699</v>
      </c>
      <c r="AG462" s="0" t="n">
        <f aca="false">W_PH(AG$2,$A462)</f>
        <v>3337.50976552116</v>
      </c>
      <c r="AH462" s="0" t="n">
        <f aca="false">W_PH(AH$2,$A462)</f>
        <v>3339.49705742853</v>
      </c>
      <c r="AI462" s="0" t="n">
        <f aca="false">W_PH(AI$2,$A462)</f>
        <v>3341.4896273612</v>
      </c>
      <c r="AJ462" s="0" t="n">
        <f aca="false">W_PH(AJ$2,$A462)</f>
        <v>3343.48955368709</v>
      </c>
      <c r="AK462" s="0" t="n">
        <f aca="false">W_PH(AK$2,$A462)</f>
        <v>3345.49892980748</v>
      </c>
      <c r="AL462" s="0" t="n">
        <f aca="false">W_PH(AL$2,$A462)</f>
        <v>3347.5198301547</v>
      </c>
      <c r="AM462" s="0" t="n">
        <f aca="false">W_PH(AM$2,$A462)</f>
        <v>3349.55435204827</v>
      </c>
      <c r="AN462" s="0" t="n">
        <f aca="false">W_PH(AN$2,$A462)</f>
        <v>3351.60457410069</v>
      </c>
      <c r="AO462" s="0" t="n">
        <f aca="false">W_PH(AO$2,$A462)</f>
        <v>3353.67259058358</v>
      </c>
      <c r="AP462" s="0" t="n">
        <f aca="false">W_PH(AP$2,$A462)</f>
        <v>2015</v>
      </c>
      <c r="AQ462" s="0" t="n">
        <f aca="false">W_PH(AQ$2,$A462)</f>
        <v>2015</v>
      </c>
      <c r="AR462" s="0" t="n">
        <f aca="false">W_PH(AR$2,$A462)</f>
        <v>2015</v>
      </c>
      <c r="AS462" s="0" t="n">
        <f aca="false">W_PH(AS$2,$A462)</f>
        <v>2015</v>
      </c>
    </row>
    <row r="463" customFormat="false" ht="12.8" hidden="false" customHeight="false" outlineLevel="0" collapsed="false">
      <c r="A463" s="0" t="n">
        <v>2678.41788478074</v>
      </c>
      <c r="B463" s="0" t="n">
        <f aca="false">W_PH(B$2,$A463)</f>
        <v>2015</v>
      </c>
      <c r="C463" s="0" t="n">
        <f aca="false">W_PH(C$2,$A463)</f>
        <v>3338.55142694213</v>
      </c>
      <c r="D463" s="0" t="n">
        <f aca="false">W_PH(D$2,$A463)</f>
        <v>3338.55162353702</v>
      </c>
      <c r="E463" s="0" t="n">
        <f aca="false">W_PH(E$2,$A463)</f>
        <v>3338.55182390394</v>
      </c>
      <c r="F463" s="0" t="n">
        <f aca="false">W_PH(F$2,$A463)</f>
        <v>3338.55202427087</v>
      </c>
      <c r="G463" s="0" t="n">
        <f aca="false">W_PH(G$2,$A463)</f>
        <v>3338.55400530888</v>
      </c>
      <c r="H463" s="0" t="n">
        <f aca="false">W_PH(H$2,$A463)</f>
        <v>3338.55599389231</v>
      </c>
      <c r="I463" s="0" t="n">
        <f aca="false">W_PH(I$2,$A463)</f>
        <v>3338.55797493308</v>
      </c>
      <c r="J463" s="0" t="n">
        <f aca="false">W_PH(J$2,$A463)</f>
        <v>3338.55995974725</v>
      </c>
      <c r="K463" s="0" t="n">
        <f aca="false">W_PH(K$2,$A463)</f>
        <v>3338.56194456281</v>
      </c>
      <c r="L463" s="0" t="n">
        <f aca="false">W_PH(L$2,$A463)</f>
        <v>3338.56392560773</v>
      </c>
      <c r="M463" s="0" t="n">
        <f aca="false">W_PH(M$2,$A463)</f>
        <v>3338.56591419811</v>
      </c>
      <c r="N463" s="0" t="n">
        <f aca="false">W_PH(N$2,$A463)</f>
        <v>3338.56789524581</v>
      </c>
      <c r="O463" s="0" t="n">
        <f aca="false">W_PH(O$2,$A463)</f>
        <v>3338.56988006695</v>
      </c>
      <c r="P463" s="0" t="n">
        <f aca="false">W_PH(P$2,$A463)</f>
        <v>3338.58972081144</v>
      </c>
      <c r="Q463" s="0" t="n">
        <f aca="false">W_PH(Q$2,$A463)</f>
        <v>3338.60956169789</v>
      </c>
      <c r="R463" s="0" t="n">
        <f aca="false">W_PH(R$2,$A463)</f>
        <v>3338.62940272844</v>
      </c>
      <c r="S463" s="0" t="n">
        <f aca="false">W_PH(S$2,$A463)</f>
        <v>3338.64924390528</v>
      </c>
      <c r="T463" s="0" t="n">
        <f aca="false">W_PH(T$2,$A463)</f>
        <v>3338.66908523057</v>
      </c>
      <c r="U463" s="0" t="n">
        <f aca="false">W_PH(U$2,$A463)</f>
        <v>3338.68892670648</v>
      </c>
      <c r="V463" s="0" t="n">
        <f aca="false">W_PH(V$2,$A463)</f>
        <v>3338.70876833517</v>
      </c>
      <c r="W463" s="0" t="n">
        <f aca="false">W_PH(W$2,$A463)</f>
        <v>3338.72861011882</v>
      </c>
      <c r="X463" s="0" t="n">
        <f aca="false">W_PH(X$2,$A463)</f>
        <v>3338.74845205958</v>
      </c>
      <c r="Y463" s="0" t="n">
        <f aca="false">W_PH(Y$2,$A463)</f>
        <v>3338.94687681294</v>
      </c>
      <c r="Z463" s="0" t="n">
        <f aca="false">W_PH(Z$2,$A463)</f>
        <v>3339.14532343514</v>
      </c>
      <c r="AA463" s="0" t="n">
        <f aca="false">W_PH(AA$2,$A463)</f>
        <v>3339.3437790008</v>
      </c>
      <c r="AB463" s="0" t="n">
        <f aca="false">W_PH(AB$2,$A463)</f>
        <v>3339.54225699594</v>
      </c>
      <c r="AC463" s="0" t="n">
        <f aca="false">W_PH(AC$2,$A463)</f>
        <v>3339.74075581394</v>
      </c>
      <c r="AD463" s="0" t="n">
        <f aca="false">W_PH(AD$2,$A463)</f>
        <v>3339.93928139604</v>
      </c>
      <c r="AE463" s="0" t="n">
        <f aca="false">W_PH(AE$2,$A463)</f>
        <v>3340.13782835979</v>
      </c>
      <c r="AF463" s="0" t="n">
        <f aca="false">W_PH(AF$2,$A463)</f>
        <v>3340.33640264609</v>
      </c>
      <c r="AG463" s="0" t="n">
        <f aca="false">W_PH(AG$2,$A463)</f>
        <v>3340.53501019738</v>
      </c>
      <c r="AH463" s="0" t="n">
        <f aca="false">W_PH(AH$2,$A463)</f>
        <v>3342.52314273914</v>
      </c>
      <c r="AI463" s="0" t="n">
        <f aca="false">W_PH(AI$2,$A463)</f>
        <v>3344.51652431933</v>
      </c>
      <c r="AJ463" s="0" t="n">
        <f aca="false">W_PH(AJ$2,$A463)</f>
        <v>3346.51722311562</v>
      </c>
      <c r="AK463" s="0" t="n">
        <f aca="false">W_PH(AK$2,$A463)</f>
        <v>3348.52731477423</v>
      </c>
      <c r="AL463" s="0" t="n">
        <f aca="false">W_PH(AL$2,$A463)</f>
        <v>3350.54887496255</v>
      </c>
      <c r="AM463" s="0" t="n">
        <f aca="false">W_PH(AM$2,$A463)</f>
        <v>3352.58398329534</v>
      </c>
      <c r="AN463" s="0" t="n">
        <f aca="false">W_PH(AN$2,$A463)</f>
        <v>3354.6347121003</v>
      </c>
      <c r="AO463" s="0" t="n">
        <f aca="false">W_PH(AO$2,$A463)</f>
        <v>3356.70314938773</v>
      </c>
      <c r="AP463" s="0" t="n">
        <f aca="false">W_PH(AP$2,$A463)</f>
        <v>2015</v>
      </c>
      <c r="AQ463" s="0" t="n">
        <f aca="false">W_PH(AQ$2,$A463)</f>
        <v>2015</v>
      </c>
      <c r="AR463" s="0" t="n">
        <f aca="false">W_PH(AR$2,$A463)</f>
        <v>2015</v>
      </c>
      <c r="AS463" s="0" t="n">
        <f aca="false">W_PH(AS$2,$A463)</f>
        <v>2015</v>
      </c>
    </row>
    <row r="464" customFormat="false" ht="12.8" hidden="false" customHeight="false" outlineLevel="0" collapsed="false">
      <c r="A464" s="0" t="n">
        <v>2682.71711092003</v>
      </c>
      <c r="B464" s="0" t="n">
        <f aca="false">W_PH(B$2,$A464)</f>
        <v>2015</v>
      </c>
      <c r="C464" s="0" t="n">
        <f aca="false">W_PH(C$2,$A464)</f>
        <v>3341.57160965434</v>
      </c>
      <c r="D464" s="0" t="n">
        <f aca="false">W_PH(D$2,$A464)</f>
        <v>3341.57180655739</v>
      </c>
      <c r="E464" s="0" t="n">
        <f aca="false">W_PH(E$2,$A464)</f>
        <v>3341.57200346046</v>
      </c>
      <c r="F464" s="0" t="n">
        <f aca="false">W_PH(F$2,$A464)</f>
        <v>3341.57220036354</v>
      </c>
      <c r="G464" s="0" t="n">
        <f aca="false">W_PH(G$2,$A464)</f>
        <v>3341.57418823867</v>
      </c>
      <c r="H464" s="0" t="n">
        <f aca="false">W_PH(H$2,$A464)</f>
        <v>3341.57617611518</v>
      </c>
      <c r="I464" s="0" t="n">
        <f aca="false">W_PH(I$2,$A464)</f>
        <v>3341.57816022433</v>
      </c>
      <c r="J464" s="0" t="n">
        <f aca="false">W_PH(J$2,$A464)</f>
        <v>3341.58014433485</v>
      </c>
      <c r="K464" s="0" t="n">
        <f aca="false">W_PH(K$2,$A464)</f>
        <v>3341.58212844673</v>
      </c>
      <c r="L464" s="0" t="n">
        <f aca="false">W_PH(L$2,$A464)</f>
        <v>3341.58411255999</v>
      </c>
      <c r="M464" s="0" t="n">
        <f aca="false">W_PH(M$2,$A464)</f>
        <v>3341.58609667462</v>
      </c>
      <c r="N464" s="0" t="n">
        <f aca="false">W_PH(N$2,$A464)</f>
        <v>3341.58808079062</v>
      </c>
      <c r="O464" s="0" t="n">
        <f aca="false">W_PH(O$2,$A464)</f>
        <v>3341.59006490801</v>
      </c>
      <c r="P464" s="0" t="n">
        <f aca="false">W_PH(P$2,$A464)</f>
        <v>3341.60991746448</v>
      </c>
      <c r="Q464" s="0" t="n">
        <f aca="false">W_PH(Q$2,$A464)</f>
        <v>3341.62976639251</v>
      </c>
      <c r="R464" s="0" t="n">
        <f aca="false">W_PH(R$2,$A464)</f>
        <v>3341.64961923187</v>
      </c>
      <c r="S464" s="0" t="n">
        <f aca="false">W_PH(S$2,$A464)</f>
        <v>3341.66946844703</v>
      </c>
      <c r="T464" s="0" t="n">
        <f aca="false">W_PH(T$2,$A464)</f>
        <v>3341.68931780898</v>
      </c>
      <c r="U464" s="0" t="n">
        <f aca="false">W_PH(U$2,$A464)</f>
        <v>3341.70916731986</v>
      </c>
      <c r="V464" s="0" t="n">
        <f aca="false">W_PH(V$2,$A464)</f>
        <v>3341.72901698184</v>
      </c>
      <c r="W464" s="0" t="n">
        <f aca="false">W_PH(W$2,$A464)</f>
        <v>3341.74886679708</v>
      </c>
      <c r="X464" s="0" t="n">
        <f aca="false">W_PH(X$2,$A464)</f>
        <v>3341.76871676773</v>
      </c>
      <c r="Y464" s="0" t="n">
        <f aca="false">W_PH(Y$2,$A464)</f>
        <v>3341.96722926601</v>
      </c>
      <c r="Z464" s="0" t="n">
        <f aca="false">W_PH(Z$2,$A464)</f>
        <v>3342.16575590953</v>
      </c>
      <c r="AA464" s="0" t="n">
        <f aca="false">W_PH(AA$2,$A464)</f>
        <v>3342.3642988545</v>
      </c>
      <c r="AB464" s="0" t="n">
        <f aca="false">W_PH(AB$2,$A464)</f>
        <v>3342.56286025716</v>
      </c>
      <c r="AC464" s="0" t="n">
        <f aca="false">W_PH(AC$2,$A464)</f>
        <v>3342.76144604475</v>
      </c>
      <c r="AD464" s="0" t="n">
        <f aca="false">W_PH(AD$2,$A464)</f>
        <v>3342.96005083192</v>
      </c>
      <c r="AE464" s="0" t="n">
        <f aca="false">W_PH(AE$2,$A464)</f>
        <v>3343.15868431733</v>
      </c>
      <c r="AF464" s="0" t="n">
        <f aca="false">W_PH(AF$2,$A464)</f>
        <v>3343.35734111414</v>
      </c>
      <c r="AG464" s="0" t="n">
        <f aca="false">W_PH(AG$2,$A464)</f>
        <v>3343.55603092255</v>
      </c>
      <c r="AH464" s="0" t="n">
        <f aca="false">W_PH(AH$2,$A464)</f>
        <v>3345.5449927178</v>
      </c>
      <c r="AI464" s="0" t="n">
        <f aca="false">W_PH(AI$2,$A464)</f>
        <v>3347.53916738091</v>
      </c>
      <c r="AJ464" s="0" t="n">
        <f aca="false">W_PH(AJ$2,$A464)</f>
        <v>3349.54061673252</v>
      </c>
      <c r="AK464" s="0" t="n">
        <f aca="false">W_PH(AK$2,$A464)</f>
        <v>3351.5514101003</v>
      </c>
      <c r="AL464" s="0" t="n">
        <f aca="false">W_PH(AL$2,$A464)</f>
        <v>3353.57361308556</v>
      </c>
      <c r="AM464" s="0" t="n">
        <f aca="false">W_PH(AM$2,$A464)</f>
        <v>3355.60929146641</v>
      </c>
      <c r="AN464" s="0" t="n">
        <f aca="false">W_PH(AN$2,$A464)</f>
        <v>3357.66051514603</v>
      </c>
      <c r="AO464" s="0" t="n">
        <f aca="false">W_PH(AO$2,$A464)</f>
        <v>3359.72935074153</v>
      </c>
      <c r="AP464" s="0" t="n">
        <f aca="false">W_PH(AP$2,$A464)</f>
        <v>2015</v>
      </c>
      <c r="AQ464" s="0" t="n">
        <f aca="false">W_PH(AQ$2,$A464)</f>
        <v>2015</v>
      </c>
      <c r="AR464" s="0" t="n">
        <f aca="false">W_PH(AR$2,$A464)</f>
        <v>2015</v>
      </c>
      <c r="AS464" s="0" t="n">
        <f aca="false">W_PH(AS$2,$A464)</f>
        <v>2015</v>
      </c>
    </row>
    <row r="465" customFormat="false" ht="12.8" hidden="false" customHeight="false" outlineLevel="0" collapsed="false">
      <c r="A465" s="0" t="n">
        <v>2687.01633705933</v>
      </c>
      <c r="B465" s="0" t="n">
        <f aca="false">W_PH(B$2,$A465)</f>
        <v>2015</v>
      </c>
      <c r="C465" s="0" t="n">
        <f aca="false">W_PH(C$2,$A465)</f>
        <v>3344.58760552162</v>
      </c>
      <c r="D465" s="0" t="n">
        <f aca="false">W_PH(D$2,$A465)</f>
        <v>3344.58780272903</v>
      </c>
      <c r="E465" s="0" t="n">
        <f aca="false">W_PH(E$2,$A465)</f>
        <v>3344.58799993646</v>
      </c>
      <c r="F465" s="0" t="n">
        <f aca="false">W_PH(F$2,$A465)</f>
        <v>3344.58820090934</v>
      </c>
      <c r="G465" s="0" t="n">
        <f aca="false">W_PH(G$2,$A465)</f>
        <v>3344.5901842808</v>
      </c>
      <c r="H465" s="0" t="n">
        <f aca="false">W_PH(H$2,$A465)</f>
        <v>3344.59217141905</v>
      </c>
      <c r="I465" s="0" t="n">
        <f aca="false">W_PH(I$2,$A465)</f>
        <v>3344.59415855865</v>
      </c>
      <c r="J465" s="0" t="n">
        <f aca="false">W_PH(J$2,$A465)</f>
        <v>3344.59614569961</v>
      </c>
      <c r="K465" s="0" t="n">
        <f aca="false">W_PH(K$2,$A465)</f>
        <v>3344.59812907647</v>
      </c>
      <c r="L465" s="0" t="n">
        <f aca="false">W_PH(L$2,$A465)</f>
        <v>3344.60011245468</v>
      </c>
      <c r="M465" s="0" t="n">
        <f aca="false">W_PH(M$2,$A465)</f>
        <v>3344.60209959972</v>
      </c>
      <c r="N465" s="0" t="n">
        <f aca="false">W_PH(N$2,$A465)</f>
        <v>3344.60408674611</v>
      </c>
      <c r="O465" s="0" t="n">
        <f aca="false">W_PH(O$2,$A465)</f>
        <v>3344.60607389387</v>
      </c>
      <c r="P465" s="0" t="n">
        <f aca="false">W_PH(P$2,$A465)</f>
        <v>3344.62593038507</v>
      </c>
      <c r="Q465" s="0" t="n">
        <f aca="false">W_PH(Q$2,$A465)</f>
        <v>3344.64578701496</v>
      </c>
      <c r="R465" s="0" t="n">
        <f aca="false">W_PH(R$2,$A465)</f>
        <v>3344.6656437857</v>
      </c>
      <c r="S465" s="0" t="n">
        <f aca="false">W_PH(S$2,$A465)</f>
        <v>3344.68550446504</v>
      </c>
      <c r="T465" s="0" t="n">
        <f aca="false">W_PH(T$2,$A465)</f>
        <v>3344.7053652896</v>
      </c>
      <c r="U465" s="0" t="n">
        <f aca="false">W_PH(U$2,$A465)</f>
        <v>3344.72522249582</v>
      </c>
      <c r="V465" s="0" t="n">
        <f aca="false">W_PH(V$2,$A465)</f>
        <v>3344.74507985148</v>
      </c>
      <c r="W465" s="0" t="n">
        <f aca="false">W_PH(W$2,$A465)</f>
        <v>3344.76493735871</v>
      </c>
      <c r="X465" s="0" t="n">
        <f aca="false">W_PH(X$2,$A465)</f>
        <v>3344.78479501966</v>
      </c>
      <c r="Y465" s="0" t="n">
        <f aca="false">W_PH(Y$2,$A465)</f>
        <v>3344.98339185504</v>
      </c>
      <c r="Z465" s="0" t="n">
        <f aca="false">W_PH(Z$2,$A465)</f>
        <v>3345.18199889391</v>
      </c>
      <c r="AA465" s="0" t="n">
        <f aca="false">W_PH(AA$2,$A465)</f>
        <v>3345.38062958194</v>
      </c>
      <c r="AB465" s="0" t="n">
        <f aca="false">W_PH(AB$2,$A465)</f>
        <v>3345.57927476547</v>
      </c>
      <c r="AC465" s="0" t="n">
        <f aca="false">W_PH(AC$2,$A465)</f>
        <v>3345.7779365894</v>
      </c>
      <c r="AD465" s="0" t="n">
        <f aca="false">W_PH(AD$2,$A465)</f>
        <v>3345.97662850284</v>
      </c>
      <c r="AE465" s="0" t="n">
        <f aca="false">W_PH(AE$2,$A465)</f>
        <v>3346.1753413488</v>
      </c>
      <c r="AF465" s="0" t="n">
        <f aca="false">W_PH(AF$2,$A465)</f>
        <v>3346.37408480986</v>
      </c>
      <c r="AG465" s="0" t="n">
        <f aca="false">W_PH(AG$2,$A465)</f>
        <v>3346.57285349489</v>
      </c>
      <c r="AH465" s="0" t="n">
        <f aca="false">W_PH(AH$2,$A465)</f>
        <v>3348.56262594958</v>
      </c>
      <c r="AI465" s="0" t="n">
        <f aca="false">W_PH(AI$2,$A465)</f>
        <v>3350.55756791826</v>
      </c>
      <c r="AJ465" s="0" t="n">
        <f aca="false">W_PH(AJ$2,$A465)</f>
        <v>3352.55975758902</v>
      </c>
      <c r="AK465" s="0" t="n">
        <f aca="false">W_PH(AK$2,$A465)</f>
        <v>3354.57123537529</v>
      </c>
      <c r="AL465" s="0" t="n">
        <f aca="false">W_PH(AL$2,$A465)</f>
        <v>3356.59406064836</v>
      </c>
      <c r="AM465" s="0" t="n">
        <f aca="false">W_PH(AM$2,$A465)</f>
        <v>3358.63029678831</v>
      </c>
      <c r="AN465" s="0" t="n">
        <f aca="false">W_PH(AN$2,$A465)</f>
        <v>3360.68199617271</v>
      </c>
      <c r="AO465" s="0" t="n">
        <f aca="false">W_PH(AO$2,$A465)</f>
        <v>3362.75121928511</v>
      </c>
      <c r="AP465" s="0" t="n">
        <f aca="false">W_PH(AP$2,$A465)</f>
        <v>2015</v>
      </c>
      <c r="AQ465" s="0" t="n">
        <f aca="false">W_PH(AQ$2,$A465)</f>
        <v>2015</v>
      </c>
      <c r="AR465" s="0" t="n">
        <f aca="false">W_PH(AR$2,$A465)</f>
        <v>2015</v>
      </c>
      <c r="AS465" s="0" t="n">
        <f aca="false">W_PH(AS$2,$A465)</f>
        <v>2015</v>
      </c>
    </row>
    <row r="466" customFormat="false" ht="12.8" hidden="false" customHeight="false" outlineLevel="0" collapsed="false">
      <c r="A466" s="0" t="n">
        <v>2691.31556319862</v>
      </c>
      <c r="B466" s="0" t="n">
        <f aca="false">W_PH(B$2,$A466)</f>
        <v>2015</v>
      </c>
      <c r="C466" s="0" t="n">
        <f aca="false">W_PH(C$2,$A466)</f>
        <v>3347.59943611295</v>
      </c>
      <c r="D466" s="0" t="n">
        <f aca="false">W_PH(D$2,$A466)</f>
        <v>3347.59963362097</v>
      </c>
      <c r="E466" s="0" t="n">
        <f aca="false">W_PH(E$2,$A466)</f>
        <v>3347.59983489117</v>
      </c>
      <c r="F466" s="0" t="n">
        <f aca="false">W_PH(F$2,$A466)</f>
        <v>3347.60003239922</v>
      </c>
      <c r="G466" s="0" t="n">
        <f aca="false">W_PH(G$2,$A466)</f>
        <v>3347.60201876691</v>
      </c>
      <c r="H466" s="0" t="n">
        <f aca="false">W_PH(H$2,$A466)</f>
        <v>3347.60400513594</v>
      </c>
      <c r="I466" s="0" t="n">
        <f aca="false">W_PH(I$2,$A466)</f>
        <v>3347.60599150631</v>
      </c>
      <c r="J466" s="0" t="n">
        <f aca="false">W_PH(J$2,$A466)</f>
        <v>3347.60797787801</v>
      </c>
      <c r="K466" s="0" t="n">
        <f aca="false">W_PH(K$2,$A466)</f>
        <v>3347.60996425105</v>
      </c>
      <c r="L466" s="0" t="n">
        <f aca="false">W_PH(L$2,$A466)</f>
        <v>3347.61195062543</v>
      </c>
      <c r="M466" s="0" t="n">
        <f aca="false">W_PH(M$2,$A466)</f>
        <v>3347.61393700116</v>
      </c>
      <c r="N466" s="0" t="n">
        <f aca="false">W_PH(N$2,$A466)</f>
        <v>3347.61592337823</v>
      </c>
      <c r="O466" s="0" t="n">
        <f aca="false">W_PH(O$2,$A466)</f>
        <v>3347.61791351884</v>
      </c>
      <c r="P466" s="0" t="n">
        <f aca="false">W_PH(P$2,$A466)</f>
        <v>3347.63777737763</v>
      </c>
      <c r="Q466" s="0" t="n">
        <f aca="false">W_PH(Q$2,$A466)</f>
        <v>3347.65764137352</v>
      </c>
      <c r="R466" s="0" t="n">
        <f aca="false">W_PH(R$2,$A466)</f>
        <v>3347.67750927096</v>
      </c>
      <c r="S466" s="0" t="n">
        <f aca="false">W_PH(S$2,$A466)</f>
        <v>3347.69737730984</v>
      </c>
      <c r="T466" s="0" t="n">
        <f aca="false">W_PH(T$2,$A466)</f>
        <v>3347.71724172993</v>
      </c>
      <c r="U466" s="0" t="n">
        <f aca="false">W_PH(U$2,$A466)</f>
        <v>3347.73710629566</v>
      </c>
      <c r="V466" s="0" t="n">
        <f aca="false">W_PH(V$2,$A466)</f>
        <v>3347.75697477164</v>
      </c>
      <c r="W466" s="0" t="n">
        <f aca="false">W_PH(W$2,$A466)</f>
        <v>3347.77684339761</v>
      </c>
      <c r="X466" s="0" t="n">
        <f aca="false">W_PH(X$2,$A466)</f>
        <v>3347.79670841318</v>
      </c>
      <c r="Y466" s="0" t="n">
        <f aca="false">W_PH(Y$2,$A466)</f>
        <v>3347.99538245386</v>
      </c>
      <c r="Z466" s="0" t="n">
        <f aca="false">W_PH(Z$2,$A466)</f>
        <v>3348.19407405399</v>
      </c>
      <c r="AA466" s="0" t="n">
        <f aca="false">W_PH(AA$2,$A466)</f>
        <v>3348.39278535053</v>
      </c>
      <c r="AB466" s="0" t="n">
        <f aca="false">W_PH(AB$2,$A466)</f>
        <v>3348.59151095243</v>
      </c>
      <c r="AC466" s="0" t="n">
        <f aca="false">W_PH(AC$2,$A466)</f>
        <v>3348.79025675885</v>
      </c>
      <c r="AD466" s="0" t="n">
        <f aca="false">W_PH(AD$2,$A466)</f>
        <v>3348.98902867044</v>
      </c>
      <c r="AE466" s="0" t="n">
        <f aca="false">W_PH(AE$2,$A466)</f>
        <v>3349.18782505914</v>
      </c>
      <c r="AF466" s="0" t="n">
        <f aca="false">W_PH(AF$2,$A466)</f>
        <v>3349.38664429538</v>
      </c>
      <c r="AG466" s="0" t="n">
        <f aca="false">W_PH(AG$2,$A466)</f>
        <v>3349.58549604577</v>
      </c>
      <c r="AH466" s="0" t="n">
        <f aca="false">W_PH(AH$2,$A466)</f>
        <v>3351.5760533673</v>
      </c>
      <c r="AI466" s="0" t="n">
        <f aca="false">W_PH(AI$2,$A466)</f>
        <v>3353.57175607923</v>
      </c>
      <c r="AJ466" s="0" t="n">
        <f aca="false">W_PH(AJ$2,$A466)</f>
        <v>3355.57466104674</v>
      </c>
      <c r="AK466" s="0" t="n">
        <f aca="false">W_PH(AK$2,$A466)</f>
        <v>3357.58680250159</v>
      </c>
      <c r="AL466" s="0" t="n">
        <f aca="false">W_PH(AL$2,$A466)</f>
        <v>3359.61024122631</v>
      </c>
      <c r="AM466" s="0" t="n">
        <f aca="false">W_PH(AM$2,$A466)</f>
        <v>3361.64701556558</v>
      </c>
      <c r="AN466" s="0" t="n">
        <f aca="false">W_PH(AN$2,$A466)</f>
        <v>3363.69917937603</v>
      </c>
      <c r="AO466" s="0" t="n">
        <f aca="false">W_PH(AO$2,$A466)</f>
        <v>3365.76877191352</v>
      </c>
      <c r="AP466" s="0" t="n">
        <f aca="false">W_PH(AP$2,$A466)</f>
        <v>2015</v>
      </c>
      <c r="AQ466" s="0" t="n">
        <f aca="false">W_PH(AQ$2,$A466)</f>
        <v>2015</v>
      </c>
      <c r="AR466" s="0" t="n">
        <f aca="false">W_PH(AR$2,$A466)</f>
        <v>2015</v>
      </c>
      <c r="AS466" s="0" t="n">
        <f aca="false">W_PH(AS$2,$A466)</f>
        <v>2015</v>
      </c>
    </row>
    <row r="467" customFormat="false" ht="12.8" hidden="false" customHeight="false" outlineLevel="0" collapsed="false">
      <c r="A467" s="0" t="n">
        <v>2695.61478933792</v>
      </c>
      <c r="B467" s="0" t="n">
        <f aca="false">W_PH(B$2,$A467)</f>
        <v>2015</v>
      </c>
      <c r="C467" s="0" t="n">
        <f aca="false">W_PH(C$2,$A467)</f>
        <v>3350.60711536348</v>
      </c>
      <c r="D467" s="0" t="n">
        <f aca="false">W_PH(D$2,$A467)</f>
        <v>3350.60731692729</v>
      </c>
      <c r="E467" s="0" t="n">
        <f aca="false">W_PH(E$2,$A467)</f>
        <v>3350.60751473221</v>
      </c>
      <c r="F467" s="0" t="n">
        <f aca="false">W_PH(F$2,$A467)</f>
        <v>3350.60771629605</v>
      </c>
      <c r="G467" s="0" t="n">
        <f aca="false">W_PH(G$2,$A467)</f>
        <v>3350.60970186395</v>
      </c>
      <c r="H467" s="0" t="n">
        <f aca="false">W_PH(H$2,$A467)</f>
        <v>3350.61168743316</v>
      </c>
      <c r="I467" s="0" t="n">
        <f aca="false">W_PH(I$2,$A467)</f>
        <v>3350.6136767626</v>
      </c>
      <c r="J467" s="0" t="n">
        <f aca="false">W_PH(J$2,$A467)</f>
        <v>3350.61566609335</v>
      </c>
      <c r="K467" s="0" t="n">
        <f aca="false">W_PH(K$2,$A467)</f>
        <v>3350.61765166653</v>
      </c>
      <c r="L467" s="0" t="n">
        <f aca="false">W_PH(L$2,$A467)</f>
        <v>3350.61963724103</v>
      </c>
      <c r="M467" s="0" t="n">
        <f aca="false">W_PH(M$2,$A467)</f>
        <v>3350.62162281685</v>
      </c>
      <c r="N467" s="0" t="n">
        <f aca="false">W_PH(N$2,$A467)</f>
        <v>3350.62361591185</v>
      </c>
      <c r="O467" s="0" t="n">
        <f aca="false">W_PH(O$2,$A467)</f>
        <v>3350.62560149033</v>
      </c>
      <c r="P467" s="0" t="n">
        <f aca="false">W_PH(P$2,$A467)</f>
        <v>3350.6454723846</v>
      </c>
      <c r="Q467" s="0" t="n">
        <f aca="false">W_PH(Q$2,$A467)</f>
        <v>3350.6653509324</v>
      </c>
      <c r="R467" s="0" t="n">
        <f aca="false">W_PH(R$2,$A467)</f>
        <v>3350.68522209991</v>
      </c>
      <c r="S467" s="0" t="n">
        <f aca="false">W_PH(S$2,$A467)</f>
        <v>3350.70509716628</v>
      </c>
      <c r="T467" s="0" t="n">
        <f aca="false">W_PH(T$2,$A467)</f>
        <v>3350.72497237463</v>
      </c>
      <c r="U467" s="0" t="n">
        <f aca="false">W_PH(U$2,$A467)</f>
        <v>3350.74484396793</v>
      </c>
      <c r="V467" s="0" t="n">
        <f aca="false">W_PH(V$2,$A467)</f>
        <v>3350.76472322576</v>
      </c>
      <c r="W467" s="0" t="n">
        <f aca="false">W_PH(W$2,$A467)</f>
        <v>3350.78459511358</v>
      </c>
      <c r="X467" s="0" t="n">
        <f aca="false">W_PH(X$2,$A467)</f>
        <v>3350.80446715181</v>
      </c>
      <c r="Y467" s="0" t="n">
        <f aca="false">W_PH(Y$2,$A467)</f>
        <v>3351.00322635164</v>
      </c>
      <c r="Z467" s="0" t="n">
        <f aca="false">W_PH(Z$2,$A467)</f>
        <v>3351.20199541804</v>
      </c>
      <c r="AA467" s="0" t="n">
        <f aca="false">W_PH(AA$2,$A467)</f>
        <v>3351.4007839964</v>
      </c>
      <c r="AB467" s="0" t="n">
        <f aca="false">W_PH(AB$2,$A467)</f>
        <v>3351.59958669215</v>
      </c>
      <c r="AC467" s="0" t="n">
        <f aca="false">W_PH(AC$2,$A467)</f>
        <v>3351.79841315219</v>
      </c>
      <c r="AD467" s="0" t="n">
        <f aca="false">W_PH(AD$2,$A467)</f>
        <v>3351.99726550346</v>
      </c>
      <c r="AE467" s="0" t="n">
        <f aca="false">W_PH(AE$2,$A467)</f>
        <v>3352.19613834927</v>
      </c>
      <c r="AF467" s="0" t="n">
        <f aca="false">W_PH(AF$2,$A467)</f>
        <v>3352.39504133879</v>
      </c>
      <c r="AG467" s="0" t="n">
        <f aca="false">W_PH(AG$2,$A467)</f>
        <v>3352.59396907392</v>
      </c>
      <c r="AH467" s="0" t="n">
        <f aca="false">W_PH(AH$2,$A467)</f>
        <v>3354.58529335096</v>
      </c>
      <c r="AI467" s="0" t="n">
        <f aca="false">W_PH(AI$2,$A467)</f>
        <v>3356.58173923546</v>
      </c>
      <c r="AJ467" s="0" t="n">
        <f aca="false">W_PH(AJ$2,$A467)</f>
        <v>3358.58534236004</v>
      </c>
      <c r="AK467" s="0" t="n">
        <f aca="false">W_PH(AK$2,$A467)</f>
        <v>3360.59813839143</v>
      </c>
      <c r="AL467" s="0" t="n">
        <f aca="false">W_PH(AL$2,$A467)</f>
        <v>3362.62217069054</v>
      </c>
      <c r="AM467" s="0" t="n">
        <f aca="false">W_PH(AM$2,$A467)</f>
        <v>3364.65946776678</v>
      </c>
      <c r="AN467" s="0" t="n">
        <f aca="false">W_PH(AN$2,$A467)</f>
        <v>3366.71207365211</v>
      </c>
      <c r="AO467" s="0" t="n">
        <f aca="false">W_PH(AO$2,$A467)</f>
        <v>3368.78203297444</v>
      </c>
      <c r="AP467" s="0" t="n">
        <f aca="false">W_PH(AP$2,$A467)</f>
        <v>2015</v>
      </c>
      <c r="AQ467" s="0" t="n">
        <f aca="false">W_PH(AQ$2,$A467)</f>
        <v>2015</v>
      </c>
      <c r="AR467" s="0" t="n">
        <f aca="false">W_PH(AR$2,$A467)</f>
        <v>2015</v>
      </c>
      <c r="AS467" s="0" t="n">
        <f aca="false">W_PH(AS$2,$A467)</f>
        <v>2015</v>
      </c>
    </row>
    <row r="468" customFormat="false" ht="12.8" hidden="false" customHeight="false" outlineLevel="0" collapsed="false">
      <c r="A468" s="0" t="n">
        <v>2699.91401547721</v>
      </c>
      <c r="B468" s="0" t="n">
        <f aca="false">W_PH(B$2,$A468)</f>
        <v>2015</v>
      </c>
      <c r="C468" s="0" t="n">
        <f aca="false">W_PH(C$2,$A468)</f>
        <v>3353.61066838629</v>
      </c>
      <c r="D468" s="0" t="n">
        <f aca="false">W_PH(D$2,$A468)</f>
        <v>3353.61087024006</v>
      </c>
      <c r="E468" s="0" t="n">
        <f aca="false">W_PH(E$2,$A468)</f>
        <v>3353.6110683382</v>
      </c>
      <c r="F468" s="0" t="n">
        <f aca="false">W_PH(F$2,$A468)</f>
        <v>3353.61126643635</v>
      </c>
      <c r="G468" s="0" t="n">
        <f aca="false">W_PH(G$2,$A468)</f>
        <v>3353.61325492986</v>
      </c>
      <c r="H468" s="0" t="n">
        <f aca="false">W_PH(H$2,$A468)</f>
        <v>3353.61524342467</v>
      </c>
      <c r="I468" s="0" t="n">
        <f aca="false">W_PH(I$2,$A468)</f>
        <v>3353.61723192079</v>
      </c>
      <c r="J468" s="0" t="n">
        <f aca="false">W_PH(J$2,$A468)</f>
        <v>3353.61922041821</v>
      </c>
      <c r="K468" s="0" t="n">
        <f aca="false">W_PH(K$2,$A468)</f>
        <v>3353.62120891695</v>
      </c>
      <c r="L468" s="0" t="n">
        <f aca="false">W_PH(L$2,$A468)</f>
        <v>3353.62319366133</v>
      </c>
      <c r="M468" s="0" t="n">
        <f aca="false">W_PH(M$2,$A468)</f>
        <v>3353.62518216269</v>
      </c>
      <c r="N468" s="0" t="n">
        <f aca="false">W_PH(N$2,$A468)</f>
        <v>3353.62717066536</v>
      </c>
      <c r="O468" s="0" t="n">
        <f aca="false">W_PH(O$2,$A468)</f>
        <v>3353.62915916935</v>
      </c>
      <c r="P468" s="0" t="n">
        <f aca="false">W_PH(P$2,$A468)</f>
        <v>3353.64904052647</v>
      </c>
      <c r="Q468" s="0" t="n">
        <f aca="false">W_PH(Q$2,$A468)</f>
        <v>3353.66892201764</v>
      </c>
      <c r="R468" s="0" t="n">
        <f aca="false">W_PH(R$2,$A468)</f>
        <v>3353.68880364496</v>
      </c>
      <c r="S468" s="0" t="n">
        <f aca="false">W_PH(S$2,$A468)</f>
        <v>3353.70868916637</v>
      </c>
      <c r="T468" s="0" t="n">
        <f aca="false">W_PH(T$2,$A468)</f>
        <v>3353.72856731654</v>
      </c>
      <c r="U468" s="0" t="n">
        <f aca="false">W_PH(U$2,$A468)</f>
        <v>3353.74845312092</v>
      </c>
      <c r="V468" s="0" t="n">
        <f aca="false">W_PH(V$2,$A468)</f>
        <v>3353.76833155815</v>
      </c>
      <c r="W468" s="0" t="n">
        <f aca="false">W_PH(W$2,$A468)</f>
        <v>3353.78821765397</v>
      </c>
      <c r="X468" s="0" t="n">
        <f aca="false">W_PH(X$2,$A468)</f>
        <v>3353.80809638672</v>
      </c>
      <c r="Y468" s="0" t="n">
        <f aca="false">W_PH(Y$2,$A468)</f>
        <v>3354.00692992666</v>
      </c>
      <c r="Z468" s="0" t="n">
        <f aca="false">W_PH(Z$2,$A468)</f>
        <v>3354.2057806808</v>
      </c>
      <c r="AA468" s="0" t="n">
        <f aca="false">W_PH(AA$2,$A468)</f>
        <v>3354.40464325181</v>
      </c>
      <c r="AB468" s="0" t="n">
        <f aca="false">W_PH(AB$2,$A468)</f>
        <v>3354.60352726929</v>
      </c>
      <c r="AC468" s="0" t="n">
        <f aca="false">W_PH(AC$2,$A468)</f>
        <v>3354.80243109233</v>
      </c>
      <c r="AD468" s="0" t="n">
        <f aca="false">W_PH(AD$2,$A468)</f>
        <v>3355.00136059494</v>
      </c>
      <c r="AE468" s="0" t="n">
        <f aca="false">W_PH(AE$2,$A468)</f>
        <v>3355.20030661846</v>
      </c>
      <c r="AF468" s="0" t="n">
        <f aca="false">W_PH(AF$2,$A468)</f>
        <v>3355.39928631221</v>
      </c>
      <c r="AG468" s="0" t="n">
        <f aca="false">W_PH(AG$2,$A468)</f>
        <v>3355.5982905165</v>
      </c>
      <c r="AH468" s="0" t="n">
        <f aca="false">W_PH(AH$2,$A468)</f>
        <v>3357.59037169514</v>
      </c>
      <c r="AI468" s="0" t="n">
        <f aca="false">W_PH(AI$2,$A468)</f>
        <v>3359.58753974947</v>
      </c>
      <c r="AJ468" s="0" t="n">
        <f aca="false">W_PH(AJ$2,$A468)</f>
        <v>3361.59182798696</v>
      </c>
      <c r="AK468" s="0" t="n">
        <f aca="false">W_PH(AK$2,$A468)</f>
        <v>3363.60525848497</v>
      </c>
      <c r="AL468" s="0" t="n">
        <f aca="false">W_PH(AL$2,$A468)</f>
        <v>3365.62986102107</v>
      </c>
      <c r="AM468" s="0" t="n">
        <f aca="false">W_PH(AM$2,$A468)</f>
        <v>3367.66767322805</v>
      </c>
      <c r="AN468" s="0" t="n">
        <f aca="false">W_PH(AN$2,$A468)</f>
        <v>3369.72071050312</v>
      </c>
      <c r="AO468" s="0" t="n">
        <f aca="false">W_PH(AO$2,$A468)</f>
        <v>3371.79101530173</v>
      </c>
      <c r="AP468" s="0" t="n">
        <f aca="false">W_PH(AP$2,$A468)</f>
        <v>2015</v>
      </c>
      <c r="AQ468" s="0" t="n">
        <f aca="false">W_PH(AQ$2,$A468)</f>
        <v>2015</v>
      </c>
      <c r="AR468" s="0" t="n">
        <f aca="false">W_PH(AR$2,$A468)</f>
        <v>2015</v>
      </c>
      <c r="AS468" s="0" t="n">
        <f aca="false">W_PH(AS$2,$A468)</f>
        <v>2015</v>
      </c>
    </row>
    <row r="469" customFormat="false" ht="12.8" hidden="false" customHeight="false" outlineLevel="0" collapsed="false">
      <c r="A469" s="0" t="n">
        <v>2704.21324161651</v>
      </c>
      <c r="B469" s="0" t="n">
        <f aca="false">W_PH(B$2,$A469)</f>
        <v>2015</v>
      </c>
      <c r="C469" s="0" t="n">
        <f aca="false">W_PH(C$2,$A469)</f>
        <v>3356.61010515778</v>
      </c>
      <c r="D469" s="0" t="n">
        <f aca="false">W_PH(D$2,$A469)</f>
        <v>3356.61030354548</v>
      </c>
      <c r="E469" s="0" t="n">
        <f aca="false">W_PH(E$2,$A469)</f>
        <v>3356.6105019332</v>
      </c>
      <c r="F469" s="0" t="n">
        <f aca="false">W_PH(F$2,$A469)</f>
        <v>3356.61070032092</v>
      </c>
      <c r="G469" s="0" t="n">
        <f aca="false">W_PH(G$2,$A469)</f>
        <v>3356.61269170367</v>
      </c>
      <c r="H469" s="0" t="n">
        <f aca="false">W_PH(H$2,$A469)</f>
        <v>3356.61467933532</v>
      </c>
      <c r="I469" s="0" t="n">
        <f aca="false">W_PH(I$2,$A469)</f>
        <v>3356.61666696825</v>
      </c>
      <c r="J469" s="0" t="n">
        <f aca="false">W_PH(J$2,$A469)</f>
        <v>3356.61865835488</v>
      </c>
      <c r="K469" s="0" t="n">
        <f aca="false">W_PH(K$2,$A469)</f>
        <v>3356.62064599039</v>
      </c>
      <c r="L469" s="0" t="n">
        <f aca="false">W_PH(L$2,$A469)</f>
        <v>3356.6226336272</v>
      </c>
      <c r="M469" s="0" t="n">
        <f aca="false">W_PH(M$2,$A469)</f>
        <v>3356.62462501772</v>
      </c>
      <c r="N469" s="0" t="n">
        <f aca="false">W_PH(N$2,$A469)</f>
        <v>3356.62661265713</v>
      </c>
      <c r="O469" s="0" t="n">
        <f aca="false">W_PH(O$2,$A469)</f>
        <v>3356.62860029784</v>
      </c>
      <c r="P469" s="0" t="n">
        <f aca="false">W_PH(P$2,$A469)</f>
        <v>3356.64849178667</v>
      </c>
      <c r="Q469" s="0" t="n">
        <f aca="false">W_PH(Q$2,$A469)</f>
        <v>3356.66838340808</v>
      </c>
      <c r="R469" s="0" t="n">
        <f aca="false">W_PH(R$2,$A469)</f>
        <v>3356.68827141164</v>
      </c>
      <c r="S469" s="0" t="n">
        <f aca="false">W_PH(S$2,$A469)</f>
        <v>3356.70815955191</v>
      </c>
      <c r="T469" s="0" t="n">
        <f aca="false">W_PH(T$2,$A469)</f>
        <v>3356.72805158361</v>
      </c>
      <c r="U469" s="0" t="n">
        <f aca="false">W_PH(U$2,$A469)</f>
        <v>3356.74794000367</v>
      </c>
      <c r="V469" s="0" t="n">
        <f aca="false">W_PH(V$2,$A469)</f>
        <v>3356.76782856676</v>
      </c>
      <c r="W469" s="0" t="n">
        <f aca="false">W_PH(W$2,$A469)</f>
        <v>3356.7877210277</v>
      </c>
      <c r="X469" s="0" t="n">
        <f aca="false">W_PH(X$2,$A469)</f>
        <v>3356.80760988322</v>
      </c>
      <c r="Y469" s="0" t="n">
        <f aca="false">W_PH(Y$2,$A469)</f>
        <v>3357.00651825988</v>
      </c>
      <c r="Z469" s="0" t="n">
        <f aca="false">W_PH(Z$2,$A469)</f>
        <v>3357.20544743456</v>
      </c>
      <c r="AA469" s="0" t="n">
        <f aca="false">W_PH(AA$2,$A469)</f>
        <v>3357.40438449994</v>
      </c>
      <c r="AB469" s="0" t="n">
        <f aca="false">W_PH(AB$2,$A469)</f>
        <v>3357.60334282227</v>
      </c>
      <c r="AC469" s="0" t="n">
        <f aca="false">W_PH(AC$2,$A469)</f>
        <v>3357.80232075397</v>
      </c>
      <c r="AD469" s="0" t="n">
        <f aca="false">W_PH(AD$2,$A469)</f>
        <v>3358.00132415585</v>
      </c>
      <c r="AE469" s="0" t="n">
        <f aca="false">W_PH(AE$2,$A469)</f>
        <v>3358.2003476244</v>
      </c>
      <c r="AF469" s="0" t="n">
        <f aca="false">W_PH(AF$2,$A469)</f>
        <v>3358.39940077575</v>
      </c>
      <c r="AG469" s="0" t="n">
        <f aca="false">W_PH(AG$2,$A469)</f>
        <v>3358.59848571697</v>
      </c>
      <c r="AH469" s="0" t="n">
        <f aca="false">W_PH(AH$2,$A469)</f>
        <v>3360.59129901959</v>
      </c>
      <c r="AI469" s="0" t="n">
        <f aca="false">W_PH(AI$2,$A469)</f>
        <v>3362.58917232976</v>
      </c>
      <c r="AJ469" s="0" t="n">
        <f aca="false">W_PH(AJ$2,$A469)</f>
        <v>3364.5941254068</v>
      </c>
      <c r="AK469" s="0" t="n">
        <f aca="false">W_PH(AK$2,$A469)</f>
        <v>3366.60817811331</v>
      </c>
      <c r="AL469" s="0" t="n">
        <f aca="false">W_PH(AL$2,$A469)</f>
        <v>3368.63334296527</v>
      </c>
      <c r="AM469" s="0" t="n">
        <f aca="false">W_PH(AM$2,$A469)</f>
        <v>3370.67164410132</v>
      </c>
      <c r="AN469" s="0" t="n">
        <f aca="false">W_PH(AN$2,$A469)</f>
        <v>3372.72510235484</v>
      </c>
      <c r="AO469" s="0" t="n">
        <f aca="false">W_PH(AO$2,$A469)</f>
        <v>3374.79573540201</v>
      </c>
      <c r="AP469" s="0" t="n">
        <f aca="false">W_PH(AP$2,$A469)</f>
        <v>2015</v>
      </c>
      <c r="AQ469" s="0" t="n">
        <f aca="false">W_PH(AQ$2,$A469)</f>
        <v>2015</v>
      </c>
      <c r="AR469" s="0" t="n">
        <f aca="false">W_PH(AR$2,$A469)</f>
        <v>2015</v>
      </c>
      <c r="AS469" s="0" t="n">
        <f aca="false">W_PH(AS$2,$A469)</f>
        <v>2015</v>
      </c>
    </row>
    <row r="470" customFormat="false" ht="12.8" hidden="false" customHeight="false" outlineLevel="0" collapsed="false">
      <c r="A470" s="0" t="n">
        <v>2708.5124677558</v>
      </c>
      <c r="B470" s="0" t="n">
        <f aca="false">W_PH(B$2,$A470)</f>
        <v>2015</v>
      </c>
      <c r="C470" s="0" t="n">
        <f aca="false">W_PH(C$2,$A470)</f>
        <v>3359.60544682757</v>
      </c>
      <c r="D470" s="0" t="n">
        <f aca="false">W_PH(D$2,$A470)</f>
        <v>3359.60564550124</v>
      </c>
      <c r="E470" s="0" t="n">
        <f aca="false">W_PH(E$2,$A470)</f>
        <v>3359.60584417493</v>
      </c>
      <c r="F470" s="0" t="n">
        <f aca="false">W_PH(F$2,$A470)</f>
        <v>3359.60604284863</v>
      </c>
      <c r="G470" s="0" t="n">
        <f aca="false">W_PH(G$2,$A470)</f>
        <v>3359.60802958633</v>
      </c>
      <c r="H470" s="0" t="n">
        <f aca="false">W_PH(H$2,$A470)</f>
        <v>3359.61002007446</v>
      </c>
      <c r="I470" s="0" t="n">
        <f aca="false">W_PH(I$2,$A470)</f>
        <v>3359.61201056387</v>
      </c>
      <c r="J470" s="0" t="n">
        <f aca="false">W_PH(J$2,$A470)</f>
        <v>3359.61399730539</v>
      </c>
      <c r="K470" s="0" t="n">
        <f aca="false">W_PH(K$2,$A470)</f>
        <v>3359.61599154651</v>
      </c>
      <c r="L470" s="0" t="n">
        <f aca="false">W_PH(L$2,$A470)</f>
        <v>3359.61797829059</v>
      </c>
      <c r="M470" s="0" t="n">
        <f aca="false">W_PH(M$2,$A470)</f>
        <v>3359.61996878512</v>
      </c>
      <c r="N470" s="0" t="n">
        <f aca="false">W_PH(N$2,$A470)</f>
        <v>3359.62195928093</v>
      </c>
      <c r="O470" s="0" t="n">
        <f aca="false">W_PH(O$2,$A470)</f>
        <v>3359.62394602885</v>
      </c>
      <c r="P470" s="0" t="n">
        <f aca="false">W_PH(P$2,$A470)</f>
        <v>3359.64384357276</v>
      </c>
      <c r="Q470" s="0" t="n">
        <f aca="false">W_PH(Q$2,$A470)</f>
        <v>3359.66374124772</v>
      </c>
      <c r="R470" s="0" t="n">
        <f aca="false">W_PH(R$2,$A470)</f>
        <v>3359.68363905582</v>
      </c>
      <c r="S470" s="0" t="n">
        <f aca="false">W_PH(S$2,$A470)</f>
        <v>3359.70353699917</v>
      </c>
      <c r="T470" s="0" t="n">
        <f aca="false">W_PH(T$2,$A470)</f>
        <v>3359.72343507987</v>
      </c>
      <c r="U470" s="0" t="n">
        <f aca="false">W_PH(U$2,$A470)</f>
        <v>3359.7433333</v>
      </c>
      <c r="V470" s="0" t="n">
        <f aca="false">W_PH(V$2,$A470)</f>
        <v>3359.76322791224</v>
      </c>
      <c r="W470" s="0" t="n">
        <f aca="false">W_PH(W$2,$A470)</f>
        <v>3359.7831264175</v>
      </c>
      <c r="X470" s="0" t="n">
        <f aca="false">W_PH(X$2,$A470)</f>
        <v>3359.803021319</v>
      </c>
      <c r="Y470" s="0" t="n">
        <f aca="false">W_PH(Y$2,$A470)</f>
        <v>3360.0020088054</v>
      </c>
      <c r="Z470" s="0" t="n">
        <f aca="false">W_PH(Z$2,$A470)</f>
        <v>3360.20100566965</v>
      </c>
      <c r="AA470" s="0" t="n">
        <f aca="false">W_PH(AA$2,$A470)</f>
        <v>3360.40002150781</v>
      </c>
      <c r="AB470" s="0" t="n">
        <f aca="false">W_PH(AB$2,$A470)</f>
        <v>3360.59905091506</v>
      </c>
      <c r="AC470" s="0" t="n">
        <f aca="false">W_PH(AC$2,$A470)</f>
        <v>3360.79810348893</v>
      </c>
      <c r="AD470" s="0" t="n">
        <f aca="false">W_PH(AD$2,$A470)</f>
        <v>3360.99718132653</v>
      </c>
      <c r="AE470" s="0" t="n">
        <f aca="false">W_PH(AE$2,$A470)</f>
        <v>3361.19627902102</v>
      </c>
      <c r="AF470" s="0" t="n">
        <f aca="false">W_PH(AF$2,$A470)</f>
        <v>3361.39540617216</v>
      </c>
      <c r="AG470" s="0" t="n">
        <f aca="false">W_PH(AG$2,$A470)</f>
        <v>3361.59456112444</v>
      </c>
      <c r="AH470" s="0" t="n">
        <f aca="false">W_PH(AH$2,$A470)</f>
        <v>3363.58809337413</v>
      </c>
      <c r="AI470" s="0" t="n">
        <f aca="false">W_PH(AI$2,$A470)</f>
        <v>3365.58665534469</v>
      </c>
      <c r="AJ470" s="0" t="n">
        <f aca="false">W_PH(AJ$2,$A470)</f>
        <v>3367.5922608379</v>
      </c>
      <c r="AK470" s="0" t="n">
        <f aca="false">W_PH(AK$2,$A470)</f>
        <v>3369.60691249963</v>
      </c>
      <c r="AL470" s="0" t="n">
        <f aca="false">W_PH(AL$2,$A470)</f>
        <v>3371.63262448401</v>
      </c>
      <c r="AM470" s="0" t="n">
        <f aca="false">W_PH(AM$2,$A470)</f>
        <v>3373.67140375598</v>
      </c>
      <c r="AN470" s="0" t="n">
        <f aca="false">W_PH(AN$2,$A470)</f>
        <v>3375.72526152787</v>
      </c>
      <c r="AO470" s="0" t="n">
        <f aca="false">W_PH(AO$2,$A470)</f>
        <v>3377.796217217</v>
      </c>
      <c r="AP470" s="0" t="n">
        <f aca="false">W_PH(AP$2,$A470)</f>
        <v>2015</v>
      </c>
      <c r="AQ470" s="0" t="n">
        <f aca="false">W_PH(AQ$2,$A470)</f>
        <v>2015</v>
      </c>
      <c r="AR470" s="0" t="n">
        <f aca="false">W_PH(AR$2,$A470)</f>
        <v>2015</v>
      </c>
      <c r="AS470" s="0" t="n">
        <f aca="false">W_PH(AS$2,$A470)</f>
        <v>2015</v>
      </c>
    </row>
    <row r="471" customFormat="false" ht="12.8" hidden="false" customHeight="false" outlineLevel="0" collapsed="false">
      <c r="A471" s="0" t="n">
        <v>2712.8116938951</v>
      </c>
      <c r="B471" s="0" t="n">
        <f aca="false">W_PH(B$2,$A471)</f>
        <v>2015</v>
      </c>
      <c r="C471" s="0" t="n">
        <f aca="false">W_PH(C$2,$A471)</f>
        <v>3362.59669944931</v>
      </c>
      <c r="D471" s="0" t="n">
        <f aca="false">W_PH(D$2,$A471)</f>
        <v>3362.5968984054</v>
      </c>
      <c r="E471" s="0" t="n">
        <f aca="false">W_PH(E$2,$A471)</f>
        <v>3362.5970973615</v>
      </c>
      <c r="F471" s="0" t="n">
        <f aca="false">W_PH(F$2,$A471)</f>
        <v>3362.59729631761</v>
      </c>
      <c r="G471" s="0" t="n">
        <f aca="false">W_PH(G$2,$A471)</f>
        <v>3362.59928962535</v>
      </c>
      <c r="H471" s="0" t="n">
        <f aca="false">W_PH(H$2,$A471)</f>
        <v>3362.60128293435</v>
      </c>
      <c r="I471" s="0" t="n">
        <f aca="false">W_PH(I$2,$A471)</f>
        <v>3362.60327249868</v>
      </c>
      <c r="J471" s="0" t="n">
        <f aca="false">W_PH(J$2,$A471)</f>
        <v>3362.60526206427</v>
      </c>
      <c r="K471" s="0" t="n">
        <f aca="false">W_PH(K$2,$A471)</f>
        <v>3362.60725163113</v>
      </c>
      <c r="L471" s="0" t="n">
        <f aca="false">W_PH(L$2,$A471)</f>
        <v>3362.60924119925</v>
      </c>
      <c r="M471" s="0" t="n">
        <f aca="false">W_PH(M$2,$A471)</f>
        <v>3362.61123076863</v>
      </c>
      <c r="N471" s="0" t="n">
        <f aca="false">W_PH(N$2,$A471)</f>
        <v>3362.61322033929</v>
      </c>
      <c r="O471" s="0" t="n">
        <f aca="false">W_PH(O$2,$A471)</f>
        <v>3362.61520991122</v>
      </c>
      <c r="P471" s="0" t="n">
        <f aca="false">W_PH(P$2,$A471)</f>
        <v>3362.63511693883</v>
      </c>
      <c r="Q471" s="0" t="n">
        <f aca="false">W_PH(Q$2,$A471)</f>
        <v>3362.65502409606</v>
      </c>
      <c r="R471" s="0" t="n">
        <f aca="false">W_PH(R$2,$A471)</f>
        <v>3362.67492763894</v>
      </c>
      <c r="S471" s="0" t="n">
        <f aca="false">W_PH(S$2,$A471)</f>
        <v>3362.69483131554</v>
      </c>
      <c r="T471" s="0" t="n">
        <f aca="false">W_PH(T$2,$A471)</f>
        <v>3362.71473512795</v>
      </c>
      <c r="U471" s="0" t="n">
        <f aca="false">W_PH(U$2,$A471)</f>
        <v>3362.73463907826</v>
      </c>
      <c r="V471" s="0" t="n">
        <f aca="false">W_PH(V$2,$A471)</f>
        <v>3362.75454316856</v>
      </c>
      <c r="W471" s="0" t="n">
        <f aca="false">W_PH(W$2,$A471)</f>
        <v>3362.77444740093</v>
      </c>
      <c r="X471" s="0" t="n">
        <f aca="false">W_PH(X$2,$A471)</f>
        <v>3362.79435177745</v>
      </c>
      <c r="Y471" s="0" t="n">
        <f aca="false">W_PH(Y$2,$A471)</f>
        <v>3362.99341142389</v>
      </c>
      <c r="Z471" s="0" t="n">
        <f aca="false">W_PH(Z$2,$A471)</f>
        <v>3363.19248028962</v>
      </c>
      <c r="AA471" s="0" t="n">
        <f aca="false">W_PH(AA$2,$A471)</f>
        <v>3363.39156795439</v>
      </c>
      <c r="AB471" s="0" t="n">
        <f aca="false">W_PH(AB$2,$A471)</f>
        <v>3363.59067275777</v>
      </c>
      <c r="AC471" s="0" t="n">
        <f aca="false">W_PH(AC$2,$A471)</f>
        <v>3363.78980053402</v>
      </c>
      <c r="AD471" s="0" t="n">
        <f aca="false">W_PH(AD$2,$A471)</f>
        <v>3363.98894587369</v>
      </c>
      <c r="AE471" s="0" t="n">
        <f aca="false">W_PH(AE$2,$A471)</f>
        <v>3364.1881183595</v>
      </c>
      <c r="AF471" s="0" t="n">
        <f aca="false">W_PH(AF$2,$A471)</f>
        <v>3364.38731632973</v>
      </c>
      <c r="AG471" s="0" t="n">
        <f aca="false">W_PH(AG$2,$A471)</f>
        <v>3364.58653812134</v>
      </c>
      <c r="AH471" s="0" t="n">
        <f aca="false">W_PH(AH$2,$A471)</f>
        <v>3366.58077270056</v>
      </c>
      <c r="AI471" s="0" t="n">
        <f aca="false">W_PH(AI$2,$A471)</f>
        <v>3368.58000705034</v>
      </c>
      <c r="AJ471" s="0" t="n">
        <f aca="false">W_PH(AJ$2,$A471)</f>
        <v>3370.58624531601</v>
      </c>
      <c r="AK471" s="0" t="n">
        <f aca="false">W_PH(AK$2,$A471)</f>
        <v>3372.60148428645</v>
      </c>
      <c r="AL471" s="0" t="n">
        <f aca="false">W_PH(AL$2,$A471)</f>
        <v>3374.62772852068</v>
      </c>
      <c r="AM471" s="0" t="n">
        <f aca="false">W_PH(AM$2,$A471)</f>
        <v>3376.66697164933</v>
      </c>
      <c r="AN471" s="0" t="n">
        <f aca="false">W_PH(AN$2,$A471)</f>
        <v>3378.7212191018</v>
      </c>
      <c r="AO471" s="0" t="n">
        <f aca="false">W_PH(AO$2,$A471)</f>
        <v>3380.79247321131</v>
      </c>
      <c r="AP471" s="0" t="n">
        <f aca="false">W_PH(AP$2,$A471)</f>
        <v>2015</v>
      </c>
      <c r="AQ471" s="0" t="n">
        <f aca="false">W_PH(AQ$2,$A471)</f>
        <v>2015</v>
      </c>
      <c r="AR471" s="0" t="n">
        <f aca="false">W_PH(AR$2,$A471)</f>
        <v>2015</v>
      </c>
      <c r="AS471" s="0" t="n">
        <f aca="false">W_PH(AS$2,$A471)</f>
        <v>2015</v>
      </c>
    </row>
    <row r="472" customFormat="false" ht="12.8" hidden="false" customHeight="false" outlineLevel="0" collapsed="false">
      <c r="A472" s="0" t="n">
        <v>2717.11092003439</v>
      </c>
      <c r="B472" s="0" t="n">
        <f aca="false">W_PH(B$2,$A472)</f>
        <v>2015</v>
      </c>
      <c r="C472" s="0" t="n">
        <f aca="false">W_PH(C$2,$A472)</f>
        <v>3365.58389521581</v>
      </c>
      <c r="D472" s="0" t="n">
        <f aca="false">W_PH(D$2,$A472)</f>
        <v>3365.58409445079</v>
      </c>
      <c r="E472" s="0" t="n">
        <f aca="false">W_PH(E$2,$A472)</f>
        <v>3365.58429368577</v>
      </c>
      <c r="F472" s="0" t="n">
        <f aca="false">W_PH(F$2,$A472)</f>
        <v>3365.58449292077</v>
      </c>
      <c r="G472" s="0" t="n">
        <f aca="false">W_PH(G$2,$A472)</f>
        <v>3365.58648527144</v>
      </c>
      <c r="H472" s="0" t="n">
        <f aca="false">W_PH(H$2,$A472)</f>
        <v>3365.58847762336</v>
      </c>
      <c r="I472" s="0" t="n">
        <f aca="false">W_PH(I$2,$A472)</f>
        <v>3365.59046623381</v>
      </c>
      <c r="J472" s="0" t="n">
        <f aca="false">W_PH(J$2,$A472)</f>
        <v>3365.59245484551</v>
      </c>
      <c r="K472" s="0" t="n">
        <f aca="false">W_PH(K$2,$A472)</f>
        <v>3365.59444720117</v>
      </c>
      <c r="L472" s="0" t="n">
        <f aca="false">W_PH(L$2,$A472)</f>
        <v>3365.59643955809</v>
      </c>
      <c r="M472" s="0" t="n">
        <f aca="false">W_PH(M$2,$A472)</f>
        <v>3365.59843191626</v>
      </c>
      <c r="N472" s="0" t="n">
        <f aca="false">W_PH(N$2,$A472)</f>
        <v>3365.60042427569</v>
      </c>
      <c r="O472" s="0" t="n">
        <f aca="false">W_PH(O$2,$A472)</f>
        <v>3365.60241289365</v>
      </c>
      <c r="P472" s="0" t="n">
        <f aca="false">W_PH(P$2,$A472)</f>
        <v>3365.62232534201</v>
      </c>
      <c r="Q472" s="0" t="n">
        <f aca="false">W_PH(Q$2,$A472)</f>
        <v>3365.6422341757</v>
      </c>
      <c r="R472" s="0" t="n">
        <f aca="false">W_PH(R$2,$A472)</f>
        <v>3365.66214688237</v>
      </c>
      <c r="S472" s="0" t="n">
        <f aca="false">W_PH(S$2,$A472)</f>
        <v>3365.68205972134</v>
      </c>
      <c r="T472" s="0" t="n">
        <f aca="false">W_PH(T$2,$A472)</f>
        <v>3365.70196895176</v>
      </c>
      <c r="U472" s="0" t="n">
        <f aca="false">W_PH(U$2,$A472)</f>
        <v>3365.7218820615</v>
      </c>
      <c r="V472" s="0" t="n">
        <f aca="false">W_PH(V$2,$A472)</f>
        <v>3365.74179530976</v>
      </c>
      <c r="W472" s="0" t="n">
        <f aca="false">W_PH(W$2,$A472)</f>
        <v>3365.76170495561</v>
      </c>
      <c r="X472" s="0" t="n">
        <f aca="false">W_PH(X$2,$A472)</f>
        <v>3365.78161848711</v>
      </c>
      <c r="Y472" s="0" t="n">
        <f aca="false">W_PH(Y$2,$A472)</f>
        <v>3365.98074338941</v>
      </c>
      <c r="Z472" s="0" t="n">
        <f aca="false">W_PH(Z$2,$A472)</f>
        <v>3366.17988858482</v>
      </c>
      <c r="AA472" s="0" t="n">
        <f aca="false">W_PH(AA$2,$A472)</f>
        <v>3366.3790449196</v>
      </c>
      <c r="AB472" s="0" t="n">
        <f aca="false">W_PH(AB$2,$A472)</f>
        <v>3366.57822195805</v>
      </c>
      <c r="AC472" s="0" t="n">
        <f aca="false">W_PH(AC$2,$A472)</f>
        <v>3366.77741428814</v>
      </c>
      <c r="AD472" s="0" t="n">
        <f aca="false">W_PH(AD$2,$A472)</f>
        <v>3366.97663147564</v>
      </c>
      <c r="AE472" s="0" t="n">
        <f aca="false">W_PH(AE$2,$A472)</f>
        <v>3367.17587559816</v>
      </c>
      <c r="AF472" s="0" t="n">
        <f aca="false">W_PH(AF$2,$A472)</f>
        <v>3367.37514124171</v>
      </c>
      <c r="AG472" s="0" t="n">
        <f aca="false">W_PH(AG$2,$A472)</f>
        <v>3367.57443797424</v>
      </c>
      <c r="AH472" s="0" t="n">
        <f aca="false">W_PH(AH$2,$A472)</f>
        <v>3369.56935483368</v>
      </c>
      <c r="AI472" s="0" t="n">
        <f aca="false">W_PH(AI$2,$A472)</f>
        <v>3371.56924559162</v>
      </c>
      <c r="AJ472" s="0" t="n">
        <f aca="false">W_PH(AJ$2,$A472)</f>
        <v>3373.57610481409</v>
      </c>
      <c r="AK472" s="0" t="n">
        <f aca="false">W_PH(AK$2,$A472)</f>
        <v>3375.59191222351</v>
      </c>
      <c r="AL472" s="0" t="n">
        <f aca="false">W_PH(AL$2,$A472)</f>
        <v>3377.61867035569</v>
      </c>
      <c r="AM472" s="0" t="n">
        <f aca="false">W_PH(AM$2,$A472)</f>
        <v>3379.6583595794</v>
      </c>
      <c r="AN472" s="0" t="n">
        <f aca="false">W_PH(AN$2,$A472)</f>
        <v>3381.71298336835</v>
      </c>
      <c r="AO472" s="0" t="n">
        <f aca="false">W_PH(AO$2,$A472)</f>
        <v>3383.78452705938</v>
      </c>
      <c r="AP472" s="0" t="n">
        <f aca="false">W_PH(AP$2,$A472)</f>
        <v>2015</v>
      </c>
      <c r="AQ472" s="0" t="n">
        <f aca="false">W_PH(AQ$2,$A472)</f>
        <v>2015</v>
      </c>
      <c r="AR472" s="0" t="n">
        <f aca="false">W_PH(AR$2,$A472)</f>
        <v>2015</v>
      </c>
      <c r="AS472" s="0" t="n">
        <f aca="false">W_PH(AS$2,$A472)</f>
        <v>2015</v>
      </c>
    </row>
    <row r="473" customFormat="false" ht="12.8" hidden="false" customHeight="false" outlineLevel="0" collapsed="false">
      <c r="A473" s="0" t="n">
        <v>2721.41014617369</v>
      </c>
      <c r="B473" s="0" t="n">
        <f aca="false">W_PH(B$2,$A473)</f>
        <v>2015</v>
      </c>
      <c r="C473" s="0" t="n">
        <f aca="false">W_PH(C$2,$A473)</f>
        <v>3368.56704373382</v>
      </c>
      <c r="D473" s="0" t="n">
        <f aca="false">W_PH(D$2,$A473)</f>
        <v>3368.5672432442</v>
      </c>
      <c r="E473" s="0" t="n">
        <f aca="false">W_PH(E$2,$A473)</f>
        <v>3368.56744275458</v>
      </c>
      <c r="F473" s="0" t="n">
        <f aca="false">W_PH(F$2,$A473)</f>
        <v>3368.56763852549</v>
      </c>
      <c r="G473" s="0" t="n">
        <f aca="false">W_PH(G$2,$A473)</f>
        <v>3368.56962989064</v>
      </c>
      <c r="H473" s="0" t="n">
        <f aca="false">W_PH(H$2,$A473)</f>
        <v>3368.57162499652</v>
      </c>
      <c r="I473" s="0" t="n">
        <f aca="false">W_PH(I$2,$A473)</f>
        <v>3368.57361262463</v>
      </c>
      <c r="J473" s="0" t="n">
        <f aca="false">W_PH(J$2,$A473)</f>
        <v>3368.57560773298</v>
      </c>
      <c r="K473" s="0" t="n">
        <f aca="false">W_PH(K$2,$A473)</f>
        <v>3368.57759536356</v>
      </c>
      <c r="L473" s="0" t="n">
        <f aca="false">W_PH(L$2,$A473)</f>
        <v>3368.57959047439</v>
      </c>
      <c r="M473" s="0" t="n">
        <f aca="false">W_PH(M$2,$A473)</f>
        <v>3368.58158184695</v>
      </c>
      <c r="N473" s="0" t="n">
        <f aca="false">W_PH(N$2,$A473)</f>
        <v>3368.58357322075</v>
      </c>
      <c r="O473" s="0" t="n">
        <f aca="false">W_PH(O$2,$A473)</f>
        <v>3368.58556459579</v>
      </c>
      <c r="P473" s="0" t="n">
        <f aca="false">W_PH(P$2,$A473)</f>
        <v>3368.60548215462</v>
      </c>
      <c r="Q473" s="0" t="n">
        <f aca="false">W_PH(Q$2,$A473)</f>
        <v>3368.62540357971</v>
      </c>
      <c r="R473" s="0" t="n">
        <f aca="false">W_PH(R$2,$A473)</f>
        <v>3368.64531765435</v>
      </c>
      <c r="S473" s="0" t="n">
        <f aca="false">W_PH(S$2,$A473)</f>
        <v>3368.66523933905</v>
      </c>
      <c r="T473" s="0" t="n">
        <f aca="false">W_PH(T$2,$A473)</f>
        <v>3368.68515741699</v>
      </c>
      <c r="U473" s="0" t="n">
        <f aca="false">W_PH(U$2,$A473)</f>
        <v>3368.70507562988</v>
      </c>
      <c r="V473" s="0" t="n">
        <f aca="false">W_PH(V$2,$A473)</f>
        <v>3368.72499397977</v>
      </c>
      <c r="W473" s="0" t="n">
        <f aca="false">W_PH(W$2,$A473)</f>
        <v>3368.74491246873</v>
      </c>
      <c r="X473" s="0" t="n">
        <f aca="false">W_PH(X$2,$A473)</f>
        <v>3368.76483483867</v>
      </c>
      <c r="Y473" s="0" t="n">
        <f aca="false">W_PH(Y$2,$A473)</f>
        <v>3368.96402935782</v>
      </c>
      <c r="Z473" s="0" t="n">
        <f aca="false">W_PH(Z$2,$A473)</f>
        <v>3369.16324026575</v>
      </c>
      <c r="AA473" s="0" t="n">
        <f aca="false">W_PH(AA$2,$A473)</f>
        <v>3369.36246963027</v>
      </c>
      <c r="AB473" s="0" t="n">
        <f aca="false">W_PH(AB$2,$A473)</f>
        <v>3369.56171203681</v>
      </c>
      <c r="AC473" s="0" t="n">
        <f aca="false">W_PH(AC$2,$A473)</f>
        <v>3369.76097703428</v>
      </c>
      <c r="AD473" s="0" t="n">
        <f aca="false">W_PH(AD$2,$A473)</f>
        <v>3369.96025920682</v>
      </c>
      <c r="AE473" s="0" t="n">
        <f aca="false">W_PH(AE$2,$A473)</f>
        <v>3370.15956810479</v>
      </c>
      <c r="AF473" s="0" t="n">
        <f aca="false">W_PH(AF$2,$A473)</f>
        <v>3370.35890579619</v>
      </c>
      <c r="AG473" s="0" t="n">
        <f aca="false">W_PH(AG$2,$A473)</f>
        <v>3370.55826686321</v>
      </c>
      <c r="AH473" s="0" t="n">
        <f aca="false">W_PH(AH$2,$A473)</f>
        <v>3372.55385750225</v>
      </c>
      <c r="AI473" s="0" t="n">
        <f aca="false">W_PH(AI$2,$A473)</f>
        <v>3374.55438900325</v>
      </c>
      <c r="AJ473" s="0" t="n">
        <f aca="false">W_PH(AJ$2,$A473)</f>
        <v>3376.56184639892</v>
      </c>
      <c r="AK473" s="0" t="n">
        <f aca="false">W_PH(AK$2,$A473)</f>
        <v>3378.57820742986</v>
      </c>
      <c r="AL473" s="0" t="n">
        <f aca="false">W_PH(AL$2,$A473)</f>
        <v>3380.60546516115</v>
      </c>
      <c r="AM473" s="0" t="n">
        <f aca="false">W_PH(AM$2,$A473)</f>
        <v>3382.64559053378</v>
      </c>
      <c r="AN473" s="0" t="n">
        <f aca="false">W_PH(AN$2,$A473)</f>
        <v>3384.70057006297</v>
      </c>
      <c r="AO473" s="0" t="n">
        <f aca="false">W_PH(AO$2,$A473)</f>
        <v>3386.77239098272</v>
      </c>
      <c r="AP473" s="0" t="n">
        <f aca="false">W_PH(AP$2,$A473)</f>
        <v>2015</v>
      </c>
      <c r="AQ473" s="0" t="n">
        <f aca="false">W_PH(AQ$2,$A473)</f>
        <v>2015</v>
      </c>
      <c r="AR473" s="0" t="n">
        <f aca="false">W_PH(AR$2,$A473)</f>
        <v>2015</v>
      </c>
      <c r="AS473" s="0" t="n">
        <f aca="false">W_PH(AS$2,$A473)</f>
        <v>2015</v>
      </c>
    </row>
    <row r="474" customFormat="false" ht="12.8" hidden="false" customHeight="false" outlineLevel="0" collapsed="false">
      <c r="A474" s="0" t="n">
        <v>2725.70937231298</v>
      </c>
      <c r="B474" s="0" t="n">
        <f aca="false">W_PH(B$2,$A474)</f>
        <v>2015</v>
      </c>
      <c r="C474" s="0" t="n">
        <f aca="false">W_PH(C$2,$A474)</f>
        <v>3371.54615453907</v>
      </c>
      <c r="D474" s="0" t="n">
        <f aca="false">W_PH(D$2,$A474)</f>
        <v>3371.54635432139</v>
      </c>
      <c r="E474" s="0" t="n">
        <f aca="false">W_PH(E$2,$A474)</f>
        <v>3371.54655410372</v>
      </c>
      <c r="F474" s="0" t="n">
        <f aca="false">W_PH(F$2,$A474)</f>
        <v>3371.54675388606</v>
      </c>
      <c r="G474" s="0" t="n">
        <f aca="false">W_PH(G$2,$A474)</f>
        <v>3371.54874423758</v>
      </c>
      <c r="H474" s="0" t="n">
        <f aca="false">W_PH(H$2,$A474)</f>
        <v>3371.55073832661</v>
      </c>
      <c r="I474" s="0" t="n">
        <f aca="false">W_PH(I$2,$A474)</f>
        <v>3371.55273241686</v>
      </c>
      <c r="J474" s="0" t="n">
        <f aca="false">W_PH(J$2,$A474)</f>
        <v>3371.55472277203</v>
      </c>
      <c r="K474" s="0" t="n">
        <f aca="false">W_PH(K$2,$A474)</f>
        <v>3371.55671312841</v>
      </c>
      <c r="L474" s="0" t="n">
        <f aca="false">W_PH(L$2,$A474)</f>
        <v>3371.55870722233</v>
      </c>
      <c r="M474" s="0" t="n">
        <f aca="false">W_PH(M$2,$A474)</f>
        <v>3371.56070131747</v>
      </c>
      <c r="N474" s="0" t="n">
        <f aca="false">W_PH(N$2,$A474)</f>
        <v>3371.56269167753</v>
      </c>
      <c r="O474" s="0" t="n">
        <f aca="false">W_PH(O$2,$A474)</f>
        <v>3371.56468577513</v>
      </c>
      <c r="P474" s="0" t="n">
        <f aca="false">W_PH(P$2,$A474)</f>
        <v>3371.58460813767</v>
      </c>
      <c r="Q474" s="0" t="n">
        <f aca="false">W_PH(Q$2,$A474)</f>
        <v>3371.60453436182</v>
      </c>
      <c r="R474" s="0" t="n">
        <f aca="false">W_PH(R$2,$A474)</f>
        <v>3371.62446071331</v>
      </c>
      <c r="S474" s="0" t="n">
        <f aca="false">W_PH(S$2,$A474)</f>
        <v>3371.6443871942</v>
      </c>
      <c r="T474" s="0" t="n">
        <f aca="false">W_PH(T$2,$A474)</f>
        <v>3371.66431380656</v>
      </c>
      <c r="U474" s="0" t="n">
        <f aca="false">W_PH(U$2,$A474)</f>
        <v>3371.68423681591</v>
      </c>
      <c r="V474" s="0" t="n">
        <f aca="false">W_PH(V$2,$A474)</f>
        <v>3371.70415996078</v>
      </c>
      <c r="W474" s="0" t="n">
        <f aca="false">W_PH(W$2,$A474)</f>
        <v>3371.7240869798</v>
      </c>
      <c r="X474" s="0" t="n">
        <f aca="false">W_PH(X$2,$A474)</f>
        <v>3371.74401413852</v>
      </c>
      <c r="Y474" s="0" t="n">
        <f aca="false">W_PH(Y$2,$A474)</f>
        <v>3371.94327891384</v>
      </c>
      <c r="Z474" s="0" t="n">
        <f aca="false">W_PH(Z$2,$A474)</f>
        <v>3372.14255618256</v>
      </c>
      <c r="AA474" s="0" t="n">
        <f aca="false">W_PH(AA$2,$A474)</f>
        <v>3372.34185173952</v>
      </c>
      <c r="AB474" s="0" t="n">
        <f aca="false">W_PH(AB$2,$A474)</f>
        <v>3372.54116390496</v>
      </c>
      <c r="AC474" s="0" t="n">
        <f aca="false">W_PH(AC$2,$A474)</f>
        <v>3372.74049099784</v>
      </c>
      <c r="AD474" s="0" t="n">
        <f aca="false">W_PH(AD$2,$A474)</f>
        <v>3372.9398462904</v>
      </c>
      <c r="AE474" s="0" t="n">
        <f aca="false">W_PH(AE$2,$A474)</f>
        <v>3373.13922062503</v>
      </c>
      <c r="AF474" s="0" t="n">
        <f aca="false">W_PH(AF$2,$A474)</f>
        <v>3373.33862353677</v>
      </c>
      <c r="AG474" s="0" t="n">
        <f aca="false">W_PH(AG$2,$A474)</f>
        <v>3373.53805334439</v>
      </c>
      <c r="AH474" s="0" t="n">
        <f aca="false">W_PH(AH$2,$A474)</f>
        <v>3375.53429084393</v>
      </c>
      <c r="AI474" s="0" t="n">
        <f aca="false">W_PH(AI$2,$A474)</f>
        <v>3377.53544771817</v>
      </c>
      <c r="AJ474" s="0" t="n">
        <f aca="false">W_PH(AJ$2,$A474)</f>
        <v>3379.54348831343</v>
      </c>
      <c r="AK474" s="0" t="n">
        <f aca="false">W_PH(AK$2,$A474)</f>
        <v>3381.56039594613</v>
      </c>
      <c r="AL474" s="0" t="n">
        <f aca="false">W_PH(AL$2,$A474)</f>
        <v>3383.58813175794</v>
      </c>
      <c r="AM474" s="0" t="n">
        <f aca="false">W_PH(AM$2,$A474)</f>
        <v>3385.62867984329</v>
      </c>
      <c r="AN474" s="0" t="n">
        <f aca="false">W_PH(AN$2,$A474)</f>
        <v>3387.68400609283</v>
      </c>
      <c r="AO474" s="0" t="n">
        <f aca="false">W_PH(AO$2,$A474)</f>
        <v>3389.75609215882</v>
      </c>
      <c r="AP474" s="0" t="n">
        <f aca="false">W_PH(AP$2,$A474)</f>
        <v>2015</v>
      </c>
      <c r="AQ474" s="0" t="n">
        <f aca="false">W_PH(AQ$2,$A474)</f>
        <v>2015</v>
      </c>
      <c r="AR474" s="0" t="n">
        <f aca="false">W_PH(AR$2,$A474)</f>
        <v>2015</v>
      </c>
      <c r="AS474" s="0" t="n">
        <f aca="false">W_PH(AS$2,$A474)</f>
        <v>2015</v>
      </c>
    </row>
    <row r="475" customFormat="false" ht="12.8" hidden="false" customHeight="false" outlineLevel="0" collapsed="false">
      <c r="A475" s="0" t="n">
        <v>2730.00859845228</v>
      </c>
      <c r="B475" s="0" t="n">
        <f aca="false">W_PH(B$2,$A475)</f>
        <v>2015</v>
      </c>
      <c r="C475" s="0" t="n">
        <f aca="false">W_PH(C$2,$A475)</f>
        <v>3374.5212520293</v>
      </c>
      <c r="D475" s="0" t="n">
        <f aca="false">W_PH(D$2,$A475)</f>
        <v>3374.52145208015</v>
      </c>
      <c r="E475" s="0" t="n">
        <f aca="false">W_PH(E$2,$A475)</f>
        <v>3374.52165213101</v>
      </c>
      <c r="F475" s="0" t="n">
        <f aca="false">W_PH(F$2,$A475)</f>
        <v>3374.52185218188</v>
      </c>
      <c r="G475" s="0" t="n">
        <f aca="false">W_PH(G$2,$A475)</f>
        <v>3374.52384522508</v>
      </c>
      <c r="H475" s="0" t="n">
        <f aca="false">W_PH(H$2,$A475)</f>
        <v>3374.52583826948</v>
      </c>
      <c r="I475" s="0" t="n">
        <f aca="false">W_PH(I$2,$A475)</f>
        <v>3374.52783131509</v>
      </c>
      <c r="J475" s="0" t="n">
        <f aca="false">W_PH(J$2,$A475)</f>
        <v>3374.5298243619</v>
      </c>
      <c r="K475" s="0" t="n">
        <f aca="false">W_PH(K$2,$A475)</f>
        <v>3374.53181740992</v>
      </c>
      <c r="L475" s="0" t="n">
        <f aca="false">W_PH(L$2,$A475)</f>
        <v>3374.53381045915</v>
      </c>
      <c r="M475" s="0" t="n">
        <f aca="false">W_PH(M$2,$A475)</f>
        <v>3374.5358035096</v>
      </c>
      <c r="N475" s="0" t="n">
        <f aca="false">W_PH(N$2,$A475)</f>
        <v>3374.53779656125</v>
      </c>
      <c r="O475" s="0" t="n">
        <f aca="false">W_PH(O$2,$A475)</f>
        <v>3374.53978961412</v>
      </c>
      <c r="P475" s="0" t="n">
        <f aca="false">W_PH(P$2,$A475)</f>
        <v>3374.55972021018</v>
      </c>
      <c r="Q475" s="0" t="n">
        <f aca="false">W_PH(Q$2,$A475)</f>
        <v>3374.57965093009</v>
      </c>
      <c r="R475" s="0" t="n">
        <f aca="false">W_PH(R$2,$A475)</f>
        <v>3374.5995817759</v>
      </c>
      <c r="S475" s="0" t="n">
        <f aca="false">W_PH(S$2,$A475)</f>
        <v>3374.61951648292</v>
      </c>
      <c r="T475" s="0" t="n">
        <f aca="false">W_PH(T$2,$A475)</f>
        <v>3374.63945132001</v>
      </c>
      <c r="U475" s="0" t="n">
        <f aca="false">W_PH(U$2,$A475)</f>
        <v>3374.6593825559</v>
      </c>
      <c r="V475" s="0" t="n">
        <f aca="false">W_PH(V$2,$A475)</f>
        <v>3374.67931392589</v>
      </c>
      <c r="W475" s="0" t="n">
        <f aca="false">W_PH(W$2,$A475)</f>
        <v>3374.69924543202</v>
      </c>
      <c r="X475" s="0" t="n">
        <f aca="false">W_PH(X$2,$A475)</f>
        <v>3374.71917707635</v>
      </c>
      <c r="Y475" s="0" t="n">
        <f aca="false">W_PH(Y$2,$A475)</f>
        <v>3374.91850903864</v>
      </c>
      <c r="Z475" s="0" t="n">
        <f aca="false">W_PH(Z$2,$A475)</f>
        <v>3375.11784960718</v>
      </c>
      <c r="AA475" s="0" t="n">
        <f aca="false">W_PH(AA$2,$A475)</f>
        <v>3375.31721203191</v>
      </c>
      <c r="AB475" s="0" t="n">
        <f aca="false">W_PH(AB$2,$A475)</f>
        <v>3375.51658715825</v>
      </c>
      <c r="AC475" s="0" t="n">
        <f aca="false">W_PH(AC$2,$A475)</f>
        <v>3375.71598823822</v>
      </c>
      <c r="AD475" s="0" t="n">
        <f aca="false">W_PH(AD$2,$A475)</f>
        <v>3375.91540611531</v>
      </c>
      <c r="AE475" s="0" t="n">
        <f aca="false">W_PH(AE$2,$A475)</f>
        <v>3376.11484283634</v>
      </c>
      <c r="AF475" s="0" t="n">
        <f aca="false">W_PH(AF$2,$A475)</f>
        <v>3376.31431165649</v>
      </c>
      <c r="AG475" s="0" t="n">
        <f aca="false">W_PH(AG$2,$A475)</f>
        <v>3376.51380341637</v>
      </c>
      <c r="AH475" s="0" t="n">
        <f aca="false">W_PH(AH$2,$A475)</f>
        <v>3378.51067987752</v>
      </c>
      <c r="AI475" s="0" t="n">
        <f aca="false">W_PH(AI$2,$A475)</f>
        <v>3380.51243957377</v>
      </c>
      <c r="AJ475" s="0" t="n">
        <f aca="false">W_PH(AJ$2,$A475)</f>
        <v>3382.52105618102</v>
      </c>
      <c r="AK475" s="0" t="n">
        <f aca="false">W_PH(AK$2,$A475)</f>
        <v>3384.53848117297</v>
      </c>
      <c r="AL475" s="0" t="n">
        <f aca="false">W_PH(AL$2,$A475)</f>
        <v>3386.56668884713</v>
      </c>
      <c r="AM475" s="0" t="n">
        <f aca="false">W_PH(AM$2,$A475)</f>
        <v>3388.60763897345</v>
      </c>
      <c r="AN475" s="0" t="n">
        <f aca="false">W_PH(AN$2,$A475)</f>
        <v>3390.66329941714</v>
      </c>
      <c r="AO475" s="0" t="n">
        <f aca="false">W_PH(AO$2,$A475)</f>
        <v>3392.73563503791</v>
      </c>
      <c r="AP475" s="0" t="n">
        <f aca="false">W_PH(AP$2,$A475)</f>
        <v>2015</v>
      </c>
      <c r="AQ475" s="0" t="n">
        <f aca="false">W_PH(AQ$2,$A475)</f>
        <v>2015</v>
      </c>
      <c r="AR475" s="0" t="n">
        <f aca="false">W_PH(AR$2,$A475)</f>
        <v>2015</v>
      </c>
      <c r="AS475" s="0" t="n">
        <f aca="false">W_PH(AS$2,$A475)</f>
        <v>2015</v>
      </c>
    </row>
    <row r="476" customFormat="false" ht="12.8" hidden="false" customHeight="false" outlineLevel="0" collapsed="false">
      <c r="A476" s="0" t="n">
        <v>2734.30782459157</v>
      </c>
      <c r="B476" s="0" t="n">
        <f aca="false">W_PH(B$2,$A476)</f>
        <v>2015</v>
      </c>
      <c r="C476" s="0" t="n">
        <f aca="false">W_PH(C$2,$A476)</f>
        <v>3377.49235302176</v>
      </c>
      <c r="D476" s="0" t="n">
        <f aca="false">W_PH(D$2,$A476)</f>
        <v>3377.49255333776</v>
      </c>
      <c r="E476" s="0" t="n">
        <f aca="false">W_PH(E$2,$A476)</f>
        <v>3377.49275365377</v>
      </c>
      <c r="F476" s="0" t="n">
        <f aca="false">W_PH(F$2,$A476)</f>
        <v>3377.49295023989</v>
      </c>
      <c r="G476" s="0" t="n">
        <f aca="false">W_PH(G$2,$A476)</f>
        <v>3377.49494221103</v>
      </c>
      <c r="H476" s="0" t="n">
        <f aca="false">W_PH(H$2,$A476)</f>
        <v>3377.49693791328</v>
      </c>
      <c r="I476" s="0" t="n">
        <f aca="false">W_PH(I$2,$A476)</f>
        <v>3377.49893361672</v>
      </c>
      <c r="J476" s="0" t="n">
        <f aca="false">W_PH(J$2,$A476)</f>
        <v>3377.50092559143</v>
      </c>
      <c r="K476" s="0" t="n">
        <f aca="false">W_PH(K$2,$A476)</f>
        <v>3377.50291756734</v>
      </c>
      <c r="L476" s="0" t="n">
        <f aca="false">W_PH(L$2,$A476)</f>
        <v>3377.50491327436</v>
      </c>
      <c r="M476" s="0" t="n">
        <f aca="false">W_PH(M$2,$A476)</f>
        <v>3377.50690898259</v>
      </c>
      <c r="N476" s="0" t="n">
        <f aca="false">W_PH(N$2,$A476)</f>
        <v>3377.50890096209</v>
      </c>
      <c r="O476" s="0" t="n">
        <f aca="false">W_PH(O$2,$A476)</f>
        <v>3377.51089294279</v>
      </c>
      <c r="P476" s="0" t="n">
        <f aca="false">W_PH(P$2,$A476)</f>
        <v>3377.530835196</v>
      </c>
      <c r="Q476" s="0" t="n">
        <f aca="false">W_PH(Q$2,$A476)</f>
        <v>3377.55077011177</v>
      </c>
      <c r="R476" s="0" t="n">
        <f aca="false">W_PH(R$2,$A476)</f>
        <v>3377.57070888207</v>
      </c>
      <c r="S476" s="0" t="n">
        <f aca="false">W_PH(S$2,$A476)</f>
        <v>3377.59064777895</v>
      </c>
      <c r="T476" s="0" t="n">
        <f aca="false">W_PH(T$2,$A476)</f>
        <v>3377.61058307435</v>
      </c>
      <c r="U476" s="0" t="n">
        <f aca="false">W_PH(U$2,$A476)</f>
        <v>3377.63052596063</v>
      </c>
      <c r="V476" s="0" t="n">
        <f aca="false">W_PH(V$2,$A476)</f>
        <v>3377.65046151934</v>
      </c>
      <c r="W476" s="0" t="n">
        <f aca="false">W_PH(W$2,$A476)</f>
        <v>3377.67040094292</v>
      </c>
      <c r="X476" s="0" t="n">
        <f aca="false">W_PH(X$2,$A476)</f>
        <v>3377.69034050329</v>
      </c>
      <c r="Y476" s="0" t="n">
        <f aca="false">W_PH(Y$2,$A476)</f>
        <v>3377.88973661747</v>
      </c>
      <c r="Z476" s="0" t="n">
        <f aca="false">W_PH(Z$2,$A476)</f>
        <v>3378.08914118981</v>
      </c>
      <c r="AA476" s="0" t="n">
        <f aca="false">W_PH(AA$2,$A476)</f>
        <v>3378.28856371996</v>
      </c>
      <c r="AB476" s="0" t="n">
        <f aca="false">W_PH(AB$2,$A476)</f>
        <v>3378.48800624717</v>
      </c>
      <c r="AC476" s="0" t="n">
        <f aca="false">W_PH(AC$2,$A476)</f>
        <v>3378.68747081071</v>
      </c>
      <c r="AD476" s="0" t="n">
        <f aca="false">W_PH(AD$2,$A476)</f>
        <v>3378.88695198544</v>
      </c>
      <c r="AE476" s="0" t="n">
        <f aca="false">W_PH(AE$2,$A476)</f>
        <v>3379.08645180876</v>
      </c>
      <c r="AF476" s="0" t="n">
        <f aca="false">W_PH(AF$2,$A476)</f>
        <v>3379.28598724962</v>
      </c>
      <c r="AG476" s="0" t="n">
        <f aca="false">W_PH(AG$2,$A476)</f>
        <v>3379.4855416834</v>
      </c>
      <c r="AH476" s="0" t="n">
        <f aca="false">W_PH(AH$2,$A476)</f>
        <v>3381.48303454647</v>
      </c>
      <c r="AI476" s="0" t="n">
        <f aca="false">W_PH(AI$2,$A476)</f>
        <v>3383.48538977978</v>
      </c>
      <c r="AJ476" s="0" t="n">
        <f aca="false">W_PH(AJ$2,$A476)</f>
        <v>3385.4945567725</v>
      </c>
      <c r="AK476" s="0" t="n">
        <f aca="false">W_PH(AK$2,$A476)</f>
        <v>3387.51249641908</v>
      </c>
      <c r="AL476" s="0" t="n">
        <f aca="false">W_PH(AL$2,$A476)</f>
        <v>3389.54115501114</v>
      </c>
      <c r="AM476" s="0" t="n">
        <f aca="false">W_PH(AM$2,$A476)</f>
        <v>3391.58249805594</v>
      </c>
      <c r="AN476" s="0" t="n">
        <f aca="false">W_PH(AN$2,$A476)</f>
        <v>3393.63847293139</v>
      </c>
      <c r="AO476" s="0" t="n">
        <f aca="false">W_PH(AO$2,$A476)</f>
        <v>3395.71104654441</v>
      </c>
      <c r="AP476" s="0" t="n">
        <f aca="false">W_PH(AP$2,$A476)</f>
        <v>2015</v>
      </c>
      <c r="AQ476" s="0" t="n">
        <f aca="false">W_PH(AQ$2,$A476)</f>
        <v>2015</v>
      </c>
      <c r="AR476" s="0" t="n">
        <f aca="false">W_PH(AR$2,$A476)</f>
        <v>2015</v>
      </c>
      <c r="AS476" s="0" t="n">
        <f aca="false">W_PH(AS$2,$A476)</f>
        <v>2015</v>
      </c>
    </row>
    <row r="477" customFormat="false" ht="12.8" hidden="false" customHeight="false" outlineLevel="0" collapsed="false">
      <c r="A477" s="0" t="n">
        <v>2738.60705073087</v>
      </c>
      <c r="B477" s="0" t="n">
        <f aca="false">W_PH(B$2,$A477)</f>
        <v>2015</v>
      </c>
      <c r="C477" s="0" t="n">
        <f aca="false">W_PH(C$2,$A477)</f>
        <v>3380.45946678601</v>
      </c>
      <c r="D477" s="0" t="n">
        <f aca="false">W_PH(D$2,$A477)</f>
        <v>3380.45966736381</v>
      </c>
      <c r="E477" s="0" t="n">
        <f aca="false">W_PH(E$2,$A477)</f>
        <v>3380.45986794163</v>
      </c>
      <c r="F477" s="0" t="n">
        <f aca="false">W_PH(F$2,$A477)</f>
        <v>3380.46006479272</v>
      </c>
      <c r="G477" s="0" t="n">
        <f aca="false">W_PH(G$2,$A477)</f>
        <v>3380.46205939143</v>
      </c>
      <c r="H477" s="0" t="n">
        <f aca="false">W_PH(H$2,$A477)</f>
        <v>3380.46405399131</v>
      </c>
      <c r="I477" s="0" t="n">
        <f aca="false">W_PH(I$2,$A477)</f>
        <v>3380.46604859237</v>
      </c>
      <c r="J477" s="0" t="n">
        <f aca="false">W_PH(J$2,$A477)</f>
        <v>3380.46804319461</v>
      </c>
      <c r="K477" s="0" t="n">
        <f aca="false">W_PH(K$2,$A477)</f>
        <v>3380.47003779803</v>
      </c>
      <c r="L477" s="0" t="n">
        <f aca="false">W_PH(L$2,$A477)</f>
        <v>3380.47203240263</v>
      </c>
      <c r="M477" s="0" t="n">
        <f aca="false">W_PH(M$2,$A477)</f>
        <v>3380.47402700842</v>
      </c>
      <c r="N477" s="0" t="n">
        <f aca="false">W_PH(N$2,$A477)</f>
        <v>3380.47601788863</v>
      </c>
      <c r="O477" s="0" t="n">
        <f aca="false">W_PH(O$2,$A477)</f>
        <v>3380.47801622355</v>
      </c>
      <c r="P477" s="0" t="n">
        <f aca="false">W_PH(P$2,$A477)</f>
        <v>3380.49795864428</v>
      </c>
      <c r="Q477" s="0" t="n">
        <f aca="false">W_PH(Q$2,$A477)</f>
        <v>3380.51790118611</v>
      </c>
      <c r="R477" s="0" t="n">
        <f aca="false">W_PH(R$2,$A477)</f>
        <v>3380.53784757794</v>
      </c>
      <c r="S477" s="0" t="n">
        <f aca="false">W_PH(S$2,$A477)</f>
        <v>3380.55779409501</v>
      </c>
      <c r="T477" s="0" t="n">
        <f aca="false">W_PH(T$2,$A477)</f>
        <v>3380.57773701242</v>
      </c>
      <c r="U477" s="0" t="n">
        <f aca="false">W_PH(U$2,$A477)</f>
        <v>3380.59768005905</v>
      </c>
      <c r="V477" s="0" t="n">
        <f aca="false">W_PH(V$2,$A477)</f>
        <v>3380.61762696394</v>
      </c>
      <c r="W477" s="0" t="n">
        <f aca="false">W_PH(W$2,$A477)</f>
        <v>3380.63757400218</v>
      </c>
      <c r="X477" s="0" t="n">
        <f aca="false">W_PH(X$2,$A477)</f>
        <v>3380.65751744876</v>
      </c>
      <c r="Y477" s="0" t="n">
        <f aca="false">W_PH(Y$2,$A477)</f>
        <v>3380.8569747131</v>
      </c>
      <c r="Z477" s="0" t="n">
        <f aca="false">W_PH(Z$2,$A477)</f>
        <v>3381.05644401696</v>
      </c>
      <c r="AA477" s="0" t="n">
        <f aca="false">W_PH(AA$2,$A477)</f>
        <v>3381.25593111718</v>
      </c>
      <c r="AB477" s="0" t="n">
        <f aca="false">W_PH(AB$2,$A477)</f>
        <v>3381.45543431523</v>
      </c>
      <c r="AC477" s="0" t="n">
        <f aca="false">W_PH(AC$2,$A477)</f>
        <v>3381.65495563999</v>
      </c>
      <c r="AD477" s="0" t="n">
        <f aca="false">W_PH(AD$2,$A477)</f>
        <v>3381.85450084942</v>
      </c>
      <c r="AE477" s="0" t="n">
        <f aca="false">W_PH(AE$2,$A477)</f>
        <v>3382.05406451481</v>
      </c>
      <c r="AF477" s="0" t="n">
        <f aca="false">W_PH(AF$2,$A477)</f>
        <v>3382.25365985322</v>
      </c>
      <c r="AG477" s="0" t="n">
        <f aca="false">W_PH(AG$2,$A477)</f>
        <v>3382.4532777057</v>
      </c>
      <c r="AH477" s="0" t="n">
        <f aca="false">W_PH(AH$2,$A477)</f>
        <v>3384.45137218457</v>
      </c>
      <c r="AI477" s="0" t="n">
        <f aca="false">W_PH(AI$2,$A477)</f>
        <v>3386.45430099463</v>
      </c>
      <c r="AJ477" s="0" t="n">
        <f aca="false">W_PH(AJ$2,$A477)</f>
        <v>3388.46401174722</v>
      </c>
      <c r="AK477" s="0" t="n">
        <f aca="false">W_PH(AK$2,$A477)</f>
        <v>3390.48244488352</v>
      </c>
      <c r="AL477" s="0" t="n">
        <f aca="false">W_PH(AL$2,$A477)</f>
        <v>3392.51154496915</v>
      </c>
      <c r="AM477" s="0" t="n">
        <f aca="false">W_PH(AM$2,$A477)</f>
        <v>3394.55326456757</v>
      </c>
      <c r="AN477" s="0" t="n">
        <f aca="false">W_PH(AN$2,$A477)</f>
        <v>3396.60954188926</v>
      </c>
      <c r="AO477" s="0" t="n">
        <f aca="false">W_PH(AO$2,$A477)</f>
        <v>3398.68233842903</v>
      </c>
      <c r="AP477" s="0" t="n">
        <f aca="false">W_PH(AP$2,$A477)</f>
        <v>2015</v>
      </c>
      <c r="AQ477" s="0" t="n">
        <f aca="false">W_PH(AQ$2,$A477)</f>
        <v>2015</v>
      </c>
      <c r="AR477" s="0" t="n">
        <f aca="false">W_PH(AR$2,$A477)</f>
        <v>2015</v>
      </c>
      <c r="AS477" s="0" t="n">
        <f aca="false">W_PH(AS$2,$A477)</f>
        <v>2015</v>
      </c>
    </row>
    <row r="478" customFormat="false" ht="12.8" hidden="false" customHeight="false" outlineLevel="0" collapsed="false">
      <c r="A478" s="0" t="n">
        <v>2742.90627687016</v>
      </c>
      <c r="B478" s="0" t="n">
        <f aca="false">W_PH(B$2,$A478)</f>
        <v>2015</v>
      </c>
      <c r="C478" s="0" t="n">
        <f aca="false">W_PH(C$2,$A478)</f>
        <v>3383.42261369417</v>
      </c>
      <c r="D478" s="0" t="n">
        <f aca="false">W_PH(D$2,$A478)</f>
        <v>3383.4228108069</v>
      </c>
      <c r="E478" s="0" t="n">
        <f aca="false">W_PH(E$2,$A478)</f>
        <v>3383.42301164321</v>
      </c>
      <c r="F478" s="0" t="n">
        <f aca="false">W_PH(F$2,$A478)</f>
        <v>3383.42321247953</v>
      </c>
      <c r="G478" s="0" t="n">
        <f aca="false">W_PH(G$2,$A478)</f>
        <v>3383.42520594909</v>
      </c>
      <c r="H478" s="0" t="n">
        <f aca="false">W_PH(H$2,$A478)</f>
        <v>3383.42719941982</v>
      </c>
      <c r="I478" s="0" t="n">
        <f aca="false">W_PH(I$2,$A478)</f>
        <v>3383.42919661527</v>
      </c>
      <c r="J478" s="0" t="n">
        <f aca="false">W_PH(J$2,$A478)</f>
        <v>3383.4311938119</v>
      </c>
      <c r="K478" s="0" t="n">
        <f aca="false">W_PH(K$2,$A478)</f>
        <v>3383.43318728612</v>
      </c>
      <c r="L478" s="0" t="n">
        <f aca="false">W_PH(L$2,$A478)</f>
        <v>3383.43518076151</v>
      </c>
      <c r="M478" s="0" t="n">
        <f aca="false">W_PH(M$2,$A478)</f>
        <v>3383.43717423806</v>
      </c>
      <c r="N478" s="0" t="n">
        <f aca="false">W_PH(N$2,$A478)</f>
        <v>3383.43917143938</v>
      </c>
      <c r="O478" s="0" t="n">
        <f aca="false">W_PH(O$2,$A478)</f>
        <v>3383.44116864187</v>
      </c>
      <c r="P478" s="0" t="n">
        <f aca="false">W_PH(P$2,$A478)</f>
        <v>3383.4611183904</v>
      </c>
      <c r="Q478" s="0" t="n">
        <f aca="false">W_PH(Q$2,$A478)</f>
        <v>3383.48106825873</v>
      </c>
      <c r="R478" s="0" t="n">
        <f aca="false">W_PH(R$2,$A478)</f>
        <v>3383.50101824887</v>
      </c>
      <c r="S478" s="0" t="n">
        <f aca="false">W_PH(S$2,$A478)</f>
        <v>3383.52096836284</v>
      </c>
      <c r="T478" s="0" t="n">
        <f aca="false">W_PH(T$2,$A478)</f>
        <v>3383.54091860268</v>
      </c>
      <c r="U478" s="0" t="n">
        <f aca="false">W_PH(U$2,$A478)</f>
        <v>3383.56086897039</v>
      </c>
      <c r="V478" s="0" t="n">
        <f aca="false">W_PH(V$2,$A478)</f>
        <v>3383.580819468</v>
      </c>
      <c r="W478" s="0" t="n">
        <f aca="false">W_PH(W$2,$A478)</f>
        <v>3383.60077009752</v>
      </c>
      <c r="X478" s="0" t="n">
        <f aca="false">W_PH(X$2,$A478)</f>
        <v>3383.62072458487</v>
      </c>
      <c r="Y478" s="0" t="n">
        <f aca="false">W_PH(Y$2,$A478)</f>
        <v>3383.82024375513</v>
      </c>
      <c r="Z478" s="0" t="n">
        <f aca="false">W_PH(Z$2,$A478)</f>
        <v>3384.01977481776</v>
      </c>
      <c r="AA478" s="0" t="n">
        <f aca="false">W_PH(AA$2,$A478)</f>
        <v>3384.21932351708</v>
      </c>
      <c r="AB478" s="0" t="n">
        <f aca="false">W_PH(AB$2,$A478)</f>
        <v>3384.41888442324</v>
      </c>
      <c r="AC478" s="0" t="n">
        <f aca="false">W_PH(AC$2,$A478)</f>
        <v>3384.61846700582</v>
      </c>
      <c r="AD478" s="0" t="n">
        <f aca="false">W_PH(AD$2,$A478)</f>
        <v>3384.81807328541</v>
      </c>
      <c r="AE478" s="0" t="n">
        <f aca="false">W_PH(AE$2,$A478)</f>
        <v>3385.01769783035</v>
      </c>
      <c r="AF478" s="0" t="n">
        <f aca="false">W_PH(AF$2,$A478)</f>
        <v>3385.21735011234</v>
      </c>
      <c r="AG478" s="0" t="n">
        <f aca="false">W_PH(AG$2,$A478)</f>
        <v>3385.4170321521</v>
      </c>
      <c r="AH478" s="0" t="n">
        <f aca="false">W_PH(AH$2,$A478)</f>
        <v>3387.41571375423</v>
      </c>
      <c r="AI478" s="0" t="n">
        <f aca="false">W_PH(AI$2,$A478)</f>
        <v>3389.4192056896</v>
      </c>
      <c r="AJ478" s="0" t="n">
        <f aca="false">W_PH(AJ$2,$A478)</f>
        <v>3391.42943516958</v>
      </c>
      <c r="AK478" s="0" t="n">
        <f aca="false">W_PH(AK$2,$A478)</f>
        <v>3393.44834466393</v>
      </c>
      <c r="AL478" s="0" t="n">
        <f aca="false">W_PH(AL$2,$A478)</f>
        <v>3395.47787333753</v>
      </c>
      <c r="AM478" s="0" t="n">
        <f aca="false">W_PH(AM$2,$A478)</f>
        <v>3397.51995339705</v>
      </c>
      <c r="AN478" s="0" t="n">
        <f aca="false">W_PH(AN$2,$A478)</f>
        <v>3399.57652518294</v>
      </c>
      <c r="AO478" s="0" t="n">
        <f aca="false">W_PH(AO$2,$A478)</f>
        <v>3401.64953359619</v>
      </c>
      <c r="AP478" s="0" t="n">
        <f aca="false">W_PH(AP$2,$A478)</f>
        <v>2015</v>
      </c>
      <c r="AQ478" s="0" t="n">
        <f aca="false">W_PH(AQ$2,$A478)</f>
        <v>2015</v>
      </c>
      <c r="AR478" s="0" t="n">
        <f aca="false">W_PH(AR$2,$A478)</f>
        <v>2015</v>
      </c>
      <c r="AS478" s="0" t="n">
        <f aca="false">W_PH(AS$2,$A478)</f>
        <v>2015</v>
      </c>
    </row>
    <row r="479" customFormat="false" ht="12.8" hidden="false" customHeight="false" outlineLevel="0" collapsed="false">
      <c r="A479" s="0" t="n">
        <v>2747.20550300946</v>
      </c>
      <c r="B479" s="0" t="n">
        <f aca="false">W_PH(B$2,$A479)</f>
        <v>2015</v>
      </c>
      <c r="C479" s="0" t="n">
        <f aca="false">W_PH(C$2,$A479)</f>
        <v>3386.38180657218</v>
      </c>
      <c r="D479" s="0" t="n">
        <f aca="false">W_PH(D$2,$A479)</f>
        <v>3386.38200766369</v>
      </c>
      <c r="E479" s="0" t="n">
        <f aca="false">W_PH(E$2,$A479)</f>
        <v>3386.38220875521</v>
      </c>
      <c r="F479" s="0" t="n">
        <f aca="false">W_PH(F$2,$A479)</f>
        <v>3386.38240612635</v>
      </c>
      <c r="G479" s="0" t="n">
        <f aca="false">W_PH(G$2,$A479)</f>
        <v>3386.3844021607</v>
      </c>
      <c r="H479" s="0" t="n">
        <f aca="false">W_PH(H$2,$A479)</f>
        <v>3386.38639447579</v>
      </c>
      <c r="I479" s="0" t="n">
        <f aca="false">W_PH(I$2,$A479)</f>
        <v>3386.38839051245</v>
      </c>
      <c r="J479" s="0" t="n">
        <f aca="false">W_PH(J$2,$A479)</f>
        <v>3386.39038655025</v>
      </c>
      <c r="K479" s="0" t="n">
        <f aca="false">W_PH(K$2,$A479)</f>
        <v>3386.39238258921</v>
      </c>
      <c r="L479" s="0" t="n">
        <f aca="false">W_PH(L$2,$A479)</f>
        <v>3386.39437862933</v>
      </c>
      <c r="M479" s="0" t="n">
        <f aca="false">W_PH(M$2,$A479)</f>
        <v>3386.39637467061</v>
      </c>
      <c r="N479" s="0" t="n">
        <f aca="false">W_PH(N$2,$A479)</f>
        <v>3386.39837071304</v>
      </c>
      <c r="O479" s="0" t="n">
        <f aca="false">W_PH(O$2,$A479)</f>
        <v>3386.40036675665</v>
      </c>
      <c r="P479" s="0" t="n">
        <f aca="false">W_PH(P$2,$A479)</f>
        <v>3386.42032353664</v>
      </c>
      <c r="Q479" s="0" t="n">
        <f aca="false">W_PH(Q$2,$A479)</f>
        <v>3386.44028043513</v>
      </c>
      <c r="R479" s="0" t="n">
        <f aca="false">W_PH(R$2,$A479)</f>
        <v>3386.4602337336</v>
      </c>
      <c r="S479" s="0" t="n">
        <f aca="false">W_PH(S$2,$A479)</f>
        <v>3386.48019459563</v>
      </c>
      <c r="T479" s="0" t="n">
        <f aca="false">W_PH(T$2,$A479)</f>
        <v>3386.50014814109</v>
      </c>
      <c r="U479" s="0" t="n">
        <f aca="false">W_PH(U$2,$A479)</f>
        <v>3386.52010553364</v>
      </c>
      <c r="V479" s="0" t="n">
        <f aca="false">W_PH(V$2,$A479)</f>
        <v>3386.54006305474</v>
      </c>
      <c r="W479" s="0" t="n">
        <f aca="false">W_PH(W$2,$A479)</f>
        <v>3386.5600207064</v>
      </c>
      <c r="X479" s="0" t="n">
        <f aca="false">W_PH(X$2,$A479)</f>
        <v>3386.57997849064</v>
      </c>
      <c r="Y479" s="0" t="n">
        <f aca="false">W_PH(Y$2,$A479)</f>
        <v>3386.77955662491</v>
      </c>
      <c r="Z479" s="0" t="n">
        <f aca="false">W_PH(Z$2,$A479)</f>
        <v>3386.9791465061</v>
      </c>
      <c r="AA479" s="0" t="n">
        <f aca="false">W_PH(AA$2,$A479)</f>
        <v>3387.17875386609</v>
      </c>
      <c r="AB479" s="0" t="n">
        <f aca="false">W_PH(AB$2,$A479)</f>
        <v>3387.37837699409</v>
      </c>
      <c r="AC479" s="0" t="n">
        <f aca="false">W_PH(AC$2,$A479)</f>
        <v>3387.57801790042</v>
      </c>
      <c r="AD479" s="0" t="n">
        <f aca="false">W_PH(AD$2,$A479)</f>
        <v>3387.77768231807</v>
      </c>
      <c r="AE479" s="0" t="n">
        <f aca="false">W_PH(AE$2,$A479)</f>
        <v>3387.97736853544</v>
      </c>
      <c r="AF479" s="0" t="n">
        <f aca="false">W_PH(AF$2,$A479)</f>
        <v>3388.17707483973</v>
      </c>
      <c r="AG479" s="0" t="n">
        <f aca="false">W_PH(AG$2,$A479)</f>
        <v>3388.37681068766</v>
      </c>
      <c r="AH479" s="0" t="n">
        <f aca="false">W_PH(AH$2,$A479)</f>
        <v>3390.37606892414</v>
      </c>
      <c r="AI479" s="0" t="n">
        <f aca="false">W_PH(AI$2,$A479)</f>
        <v>3392.38010261006</v>
      </c>
      <c r="AJ479" s="0" t="n">
        <f aca="false">W_PH(AJ$2,$A479)</f>
        <v>3394.39084474227</v>
      </c>
      <c r="AK479" s="0" t="n">
        <f aca="false">W_PH(AK$2,$A479)</f>
        <v>3396.41022121833</v>
      </c>
      <c r="AL479" s="0" t="n">
        <f aca="false">W_PH(AL$2,$A479)</f>
        <v>3398.44015463094</v>
      </c>
      <c r="AM479" s="0" t="n">
        <f aca="false">W_PH(AM$2,$A479)</f>
        <v>3400.4825868117</v>
      </c>
      <c r="AN479" s="0" t="n">
        <f aca="false">W_PH(AN$2,$A479)</f>
        <v>3402.53944158241</v>
      </c>
      <c r="AO479" s="0" t="n">
        <f aca="false">W_PH(AO$2,$A479)</f>
        <v>3404.61264356861</v>
      </c>
      <c r="AP479" s="0" t="n">
        <f aca="false">W_PH(AP$2,$A479)</f>
        <v>2015</v>
      </c>
      <c r="AQ479" s="0" t="n">
        <f aca="false">W_PH(AQ$2,$A479)</f>
        <v>2015</v>
      </c>
      <c r="AR479" s="0" t="n">
        <f aca="false">W_PH(AR$2,$A479)</f>
        <v>2015</v>
      </c>
      <c r="AS479" s="0" t="n">
        <f aca="false">W_PH(AS$2,$A479)</f>
        <v>2015</v>
      </c>
    </row>
    <row r="480" customFormat="false" ht="12.8" hidden="false" customHeight="false" outlineLevel="0" collapsed="false">
      <c r="A480" s="0" t="n">
        <v>2751.50472914875</v>
      </c>
      <c r="B480" s="0" t="n">
        <f aca="false">W_PH(B$2,$A480)</f>
        <v>2015</v>
      </c>
      <c r="C480" s="0" t="n">
        <f aca="false">W_PH(C$2,$A480)</f>
        <v>3389.33706560118</v>
      </c>
      <c r="D480" s="0" t="n">
        <f aca="false">W_PH(D$2,$A480)</f>
        <v>3389.33726322742</v>
      </c>
      <c r="E480" s="0" t="n">
        <f aca="false">W_PH(E$2,$A480)</f>
        <v>3389.33746085366</v>
      </c>
      <c r="F480" s="0" t="n">
        <f aca="false">W_PH(F$2,$A480)</f>
        <v>3389.33766219717</v>
      </c>
      <c r="G480" s="0" t="n">
        <f aca="false">W_PH(G$2,$A480)</f>
        <v>3389.33966076384</v>
      </c>
      <c r="H480" s="0" t="n">
        <f aca="false">W_PH(H$2,$A480)</f>
        <v>3389.3416556144</v>
      </c>
      <c r="I480" s="0" t="n">
        <f aca="false">W_PH(I$2,$A480)</f>
        <v>3389.3436504661</v>
      </c>
      <c r="J480" s="0" t="n">
        <f aca="false">W_PH(J$2,$A480)</f>
        <v>3389.34564903619</v>
      </c>
      <c r="K480" s="0" t="n">
        <f aca="false">W_PH(K$2,$A480)</f>
        <v>3389.34764389017</v>
      </c>
      <c r="L480" s="0" t="n">
        <f aca="false">W_PH(L$2,$A480)</f>
        <v>3389.34963874529</v>
      </c>
      <c r="M480" s="0" t="n">
        <f aca="false">W_PH(M$2,$A480)</f>
        <v>3389.35163731882</v>
      </c>
      <c r="N480" s="0" t="n">
        <f aca="false">W_PH(N$2,$A480)</f>
        <v>3389.35363217623</v>
      </c>
      <c r="O480" s="0" t="n">
        <f aca="false">W_PH(O$2,$A480)</f>
        <v>3389.35562703479</v>
      </c>
      <c r="P480" s="0" t="n">
        <f aca="false">W_PH(P$2,$A480)</f>
        <v>3389.37559055316</v>
      </c>
      <c r="Q480" s="0" t="n">
        <f aca="false">W_PH(Q$2,$A480)</f>
        <v>3389.39555418875</v>
      </c>
      <c r="R480" s="0" t="n">
        <f aca="false">W_PH(R$2,$A480)</f>
        <v>3389.41551794354</v>
      </c>
      <c r="S480" s="0" t="n">
        <f aca="false">W_PH(S$2,$A480)</f>
        <v>3389.43547810215</v>
      </c>
      <c r="T480" s="0" t="n">
        <f aca="false">W_PH(T$2,$A480)</f>
        <v>3389.45543838391</v>
      </c>
      <c r="U480" s="0" t="n">
        <f aca="false">W_PH(U$2,$A480)</f>
        <v>3389.4754025083</v>
      </c>
      <c r="V480" s="0" t="n">
        <f aca="false">W_PH(V$2,$A480)</f>
        <v>3389.4953667599</v>
      </c>
      <c r="W480" s="0" t="n">
        <f aca="false">W_PH(W$2,$A480)</f>
        <v>3389.51533114073</v>
      </c>
      <c r="X480" s="0" t="n">
        <f aca="false">W_PH(X$2,$A480)</f>
        <v>3389.53528821766</v>
      </c>
      <c r="Y480" s="0" t="n">
        <f aca="false">W_PH(Y$2,$A480)</f>
        <v>3389.73492612376</v>
      </c>
      <c r="Z480" s="0" t="n">
        <f aca="false">W_PH(Z$2,$A480)</f>
        <v>3389.93457563365</v>
      </c>
      <c r="AA480" s="0" t="n">
        <f aca="false">W_PH(AA$2,$A480)</f>
        <v>3390.13424246683</v>
      </c>
      <c r="AB480" s="0" t="n">
        <f aca="false">W_PH(AB$2,$A480)</f>
        <v>3390.33391746883</v>
      </c>
      <c r="AC480" s="0" t="n">
        <f aca="false">W_PH(AC$2,$A480)</f>
        <v>3390.53362123457</v>
      </c>
      <c r="AD480" s="0" t="n">
        <f aca="false">W_PH(AD$2,$A480)</f>
        <v>3390.73334089022</v>
      </c>
      <c r="AE480" s="0" t="n">
        <f aca="false">W_PH(AE$2,$A480)</f>
        <v>3390.93308215582</v>
      </c>
      <c r="AF480" s="0" t="n">
        <f aca="false">W_PH(AF$2,$A480)</f>
        <v>3391.13285075273</v>
      </c>
      <c r="AG480" s="0" t="n">
        <f aca="false">W_PH(AG$2,$A480)</f>
        <v>3391.33264496282</v>
      </c>
      <c r="AH480" s="0" t="n">
        <f aca="false">W_PH(AH$2,$A480)</f>
        <v>3393.33245473639</v>
      </c>
      <c r="AI480" s="0" t="n">
        <f aca="false">W_PH(AI$2,$A480)</f>
        <v>3395.33702027664</v>
      </c>
      <c r="AJ480" s="0" t="n">
        <f aca="false">W_PH(AJ$2,$A480)</f>
        <v>3397.34825433124</v>
      </c>
      <c r="AK480" s="0" t="n">
        <f aca="false">W_PH(AK$2,$A480)</f>
        <v>3399.36807747113</v>
      </c>
      <c r="AL480" s="0" t="n">
        <f aca="false">W_PH(AL$2,$A480)</f>
        <v>3401.39841447016</v>
      </c>
      <c r="AM480" s="0" t="n">
        <f aca="false">W_PH(AM$2,$A480)</f>
        <v>3403.44117947048</v>
      </c>
      <c r="AN480" s="0" t="n">
        <f aca="false">W_PH(AN$2,$A480)</f>
        <v>3405.49829477158</v>
      </c>
      <c r="AO480" s="0" t="n">
        <f aca="false">W_PH(AO$2,$A480)</f>
        <v>3407.57169100418</v>
      </c>
      <c r="AP480" s="0" t="n">
        <f aca="false">W_PH(AP$2,$A480)</f>
        <v>2015</v>
      </c>
      <c r="AQ480" s="0" t="n">
        <f aca="false">W_PH(AQ$2,$A480)</f>
        <v>2015</v>
      </c>
      <c r="AR480" s="0" t="n">
        <f aca="false">W_PH(AR$2,$A480)</f>
        <v>2015</v>
      </c>
      <c r="AS480" s="0" t="n">
        <f aca="false">W_PH(AS$2,$A480)</f>
        <v>2015</v>
      </c>
    </row>
    <row r="481" customFormat="false" ht="12.8" hidden="false" customHeight="false" outlineLevel="0" collapsed="false">
      <c r="A481" s="0" t="n">
        <v>2755.80395528805</v>
      </c>
      <c r="B481" s="0" t="n">
        <f aca="false">W_PH(B$2,$A481)</f>
        <v>2015</v>
      </c>
      <c r="C481" s="0" t="n">
        <f aca="false">W_PH(C$2,$A481)</f>
        <v>3392.28839600215</v>
      </c>
      <c r="D481" s="0" t="n">
        <f aca="false">W_PH(D$2,$A481)</f>
        <v>3392.28859759439</v>
      </c>
      <c r="E481" s="0" t="n">
        <f aca="false">W_PH(E$2,$A481)</f>
        <v>3392.28879918665</v>
      </c>
      <c r="F481" s="0" t="n">
        <f aca="false">W_PH(F$2,$A481)</f>
        <v>3392.28899706481</v>
      </c>
      <c r="G481" s="0" t="n">
        <f aca="false">W_PH(G$2,$A481)</f>
        <v>3392.29099441757</v>
      </c>
      <c r="H481" s="0" t="n">
        <f aca="false">W_PH(H$2,$A481)</f>
        <v>3392.29298805734</v>
      </c>
      <c r="I481" s="0" t="n">
        <f aca="false">W_PH(I$2,$A481)</f>
        <v>3392.29498912646</v>
      </c>
      <c r="J481" s="0" t="n">
        <f aca="false">W_PH(J$2,$A481)</f>
        <v>3392.29698276848</v>
      </c>
      <c r="K481" s="0" t="n">
        <f aca="false">W_PH(K$2,$A481)</f>
        <v>3392.29898383986</v>
      </c>
      <c r="L481" s="0" t="n">
        <f aca="false">W_PH(L$2,$A481)</f>
        <v>3392.30097748414</v>
      </c>
      <c r="M481" s="0" t="n">
        <f aca="false">W_PH(M$2,$A481)</f>
        <v>3392.30297484367</v>
      </c>
      <c r="N481" s="0" t="n">
        <f aca="false">W_PH(N$2,$A481)</f>
        <v>3392.30497220434</v>
      </c>
      <c r="O481" s="0" t="n">
        <f aca="false">W_PH(O$2,$A481)</f>
        <v>3392.30696585201</v>
      </c>
      <c r="P481" s="0" t="n">
        <f aca="false">W_PH(P$2,$A481)</f>
        <v>3392.3269358189</v>
      </c>
      <c r="Q481" s="0" t="n">
        <f aca="false">W_PH(Q$2,$A481)</f>
        <v>3392.34690590173</v>
      </c>
      <c r="R481" s="0" t="n">
        <f aca="false">W_PH(R$2,$A481)</f>
        <v>3392.36687238827</v>
      </c>
      <c r="S481" s="0" t="n">
        <f aca="false">W_PH(S$2,$A481)</f>
        <v>3392.38683899467</v>
      </c>
      <c r="T481" s="0" t="n">
        <f aca="false">W_PH(T$2,$A481)</f>
        <v>3392.40680572294</v>
      </c>
      <c r="U481" s="0" t="n">
        <f aca="false">W_PH(U$2,$A481)</f>
        <v>3392.42677628937</v>
      </c>
      <c r="V481" s="0" t="n">
        <f aca="false">W_PH(V$2,$A481)</f>
        <v>3392.4467469817</v>
      </c>
      <c r="W481" s="0" t="n">
        <f aca="false">W_PH(W$2,$A481)</f>
        <v>3392.46671408755</v>
      </c>
      <c r="X481" s="0" t="n">
        <f aca="false">W_PH(X$2,$A481)</f>
        <v>3392.48668132323</v>
      </c>
      <c r="Y481" s="0" t="n">
        <f aca="false">W_PH(Y$2,$A481)</f>
        <v>3392.68637611788</v>
      </c>
      <c r="Z481" s="0" t="n">
        <f aca="false">W_PH(Z$2,$A481)</f>
        <v>3392.88607865977</v>
      </c>
      <c r="AA481" s="0" t="n">
        <f aca="false">W_PH(AA$2,$A481)</f>
        <v>3393.08579837055</v>
      </c>
      <c r="AB481" s="0" t="n">
        <f aca="false">W_PH(AB$2,$A481)</f>
        <v>3393.28553724306</v>
      </c>
      <c r="AC481" s="0" t="n">
        <f aca="false">W_PH(AC$2,$A481)</f>
        <v>3393.48528983827</v>
      </c>
      <c r="AD481" s="0" t="n">
        <f aca="false">W_PH(AD$2,$A481)</f>
        <v>3393.68506557983</v>
      </c>
      <c r="AE481" s="0" t="n">
        <f aca="false">W_PH(AE$2,$A481)</f>
        <v>3393.88486646077</v>
      </c>
      <c r="AF481" s="0" t="n">
        <f aca="false">W_PH(AF$2,$A481)</f>
        <v>3394.08468704034</v>
      </c>
      <c r="AG481" s="0" t="n">
        <f aca="false">W_PH(AG$2,$A481)</f>
        <v>3394.28453674425</v>
      </c>
      <c r="AH481" s="0" t="n">
        <f aca="false">W_PH(AH$2,$A481)</f>
        <v>3396.28488813434</v>
      </c>
      <c r="AI481" s="0" t="n">
        <f aca="false">W_PH(AI$2,$A481)</f>
        <v>3398.28996845144</v>
      </c>
      <c r="AJ481" s="0" t="n">
        <f aca="false">W_PH(AJ$2,$A481)</f>
        <v>3400.3016851624</v>
      </c>
      <c r="AK481" s="0" t="n">
        <f aca="false">W_PH(AK$2,$A481)</f>
        <v>3402.32194239607</v>
      </c>
      <c r="AL481" s="0" t="n">
        <f aca="false">W_PH(AL$2,$A481)</f>
        <v>3404.35265967458</v>
      </c>
      <c r="AM481" s="0" t="n">
        <f aca="false">W_PH(AM$2,$A481)</f>
        <v>3406.39574592942</v>
      </c>
      <c r="AN481" s="0" t="n">
        <f aca="false">W_PH(AN$2,$A481)</f>
        <v>3408.45311827191</v>
      </c>
      <c r="AO481" s="0" t="n">
        <f aca="false">W_PH(AO$2,$A481)</f>
        <v>3410.52668346192</v>
      </c>
      <c r="AP481" s="0" t="n">
        <f aca="false">W_PH(AP$2,$A481)</f>
        <v>2015</v>
      </c>
      <c r="AQ481" s="0" t="n">
        <f aca="false">W_PH(AQ$2,$A481)</f>
        <v>2015</v>
      </c>
      <c r="AR481" s="0" t="n">
        <f aca="false">W_PH(AR$2,$A481)</f>
        <v>2015</v>
      </c>
      <c r="AS481" s="0" t="n">
        <f aca="false">W_PH(AS$2,$A481)</f>
        <v>2015</v>
      </c>
    </row>
    <row r="482" customFormat="false" ht="12.8" hidden="false" customHeight="false" outlineLevel="0" collapsed="false">
      <c r="A482" s="0" t="n">
        <v>2760.10318142734</v>
      </c>
      <c r="B482" s="0" t="n">
        <f aca="false">W_PH(B$2,$A482)</f>
        <v>2015</v>
      </c>
      <c r="C482" s="0" t="n">
        <f aca="false">W_PH(C$2,$A482)</f>
        <v>3395.23582520913</v>
      </c>
      <c r="D482" s="0" t="n">
        <f aca="false">W_PH(D$2,$A482)</f>
        <v>3395.23602333599</v>
      </c>
      <c r="E482" s="0" t="n">
        <f aca="false">W_PH(E$2,$A482)</f>
        <v>3395.23622517383</v>
      </c>
      <c r="F482" s="0" t="n">
        <f aca="false">W_PH(F$2,$A482)</f>
        <v>3395.23642701168</v>
      </c>
      <c r="G482" s="0" t="n">
        <f aca="false">W_PH(G$2,$A482)</f>
        <v>3395.238423125</v>
      </c>
      <c r="H482" s="0" t="n">
        <f aca="false">W_PH(H$2,$A482)</f>
        <v>3395.24041923942</v>
      </c>
      <c r="I482" s="0" t="n">
        <f aca="false">W_PH(I$2,$A482)</f>
        <v>3395.24241535495</v>
      </c>
      <c r="J482" s="0" t="n">
        <f aca="false">W_PH(J$2,$A482)</f>
        <v>3395.24441147159</v>
      </c>
      <c r="K482" s="0" t="n">
        <f aca="false">W_PH(K$2,$A482)</f>
        <v>3395.24641130034</v>
      </c>
      <c r="L482" s="0" t="n">
        <f aca="false">W_PH(L$2,$A482)</f>
        <v>3395.2484111302</v>
      </c>
      <c r="M482" s="0" t="n">
        <f aca="false">W_PH(M$2,$A482)</f>
        <v>3395.2504072502</v>
      </c>
      <c r="N482" s="0" t="n">
        <f aca="false">W_PH(N$2,$A482)</f>
        <v>3395.25240337132</v>
      </c>
      <c r="O482" s="0" t="n">
        <f aca="false">W_PH(O$2,$A482)</f>
        <v>3395.25439949357</v>
      </c>
      <c r="P482" s="0" t="n">
        <f aca="false">W_PH(P$2,$A482)</f>
        <v>3395.27437562229</v>
      </c>
      <c r="Q482" s="0" t="n">
        <f aca="false">W_PH(Q$2,$A482)</f>
        <v>3395.29434444358</v>
      </c>
      <c r="R482" s="0" t="n">
        <f aca="false">W_PH(R$2,$A482)</f>
        <v>3395.3143208036</v>
      </c>
      <c r="S482" s="0" t="n">
        <f aca="false">W_PH(S$2,$A482)</f>
        <v>3395.33429357116</v>
      </c>
      <c r="T482" s="0" t="n">
        <f aca="false">W_PH(T$2,$A482)</f>
        <v>3395.35426645929</v>
      </c>
      <c r="U482" s="0" t="n">
        <f aca="false">W_PH(U$2,$A482)</f>
        <v>3395.37424318116</v>
      </c>
      <c r="V482" s="0" t="n">
        <f aca="false">W_PH(V$2,$A482)</f>
        <v>3395.39421260521</v>
      </c>
      <c r="W482" s="0" t="n">
        <f aca="false">W_PH(W$2,$A482)</f>
        <v>3395.41418957822</v>
      </c>
      <c r="X482" s="0" t="n">
        <f aca="false">W_PH(X$2,$A482)</f>
        <v>3395.43416296852</v>
      </c>
      <c r="Y482" s="0" t="n">
        <f aca="false">W_PH(Y$2,$A482)</f>
        <v>3395.63390808761</v>
      </c>
      <c r="Z482" s="0" t="n">
        <f aca="false">W_PH(Z$2,$A482)</f>
        <v>3395.8336719523</v>
      </c>
      <c r="AA482" s="0" t="n">
        <f aca="false">W_PH(AA$2,$A482)</f>
        <v>3396.03344541061</v>
      </c>
      <c r="AB482" s="0" t="n">
        <f aca="false">W_PH(AB$2,$A482)</f>
        <v>3396.2332378695</v>
      </c>
      <c r="AC482" s="0" t="n">
        <f aca="false">W_PH(AC$2,$A482)</f>
        <v>3396.43304388714</v>
      </c>
      <c r="AD482" s="0" t="n">
        <f aca="false">W_PH(AD$2,$A482)</f>
        <v>3396.63287287182</v>
      </c>
      <c r="AE482" s="0" t="n">
        <f aca="false">W_PH(AE$2,$A482)</f>
        <v>3396.83272680749</v>
      </c>
      <c r="AF482" s="0" t="n">
        <f aca="false">W_PH(AF$2,$A482)</f>
        <v>3397.03260396439</v>
      </c>
      <c r="AG482" s="0" t="n">
        <f aca="false">W_PH(AG$2,$A482)</f>
        <v>3397.23250632566</v>
      </c>
      <c r="AH482" s="0" t="n">
        <f aca="false">W_PH(AH$2,$A482)</f>
        <v>3399.23338596351</v>
      </c>
      <c r="AI482" s="0" t="n">
        <f aca="false">W_PH(AI$2,$A482)</f>
        <v>3401.2389642614</v>
      </c>
      <c r="AJ482" s="0" t="n">
        <f aca="false">W_PH(AJ$2,$A482)</f>
        <v>3403.25114345091</v>
      </c>
      <c r="AK482" s="0" t="n">
        <f aca="false">W_PH(AK$2,$A482)</f>
        <v>3405.27182246202</v>
      </c>
      <c r="AL482" s="0" t="n">
        <f aca="false">W_PH(AL$2,$A482)</f>
        <v>3407.30291190747</v>
      </c>
      <c r="AM482" s="0" t="n">
        <f aca="false">W_PH(AM$2,$A482)</f>
        <v>3409.34630810605</v>
      </c>
      <c r="AN482" s="0" t="n">
        <f aca="false">W_PH(AN$2,$A482)</f>
        <v>3411.40391555604</v>
      </c>
      <c r="AO482" s="0" t="n">
        <f aca="false">W_PH(AO$2,$A482)</f>
        <v>3413.47764336832</v>
      </c>
      <c r="AP482" s="0" t="n">
        <f aca="false">W_PH(AP$2,$A482)</f>
        <v>2015</v>
      </c>
      <c r="AQ482" s="0" t="n">
        <f aca="false">W_PH(AQ$2,$A482)</f>
        <v>2015</v>
      </c>
      <c r="AR482" s="0" t="n">
        <f aca="false">W_PH(AR$2,$A482)</f>
        <v>2015</v>
      </c>
      <c r="AS482" s="0" t="n">
        <f aca="false">W_PH(AS$2,$A482)</f>
        <v>2015</v>
      </c>
    </row>
    <row r="483" customFormat="false" ht="12.8" hidden="false" customHeight="false" outlineLevel="0" collapsed="false">
      <c r="A483" s="0" t="n">
        <v>2764.40240756664</v>
      </c>
      <c r="B483" s="0" t="n">
        <f aca="false">W_PH(B$2,$A483)</f>
        <v>2015</v>
      </c>
      <c r="C483" s="0" t="n">
        <f aca="false">W_PH(C$2,$A483)</f>
        <v>3398.17935828187</v>
      </c>
      <c r="D483" s="0" t="n">
        <f aca="false">W_PH(D$2,$A483)</f>
        <v>3398.17956036214</v>
      </c>
      <c r="E483" s="0" t="n">
        <f aca="false">W_PH(E$2,$A483)</f>
        <v>3398.17976244242</v>
      </c>
      <c r="F483" s="0" t="n">
        <f aca="false">W_PH(F$2,$A483)</f>
        <v>3398.17996081487</v>
      </c>
      <c r="G483" s="0" t="n">
        <f aca="false">W_PH(G$2,$A483)</f>
        <v>3398.1819556635</v>
      </c>
      <c r="H483" s="0" t="n">
        <f aca="false">W_PH(H$2,$A483)</f>
        <v>3398.18395422107</v>
      </c>
      <c r="I483" s="0" t="n">
        <f aca="false">W_PH(I$2,$A483)</f>
        <v>3398.18595277975</v>
      </c>
      <c r="J483" s="0" t="n">
        <f aca="false">W_PH(J$2,$A483)</f>
        <v>3398.18795133953</v>
      </c>
      <c r="K483" s="0" t="n">
        <f aca="false">W_PH(K$2,$A483)</f>
        <v>3398.18994990041</v>
      </c>
      <c r="L483" s="0" t="n">
        <f aca="false">W_PH(L$2,$A483)</f>
        <v>3398.1919484624</v>
      </c>
      <c r="M483" s="0" t="n">
        <f aca="false">W_PH(M$2,$A483)</f>
        <v>3398.1939470255</v>
      </c>
      <c r="N483" s="0" t="n">
        <f aca="false">W_PH(N$2,$A483)</f>
        <v>3398.19594558971</v>
      </c>
      <c r="O483" s="0" t="n">
        <f aca="false">W_PH(O$2,$A483)</f>
        <v>3398.19794044717</v>
      </c>
      <c r="P483" s="0" t="n">
        <f aca="false">W_PH(P$2,$A483)</f>
        <v>3398.21792245415</v>
      </c>
      <c r="Q483" s="0" t="n">
        <f aca="false">W_PH(Q$2,$A483)</f>
        <v>3398.23790086666</v>
      </c>
      <c r="R483" s="0" t="n">
        <f aca="false">W_PH(R$2,$A483)</f>
        <v>3398.25787939453</v>
      </c>
      <c r="S483" s="0" t="n">
        <f aca="false">W_PH(S$2,$A483)</f>
        <v>3398.27785803973</v>
      </c>
      <c r="T483" s="0" t="n">
        <f aca="false">W_PH(T$2,$A483)</f>
        <v>3398.29783680424</v>
      </c>
      <c r="U483" s="0" t="n">
        <f aca="false">W_PH(U$2,$A483)</f>
        <v>3398.31781569004</v>
      </c>
      <c r="V483" s="0" t="n">
        <f aca="false">W_PH(V$2,$A483)</f>
        <v>3398.33779469909</v>
      </c>
      <c r="W483" s="0" t="n">
        <f aca="false">W_PH(W$2,$A483)</f>
        <v>3398.35777383338</v>
      </c>
      <c r="X483" s="0" t="n">
        <f aca="false">W_PH(X$2,$A483)</f>
        <v>3398.37775309488</v>
      </c>
      <c r="Y483" s="0" t="n">
        <f aca="false">W_PH(Y$2,$A483)</f>
        <v>3398.57755314074</v>
      </c>
      <c r="Z483" s="0" t="n">
        <f aca="false">W_PH(Z$2,$A483)</f>
        <v>3398.77736807952</v>
      </c>
      <c r="AA483" s="0" t="n">
        <f aca="false">W_PH(AA$2,$A483)</f>
        <v>3398.97719246781</v>
      </c>
      <c r="AB483" s="0" t="n">
        <f aca="false">W_PH(AB$2,$A483)</f>
        <v>3399.17703569725</v>
      </c>
      <c r="AC483" s="0" t="n">
        <f aca="false">W_PH(AC$2,$A483)</f>
        <v>3399.37689974263</v>
      </c>
      <c r="AD483" s="0" t="n">
        <f aca="false">W_PH(AD$2,$A483)</f>
        <v>3399.57677915887</v>
      </c>
      <c r="AE483" s="0" t="n">
        <f aca="false">W_PH(AE$2,$A483)</f>
        <v>3399.77668704991</v>
      </c>
      <c r="AF483" s="0" t="n">
        <f aca="false">W_PH(AF$2,$A483)</f>
        <v>3399.97661425988</v>
      </c>
      <c r="AG483" s="0" t="n">
        <f aca="false">W_PH(AG$2,$A483)</f>
        <v>3400.17657018378</v>
      </c>
      <c r="AH483" s="0" t="n">
        <f aca="false">W_PH(AH$2,$A483)</f>
        <v>3402.1779612585</v>
      </c>
      <c r="AI483" s="0" t="n">
        <f aca="false">W_PH(AI$2,$A483)</f>
        <v>3404.18402101593</v>
      </c>
      <c r="AJ483" s="0" t="n">
        <f aca="false">W_PH(AJ$2,$A483)</f>
        <v>3406.19665394642</v>
      </c>
      <c r="AK483" s="0" t="n">
        <f aca="false">W_PH(AK$2,$A483)</f>
        <v>3408.217738961</v>
      </c>
      <c r="AL483" s="0" t="n">
        <f aca="false">W_PH(AL$2,$A483)</f>
        <v>3410.2491852565</v>
      </c>
      <c r="AM483" s="0" t="n">
        <f aca="false">W_PH(AM$2,$A483)</f>
        <v>3412.29287287663</v>
      </c>
      <c r="AN483" s="0" t="n">
        <f aca="false">W_PH(AN$2,$A483)</f>
        <v>3414.35070868857</v>
      </c>
      <c r="AO483" s="0" t="n">
        <f aca="false">W_PH(AO$2,$A483)</f>
        <v>3416.42458554807</v>
      </c>
      <c r="AP483" s="0" t="n">
        <f aca="false">W_PH(AP$2,$A483)</f>
        <v>2015</v>
      </c>
      <c r="AQ483" s="0" t="n">
        <f aca="false">W_PH(AQ$2,$A483)</f>
        <v>2015</v>
      </c>
      <c r="AR483" s="0" t="n">
        <f aca="false">W_PH(AR$2,$A483)</f>
        <v>2015</v>
      </c>
      <c r="AS483" s="0" t="n">
        <f aca="false">W_PH(AS$2,$A483)</f>
        <v>2015</v>
      </c>
    </row>
    <row r="484" customFormat="false" ht="12.8" hidden="false" customHeight="false" outlineLevel="0" collapsed="false">
      <c r="A484" s="0" t="n">
        <v>2768.70163370593</v>
      </c>
      <c r="B484" s="0" t="n">
        <f aca="false">W_PH(B$2,$A484)</f>
        <v>2015</v>
      </c>
      <c r="C484" s="0" t="n">
        <f aca="false">W_PH(C$2,$A484)</f>
        <v>3401.11901875229</v>
      </c>
      <c r="D484" s="0" t="n">
        <f aca="false">W_PH(D$2,$A484)</f>
        <v>3401.11921736717</v>
      </c>
      <c r="E484" s="0" t="n">
        <f aca="false">W_PH(E$2,$A484)</f>
        <v>3401.11941968678</v>
      </c>
      <c r="F484" s="0" t="n">
        <f aca="false">W_PH(F$2,$A484)</f>
        <v>3401.11961830168</v>
      </c>
      <c r="G484" s="0" t="n">
        <f aca="false">W_PH(G$2,$A484)</f>
        <v>3401.12161556542</v>
      </c>
      <c r="H484" s="0" t="n">
        <f aca="false">W_PH(H$2,$A484)</f>
        <v>3401.12361653498</v>
      </c>
      <c r="I484" s="0" t="n">
        <f aca="false">W_PH(I$2,$A484)</f>
        <v>3401.1256138009</v>
      </c>
      <c r="J484" s="0" t="n">
        <f aca="false">W_PH(J$2,$A484)</f>
        <v>3401.1276110679</v>
      </c>
      <c r="K484" s="0" t="n">
        <f aca="false">W_PH(K$2,$A484)</f>
        <v>3401.12961204074</v>
      </c>
      <c r="L484" s="0" t="n">
        <f aca="false">W_PH(L$2,$A484)</f>
        <v>3401.13160930993</v>
      </c>
      <c r="M484" s="0" t="n">
        <f aca="false">W_PH(M$2,$A484)</f>
        <v>3401.13360658022</v>
      </c>
      <c r="N484" s="0" t="n">
        <f aca="false">W_PH(N$2,$A484)</f>
        <v>3401.13560755634</v>
      </c>
      <c r="O484" s="0" t="n">
        <f aca="false">W_PH(O$2,$A484)</f>
        <v>3401.13760112408</v>
      </c>
      <c r="P484" s="0" t="n">
        <f aca="false">W_PH(P$2,$A484)</f>
        <v>3401.15758872883</v>
      </c>
      <c r="Q484" s="0" t="n">
        <f aca="false">W_PH(Q$2,$A484)</f>
        <v>3401.1775690362</v>
      </c>
      <c r="R484" s="0" t="n">
        <f aca="false">W_PH(R$2,$A484)</f>
        <v>3401.1975568673</v>
      </c>
      <c r="S484" s="0" t="n">
        <f aca="false">W_PH(S$2,$A484)</f>
        <v>3401.21753740482</v>
      </c>
      <c r="T484" s="0" t="n">
        <f aca="false">W_PH(T$2,$A484)</f>
        <v>3401.23752547014</v>
      </c>
      <c r="U484" s="0" t="n">
        <f aca="false">W_PH(U$2,$A484)</f>
        <v>3401.25750624568</v>
      </c>
      <c r="V484" s="0" t="n">
        <f aca="false">W_PH(V$2,$A484)</f>
        <v>3401.27749455307</v>
      </c>
      <c r="W484" s="0" t="n">
        <f aca="false">W_PH(W$2,$A484)</f>
        <v>3401.2974755745</v>
      </c>
      <c r="X484" s="0" t="n">
        <f aca="false">W_PH(X$2,$A484)</f>
        <v>3401.31746413183</v>
      </c>
      <c r="Y484" s="0" t="n">
        <f aca="false">W_PH(Y$2,$A484)</f>
        <v>3401.51731260269</v>
      </c>
      <c r="Z484" s="0" t="n">
        <f aca="false">W_PH(Z$2,$A484)</f>
        <v>3401.71717582669</v>
      </c>
      <c r="AA484" s="0" t="n">
        <f aca="false">W_PH(AA$2,$A484)</f>
        <v>3401.91705576956</v>
      </c>
      <c r="AB484" s="0" t="n">
        <f aca="false">W_PH(AB$2,$A484)</f>
        <v>3402.11695439708</v>
      </c>
      <c r="AC484" s="0" t="n">
        <f aca="false">W_PH(AC$2,$A484)</f>
        <v>3402.31686626203</v>
      </c>
      <c r="AD484" s="0" t="n">
        <f aca="false">W_PH(AD$2,$A484)</f>
        <v>3402.51680074218</v>
      </c>
      <c r="AE484" s="0" t="n">
        <f aca="false">W_PH(AE$2,$A484)</f>
        <v>3402.71675609636</v>
      </c>
      <c r="AF484" s="0" t="n">
        <f aca="false">W_PH(AF$2,$A484)</f>
        <v>3402.91673799712</v>
      </c>
      <c r="AG484" s="0" t="n">
        <f aca="false">W_PH(AG$2,$A484)</f>
        <v>3403.11674099508</v>
      </c>
      <c r="AH484" s="0" t="n">
        <f aca="false">W_PH(AH$2,$A484)</f>
        <v>3405.11862697056</v>
      </c>
      <c r="AI484" s="0" t="n">
        <f aca="false">W_PH(AI$2,$A484)</f>
        <v>3407.12515936504</v>
      </c>
      <c r="AJ484" s="0" t="n">
        <f aca="false">W_PH(AJ$2,$A484)</f>
        <v>3409.1382264028</v>
      </c>
      <c r="AK484" s="0" t="n">
        <f aca="false">W_PH(AK$2,$A484)</f>
        <v>3411.15970562624</v>
      </c>
      <c r="AL484" s="0" t="n">
        <f aca="false">W_PH(AL$2,$A484)</f>
        <v>3413.1914899904</v>
      </c>
      <c r="AM484" s="0" t="n">
        <f aca="false">W_PH(AM$2,$A484)</f>
        <v>3415.23546566943</v>
      </c>
      <c r="AN484" s="0" t="n">
        <f aca="false">W_PH(AN$2,$A484)</f>
        <v>3417.29351214873</v>
      </c>
      <c r="AO484" s="0" t="n">
        <f aca="false">W_PH(AO$2,$A484)</f>
        <v>3419.36752471993</v>
      </c>
      <c r="AP484" s="0" t="n">
        <f aca="false">W_PH(AP$2,$A484)</f>
        <v>2015</v>
      </c>
      <c r="AQ484" s="0" t="n">
        <f aca="false">W_PH(AQ$2,$A484)</f>
        <v>2015</v>
      </c>
      <c r="AR484" s="0" t="n">
        <f aca="false">W_PH(AR$2,$A484)</f>
        <v>2015</v>
      </c>
      <c r="AS484" s="0" t="n">
        <f aca="false">W_PH(AS$2,$A484)</f>
        <v>2015</v>
      </c>
    </row>
    <row r="485" customFormat="false" ht="12.8" hidden="false" customHeight="false" outlineLevel="0" collapsed="false">
      <c r="A485" s="0" t="n">
        <v>2773.00085984523</v>
      </c>
      <c r="B485" s="0" t="n">
        <f aca="false">W_PH(B$2,$A485)</f>
        <v>2015</v>
      </c>
      <c r="C485" s="0" t="n">
        <f aca="false">W_PH(C$2,$A485)</f>
        <v>3404.05481523277</v>
      </c>
      <c r="D485" s="0" t="n">
        <f aca="false">W_PH(D$2,$A485)</f>
        <v>3404.05501778861</v>
      </c>
      <c r="E485" s="0" t="n">
        <f aca="false">W_PH(E$2,$A485)</f>
        <v>3404.05521294125</v>
      </c>
      <c r="F485" s="0" t="n">
        <f aca="false">W_PH(F$2,$A485)</f>
        <v>3404.05541549711</v>
      </c>
      <c r="G485" s="0" t="n">
        <f aca="false">W_PH(G$2,$A485)</f>
        <v>3404.0574114435</v>
      </c>
      <c r="H485" s="0" t="n">
        <f aca="false">W_PH(H$2,$A485)</f>
        <v>3404.05941479418</v>
      </c>
      <c r="I485" s="0" t="n">
        <f aca="false">W_PH(I$2,$A485)</f>
        <v>3404.06141074271</v>
      </c>
      <c r="J485" s="0" t="n">
        <f aca="false">W_PH(J$2,$A485)</f>
        <v>3404.06341039394</v>
      </c>
      <c r="K485" s="0" t="n">
        <f aca="false">W_PH(K$2,$A485)</f>
        <v>3404.06541004624</v>
      </c>
      <c r="L485" s="0" t="n">
        <f aca="false">W_PH(L$2,$A485)</f>
        <v>3404.06740599801</v>
      </c>
      <c r="M485" s="0" t="n">
        <f aca="false">W_PH(M$2,$A485)</f>
        <v>3404.06940935411</v>
      </c>
      <c r="N485" s="0" t="n">
        <f aca="false">W_PH(N$2,$A485)</f>
        <v>3404.07140530804</v>
      </c>
      <c r="O485" s="0" t="n">
        <f aca="false">W_PH(O$2,$A485)</f>
        <v>3404.07340496469</v>
      </c>
      <c r="P485" s="0" t="n">
        <f aca="false">W_PH(P$2,$A485)</f>
        <v>3404.09339048651</v>
      </c>
      <c r="Q485" s="0" t="n">
        <f aca="false">W_PH(Q$2,$A485)</f>
        <v>3404.11337982092</v>
      </c>
      <c r="R485" s="0" t="n">
        <f aca="false">W_PH(R$2,$A485)</f>
        <v>3404.13336926824</v>
      </c>
      <c r="S485" s="0" t="n">
        <f aca="false">W_PH(S$2,$A485)</f>
        <v>3404.15335883043</v>
      </c>
      <c r="T485" s="0" t="n">
        <f aca="false">W_PH(T$2,$A485)</f>
        <v>3404.17334850943</v>
      </c>
      <c r="U485" s="0" t="n">
        <f aca="false">W_PH(U$2,$A485)</f>
        <v>3404.19333830722</v>
      </c>
      <c r="V485" s="0" t="n">
        <f aca="false">W_PH(V$2,$A485)</f>
        <v>3404.21332822574</v>
      </c>
      <c r="W485" s="0" t="n">
        <f aca="false">W_PH(W$2,$A485)</f>
        <v>3404.23331826695</v>
      </c>
      <c r="X485" s="0" t="n">
        <f aca="false">W_PH(X$2,$A485)</f>
        <v>3404.25330843281</v>
      </c>
      <c r="Y485" s="0" t="n">
        <f aca="false">W_PH(Y$2,$A485)</f>
        <v>3404.4532099732</v>
      </c>
      <c r="Z485" s="0" t="n">
        <f aca="false">W_PH(Z$2,$A485)</f>
        <v>3404.65312612972</v>
      </c>
      <c r="AA485" s="0" t="n">
        <f aca="false">W_PH(AA$2,$A485)</f>
        <v>3404.85305145359</v>
      </c>
      <c r="AB485" s="0" t="n">
        <f aca="false">W_PH(AB$2,$A485)</f>
        <v>3405.0529990092</v>
      </c>
      <c r="AC485" s="0" t="n">
        <f aca="false">W_PH(AC$2,$A485)</f>
        <v>3405.25296334759</v>
      </c>
      <c r="AD485" s="0" t="n">
        <f aca="false">W_PH(AD$2,$A485)</f>
        <v>3405.45294642488</v>
      </c>
      <c r="AE485" s="0" t="n">
        <f aca="false">W_PH(AE$2,$A485)</f>
        <v>3405.65295019725</v>
      </c>
      <c r="AF485" s="0" t="n">
        <f aca="false">W_PH(AF$2,$A485)</f>
        <v>3405.85298032523</v>
      </c>
      <c r="AG485" s="0" t="n">
        <f aca="false">W_PH(AG$2,$A485)</f>
        <v>3406.05303506141</v>
      </c>
      <c r="AH485" s="0" t="n">
        <f aca="false">W_PH(AH$2,$A485)</f>
        <v>3408.05540338343</v>
      </c>
      <c r="AI485" s="0" t="n">
        <f aca="false">W_PH(AI$2,$A485)</f>
        <v>3410.06239242604</v>
      </c>
      <c r="AJ485" s="0" t="n">
        <f aca="false">W_PH(AJ$2,$A485)</f>
        <v>3412.07587792441</v>
      </c>
      <c r="AK485" s="0" t="n">
        <f aca="false">W_PH(AK$2,$A485)</f>
        <v>3414.09773981467</v>
      </c>
      <c r="AL485" s="0" t="n">
        <f aca="false">W_PH(AL$2,$A485)</f>
        <v>3416.12985117127</v>
      </c>
      <c r="AM485" s="0" t="n">
        <f aca="false">W_PH(AM$2,$A485)</f>
        <v>3418.17409316542</v>
      </c>
      <c r="AN485" s="0" t="n">
        <f aca="false">W_PH(AN$2,$A485)</f>
        <v>3420.23234403806</v>
      </c>
      <c r="AO485" s="0" t="n">
        <f aca="false">W_PH(AO$2,$A485)</f>
        <v>3422.3064829512</v>
      </c>
      <c r="AP485" s="0" t="n">
        <f aca="false">W_PH(AP$2,$A485)</f>
        <v>2015</v>
      </c>
      <c r="AQ485" s="0" t="n">
        <f aca="false">W_PH(AQ$2,$A485)</f>
        <v>2015</v>
      </c>
      <c r="AR485" s="0" t="n">
        <f aca="false">W_PH(AR$2,$A485)</f>
        <v>2015</v>
      </c>
      <c r="AS485" s="0" t="n">
        <f aca="false">W_PH(AS$2,$A485)</f>
        <v>2015</v>
      </c>
    </row>
    <row r="486" customFormat="false" ht="12.8" hidden="false" customHeight="false" outlineLevel="0" collapsed="false">
      <c r="A486" s="0" t="n">
        <v>2777.30008598452</v>
      </c>
      <c r="B486" s="0" t="n">
        <f aca="false">W_PH(B$2,$A486)</f>
        <v>2015</v>
      </c>
      <c r="C486" s="0" t="n">
        <f aca="false">W_PH(C$2,$A486)</f>
        <v>3406.98675997156</v>
      </c>
      <c r="D486" s="0" t="n">
        <f aca="false">W_PH(D$2,$A486)</f>
        <v>3406.9869627606</v>
      </c>
      <c r="E486" s="0" t="n">
        <f aca="false">W_PH(E$2,$A486)</f>
        <v>3406.98716554965</v>
      </c>
      <c r="F486" s="0" t="n">
        <f aca="false">W_PH(F$2,$A486)</f>
        <v>3406.98736094171</v>
      </c>
      <c r="G486" s="0" t="n">
        <f aca="false">W_PH(G$2,$A486)</f>
        <v>3406.9893592449</v>
      </c>
      <c r="H486" s="0" t="n">
        <f aca="false">W_PH(H$2,$A486)</f>
        <v>3406.99136124765</v>
      </c>
      <c r="I486" s="0" t="n">
        <f aca="false">W_PH(I$2,$A486)</f>
        <v>3406.99336325148</v>
      </c>
      <c r="J486" s="0" t="n">
        <f aca="false">W_PH(J$2,$A486)</f>
        <v>3406.99536155786</v>
      </c>
      <c r="K486" s="0" t="n">
        <f aca="false">W_PH(K$2,$A486)</f>
        <v>3406.99735986531</v>
      </c>
      <c r="L486" s="0" t="n">
        <f aca="false">W_PH(L$2,$A486)</f>
        <v>3406.99935817382</v>
      </c>
      <c r="M486" s="0" t="n">
        <f aca="false">W_PH(M$2,$A486)</f>
        <v>3407.00135648341</v>
      </c>
      <c r="N486" s="0" t="n">
        <f aca="false">W_PH(N$2,$A486)</f>
        <v>3407.00335479407</v>
      </c>
      <c r="O486" s="0" t="n">
        <f aca="false">W_PH(O$2,$A486)</f>
        <v>3407.00535680433</v>
      </c>
      <c r="P486" s="0" t="n">
        <f aca="false">W_PH(P$2,$A486)</f>
        <v>3407.0253510769</v>
      </c>
      <c r="Q486" s="0" t="n">
        <f aca="false">W_PH(Q$2,$A486)</f>
        <v>3407.04534176063</v>
      </c>
      <c r="R486" s="0" t="n">
        <f aca="false">W_PH(R$2,$A486)</f>
        <v>3407.06533995325</v>
      </c>
      <c r="S486" s="0" t="n">
        <f aca="false">W_PH(S$2,$A486)</f>
        <v>3407.08533086227</v>
      </c>
      <c r="T486" s="0" t="n">
        <f aca="false">W_PH(T$2,$A486)</f>
        <v>3407.1053292842</v>
      </c>
      <c r="U486" s="0" t="n">
        <f aca="false">W_PH(U$2,$A486)</f>
        <v>3407.12532042632</v>
      </c>
      <c r="V486" s="0" t="n">
        <f aca="false">W_PH(V$2,$A486)</f>
        <v>3407.14531538661</v>
      </c>
      <c r="W486" s="0" t="n">
        <f aca="false">W_PH(W$2,$A486)</f>
        <v>3407.16531046834</v>
      </c>
      <c r="X486" s="0" t="n">
        <f aca="false">W_PH(X$2,$A486)</f>
        <v>3407.18530197467</v>
      </c>
      <c r="Y486" s="0" t="n">
        <f aca="false">W_PH(Y$2,$A486)</f>
        <v>3407.38525384251</v>
      </c>
      <c r="Z486" s="0" t="n">
        <f aca="false">W_PH(Z$2,$A486)</f>
        <v>3407.58522019099</v>
      </c>
      <c r="AA486" s="0" t="n">
        <f aca="false">W_PH(AA$2,$A486)</f>
        <v>3407.78519556875</v>
      </c>
      <c r="AB486" s="0" t="n">
        <f aca="false">W_PH(AB$2,$A486)</f>
        <v>3407.98518932201</v>
      </c>
      <c r="AC486" s="0" t="n">
        <f aca="false">W_PH(AC$2,$A486)</f>
        <v>3408.18520339886</v>
      </c>
      <c r="AD486" s="0" t="n">
        <f aca="false">W_PH(AD$2,$A486)</f>
        <v>3408.38523234636</v>
      </c>
      <c r="AE486" s="0" t="n">
        <f aca="false">W_PH(AE$2,$A486)</f>
        <v>3408.58528551268</v>
      </c>
      <c r="AF486" s="0" t="n">
        <f aca="false">W_PH(AF$2,$A486)</f>
        <v>3408.78536484613</v>
      </c>
      <c r="AG486" s="0" t="n">
        <f aca="false">W_PH(AG$2,$A486)</f>
        <v>3408.98546489217</v>
      </c>
      <c r="AH486" s="0" t="n">
        <f aca="false">W_PH(AH$2,$A486)</f>
        <v>3410.98829956048</v>
      </c>
      <c r="AI486" s="0" t="n">
        <f aca="false">W_PH(AI$2,$A486)</f>
        <v>3412.99573323116</v>
      </c>
      <c r="AJ486" s="0" t="n">
        <f aca="false">W_PH(AJ$2,$A486)</f>
        <v>3415.0096255142</v>
      </c>
      <c r="AK486" s="0" t="n">
        <f aca="false">W_PH(AK$2,$A486)</f>
        <v>3417.03185135266</v>
      </c>
      <c r="AL486" s="0" t="n">
        <f aca="false">W_PH(AL$2,$A486)</f>
        <v>3419.06427886407</v>
      </c>
      <c r="AM486" s="0" t="n">
        <f aca="false">W_PH(AM$2,$A486)</f>
        <v>3421.1087768477</v>
      </c>
      <c r="AN486" s="0" t="n">
        <f aca="false">W_PH(AN$2,$A486)</f>
        <v>3423.16721490205</v>
      </c>
      <c r="AO486" s="0" t="n">
        <f aca="false">W_PH(AO$2,$A486)</f>
        <v>3425.2414710082</v>
      </c>
      <c r="AP486" s="0" t="n">
        <f aca="false">W_PH(AP$2,$A486)</f>
        <v>2015</v>
      </c>
      <c r="AQ486" s="0" t="n">
        <f aca="false">W_PH(AQ$2,$A486)</f>
        <v>2015</v>
      </c>
      <c r="AR486" s="0" t="n">
        <f aca="false">W_PH(AR$2,$A486)</f>
        <v>2015</v>
      </c>
      <c r="AS486" s="0" t="n">
        <f aca="false">W_PH(AS$2,$A486)</f>
        <v>2015</v>
      </c>
    </row>
    <row r="487" customFormat="false" ht="12.8" hidden="false" customHeight="false" outlineLevel="0" collapsed="false">
      <c r="A487" s="0" t="n">
        <v>2781.59931212382</v>
      </c>
      <c r="B487" s="0" t="n">
        <f aca="false">W_PH(B$2,$A487)</f>
        <v>2015</v>
      </c>
      <c r="C487" s="0" t="n">
        <f aca="false">W_PH(C$2,$A487)</f>
        <v>3409.91487992416</v>
      </c>
      <c r="D487" s="0" t="n">
        <f aca="false">W_PH(D$2,$A487)</f>
        <v>3409.91507555257</v>
      </c>
      <c r="E487" s="0" t="n">
        <f aca="false">W_PH(E$2,$A487)</f>
        <v>3409.9152785718</v>
      </c>
      <c r="F487" s="0" t="n">
        <f aca="false">W_PH(F$2,$A487)</f>
        <v>3409.91547789564</v>
      </c>
      <c r="G487" s="0" t="n">
        <f aca="false">W_PH(G$2,$A487)</f>
        <v>3409.91747482998</v>
      </c>
      <c r="H487" s="0" t="n">
        <f aca="false">W_PH(H$2,$A487)</f>
        <v>3409.91947546077</v>
      </c>
      <c r="I487" s="0" t="n">
        <f aca="false">W_PH(I$2,$A487)</f>
        <v>3409.92147609262</v>
      </c>
      <c r="J487" s="0" t="n">
        <f aca="false">W_PH(J$2,$A487)</f>
        <v>3409.92347672553</v>
      </c>
      <c r="K487" s="0" t="n">
        <f aca="false">W_PH(K$2,$A487)</f>
        <v>3409.92547735949</v>
      </c>
      <c r="L487" s="0" t="n">
        <f aca="false">W_PH(L$2,$A487)</f>
        <v>3409.92747799452</v>
      </c>
      <c r="M487" s="0" t="n">
        <f aca="false">W_PH(M$2,$A487)</f>
        <v>3409.9294786306</v>
      </c>
      <c r="N487" s="0" t="n">
        <f aca="false">W_PH(N$2,$A487)</f>
        <v>3409.93147557232</v>
      </c>
      <c r="O487" s="0" t="n">
        <f aca="false">W_PH(O$2,$A487)</f>
        <v>3409.93347621053</v>
      </c>
      <c r="P487" s="0" t="n">
        <f aca="false">W_PH(P$2,$A487)</f>
        <v>3409.9534715653</v>
      </c>
      <c r="Q487" s="0" t="n">
        <f aca="false">W_PH(Q$2,$A487)</f>
        <v>3409.97347072408</v>
      </c>
      <c r="R487" s="0" t="n">
        <f aca="false">W_PH(R$2,$A487)</f>
        <v>3409.99346999337</v>
      </c>
      <c r="S487" s="0" t="n">
        <f aca="false">W_PH(S$2,$A487)</f>
        <v>3410.01346937511</v>
      </c>
      <c r="T487" s="0" t="n">
        <f aca="false">W_PH(T$2,$A487)</f>
        <v>3410.03346887124</v>
      </c>
      <c r="U487" s="0" t="n">
        <f aca="false">W_PH(U$2,$A487)</f>
        <v>3410.05346848371</v>
      </c>
      <c r="V487" s="0" t="n">
        <f aca="false">W_PH(V$2,$A487)</f>
        <v>3410.07346821444</v>
      </c>
      <c r="W487" s="0" t="n">
        <f aca="false">W_PH(W$2,$A487)</f>
        <v>3410.09346806538</v>
      </c>
      <c r="X487" s="0" t="n">
        <f aca="false">W_PH(X$2,$A487)</f>
        <v>3410.11346803848</v>
      </c>
      <c r="Y487" s="0" t="n">
        <f aca="false">W_PH(Y$2,$A487)</f>
        <v>3410.31346382619</v>
      </c>
      <c r="Z487" s="0" t="n">
        <f aca="false">W_PH(Z$2,$A487)</f>
        <v>3410.51347396002</v>
      </c>
      <c r="AA487" s="0" t="n">
        <f aca="false">W_PH(AA$2,$A487)</f>
        <v>3410.71350037916</v>
      </c>
      <c r="AB487" s="0" t="n">
        <f aca="false">W_PH(AB$2,$A487)</f>
        <v>3410.91354132601</v>
      </c>
      <c r="AC487" s="0" t="n">
        <f aca="false">W_PH(AC$2,$A487)</f>
        <v>3411.11359873902</v>
      </c>
      <c r="AD487" s="0" t="n">
        <f aca="false">W_PH(AD$2,$A487)</f>
        <v>3411.31367825416</v>
      </c>
      <c r="AE487" s="0" t="n">
        <f aca="false">W_PH(AE$2,$A487)</f>
        <v>3411.51377811315</v>
      </c>
      <c r="AF487" s="0" t="n">
        <f aca="false">W_PH(AF$2,$A487)</f>
        <v>3411.71390025464</v>
      </c>
      <c r="AG487" s="0" t="n">
        <f aca="false">W_PH(AG$2,$A487)</f>
        <v>3411.91405031566</v>
      </c>
      <c r="AH487" s="0" t="n">
        <f aca="false">W_PH(AH$2,$A487)</f>
        <v>3413.91733560034</v>
      </c>
      <c r="AI487" s="0" t="n">
        <f aca="false">W_PH(AI$2,$A487)</f>
        <v>3415.92519472831</v>
      </c>
      <c r="AJ487" s="0" t="n">
        <f aca="false">W_PH(AJ$2,$A487)</f>
        <v>3417.93948236777</v>
      </c>
      <c r="AK487" s="0" t="n">
        <f aca="false">W_PH(AK$2,$A487)</f>
        <v>3419.96206111788</v>
      </c>
      <c r="AL487" s="0" t="n">
        <f aca="false">W_PH(AL$2,$A487)</f>
        <v>3421.9947904779</v>
      </c>
      <c r="AM487" s="0" t="n">
        <f aca="false">W_PH(AM$2,$A487)</f>
        <v>3424.03953064584</v>
      </c>
      <c r="AN487" s="0" t="n">
        <f aca="false">W_PH(AN$2,$A487)</f>
        <v>3426.0981463523</v>
      </c>
      <c r="AO487" s="0" t="n">
        <f aca="false">W_PH(AO$2,$A487)</f>
        <v>3428.17249956816</v>
      </c>
      <c r="AP487" s="0" t="n">
        <f aca="false">W_PH(AP$2,$A487)</f>
        <v>2015</v>
      </c>
      <c r="AQ487" s="0" t="n">
        <f aca="false">W_PH(AQ$2,$A487)</f>
        <v>2015</v>
      </c>
      <c r="AR487" s="0" t="n">
        <f aca="false">W_PH(AR$2,$A487)</f>
        <v>2015</v>
      </c>
      <c r="AS487" s="0" t="n">
        <f aca="false">W_PH(AS$2,$A487)</f>
        <v>2015</v>
      </c>
    </row>
    <row r="488" customFormat="false" ht="12.8" hidden="false" customHeight="false" outlineLevel="0" collapsed="false">
      <c r="A488" s="0" t="n">
        <v>2785.89853826311</v>
      </c>
      <c r="B488" s="0" t="n">
        <f aca="false">W_PH(B$2,$A488)</f>
        <v>2015</v>
      </c>
      <c r="C488" s="0" t="n">
        <f aca="false">W_PH(C$2,$A488)</f>
        <v>3412.83917238435</v>
      </c>
      <c r="D488" s="0" t="n">
        <f aca="false">W_PH(D$2,$A488)</f>
        <v>3412.83937193844</v>
      </c>
      <c r="E488" s="0" t="n">
        <f aca="false">W_PH(E$2,$A488)</f>
        <v>3412.83957518486</v>
      </c>
      <c r="F488" s="0" t="n">
        <f aca="false">W_PH(F$2,$A488)</f>
        <v>3412.83977104666</v>
      </c>
      <c r="G488" s="0" t="n">
        <f aca="false">W_PH(G$2,$A488)</f>
        <v>3412.84177397303</v>
      </c>
      <c r="H488" s="0" t="n">
        <f aca="false">W_PH(H$2,$A488)</f>
        <v>3412.84377320811</v>
      </c>
      <c r="I488" s="0" t="n">
        <f aca="false">W_PH(I$2,$A488)</f>
        <v>3412.84577244423</v>
      </c>
      <c r="J488" s="0" t="n">
        <f aca="false">W_PH(J$2,$A488)</f>
        <v>3412.84777537372</v>
      </c>
      <c r="K488" s="0" t="n">
        <f aca="false">W_PH(K$2,$A488)</f>
        <v>3412.84977461193</v>
      </c>
      <c r="L488" s="0" t="n">
        <f aca="false">W_PH(L$2,$A488)</f>
        <v>3412.85177385119</v>
      </c>
      <c r="M488" s="0" t="n">
        <f aca="false">W_PH(M$2,$A488)</f>
        <v>3412.85377678383</v>
      </c>
      <c r="N488" s="0" t="n">
        <f aca="false">W_PH(N$2,$A488)</f>
        <v>3412.85577233285</v>
      </c>
      <c r="O488" s="0" t="n">
        <f aca="false">W_PH(O$2,$A488)</f>
        <v>3412.85777526759</v>
      </c>
      <c r="P488" s="0" t="n">
        <f aca="false">W_PH(P$2,$A488)</f>
        <v>3412.877778827</v>
      </c>
      <c r="Q488" s="0" t="n">
        <f aca="false">W_PH(Q$2,$A488)</f>
        <v>3412.89778249382</v>
      </c>
      <c r="R488" s="0" t="n">
        <f aca="false">W_PH(R$2,$A488)</f>
        <v>3412.91778257755</v>
      </c>
      <c r="S488" s="0" t="n">
        <f aca="false">W_PH(S$2,$A488)</f>
        <v>3412.9377901574</v>
      </c>
      <c r="T488" s="0" t="n">
        <f aca="false">W_PH(T$2,$A488)</f>
        <v>3412.95779046554</v>
      </c>
      <c r="U488" s="0" t="n">
        <f aca="false">W_PH(U$2,$A488)</f>
        <v>3412.97779458126</v>
      </c>
      <c r="V488" s="0" t="n">
        <f aca="false">W_PH(V$2,$A488)</f>
        <v>3412.99779881404</v>
      </c>
      <c r="W488" s="0" t="n">
        <f aca="false">W_PH(W$2,$A488)</f>
        <v>3413.01780316581</v>
      </c>
      <c r="X488" s="0" t="n">
        <f aca="false">W_PH(X$2,$A488)</f>
        <v>3413.0378076385</v>
      </c>
      <c r="Y488" s="0" t="n">
        <f aca="false">W_PH(Y$2,$A488)</f>
        <v>3413.23785205488</v>
      </c>
      <c r="Z488" s="0" t="n">
        <f aca="false">W_PH(Z$2,$A488)</f>
        <v>3413.43790699232</v>
      </c>
      <c r="AA488" s="0" t="n">
        <f aca="false">W_PH(AA$2,$A488)</f>
        <v>3413.63797807391</v>
      </c>
      <c r="AB488" s="0" t="n">
        <f aca="false">W_PH(AB$2,$A488)</f>
        <v>3413.83806353641</v>
      </c>
      <c r="AC488" s="0" t="n">
        <f aca="false">W_PH(AC$2,$A488)</f>
        <v>3414.03816900363</v>
      </c>
      <c r="AD488" s="0" t="n">
        <f aca="false">W_PH(AD$2,$A488)</f>
        <v>3414.2382927119</v>
      </c>
      <c r="AE488" s="0" t="n">
        <f aca="false">W_PH(AE$2,$A488)</f>
        <v>3414.43844028573</v>
      </c>
      <c r="AF488" s="0" t="n">
        <f aca="false">W_PH(AF$2,$A488)</f>
        <v>3414.6386062661</v>
      </c>
      <c r="AG488" s="0" t="n">
        <f aca="false">W_PH(AG$2,$A488)</f>
        <v>3414.83879997256</v>
      </c>
      <c r="AH488" s="0" t="n">
        <f aca="false">W_PH(AH$2,$A488)</f>
        <v>3416.84252409996</v>
      </c>
      <c r="AI488" s="0" t="n">
        <f aca="false">W_PH(AI$2,$A488)</f>
        <v>3418.85079718362</v>
      </c>
      <c r="AJ488" s="0" t="n">
        <f aca="false">W_PH(AJ$2,$A488)</f>
        <v>3420.865461594</v>
      </c>
      <c r="AK488" s="0" t="n">
        <f aca="false">W_PH(AK$2,$A488)</f>
        <v>3422.8883824593</v>
      </c>
      <c r="AL488" s="0" t="n">
        <f aca="false">W_PH(AL$2,$A488)</f>
        <v>3424.92139589768</v>
      </c>
      <c r="AM488" s="0" t="n">
        <f aca="false">W_PH(AM$2,$A488)</f>
        <v>3426.96636839355</v>
      </c>
      <c r="AN488" s="0" t="n">
        <f aca="false">W_PH(AN$2,$A488)</f>
        <v>3429.02515244642</v>
      </c>
      <c r="AO488" s="0" t="n">
        <f aca="false">W_PH(AO$2,$A488)</f>
        <v>3431.09959408628</v>
      </c>
      <c r="AP488" s="0" t="n">
        <f aca="false">W_PH(AP$2,$A488)</f>
        <v>2015</v>
      </c>
      <c r="AQ488" s="0" t="n">
        <f aca="false">W_PH(AQ$2,$A488)</f>
        <v>2015</v>
      </c>
      <c r="AR488" s="0" t="n">
        <f aca="false">W_PH(AR$2,$A488)</f>
        <v>2015</v>
      </c>
      <c r="AS488" s="0" t="n">
        <f aca="false">W_PH(AS$2,$A488)</f>
        <v>2015</v>
      </c>
    </row>
    <row r="489" customFormat="false" ht="12.8" hidden="false" customHeight="false" outlineLevel="0" collapsed="false">
      <c r="A489" s="0" t="n">
        <v>2790.19776440241</v>
      </c>
      <c r="B489" s="0" t="n">
        <f aca="false">W_PH(B$2,$A489)</f>
        <v>2015</v>
      </c>
      <c r="C489" s="0" t="n">
        <f aca="false">W_PH(C$2,$A489)</f>
        <v>3415.75966413611</v>
      </c>
      <c r="D489" s="0" t="n">
        <f aca="false">W_PH(D$2,$A489)</f>
        <v>3415.75986022829</v>
      </c>
      <c r="E489" s="0" t="n">
        <f aca="false">W_PH(E$2,$A489)</f>
        <v>3415.76006369894</v>
      </c>
      <c r="F489" s="0" t="n">
        <f aca="false">W_PH(F$2,$A489)</f>
        <v>3415.76026348037</v>
      </c>
      <c r="G489" s="0" t="n">
        <f aca="false">W_PH(G$2,$A489)</f>
        <v>3415.76226498448</v>
      </c>
      <c r="H489" s="0" t="n">
        <f aca="false">W_PH(H$2,$A489)</f>
        <v>3415.76426280037</v>
      </c>
      <c r="I489" s="0" t="n">
        <f aca="false">W_PH(I$2,$A489)</f>
        <v>3415.76626430653</v>
      </c>
      <c r="J489" s="0" t="n">
        <f aca="false">W_PH(J$2,$A489)</f>
        <v>3415.76826581373</v>
      </c>
      <c r="K489" s="0" t="n">
        <f aca="false">W_PH(K$2,$A489)</f>
        <v>3415.77026363271</v>
      </c>
      <c r="L489" s="0" t="n">
        <f aca="false">W_PH(L$2,$A489)</f>
        <v>3415.77226883122</v>
      </c>
      <c r="M489" s="0" t="n">
        <f aca="false">W_PH(M$2,$A489)</f>
        <v>3415.77426665227</v>
      </c>
      <c r="N489" s="0" t="n">
        <f aca="false">W_PH(N$2,$A489)</f>
        <v>3415.77626816362</v>
      </c>
      <c r="O489" s="0" t="n">
        <f aca="false">W_PH(O$2,$A489)</f>
        <v>3415.778269676</v>
      </c>
      <c r="P489" s="0" t="n">
        <f aca="false">W_PH(P$2,$A489)</f>
        <v>3415.79827747904</v>
      </c>
      <c r="Q489" s="0" t="n">
        <f aca="false">W_PH(Q$2,$A489)</f>
        <v>3415.81828538833</v>
      </c>
      <c r="R489" s="0" t="n">
        <f aca="false">W_PH(R$2,$A489)</f>
        <v>3415.83829340579</v>
      </c>
      <c r="S489" s="0" t="n">
        <f aca="false">W_PH(S$2,$A489)</f>
        <v>3415.85830153335</v>
      </c>
      <c r="T489" s="0" t="n">
        <f aca="false">W_PH(T$2,$A489)</f>
        <v>3415.87830977293</v>
      </c>
      <c r="U489" s="0" t="n">
        <f aca="false">W_PH(U$2,$A489)</f>
        <v>3415.89831812645</v>
      </c>
      <c r="V489" s="0" t="n">
        <f aca="false">W_PH(V$2,$A489)</f>
        <v>3415.91832659583</v>
      </c>
      <c r="W489" s="0" t="n">
        <f aca="false">W_PH(W$2,$A489)</f>
        <v>3415.938335183</v>
      </c>
      <c r="X489" s="0" t="n">
        <f aca="false">W_PH(X$2,$A489)</f>
        <v>3415.95834020035</v>
      </c>
      <c r="Y489" s="0" t="n">
        <f aca="false">W_PH(Y$2,$A489)</f>
        <v>3416.15843058551</v>
      </c>
      <c r="Z489" s="0" t="n">
        <f aca="false">W_PH(Z$2,$A489)</f>
        <v>3416.35853136444</v>
      </c>
      <c r="AA489" s="0" t="n">
        <f aca="false">W_PH(AA$2,$A489)</f>
        <v>3416.55864814846</v>
      </c>
      <c r="AB489" s="0" t="n">
        <f aca="false">W_PH(AB$2,$A489)</f>
        <v>3416.75877547812</v>
      </c>
      <c r="AC489" s="0" t="n">
        <f aca="false">W_PH(AC$2,$A489)</f>
        <v>3416.95892265555</v>
      </c>
      <c r="AD489" s="0" t="n">
        <f aca="false">W_PH(AD$2,$A489)</f>
        <v>3417.15909160276</v>
      </c>
      <c r="AE489" s="0" t="n">
        <f aca="false">W_PH(AE$2,$A489)</f>
        <v>3417.35928055033</v>
      </c>
      <c r="AF489" s="0" t="n">
        <f aca="false">W_PH(AF$2,$A489)</f>
        <v>3417.55949511135</v>
      </c>
      <c r="AG489" s="0" t="n">
        <f aca="false">W_PH(AG$2,$A489)</f>
        <v>3417.75972982389</v>
      </c>
      <c r="AH489" s="0" t="n">
        <f aca="false">W_PH(AH$2,$A489)</f>
        <v>3419.76387757677</v>
      </c>
      <c r="AI489" s="0" t="n">
        <f aca="false">W_PH(AI$2,$A489)</f>
        <v>3421.77254966193</v>
      </c>
      <c r="AJ489" s="0" t="n">
        <f aca="false">W_PH(AJ$2,$A489)</f>
        <v>3423.78758361683</v>
      </c>
      <c r="AK489" s="0" t="n">
        <f aca="false">W_PH(AK$2,$A489)</f>
        <v>3425.81082863699</v>
      </c>
      <c r="AL489" s="0" t="n">
        <f aca="false">W_PH(AL$2,$A489)</f>
        <v>3427.84411975257</v>
      </c>
      <c r="AM489" s="0" t="n">
        <f aca="false">W_PH(AM$2,$A489)</f>
        <v>3429.88930753792</v>
      </c>
      <c r="AN489" s="0" t="n">
        <f aca="false">W_PH(AN$2,$A489)</f>
        <v>3431.94824343346</v>
      </c>
      <c r="AO489" s="0" t="n">
        <f aca="false">W_PH(AO$2,$A489)</f>
        <v>3434.02276502391</v>
      </c>
      <c r="AP489" s="0" t="n">
        <f aca="false">W_PH(AP$2,$A489)</f>
        <v>2015</v>
      </c>
      <c r="AQ489" s="0" t="n">
        <f aca="false">W_PH(AQ$2,$A489)</f>
        <v>2015</v>
      </c>
      <c r="AR489" s="0" t="n">
        <f aca="false">W_PH(AR$2,$A489)</f>
        <v>2015</v>
      </c>
      <c r="AS489" s="0" t="n">
        <f aca="false">W_PH(AS$2,$A489)</f>
        <v>2015</v>
      </c>
    </row>
    <row r="490" customFormat="false" ht="12.8" hidden="false" customHeight="false" outlineLevel="0" collapsed="false">
      <c r="A490" s="0" t="n">
        <v>2794.4969905417</v>
      </c>
      <c r="B490" s="0" t="n">
        <f aca="false">W_PH(B$2,$A490)</f>
        <v>2015</v>
      </c>
      <c r="C490" s="0" t="n">
        <f aca="false">W_PH(C$2,$A490)</f>
        <v>3418.67635972479</v>
      </c>
      <c r="D490" s="0" t="n">
        <f aca="false">W_PH(D$2,$A490)</f>
        <v>3418.67656341674</v>
      </c>
      <c r="E490" s="0" t="n">
        <f aca="false">W_PH(E$2,$A490)</f>
        <v>3418.67675973638</v>
      </c>
      <c r="F490" s="0" t="n">
        <f aca="false">W_PH(F$2,$A490)</f>
        <v>3418.67696342835</v>
      </c>
      <c r="G490" s="0" t="n">
        <f aca="false">W_PH(G$2,$A490)</f>
        <v>3418.678963487</v>
      </c>
      <c r="H490" s="0" t="n">
        <f aca="false">W_PH(H$2,$A490)</f>
        <v>3418.68096354667</v>
      </c>
      <c r="I490" s="0" t="n">
        <f aca="false">W_PH(I$2,$A490)</f>
        <v>3418.68296360736</v>
      </c>
      <c r="J490" s="0" t="n">
        <f aca="false">W_PH(J$2,$A490)</f>
        <v>3418.68496735524</v>
      </c>
      <c r="K490" s="0" t="n">
        <f aca="false">W_PH(K$2,$A490)</f>
        <v>3418.68696741796</v>
      </c>
      <c r="L490" s="0" t="n">
        <f aca="false">W_PH(L$2,$A490)</f>
        <v>3418.68897116789</v>
      </c>
      <c r="M490" s="0" t="n">
        <f aca="false">W_PH(M$2,$A490)</f>
        <v>3418.69097123267</v>
      </c>
      <c r="N490" s="0" t="n">
        <f aca="false">W_PH(N$2,$A490)</f>
        <v>3418.69297129848</v>
      </c>
      <c r="O490" s="0" t="n">
        <f aca="false">W_PH(O$2,$A490)</f>
        <v>3418.69497136531</v>
      </c>
      <c r="P490" s="0" t="n">
        <f aca="false">W_PH(P$2,$A490)</f>
        <v>3418.71498683549</v>
      </c>
      <c r="Q490" s="0" t="n">
        <f aca="false">W_PH(Q$2,$A490)</f>
        <v>3418.73499503835</v>
      </c>
      <c r="R490" s="0" t="n">
        <f aca="false">W_PH(R$2,$A490)</f>
        <v>3418.75501072072</v>
      </c>
      <c r="S490" s="0" t="n">
        <f aca="false">W_PH(S$2,$A490)</f>
        <v>3418.77501913949</v>
      </c>
      <c r="T490" s="0" t="n">
        <f aca="false">W_PH(T$2,$A490)</f>
        <v>3418.79503504171</v>
      </c>
      <c r="U490" s="0" t="n">
        <f aca="false">W_PH(U$2,$A490)</f>
        <v>3418.81504368404</v>
      </c>
      <c r="V490" s="0" t="n">
        <f aca="false">W_PH(V$2,$A490)</f>
        <v>3418.83505981376</v>
      </c>
      <c r="W490" s="0" t="n">
        <f aca="false">W_PH(W$2,$A490)</f>
        <v>3418.8550686873</v>
      </c>
      <c r="X490" s="0" t="n">
        <f aca="false">W_PH(X$2,$A490)</f>
        <v>3418.87508505218</v>
      </c>
      <c r="Y490" s="0" t="n">
        <f aca="false">W_PH(Y$2,$A490)</f>
        <v>3419.07521508871</v>
      </c>
      <c r="Z490" s="0" t="n">
        <f aca="false">W_PH(Z$2,$A490)</f>
        <v>3419.27535907958</v>
      </c>
      <c r="AA490" s="0" t="n">
        <f aca="false">W_PH(AA$2,$A490)</f>
        <v>3419.47551525072</v>
      </c>
      <c r="AB490" s="0" t="n">
        <f aca="false">W_PH(AB$2,$A490)</f>
        <v>3419.67568920211</v>
      </c>
      <c r="AC490" s="0" t="n">
        <f aca="false">W_PH(AC$2,$A490)</f>
        <v>3419.8758828471</v>
      </c>
      <c r="AD490" s="0" t="n">
        <f aca="false">W_PH(AD$2,$A490)</f>
        <v>3420.07609072283</v>
      </c>
      <c r="AE490" s="0" t="n">
        <f aca="false">W_PH(AE$2,$A490)</f>
        <v>3420.27632211793</v>
      </c>
      <c r="AF490" s="0" t="n">
        <f aca="false">W_PH(AF$2,$A490)</f>
        <v>3420.47657894595</v>
      </c>
      <c r="AG490" s="0" t="n">
        <f aca="false">W_PH(AG$2,$A490)</f>
        <v>3420.67685574258</v>
      </c>
      <c r="AH490" s="0" t="n">
        <f aca="false">W_PH(AH$2,$A490)</f>
        <v>3422.68141585289</v>
      </c>
      <c r="AI490" s="0" t="n">
        <f aca="false">W_PH(AI$2,$A490)</f>
        <v>3424.69046854786</v>
      </c>
      <c r="AJ490" s="0" t="n">
        <f aca="false">W_PH(AJ$2,$A490)</f>
        <v>3426.70585765772</v>
      </c>
      <c r="AK490" s="0" t="n">
        <f aca="false">W_PH(AK$2,$A490)</f>
        <v>3428.7294128229</v>
      </c>
      <c r="AL490" s="0" t="n">
        <f aca="false">W_PH(AL$2,$A490)</f>
        <v>3430.76297173134</v>
      </c>
      <c r="AM490" s="0" t="n">
        <f aca="false">W_PH(AM$2,$A490)</f>
        <v>3432.80836541881</v>
      </c>
      <c r="AN490" s="0" t="n">
        <f aca="false">W_PH(AN$2,$A490)</f>
        <v>3434.86743689388</v>
      </c>
      <c r="AO490" s="0" t="n">
        <f aca="false">W_PH(AO$2,$A490)</f>
        <v>3436.94203017585</v>
      </c>
      <c r="AP490" s="0" t="n">
        <f aca="false">W_PH(AP$2,$A490)</f>
        <v>2015</v>
      </c>
      <c r="AQ490" s="0" t="n">
        <f aca="false">W_PH(AQ$2,$A490)</f>
        <v>2015</v>
      </c>
      <c r="AR490" s="0" t="n">
        <f aca="false">W_PH(AR$2,$A490)</f>
        <v>2015</v>
      </c>
      <c r="AS490" s="0" t="n">
        <f aca="false">W_PH(AS$2,$A490)</f>
        <v>2015</v>
      </c>
    </row>
    <row r="491" customFormat="false" ht="12.8" hidden="false" customHeight="false" outlineLevel="0" collapsed="false">
      <c r="A491" s="0" t="n">
        <v>2798.796216681</v>
      </c>
      <c r="B491" s="0" t="n">
        <f aca="false">W_PH(B$2,$A491)</f>
        <v>2015</v>
      </c>
      <c r="C491" s="0" t="n">
        <f aca="false">W_PH(C$2,$A491)</f>
        <v>3421.58928574709</v>
      </c>
      <c r="D491" s="0" t="n">
        <f aca="false">W_PH(D$2,$A491)</f>
        <v>3421.58948229125</v>
      </c>
      <c r="E491" s="0" t="n">
        <f aca="false">W_PH(E$2,$A491)</f>
        <v>3421.58968620162</v>
      </c>
      <c r="F491" s="0" t="n">
        <f aca="false">W_PH(F$2,$A491)</f>
        <v>3421.58988274581</v>
      </c>
      <c r="G491" s="0" t="n">
        <f aca="false">W_PH(G$2,$A491)</f>
        <v>3421.59188501919</v>
      </c>
      <c r="H491" s="0" t="n">
        <f aca="false">W_PH(H$2,$A491)</f>
        <v>3421.59388729358</v>
      </c>
      <c r="I491" s="0" t="n">
        <f aca="false">W_PH(I$2,$A491)</f>
        <v>3421.59588956897</v>
      </c>
      <c r="J491" s="0" t="n">
        <f aca="false">W_PH(J$2,$A491)</f>
        <v>3421.59789184538</v>
      </c>
      <c r="K491" s="0" t="n">
        <f aca="false">W_PH(K$2,$A491)</f>
        <v>3421.5998941228</v>
      </c>
      <c r="L491" s="0" t="n">
        <f aca="false">W_PH(L$2,$A491)</f>
        <v>3421.60189640123</v>
      </c>
      <c r="M491" s="0" t="n">
        <f aca="false">W_PH(M$2,$A491)</f>
        <v>3421.60389499757</v>
      </c>
      <c r="N491" s="0" t="n">
        <f aca="false">W_PH(N$2,$A491)</f>
        <v>3421.60589727803</v>
      </c>
      <c r="O491" s="0" t="n">
        <f aca="false">W_PH(O$2,$A491)</f>
        <v>3421.60789955952</v>
      </c>
      <c r="P491" s="0" t="n">
        <f aca="false">W_PH(P$2,$A491)</f>
        <v>3421.62791506459</v>
      </c>
      <c r="Q491" s="0" t="n">
        <f aca="false">W_PH(Q$2,$A491)</f>
        <v>3421.64793067364</v>
      </c>
      <c r="R491" s="0" t="n">
        <f aca="false">W_PH(R$2,$A491)</f>
        <v>3421.6679500718</v>
      </c>
      <c r="S491" s="0" t="n">
        <f aca="false">W_PH(S$2,$A491)</f>
        <v>3421.68796589457</v>
      </c>
      <c r="T491" s="0" t="n">
        <f aca="false">W_PH(T$2,$A491)</f>
        <v>3421.70798182704</v>
      </c>
      <c r="U491" s="0" t="n">
        <f aca="false">W_PH(U$2,$A491)</f>
        <v>3421.72799787111</v>
      </c>
      <c r="V491" s="0" t="n">
        <f aca="false">W_PH(V$2,$A491)</f>
        <v>3421.7480140287</v>
      </c>
      <c r="W491" s="0" t="n">
        <f aca="false">W_PH(W$2,$A491)</f>
        <v>3421.7680303017</v>
      </c>
      <c r="X491" s="0" t="n">
        <f aca="false">W_PH(X$2,$A491)</f>
        <v>3421.78804669202</v>
      </c>
      <c r="Y491" s="0" t="n">
        <f aca="false">W_PH(Y$2,$A491)</f>
        <v>3421.98821746669</v>
      </c>
      <c r="Z491" s="0" t="n">
        <f aca="false">W_PH(Z$2,$A491)</f>
        <v>3422.18840575214</v>
      </c>
      <c r="AA491" s="0" t="n">
        <f aca="false">W_PH(AA$2,$A491)</f>
        <v>3422.38860240125</v>
      </c>
      <c r="AB491" s="0" t="n">
        <f aca="false">W_PH(AB$2,$A491)</f>
        <v>3422.5888203705</v>
      </c>
      <c r="AC491" s="0" t="n">
        <f aca="false">W_PH(AC$2,$A491)</f>
        <v>3422.78905051126</v>
      </c>
      <c r="AD491" s="0" t="n">
        <f aca="false">W_PH(AD$2,$A491)</f>
        <v>3422.9893020968</v>
      </c>
      <c r="AE491" s="0" t="n">
        <f aca="false">W_PH(AE$2,$A491)</f>
        <v>3423.18957703205</v>
      </c>
      <c r="AF491" s="0" t="n">
        <f aca="false">W_PH(AF$2,$A491)</f>
        <v>3423.38986985085</v>
      </c>
      <c r="AG491" s="0" t="n">
        <f aca="false">W_PH(AG$2,$A491)</f>
        <v>3423.59018982836</v>
      </c>
      <c r="AH491" s="0" t="n">
        <f aca="false">W_PH(AH$2,$A491)</f>
        <v>3425.59514389277</v>
      </c>
      <c r="AI491" s="0" t="n">
        <f aca="false">W_PH(AI$2,$A491)</f>
        <v>3427.60457013216</v>
      </c>
      <c r="AJ491" s="0" t="n">
        <f aca="false">W_PH(AJ$2,$A491)</f>
        <v>3429.62030025482</v>
      </c>
      <c r="AK491" s="0" t="n">
        <f aca="false">W_PH(AK$2,$A491)</f>
        <v>3431.6441517984</v>
      </c>
      <c r="AL491" s="0" t="n">
        <f aca="false">W_PH(AL$2,$A491)</f>
        <v>3433.67796144571</v>
      </c>
      <c r="AM491" s="0" t="n">
        <f aca="false">W_PH(AM$2,$A491)</f>
        <v>3435.72355186641</v>
      </c>
      <c r="AN491" s="0" t="n">
        <f aca="false">W_PH(AN$2,$A491)</f>
        <v>3437.78275400302</v>
      </c>
      <c r="AO491" s="0" t="n">
        <f aca="false">W_PH(AO$2,$A491)</f>
        <v>3439.857399812</v>
      </c>
      <c r="AP491" s="0" t="n">
        <f aca="false">W_PH(AP$2,$A491)</f>
        <v>2015</v>
      </c>
      <c r="AQ491" s="0" t="n">
        <f aca="false">W_PH(AQ$2,$A491)</f>
        <v>2015</v>
      </c>
      <c r="AR491" s="0" t="n">
        <f aca="false">W_PH(AR$2,$A491)</f>
        <v>2015</v>
      </c>
      <c r="AS491" s="0" t="n">
        <f aca="false">W_PH(AS$2,$A491)</f>
        <v>2015</v>
      </c>
    </row>
    <row r="492" customFormat="false" ht="12.8" hidden="false" customHeight="false" outlineLevel="0" collapsed="false">
      <c r="A492" s="0" t="n">
        <v>2803.09544282029</v>
      </c>
      <c r="B492" s="0" t="n">
        <f aca="false">W_PH(B$2,$A492)</f>
        <v>2015</v>
      </c>
      <c r="C492" s="0" t="n">
        <f aca="false">W_PH(C$2,$A492)</f>
        <v>3424.49844291931</v>
      </c>
      <c r="D492" s="0" t="n">
        <f aca="false">W_PH(D$2,$A492)</f>
        <v>3424.49864336517</v>
      </c>
      <c r="E492" s="0" t="n">
        <f aca="false">W_PH(E$2,$A492)</f>
        <v>3424.49884381104</v>
      </c>
      <c r="F492" s="0" t="n">
        <f aca="false">W_PH(F$2,$A492)</f>
        <v>3424.49904425692</v>
      </c>
      <c r="G492" s="0" t="n">
        <f aca="false">W_PH(G$2,$A492)</f>
        <v>3424.50104503623</v>
      </c>
      <c r="H492" s="0" t="n">
        <f aca="false">W_PH(H$2,$A492)</f>
        <v>3424.50304949657</v>
      </c>
      <c r="I492" s="0" t="n">
        <f aca="false">W_PH(I$2,$A492)</f>
        <v>3424.50504659782</v>
      </c>
      <c r="J492" s="0" t="n">
        <f aca="false">W_PH(J$2,$A492)</f>
        <v>3424.50705106016</v>
      </c>
      <c r="K492" s="0" t="n">
        <f aca="false">W_PH(K$2,$A492)</f>
        <v>3424.5090555235</v>
      </c>
      <c r="L492" s="0" t="n">
        <f aca="false">W_PH(L$2,$A492)</f>
        <v>3424.51105262774</v>
      </c>
      <c r="M492" s="0" t="n">
        <f aca="false">W_PH(M$2,$A492)</f>
        <v>3424.51305709309</v>
      </c>
      <c r="N492" s="0" t="n">
        <f aca="false">W_PH(N$2,$A492)</f>
        <v>3424.51506155945</v>
      </c>
      <c r="O492" s="0" t="n">
        <f aca="false">W_PH(O$2,$A492)</f>
        <v>3424.5170586667</v>
      </c>
      <c r="P492" s="0" t="n">
        <f aca="false">W_PH(P$2,$A492)</f>
        <v>3424.53708131589</v>
      </c>
      <c r="Q492" s="0" t="n">
        <f aca="false">W_PH(Q$2,$A492)</f>
        <v>3424.557104068</v>
      </c>
      <c r="R492" s="0" t="n">
        <f aca="false">W_PH(R$2,$A492)</f>
        <v>3424.57711956466</v>
      </c>
      <c r="S492" s="0" t="n">
        <f aca="false">W_PH(S$2,$A492)</f>
        <v>3424.59714252826</v>
      </c>
      <c r="T492" s="0" t="n">
        <f aca="false">W_PH(T$2,$A492)</f>
        <v>3424.61716560048</v>
      </c>
      <c r="U492" s="0" t="n">
        <f aca="false">W_PH(U$2,$A492)</f>
        <v>3424.63718142277</v>
      </c>
      <c r="V492" s="0" t="n">
        <f aca="false">W_PH(V$2,$A492)</f>
        <v>3424.65720471786</v>
      </c>
      <c r="W492" s="0" t="n">
        <f aca="false">W_PH(W$2,$A492)</f>
        <v>3424.67722444697</v>
      </c>
      <c r="X492" s="0" t="n">
        <f aca="false">W_PH(X$2,$A492)</f>
        <v>3424.69724429222</v>
      </c>
      <c r="Y492" s="0" t="n">
        <f aca="false">W_PH(Y$2,$A492)</f>
        <v>3424.89745691109</v>
      </c>
      <c r="Z492" s="0" t="n">
        <f aca="false">W_PH(Z$2,$A492)</f>
        <v>3425.09768323129</v>
      </c>
      <c r="AA492" s="0" t="n">
        <f aca="false">W_PH(AA$2,$A492)</f>
        <v>3425.29792514899</v>
      </c>
      <c r="AB492" s="0" t="n">
        <f aca="false">W_PH(AB$2,$A492)</f>
        <v>3425.4981771976</v>
      </c>
      <c r="AC492" s="0" t="n">
        <f aca="false">W_PH(AC$2,$A492)</f>
        <v>3425.69844863513</v>
      </c>
      <c r="AD492" s="0" t="n">
        <f aca="false">W_PH(AD$2,$A492)</f>
        <v>3425.89874135799</v>
      </c>
      <c r="AE492" s="0" t="n">
        <f aca="false">W_PH(AE$2,$A492)</f>
        <v>3426.09905358038</v>
      </c>
      <c r="AF492" s="0" t="n">
        <f aca="false">W_PH(AF$2,$A492)</f>
        <v>3426.29938719801</v>
      </c>
      <c r="AG492" s="0" t="n">
        <f aca="false">W_PH(AG$2,$A492)</f>
        <v>3426.49974410667</v>
      </c>
      <c r="AH492" s="0" t="n">
        <f aca="false">W_PH(AH$2,$A492)</f>
        <v>3428.50508135056</v>
      </c>
      <c r="AI492" s="0" t="n">
        <f aca="false">W_PH(AI$2,$A492)</f>
        <v>3430.51487061251</v>
      </c>
      <c r="AJ492" s="0" t="n">
        <f aca="false">W_PH(AJ$2,$A492)</f>
        <v>3432.53092415922</v>
      </c>
      <c r="AK492" s="0" t="n">
        <f aca="false">W_PH(AK$2,$A492)</f>
        <v>3434.55506224556</v>
      </c>
      <c r="AL492" s="0" t="n">
        <f aca="false">W_PH(AL$2,$A492)</f>
        <v>3436.58910951906</v>
      </c>
      <c r="AM492" s="0" t="n">
        <f aca="false">W_PH(AM$2,$A492)</f>
        <v>3438.63488033036</v>
      </c>
      <c r="AN492" s="0" t="n">
        <f aca="false">W_PH(AN$2,$A492)</f>
        <v>3440.69420101151</v>
      </c>
      <c r="AO492" s="0" t="n">
        <f aca="false">W_PH(AO$2,$A492)</f>
        <v>3442.76889152421</v>
      </c>
      <c r="AP492" s="0" t="n">
        <f aca="false">W_PH(AP$2,$A492)</f>
        <v>2015</v>
      </c>
      <c r="AQ492" s="0" t="n">
        <f aca="false">W_PH(AQ$2,$A492)</f>
        <v>2015</v>
      </c>
      <c r="AR492" s="0" t="n">
        <f aca="false">W_PH(AR$2,$A492)</f>
        <v>2015</v>
      </c>
      <c r="AS492" s="0" t="n">
        <f aca="false">W_PH(AS$2,$A492)</f>
        <v>2015</v>
      </c>
    </row>
    <row r="493" customFormat="false" ht="12.8" hidden="false" customHeight="false" outlineLevel="0" collapsed="false">
      <c r="A493" s="0" t="n">
        <v>2807.39466895959</v>
      </c>
      <c r="B493" s="0" t="n">
        <f aca="false">W_PH(B$2,$A493)</f>
        <v>2015</v>
      </c>
      <c r="C493" s="0" t="n">
        <f aca="false">W_PH(C$2,$A493)</f>
        <v>3427.40385398587</v>
      </c>
      <c r="D493" s="0" t="n">
        <f aca="false">W_PH(D$2,$A493)</f>
        <v>3427.4040509705</v>
      </c>
      <c r="E493" s="0" t="n">
        <f aca="false">W_PH(E$2,$A493)</f>
        <v>3427.4042553091</v>
      </c>
      <c r="F493" s="0" t="n">
        <f aca="false">W_PH(F$2,$A493)</f>
        <v>3427.40445229375</v>
      </c>
      <c r="G493" s="0" t="n">
        <f aca="false">W_PH(G$2,$A493)</f>
        <v>3427.40645523359</v>
      </c>
      <c r="H493" s="0" t="n">
        <f aca="false">W_PH(H$2,$A493)</f>
        <v>3427.40845817441</v>
      </c>
      <c r="I493" s="0" t="n">
        <f aca="false">W_PH(I$2,$A493)</f>
        <v>3427.41045743923</v>
      </c>
      <c r="J493" s="0" t="n">
        <f aca="false">W_PH(J$2,$A493)</f>
        <v>3427.41246405902</v>
      </c>
      <c r="K493" s="0" t="n">
        <f aca="false">W_PH(K$2,$A493)</f>
        <v>3427.41446332581</v>
      </c>
      <c r="L493" s="0" t="n">
        <f aca="false">W_PH(L$2,$A493)</f>
        <v>3427.41646994759</v>
      </c>
      <c r="M493" s="0" t="n">
        <f aca="false">W_PH(M$2,$A493)</f>
        <v>3427.41846921637</v>
      </c>
      <c r="N493" s="0" t="n">
        <f aca="false">W_PH(N$2,$A493)</f>
        <v>3427.42047216314</v>
      </c>
      <c r="O493" s="0" t="n">
        <f aca="false">W_PH(O$2,$A493)</f>
        <v>3427.42247511091</v>
      </c>
      <c r="P493" s="0" t="n">
        <f aca="false">W_PH(P$2,$A493)</f>
        <v>3427.44249728983</v>
      </c>
      <c r="Q493" s="0" t="n">
        <f aca="false">W_PH(Q$2,$A493)</f>
        <v>3427.46252324758</v>
      </c>
      <c r="R493" s="0" t="n">
        <f aca="false">W_PH(R$2,$A493)</f>
        <v>3427.48254930905</v>
      </c>
      <c r="S493" s="0" t="n">
        <f aca="false">W_PH(S$2,$A493)</f>
        <v>3427.50257179901</v>
      </c>
      <c r="T493" s="0" t="n">
        <f aca="false">W_PH(T$2,$A493)</f>
        <v>3427.5225943964</v>
      </c>
      <c r="U493" s="0" t="n">
        <f aca="false">W_PH(U$2,$A493)</f>
        <v>3427.54261710311</v>
      </c>
      <c r="V493" s="0" t="n">
        <f aca="false">W_PH(V$2,$A493)</f>
        <v>3427.56264359824</v>
      </c>
      <c r="W493" s="0" t="n">
        <f aca="false">W_PH(W$2,$A493)</f>
        <v>3427.58267020652</v>
      </c>
      <c r="X493" s="0" t="n">
        <f aca="false">W_PH(X$2,$A493)</f>
        <v>3427.60269325258</v>
      </c>
      <c r="Y493" s="0" t="n">
        <f aca="false">W_PH(Y$2,$A493)</f>
        <v>3427.80294516286</v>
      </c>
      <c r="Z493" s="0" t="n">
        <f aca="false">W_PH(Z$2,$A493)</f>
        <v>3428.00321065035</v>
      </c>
      <c r="AA493" s="0" t="n">
        <f aca="false">W_PH(AA$2,$A493)</f>
        <v>3428.20348792471</v>
      </c>
      <c r="AB493" s="0" t="n">
        <f aca="false">W_PH(AB$2,$A493)</f>
        <v>3428.40378255125</v>
      </c>
      <c r="AC493" s="0" t="n">
        <f aca="false">W_PH(AC$2,$A493)</f>
        <v>3428.60409273925</v>
      </c>
      <c r="AD493" s="0" t="n">
        <f aca="false">W_PH(AD$2,$A493)</f>
        <v>3428.80442405472</v>
      </c>
      <c r="AE493" s="0" t="n">
        <f aca="false">W_PH(AE$2,$A493)</f>
        <v>3429.00477102738</v>
      </c>
      <c r="AF493" s="0" t="n">
        <f aca="false">W_PH(AF$2,$A493)</f>
        <v>3429.20514290256</v>
      </c>
      <c r="AG493" s="0" t="n">
        <f aca="false">W_PH(AG$2,$A493)</f>
        <v>3429.40554156842</v>
      </c>
      <c r="AH493" s="0" t="n">
        <f aca="false">W_PH(AH$2,$A493)</f>
        <v>3431.41124777872</v>
      </c>
      <c r="AI493" s="0" t="n">
        <f aca="false">W_PH(AI$2,$A493)</f>
        <v>3433.42137872424</v>
      </c>
      <c r="AJ493" s="0" t="n">
        <f aca="false">W_PH(AJ$2,$A493)</f>
        <v>3435.437745727</v>
      </c>
      <c r="AK493" s="0" t="n">
        <f aca="false">W_PH(AK$2,$A493)</f>
        <v>3437.46216074796</v>
      </c>
      <c r="AL493" s="0" t="n">
        <f aca="false">W_PH(AL$2,$A493)</f>
        <v>3439.49642907479</v>
      </c>
      <c r="AM493" s="0" t="n">
        <f aca="false">W_PH(AM$2,$A493)</f>
        <v>3441.54237155937</v>
      </c>
      <c r="AN493" s="0" t="n">
        <f aca="false">W_PH(AN$2,$A493)</f>
        <v>3443.60179889252</v>
      </c>
      <c r="AO493" s="0" t="n">
        <f aca="false">W_PH(AO$2,$A493)</f>
        <v>3445.67652279426</v>
      </c>
      <c r="AP493" s="0" t="n">
        <f aca="false">W_PH(AP$2,$A493)</f>
        <v>2015</v>
      </c>
      <c r="AQ493" s="0" t="n">
        <f aca="false">W_PH(AQ$2,$A493)</f>
        <v>2015</v>
      </c>
      <c r="AR493" s="0" t="n">
        <f aca="false">W_PH(AR$2,$A493)</f>
        <v>2015</v>
      </c>
      <c r="AS493" s="0" t="n">
        <f aca="false">W_PH(AS$2,$A493)</f>
        <v>2015</v>
      </c>
    </row>
    <row r="494" customFormat="false" ht="12.8" hidden="false" customHeight="false" outlineLevel="0" collapsed="false">
      <c r="A494" s="0" t="n">
        <v>2811.69389509888</v>
      </c>
      <c r="B494" s="0" t="n">
        <f aca="false">W_PH(B$2,$A494)</f>
        <v>2015</v>
      </c>
      <c r="C494" s="0" t="n">
        <f aca="false">W_PH(C$2,$A494)</f>
        <v>3430.30552688891</v>
      </c>
      <c r="D494" s="0" t="n">
        <f aca="false">W_PH(D$2,$A494)</f>
        <v>3430.30572408951</v>
      </c>
      <c r="E494" s="0" t="n">
        <f aca="false">W_PH(E$2,$A494)</f>
        <v>3430.30592863799</v>
      </c>
      <c r="F494" s="0" t="n">
        <f aca="false">W_PH(F$2,$A494)</f>
        <v>3430.30612583861</v>
      </c>
      <c r="G494" s="0" t="n">
        <f aca="false">W_PH(G$2,$A494)</f>
        <v>3430.30812723684</v>
      </c>
      <c r="H494" s="0" t="n">
        <f aca="false">W_PH(H$2,$A494)</f>
        <v>3430.31013230999</v>
      </c>
      <c r="I494" s="0" t="n">
        <f aca="false">W_PH(I$2,$A494)</f>
        <v>3430.31213738412</v>
      </c>
      <c r="J494" s="0" t="n">
        <f aca="false">W_PH(J$2,$A494)</f>
        <v>3430.31413878528</v>
      </c>
      <c r="K494" s="0" t="n">
        <f aca="false">W_PH(K$2,$A494)</f>
        <v>3430.31614018741</v>
      </c>
      <c r="L494" s="0" t="n">
        <f aca="false">W_PH(L$2,$A494)</f>
        <v>3430.31814159052</v>
      </c>
      <c r="M494" s="0" t="n">
        <f aca="false">W_PH(M$2,$A494)</f>
        <v>3430.32014299462</v>
      </c>
      <c r="N494" s="0" t="n">
        <f aca="false">W_PH(N$2,$A494)</f>
        <v>3430.32214807365</v>
      </c>
      <c r="O494" s="0" t="n">
        <f aca="false">W_PH(O$2,$A494)</f>
        <v>3430.32415315368</v>
      </c>
      <c r="P494" s="0" t="n">
        <f aca="false">W_PH(P$2,$A494)</f>
        <v>3430.34417829088</v>
      </c>
      <c r="Q494" s="0" t="n">
        <f aca="false">W_PH(Q$2,$A494)</f>
        <v>3430.36420720279</v>
      </c>
      <c r="R494" s="0" t="n">
        <f aca="false">W_PH(R$2,$A494)</f>
        <v>3430.38423254327</v>
      </c>
      <c r="S494" s="0" t="n">
        <f aca="false">W_PH(S$2,$A494)</f>
        <v>3430.40426166226</v>
      </c>
      <c r="T494" s="0" t="n">
        <f aca="false">W_PH(T$2,$A494)</f>
        <v>3430.42429088763</v>
      </c>
      <c r="U494" s="0" t="n">
        <f aca="false">W_PH(U$2,$A494)</f>
        <v>3430.44432022126</v>
      </c>
      <c r="V494" s="0" t="n">
        <f aca="false">W_PH(V$2,$A494)</f>
        <v>3430.46434966502</v>
      </c>
      <c r="W494" s="0" t="n">
        <f aca="false">W_PH(W$2,$A494)</f>
        <v>3430.48437554663</v>
      </c>
      <c r="X494" s="0" t="n">
        <f aca="false">W_PH(X$2,$A494)</f>
        <v>3430.50440154207</v>
      </c>
      <c r="Y494" s="0" t="n">
        <f aca="false">W_PH(Y$2,$A494)</f>
        <v>3430.70469389246</v>
      </c>
      <c r="Z494" s="0" t="n">
        <f aca="false">W_PH(Z$2,$A494)</f>
        <v>3430.90499602312</v>
      </c>
      <c r="AA494" s="0" t="n">
        <f aca="false">W_PH(AA$2,$A494)</f>
        <v>3431.10530981259</v>
      </c>
      <c r="AB494" s="0" t="n">
        <f aca="false">W_PH(AB$2,$A494)</f>
        <v>3431.30564449002</v>
      </c>
      <c r="AC494" s="0" t="n">
        <f aca="false">W_PH(AC$2,$A494)</f>
        <v>3431.5059909091</v>
      </c>
      <c r="AD494" s="0" t="n">
        <f aca="false">W_PH(AD$2,$A494)</f>
        <v>3431.70635462359</v>
      </c>
      <c r="AE494" s="0" t="n">
        <f aca="false">W_PH(AE$2,$A494)</f>
        <v>3431.90674118843</v>
      </c>
      <c r="AF494" s="0" t="n">
        <f aca="false">W_PH(AF$2,$A494)</f>
        <v>3432.107148807</v>
      </c>
      <c r="AG494" s="0" t="n">
        <f aca="false">W_PH(AG$2,$A494)</f>
        <v>3432.30758303492</v>
      </c>
      <c r="AH494" s="0" t="n">
        <f aca="false">W_PH(AH$2,$A494)</f>
        <v>3434.31364791177</v>
      </c>
      <c r="AI494" s="0" t="n">
        <f aca="false">W_PH(AI$2,$A494)</f>
        <v>3436.32411050015</v>
      </c>
      <c r="AJ494" s="0" t="n">
        <f aca="false">W_PH(AJ$2,$A494)</f>
        <v>3438.34077753518</v>
      </c>
      <c r="AK494" s="0" t="n">
        <f aca="false">W_PH(AK$2,$A494)</f>
        <v>3440.36544904358</v>
      </c>
      <c r="AL494" s="0" t="n">
        <f aca="false">W_PH(AL$2,$A494)</f>
        <v>3442.39993314878</v>
      </c>
      <c r="AM494" s="0" t="n">
        <f aca="false">W_PH(AM$2,$A494)</f>
        <v>3444.44603510991</v>
      </c>
      <c r="AN494" s="0" t="n">
        <f aca="false">W_PH(AN$2,$A494)</f>
        <v>3446.50555372291</v>
      </c>
      <c r="AO494" s="0" t="n">
        <f aca="false">W_PH(AO$2,$A494)</f>
        <v>3448.58030360207</v>
      </c>
      <c r="AP494" s="0" t="n">
        <f aca="false">W_PH(AP$2,$A494)</f>
        <v>2015</v>
      </c>
      <c r="AQ494" s="0" t="n">
        <f aca="false">W_PH(AQ$2,$A494)</f>
        <v>2015</v>
      </c>
      <c r="AR494" s="0" t="n">
        <f aca="false">W_PH(AR$2,$A494)</f>
        <v>2015</v>
      </c>
      <c r="AS494" s="0" t="n">
        <f aca="false">W_PH(AS$2,$A494)</f>
        <v>2015</v>
      </c>
    </row>
    <row r="495" customFormat="false" ht="12.8" hidden="false" customHeight="false" outlineLevel="0" collapsed="false">
      <c r="A495" s="0" t="n">
        <v>2815.99312123818</v>
      </c>
      <c r="B495" s="0" t="n">
        <f aca="false">W_PH(B$2,$A495)</f>
        <v>2015</v>
      </c>
      <c r="C495" s="0" t="n">
        <f aca="false">W_PH(C$2,$A495)</f>
        <v>3433.20347685524</v>
      </c>
      <c r="D495" s="0" t="n">
        <f aca="false">W_PH(D$2,$A495)</f>
        <v>3433.20367426902</v>
      </c>
      <c r="E495" s="0" t="n">
        <f aca="false">W_PH(E$2,$A495)</f>
        <v>3433.20387902461</v>
      </c>
      <c r="F495" s="0" t="n">
        <f aca="false">W_PH(F$2,$A495)</f>
        <v>3433.2040764384</v>
      </c>
      <c r="G495" s="0" t="n">
        <f aca="false">W_PH(G$2,$A495)</f>
        <v>3433.20607994409</v>
      </c>
      <c r="H495" s="0" t="n">
        <f aca="false">W_PH(H$2,$A495)</f>
        <v>3433.20808345073</v>
      </c>
      <c r="I495" s="0" t="n">
        <f aca="false">W_PH(I$2,$A495)</f>
        <v>3433.21008695835</v>
      </c>
      <c r="J495" s="0" t="n">
        <f aca="false">W_PH(J$2,$A495)</f>
        <v>3433.21209046693</v>
      </c>
      <c r="K495" s="0" t="n">
        <f aca="false">W_PH(K$2,$A495)</f>
        <v>3433.21409397648</v>
      </c>
      <c r="L495" s="0" t="n">
        <f aca="false">W_PH(L$2,$A495)</f>
        <v>3433.216097487</v>
      </c>
      <c r="M495" s="0" t="n">
        <f aca="false">W_PH(M$2,$A495)</f>
        <v>3433.21810099849</v>
      </c>
      <c r="N495" s="0" t="n">
        <f aca="false">W_PH(N$2,$A495)</f>
        <v>3433.22010451096</v>
      </c>
      <c r="O495" s="0" t="n">
        <f aca="false">W_PH(O$2,$A495)</f>
        <v>3433.2221080244</v>
      </c>
      <c r="P495" s="0" t="n">
        <f aca="false">W_PH(P$2,$A495)</f>
        <v>3433.24213587107</v>
      </c>
      <c r="Q495" s="0" t="n">
        <f aca="false">W_PH(Q$2,$A495)</f>
        <v>3433.26216748833</v>
      </c>
      <c r="R495" s="0" t="n">
        <f aca="false">W_PH(R$2,$A495)</f>
        <v>3433.28219920712</v>
      </c>
      <c r="S495" s="0" t="n">
        <f aca="false">W_PH(S$2,$A495)</f>
        <v>3433.30223102932</v>
      </c>
      <c r="T495" s="0" t="n">
        <f aca="false">W_PH(T$2,$A495)</f>
        <v>3433.3222629568</v>
      </c>
      <c r="U495" s="0" t="n">
        <f aca="false">W_PH(U$2,$A495)</f>
        <v>3433.34229499142</v>
      </c>
      <c r="V495" s="0" t="n">
        <f aca="false">W_PH(V$2,$A495)</f>
        <v>3433.36232713507</v>
      </c>
      <c r="W495" s="0" t="n">
        <f aca="false">W_PH(W$2,$A495)</f>
        <v>3433.38235571847</v>
      </c>
      <c r="X495" s="0" t="n">
        <f aca="false">W_PH(X$2,$A495)</f>
        <v>3433.4023917569</v>
      </c>
      <c r="Y495" s="0" t="n">
        <f aca="false">W_PH(Y$2,$A495)</f>
        <v>3433.60271470048</v>
      </c>
      <c r="Z495" s="0" t="n">
        <f aca="false">W_PH(Z$2,$A495)</f>
        <v>3433.80305464884</v>
      </c>
      <c r="AA495" s="0" t="n">
        <f aca="false">W_PH(AA$2,$A495)</f>
        <v>3434.00340612989</v>
      </c>
      <c r="AB495" s="0" t="n">
        <f aca="false">W_PH(AB$2,$A495)</f>
        <v>3434.20377101392</v>
      </c>
      <c r="AC495" s="0" t="n">
        <f aca="false">W_PH(AC$2,$A495)</f>
        <v>3434.4041585163</v>
      </c>
      <c r="AD495" s="0" t="n">
        <f aca="false">W_PH(AD$2,$A495)</f>
        <v>3434.60455949081</v>
      </c>
      <c r="AE495" s="0" t="n">
        <f aca="false">W_PH(AE$2,$A495)</f>
        <v>3434.80497948021</v>
      </c>
      <c r="AF495" s="0" t="n">
        <f aca="false">W_PH(AF$2,$A495)</f>
        <v>3435.00542402842</v>
      </c>
      <c r="AG495" s="0" t="n">
        <f aca="false">W_PH(AG$2,$A495)</f>
        <v>3435.20589133337</v>
      </c>
      <c r="AH495" s="0" t="n">
        <f aca="false">W_PH(AH$2,$A495)</f>
        <v>3437.21229746237</v>
      </c>
      <c r="AI495" s="0" t="n">
        <f aca="false">W_PH(AI$2,$A495)</f>
        <v>3439.22308188224</v>
      </c>
      <c r="AJ495" s="0" t="n">
        <f aca="false">W_PH(AJ$2,$A495)</f>
        <v>3441.24003576101</v>
      </c>
      <c r="AK495" s="0" t="n">
        <f aca="false">W_PH(AK$2,$A495)</f>
        <v>3443.26495829546</v>
      </c>
      <c r="AL495" s="0" t="n">
        <f aca="false">W_PH(AL$2,$A495)</f>
        <v>3445.29964206266</v>
      </c>
      <c r="AM495" s="0" t="n">
        <f aca="false">W_PH(AM$2,$A495)</f>
        <v>3447.34588783934</v>
      </c>
      <c r="AN495" s="0" t="n">
        <f aca="false">W_PH(AN$2,$A495)</f>
        <v>3449.40548996833</v>
      </c>
      <c r="AO495" s="0" t="n">
        <f aca="false">W_PH(AO$2,$A495)</f>
        <v>3451.48025123233</v>
      </c>
      <c r="AP495" s="0" t="n">
        <f aca="false">W_PH(AP$2,$A495)</f>
        <v>2015</v>
      </c>
      <c r="AQ495" s="0" t="n">
        <f aca="false">W_PH(AQ$2,$A495)</f>
        <v>2015</v>
      </c>
      <c r="AR495" s="0" t="n">
        <f aca="false">W_PH(AR$2,$A495)</f>
        <v>2015</v>
      </c>
      <c r="AS495" s="0" t="n">
        <f aca="false">W_PH(AS$2,$A495)</f>
        <v>2015</v>
      </c>
    </row>
    <row r="496" customFormat="false" ht="12.8" hidden="false" customHeight="false" outlineLevel="0" collapsed="false">
      <c r="A496" s="0" t="n">
        <v>2820.29234737747</v>
      </c>
      <c r="B496" s="0" t="n">
        <f aca="false">W_PH(B$2,$A496)</f>
        <v>2015</v>
      </c>
      <c r="C496" s="0" t="n">
        <f aca="false">W_PH(C$2,$A496)</f>
        <v>3436.09771903087</v>
      </c>
      <c r="D496" s="0" t="n">
        <f aca="false">W_PH(D$2,$A496)</f>
        <v>3436.09791665505</v>
      </c>
      <c r="E496" s="0" t="n">
        <f aca="false">W_PH(E$2,$A496)</f>
        <v>3436.09811794712</v>
      </c>
      <c r="F496" s="0" t="n">
        <f aca="false">W_PH(F$2,$A496)</f>
        <v>3436.09831923919</v>
      </c>
      <c r="G496" s="0" t="n">
        <f aca="false">W_PH(G$2,$A496)</f>
        <v>3436.10032482468</v>
      </c>
      <c r="H496" s="0" t="n">
        <f aca="false">W_PH(H$2,$A496)</f>
        <v>3436.10232307537</v>
      </c>
      <c r="I496" s="0" t="n">
        <f aca="false">W_PH(I$2,$A496)</f>
        <v>3436.10432866277</v>
      </c>
      <c r="J496" s="0" t="n">
        <f aca="false">W_PH(J$2,$A496)</f>
        <v>3436.10633425112</v>
      </c>
      <c r="K496" s="0" t="n">
        <f aca="false">W_PH(K$2,$A496)</f>
        <v>3436.10833617256</v>
      </c>
      <c r="L496" s="0" t="n">
        <f aca="false">W_PH(L$2,$A496)</f>
        <v>3436.11033809495</v>
      </c>
      <c r="M496" s="0" t="n">
        <f aca="false">W_PH(M$2,$A496)</f>
        <v>3436.11234368619</v>
      </c>
      <c r="N496" s="0" t="n">
        <f aca="false">W_PH(N$2,$A496)</f>
        <v>3436.11434561051</v>
      </c>
      <c r="O496" s="0" t="n">
        <f aca="false">W_PH(O$2,$A496)</f>
        <v>3436.11634753579</v>
      </c>
      <c r="P496" s="0" t="n">
        <f aca="false">W_PH(P$2,$A496)</f>
        <v>3436.13638518158</v>
      </c>
      <c r="Q496" s="0" t="n">
        <f aca="false">W_PH(Q$2,$A496)</f>
        <v>3436.15641925809</v>
      </c>
      <c r="R496" s="0" t="n">
        <f aca="false">W_PH(R$2,$A496)</f>
        <v>3436.17645710303</v>
      </c>
      <c r="S496" s="0" t="n">
        <f aca="false">W_PH(S$2,$A496)</f>
        <v>3436.19649138235</v>
      </c>
      <c r="T496" s="0" t="n">
        <f aca="false">W_PH(T$2,$A496)</f>
        <v>3436.21652576587</v>
      </c>
      <c r="U496" s="0" t="n">
        <f aca="false">W_PH(U$2,$A496)</f>
        <v>3436.23656025544</v>
      </c>
      <c r="V496" s="0" t="n">
        <f aca="false">W_PH(V$2,$A496)</f>
        <v>3436.25659485292</v>
      </c>
      <c r="W496" s="0" t="n">
        <f aca="false">W_PH(W$2,$A496)</f>
        <v>3436.27662956019</v>
      </c>
      <c r="X496" s="0" t="n">
        <f aca="false">W_PH(X$2,$A496)</f>
        <v>3436.29666437909</v>
      </c>
      <c r="Y496" s="0" t="n">
        <f aca="false">W_PH(Y$2,$A496)</f>
        <v>3436.49702645497</v>
      </c>
      <c r="Z496" s="0" t="n">
        <f aca="false">W_PH(Z$2,$A496)</f>
        <v>3436.69740174497</v>
      </c>
      <c r="AA496" s="0" t="n">
        <f aca="false">W_PH(AA$2,$A496)</f>
        <v>3436.897784774</v>
      </c>
      <c r="AB496" s="0" t="n">
        <f aca="false">W_PH(AB$2,$A496)</f>
        <v>3437.09818474167</v>
      </c>
      <c r="AC496" s="0" t="n">
        <f aca="false">W_PH(AC$2,$A496)</f>
        <v>3437.2986035109</v>
      </c>
      <c r="AD496" s="0" t="n">
        <f aca="false">W_PH(AD$2,$A496)</f>
        <v>3437.49904294468</v>
      </c>
      <c r="AE496" s="0" t="n">
        <f aca="false">W_PH(AE$2,$A496)</f>
        <v>3437.69949756615</v>
      </c>
      <c r="AF496" s="0" t="n">
        <f aca="false">W_PH(AF$2,$A496)</f>
        <v>3437.89997657734</v>
      </c>
      <c r="AG496" s="0" t="n">
        <f aca="false">W_PH(AG$2,$A496)</f>
        <v>3438.100478171</v>
      </c>
      <c r="AH496" s="0" t="n">
        <f aca="false">W_PH(AH$2,$A496)</f>
        <v>3440.10721205614</v>
      </c>
      <c r="AI496" s="0" t="n">
        <f aca="false">W_PH(AI$2,$A496)</f>
        <v>3442.11830137123</v>
      </c>
      <c r="AJ496" s="0" t="n">
        <f aca="false">W_PH(AJ$2,$A496)</f>
        <v>3444.1355291324</v>
      </c>
      <c r="AK496" s="0" t="n">
        <f aca="false">W_PH(AK$2,$A496)</f>
        <v>3446.16069007446</v>
      </c>
      <c r="AL496" s="0" t="n">
        <f aca="false">W_PH(AL$2,$A496)</f>
        <v>3448.19556129418</v>
      </c>
      <c r="AM496" s="0" t="n">
        <f aca="false">W_PH(AM$2,$A496)</f>
        <v>3450.24194281796</v>
      </c>
      <c r="AN496" s="0" t="n">
        <f aca="false">W_PH(AN$2,$A496)</f>
        <v>3452.30161721318</v>
      </c>
      <c r="AO496" s="0" t="n">
        <f aca="false">W_PH(AO$2,$A496)</f>
        <v>3454.37638286266</v>
      </c>
      <c r="AP496" s="0" t="n">
        <f aca="false">W_PH(AP$2,$A496)</f>
        <v>2015</v>
      </c>
      <c r="AQ496" s="0" t="n">
        <f aca="false">W_PH(AQ$2,$A496)</f>
        <v>2015</v>
      </c>
      <c r="AR496" s="0" t="n">
        <f aca="false">W_PH(AR$2,$A496)</f>
        <v>2015</v>
      </c>
      <c r="AS496" s="0" t="n">
        <f aca="false">W_PH(AS$2,$A496)</f>
        <v>2015</v>
      </c>
    </row>
    <row r="497" customFormat="false" ht="12.8" hidden="false" customHeight="false" outlineLevel="0" collapsed="false">
      <c r="A497" s="0" t="n">
        <v>2824.59157351677</v>
      </c>
      <c r="B497" s="0" t="n">
        <f aca="false">W_PH(B$2,$A497)</f>
        <v>2015</v>
      </c>
      <c r="C497" s="0" t="n">
        <f aca="false">W_PH(C$2,$A497)</f>
        <v>3438.98826115188</v>
      </c>
      <c r="D497" s="0" t="n">
        <f aca="false">W_PH(D$2,$A497)</f>
        <v>3438.98846264857</v>
      </c>
      <c r="E497" s="0" t="n">
        <f aca="false">W_PH(E$2,$A497)</f>
        <v>3438.98866414527</v>
      </c>
      <c r="F497" s="0" t="n">
        <f aca="false">W_PH(F$2,$A497)</f>
        <v>3438.98886197713</v>
      </c>
      <c r="G497" s="0" t="n">
        <f aca="false">W_PH(G$2,$A497)</f>
        <v>3438.99086961505</v>
      </c>
      <c r="H497" s="0" t="n">
        <f aca="false">W_PH(H$2,$A497)</f>
        <v>3438.99286992421</v>
      </c>
      <c r="I497" s="0" t="n">
        <f aca="false">W_PH(I$2,$A497)</f>
        <v>3438.99487756403</v>
      </c>
      <c r="J497" s="0" t="n">
        <f aca="false">W_PH(J$2,$A497)</f>
        <v>3438.99687787507</v>
      </c>
      <c r="K497" s="0" t="n">
        <f aca="false">W_PH(K$2,$A497)</f>
        <v>3438.99888551678</v>
      </c>
      <c r="L497" s="0" t="n">
        <f aca="false">W_PH(L$2,$A497)</f>
        <v>3439.00088582973</v>
      </c>
      <c r="M497" s="0" t="n">
        <f aca="false">W_PH(M$2,$A497)</f>
        <v>3439.00288980848</v>
      </c>
      <c r="N497" s="0" t="n">
        <f aca="false">W_PH(N$2,$A497)</f>
        <v>3439.00489378819</v>
      </c>
      <c r="O497" s="0" t="n">
        <f aca="false">W_PH(O$2,$A497)</f>
        <v>3439.00689776885</v>
      </c>
      <c r="P497" s="0" t="n">
        <f aca="false">W_PH(P$2,$A497)</f>
        <v>3439.02693396355</v>
      </c>
      <c r="Q497" s="0" t="n">
        <f aca="false">W_PH(Q$2,$A497)</f>
        <v>3439.04697392072</v>
      </c>
      <c r="R497" s="0" t="n">
        <f aca="false">W_PH(R$2,$A497)</f>
        <v>3439.06701397735</v>
      </c>
      <c r="S497" s="0" t="n">
        <f aca="false">W_PH(S$2,$A497)</f>
        <v>3439.0870541353</v>
      </c>
      <c r="T497" s="0" t="n">
        <f aca="false">W_PH(T$2,$A497)</f>
        <v>3439.10709073142</v>
      </c>
      <c r="U497" s="0" t="n">
        <f aca="false">W_PH(U$2,$A497)</f>
        <v>3439.12712743251</v>
      </c>
      <c r="V497" s="0" t="n">
        <f aca="false">W_PH(V$2,$A497)</f>
        <v>3439.14716790547</v>
      </c>
      <c r="W497" s="0" t="n">
        <f aca="false">W_PH(W$2,$A497)</f>
        <v>3439.16720848717</v>
      </c>
      <c r="X497" s="0" t="n">
        <f aca="false">W_PH(X$2,$A497)</f>
        <v>3439.18724551435</v>
      </c>
      <c r="Y497" s="0" t="n">
        <f aca="false">W_PH(Y$2,$A497)</f>
        <v>3439.38764060032</v>
      </c>
      <c r="Z497" s="0" t="n">
        <f aca="false">W_PH(Z$2,$A497)</f>
        <v>3439.58804511659</v>
      </c>
      <c r="AA497" s="0" t="n">
        <f aca="false">W_PH(AA$2,$A497)</f>
        <v>3439.78846458281</v>
      </c>
      <c r="AB497" s="0" t="n">
        <f aca="false">W_PH(AB$2,$A497)</f>
        <v>3439.98890085359</v>
      </c>
      <c r="AC497" s="0" t="n">
        <f aca="false">W_PH(AC$2,$A497)</f>
        <v>3440.18934845083</v>
      </c>
      <c r="AD497" s="0" t="n">
        <f aca="false">W_PH(AD$2,$A497)</f>
        <v>3440.38981656109</v>
      </c>
      <c r="AE497" s="0" t="n">
        <f aca="false">W_PH(AE$2,$A497)</f>
        <v>3440.59030703922</v>
      </c>
      <c r="AF497" s="0" t="n">
        <f aca="false">W_PH(AF$2,$A497)</f>
        <v>3440.79082174016</v>
      </c>
      <c r="AG497" s="0" t="n">
        <f aca="false">W_PH(AG$2,$A497)</f>
        <v>3440.99135518408</v>
      </c>
      <c r="AH497" s="0" t="n">
        <f aca="false">W_PH(AH$2,$A497)</f>
        <v>3442.99840356242</v>
      </c>
      <c r="AI497" s="0" t="n">
        <f aca="false">W_PH(AI$2,$A497)</f>
        <v>3445.0097847486</v>
      </c>
      <c r="AJ497" s="0" t="n">
        <f aca="false">W_PH(AJ$2,$A497)</f>
        <v>3447.02727733532</v>
      </c>
      <c r="AK497" s="0" t="n">
        <f aca="false">W_PH(AK$2,$A497)</f>
        <v>3449.0526606172</v>
      </c>
      <c r="AL497" s="0" t="n">
        <f aca="false">W_PH(AL$2,$A497)</f>
        <v>3451.08771098111</v>
      </c>
      <c r="AM497" s="0" t="n">
        <f aca="false">W_PH(AM$2,$A497)</f>
        <v>3453.13421302835</v>
      </c>
      <c r="AN497" s="0" t="n">
        <f aca="false">W_PH(AN$2,$A497)</f>
        <v>3455.19395233337</v>
      </c>
      <c r="AO497" s="0" t="n">
        <f aca="false">W_PH(AO$2,$A497)</f>
        <v>3457.26870819155</v>
      </c>
      <c r="AP497" s="0" t="n">
        <f aca="false">W_PH(AP$2,$A497)</f>
        <v>2015</v>
      </c>
      <c r="AQ497" s="0" t="n">
        <f aca="false">W_PH(AQ$2,$A497)</f>
        <v>2015</v>
      </c>
      <c r="AR497" s="0" t="n">
        <f aca="false">W_PH(AR$2,$A497)</f>
        <v>2015</v>
      </c>
      <c r="AS497" s="0" t="n">
        <f aca="false">W_PH(AS$2,$A497)</f>
        <v>2015</v>
      </c>
    </row>
    <row r="498" customFormat="false" ht="12.8" hidden="false" customHeight="false" outlineLevel="0" collapsed="false">
      <c r="A498" s="0" t="n">
        <v>2828.89079965606</v>
      </c>
      <c r="B498" s="0" t="n">
        <f aca="false">W_PH(B$2,$A498)</f>
        <v>2015</v>
      </c>
      <c r="C498" s="0" t="n">
        <f aca="false">W_PH(C$2,$A498)</f>
        <v>3441.87512554623</v>
      </c>
      <c r="D498" s="0" t="n">
        <f aca="false">W_PH(D$2,$A498)</f>
        <v>3441.87532358302</v>
      </c>
      <c r="E498" s="0" t="n">
        <f aca="false">W_PH(E$2,$A498)</f>
        <v>3441.87552528165</v>
      </c>
      <c r="F498" s="0" t="n">
        <f aca="false">W_PH(F$2,$A498)</f>
        <v>3441.87572698029</v>
      </c>
      <c r="G498" s="0" t="n">
        <f aca="false">W_PH(G$2,$A498)</f>
        <v>3441.87772931987</v>
      </c>
      <c r="H498" s="0" t="n">
        <f aca="false">W_PH(H$2,$A498)</f>
        <v>3441.87973166039</v>
      </c>
      <c r="I498" s="0" t="n">
        <f aca="false">W_PH(I$2,$A498)</f>
        <v>3441.88173766367</v>
      </c>
      <c r="J498" s="0" t="n">
        <f aca="false">W_PH(J$2,$A498)</f>
        <v>3441.8837436679</v>
      </c>
      <c r="K498" s="0" t="n">
        <f aca="false">W_PH(K$2,$A498)</f>
        <v>3441.88574601122</v>
      </c>
      <c r="L498" s="0" t="n">
        <f aca="false">W_PH(L$2,$A498)</f>
        <v>3441.88774835547</v>
      </c>
      <c r="M498" s="0" t="n">
        <f aca="false">W_PH(M$2,$A498)</f>
        <v>3441.88975436252</v>
      </c>
      <c r="N498" s="0" t="n">
        <f aca="false">W_PH(N$2,$A498)</f>
        <v>3441.89176037051</v>
      </c>
      <c r="O498" s="0" t="n">
        <f aca="false">W_PH(O$2,$A498)</f>
        <v>3441.8937627176</v>
      </c>
      <c r="P498" s="0" t="n">
        <f aca="false">W_PH(P$2,$A498)</f>
        <v>3441.91380455011</v>
      </c>
      <c r="Q498" s="0" t="n">
        <f aca="false">W_PH(Q$2,$A498)</f>
        <v>3441.93384647919</v>
      </c>
      <c r="R498" s="0" t="n">
        <f aca="false">W_PH(R$2,$A498)</f>
        <v>3441.95388484476</v>
      </c>
      <c r="S498" s="0" t="n">
        <f aca="false">W_PH(S$2,$A498)</f>
        <v>3441.97393063445</v>
      </c>
      <c r="T498" s="0" t="n">
        <f aca="false">W_PH(T$2,$A498)</f>
        <v>3441.99396920233</v>
      </c>
      <c r="U498" s="0" t="n">
        <f aca="false">W_PH(U$2,$A498)</f>
        <v>3442.01401519813</v>
      </c>
      <c r="V498" s="0" t="n">
        <f aca="false">W_PH(V$2,$A498)</f>
        <v>3442.03405397571</v>
      </c>
      <c r="W498" s="0" t="n">
        <f aca="false">W_PH(W$2,$A498)</f>
        <v>3442.05409652295</v>
      </c>
      <c r="X498" s="0" t="n">
        <f aca="false">W_PH(X$2,$A498)</f>
        <v>3442.07413917967</v>
      </c>
      <c r="Y498" s="0" t="n">
        <f aca="false">W_PH(Y$2,$A498)</f>
        <v>3442.27456485047</v>
      </c>
      <c r="Z498" s="0" t="n">
        <f aca="false">W_PH(Z$2,$A498)</f>
        <v>3442.47500350031</v>
      </c>
      <c r="AA498" s="0" t="n">
        <f aca="false">W_PH(AA$2,$A498)</f>
        <v>3442.67545697557</v>
      </c>
      <c r="AB498" s="0" t="n">
        <f aca="false">W_PH(AB$2,$A498)</f>
        <v>3442.87591979651</v>
      </c>
      <c r="AC498" s="0" t="n">
        <f aca="false">W_PH(AC$2,$A498)</f>
        <v>3443.07640479821</v>
      </c>
      <c r="AD498" s="0" t="n">
        <f aca="false">W_PH(AD$2,$A498)</f>
        <v>3443.27690283721</v>
      </c>
      <c r="AE498" s="0" t="n">
        <f aca="false">W_PH(AE$2,$A498)</f>
        <v>3443.47742675032</v>
      </c>
      <c r="AF498" s="0" t="n">
        <f aca="false">W_PH(AF$2,$A498)</f>
        <v>3443.67796739269</v>
      </c>
      <c r="AG498" s="0" t="n">
        <f aca="false">W_PH(AG$2,$A498)</f>
        <v>3443.87853393845</v>
      </c>
      <c r="AH498" s="0" t="n">
        <f aca="false">W_PH(AH$2,$A498)</f>
        <v>3445.88588744422</v>
      </c>
      <c r="AI498" s="0" t="n">
        <f aca="false">W_PH(AI$2,$A498)</f>
        <v>3447.89754770726</v>
      </c>
      <c r="AJ498" s="0" t="n">
        <f aca="false">W_PH(AJ$2,$A498)</f>
        <v>3449.91529260795</v>
      </c>
      <c r="AK498" s="0" t="n">
        <f aca="false">W_PH(AK$2,$A498)</f>
        <v>3451.94088606595</v>
      </c>
      <c r="AL498" s="0" t="n">
        <f aca="false">W_PH(AL$2,$A498)</f>
        <v>3453.97610012133</v>
      </c>
      <c r="AM498" s="0" t="n">
        <f aca="false">W_PH(AM$2,$A498)</f>
        <v>3456.02271504506</v>
      </c>
      <c r="AN498" s="0" t="n">
        <f aca="false">W_PH(AN$2,$A498)</f>
        <v>3458.08250474005</v>
      </c>
      <c r="AO498" s="0" t="n">
        <f aca="false">W_PH(AO$2,$A498)</f>
        <v>3460.15723683872</v>
      </c>
      <c r="AP498" s="0" t="n">
        <f aca="false">W_PH(AP$2,$A498)</f>
        <v>2015</v>
      </c>
      <c r="AQ498" s="0" t="n">
        <f aca="false">W_PH(AQ$2,$A498)</f>
        <v>2015</v>
      </c>
      <c r="AR498" s="0" t="n">
        <f aca="false">W_PH(AR$2,$A498)</f>
        <v>2015</v>
      </c>
      <c r="AS498" s="0" t="n">
        <f aca="false">W_PH(AS$2,$A498)</f>
        <v>2015</v>
      </c>
    </row>
    <row r="499" customFormat="false" ht="12.8" hidden="false" customHeight="false" outlineLevel="0" collapsed="false">
      <c r="A499" s="0" t="n">
        <v>2833.19002579536</v>
      </c>
      <c r="B499" s="0" t="n">
        <f aca="false">W_PH(B$2,$A499)</f>
        <v>2015</v>
      </c>
      <c r="C499" s="0" t="n">
        <f aca="false">W_PH(C$2,$A499)</f>
        <v>3444.75831614466</v>
      </c>
      <c r="D499" s="0" t="n">
        <f aca="false">W_PH(D$2,$A499)</f>
        <v>3444.75851804253</v>
      </c>
      <c r="E499" s="0" t="n">
        <f aca="false">W_PH(E$2,$A499)</f>
        <v>3444.75871628159</v>
      </c>
      <c r="F499" s="0" t="n">
        <f aca="false">W_PH(F$2,$A499)</f>
        <v>3444.75891817948</v>
      </c>
      <c r="G499" s="0" t="n">
        <f aca="false">W_PH(G$2,$A499)</f>
        <v>3444.76092252358</v>
      </c>
      <c r="H499" s="0" t="n">
        <f aca="false">W_PH(H$2,$A499)</f>
        <v>3444.7629268686</v>
      </c>
      <c r="I499" s="0" t="n">
        <f aca="false">W_PH(I$2,$A499)</f>
        <v>3444.76493121455</v>
      </c>
      <c r="J499" s="0" t="n">
        <f aca="false">W_PH(J$2,$A499)</f>
        <v>3444.76693556143</v>
      </c>
      <c r="K499" s="0" t="n">
        <f aca="false">W_PH(K$2,$A499)</f>
        <v>3444.76893990923</v>
      </c>
      <c r="L499" s="0" t="n">
        <f aca="false">W_PH(L$2,$A499)</f>
        <v>3444.77094425796</v>
      </c>
      <c r="M499" s="0" t="n">
        <f aca="false">W_PH(M$2,$A499)</f>
        <v>3444.77294860762</v>
      </c>
      <c r="N499" s="0" t="n">
        <f aca="false">W_PH(N$2,$A499)</f>
        <v>3444.77495295822</v>
      </c>
      <c r="O499" s="0" t="n">
        <f aca="false">W_PH(O$2,$A499)</f>
        <v>3444.77695730975</v>
      </c>
      <c r="P499" s="0" t="n">
        <f aca="false">W_PH(P$2,$A499)</f>
        <v>3444.79700453577</v>
      </c>
      <c r="Q499" s="0" t="n">
        <f aca="false">W_PH(Q$2,$A499)</f>
        <v>3444.81704819849</v>
      </c>
      <c r="R499" s="0" t="n">
        <f aca="false">W_PH(R$2,$A499)</f>
        <v>3444.8370919586</v>
      </c>
      <c r="S499" s="0" t="n">
        <f aca="false">W_PH(S$2,$A499)</f>
        <v>3444.85713581792</v>
      </c>
      <c r="T499" s="0" t="n">
        <f aca="false">W_PH(T$2,$A499)</f>
        <v>3444.8771797783</v>
      </c>
      <c r="U499" s="0" t="n">
        <f aca="false">W_PH(U$2,$A499)</f>
        <v>3444.89722384157</v>
      </c>
      <c r="V499" s="0" t="n">
        <f aca="false">W_PH(V$2,$A499)</f>
        <v>3444.9172716686</v>
      </c>
      <c r="W499" s="0" t="n">
        <f aca="false">W_PH(W$2,$A499)</f>
        <v>3444.9373159432</v>
      </c>
      <c r="X499" s="0" t="n">
        <f aca="false">W_PH(X$2,$A499)</f>
        <v>3444.95736398529</v>
      </c>
      <c r="Y499" s="0" t="n">
        <f aca="false">W_PH(Y$2,$A499)</f>
        <v>3445.15782150124</v>
      </c>
      <c r="Z499" s="0" t="n">
        <f aca="false">W_PH(Z$2,$A499)</f>
        <v>3445.35828822158</v>
      </c>
      <c r="AA499" s="0" t="n">
        <f aca="false">W_PH(AA$2,$A499)</f>
        <v>3445.55876964365</v>
      </c>
      <c r="AB499" s="0" t="n">
        <f aca="false">W_PH(AB$2,$A499)</f>
        <v>3445.75926760582</v>
      </c>
      <c r="AC499" s="0" t="n">
        <f aca="false">W_PH(AC$2,$A499)</f>
        <v>3445.95978028617</v>
      </c>
      <c r="AD499" s="0" t="n">
        <f aca="false">W_PH(AD$2,$A499)</f>
        <v>3446.16030952249</v>
      </c>
      <c r="AE499" s="0" t="n">
        <f aca="false">W_PH(AE$2,$A499)</f>
        <v>3446.36086447429</v>
      </c>
      <c r="AF499" s="0" t="n">
        <f aca="false">W_PH(AF$2,$A499)</f>
        <v>3446.56143599775</v>
      </c>
      <c r="AG499" s="0" t="n">
        <f aca="false">W_PH(AG$2,$A499)</f>
        <v>3446.76203325283</v>
      </c>
      <c r="AH499" s="0" t="n">
        <f aca="false">W_PH(AH$2,$A499)</f>
        <v>3448.76967541576</v>
      </c>
      <c r="AI499" s="0" t="n">
        <f aca="false">W_PH(AI$2,$A499)</f>
        <v>3450.78160585226</v>
      </c>
      <c r="AJ499" s="0" t="n">
        <f aca="false">W_PH(AJ$2,$A499)</f>
        <v>3452.79958344159</v>
      </c>
      <c r="AK499" s="0" t="n">
        <f aca="false">W_PH(AK$2,$A499)</f>
        <v>3454.8253751272</v>
      </c>
      <c r="AL499" s="0" t="n">
        <f aca="false">W_PH(AL$2,$A499)</f>
        <v>3456.86074498891</v>
      </c>
      <c r="AM499" s="0" t="n">
        <f aca="false">W_PH(AM$2,$A499)</f>
        <v>3458.90745799225</v>
      </c>
      <c r="AN499" s="0" t="n">
        <f aca="false">W_PH(AN$2,$A499)</f>
        <v>3460.96728744664</v>
      </c>
      <c r="AO499" s="0" t="n">
        <f aca="false">W_PH(AO$2,$A499)</f>
        <v>3463.04199306565</v>
      </c>
      <c r="AP499" s="0" t="n">
        <f aca="false">W_PH(AP$2,$A499)</f>
        <v>2015</v>
      </c>
      <c r="AQ499" s="0" t="n">
        <f aca="false">W_PH(AQ$2,$A499)</f>
        <v>2015</v>
      </c>
      <c r="AR499" s="0" t="n">
        <f aca="false">W_PH(AR$2,$A499)</f>
        <v>2015</v>
      </c>
      <c r="AS499" s="0" t="n">
        <f aca="false">W_PH(AS$2,$A499)</f>
        <v>2015</v>
      </c>
    </row>
    <row r="500" customFormat="false" ht="12.8" hidden="false" customHeight="false" outlineLevel="0" collapsed="false">
      <c r="A500" s="0" t="n">
        <v>2837.48925193465</v>
      </c>
      <c r="B500" s="0" t="n">
        <f aca="false">W_PH(B$2,$A500)</f>
        <v>2015</v>
      </c>
      <c r="C500" s="0" t="n">
        <f aca="false">W_PH(C$2,$A500)</f>
        <v>3447.63785145891</v>
      </c>
      <c r="D500" s="0" t="n">
        <f aca="false">W_PH(D$2,$A500)</f>
        <v>3447.63804989755</v>
      </c>
      <c r="E500" s="0" t="n">
        <f aca="false">W_PH(E$2,$A500)</f>
        <v>3447.63825199203</v>
      </c>
      <c r="F500" s="0" t="n">
        <f aca="false">W_PH(F$2,$A500)</f>
        <v>3447.63845408651</v>
      </c>
      <c r="G500" s="0" t="n">
        <f aca="false">W_PH(G$2,$A500)</f>
        <v>3447.64045675272</v>
      </c>
      <c r="H500" s="0" t="n">
        <f aca="false">W_PH(H$2,$A500)</f>
        <v>3447.64245941985</v>
      </c>
      <c r="I500" s="0" t="n">
        <f aca="false">W_PH(I$2,$A500)</f>
        <v>3447.64446574372</v>
      </c>
      <c r="J500" s="0" t="n">
        <f aca="false">W_PH(J$2,$A500)</f>
        <v>3447.6464720685</v>
      </c>
      <c r="K500" s="0" t="n">
        <f aca="false">W_PH(K$2,$A500)</f>
        <v>3447.6484783942</v>
      </c>
      <c r="L500" s="0" t="n">
        <f aca="false">W_PH(L$2,$A500)</f>
        <v>3447.650481065</v>
      </c>
      <c r="M500" s="0" t="n">
        <f aca="false">W_PH(M$2,$A500)</f>
        <v>3447.65248373671</v>
      </c>
      <c r="N500" s="0" t="n">
        <f aca="false">W_PH(N$2,$A500)</f>
        <v>3447.65449006518</v>
      </c>
      <c r="O500" s="0" t="n">
        <f aca="false">W_PH(O$2,$A500)</f>
        <v>3447.65649639458</v>
      </c>
      <c r="P500" s="0" t="n">
        <f aca="false">W_PH(P$2,$A500)</f>
        <v>3447.67654511652</v>
      </c>
      <c r="Q500" s="0" t="n">
        <f aca="false">W_PH(Q$2,$A500)</f>
        <v>3447.69659027715</v>
      </c>
      <c r="R500" s="0" t="n">
        <f aca="false">W_PH(R$2,$A500)</f>
        <v>3447.71663553415</v>
      </c>
      <c r="S500" s="0" t="n">
        <f aca="false">W_PH(S$2,$A500)</f>
        <v>3447.73668454527</v>
      </c>
      <c r="T500" s="0" t="n">
        <f aca="false">W_PH(T$2,$A500)</f>
        <v>3447.75673365646</v>
      </c>
      <c r="U500" s="0" t="n">
        <f aca="false">W_PH(U$2,$A500)</f>
        <v>3447.77678286956</v>
      </c>
      <c r="V500" s="0" t="n">
        <f aca="false">W_PH(V$2,$A500)</f>
        <v>3447.79683218638</v>
      </c>
      <c r="W500" s="0" t="n">
        <f aca="false">W_PH(W$2,$A500)</f>
        <v>3447.81687795272</v>
      </c>
      <c r="X500" s="0" t="n">
        <f aca="false">W_PH(X$2,$A500)</f>
        <v>3447.8369238264</v>
      </c>
      <c r="Y500" s="0" t="n">
        <f aca="false">W_PH(Y$2,$A500)</f>
        <v>3448.03741080745</v>
      </c>
      <c r="Z500" s="0" t="n">
        <f aca="false">W_PH(Z$2,$A500)</f>
        <v>3448.23791053865</v>
      </c>
      <c r="AA500" s="0" t="n">
        <f aca="false">W_PH(AA$2,$A500)</f>
        <v>3448.43842485023</v>
      </c>
      <c r="AB500" s="0" t="n">
        <f aca="false">W_PH(AB$2,$A500)</f>
        <v>3448.63894825835</v>
      </c>
      <c r="AC500" s="0" t="n">
        <f aca="false">W_PH(AC$2,$A500)</f>
        <v>3448.83948990655</v>
      </c>
      <c r="AD500" s="0" t="n">
        <f aca="false">W_PH(AD$2,$A500)</f>
        <v>3449.04005162528</v>
      </c>
      <c r="AE500" s="0" t="n">
        <f aca="false">W_PH(AE$2,$A500)</f>
        <v>3449.24063158731</v>
      </c>
      <c r="AF500" s="0" t="n">
        <f aca="false">W_PH(AF$2,$A500)</f>
        <v>3449.44123528058</v>
      </c>
      <c r="AG500" s="0" t="n">
        <f aca="false">W_PH(AG$2,$A500)</f>
        <v>3449.64186087752</v>
      </c>
      <c r="AH500" s="0" t="n">
        <f aca="false">W_PH(AH$2,$A500)</f>
        <v>3451.64977911931</v>
      </c>
      <c r="AI500" s="0" t="n">
        <f aca="false">W_PH(AI$2,$A500)</f>
        <v>3453.66196737517</v>
      </c>
      <c r="AJ500" s="0" t="n">
        <f aca="false">W_PH(AJ$2,$A500)</f>
        <v>3455.6801692595</v>
      </c>
      <c r="AK500" s="0" t="n">
        <f aca="false">W_PH(AK$2,$A500)</f>
        <v>3457.70615111187</v>
      </c>
      <c r="AL500" s="0" t="n">
        <f aca="false">W_PH(AL$2,$A500)</f>
        <v>3459.74165809218</v>
      </c>
      <c r="AM500" s="0" t="n">
        <f aca="false">W_PH(AM$2,$A500)</f>
        <v>3461.78846561165</v>
      </c>
      <c r="AN500" s="0" t="n">
        <f aca="false">W_PH(AN$2,$A500)</f>
        <v>3463.84832072803</v>
      </c>
      <c r="AO500" s="0" t="n">
        <f aca="false">W_PH(AO$2,$A500)</f>
        <v>3465.9229862976</v>
      </c>
      <c r="AP500" s="0" t="n">
        <f aca="false">W_PH(AP$2,$A500)</f>
        <v>2015</v>
      </c>
      <c r="AQ500" s="0" t="n">
        <f aca="false">W_PH(AQ$2,$A500)</f>
        <v>2015</v>
      </c>
      <c r="AR500" s="0" t="n">
        <f aca="false">W_PH(AR$2,$A500)</f>
        <v>2015</v>
      </c>
      <c r="AS500" s="0" t="n">
        <f aca="false">W_PH(AS$2,$A500)</f>
        <v>2015</v>
      </c>
    </row>
    <row r="501" customFormat="false" ht="12.8" hidden="false" customHeight="false" outlineLevel="0" collapsed="false">
      <c r="A501" s="0" t="n">
        <v>2841.78847807395</v>
      </c>
      <c r="B501" s="0" t="n">
        <f aca="false">W_PH(B$2,$A501)</f>
        <v>2015</v>
      </c>
      <c r="C501" s="0" t="n">
        <f aca="false">W_PH(C$2,$A501)</f>
        <v>3450.51374260521</v>
      </c>
      <c r="D501" s="0" t="n">
        <f aca="false">W_PH(D$2,$A501)</f>
        <v>3450.51394124081</v>
      </c>
      <c r="E501" s="0" t="n">
        <f aca="false">W_PH(E$2,$A501)</f>
        <v>3450.51413987643</v>
      </c>
      <c r="F501" s="0" t="n">
        <f aca="false">W_PH(F$2,$A501)</f>
        <v>3450.51434216487</v>
      </c>
      <c r="G501" s="0" t="n">
        <f aca="false">W_PH(G$2,$A501)</f>
        <v>3450.5163467857</v>
      </c>
      <c r="H501" s="0" t="n">
        <f aca="false">W_PH(H$2,$A501)</f>
        <v>3450.51835506026</v>
      </c>
      <c r="I501" s="0" t="n">
        <f aca="false">W_PH(I$2,$A501)</f>
        <v>3450.52035603007</v>
      </c>
      <c r="J501" s="0" t="n">
        <f aca="false">W_PH(J$2,$A501)</f>
        <v>3450.52236430645</v>
      </c>
      <c r="K501" s="0" t="n">
        <f aca="false">W_PH(K$2,$A501)</f>
        <v>3450.52436527807</v>
      </c>
      <c r="L501" s="0" t="n">
        <f aca="false">W_PH(L$2,$A501)</f>
        <v>3450.52637355626</v>
      </c>
      <c r="M501" s="0" t="n">
        <f aca="false">W_PH(M$2,$A501)</f>
        <v>3450.52837818254</v>
      </c>
      <c r="N501" s="0" t="n">
        <f aca="false">W_PH(N$2,$A501)</f>
        <v>3450.53038280973</v>
      </c>
      <c r="O501" s="0" t="n">
        <f aca="false">W_PH(O$2,$A501)</f>
        <v>3450.53238743783</v>
      </c>
      <c r="P501" s="0" t="n">
        <f aca="false">W_PH(P$2,$A501)</f>
        <v>3450.55243742247</v>
      </c>
      <c r="Q501" s="0" t="n">
        <f aca="false">W_PH(Q$2,$A501)</f>
        <v>3450.57249115359</v>
      </c>
      <c r="R501" s="0" t="n">
        <f aca="false">W_PH(R$2,$A501)</f>
        <v>3450.59253767432</v>
      </c>
      <c r="S501" s="0" t="n">
        <f aca="false">W_PH(S$2,$A501)</f>
        <v>3450.61259159811</v>
      </c>
      <c r="T501" s="0" t="n">
        <f aca="false">W_PH(T$2,$A501)</f>
        <v>3450.63263831505</v>
      </c>
      <c r="U501" s="0" t="n">
        <f aca="false">W_PH(U$2,$A501)</f>
        <v>3450.6526924388</v>
      </c>
      <c r="V501" s="0" t="n">
        <f aca="false">W_PH(V$2,$A501)</f>
        <v>3450.67273935925</v>
      </c>
      <c r="W501" s="0" t="n">
        <f aca="false">W_PH(W$2,$A501)</f>
        <v>3450.69279369024</v>
      </c>
      <c r="X501" s="0" t="n">
        <f aca="false">W_PH(X$2,$A501)</f>
        <v>3450.71284447455</v>
      </c>
      <c r="Y501" s="0" t="n">
        <f aca="false">W_PH(Y$2,$A501)</f>
        <v>3450.91336222013</v>
      </c>
      <c r="Z501" s="0" t="n">
        <f aca="false">W_PH(Z$2,$A501)</f>
        <v>3451.11388895024</v>
      </c>
      <c r="AA501" s="0" t="n">
        <f aca="false">W_PH(AA$2,$A501)</f>
        <v>3451.31442648635</v>
      </c>
      <c r="AB501" s="0" t="n">
        <f aca="false">W_PH(AB$2,$A501)</f>
        <v>3451.5149803041</v>
      </c>
      <c r="AC501" s="0" t="n">
        <f aca="false">W_PH(AC$2,$A501)</f>
        <v>3451.71554857156</v>
      </c>
      <c r="AD501" s="0" t="n">
        <f aca="false">W_PH(AD$2,$A501)</f>
        <v>3451.91613676503</v>
      </c>
      <c r="AE501" s="0" t="n">
        <f aca="false">W_PH(AE$2,$A501)</f>
        <v>3452.11674670706</v>
      </c>
      <c r="AF501" s="0" t="n">
        <f aca="false">W_PH(AF$2,$A501)</f>
        <v>3452.31737656528</v>
      </c>
      <c r="AG501" s="0" t="n">
        <f aca="false">W_PH(AG$2,$A501)</f>
        <v>3452.51802816167</v>
      </c>
      <c r="AH501" s="0" t="n">
        <f aca="false">W_PH(AH$2,$A501)</f>
        <v>3454.52621378353</v>
      </c>
      <c r="AI501" s="0" t="n">
        <f aca="false">W_PH(AI$2,$A501)</f>
        <v>3456.53864040584</v>
      </c>
      <c r="AJ501" s="0" t="n">
        <f aca="false">W_PH(AJ$2,$A501)</f>
        <v>3458.5570620582</v>
      </c>
      <c r="AK501" s="0" t="n">
        <f aca="false">W_PH(AK$2,$A501)</f>
        <v>3460.58321522475</v>
      </c>
      <c r="AL501" s="0" t="n">
        <f aca="false">W_PH(AL$2,$A501)</f>
        <v>3462.61885919173</v>
      </c>
      <c r="AM501" s="0" t="n">
        <f aca="false">W_PH(AM$2,$A501)</f>
        <v>3464.66573950626</v>
      </c>
      <c r="AN501" s="0" t="n">
        <f aca="false">W_PH(AN$2,$A501)</f>
        <v>3466.72561373204</v>
      </c>
      <c r="AO501" s="0" t="n">
        <f aca="false">W_PH(AO$2,$A501)</f>
        <v>3468.80023323041</v>
      </c>
      <c r="AP501" s="0" t="n">
        <f aca="false">W_PH(AP$2,$A501)</f>
        <v>2015</v>
      </c>
      <c r="AQ501" s="0" t="n">
        <f aca="false">W_PH(AQ$2,$A501)</f>
        <v>2015</v>
      </c>
      <c r="AR501" s="0" t="n">
        <f aca="false">W_PH(AR$2,$A501)</f>
        <v>2015</v>
      </c>
      <c r="AS501" s="0" t="n">
        <f aca="false">W_PH(AS$2,$A501)</f>
        <v>2015</v>
      </c>
    </row>
    <row r="502" customFormat="false" ht="12.8" hidden="false" customHeight="false" outlineLevel="0" collapsed="false">
      <c r="A502" s="0" t="n">
        <v>2846.08770421324</v>
      </c>
      <c r="B502" s="0" t="n">
        <f aca="false">W_PH(B$2,$A502)</f>
        <v>2015</v>
      </c>
      <c r="C502" s="0" t="n">
        <f aca="false">W_PH(C$2,$A502)</f>
        <v>3453.38600063456</v>
      </c>
      <c r="D502" s="0" t="n">
        <f aca="false">W_PH(D$2,$A502)</f>
        <v>3453.38619946451</v>
      </c>
      <c r="E502" s="0" t="n">
        <f aca="false">W_PH(E$2,$A502)</f>
        <v>3453.38639829448</v>
      </c>
      <c r="F502" s="0" t="n">
        <f aca="false">W_PH(F$2,$A502)</f>
        <v>3453.38660077428</v>
      </c>
      <c r="G502" s="0" t="n">
        <f aca="false">W_PH(G$2,$A502)</f>
        <v>3453.38860732366</v>
      </c>
      <c r="H502" s="0" t="n">
        <f aca="false">W_PH(H$2,$A502)</f>
        <v>3453.3906102241</v>
      </c>
      <c r="I502" s="0" t="n">
        <f aca="false">W_PH(I$2,$A502)</f>
        <v>3453.39261312543</v>
      </c>
      <c r="J502" s="0" t="n">
        <f aca="false">W_PH(J$2,$A502)</f>
        <v>3453.39462332733</v>
      </c>
      <c r="K502" s="0" t="n">
        <f aca="false">W_PH(K$2,$A502)</f>
        <v>3453.39662623046</v>
      </c>
      <c r="L502" s="0" t="n">
        <f aca="false">W_PH(L$2,$A502)</f>
        <v>3453.39862913448</v>
      </c>
      <c r="M502" s="0" t="n">
        <f aca="false">W_PH(M$2,$A502)</f>
        <v>3453.4006393391</v>
      </c>
      <c r="N502" s="0" t="n">
        <f aca="false">W_PH(N$2,$A502)</f>
        <v>3453.40264224492</v>
      </c>
      <c r="O502" s="0" t="n">
        <f aca="false">W_PH(O$2,$A502)</f>
        <v>3453.40464515165</v>
      </c>
      <c r="P502" s="0" t="n">
        <f aca="false">W_PH(P$2,$A502)</f>
        <v>3453.42470346804</v>
      </c>
      <c r="Q502" s="0" t="n">
        <f aca="false">W_PH(Q$2,$A502)</f>
        <v>3453.44475457731</v>
      </c>
      <c r="R502" s="0" t="n">
        <f aca="false">W_PH(R$2,$A502)</f>
        <v>3453.46480578098</v>
      </c>
      <c r="S502" s="0" t="n">
        <f aca="false">W_PH(S$2,$A502)</f>
        <v>3453.48486073082</v>
      </c>
      <c r="T502" s="0" t="n">
        <f aca="false">W_PH(T$2,$A502)</f>
        <v>3453.50491577874</v>
      </c>
      <c r="U502" s="0" t="n">
        <f aca="false">W_PH(U$2,$A502)</f>
        <v>3453.52496727655</v>
      </c>
      <c r="V502" s="0" t="n">
        <f aca="false">W_PH(V$2,$A502)</f>
        <v>3453.54501887602</v>
      </c>
      <c r="W502" s="0" t="n">
        <f aca="false">W_PH(W$2,$A502)</f>
        <v>3453.56507422901</v>
      </c>
      <c r="X502" s="0" t="n">
        <f aca="false">W_PH(X$2,$A502)</f>
        <v>3453.58512968734</v>
      </c>
      <c r="Y502" s="0" t="n">
        <f aca="false">W_PH(Y$2,$A502)</f>
        <v>3453.78567221164</v>
      </c>
      <c r="Z502" s="0" t="n">
        <f aca="false">W_PH(Z$2,$A502)</f>
        <v>3453.98622726271</v>
      </c>
      <c r="AA502" s="0" t="n">
        <f aca="false">W_PH(AA$2,$A502)</f>
        <v>3454.18679300401</v>
      </c>
      <c r="AB502" s="0" t="n">
        <f aca="false">W_PH(AB$2,$A502)</f>
        <v>3454.38737490022</v>
      </c>
      <c r="AC502" s="0" t="n">
        <f aca="false">W_PH(AC$2,$A502)</f>
        <v>3454.58796746321</v>
      </c>
      <c r="AD502" s="0" t="n">
        <f aca="false">W_PH(AD$2,$A502)</f>
        <v>3454.78858711217</v>
      </c>
      <c r="AE502" s="0" t="n">
        <f aca="false">W_PH(AE$2,$A502)</f>
        <v>3454.98922105609</v>
      </c>
      <c r="AF502" s="0" t="n">
        <f aca="false">W_PH(AF$2,$A502)</f>
        <v>3455.18987476023</v>
      </c>
      <c r="AG502" s="0" t="n">
        <f aca="false">W_PH(AG$2,$A502)</f>
        <v>3455.39055369093</v>
      </c>
      <c r="AH502" s="0" t="n">
        <f aca="false">W_PH(AH$2,$A502)</f>
        <v>3457.39899089946</v>
      </c>
      <c r="AI502" s="0" t="n">
        <f aca="false">W_PH(AI$2,$A502)</f>
        <v>3459.41165129834</v>
      </c>
      <c r="AJ502" s="0" t="n">
        <f aca="false">W_PH(AJ$2,$A502)</f>
        <v>3461.43027009883</v>
      </c>
      <c r="AK502" s="0" t="n">
        <f aca="false">W_PH(AK$2,$A502)</f>
        <v>3463.45659059989</v>
      </c>
      <c r="AL502" s="0" t="n">
        <f aca="false">W_PH(AL$2,$A502)</f>
        <v>3465.49234962198</v>
      </c>
      <c r="AM502" s="0" t="n">
        <f aca="false">W_PH(AM$2,$A502)</f>
        <v>3467.53930323044</v>
      </c>
      <c r="AN502" s="0" t="n">
        <f aca="false">W_PH(AN$2,$A502)</f>
        <v>3469.5991828697</v>
      </c>
      <c r="AO502" s="0" t="n">
        <f aca="false">W_PH(AO$2,$A502)</f>
        <v>3471.67373577774</v>
      </c>
      <c r="AP502" s="0" t="n">
        <f aca="false">W_PH(AP$2,$A502)</f>
        <v>2015</v>
      </c>
      <c r="AQ502" s="0" t="n">
        <f aca="false">W_PH(AQ$2,$A502)</f>
        <v>2015</v>
      </c>
      <c r="AR502" s="0" t="n">
        <f aca="false">W_PH(AR$2,$A502)</f>
        <v>2015</v>
      </c>
      <c r="AS502" s="0" t="n">
        <f aca="false">W_PH(AS$2,$A502)</f>
        <v>2015</v>
      </c>
    </row>
    <row r="503" customFormat="false" ht="12.8" hidden="false" customHeight="false" outlineLevel="0" collapsed="false">
      <c r="A503" s="0" t="n">
        <v>2850.38693035254</v>
      </c>
      <c r="B503" s="0" t="n">
        <f aca="false">W_PH(B$2,$A503)</f>
        <v>2015</v>
      </c>
      <c r="C503" s="0" t="n">
        <f aca="false">W_PH(C$2,$A503)</f>
        <v>3456.25463653324</v>
      </c>
      <c r="D503" s="0" t="n">
        <f aca="false">W_PH(D$2,$A503)</f>
        <v>3456.25483920181</v>
      </c>
      <c r="E503" s="0" t="n">
        <f aca="false">W_PH(E$2,$A503)</f>
        <v>3456.25503822354</v>
      </c>
      <c r="F503" s="0" t="n">
        <f aca="false">W_PH(F$2,$A503)</f>
        <v>3456.25523724528</v>
      </c>
      <c r="G503" s="0" t="n">
        <f aca="false">W_PH(G$2,$A503)</f>
        <v>3456.25724205054</v>
      </c>
      <c r="H503" s="0" t="n">
        <f aca="false">W_PH(H$2,$A503)</f>
        <v>3456.25924685669</v>
      </c>
      <c r="I503" s="0" t="n">
        <f aca="false">W_PH(I$2,$A503)</f>
        <v>3456.26125531058</v>
      </c>
      <c r="J503" s="0" t="n">
        <f aca="false">W_PH(J$2,$A503)</f>
        <v>3456.2632601185</v>
      </c>
      <c r="K503" s="0" t="n">
        <f aca="false">W_PH(K$2,$A503)</f>
        <v>3456.26526857417</v>
      </c>
      <c r="L503" s="0" t="n">
        <f aca="false">W_PH(L$2,$A503)</f>
        <v>3456.26727338388</v>
      </c>
      <c r="M503" s="0" t="n">
        <f aca="false">W_PH(M$2,$A503)</f>
        <v>3456.26927819447</v>
      </c>
      <c r="N503" s="0" t="n">
        <f aca="false">W_PH(N$2,$A503)</f>
        <v>3456.27128300596</v>
      </c>
      <c r="O503" s="0" t="n">
        <f aca="false">W_PH(O$2,$A503)</f>
        <v>3456.27328781834</v>
      </c>
      <c r="P503" s="0" t="n">
        <f aca="false">W_PH(P$2,$A503)</f>
        <v>3456.29334328565</v>
      </c>
      <c r="Q503" s="0" t="n">
        <f aca="false">W_PH(Q$2,$A503)</f>
        <v>3456.3133988446</v>
      </c>
      <c r="R503" s="0" t="n">
        <f aca="false">W_PH(R$2,$A503)</f>
        <v>3456.33345449703</v>
      </c>
      <c r="S503" s="0" t="n">
        <f aca="false">W_PH(S$2,$A503)</f>
        <v>3456.35351024473</v>
      </c>
      <c r="T503" s="0" t="n">
        <f aca="false">W_PH(T$2,$A503)</f>
        <v>3456.3735660895</v>
      </c>
      <c r="U503" s="0" t="n">
        <f aca="false">W_PH(U$2,$A503)</f>
        <v>3456.39362203316</v>
      </c>
      <c r="V503" s="0" t="n">
        <f aca="false">W_PH(V$2,$A503)</f>
        <v>3456.41367807751</v>
      </c>
      <c r="W503" s="0" t="n">
        <f aca="false">W_PH(W$2,$A503)</f>
        <v>3456.43373422435</v>
      </c>
      <c r="X503" s="0" t="n">
        <f aca="false">W_PH(X$2,$A503)</f>
        <v>3456.4537904755</v>
      </c>
      <c r="Y503" s="0" t="n">
        <f aca="false">W_PH(Y$2,$A503)</f>
        <v>3456.65435912097</v>
      </c>
      <c r="Z503" s="0" t="n">
        <f aca="false">W_PH(Z$2,$A503)</f>
        <v>3456.8549401836</v>
      </c>
      <c r="AA503" s="0" t="n">
        <f aca="false">W_PH(AA$2,$A503)</f>
        <v>3457.05553546976</v>
      </c>
      <c r="AB503" s="0" t="n">
        <f aca="false">W_PH(AB$2,$A503)</f>
        <v>3457.25613948981</v>
      </c>
      <c r="AC503" s="0" t="n">
        <f aca="false">W_PH(AC$2,$A503)</f>
        <v>3457.45676134543</v>
      </c>
      <c r="AD503" s="0" t="n">
        <f aca="false">W_PH(AD$2,$A503)</f>
        <v>3457.65740284327</v>
      </c>
      <c r="AE503" s="0" t="n">
        <f aca="false">W_PH(AE$2,$A503)</f>
        <v>3457.8580621413</v>
      </c>
      <c r="AF503" s="0" t="n">
        <f aca="false">W_PH(AF$2,$A503)</f>
        <v>3458.05874469461</v>
      </c>
      <c r="AG503" s="0" t="n">
        <f aca="false">W_PH(AG$2,$A503)</f>
        <v>3458.25944866086</v>
      </c>
      <c r="AH503" s="0" t="n">
        <f aca="false">W_PH(AH$2,$A503)</f>
        <v>3460.26812553966</v>
      </c>
      <c r="AI503" s="0" t="n">
        <f aca="false">W_PH(AI$2,$A503)</f>
        <v>3462.28100436084</v>
      </c>
      <c r="AJ503" s="0" t="n">
        <f aca="false">W_PH(AJ$2,$A503)</f>
        <v>3464.29981254846</v>
      </c>
      <c r="AK503" s="0" t="n">
        <f aca="false">W_PH(AK$2,$A503)</f>
        <v>3466.32628562152</v>
      </c>
      <c r="AL503" s="0" t="n">
        <f aca="false">W_PH(AL$2,$A503)</f>
        <v>3468.36215263949</v>
      </c>
      <c r="AM503" s="0" t="n">
        <f aca="false">W_PH(AM$2,$A503)</f>
        <v>3470.40915823989</v>
      </c>
      <c r="AN503" s="0" t="n">
        <f aca="false">W_PH(AN$2,$A503)</f>
        <v>3472.46903712394</v>
      </c>
      <c r="AO503" s="0" t="n">
        <f aca="false">W_PH(AO$2,$A503)</f>
        <v>3474.54352514003</v>
      </c>
      <c r="AP503" s="0" t="n">
        <f aca="false">W_PH(AP$2,$A503)</f>
        <v>2015</v>
      </c>
      <c r="AQ503" s="0" t="n">
        <f aca="false">W_PH(AQ$2,$A503)</f>
        <v>2015</v>
      </c>
      <c r="AR503" s="0" t="n">
        <f aca="false">W_PH(AR$2,$A503)</f>
        <v>2015</v>
      </c>
      <c r="AS503" s="0" t="n">
        <f aca="false">W_PH(AS$2,$A503)</f>
        <v>2015</v>
      </c>
    </row>
    <row r="504" customFormat="false" ht="12.8" hidden="false" customHeight="false" outlineLevel="0" collapsed="false">
      <c r="A504" s="0" t="n">
        <v>2854.68615649183</v>
      </c>
      <c r="B504" s="0" t="n">
        <f aca="false">W_PH(B$2,$A504)</f>
        <v>2015</v>
      </c>
      <c r="C504" s="0" t="n">
        <f aca="false">W_PH(C$2,$A504)</f>
        <v>3459.11966851108</v>
      </c>
      <c r="D504" s="0" t="n">
        <f aca="false">W_PH(D$2,$A504)</f>
        <v>3459.11986772201</v>
      </c>
      <c r="E504" s="0" t="n">
        <f aca="false">W_PH(E$2,$A504)</f>
        <v>3459.12006693295</v>
      </c>
      <c r="F504" s="0" t="n">
        <f aca="false">W_PH(F$2,$A504)</f>
        <v>3459.12026978777</v>
      </c>
      <c r="G504" s="0" t="n">
        <f aca="false">W_PH(G$2,$A504)</f>
        <v>3459.12227282931</v>
      </c>
      <c r="H504" s="0" t="n">
        <f aca="false">W_PH(H$2,$A504)</f>
        <v>3459.12427951561</v>
      </c>
      <c r="I504" s="0" t="n">
        <f aca="false">W_PH(I$2,$A504)</f>
        <v>3459.12628620279</v>
      </c>
      <c r="J504" s="0" t="n">
        <f aca="false">W_PH(J$2,$A504)</f>
        <v>3459.12829289084</v>
      </c>
      <c r="K504" s="0" t="n">
        <f aca="false">W_PH(K$2,$A504)</f>
        <v>3459.13029957978</v>
      </c>
      <c r="L504" s="0" t="n">
        <f aca="false">W_PH(L$2,$A504)</f>
        <v>3459.1323062696</v>
      </c>
      <c r="M504" s="0" t="n">
        <f aca="false">W_PH(M$2,$A504)</f>
        <v>3459.13430931642</v>
      </c>
      <c r="N504" s="0" t="n">
        <f aca="false">W_PH(N$2,$A504)</f>
        <v>3459.13631600801</v>
      </c>
      <c r="O504" s="0" t="n">
        <f aca="false">W_PH(O$2,$A504)</f>
        <v>3459.13831905659</v>
      </c>
      <c r="P504" s="0" t="n">
        <f aca="false">W_PH(P$2,$A504)</f>
        <v>3459.15837874277</v>
      </c>
      <c r="Q504" s="0" t="n">
        <f aca="false">W_PH(Q$2,$A504)</f>
        <v>3459.1784385197</v>
      </c>
      <c r="R504" s="0" t="n">
        <f aca="false">W_PH(R$2,$A504)</f>
        <v>3459.19849838916</v>
      </c>
      <c r="S504" s="0" t="n">
        <f aca="false">W_PH(S$2,$A504)</f>
        <v>3459.21855470897</v>
      </c>
      <c r="T504" s="0" t="n">
        <f aca="false">W_PH(T$2,$A504)</f>
        <v>3459.23861112487</v>
      </c>
      <c r="U504" s="0" t="n">
        <f aca="false">W_PH(U$2,$A504)</f>
        <v>3459.25867128269</v>
      </c>
      <c r="V504" s="0" t="n">
        <f aca="false">W_PH(V$2,$A504)</f>
        <v>3459.27873154025</v>
      </c>
      <c r="W504" s="0" t="n">
        <f aca="false">W_PH(W$2,$A504)</f>
        <v>3459.29878825524</v>
      </c>
      <c r="X504" s="0" t="n">
        <f aca="false">W_PH(X$2,$A504)</f>
        <v>3459.31884507352</v>
      </c>
      <c r="Y504" s="0" t="n">
        <f aca="false">W_PH(Y$2,$A504)</f>
        <v>3459.51944119848</v>
      </c>
      <c r="Z504" s="0" t="n">
        <f aca="false">W_PH(Z$2,$A504)</f>
        <v>3459.72004598806</v>
      </c>
      <c r="AA504" s="0" t="n">
        <f aca="false">W_PH(AA$2,$A504)</f>
        <v>3459.92066488492</v>
      </c>
      <c r="AB504" s="0" t="n">
        <f aca="false">W_PH(AB$2,$A504)</f>
        <v>3460.12129239755</v>
      </c>
      <c r="AC504" s="0" t="n">
        <f aca="false">W_PH(AC$2,$A504)</f>
        <v>3460.32193761382</v>
      </c>
      <c r="AD504" s="0" t="n">
        <f aca="false">W_PH(AD$2,$A504)</f>
        <v>3460.52260597808</v>
      </c>
      <c r="AE504" s="0" t="n">
        <f aca="false">W_PH(AE$2,$A504)</f>
        <v>3460.7232883526</v>
      </c>
      <c r="AF504" s="0" t="n">
        <f aca="false">W_PH(AF$2,$A504)</f>
        <v>3460.92399382696</v>
      </c>
      <c r="AG504" s="0" t="n">
        <f aca="false">W_PH(AG$2,$A504)</f>
        <v>3461.12472055398</v>
      </c>
      <c r="AH504" s="0" t="n">
        <f aca="false">W_PH(AH$2,$A504)</f>
        <v>3463.13362904648</v>
      </c>
      <c r="AI504" s="0" t="n">
        <f aca="false">W_PH(AI$2,$A504)</f>
        <v>3465.14671115588</v>
      </c>
      <c r="AJ504" s="0" t="n">
        <f aca="false">W_PH(AJ$2,$A504)</f>
        <v>3467.16570116831</v>
      </c>
      <c r="AK504" s="0" t="n">
        <f aca="false">W_PH(AK$2,$A504)</f>
        <v>3469.19230860925</v>
      </c>
      <c r="AL504" s="0" t="n">
        <f aca="false">W_PH(AL$2,$A504)</f>
        <v>3471.22827675282</v>
      </c>
      <c r="AM504" s="0" t="n">
        <f aca="false">W_PH(AM$2,$A504)</f>
        <v>3473.27532790479</v>
      </c>
      <c r="AN504" s="0" t="n">
        <f aca="false">W_PH(AN$2,$A504)</f>
        <v>3475.33519272956</v>
      </c>
      <c r="AO504" s="0" t="n">
        <f aca="false">W_PH(AO$2,$A504)</f>
        <v>3477.40960305651</v>
      </c>
      <c r="AP504" s="0" t="n">
        <f aca="false">W_PH(AP$2,$A504)</f>
        <v>2015</v>
      </c>
      <c r="AQ504" s="0" t="n">
        <f aca="false">W_PH(AQ$2,$A504)</f>
        <v>2015</v>
      </c>
      <c r="AR504" s="0" t="n">
        <f aca="false">W_PH(AR$2,$A504)</f>
        <v>2015</v>
      </c>
      <c r="AS504" s="0" t="n">
        <f aca="false">W_PH(AS$2,$A504)</f>
        <v>2015</v>
      </c>
    </row>
    <row r="505" customFormat="false" ht="12.8" hidden="false" customHeight="false" outlineLevel="0" collapsed="false">
      <c r="A505" s="0" t="n">
        <v>2858.98538263113</v>
      </c>
      <c r="B505" s="0" t="n">
        <f aca="false">W_PH(B$2,$A505)</f>
        <v>2015</v>
      </c>
      <c r="C505" s="0" t="n">
        <f aca="false">W_PH(C$2,$A505)</f>
        <v>3461.98110376777</v>
      </c>
      <c r="D505" s="0" t="n">
        <f aca="false">W_PH(D$2,$A505)</f>
        <v>3461.98130316537</v>
      </c>
      <c r="E505" s="0" t="n">
        <f aca="false">W_PH(E$2,$A505)</f>
        <v>3461.98150620389</v>
      </c>
      <c r="F505" s="0" t="n">
        <f aca="false">W_PH(F$2,$A505)</f>
        <v>3461.98170560151</v>
      </c>
      <c r="G505" s="0" t="n">
        <f aca="false">W_PH(G$2,$A505)</f>
        <v>3461.98371050087</v>
      </c>
      <c r="H505" s="0" t="n">
        <f aca="false">W_PH(H$2,$A505)</f>
        <v>3461.9857154011</v>
      </c>
      <c r="I505" s="0" t="n">
        <f aca="false">W_PH(I$2,$A505)</f>
        <v>3461.98772394311</v>
      </c>
      <c r="J505" s="0" t="n">
        <f aca="false">W_PH(J$2,$A505)</f>
        <v>3461.98972884507</v>
      </c>
      <c r="K505" s="0" t="n">
        <f aca="false">W_PH(K$2,$A505)</f>
        <v>3461.99173374791</v>
      </c>
      <c r="L505" s="0" t="n">
        <f aca="false">W_PH(L$2,$A505)</f>
        <v>3461.99374229253</v>
      </c>
      <c r="M505" s="0" t="n">
        <f aca="false">W_PH(M$2,$A505)</f>
        <v>3461.99574719712</v>
      </c>
      <c r="N505" s="0" t="n">
        <f aca="false">W_PH(N$2,$A505)</f>
        <v>3461.99775210257</v>
      </c>
      <c r="O505" s="0" t="n">
        <f aca="false">W_PH(O$2,$A505)</f>
        <v>3461.99976064983</v>
      </c>
      <c r="P505" s="0" t="n">
        <f aca="false">W_PH(P$2,$A505)</f>
        <v>3462.01982068466</v>
      </c>
      <c r="Q505" s="0" t="n">
        <f aca="false">W_PH(Q$2,$A505)</f>
        <v>3462.03988080926</v>
      </c>
      <c r="R505" s="0" t="n">
        <f aca="false">W_PH(R$2,$A505)</f>
        <v>3462.05994102545</v>
      </c>
      <c r="S505" s="0" t="n">
        <f aca="false">W_PH(S$2,$A505)</f>
        <v>3462.08000133499</v>
      </c>
      <c r="T505" s="0" t="n">
        <f aca="false">W_PH(T$2,$A505)</f>
        <v>3462.10006538074</v>
      </c>
      <c r="U505" s="0" t="n">
        <f aca="false">W_PH(U$2,$A505)</f>
        <v>3462.12012224135</v>
      </c>
      <c r="V505" s="0" t="n">
        <f aca="false">W_PH(V$2,$A505)</f>
        <v>3462.14018648283</v>
      </c>
      <c r="W505" s="0" t="n">
        <f aca="false">W_PH(W$2,$A505)</f>
        <v>3462.16024354265</v>
      </c>
      <c r="X505" s="0" t="n">
        <f aca="false">W_PH(X$2,$A505)</f>
        <v>3462.18030798702</v>
      </c>
      <c r="Y505" s="0" t="n">
        <f aca="false">W_PH(Y$2,$A505)</f>
        <v>3462.38092204101</v>
      </c>
      <c r="Z505" s="0" t="n">
        <f aca="false">W_PH(Z$2,$A505)</f>
        <v>3462.58155193813</v>
      </c>
      <c r="AA505" s="0" t="n">
        <f aca="false">W_PH(AA$2,$A505)</f>
        <v>3462.78218854428</v>
      </c>
      <c r="AB505" s="0" t="n">
        <f aca="false">W_PH(AB$2,$A505)</f>
        <v>3462.98284457512</v>
      </c>
      <c r="AC505" s="0" t="n">
        <f aca="false">W_PH(AC$2,$A505)</f>
        <v>3463.18351453764</v>
      </c>
      <c r="AD505" s="0" t="n">
        <f aca="false">W_PH(AD$2,$A505)</f>
        <v>3463.38420386469</v>
      </c>
      <c r="AE505" s="0" t="n">
        <f aca="false">W_PH(AE$2,$A505)</f>
        <v>3463.5849107046</v>
      </c>
      <c r="AF505" s="0" t="n">
        <f aca="false">W_PH(AF$2,$A505)</f>
        <v>3463.78563684786</v>
      </c>
      <c r="AG505" s="0" t="n">
        <f aca="false">W_PH(AG$2,$A505)</f>
        <v>3463.98638772828</v>
      </c>
      <c r="AH505" s="0" t="n">
        <f aca="false">W_PH(AH$2,$A505)</f>
        <v>3465.9955126934</v>
      </c>
      <c r="AI505" s="0" t="n">
        <f aca="false">W_PH(AI$2,$A505)</f>
        <v>3468.00879047021</v>
      </c>
      <c r="AJ505" s="0" t="n">
        <f aca="false">W_PH(AJ$2,$A505)</f>
        <v>3470.02794034539</v>
      </c>
      <c r="AK505" s="0" t="n">
        <f aca="false">W_PH(AK$2,$A505)</f>
        <v>3472.05468242791</v>
      </c>
      <c r="AL505" s="0" t="n">
        <f aca="false">W_PH(AL$2,$A505)</f>
        <v>3474.09073771312</v>
      </c>
      <c r="AM505" s="0" t="n">
        <f aca="false">W_PH(AM$2,$A505)</f>
        <v>3476.13782450617</v>
      </c>
      <c r="AN505" s="0" t="n">
        <f aca="false">W_PH(AN$2,$A505)</f>
        <v>3478.19766216627</v>
      </c>
      <c r="AO505" s="0" t="n">
        <f aca="false">W_PH(AO$2,$A505)</f>
        <v>3480.27198220069</v>
      </c>
      <c r="AP505" s="0" t="n">
        <f aca="false">W_PH(AP$2,$A505)</f>
        <v>2015</v>
      </c>
      <c r="AQ505" s="0" t="n">
        <f aca="false">W_PH(AQ$2,$A505)</f>
        <v>2015</v>
      </c>
      <c r="AR505" s="0" t="n">
        <f aca="false">W_PH(AR$2,$A505)</f>
        <v>2015</v>
      </c>
      <c r="AS505" s="0" t="n">
        <f aca="false">W_PH(AS$2,$A505)</f>
        <v>2015</v>
      </c>
    </row>
    <row r="506" customFormat="false" ht="12.8" hidden="false" customHeight="false" outlineLevel="0" collapsed="false">
      <c r="A506" s="0" t="n">
        <v>2863.28460877042</v>
      </c>
      <c r="B506" s="0" t="n">
        <f aca="false">W_PH(B$2,$A506)</f>
        <v>2015</v>
      </c>
      <c r="C506" s="0" t="n">
        <f aca="false">W_PH(C$2,$A506)</f>
        <v>3464.83895672764</v>
      </c>
      <c r="D506" s="0" t="n">
        <f aca="false">W_PH(D$2,$A506)</f>
        <v>3464.8391563094</v>
      </c>
      <c r="E506" s="0" t="n">
        <f aca="false">W_PH(E$2,$A506)</f>
        <v>3464.83935589118</v>
      </c>
      <c r="F506" s="0" t="n">
        <f aca="false">W_PH(F$2,$A506)</f>
        <v>3464.83955547296</v>
      </c>
      <c r="G506" s="0" t="n">
        <f aca="false">W_PH(G$2,$A506)</f>
        <v>3464.84156584301</v>
      </c>
      <c r="H506" s="0" t="n">
        <f aca="false">W_PH(H$2,$A506)</f>
        <v>3464.84356893803</v>
      </c>
      <c r="I506" s="0" t="n">
        <f aca="false">W_PH(I$2,$A506)</f>
        <v>3464.84557930981</v>
      </c>
      <c r="J506" s="0" t="n">
        <f aca="false">W_PH(J$2,$A506)</f>
        <v>3464.84758240655</v>
      </c>
      <c r="K506" s="0" t="n">
        <f aca="false">W_PH(K$2,$A506)</f>
        <v>3464.8495891421</v>
      </c>
      <c r="L506" s="0" t="n">
        <f aca="false">W_PH(L$2,$A506)</f>
        <v>3464.85159587851</v>
      </c>
      <c r="M506" s="0" t="n">
        <f aca="false">W_PH(M$2,$A506)</f>
        <v>3464.85360261579</v>
      </c>
      <c r="N506" s="0" t="n">
        <f aca="false">W_PH(N$2,$A506)</f>
        <v>3464.85560935394</v>
      </c>
      <c r="O506" s="0" t="n">
        <f aca="false">W_PH(O$2,$A506)</f>
        <v>3464.857612455</v>
      </c>
      <c r="P506" s="0" t="n">
        <f aca="false">W_PH(P$2,$A506)</f>
        <v>3464.87767989338</v>
      </c>
      <c r="Q506" s="0" t="n">
        <f aca="false">W_PH(Q$2,$A506)</f>
        <v>3464.89774014467</v>
      </c>
      <c r="R506" s="0" t="n">
        <f aca="false">W_PH(R$2,$A506)</f>
        <v>3464.91780048659</v>
      </c>
      <c r="S506" s="0" t="n">
        <f aca="false">W_PH(S$2,$A506)</f>
        <v>3464.93786819703</v>
      </c>
      <c r="T506" s="0" t="n">
        <f aca="false">W_PH(T$2,$A506)</f>
        <v>3464.95792872559</v>
      </c>
      <c r="U506" s="0" t="n">
        <f aca="false">W_PH(U$2,$A506)</f>
        <v>3464.97798935012</v>
      </c>
      <c r="V506" s="0" t="n">
        <f aca="false">W_PH(V$2,$A506)</f>
        <v>3464.99805734865</v>
      </c>
      <c r="W506" s="0" t="n">
        <f aca="false">W_PH(W$2,$A506)</f>
        <v>3465.01811817052</v>
      </c>
      <c r="X506" s="0" t="n">
        <f aca="false">W_PH(X$2,$A506)</f>
        <v>3465.03818273188</v>
      </c>
      <c r="Y506" s="0" t="n">
        <f aca="false">W_PH(Y$2,$A506)</f>
        <v>3465.23882339762</v>
      </c>
      <c r="Z506" s="0" t="n">
        <f aca="false">W_PH(Z$2,$A506)</f>
        <v>3465.43947252111</v>
      </c>
      <c r="AA506" s="0" t="n">
        <f aca="false">W_PH(AA$2,$A506)</f>
        <v>3465.64013552353</v>
      </c>
      <c r="AB506" s="0" t="n">
        <f aca="false">W_PH(AB$2,$A506)</f>
        <v>3465.84080690977</v>
      </c>
      <c r="AC506" s="0" t="n">
        <f aca="false">W_PH(AC$2,$A506)</f>
        <v>3466.04150301892</v>
      </c>
      <c r="AD506" s="0" t="n">
        <f aca="false">W_PH(AD$2,$A506)</f>
        <v>3466.24221107739</v>
      </c>
      <c r="AE506" s="0" t="n">
        <f aca="false">W_PH(AE$2,$A506)</f>
        <v>3466.44294014675</v>
      </c>
      <c r="AF506" s="0" t="n">
        <f aca="false">W_PH(AF$2,$A506)</f>
        <v>3466.64368473041</v>
      </c>
      <c r="AG506" s="0" t="n">
        <f aca="false">W_PH(AG$2,$A506)</f>
        <v>3466.84445753128</v>
      </c>
      <c r="AH506" s="0" t="n">
        <f aca="false">W_PH(AH$2,$A506)</f>
        <v>3468.8537876856</v>
      </c>
      <c r="AI506" s="0" t="n">
        <f aca="false">W_PH(AI$2,$A506)</f>
        <v>3470.86725006089</v>
      </c>
      <c r="AJ506" s="0" t="n">
        <f aca="false">W_PH(AJ$2,$A506)</f>
        <v>3472.88655630026</v>
      </c>
      <c r="AK506" s="0" t="n">
        <f aca="false">W_PH(AK$2,$A506)</f>
        <v>3474.91341523233</v>
      </c>
      <c r="AL506" s="0" t="n">
        <f aca="false">W_PH(AL$2,$A506)</f>
        <v>3476.94954387808</v>
      </c>
      <c r="AM506" s="0" t="n">
        <f aca="false">W_PH(AM$2,$A506)</f>
        <v>3478.99665293767</v>
      </c>
      <c r="AN506" s="0" t="n">
        <f aca="false">W_PH(AN$2,$A506)</f>
        <v>3481.05646148627</v>
      </c>
      <c r="AO506" s="0" t="n">
        <f aca="false">W_PH(AO$2,$A506)</f>
        <v>3483.1306824754</v>
      </c>
      <c r="AP506" s="0" t="n">
        <f aca="false">W_PH(AP$2,$A506)</f>
        <v>2015</v>
      </c>
      <c r="AQ506" s="0" t="n">
        <f aca="false">W_PH(AQ$2,$A506)</f>
        <v>2015</v>
      </c>
      <c r="AR506" s="0" t="n">
        <f aca="false">W_PH(AR$2,$A506)</f>
        <v>2015</v>
      </c>
      <c r="AS506" s="0" t="n">
        <f aca="false">W_PH(AS$2,$A506)</f>
        <v>2015</v>
      </c>
    </row>
    <row r="507" customFormat="false" ht="12.8" hidden="false" customHeight="false" outlineLevel="0" collapsed="false">
      <c r="A507" s="0" t="n">
        <v>2867.58383490972</v>
      </c>
      <c r="B507" s="0" t="n">
        <f aca="false">W_PH(B$2,$A507)</f>
        <v>2015</v>
      </c>
      <c r="C507" s="0" t="n">
        <f aca="false">W_PH(C$2,$A507)</f>
        <v>3467.69323810557</v>
      </c>
      <c r="D507" s="0" t="n">
        <f aca="false">W_PH(D$2,$A507)</f>
        <v>3467.69343786902</v>
      </c>
      <c r="E507" s="0" t="n">
        <f aca="false">W_PH(E$2,$A507)</f>
        <v>3467.69363763247</v>
      </c>
      <c r="F507" s="0" t="n">
        <f aca="false">W_PH(F$2,$A507)</f>
        <v>3467.69383739593</v>
      </c>
      <c r="G507" s="0" t="n">
        <f aca="false">W_PH(G$2,$A507)</f>
        <v>3467.69584593596</v>
      </c>
      <c r="H507" s="0" t="n">
        <f aca="false">W_PH(H$2,$A507)</f>
        <v>3467.69785447684</v>
      </c>
      <c r="I507" s="0" t="n">
        <f aca="false">W_PH(I$2,$A507)</f>
        <v>3467.69985938359</v>
      </c>
      <c r="J507" s="0" t="n">
        <f aca="false">W_PH(J$2,$A507)</f>
        <v>3467.70186429118</v>
      </c>
      <c r="K507" s="0" t="n">
        <f aca="false">W_PH(K$2,$A507)</f>
        <v>3467.70387283461</v>
      </c>
      <c r="L507" s="0" t="n">
        <f aca="false">W_PH(L$2,$A507)</f>
        <v>3467.70588137891</v>
      </c>
      <c r="M507" s="0" t="n">
        <f aca="false">W_PH(M$2,$A507)</f>
        <v>3467.70788628906</v>
      </c>
      <c r="N507" s="0" t="n">
        <f aca="false">W_PH(N$2,$A507)</f>
        <v>3467.70989120007</v>
      </c>
      <c r="O507" s="0" t="n">
        <f aca="false">W_PH(O$2,$A507)</f>
        <v>3467.71189611194</v>
      </c>
      <c r="P507" s="0" t="n">
        <f aca="false">W_PH(P$2,$A507)</f>
        <v>3467.73196345336</v>
      </c>
      <c r="Q507" s="0" t="n">
        <f aca="false">W_PH(Q$2,$A507)</f>
        <v>3467.75203088277</v>
      </c>
      <c r="R507" s="0" t="n">
        <f aca="false">W_PH(R$2,$A507)</f>
        <v>3467.77209476689</v>
      </c>
      <c r="S507" s="0" t="n">
        <f aca="false">W_PH(S$2,$A507)</f>
        <v>3467.79215874251</v>
      </c>
      <c r="T507" s="0" t="n">
        <f aca="false">W_PH(T$2,$A507)</f>
        <v>3467.8122228114</v>
      </c>
      <c r="U507" s="0" t="n">
        <f aca="false">W_PH(U$2,$A507)</f>
        <v>3467.83228697535</v>
      </c>
      <c r="V507" s="0" t="n">
        <f aca="false">W_PH(V$2,$A507)</f>
        <v>3467.85235487129</v>
      </c>
      <c r="W507" s="0" t="n">
        <f aca="false">W_PH(W$2,$A507)</f>
        <v>3467.87241923069</v>
      </c>
      <c r="X507" s="0" t="n">
        <f aca="false">W_PH(X$2,$A507)</f>
        <v>3467.89248732569</v>
      </c>
      <c r="Y507" s="0" t="n">
        <f aca="false">W_PH(Y$2,$A507)</f>
        <v>3468.09314510598</v>
      </c>
      <c r="Z507" s="0" t="n">
        <f aca="false">W_PH(Z$2,$A507)</f>
        <v>3468.29381487776</v>
      </c>
      <c r="AA507" s="0" t="n">
        <f aca="false">W_PH(AA$2,$A507)</f>
        <v>3468.49449841635</v>
      </c>
      <c r="AB507" s="0" t="n">
        <f aca="false">W_PH(AB$2,$A507)</f>
        <v>3468.69519749713</v>
      </c>
      <c r="AC507" s="0" t="n">
        <f aca="false">W_PH(AC$2,$A507)</f>
        <v>3468.89590662286</v>
      </c>
      <c r="AD507" s="0" t="n">
        <f aca="false">W_PH(AD$2,$A507)</f>
        <v>3469.09663484094</v>
      </c>
      <c r="AE507" s="0" t="n">
        <f aca="false">W_PH(AE$2,$A507)</f>
        <v>3469.29738392701</v>
      </c>
      <c r="AF507" s="0" t="n">
        <f aca="false">W_PH(AF$2,$A507)</f>
        <v>3469.49815565687</v>
      </c>
      <c r="AG507" s="0" t="n">
        <f aca="false">W_PH(AG$2,$A507)</f>
        <v>3469.69894453182</v>
      </c>
      <c r="AH507" s="0" t="n">
        <f aca="false">W_PH(AH$2,$A507)</f>
        <v>3471.70846880008</v>
      </c>
      <c r="AI507" s="0" t="n">
        <f aca="false">W_PH(AI$2,$A507)</f>
        <v>3473.72210491052</v>
      </c>
      <c r="AJ507" s="0" t="n">
        <f aca="false">W_PH(AJ$2,$A507)</f>
        <v>3475.74155326775</v>
      </c>
      <c r="AK507" s="0" t="n">
        <f aca="false">W_PH(AK$2,$A507)</f>
        <v>3477.7685224069</v>
      </c>
      <c r="AL507" s="0" t="n">
        <f aca="false">W_PH(AL$2,$A507)</f>
        <v>3479.80471448508</v>
      </c>
      <c r="AM507" s="0" t="n">
        <f aca="false">W_PH(AM$2,$A507)</f>
        <v>3481.85183993986</v>
      </c>
      <c r="AN507" s="0" t="n">
        <f aca="false">W_PH(AN$2,$A507)</f>
        <v>3483.91159934251</v>
      </c>
      <c r="AO507" s="0" t="n">
        <f aca="false">W_PH(AO$2,$A507)</f>
        <v>3485.98570905716</v>
      </c>
      <c r="AP507" s="0" t="n">
        <f aca="false">W_PH(AP$2,$A507)</f>
        <v>2015</v>
      </c>
      <c r="AQ507" s="0" t="n">
        <f aca="false">W_PH(AQ$2,$A507)</f>
        <v>2015</v>
      </c>
      <c r="AR507" s="0" t="n">
        <f aca="false">W_PH(AR$2,$A507)</f>
        <v>2015</v>
      </c>
      <c r="AS507" s="0" t="n">
        <f aca="false">W_PH(AS$2,$A507)</f>
        <v>2015</v>
      </c>
    </row>
    <row r="508" customFormat="false" ht="12.8" hidden="false" customHeight="false" outlineLevel="0" collapsed="false">
      <c r="A508" s="0" t="n">
        <v>2871.88306104901</v>
      </c>
      <c r="B508" s="0" t="n">
        <f aca="false">W_PH(B$2,$A508)</f>
        <v>2015</v>
      </c>
      <c r="C508" s="0" t="n">
        <f aca="false">W_PH(C$2,$A508)</f>
        <v>3470.54395855438</v>
      </c>
      <c r="D508" s="0" t="n">
        <f aca="false">W_PH(D$2,$A508)</f>
        <v>3470.54416212908</v>
      </c>
      <c r="E508" s="0" t="n">
        <f aca="false">W_PH(E$2,$A508)</f>
        <v>3470.54436207176</v>
      </c>
      <c r="F508" s="0" t="n">
        <f aca="false">W_PH(F$2,$A508)</f>
        <v>3470.54456564647</v>
      </c>
      <c r="G508" s="0" t="n">
        <f aca="false">W_PH(G$2,$A508)</f>
        <v>3470.5465723378</v>
      </c>
      <c r="H508" s="0" t="n">
        <f aca="false">W_PH(H$2,$A508)</f>
        <v>3470.54857902998</v>
      </c>
      <c r="I508" s="0" t="n">
        <f aca="false">W_PH(I$2,$A508)</f>
        <v>3470.55058572299</v>
      </c>
      <c r="J508" s="0" t="n">
        <f aca="false">W_PH(J$2,$A508)</f>
        <v>3470.55259241685</v>
      </c>
      <c r="K508" s="0" t="n">
        <f aca="false">W_PH(K$2,$A508)</f>
        <v>3470.55459911155</v>
      </c>
      <c r="L508" s="0" t="n">
        <f aca="false">W_PH(L$2,$A508)</f>
        <v>3470.5566058071</v>
      </c>
      <c r="M508" s="0" t="n">
        <f aca="false">W_PH(M$2,$A508)</f>
        <v>3470.55861250349</v>
      </c>
      <c r="N508" s="0" t="n">
        <f aca="false">W_PH(N$2,$A508)</f>
        <v>3470.56061920073</v>
      </c>
      <c r="O508" s="0" t="n">
        <f aca="false">W_PH(O$2,$A508)</f>
        <v>3470.56262589883</v>
      </c>
      <c r="P508" s="0" t="n">
        <f aca="false">W_PH(P$2,$A508)</f>
        <v>3470.582692927</v>
      </c>
      <c r="Q508" s="0" t="n">
        <f aca="false">W_PH(Q$2,$A508)</f>
        <v>3470.60276004224</v>
      </c>
      <c r="R508" s="0" t="n">
        <f aca="false">W_PH(R$2,$A508)</f>
        <v>3470.6228236142</v>
      </c>
      <c r="S508" s="0" t="n">
        <f aca="false">W_PH(S$2,$A508)</f>
        <v>3470.64289090887</v>
      </c>
      <c r="T508" s="0" t="n">
        <f aca="false">W_PH(T$2,$A508)</f>
        <v>3470.66295829592</v>
      </c>
      <c r="U508" s="0" t="n">
        <f aca="false">W_PH(U$2,$A508)</f>
        <v>3470.68302577711</v>
      </c>
      <c r="V508" s="0" t="n">
        <f aca="false">W_PH(V$2,$A508)</f>
        <v>3470.70309335422</v>
      </c>
      <c r="W508" s="0" t="n">
        <f aca="false">W_PH(W$2,$A508)</f>
        <v>3470.72316102901</v>
      </c>
      <c r="X508" s="0" t="n">
        <f aca="false">W_PH(X$2,$A508)</f>
        <v>3470.74322517099</v>
      </c>
      <c r="Y508" s="0" t="n">
        <f aca="false">W_PH(Y$2,$A508)</f>
        <v>3470.94390877162</v>
      </c>
      <c r="Z508" s="0" t="n">
        <f aca="false">W_PH(Z$2,$A508)</f>
        <v>3471.14459699594</v>
      </c>
      <c r="AA508" s="0" t="n">
        <f aca="false">W_PH(AA$2,$A508)</f>
        <v>3471.34529887612</v>
      </c>
      <c r="AB508" s="0" t="n">
        <f aca="false">W_PH(AB$2,$A508)</f>
        <v>3471.54601617991</v>
      </c>
      <c r="AC508" s="0" t="n">
        <f aca="false">W_PH(AC$2,$A508)</f>
        <v>3471.74675067516</v>
      </c>
      <c r="AD508" s="0" t="n">
        <f aca="false">W_PH(AD$2,$A508)</f>
        <v>3471.94749686256</v>
      </c>
      <c r="AE508" s="0" t="n">
        <f aca="false">W_PH(AE$2,$A508)</f>
        <v>3472.14826377648</v>
      </c>
      <c r="AF508" s="0" t="n">
        <f aca="false">W_PH(AF$2,$A508)</f>
        <v>3472.34905318505</v>
      </c>
      <c r="AG508" s="0" t="n">
        <f aca="false">W_PH(AG$2,$A508)</f>
        <v>3472.54986685648</v>
      </c>
      <c r="AH508" s="0" t="n">
        <f aca="false">W_PH(AH$2,$A508)</f>
        <v>3474.55956709812</v>
      </c>
      <c r="AI508" s="0" t="n">
        <f aca="false">W_PH(AI$2,$A508)</f>
        <v>3476.57336264245</v>
      </c>
      <c r="AJ508" s="0" t="n">
        <f aca="false">W_PH(AJ$2,$A508)</f>
        <v>3478.59294271704</v>
      </c>
      <c r="AK508" s="0" t="n">
        <f aca="false">W_PH(AK$2,$A508)</f>
        <v>3480.62000832011</v>
      </c>
      <c r="AL508" s="0" t="n">
        <f aca="false">W_PH(AL$2,$A508)</f>
        <v>3482.65625408928</v>
      </c>
      <c r="AM508" s="0" t="n">
        <f aca="false">W_PH(AM$2,$A508)</f>
        <v>3484.70338294697</v>
      </c>
      <c r="AN508" s="0" t="n">
        <f aca="false">W_PH(AN$2,$A508)</f>
        <v>3486.76309161731</v>
      </c>
      <c r="AO508" s="0" t="n">
        <f aca="false">W_PH(AO$2,$A508)</f>
        <v>3488.83708166802</v>
      </c>
      <c r="AP508" s="0" t="n">
        <f aca="false">W_PH(AP$2,$A508)</f>
        <v>2015</v>
      </c>
      <c r="AQ508" s="0" t="n">
        <f aca="false">W_PH(AQ$2,$A508)</f>
        <v>2015</v>
      </c>
      <c r="AR508" s="0" t="n">
        <f aca="false">W_PH(AR$2,$A508)</f>
        <v>2015</v>
      </c>
      <c r="AS508" s="0" t="n">
        <f aca="false">W_PH(AS$2,$A508)</f>
        <v>2015</v>
      </c>
    </row>
    <row r="509" customFormat="false" ht="12.8" hidden="false" customHeight="false" outlineLevel="0" collapsed="false">
      <c r="A509" s="0" t="n">
        <v>2876.18228718831</v>
      </c>
      <c r="B509" s="0" t="n">
        <f aca="false">W_PH(B$2,$A509)</f>
        <v>2015</v>
      </c>
      <c r="C509" s="0" t="n">
        <f aca="false">W_PH(C$2,$A509)</f>
        <v>3473.39113955256</v>
      </c>
      <c r="D509" s="0" t="n">
        <f aca="false">W_PH(D$2,$A509)</f>
        <v>3473.391339672</v>
      </c>
      <c r="E509" s="0" t="n">
        <f aca="false">W_PH(E$2,$A509)</f>
        <v>3473.39153979146</v>
      </c>
      <c r="F509" s="0" t="n">
        <f aca="false">W_PH(F$2,$A509)</f>
        <v>3473.39173991092</v>
      </c>
      <c r="G509" s="0" t="n">
        <f aca="false">W_PH(G$2,$A509)</f>
        <v>3473.39374836419</v>
      </c>
      <c r="H509" s="0" t="n">
        <f aca="false">W_PH(H$2,$A509)</f>
        <v>3473.3957531892</v>
      </c>
      <c r="I509" s="0" t="n">
        <f aca="false">W_PH(I$2,$A509)</f>
        <v>3473.39775801503</v>
      </c>
      <c r="J509" s="0" t="n">
        <f aca="false">W_PH(J$2,$A509)</f>
        <v>3473.3997664708</v>
      </c>
      <c r="K509" s="0" t="n">
        <f aca="false">W_PH(K$2,$A509)</f>
        <v>3473.40177492741</v>
      </c>
      <c r="L509" s="0" t="n">
        <f aca="false">W_PH(L$2,$A509)</f>
        <v>3473.40377975575</v>
      </c>
      <c r="M509" s="0" t="n">
        <f aca="false">W_PH(M$2,$A509)</f>
        <v>3473.40578458492</v>
      </c>
      <c r="N509" s="0" t="n">
        <f aca="false">W_PH(N$2,$A509)</f>
        <v>3473.40779304405</v>
      </c>
      <c r="O509" s="0" t="n">
        <f aca="false">W_PH(O$2,$A509)</f>
        <v>3473.40980150402</v>
      </c>
      <c r="P509" s="0" t="n">
        <f aca="false">W_PH(P$2,$A509)</f>
        <v>3473.429871634</v>
      </c>
      <c r="Q509" s="0" t="n">
        <f aca="false">W_PH(Q$2,$A509)</f>
        <v>3473.44993822103</v>
      </c>
      <c r="R509" s="0" t="n">
        <f aca="false">W_PH(R$2,$A509)</f>
        <v>3473.47000489599</v>
      </c>
      <c r="S509" s="0" t="n">
        <f aca="false">W_PH(S$2,$A509)</f>
        <v>3473.49007528984</v>
      </c>
      <c r="T509" s="0" t="n">
        <f aca="false">W_PH(T$2,$A509)</f>
        <v>3473.51014577517</v>
      </c>
      <c r="U509" s="0" t="n">
        <f aca="false">W_PH(U$2,$A509)</f>
        <v>3473.53021635374</v>
      </c>
      <c r="V509" s="0" t="n">
        <f aca="false">W_PH(V$2,$A509)</f>
        <v>3473.55028339806</v>
      </c>
      <c r="W509" s="0" t="n">
        <f aca="false">W_PH(W$2,$A509)</f>
        <v>3473.57035053911</v>
      </c>
      <c r="X509" s="0" t="n">
        <f aca="false">W_PH(X$2,$A509)</f>
        <v>3473.59042140794</v>
      </c>
      <c r="Y509" s="0" t="n">
        <f aca="false">W_PH(Y$2,$A509)</f>
        <v>3473.79112138438</v>
      </c>
      <c r="Z509" s="0" t="n">
        <f aca="false">W_PH(Z$2,$A509)</f>
        <v>3473.99182951799</v>
      </c>
      <c r="AA509" s="0" t="n">
        <f aca="false">W_PH(AA$2,$A509)</f>
        <v>3474.19255119814</v>
      </c>
      <c r="AB509" s="0" t="n">
        <f aca="false">W_PH(AB$2,$A509)</f>
        <v>3474.3932845548</v>
      </c>
      <c r="AC509" s="0" t="n">
        <f aca="false">W_PH(AC$2,$A509)</f>
        <v>3474.59403497796</v>
      </c>
      <c r="AD509" s="0" t="n">
        <f aca="false">W_PH(AD$2,$A509)</f>
        <v>3474.79480422797</v>
      </c>
      <c r="AE509" s="0" t="n">
        <f aca="false">W_PH(AE$2,$A509)</f>
        <v>3474.99558680352</v>
      </c>
      <c r="AF509" s="0" t="n">
        <f aca="false">W_PH(AF$2,$A509)</f>
        <v>3475.19639535711</v>
      </c>
      <c r="AG509" s="0" t="n">
        <f aca="false">W_PH(AG$2,$A509)</f>
        <v>3475.3972243874</v>
      </c>
      <c r="AH509" s="0" t="n">
        <f aca="false">W_PH(AH$2,$A509)</f>
        <v>3477.407097208</v>
      </c>
      <c r="AI509" s="0" t="n">
        <f aca="false">W_PH(AI$2,$A509)</f>
        <v>3479.42103809459</v>
      </c>
      <c r="AJ509" s="0" t="n">
        <f aca="false">W_PH(AJ$2,$A509)</f>
        <v>3481.44074332158</v>
      </c>
      <c r="AK509" s="0" t="n">
        <f aca="false">W_PH(AK$2,$A509)</f>
        <v>3483.46789185116</v>
      </c>
      <c r="AL509" s="0" t="n">
        <f aca="false">W_PH(AL$2,$A509)</f>
        <v>3485.50418176266</v>
      </c>
      <c r="AM509" s="0" t="n">
        <f aca="false">W_PH(AM$2,$A509)</f>
        <v>3487.55130487291</v>
      </c>
      <c r="AN509" s="0" t="n">
        <f aca="false">W_PH(AN$2,$A509)</f>
        <v>3489.61094680799</v>
      </c>
      <c r="AO509" s="0" t="n">
        <f aca="false">W_PH(AO$2,$A509)</f>
        <v>3491.68481262631</v>
      </c>
      <c r="AP509" s="0" t="n">
        <f aca="false">W_PH(AP$2,$A509)</f>
        <v>2015</v>
      </c>
      <c r="AQ509" s="0" t="n">
        <f aca="false">W_PH(AQ$2,$A509)</f>
        <v>2015</v>
      </c>
      <c r="AR509" s="0" t="n">
        <f aca="false">W_PH(AR$2,$A509)</f>
        <v>2015</v>
      </c>
      <c r="AS509" s="0" t="n">
        <f aca="false">W_PH(AS$2,$A509)</f>
        <v>2015</v>
      </c>
    </row>
    <row r="510" customFormat="false" ht="12.8" hidden="false" customHeight="false" outlineLevel="0" collapsed="false">
      <c r="A510" s="0" t="n">
        <v>2880.4815133276</v>
      </c>
      <c r="B510" s="0" t="n">
        <f aca="false">W_PH(B$2,$A510)</f>
        <v>2015</v>
      </c>
      <c r="C510" s="0" t="n">
        <f aca="false">W_PH(C$2,$A510)</f>
        <v>3476.23477709914</v>
      </c>
      <c r="D510" s="0" t="n">
        <f aca="false">W_PH(D$2,$A510)</f>
        <v>3476.23498101911</v>
      </c>
      <c r="E510" s="0" t="n">
        <f aca="false">W_PH(E$2,$A510)</f>
        <v>3476.23518131294</v>
      </c>
      <c r="F510" s="0" t="n">
        <f aca="false">W_PH(F$2,$A510)</f>
        <v>3476.23538160677</v>
      </c>
      <c r="G510" s="0" t="n">
        <f aca="false">W_PH(G$2,$A510)</f>
        <v>3476.23738454555</v>
      </c>
      <c r="H510" s="0" t="n">
        <f aca="false">W_PH(H$2,$A510)</f>
        <v>3476.23939473747</v>
      </c>
      <c r="I510" s="0" t="n">
        <f aca="false">W_PH(I$2,$A510)</f>
        <v>3476.24140130405</v>
      </c>
      <c r="J510" s="0" t="n">
        <f aca="false">W_PH(J$2,$A510)</f>
        <v>3476.24340787146</v>
      </c>
      <c r="K510" s="0" t="n">
        <f aca="false">W_PH(K$2,$A510)</f>
        <v>3476.24541443969</v>
      </c>
      <c r="L510" s="0" t="n">
        <f aca="false">W_PH(L$2,$A510)</f>
        <v>3476.24742100875</v>
      </c>
      <c r="M510" s="0" t="n">
        <f aca="false">W_PH(M$2,$A510)</f>
        <v>3476.24943120481</v>
      </c>
      <c r="N510" s="0" t="n">
        <f aca="false">W_PH(N$2,$A510)</f>
        <v>3476.25143414937</v>
      </c>
      <c r="O510" s="0" t="n">
        <f aca="false">W_PH(O$2,$A510)</f>
        <v>3476.25344434709</v>
      </c>
      <c r="P510" s="0" t="n">
        <f aca="false">W_PH(P$2,$A510)</f>
        <v>3476.27351373509</v>
      </c>
      <c r="Q510" s="0" t="n">
        <f aca="false">W_PH(Q$2,$A510)</f>
        <v>3476.29358320839</v>
      </c>
      <c r="R510" s="0" t="n">
        <f aca="false">W_PH(R$2,$A510)</f>
        <v>3476.31365639499</v>
      </c>
      <c r="S510" s="0" t="n">
        <f aca="false">W_PH(S$2,$A510)</f>
        <v>3476.33372604419</v>
      </c>
      <c r="T510" s="0" t="n">
        <f aca="false">W_PH(T$2,$A510)</f>
        <v>3476.35379578395</v>
      </c>
      <c r="U510" s="0" t="n">
        <f aca="false">W_PH(U$2,$A510)</f>
        <v>3476.37386924233</v>
      </c>
      <c r="V510" s="0" t="n">
        <f aca="false">W_PH(V$2,$A510)</f>
        <v>3476.39393554217</v>
      </c>
      <c r="W510" s="0" t="n">
        <f aca="false">W_PH(W$2,$A510)</f>
        <v>3476.41400919049</v>
      </c>
      <c r="X510" s="0" t="n">
        <f aca="false">W_PH(X$2,$A510)</f>
        <v>3476.43408293642</v>
      </c>
      <c r="Y510" s="0" t="n">
        <f aca="false">W_PH(Y$2,$A510)</f>
        <v>3476.6347971375</v>
      </c>
      <c r="Z510" s="0" t="n">
        <f aca="false">W_PH(Z$2,$A510)</f>
        <v>3476.83552302445</v>
      </c>
      <c r="AA510" s="0" t="n">
        <f aca="false">W_PH(AA$2,$A510)</f>
        <v>3477.03626234978</v>
      </c>
      <c r="AB510" s="0" t="n">
        <f aca="false">W_PH(AB$2,$A510)</f>
        <v>3477.23701323886</v>
      </c>
      <c r="AC510" s="0" t="n">
        <f aca="false">W_PH(AC$2,$A510)</f>
        <v>3477.4377810712</v>
      </c>
      <c r="AD510" s="0" t="n">
        <f aca="false">W_PH(AD$2,$A510)</f>
        <v>3477.63856397191</v>
      </c>
      <c r="AE510" s="0" t="n">
        <f aca="false">W_PH(AE$2,$A510)</f>
        <v>3477.83936732114</v>
      </c>
      <c r="AF510" s="0" t="n">
        <f aca="false">W_PH(AF$2,$A510)</f>
        <v>3478.04019287189</v>
      </c>
      <c r="AG510" s="0" t="n">
        <f aca="false">W_PH(AG$2,$A510)</f>
        <v>3478.24103512055</v>
      </c>
      <c r="AH510" s="0" t="n">
        <f aca="false">W_PH(AH$2,$A510)</f>
        <v>3480.25106641893</v>
      </c>
      <c r="AI510" s="0" t="n">
        <f aca="false">W_PH(AI$2,$A510)</f>
        <v>3482.2651460243</v>
      </c>
      <c r="AJ510" s="0" t="n">
        <f aca="false">W_PH(AJ$2,$A510)</f>
        <v>3484.28496275522</v>
      </c>
      <c r="AK510" s="0" t="n">
        <f aca="false">W_PH(AK$2,$A510)</f>
        <v>3486.3121845077</v>
      </c>
      <c r="AL510" s="0" t="n">
        <f aca="false">W_PH(AL$2,$A510)</f>
        <v>3488.3485091991</v>
      </c>
      <c r="AM510" s="0" t="n">
        <f aca="false">W_PH(AM$2,$A510)</f>
        <v>3490.39561031206</v>
      </c>
      <c r="AN510" s="0" t="n">
        <f aca="false">W_PH(AN$2,$A510)</f>
        <v>3492.45518427276</v>
      </c>
      <c r="AO510" s="0" t="n">
        <f aca="false">W_PH(AO$2,$A510)</f>
        <v>3494.52891052385</v>
      </c>
      <c r="AP510" s="0" t="n">
        <f aca="false">W_PH(AP$2,$A510)</f>
        <v>2015</v>
      </c>
      <c r="AQ510" s="0" t="n">
        <f aca="false">W_PH(AQ$2,$A510)</f>
        <v>2015</v>
      </c>
      <c r="AR510" s="0" t="n">
        <f aca="false">W_PH(AR$2,$A510)</f>
        <v>2015</v>
      </c>
      <c r="AS510" s="0" t="n">
        <f aca="false">W_PH(AS$2,$A510)</f>
        <v>2015</v>
      </c>
    </row>
    <row r="511" customFormat="false" ht="12.8" hidden="false" customHeight="false" outlineLevel="0" collapsed="false">
      <c r="A511" s="0" t="n">
        <v>2884.7807394669</v>
      </c>
      <c r="B511" s="0" t="n">
        <f aca="false">W_PH(B$2,$A511)</f>
        <v>2015</v>
      </c>
      <c r="C511" s="0" t="n">
        <f aca="false">W_PH(C$2,$A511)</f>
        <v>3479.07489616536</v>
      </c>
      <c r="D511" s="0" t="n">
        <f aca="false">W_PH(D$2,$A511)</f>
        <v>3479.07509663116</v>
      </c>
      <c r="E511" s="0" t="n">
        <f aca="false">W_PH(E$2,$A511)</f>
        <v>3479.07529709696</v>
      </c>
      <c r="F511" s="0" t="n">
        <f aca="false">W_PH(F$2,$A511)</f>
        <v>3479.07549756278</v>
      </c>
      <c r="G511" s="0" t="n">
        <f aca="false">W_PH(G$2,$A511)</f>
        <v>3479.07750222136</v>
      </c>
      <c r="H511" s="0" t="n">
        <f aca="false">W_PH(H$2,$A511)</f>
        <v>3479.07951050399</v>
      </c>
      <c r="I511" s="0" t="n">
        <f aca="false">W_PH(I$2,$A511)</f>
        <v>3479.08151878743</v>
      </c>
      <c r="J511" s="0" t="n">
        <f aca="false">W_PH(J$2,$A511)</f>
        <v>3479.08352344846</v>
      </c>
      <c r="K511" s="0" t="n">
        <f aca="false">W_PH(K$2,$A511)</f>
        <v>3479.08553173353</v>
      </c>
      <c r="L511" s="0" t="n">
        <f aca="false">W_PH(L$2,$A511)</f>
        <v>3479.08754001943</v>
      </c>
      <c r="M511" s="0" t="n">
        <f aca="false">W_PH(M$2,$A511)</f>
        <v>3479.08954468291</v>
      </c>
      <c r="N511" s="0" t="n">
        <f aca="false">W_PH(N$2,$A511)</f>
        <v>3479.09155659369</v>
      </c>
      <c r="O511" s="0" t="n">
        <f aca="false">W_PH(O$2,$A511)</f>
        <v>3479.09356125883</v>
      </c>
      <c r="P511" s="0" t="n">
        <f aca="false">W_PH(P$2,$A511)</f>
        <v>3479.11363331859</v>
      </c>
      <c r="Q511" s="0" t="n">
        <f aca="false">W_PH(Q$2,$A511)</f>
        <v>3479.13370546281</v>
      </c>
      <c r="R511" s="0" t="n">
        <f aca="false">W_PH(R$2,$A511)</f>
        <v>3479.15377769324</v>
      </c>
      <c r="S511" s="0" t="n">
        <f aca="false">W_PH(S$2,$A511)</f>
        <v>3479.17385001162</v>
      </c>
      <c r="T511" s="0" t="n">
        <f aca="false">W_PH(T$2,$A511)</f>
        <v>3479.19392241969</v>
      </c>
      <c r="U511" s="0" t="n">
        <f aca="false">W_PH(U$2,$A511)</f>
        <v>3479.2139949192</v>
      </c>
      <c r="V511" s="0" t="n">
        <f aca="false">W_PH(V$2,$A511)</f>
        <v>3479.2340675119</v>
      </c>
      <c r="W511" s="0" t="n">
        <f aca="false">W_PH(W$2,$A511)</f>
        <v>3479.25414019952</v>
      </c>
      <c r="X511" s="0" t="n">
        <f aca="false">W_PH(X$2,$A511)</f>
        <v>3479.27421298382</v>
      </c>
      <c r="Y511" s="0" t="n">
        <f aca="false">W_PH(Y$2,$A511)</f>
        <v>3479.47494290408</v>
      </c>
      <c r="Z511" s="0" t="n">
        <f aca="false">W_PH(Z$2,$A511)</f>
        <v>3479.67568803456</v>
      </c>
      <c r="AA511" s="0" t="n">
        <f aca="false">W_PH(AA$2,$A511)</f>
        <v>3479.87644287275</v>
      </c>
      <c r="AB511" s="0" t="n">
        <f aca="false">W_PH(AB$2,$A511)</f>
        <v>3480.07721278742</v>
      </c>
      <c r="AC511" s="0" t="n">
        <f aca="false">W_PH(AC$2,$A511)</f>
        <v>3480.27799589925</v>
      </c>
      <c r="AD511" s="0" t="n">
        <f aca="false">W_PH(AD$2,$A511)</f>
        <v>3480.4787939529</v>
      </c>
      <c r="AE511" s="0" t="n">
        <f aca="false">W_PH(AE$2,$A511)</f>
        <v>3480.67961231809</v>
      </c>
      <c r="AF511" s="0" t="n">
        <f aca="false">W_PH(AF$2,$A511)</f>
        <v>3480.88044911513</v>
      </c>
      <c r="AG511" s="0" t="n">
        <f aca="false">W_PH(AG$2,$A511)</f>
        <v>3481.08130971438</v>
      </c>
      <c r="AH511" s="0" t="n">
        <f aca="false">W_PH(AH$2,$A511)</f>
        <v>3483.09149284932</v>
      </c>
      <c r="AI511" s="0" t="n">
        <f aca="false">W_PH(AI$2,$A511)</f>
        <v>3485.10570110908</v>
      </c>
      <c r="AJ511" s="0" t="n">
        <f aca="false">W_PH(AJ$2,$A511)</f>
        <v>3487.12560863385</v>
      </c>
      <c r="AK511" s="0" t="n">
        <f aca="false">W_PH(AK$2,$A511)</f>
        <v>3489.15289772495</v>
      </c>
      <c r="AL511" s="0" t="n">
        <f aca="false">W_PH(AL$2,$A511)</f>
        <v>3491.18924438197</v>
      </c>
      <c r="AM511" s="0" t="n">
        <f aca="false">W_PH(AM$2,$A511)</f>
        <v>3493.23631835775</v>
      </c>
      <c r="AN511" s="0" t="n">
        <f aca="false">W_PH(AN$2,$A511)</f>
        <v>3495.29580870722</v>
      </c>
      <c r="AO511" s="0" t="n">
        <f aca="false">W_PH(AO$2,$A511)</f>
        <v>3497.3693911666</v>
      </c>
      <c r="AP511" s="0" t="n">
        <f aca="false">W_PH(AP$2,$A511)</f>
        <v>2015</v>
      </c>
      <c r="AQ511" s="0" t="n">
        <f aca="false">W_PH(AQ$2,$A511)</f>
        <v>2015</v>
      </c>
      <c r="AR511" s="0" t="n">
        <f aca="false">W_PH(AR$2,$A511)</f>
        <v>2015</v>
      </c>
      <c r="AS511" s="0" t="n">
        <f aca="false">W_PH(AS$2,$A511)</f>
        <v>2015</v>
      </c>
    </row>
    <row r="512" customFormat="false" ht="12.8" hidden="false" customHeight="false" outlineLevel="0" collapsed="false">
      <c r="A512" s="0" t="n">
        <v>2889.07996560619</v>
      </c>
      <c r="B512" s="0" t="n">
        <f aca="false">W_PH(B$2,$A512)</f>
        <v>2015</v>
      </c>
      <c r="C512" s="0" t="n">
        <f aca="false">W_PH(C$2,$A512)</f>
        <v>3481.91149989365</v>
      </c>
      <c r="D512" s="0" t="n">
        <f aca="false">W_PH(D$2,$A512)</f>
        <v>3481.91170052906</v>
      </c>
      <c r="E512" s="0" t="n">
        <f aca="false">W_PH(E$2,$A512)</f>
        <v>3481.91190116449</v>
      </c>
      <c r="F512" s="0" t="n">
        <f aca="false">W_PH(F$2,$A512)</f>
        <v>3481.91210179991</v>
      </c>
      <c r="G512" s="0" t="n">
        <f aca="false">W_PH(G$2,$A512)</f>
        <v>3481.91410815465</v>
      </c>
      <c r="H512" s="0" t="n">
        <f aca="false">W_PH(H$2,$A512)</f>
        <v>3481.91611451018</v>
      </c>
      <c r="I512" s="0" t="n">
        <f aca="false">W_PH(I$2,$A512)</f>
        <v>3481.91812086652</v>
      </c>
      <c r="J512" s="0" t="n">
        <f aca="false">W_PH(J$2,$A512)</f>
        <v>3481.92012722367</v>
      </c>
      <c r="K512" s="0" t="n">
        <f aca="false">W_PH(K$2,$A512)</f>
        <v>3481.92213720193</v>
      </c>
      <c r="L512" s="0" t="n">
        <f aca="false">W_PH(L$2,$A512)</f>
        <v>3481.92414718101</v>
      </c>
      <c r="M512" s="0" t="n">
        <f aca="false">W_PH(M$2,$A512)</f>
        <v>3481.9261535406</v>
      </c>
      <c r="N512" s="0" t="n">
        <f aca="false">W_PH(N$2,$A512)</f>
        <v>3481.928159901</v>
      </c>
      <c r="O512" s="0" t="n">
        <f aca="false">W_PH(O$2,$A512)</f>
        <v>3481.93016626221</v>
      </c>
      <c r="P512" s="0" t="n">
        <f aca="false">W_PH(P$2,$A512)</f>
        <v>3481.95024078061</v>
      </c>
      <c r="Q512" s="0" t="n">
        <f aca="false">W_PH(Q$2,$A512)</f>
        <v>3481.97031538264</v>
      </c>
      <c r="R512" s="0" t="n">
        <f aca="false">W_PH(R$2,$A512)</f>
        <v>3481.99038644965</v>
      </c>
      <c r="S512" s="0" t="n">
        <f aca="false">W_PH(S$2,$A512)</f>
        <v>3482.01046122411</v>
      </c>
      <c r="T512" s="0" t="n">
        <f aca="false">W_PH(T$2,$A512)</f>
        <v>3482.03053608741</v>
      </c>
      <c r="U512" s="0" t="n">
        <f aca="false">W_PH(U$2,$A512)</f>
        <v>3482.05060742083</v>
      </c>
      <c r="V512" s="0" t="n">
        <f aca="false">W_PH(V$2,$A512)</f>
        <v>3482.07068608745</v>
      </c>
      <c r="W512" s="0" t="n">
        <f aca="false">W_PH(W$2,$A512)</f>
        <v>3482.09075760719</v>
      </c>
      <c r="X512" s="0" t="n">
        <f aca="false">W_PH(X$2,$A512)</f>
        <v>3482.11083284318</v>
      </c>
      <c r="Y512" s="0" t="n">
        <f aca="false">W_PH(Y$2,$A512)</f>
        <v>3482.31157999125</v>
      </c>
      <c r="Z512" s="0" t="n">
        <f aca="false">W_PH(Z$2,$A512)</f>
        <v>3482.51233862766</v>
      </c>
      <c r="AA512" s="0" t="n">
        <f aca="false">W_PH(AA$2,$A512)</f>
        <v>3482.71310686881</v>
      </c>
      <c r="AB512" s="0" t="n">
        <f aca="false">W_PH(AB$2,$A512)</f>
        <v>3482.91389007311</v>
      </c>
      <c r="AC512" s="0" t="n">
        <f aca="false">W_PH(AC$2,$A512)</f>
        <v>3483.11468635672</v>
      </c>
      <c r="AD512" s="0" t="n">
        <f aca="false">W_PH(AD$2,$A512)</f>
        <v>3483.31550470046</v>
      </c>
      <c r="AE512" s="0" t="n">
        <f aca="false">W_PH(AE$2,$A512)</f>
        <v>3483.51633597689</v>
      </c>
      <c r="AF512" s="0" t="n">
        <f aca="false">W_PH(AF$2,$A512)</f>
        <v>3483.71718916725</v>
      </c>
      <c r="AG512" s="0" t="n">
        <f aca="false">W_PH(AG$2,$A512)</f>
        <v>3483.91806600968</v>
      </c>
      <c r="AH512" s="0" t="n">
        <f aca="false">W_PH(AH$2,$A512)</f>
        <v>3485.92838003053</v>
      </c>
      <c r="AI512" s="0" t="n">
        <f aca="false">W_PH(AI$2,$A512)</f>
        <v>3487.94270344049</v>
      </c>
      <c r="AJ512" s="0" t="n">
        <f aca="false">W_PH(AJ$2,$A512)</f>
        <v>3489.96270303084</v>
      </c>
      <c r="AK512" s="0" t="n">
        <f aca="false">W_PH(AK$2,$A512)</f>
        <v>3491.99004286626</v>
      </c>
      <c r="AL512" s="0" t="n">
        <f aca="false">W_PH(AL$2,$A512)</f>
        <v>3494.02639886564</v>
      </c>
      <c r="AM512" s="0" t="n">
        <f aca="false">W_PH(AM$2,$A512)</f>
        <v>3496.07344073283</v>
      </c>
      <c r="AN512" s="0" t="n">
        <f aca="false">W_PH(AN$2,$A512)</f>
        <v>3498.13283929942</v>
      </c>
      <c r="AO512" s="0" t="n">
        <f aca="false">W_PH(AO$2,$A512)</f>
        <v>3500.20626299098</v>
      </c>
      <c r="AP512" s="0" t="n">
        <f aca="false">W_PH(AP$2,$A512)</f>
        <v>2015</v>
      </c>
      <c r="AQ512" s="0" t="n">
        <f aca="false">W_PH(AQ$2,$A512)</f>
        <v>2015</v>
      </c>
      <c r="AR512" s="0" t="n">
        <f aca="false">W_PH(AR$2,$A512)</f>
        <v>2015</v>
      </c>
      <c r="AS512" s="0" t="n">
        <f aca="false">W_PH(AS$2,$A512)</f>
        <v>2015</v>
      </c>
    </row>
    <row r="513" customFormat="false" ht="12.8" hidden="false" customHeight="false" outlineLevel="0" collapsed="false">
      <c r="A513" s="0" t="n">
        <v>2893.37919174549</v>
      </c>
      <c r="B513" s="0" t="n">
        <f aca="false">W_PH(B$2,$A513)</f>
        <v>2015</v>
      </c>
      <c r="C513" s="0" t="n">
        <f aca="false">W_PH(C$2,$A513)</f>
        <v>3484.74459862501</v>
      </c>
      <c r="D513" s="0" t="n">
        <f aca="false">W_PH(D$2,$A513)</f>
        <v>3484.74479942769</v>
      </c>
      <c r="E513" s="0" t="n">
        <f aca="false">W_PH(E$2,$A513)</f>
        <v>3484.74500023039</v>
      </c>
      <c r="F513" s="0" t="n">
        <f aca="false">W_PH(F$2,$A513)</f>
        <v>3484.74520103309</v>
      </c>
      <c r="G513" s="0" t="n">
        <f aca="false">W_PH(G$2,$A513)</f>
        <v>3484.74720906053</v>
      </c>
      <c r="H513" s="0" t="n">
        <f aca="false">W_PH(H$2,$A513)</f>
        <v>3484.74921708876</v>
      </c>
      <c r="I513" s="0" t="n">
        <f aca="false">W_PH(I$2,$A513)</f>
        <v>3484.7512251178</v>
      </c>
      <c r="J513" s="0" t="n">
        <f aca="false">W_PH(J$2,$A513)</f>
        <v>3484.75323314764</v>
      </c>
      <c r="K513" s="0" t="n">
        <f aca="false">W_PH(K$2,$A513)</f>
        <v>3484.75524117828</v>
      </c>
      <c r="L513" s="0" t="n">
        <f aca="false">W_PH(L$2,$A513)</f>
        <v>3484.75724920972</v>
      </c>
      <c r="M513" s="0" t="n">
        <f aca="false">W_PH(M$2,$A513)</f>
        <v>3484.75925724197</v>
      </c>
      <c r="N513" s="0" t="n">
        <f aca="false">W_PH(N$2,$A513)</f>
        <v>3484.76126527503</v>
      </c>
      <c r="O513" s="0" t="n">
        <f aca="false">W_PH(O$2,$A513)</f>
        <v>3484.7632733089</v>
      </c>
      <c r="P513" s="0" t="n">
        <f aca="false">W_PH(P$2,$A513)</f>
        <v>3484.78334645763</v>
      </c>
      <c r="Q513" s="0" t="n">
        <f aca="false">W_PH(Q$2,$A513)</f>
        <v>3484.80341968911</v>
      </c>
      <c r="R513" s="0" t="n">
        <f aca="false">W_PH(R$2,$A513)</f>
        <v>3484.82349662253</v>
      </c>
      <c r="S513" s="0" t="n">
        <f aca="false">W_PH(S$2,$A513)</f>
        <v>3484.84357364221</v>
      </c>
      <c r="T513" s="0" t="n">
        <f aca="false">W_PH(T$2,$A513)</f>
        <v>3484.86364713237</v>
      </c>
      <c r="U513" s="0" t="n">
        <f aca="false">W_PH(U$2,$A513)</f>
        <v>3484.8837207122</v>
      </c>
      <c r="V513" s="0" t="n">
        <f aca="false">W_PH(V$2,$A513)</f>
        <v>3484.90379800098</v>
      </c>
      <c r="W513" s="0" t="n">
        <f aca="false">W_PH(W$2,$A513)</f>
        <v>3484.92387538293</v>
      </c>
      <c r="X513" s="0" t="n">
        <f aca="false">W_PH(X$2,$A513)</f>
        <v>3484.94394924221</v>
      </c>
      <c r="Y513" s="0" t="n">
        <f aca="false">W_PH(Y$2,$A513)</f>
        <v>3485.14471152192</v>
      </c>
      <c r="Z513" s="0" t="n">
        <f aca="false">W_PH(Z$2,$A513)</f>
        <v>3485.34548519301</v>
      </c>
      <c r="AA513" s="0" t="n">
        <f aca="false">W_PH(AA$2,$A513)</f>
        <v>3485.54626836743</v>
      </c>
      <c r="AB513" s="0" t="n">
        <f aca="false">W_PH(AB$2,$A513)</f>
        <v>3485.74706639324</v>
      </c>
      <c r="AC513" s="0" t="n">
        <f aca="false">W_PH(AC$2,$A513)</f>
        <v>3485.94787376349</v>
      </c>
      <c r="AD513" s="0" t="n">
        <f aca="false">W_PH(AD$2,$A513)</f>
        <v>3486.14870668283</v>
      </c>
      <c r="AE513" s="0" t="n">
        <f aca="false">W_PH(AE$2,$A513)</f>
        <v>3486.34955240679</v>
      </c>
      <c r="AF513" s="0" t="n">
        <f aca="false">W_PH(AF$2,$A513)</f>
        <v>3486.55041990333</v>
      </c>
      <c r="AG513" s="0" t="n">
        <f aca="false">W_PH(AG$2,$A513)</f>
        <v>3486.75130366424</v>
      </c>
      <c r="AH513" s="0" t="n">
        <f aca="false">W_PH(AH$2,$A513)</f>
        <v>3488.76174231822</v>
      </c>
      <c r="AI513" s="0" t="n">
        <f aca="false">W_PH(AI$2,$A513)</f>
        <v>3490.77617482152</v>
      </c>
      <c r="AJ513" s="0" t="n">
        <f aca="false">W_PH(AJ$2,$A513)</f>
        <v>3492.79624616001</v>
      </c>
      <c r="AK513" s="0" t="n">
        <f aca="false">W_PH(AK$2,$A513)</f>
        <v>3494.82363122378</v>
      </c>
      <c r="AL513" s="0" t="n">
        <f aca="false">W_PH(AL$2,$A513)</f>
        <v>3496.85999139031</v>
      </c>
      <c r="AM513" s="0" t="n">
        <f aca="false">W_PH(AM$2,$A513)</f>
        <v>3498.90698545313</v>
      </c>
      <c r="AN513" s="0" t="n">
        <f aca="false">W_PH(AN$2,$A513)</f>
        <v>3500.96628060141</v>
      </c>
      <c r="AO513" s="0" t="n">
        <f aca="false">W_PH(AO$2,$A513)</f>
        <v>3503.03954527131</v>
      </c>
      <c r="AP513" s="0" t="n">
        <f aca="false">W_PH(AP$2,$A513)</f>
        <v>2015</v>
      </c>
      <c r="AQ513" s="0" t="n">
        <f aca="false">W_PH(AQ$2,$A513)</f>
        <v>2015</v>
      </c>
      <c r="AR513" s="0" t="n">
        <f aca="false">W_PH(AR$2,$A513)</f>
        <v>2015</v>
      </c>
      <c r="AS513" s="0" t="n">
        <f aca="false">W_PH(AS$2,$A513)</f>
        <v>2015</v>
      </c>
    </row>
    <row r="514" customFormat="false" ht="12.8" hidden="false" customHeight="false" outlineLevel="0" collapsed="false">
      <c r="A514" s="0" t="n">
        <v>2897.67841788478</v>
      </c>
      <c r="B514" s="0" t="n">
        <f aca="false">W_PH(B$2,$A514)</f>
        <v>2015</v>
      </c>
      <c r="C514" s="0" t="n">
        <f aca="false">W_PH(C$2,$A514)</f>
        <v>3487.57421348463</v>
      </c>
      <c r="D514" s="0" t="n">
        <f aca="false">W_PH(D$2,$A514)</f>
        <v>3487.57441445227</v>
      </c>
      <c r="E514" s="0" t="n">
        <f aca="false">W_PH(E$2,$A514)</f>
        <v>3487.57461541991</v>
      </c>
      <c r="F514" s="0" t="n">
        <f aca="false">W_PH(F$2,$A514)</f>
        <v>3487.57481638756</v>
      </c>
      <c r="G514" s="0" t="n">
        <f aca="false">W_PH(G$2,$A514)</f>
        <v>3487.57682606451</v>
      </c>
      <c r="H514" s="0" t="n">
        <f aca="false">W_PH(H$2,$A514)</f>
        <v>3487.57883212778</v>
      </c>
      <c r="I514" s="0" t="n">
        <f aca="false">W_PH(I$2,$A514)</f>
        <v>3487.58083819183</v>
      </c>
      <c r="J514" s="0" t="n">
        <f aca="false">W_PH(J$2,$A514)</f>
        <v>3487.58284787115</v>
      </c>
      <c r="K514" s="0" t="n">
        <f aca="false">W_PH(K$2,$A514)</f>
        <v>3487.58485755127</v>
      </c>
      <c r="L514" s="0" t="n">
        <f aca="false">W_PH(L$2,$A514)</f>
        <v>3487.58686000323</v>
      </c>
      <c r="M514" s="0" t="n">
        <f aca="false">W_PH(M$2,$A514)</f>
        <v>3487.58886968494</v>
      </c>
      <c r="N514" s="0" t="n">
        <f aca="false">W_PH(N$2,$A514)</f>
        <v>3487.59087936745</v>
      </c>
      <c r="O514" s="0" t="n">
        <f aca="false">W_PH(O$2,$A514)</f>
        <v>3487.59288543628</v>
      </c>
      <c r="P514" s="0" t="n">
        <f aca="false">W_PH(P$2,$A514)</f>
        <v>3487.61296424141</v>
      </c>
      <c r="Q514" s="0" t="n">
        <f aca="false">W_PH(Q$2,$A514)</f>
        <v>3487.63303951399</v>
      </c>
      <c r="R514" s="0" t="n">
        <f aca="false">W_PH(R$2,$A514)</f>
        <v>3487.65311487023</v>
      </c>
      <c r="S514" s="0" t="n">
        <f aca="false">W_PH(S$2,$A514)</f>
        <v>3487.67319031185</v>
      </c>
      <c r="T514" s="0" t="n">
        <f aca="false">W_PH(T$2,$A514)</f>
        <v>3487.69326584057</v>
      </c>
      <c r="U514" s="0" t="n">
        <f aca="false">W_PH(U$2,$A514)</f>
        <v>3487.71334507272</v>
      </c>
      <c r="V514" s="0" t="n">
        <f aca="false">W_PH(V$2,$A514)</f>
        <v>3487.73342439546</v>
      </c>
      <c r="W514" s="0" t="n">
        <f aca="false">W_PH(W$2,$A514)</f>
        <v>3487.75350019586</v>
      </c>
      <c r="X514" s="0" t="n">
        <f aca="false">W_PH(X$2,$A514)</f>
        <v>3487.77357609026</v>
      </c>
      <c r="Y514" s="0" t="n">
        <f aca="false">W_PH(Y$2,$A514)</f>
        <v>3487.97434781254</v>
      </c>
      <c r="Z514" s="0" t="n">
        <f aca="false">W_PH(Z$2,$A514)</f>
        <v>3488.17513806006</v>
      </c>
      <c r="AA514" s="0" t="n">
        <f aca="false">W_PH(AA$2,$A514)</f>
        <v>3488.37593409569</v>
      </c>
      <c r="AB514" s="0" t="n">
        <f aca="false">W_PH(AB$2,$A514)</f>
        <v>3488.57674125659</v>
      </c>
      <c r="AC514" s="0" t="n">
        <f aca="false">W_PH(AC$2,$A514)</f>
        <v>3488.77756488084</v>
      </c>
      <c r="AD514" s="0" t="n">
        <f aca="false">W_PH(AD$2,$A514)</f>
        <v>3488.97840669157</v>
      </c>
      <c r="AE514" s="0" t="n">
        <f aca="false">W_PH(AE$2,$A514)</f>
        <v>3489.17926841198</v>
      </c>
      <c r="AF514" s="0" t="n">
        <f aca="false">W_PH(AF$2,$A514)</f>
        <v>3489.38014453269</v>
      </c>
      <c r="AG514" s="0" t="n">
        <f aca="false">W_PH(AG$2,$A514)</f>
        <v>3489.58104400898</v>
      </c>
      <c r="AH514" s="0" t="n">
        <f aca="false">W_PH(AH$2,$A514)</f>
        <v>3491.59160122952</v>
      </c>
      <c r="AI514" s="0" t="n">
        <f aca="false">W_PH(AI$2,$A514)</f>
        <v>3493.60611884965</v>
      </c>
      <c r="AJ514" s="0" t="n">
        <f aca="false">W_PH(AJ$2,$A514)</f>
        <v>3495.62625993923</v>
      </c>
      <c r="AK514" s="0" t="n">
        <f aca="false">W_PH(AK$2,$A514)</f>
        <v>3497.65368126838</v>
      </c>
      <c r="AL514" s="0" t="n">
        <f aca="false">W_PH(AL$2,$A514)</f>
        <v>3499.69002971907</v>
      </c>
      <c r="AM514" s="0" t="n">
        <f aca="false">W_PH(AM$2,$A514)</f>
        <v>3501.73696772875</v>
      </c>
      <c r="AN514" s="0" t="n">
        <f aca="false">W_PH(AN$2,$A514)</f>
        <v>3503.79615163398</v>
      </c>
      <c r="AO514" s="0" t="n">
        <f aca="false">W_PH(AO$2,$A514)</f>
        <v>3505.86923901833</v>
      </c>
      <c r="AP514" s="0" t="n">
        <f aca="false">W_PH(AP$2,$A514)</f>
        <v>2015</v>
      </c>
      <c r="AQ514" s="0" t="n">
        <f aca="false">W_PH(AQ$2,$A514)</f>
        <v>2015</v>
      </c>
      <c r="AR514" s="0" t="n">
        <f aca="false">W_PH(AR$2,$A514)</f>
        <v>2015</v>
      </c>
      <c r="AS514" s="0" t="n">
        <f aca="false">W_PH(AS$2,$A514)</f>
        <v>2015</v>
      </c>
    </row>
    <row r="515" customFormat="false" ht="12.8" hidden="false" customHeight="false" outlineLevel="0" collapsed="false">
      <c r="A515" s="0" t="n">
        <v>2901.97764402408</v>
      </c>
      <c r="B515" s="0" t="n">
        <f aca="false">W_PH(B$2,$A515)</f>
        <v>2015</v>
      </c>
      <c r="C515" s="0" t="n">
        <f aca="false">W_PH(C$2,$A515)</f>
        <v>3490.40035105789</v>
      </c>
      <c r="D515" s="0" t="n">
        <f aca="false">W_PH(D$2,$A515)</f>
        <v>3490.40055218818</v>
      </c>
      <c r="E515" s="0" t="n">
        <f aca="false">W_PH(E$2,$A515)</f>
        <v>3490.40075331847</v>
      </c>
      <c r="F515" s="0" t="n">
        <f aca="false">W_PH(F$2,$A515)</f>
        <v>3490.40095083722</v>
      </c>
      <c r="G515" s="0" t="n">
        <f aca="false">W_PH(G$2,$A515)</f>
        <v>3490.40295852913</v>
      </c>
      <c r="H515" s="0" t="n">
        <f aca="false">W_PH(H$2,$A515)</f>
        <v>3490.40496622182</v>
      </c>
      <c r="I515" s="0" t="n">
        <f aca="false">W_PH(I$2,$A515)</f>
        <v>3490.40697391529</v>
      </c>
      <c r="J515" s="0" t="n">
        <f aca="false">W_PH(J$2,$A515)</f>
        <v>3490.40898522111</v>
      </c>
      <c r="K515" s="0" t="n">
        <f aca="false">W_PH(K$2,$A515)</f>
        <v>3490.41098930459</v>
      </c>
      <c r="L515" s="0" t="n">
        <f aca="false">W_PH(L$2,$A515)</f>
        <v>3490.41300061198</v>
      </c>
      <c r="M515" s="0" t="n">
        <f aca="false">W_PH(M$2,$A515)</f>
        <v>3490.41500469703</v>
      </c>
      <c r="N515" s="0" t="n">
        <f aca="false">W_PH(N$2,$A515)</f>
        <v>3490.41701600601</v>
      </c>
      <c r="O515" s="0" t="n">
        <f aca="false">W_PH(O$2,$A515)</f>
        <v>3490.41902009264</v>
      </c>
      <c r="P515" s="0" t="n">
        <f aca="false">W_PH(P$2,$A515)</f>
        <v>3490.4390971186</v>
      </c>
      <c r="Q515" s="0" t="n">
        <f aca="false">W_PH(Q$2,$A515)</f>
        <v>3490.45917422568</v>
      </c>
      <c r="R515" s="0" t="n">
        <f aca="false">W_PH(R$2,$A515)</f>
        <v>3490.47925141561</v>
      </c>
      <c r="S515" s="0" t="n">
        <f aca="false">W_PH(S$2,$A515)</f>
        <v>3490.49933230174</v>
      </c>
      <c r="T515" s="0" t="n">
        <f aca="false">W_PH(T$2,$A515)</f>
        <v>3490.51940966252</v>
      </c>
      <c r="U515" s="0" t="n">
        <f aca="false">W_PH(U$2,$A515)</f>
        <v>3490.53948711127</v>
      </c>
      <c r="V515" s="0" t="n">
        <f aca="false">W_PH(V$2,$A515)</f>
        <v>3490.55956826145</v>
      </c>
      <c r="W515" s="0" t="n">
        <f aca="false">W_PH(W$2,$A515)</f>
        <v>3490.57964589135</v>
      </c>
      <c r="X515" s="0" t="n">
        <f aca="false">W_PH(X$2,$A515)</f>
        <v>3490.59972361438</v>
      </c>
      <c r="Y515" s="0" t="n">
        <f aca="false">W_PH(Y$2,$A515)</f>
        <v>3490.80050634437</v>
      </c>
      <c r="Z515" s="0" t="n">
        <f aca="false">W_PH(Z$2,$A515)</f>
        <v>3491.00130749888</v>
      </c>
      <c r="AA515" s="0" t="n">
        <f aca="false">W_PH(AA$2,$A515)</f>
        <v>3491.20211434516</v>
      </c>
      <c r="AB515" s="0" t="n">
        <f aca="false">W_PH(AB$2,$A515)</f>
        <v>3491.40293582273</v>
      </c>
      <c r="AC515" s="0" t="n">
        <f aca="false">W_PH(AC$2,$A515)</f>
        <v>3491.6037700345</v>
      </c>
      <c r="AD515" s="0" t="n">
        <f aca="false">W_PH(AD$2,$A515)</f>
        <v>3491.80462230865</v>
      </c>
      <c r="AE515" s="0" t="n">
        <f aca="false">W_PH(AE$2,$A515)</f>
        <v>3492.00549436108</v>
      </c>
      <c r="AF515" s="0" t="n">
        <f aca="false">W_PH(AF$2,$A515)</f>
        <v>3492.2063842944</v>
      </c>
      <c r="AG515" s="0" t="n">
        <f aca="false">W_PH(AG$2,$A515)</f>
        <v>3492.40729382409</v>
      </c>
      <c r="AH515" s="0" t="n">
        <f aca="false">W_PH(AH$2,$A515)</f>
        <v>3494.41794925749</v>
      </c>
      <c r="AI515" s="0" t="n">
        <f aca="false">W_PH(AI$2,$A515)</f>
        <v>3496.43255355154</v>
      </c>
      <c r="AJ515" s="0" t="n">
        <f aca="false">W_PH(AJ$2,$A515)</f>
        <v>3498.45275170366</v>
      </c>
      <c r="AK515" s="0" t="n">
        <f aca="false">W_PH(AK$2,$A515)</f>
        <v>3500.48019689018</v>
      </c>
      <c r="AL515" s="0" t="n">
        <f aca="false">W_PH(AL$2,$A515)</f>
        <v>3502.51652517875</v>
      </c>
      <c r="AM515" s="0" t="n">
        <f aca="false">W_PH(AM$2,$A515)</f>
        <v>3504.56339543255</v>
      </c>
      <c r="AN515" s="0" t="n">
        <f aca="false">W_PH(AN$2,$A515)</f>
        <v>3506.62246043544</v>
      </c>
      <c r="AO515" s="0" t="n">
        <f aca="false">W_PH(AO$2,$A515)</f>
        <v>3508.69536697454</v>
      </c>
      <c r="AP515" s="0" t="n">
        <f aca="false">W_PH(AP$2,$A515)</f>
        <v>2015</v>
      </c>
      <c r="AQ515" s="0" t="n">
        <f aca="false">W_PH(AQ$2,$A515)</f>
        <v>2015</v>
      </c>
      <c r="AR515" s="0" t="n">
        <f aca="false">W_PH(AR$2,$A515)</f>
        <v>2015</v>
      </c>
      <c r="AS515" s="0" t="n">
        <f aca="false">W_PH(AS$2,$A515)</f>
        <v>2015</v>
      </c>
    </row>
    <row r="516" customFormat="false" ht="12.8" hidden="false" customHeight="false" outlineLevel="0" collapsed="false">
      <c r="A516" s="0" t="n">
        <v>2906.27687016337</v>
      </c>
      <c r="B516" s="0" t="n">
        <f aca="false">W_PH(B$2,$A516)</f>
        <v>2015</v>
      </c>
      <c r="C516" s="0" t="n">
        <f aca="false">W_PH(C$2,$A516)</f>
        <v>3493.22301788361</v>
      </c>
      <c r="D516" s="0" t="n">
        <f aca="false">W_PH(D$2,$A516)</f>
        <v>3493.22321917428</v>
      </c>
      <c r="E516" s="0" t="n">
        <f aca="false">W_PH(E$2,$A516)</f>
        <v>3493.22342046495</v>
      </c>
      <c r="F516" s="0" t="n">
        <f aca="false">W_PH(F$2,$A516)</f>
        <v>3493.22361814698</v>
      </c>
      <c r="G516" s="0" t="n">
        <f aca="false">W_PH(G$2,$A516)</f>
        <v>3493.22562744554</v>
      </c>
      <c r="H516" s="0" t="n">
        <f aca="false">W_PH(H$2,$A516)</f>
        <v>3493.22763313623</v>
      </c>
      <c r="I516" s="0" t="n">
        <f aca="false">W_PH(I$2,$A516)</f>
        <v>3493.22964243635</v>
      </c>
      <c r="J516" s="0" t="n">
        <f aca="false">W_PH(J$2,$A516)</f>
        <v>3493.23165173724</v>
      </c>
      <c r="K516" s="0" t="n">
        <f aca="false">W_PH(K$2,$A516)</f>
        <v>3493.23365743025</v>
      </c>
      <c r="L516" s="0" t="n">
        <f aca="false">W_PH(L$2,$A516)</f>
        <v>3493.23566312404</v>
      </c>
      <c r="M516" s="0" t="n">
        <f aca="false">W_PH(M$2,$A516)</f>
        <v>3493.23767603594</v>
      </c>
      <c r="N516" s="0" t="n">
        <f aca="false">W_PH(N$2,$A516)</f>
        <v>3493.23968173129</v>
      </c>
      <c r="O516" s="0" t="n">
        <f aca="false">W_PH(O$2,$A516)</f>
        <v>3493.24168742742</v>
      </c>
      <c r="P516" s="0" t="n">
        <f aca="false">W_PH(P$2,$A516)</f>
        <v>3493.26176608428</v>
      </c>
      <c r="Q516" s="0" t="n">
        <f aca="false">W_PH(Q$2,$A516)</f>
        <v>3493.28184482146</v>
      </c>
      <c r="R516" s="0" t="n">
        <f aca="false">W_PH(R$2,$A516)</f>
        <v>3493.30192364068</v>
      </c>
      <c r="S516" s="0" t="n">
        <f aca="false">W_PH(S$2,$A516)</f>
        <v>3493.32200254364</v>
      </c>
      <c r="T516" s="0" t="n">
        <f aca="false">W_PH(T$2,$A516)</f>
        <v>3493.34208153205</v>
      </c>
      <c r="U516" s="0" t="n">
        <f aca="false">W_PH(U$2,$A516)</f>
        <v>3493.36216060761</v>
      </c>
      <c r="V516" s="0" t="n">
        <f aca="false">W_PH(V$2,$A516)</f>
        <v>3493.38223977204</v>
      </c>
      <c r="W516" s="0" t="n">
        <f aca="false">W_PH(W$2,$A516)</f>
        <v>3493.40231902705</v>
      </c>
      <c r="X516" s="0" t="n">
        <f aca="false">W_PH(X$2,$A516)</f>
        <v>3493.42239837434</v>
      </c>
      <c r="Y516" s="0" t="n">
        <f aca="false">W_PH(Y$2,$A516)</f>
        <v>3493.62319729854</v>
      </c>
      <c r="Z516" s="0" t="n">
        <f aca="false">W_PH(Z$2,$A516)</f>
        <v>3493.8240073299</v>
      </c>
      <c r="AA516" s="0" t="n">
        <f aca="false">W_PH(AA$2,$A516)</f>
        <v>3494.02482295773</v>
      </c>
      <c r="AB516" s="0" t="n">
        <f aca="false">W_PH(AB$2,$A516)</f>
        <v>3494.22565310848</v>
      </c>
      <c r="AC516" s="0" t="n">
        <f aca="false">W_PH(AC$2,$A516)</f>
        <v>3494.42649949061</v>
      </c>
      <c r="AD516" s="0" t="n">
        <f aca="false">W_PH(AD$2,$A516)</f>
        <v>3494.62736381264</v>
      </c>
      <c r="AE516" s="0" t="n">
        <f aca="false">W_PH(AE$2,$A516)</f>
        <v>3494.82824778323</v>
      </c>
      <c r="AF516" s="0" t="n">
        <f aca="false">W_PH(AF$2,$A516)</f>
        <v>3495.02914589016</v>
      </c>
      <c r="AG516" s="0" t="n">
        <f aca="false">W_PH(AG$2,$A516)</f>
        <v>3495.23006706242</v>
      </c>
      <c r="AH516" s="0" t="n">
        <f aca="false">W_PH(AH$2,$A516)</f>
        <v>3497.24081501865</v>
      </c>
      <c r="AI516" s="0" t="n">
        <f aca="false">W_PH(AI$2,$A516)</f>
        <v>3499.25548963551</v>
      </c>
      <c r="AJ516" s="0" t="n">
        <f aca="false">W_PH(AJ$2,$A516)</f>
        <v>3501.2757359667</v>
      </c>
      <c r="AK516" s="0" t="n">
        <f aca="false">W_PH(AK$2,$A516)</f>
        <v>3503.30318917142</v>
      </c>
      <c r="AL516" s="0" t="n">
        <f aca="false">W_PH(AL$2,$A516)</f>
        <v>3505.33949264505</v>
      </c>
      <c r="AM516" s="0" t="n">
        <f aca="false">W_PH(AM$2,$A516)</f>
        <v>3507.38628724287</v>
      </c>
      <c r="AN516" s="0" t="n">
        <f aca="false">W_PH(AN$2,$A516)</f>
        <v>3509.44522222886</v>
      </c>
      <c r="AO516" s="0" t="n">
        <f aca="false">W_PH(AO$2,$A516)</f>
        <v>3511.51793726479</v>
      </c>
      <c r="AP516" s="0" t="n">
        <f aca="false">W_PH(AP$2,$A516)</f>
        <v>2015</v>
      </c>
      <c r="AQ516" s="0" t="n">
        <f aca="false">W_PH(AQ$2,$A516)</f>
        <v>2015</v>
      </c>
      <c r="AR516" s="0" t="n">
        <f aca="false">W_PH(AR$2,$A516)</f>
        <v>2015</v>
      </c>
      <c r="AS516" s="0" t="n">
        <f aca="false">W_PH(AS$2,$A516)</f>
        <v>2015</v>
      </c>
    </row>
    <row r="517" customFormat="false" ht="12.8" hidden="false" customHeight="false" outlineLevel="0" collapsed="false">
      <c r="A517" s="0" t="n">
        <v>2910.57609630267</v>
      </c>
      <c r="B517" s="0" t="n">
        <f aca="false">W_PH(B$2,$A517)</f>
        <v>2015</v>
      </c>
      <c r="C517" s="0" t="n">
        <f aca="false">W_PH(C$2,$A517)</f>
        <v>3496.04222766599</v>
      </c>
      <c r="D517" s="0" t="n">
        <f aca="false">W_PH(D$2,$A517)</f>
        <v>3496.04242911477</v>
      </c>
      <c r="E517" s="0" t="n">
        <f aca="false">W_PH(E$2,$A517)</f>
        <v>3496.04263056357</v>
      </c>
      <c r="F517" s="0" t="n">
        <f aca="false">W_PH(F$2,$A517)</f>
        <v>3496.04282840661</v>
      </c>
      <c r="G517" s="0" t="n">
        <f aca="false">W_PH(G$2,$A517)</f>
        <v>3496.04483928929</v>
      </c>
      <c r="H517" s="0" t="n">
        <f aca="false">W_PH(H$2,$A517)</f>
        <v>3496.04684656697</v>
      </c>
      <c r="I517" s="0" t="n">
        <f aca="false">W_PH(I$2,$A517)</f>
        <v>3496.04885384542</v>
      </c>
      <c r="J517" s="0" t="n">
        <f aca="false">W_PH(J$2,$A517)</f>
        <v>3496.05086112464</v>
      </c>
      <c r="K517" s="0" t="n">
        <f aca="false">W_PH(K$2,$A517)</f>
        <v>3496.05286840463</v>
      </c>
      <c r="L517" s="0" t="n">
        <f aca="false">W_PH(L$2,$A517)</f>
        <v>3496.05487568539</v>
      </c>
      <c r="M517" s="0" t="n">
        <f aca="false">W_PH(M$2,$A517)</f>
        <v>3496.05688296692</v>
      </c>
      <c r="N517" s="0" t="n">
        <f aca="false">W_PH(N$2,$A517)</f>
        <v>3496.05889024922</v>
      </c>
      <c r="O517" s="0" t="n">
        <f aca="false">W_PH(O$2,$A517)</f>
        <v>3496.06090113807</v>
      </c>
      <c r="P517" s="0" t="n">
        <f aca="false">W_PH(P$2,$A517)</f>
        <v>3496.08097761773</v>
      </c>
      <c r="Q517" s="0" t="n">
        <f aca="false">W_PH(Q$2,$A517)</f>
        <v>3496.1010577827</v>
      </c>
      <c r="R517" s="0" t="n">
        <f aca="false">W_PH(R$2,$A517)</f>
        <v>3496.12113802891</v>
      </c>
      <c r="S517" s="0" t="n">
        <f aca="false">W_PH(S$2,$A517)</f>
        <v>3496.14121835805</v>
      </c>
      <c r="T517" s="0" t="n">
        <f aca="false">W_PH(T$2,$A517)</f>
        <v>3496.16129877183</v>
      </c>
      <c r="U517" s="0" t="n">
        <f aca="false">W_PH(U$2,$A517)</f>
        <v>3496.18137927195</v>
      </c>
      <c r="V517" s="0" t="n">
        <f aca="false">W_PH(V$2,$A517)</f>
        <v>3496.2014598601</v>
      </c>
      <c r="W517" s="0" t="n">
        <f aca="false">W_PH(W$2,$A517)</f>
        <v>3496.221540538</v>
      </c>
      <c r="X517" s="0" t="n">
        <f aca="false">W_PH(X$2,$A517)</f>
        <v>3496.24162130734</v>
      </c>
      <c r="Y517" s="0" t="n">
        <f aca="false">W_PH(Y$2,$A517)</f>
        <v>3496.44242719188</v>
      </c>
      <c r="Z517" s="0" t="n">
        <f aca="false">W_PH(Z$2,$A517)</f>
        <v>3496.64324409076</v>
      </c>
      <c r="AA517" s="0" t="n">
        <f aca="false">W_PH(AA$2,$A517)</f>
        <v>3496.84407370498</v>
      </c>
      <c r="AB517" s="0" t="n">
        <f aca="false">W_PH(AB$2,$A517)</f>
        <v>3497.04491412891</v>
      </c>
      <c r="AC517" s="0" t="n">
        <f aca="false">W_PH(AC$2,$A517)</f>
        <v>3497.24577067014</v>
      </c>
      <c r="AD517" s="0" t="n">
        <f aca="false">W_PH(AD$2,$A517)</f>
        <v>3497.44664142283</v>
      </c>
      <c r="AE517" s="0" t="n">
        <f aca="false">W_PH(AE$2,$A517)</f>
        <v>3497.64753169517</v>
      </c>
      <c r="AF517" s="0" t="n">
        <f aca="false">W_PH(AF$2,$A517)</f>
        <v>3497.84844318871</v>
      </c>
      <c r="AG517" s="0" t="n">
        <f aca="false">W_PH(AG$2,$A517)</f>
        <v>3498.04937038956</v>
      </c>
      <c r="AH517" s="0" t="n">
        <f aca="false">W_PH(AH$2,$A517)</f>
        <v>3500.06019813015</v>
      </c>
      <c r="AI517" s="0" t="n">
        <f aca="false">W_PH(AI$2,$A517)</f>
        <v>3502.07493774548</v>
      </c>
      <c r="AJ517" s="0" t="n">
        <f aca="false">W_PH(AJ$2,$A517)</f>
        <v>3504.09521993577</v>
      </c>
      <c r="AK517" s="0" t="n">
        <f aca="false">W_PH(AK$2,$A517)</f>
        <v>3506.12267274108</v>
      </c>
      <c r="AL517" s="0" t="n">
        <f aca="false">W_PH(AL$2,$A517)</f>
        <v>3508.15893967586</v>
      </c>
      <c r="AM517" s="0" t="n">
        <f aca="false">W_PH(AM$2,$A517)</f>
        <v>3510.20565088298</v>
      </c>
      <c r="AN517" s="0" t="n">
        <f aca="false">W_PH(AN$2,$A517)</f>
        <v>3512.26444490824</v>
      </c>
      <c r="AO517" s="0" t="n">
        <f aca="false">W_PH(AO$2,$A517)</f>
        <v>3514.3369651945</v>
      </c>
      <c r="AP517" s="0" t="n">
        <f aca="false">W_PH(AP$2,$A517)</f>
        <v>2015</v>
      </c>
      <c r="AQ517" s="0" t="n">
        <f aca="false">W_PH(AQ$2,$A517)</f>
        <v>2015</v>
      </c>
      <c r="AR517" s="0" t="n">
        <f aca="false">W_PH(AR$2,$A517)</f>
        <v>2015</v>
      </c>
      <c r="AS517" s="0" t="n">
        <f aca="false">W_PH(AS$2,$A517)</f>
        <v>2015</v>
      </c>
    </row>
    <row r="518" customFormat="false" ht="12.8" hidden="false" customHeight="false" outlineLevel="0" collapsed="false">
      <c r="A518" s="0" t="n">
        <v>2914.87532244196</v>
      </c>
      <c r="B518" s="0" t="n">
        <f aca="false">W_PH(B$2,$A518)</f>
        <v>2015</v>
      </c>
      <c r="C518" s="0" t="n">
        <f aca="false">W_PH(C$2,$A518)</f>
        <v>3498.85799043744</v>
      </c>
      <c r="D518" s="0" t="n">
        <f aca="false">W_PH(D$2,$A518)</f>
        <v>3498.85819204212</v>
      </c>
      <c r="E518" s="0" t="n">
        <f aca="false">W_PH(E$2,$A518)</f>
        <v>3498.85839004393</v>
      </c>
      <c r="F518" s="0" t="n">
        <f aca="false">W_PH(F$2,$A518)</f>
        <v>3498.85859164862</v>
      </c>
      <c r="G518" s="0" t="n">
        <f aca="false">W_PH(G$2,$A518)</f>
        <v>3498.86060049021</v>
      </c>
      <c r="H518" s="0" t="n">
        <f aca="false">W_PH(H$2,$A518)</f>
        <v>3498.86260933255</v>
      </c>
      <c r="I518" s="0" t="n">
        <f aca="false">W_PH(I$2,$A518)</f>
        <v>3498.86461817565</v>
      </c>
      <c r="J518" s="0" t="n">
        <f aca="false">W_PH(J$2,$A518)</f>
        <v>3498.86662701951</v>
      </c>
      <c r="K518" s="0" t="n">
        <f aca="false">W_PH(K$2,$A518)</f>
        <v>3498.86863586413</v>
      </c>
      <c r="L518" s="0" t="n">
        <f aca="false">W_PH(L$2,$A518)</f>
        <v>3498.87064110664</v>
      </c>
      <c r="M518" s="0" t="n">
        <f aca="false">W_PH(M$2,$A518)</f>
        <v>3498.8726499528</v>
      </c>
      <c r="N518" s="0" t="n">
        <f aca="false">W_PH(N$2,$A518)</f>
        <v>3498.87465519684</v>
      </c>
      <c r="O518" s="0" t="n">
        <f aca="false">W_PH(O$2,$A518)</f>
        <v>3498.87666404453</v>
      </c>
      <c r="P518" s="0" t="n">
        <f aca="false">W_PH(P$2,$A518)</f>
        <v>3498.89674535832</v>
      </c>
      <c r="Q518" s="0" t="n">
        <f aca="false">W_PH(Q$2,$A518)</f>
        <v>3498.91682675086</v>
      </c>
      <c r="R518" s="0" t="n">
        <f aca="false">W_PH(R$2,$A518)</f>
        <v>3498.93690822386</v>
      </c>
      <c r="S518" s="0" t="n">
        <f aca="false">W_PH(S$2,$A518)</f>
        <v>3498.95698977899</v>
      </c>
      <c r="T518" s="0" t="n">
        <f aca="false">W_PH(T$2,$A518)</f>
        <v>3498.97707141796</v>
      </c>
      <c r="U518" s="0" t="n">
        <f aca="false">W_PH(U$2,$A518)</f>
        <v>3498.99714953946</v>
      </c>
      <c r="V518" s="0" t="n">
        <f aca="false">W_PH(V$2,$A518)</f>
        <v>3499.01723135116</v>
      </c>
      <c r="W518" s="0" t="n">
        <f aca="false">W_PH(W$2,$A518)</f>
        <v>3499.03730964873</v>
      </c>
      <c r="X518" s="0" t="n">
        <f aca="false">W_PH(X$2,$A518)</f>
        <v>3499.05739163993</v>
      </c>
      <c r="Y518" s="0" t="n">
        <f aca="false">W_PH(Y$2,$A518)</f>
        <v>3499.25820970162</v>
      </c>
      <c r="Z518" s="0" t="n">
        <f aca="false">W_PH(Z$2,$A518)</f>
        <v>3499.45903508313</v>
      </c>
      <c r="AA518" s="0" t="n">
        <f aca="false">W_PH(AA$2,$A518)</f>
        <v>3499.65987308139</v>
      </c>
      <c r="AB518" s="0" t="n">
        <f aca="false">W_PH(AB$2,$A518)</f>
        <v>3499.86072178648</v>
      </c>
      <c r="AC518" s="0" t="n">
        <f aca="false">W_PH(AC$2,$A518)</f>
        <v>3500.06158649592</v>
      </c>
      <c r="AD518" s="0" t="n">
        <f aca="false">W_PH(AD$2,$A518)</f>
        <v>3500.26246529963</v>
      </c>
      <c r="AE518" s="0" t="n">
        <f aca="false">W_PH(AE$2,$A518)</f>
        <v>3500.46336349572</v>
      </c>
      <c r="AF518" s="0" t="n">
        <f aca="false">W_PH(AF$2,$A518)</f>
        <v>3500.66427917392</v>
      </c>
      <c r="AG518" s="0" t="n">
        <f aca="false">W_PH(AG$2,$A518)</f>
        <v>3500.86521763294</v>
      </c>
      <c r="AH518" s="0" t="n">
        <f aca="false">W_PH(AH$2,$A518)</f>
        <v>3502.87611982369</v>
      </c>
      <c r="AI518" s="0" t="n">
        <f aca="false">W_PH(AI$2,$A518)</f>
        <v>3504.89090846147</v>
      </c>
      <c r="AJ518" s="0" t="n">
        <f aca="false">W_PH(AJ$2,$A518)</f>
        <v>3506.91121437492</v>
      </c>
      <c r="AK518" s="0" t="n">
        <f aca="false">W_PH(AK$2,$A518)</f>
        <v>3508.93866214788</v>
      </c>
      <c r="AL518" s="0" t="n">
        <f aca="false">W_PH(AL$2,$A518)</f>
        <v>3510.97487738537</v>
      </c>
      <c r="AM518" s="0" t="n">
        <f aca="false">W_PH(AM$2,$A518)</f>
        <v>3513.0214976323</v>
      </c>
      <c r="AN518" s="0" t="n">
        <f aca="false">W_PH(AN$2,$A518)</f>
        <v>3515.08014354121</v>
      </c>
      <c r="AO518" s="0" t="n">
        <f aca="false">W_PH(AO$2,$A518)</f>
        <v>3517.152451503</v>
      </c>
      <c r="AP518" s="0" t="n">
        <f aca="false">W_PH(AP$2,$A518)</f>
        <v>2015</v>
      </c>
      <c r="AQ518" s="0" t="n">
        <f aca="false">W_PH(AQ$2,$A518)</f>
        <v>2015</v>
      </c>
      <c r="AR518" s="0" t="n">
        <f aca="false">W_PH(AR$2,$A518)</f>
        <v>2015</v>
      </c>
      <c r="AS518" s="0" t="n">
        <f aca="false">W_PH(AS$2,$A518)</f>
        <v>2015</v>
      </c>
    </row>
    <row r="519" customFormat="false" ht="12.8" hidden="false" customHeight="false" outlineLevel="0" collapsed="false">
      <c r="A519" s="0" t="n">
        <v>2919.17454858126</v>
      </c>
      <c r="B519" s="0" t="n">
        <f aca="false">W_PH(B$2,$A519)</f>
        <v>2015</v>
      </c>
      <c r="C519" s="0" t="n">
        <f aca="false">W_PH(C$2,$A519)</f>
        <v>3501.67031977353</v>
      </c>
      <c r="D519" s="0" t="n">
        <f aca="false">W_PH(D$2,$A519)</f>
        <v>3501.67052153188</v>
      </c>
      <c r="E519" s="0" t="n">
        <f aca="false">W_PH(E$2,$A519)</f>
        <v>3501.67071969026</v>
      </c>
      <c r="F519" s="0" t="n">
        <f aca="false">W_PH(F$2,$A519)</f>
        <v>3501.67092144863</v>
      </c>
      <c r="G519" s="0" t="n">
        <f aca="false">W_PH(G$2,$A519)</f>
        <v>3501.67293183275</v>
      </c>
      <c r="H519" s="0" t="n">
        <f aca="false">W_PH(H$2,$A519)</f>
        <v>3501.67493861764</v>
      </c>
      <c r="I519" s="0" t="n">
        <f aca="false">W_PH(I$2,$A519)</f>
        <v>3501.67694540328</v>
      </c>
      <c r="J519" s="0" t="n">
        <f aca="false">W_PH(J$2,$A519)</f>
        <v>3501.67895578966</v>
      </c>
      <c r="K519" s="0" t="n">
        <f aca="false">W_PH(K$2,$A519)</f>
        <v>3501.68096617679</v>
      </c>
      <c r="L519" s="0" t="n">
        <f aca="false">W_PH(L$2,$A519)</f>
        <v>3501.6829693647</v>
      </c>
      <c r="M519" s="0" t="n">
        <f aca="false">W_PH(M$2,$A519)</f>
        <v>3501.68497975335</v>
      </c>
      <c r="N519" s="0" t="n">
        <f aca="false">W_PH(N$2,$A519)</f>
        <v>3501.68699014276</v>
      </c>
      <c r="O519" s="0" t="n">
        <f aca="false">W_PH(O$2,$A519)</f>
        <v>3501.68899333294</v>
      </c>
      <c r="P519" s="0" t="n">
        <f aca="false">W_PH(P$2,$A519)</f>
        <v>3501.70907567691</v>
      </c>
      <c r="Q519" s="0" t="n">
        <f aca="false">W_PH(Q$2,$A519)</f>
        <v>3501.72915809887</v>
      </c>
      <c r="R519" s="0" t="n">
        <f aca="false">W_PH(R$2,$A519)</f>
        <v>3501.74924060049</v>
      </c>
      <c r="S519" s="0" t="n">
        <f aca="false">W_PH(S$2,$A519)</f>
        <v>3501.76932318347</v>
      </c>
      <c r="T519" s="0" t="n">
        <f aca="false">W_PH(T$2,$A519)</f>
        <v>3501.78940584949</v>
      </c>
      <c r="U519" s="0" t="n">
        <f aca="false">W_PH(U$2,$A519)</f>
        <v>3501.80948500013</v>
      </c>
      <c r="V519" s="0" t="n">
        <f aca="false">W_PH(V$2,$A519)</f>
        <v>3501.82956423713</v>
      </c>
      <c r="W519" s="0" t="n">
        <f aca="false">W_PH(W$2,$A519)</f>
        <v>3501.84964716236</v>
      </c>
      <c r="X519" s="0" t="n">
        <f aca="false">W_PH(X$2,$A519)</f>
        <v>3501.86973017737</v>
      </c>
      <c r="Y519" s="0" t="n">
        <f aca="false">W_PH(Y$2,$A519)</f>
        <v>3502.07055123533</v>
      </c>
      <c r="Z519" s="0" t="n">
        <f aca="false">W_PH(Z$2,$A519)</f>
        <v>3502.27138672631</v>
      </c>
      <c r="AA519" s="0" t="n">
        <f aca="false">W_PH(AA$2,$A519)</f>
        <v>3502.47223113608</v>
      </c>
      <c r="AB519" s="0" t="n">
        <f aca="false">W_PH(AB$2,$A519)</f>
        <v>3502.67308615087</v>
      </c>
      <c r="AC519" s="0" t="n">
        <f aca="false">W_PH(AC$2,$A519)</f>
        <v>3502.87396065935</v>
      </c>
      <c r="AD519" s="0" t="n">
        <f aca="false">W_PH(AD$2,$A519)</f>
        <v>3503.07484554509</v>
      </c>
      <c r="AE519" s="0" t="n">
        <f aca="false">W_PH(AE$2,$A519)</f>
        <v>3503.27574969715</v>
      </c>
      <c r="AF519" s="0" t="n">
        <f aca="false">W_PH(AF$2,$A519)</f>
        <v>3503.47667480278</v>
      </c>
      <c r="AG519" s="0" t="n">
        <f aca="false">W_PH(AG$2,$A519)</f>
        <v>3503.67762254932</v>
      </c>
      <c r="AH519" s="0" t="n">
        <f aca="false">W_PH(AH$2,$A519)</f>
        <v>3505.68857961118</v>
      </c>
      <c r="AI519" s="0" t="n">
        <f aca="false">W_PH(AI$2,$A519)</f>
        <v>3507.70341230013</v>
      </c>
      <c r="AJ519" s="0" t="n">
        <f aca="false">W_PH(AJ$2,$A519)</f>
        <v>3509.72372998267</v>
      </c>
      <c r="AK519" s="0" t="n">
        <f aca="false">W_PH(AK$2,$A519)</f>
        <v>3511.75116464186</v>
      </c>
      <c r="AL519" s="0" t="n">
        <f aca="false">W_PH(AL$2,$A519)</f>
        <v>3513.78732042938</v>
      </c>
      <c r="AM519" s="0" t="n">
        <f aca="false">W_PH(AM$2,$A519)</f>
        <v>3515.83383869859</v>
      </c>
      <c r="AN519" s="0" t="n">
        <f aca="false">W_PH(AN$2,$A519)</f>
        <v>3517.89232588009</v>
      </c>
      <c r="AO519" s="0" t="n">
        <f aca="false">W_PH(AO$2,$A519)</f>
        <v>3519.96441858891</v>
      </c>
      <c r="AP519" s="0" t="n">
        <f aca="false">W_PH(AP$2,$A519)</f>
        <v>2015</v>
      </c>
      <c r="AQ519" s="0" t="n">
        <f aca="false">W_PH(AQ$2,$A519)</f>
        <v>2015</v>
      </c>
      <c r="AR519" s="0" t="n">
        <f aca="false">W_PH(AR$2,$A519)</f>
        <v>2015</v>
      </c>
      <c r="AS519" s="0" t="n">
        <f aca="false">W_PH(AS$2,$A519)</f>
        <v>2015</v>
      </c>
    </row>
    <row r="520" customFormat="false" ht="12.8" hidden="false" customHeight="false" outlineLevel="0" collapsed="false">
      <c r="A520" s="0" t="n">
        <v>2923.47377472055</v>
      </c>
      <c r="B520" s="0" t="n">
        <f aca="false">W_PH(B$2,$A520)</f>
        <v>2015</v>
      </c>
      <c r="C520" s="0" t="n">
        <f aca="false">W_PH(C$2,$A520)</f>
        <v>3504.47922558478</v>
      </c>
      <c r="D520" s="0" t="n">
        <f aca="false">W_PH(D$2,$A520)</f>
        <v>3504.47942389752</v>
      </c>
      <c r="E520" s="0" t="n">
        <f aca="false">W_PH(E$2,$A520)</f>
        <v>3504.47962580736</v>
      </c>
      <c r="F520" s="0" t="n">
        <f aca="false">W_PH(F$2,$A520)</f>
        <v>3504.47982771722</v>
      </c>
      <c r="G520" s="0" t="n">
        <f aca="false">W_PH(G$2,$A520)</f>
        <v>3504.48183602486</v>
      </c>
      <c r="H520" s="0" t="n">
        <f aca="false">W_PH(H$2,$A520)</f>
        <v>3504.48384433324</v>
      </c>
      <c r="I520" s="0" t="n">
        <f aca="false">W_PH(I$2,$A520)</f>
        <v>3504.48585264237</v>
      </c>
      <c r="J520" s="0" t="n">
        <f aca="false">W_PH(J$2,$A520)</f>
        <v>3504.48786095224</v>
      </c>
      <c r="K520" s="0" t="n">
        <f aca="false">W_PH(K$2,$A520)</f>
        <v>3504.48986926286</v>
      </c>
      <c r="L520" s="0" t="n">
        <f aca="false">W_PH(L$2,$A520)</f>
        <v>3504.49187757423</v>
      </c>
      <c r="M520" s="0" t="n">
        <f aca="false">W_PH(M$2,$A520)</f>
        <v>3504.49388588635</v>
      </c>
      <c r="N520" s="0" t="n">
        <f aca="false">W_PH(N$2,$A520)</f>
        <v>3504.49589419922</v>
      </c>
      <c r="O520" s="0" t="n">
        <f aca="false">W_PH(O$2,$A520)</f>
        <v>3504.49789891572</v>
      </c>
      <c r="P520" s="0" t="n">
        <f aca="false">W_PH(P$2,$A520)</f>
        <v>3504.51798209377</v>
      </c>
      <c r="Q520" s="0" t="n">
        <f aca="false">W_PH(Q$2,$A520)</f>
        <v>3504.53806534903</v>
      </c>
      <c r="R520" s="0" t="n">
        <f aca="false">W_PH(R$2,$A520)</f>
        <v>3504.55814868319</v>
      </c>
      <c r="S520" s="0" t="n">
        <f aca="false">W_PH(S$2,$A520)</f>
        <v>3504.57823209792</v>
      </c>
      <c r="T520" s="0" t="n">
        <f aca="false">W_PH(T$2,$A520)</f>
        <v>3504.5983119977</v>
      </c>
      <c r="U520" s="0" t="n">
        <f aca="false">W_PH(U$2,$A520)</f>
        <v>3504.61839198137</v>
      </c>
      <c r="V520" s="0" t="n">
        <f aca="false">W_PH(V$2,$A520)</f>
        <v>3504.63847564787</v>
      </c>
      <c r="W520" s="0" t="n">
        <f aca="false">W_PH(W$2,$A520)</f>
        <v>3504.65855940167</v>
      </c>
      <c r="X520" s="0" t="n">
        <f aca="false">W_PH(X$2,$A520)</f>
        <v>3504.67864324444</v>
      </c>
      <c r="Y520" s="0" t="n">
        <f aca="false">W_PH(Y$2,$A520)</f>
        <v>3504.87947254528</v>
      </c>
      <c r="Z520" s="0" t="n">
        <f aca="false">W_PH(Z$2,$A520)</f>
        <v>3505.08031258946</v>
      </c>
      <c r="AA520" s="0" t="n">
        <f aca="false">W_PH(AA$2,$A520)</f>
        <v>3505.28116145875</v>
      </c>
      <c r="AB520" s="0" t="n">
        <f aca="false">W_PH(AB$2,$A520)</f>
        <v>3505.48202443039</v>
      </c>
      <c r="AC520" s="0" t="n">
        <f aca="false">W_PH(AC$2,$A520)</f>
        <v>3505.68290318422</v>
      </c>
      <c r="AD520" s="0" t="n">
        <f aca="false">W_PH(AD$2,$A520)</f>
        <v>3505.88379580176</v>
      </c>
      <c r="AE520" s="0" t="n">
        <f aca="false">W_PH(AE$2,$A520)</f>
        <v>3506.08470756115</v>
      </c>
      <c r="AF520" s="0" t="n">
        <f aca="false">W_PH(AF$2,$A520)</f>
        <v>3506.28563654369</v>
      </c>
      <c r="AG520" s="0" t="n">
        <f aca="false">W_PH(AG$2,$A520)</f>
        <v>3506.48659162718</v>
      </c>
      <c r="AH520" s="0" t="n">
        <f aca="false">W_PH(AH$2,$A520)</f>
        <v>3508.49759858471</v>
      </c>
      <c r="AI520" s="0" t="n">
        <f aca="false">W_PH(AI$2,$A520)</f>
        <v>3510.51245971526</v>
      </c>
      <c r="AJ520" s="0" t="n">
        <f aca="false">W_PH(AJ$2,$A520)</f>
        <v>3512.532784602</v>
      </c>
      <c r="AK520" s="0" t="n">
        <f aca="false">W_PH(AK$2,$A520)</f>
        <v>3514.56018741812</v>
      </c>
      <c r="AL520" s="0" t="n">
        <f aca="false">W_PH(AL$2,$A520)</f>
        <v>3516.59628338255</v>
      </c>
      <c r="AM520" s="0" t="n">
        <f aca="false">W_PH(AM$2,$A520)</f>
        <v>3518.64268160862</v>
      </c>
      <c r="AN520" s="0" t="n">
        <f aca="false">W_PH(AN$2,$A520)</f>
        <v>3520.70100683975</v>
      </c>
      <c r="AO520" s="0" t="n">
        <f aca="false">W_PH(AO$2,$A520)</f>
        <v>3522.77287789926</v>
      </c>
      <c r="AP520" s="0" t="n">
        <f aca="false">W_PH(AP$2,$A520)</f>
        <v>2015</v>
      </c>
      <c r="AQ520" s="0" t="n">
        <f aca="false">W_PH(AQ$2,$A520)</f>
        <v>2015</v>
      </c>
      <c r="AR520" s="0" t="n">
        <f aca="false">W_PH(AR$2,$A520)</f>
        <v>2015</v>
      </c>
      <c r="AS520" s="0" t="n">
        <f aca="false">W_PH(AS$2,$A520)</f>
        <v>2015</v>
      </c>
    </row>
    <row r="521" customFormat="false" ht="12.8" hidden="false" customHeight="false" outlineLevel="0" collapsed="false">
      <c r="A521" s="0" t="n">
        <v>2927.77300085985</v>
      </c>
      <c r="B521" s="0" t="n">
        <f aca="false">W_PH(B$2,$A521)</f>
        <v>2015</v>
      </c>
      <c r="C521" s="0" t="n">
        <f aca="false">W_PH(C$2,$A521)</f>
        <v>3507.28471772575</v>
      </c>
      <c r="D521" s="0" t="n">
        <f aca="false">W_PH(D$2,$A521)</f>
        <v>3507.2849197849</v>
      </c>
      <c r="E521" s="0" t="n">
        <f aca="false">W_PH(E$2,$A521)</f>
        <v>3507.28511824984</v>
      </c>
      <c r="F521" s="0" t="n">
        <f aca="false">W_PH(F$2,$A521)</f>
        <v>3507.28531671478</v>
      </c>
      <c r="G521" s="0" t="n">
        <f aca="false">W_PH(G$2,$A521)</f>
        <v>3507.28733011844</v>
      </c>
      <c r="H521" s="0" t="n">
        <f aca="false">W_PH(H$2,$A521)</f>
        <v>3507.28933633438</v>
      </c>
      <c r="I521" s="0" t="n">
        <f aca="false">W_PH(I$2,$A521)</f>
        <v>3507.29134255105</v>
      </c>
      <c r="J521" s="0" t="n">
        <f aca="false">W_PH(J$2,$A521)</f>
        <v>3507.29335236269</v>
      </c>
      <c r="K521" s="0" t="n">
        <f aca="false">W_PH(K$2,$A521)</f>
        <v>3507.29536217507</v>
      </c>
      <c r="L521" s="0" t="n">
        <f aca="false">W_PH(L$2,$A521)</f>
        <v>3507.29736839396</v>
      </c>
      <c r="M521" s="0" t="n">
        <f aca="false">W_PH(M$2,$A521)</f>
        <v>3507.29937461358</v>
      </c>
      <c r="N521" s="0" t="n">
        <f aca="false">W_PH(N$2,$A521)</f>
        <v>3507.3013844282</v>
      </c>
      <c r="O521" s="0" t="n">
        <f aca="false">W_PH(O$2,$A521)</f>
        <v>3507.30339424356</v>
      </c>
      <c r="P521" s="0" t="n">
        <f aca="false">W_PH(P$2,$A521)</f>
        <v>3507.32347806159</v>
      </c>
      <c r="Q521" s="0" t="n">
        <f aca="false">W_PH(Q$2,$A521)</f>
        <v>3507.3435583618</v>
      </c>
      <c r="R521" s="0" t="n">
        <f aca="false">W_PH(R$2,$A521)</f>
        <v>3507.36363874011</v>
      </c>
      <c r="S521" s="0" t="n">
        <f aca="false">W_PH(S$2,$A521)</f>
        <v>3507.38372279252</v>
      </c>
      <c r="T521" s="0" t="n">
        <f aca="false">W_PH(T$2,$A521)</f>
        <v>3507.4038069264</v>
      </c>
      <c r="U521" s="0" t="n">
        <f aca="false">W_PH(U$2,$A521)</f>
        <v>3507.42389114343</v>
      </c>
      <c r="V521" s="0" t="n">
        <f aca="false">W_PH(V$2,$A521)</f>
        <v>3507.44397185091</v>
      </c>
      <c r="W521" s="0" t="n">
        <f aca="false">W_PH(W$2,$A521)</f>
        <v>3507.46405264485</v>
      </c>
      <c r="X521" s="0" t="n">
        <f aca="false">W_PH(X$2,$A521)</f>
        <v>3507.48413712134</v>
      </c>
      <c r="Y521" s="0" t="n">
        <f aca="false">W_PH(Y$2,$A521)</f>
        <v>3507.68497272507</v>
      </c>
      <c r="Z521" s="0" t="n">
        <f aca="false">W_PH(Z$2,$A521)</f>
        <v>3507.885818984</v>
      </c>
      <c r="AA521" s="0" t="n">
        <f aca="false">W_PH(AA$2,$A521)</f>
        <v>3508.08667397574</v>
      </c>
      <c r="AB521" s="0" t="n">
        <f aca="false">W_PH(AB$2,$A521)</f>
        <v>3508.28754296762</v>
      </c>
      <c r="AC521" s="0" t="n">
        <f aca="false">W_PH(AC$2,$A521)</f>
        <v>3508.48842403708</v>
      </c>
      <c r="AD521" s="0" t="n">
        <f aca="false">W_PH(AD$2,$A521)</f>
        <v>3508.68932245204</v>
      </c>
      <c r="AE521" s="0" t="n">
        <f aca="false">W_PH(AE$2,$A521)</f>
        <v>3508.89023988553</v>
      </c>
      <c r="AF521" s="0" t="n">
        <f aca="false">W_PH(AF$2,$A521)</f>
        <v>3509.09117801069</v>
      </c>
      <c r="AG521" s="0" t="n">
        <f aca="false">W_PH(AG$2,$A521)</f>
        <v>3509.29213130849</v>
      </c>
      <c r="AH521" s="0" t="n">
        <f aca="false">W_PH(AH$2,$A521)</f>
        <v>3511.3031833489</v>
      </c>
      <c r="AI521" s="0" t="n">
        <f aca="false">W_PH(AI$2,$A521)</f>
        <v>3513.3180646982</v>
      </c>
      <c r="AJ521" s="0" t="n">
        <f aca="false">W_PH(AJ$2,$A521)</f>
        <v>3515.33838518247</v>
      </c>
      <c r="AK521" s="0" t="n">
        <f aca="false">W_PH(AK$2,$A521)</f>
        <v>3517.36574842784</v>
      </c>
      <c r="AL521" s="0" t="n">
        <f aca="false">W_PH(AL$2,$A521)</f>
        <v>3519.40176631798</v>
      </c>
      <c r="AM521" s="0" t="n">
        <f aca="false">W_PH(AM$2,$A521)</f>
        <v>3521.44804825862</v>
      </c>
      <c r="AN521" s="0" t="n">
        <f aca="false">W_PH(AN$2,$A521)</f>
        <v>3523.50620125044</v>
      </c>
      <c r="AO521" s="0" t="n">
        <f aca="false">W_PH(AO$2,$A521)</f>
        <v>3525.5778335868</v>
      </c>
      <c r="AP521" s="0" t="n">
        <f aca="false">W_PH(AP$2,$A521)</f>
        <v>2015</v>
      </c>
      <c r="AQ521" s="0" t="n">
        <f aca="false">W_PH(AQ$2,$A521)</f>
        <v>2015</v>
      </c>
      <c r="AR521" s="0" t="n">
        <f aca="false">W_PH(AR$2,$A521)</f>
        <v>2015</v>
      </c>
      <c r="AS521" s="0" t="n">
        <f aca="false">W_PH(AS$2,$A521)</f>
        <v>2015</v>
      </c>
    </row>
    <row r="522" customFormat="false" ht="12.8" hidden="false" customHeight="false" outlineLevel="0" collapsed="false">
      <c r="A522" s="0" t="n">
        <v>2932.07222699914</v>
      </c>
      <c r="B522" s="0" t="n">
        <f aca="false">W_PH(B$2,$A522)</f>
        <v>2015</v>
      </c>
      <c r="C522" s="0" t="n">
        <f aca="false">W_PH(C$2,$A522)</f>
        <v>3510.08680240411</v>
      </c>
      <c r="D522" s="0" t="n">
        <f aca="false">W_PH(D$2,$A522)</f>
        <v>3510.08700461044</v>
      </c>
      <c r="E522" s="0" t="n">
        <f aca="false">W_PH(E$2,$A522)</f>
        <v>3510.08720681677</v>
      </c>
      <c r="F522" s="0" t="n">
        <f aca="false">W_PH(F$2,$A522)</f>
        <v>3510.08740902311</v>
      </c>
      <c r="G522" s="0" t="n">
        <f aca="false">W_PH(G$2,$A522)</f>
        <v>3510.08941672146</v>
      </c>
      <c r="H522" s="0" t="n">
        <f aca="false">W_PH(H$2,$A522)</f>
        <v>3510.09142442054</v>
      </c>
      <c r="I522" s="0" t="n">
        <f aca="false">W_PH(I$2,$A522)</f>
        <v>3510.09343212035</v>
      </c>
      <c r="J522" s="0" t="n">
        <f aca="false">W_PH(J$2,$A522)</f>
        <v>3510.09543982089</v>
      </c>
      <c r="K522" s="0" t="n">
        <f aca="false">W_PH(K$2,$A522)</f>
        <v>3510.09744752216</v>
      </c>
      <c r="L522" s="0" t="n">
        <f aca="false">W_PH(L$2,$A522)</f>
        <v>3510.09945522417</v>
      </c>
      <c r="M522" s="0" t="n">
        <f aca="false">W_PH(M$2,$A522)</f>
        <v>3510.10146292691</v>
      </c>
      <c r="N522" s="0" t="n">
        <f aca="false">W_PH(N$2,$A522)</f>
        <v>3510.10347063038</v>
      </c>
      <c r="O522" s="0" t="n">
        <f aca="false">W_PH(O$2,$A522)</f>
        <v>3510.10548192597</v>
      </c>
      <c r="P522" s="0" t="n">
        <f aca="false">W_PH(P$2,$A522)</f>
        <v>3510.12556260048</v>
      </c>
      <c r="Q522" s="0" t="n">
        <f aca="false">W_PH(Q$2,$A522)</f>
        <v>3510.14564694208</v>
      </c>
      <c r="R522" s="0" t="n">
        <f aca="false">W_PH(R$2,$A522)</f>
        <v>3510.16573136106</v>
      </c>
      <c r="S522" s="0" t="n">
        <f aca="false">W_PH(S$2,$A522)</f>
        <v>3510.18581585909</v>
      </c>
      <c r="T522" s="0" t="n">
        <f aca="false">W_PH(T$2,$A522)</f>
        <v>3510.20589684636</v>
      </c>
      <c r="U522" s="0" t="n">
        <f aca="false">W_PH(U$2,$A522)</f>
        <v>3510.22597791597</v>
      </c>
      <c r="V522" s="0" t="n">
        <f aca="false">W_PH(V$2,$A522)</f>
        <v>3510.2460626611</v>
      </c>
      <c r="W522" s="0" t="n">
        <f aca="false">W_PH(W$2,$A522)</f>
        <v>3510.26614749193</v>
      </c>
      <c r="X522" s="0" t="n">
        <f aca="false">W_PH(X$2,$A522)</f>
        <v>3510.28623241014</v>
      </c>
      <c r="Y522" s="0" t="n">
        <f aca="false">W_PH(Y$2,$A522)</f>
        <v>3510.4870723973</v>
      </c>
      <c r="Z522" s="0" t="n">
        <f aca="false">W_PH(Z$2,$A522)</f>
        <v>3510.68791936053</v>
      </c>
      <c r="AA522" s="0" t="n">
        <f aca="false">W_PH(AA$2,$A522)</f>
        <v>3510.888778557</v>
      </c>
      <c r="AB522" s="0" t="n">
        <f aca="false">W_PH(AB$2,$A522)</f>
        <v>3511.08965524473</v>
      </c>
      <c r="AC522" s="0" t="n">
        <f aca="false">W_PH(AC$2,$A522)</f>
        <v>3511.29054031263</v>
      </c>
      <c r="AD522" s="0" t="n">
        <f aca="false">W_PH(AD$2,$A522)</f>
        <v>3511.49144261088</v>
      </c>
      <c r="AE522" s="0" t="n">
        <f aca="false">W_PH(AE$2,$A522)</f>
        <v>3511.69236380551</v>
      </c>
      <c r="AF522" s="0" t="n">
        <f aca="false">W_PH(AF$2,$A522)</f>
        <v>3511.89330196962</v>
      </c>
      <c r="AG522" s="0" t="n">
        <f aca="false">W_PH(AG$2,$A522)</f>
        <v>3512.09426236214</v>
      </c>
      <c r="AH522" s="0" t="n">
        <f aca="false">W_PH(AH$2,$A522)</f>
        <v>3514.10534046033</v>
      </c>
      <c r="AI522" s="0" t="n">
        <f aca="false">W_PH(AI$2,$A522)</f>
        <v>3516.12023397282</v>
      </c>
      <c r="AJ522" s="0" t="n">
        <f aca="false">W_PH(AJ$2,$A522)</f>
        <v>3518.14054222045</v>
      </c>
      <c r="AK522" s="0" t="n">
        <f aca="false">W_PH(AK$2,$A522)</f>
        <v>3520.16785833129</v>
      </c>
      <c r="AL522" s="0" t="n">
        <f aca="false">W_PH(AL$2,$A522)</f>
        <v>3522.20379089062</v>
      </c>
      <c r="AM522" s="0" t="n">
        <f aca="false">W_PH(AM$2,$A522)</f>
        <v>3524.24993881522</v>
      </c>
      <c r="AN522" s="0" t="n">
        <f aca="false">W_PH(AN$2,$A522)</f>
        <v>3526.30790943663</v>
      </c>
      <c r="AO522" s="0" t="n">
        <f aca="false">W_PH(AO$2,$A522)</f>
        <v>3528.37930418338</v>
      </c>
      <c r="AP522" s="0" t="n">
        <f aca="false">W_PH(AP$2,$A522)</f>
        <v>2015</v>
      </c>
      <c r="AQ522" s="0" t="n">
        <f aca="false">W_PH(AQ$2,$A522)</f>
        <v>2015</v>
      </c>
      <c r="AR522" s="0" t="n">
        <f aca="false">W_PH(AR$2,$A522)</f>
        <v>2015</v>
      </c>
      <c r="AS522" s="0" t="n">
        <f aca="false">W_PH(AS$2,$A522)</f>
        <v>2015</v>
      </c>
    </row>
    <row r="523" customFormat="false" ht="12.8" hidden="false" customHeight="false" outlineLevel="0" collapsed="false">
      <c r="A523" s="0" t="n">
        <v>2936.37145313843</v>
      </c>
      <c r="B523" s="0" t="n">
        <f aca="false">W_PH(B$2,$A523)</f>
        <v>2015</v>
      </c>
      <c r="C523" s="0" t="n">
        <f aca="false">W_PH(C$2,$A523)</f>
        <v>3512.88549654938</v>
      </c>
      <c r="D523" s="0" t="n">
        <f aca="false">W_PH(D$2,$A523)</f>
        <v>3512.88569890075</v>
      </c>
      <c r="E523" s="0" t="n">
        <f aca="false">W_PH(E$2,$A523)</f>
        <v>3512.88590125212</v>
      </c>
      <c r="F523" s="0" t="n">
        <f aca="false">W_PH(F$2,$A523)</f>
        <v>3512.8861036035</v>
      </c>
      <c r="G523" s="0" t="n">
        <f aca="false">W_PH(G$2,$A523)</f>
        <v>3512.8881091752</v>
      </c>
      <c r="H523" s="0" t="n">
        <f aca="false">W_PH(H$2,$A523)</f>
        <v>3512.89011833612</v>
      </c>
      <c r="I523" s="0" t="n">
        <f aca="false">W_PH(I$2,$A523)</f>
        <v>3512.89212390926</v>
      </c>
      <c r="J523" s="0" t="n">
        <f aca="false">W_PH(J$2,$A523)</f>
        <v>3512.89413307162</v>
      </c>
      <c r="K523" s="0" t="n">
        <f aca="false">W_PH(K$2,$A523)</f>
        <v>3512.89614223471</v>
      </c>
      <c r="L523" s="0" t="n">
        <f aca="false">W_PH(L$2,$A523)</f>
        <v>3512.89815139853</v>
      </c>
      <c r="M523" s="0" t="n">
        <f aca="false">W_PH(M$2,$A523)</f>
        <v>3512.90016056307</v>
      </c>
      <c r="N523" s="0" t="n">
        <f aca="false">W_PH(N$2,$A523)</f>
        <v>3512.90216972835</v>
      </c>
      <c r="O523" s="0" t="n">
        <f aca="false">W_PH(O$2,$A523)</f>
        <v>3512.90417889436</v>
      </c>
      <c r="P523" s="0" t="n">
        <f aca="false">W_PH(P$2,$A523)</f>
        <v>3512.92425982949</v>
      </c>
      <c r="Q523" s="0" t="n">
        <f aca="false">W_PH(Q$2,$A523)</f>
        <v>3512.94434083955</v>
      </c>
      <c r="R523" s="0" t="n">
        <f aca="false">W_PH(R$2,$A523)</f>
        <v>3512.96442551479</v>
      </c>
      <c r="S523" s="0" t="n">
        <f aca="false">W_PH(S$2,$A523)</f>
        <v>3512.98451026833</v>
      </c>
      <c r="T523" s="0" t="n">
        <f aca="false">W_PH(T$2,$A523)</f>
        <v>3513.00459510182</v>
      </c>
      <c r="U523" s="0" t="n">
        <f aca="false">W_PH(U$2,$A523)</f>
        <v>3513.02468001692</v>
      </c>
      <c r="V523" s="0" t="n">
        <f aca="false">W_PH(V$2,$A523)</f>
        <v>3513.04476142665</v>
      </c>
      <c r="W523" s="0" t="n">
        <f aca="false">W_PH(W$2,$A523)</f>
        <v>3513.06484292126</v>
      </c>
      <c r="X523" s="0" t="n">
        <f aca="false">W_PH(X$2,$A523)</f>
        <v>3513.08492809112</v>
      </c>
      <c r="Y523" s="0" t="n">
        <f aca="false">W_PH(Y$2,$A523)</f>
        <v>3513.28577056139</v>
      </c>
      <c r="Z523" s="0" t="n">
        <f aca="false">W_PH(Z$2,$A523)</f>
        <v>3513.48662351339</v>
      </c>
      <c r="AA523" s="0" t="n">
        <f aca="false">W_PH(AA$2,$A523)</f>
        <v>3513.68748860579</v>
      </c>
      <c r="AB523" s="0" t="n">
        <f aca="false">W_PH(AB$2,$A523)</f>
        <v>3513.88836390792</v>
      </c>
      <c r="AC523" s="0" t="n">
        <f aca="false">W_PH(AC$2,$A523)</f>
        <v>3514.08925466773</v>
      </c>
      <c r="AD523" s="0" t="n">
        <f aca="false">W_PH(AD$2,$A523)</f>
        <v>3514.29015895441</v>
      </c>
      <c r="AE523" s="0" t="n">
        <f aca="false">W_PH(AE$2,$A523)</f>
        <v>3514.49108201647</v>
      </c>
      <c r="AF523" s="0" t="n">
        <f aca="false">W_PH(AF$2,$A523)</f>
        <v>3514.69202551312</v>
      </c>
      <c r="AG523" s="0" t="n">
        <f aca="false">W_PH(AG$2,$A523)</f>
        <v>3514.89298751332</v>
      </c>
      <c r="AH523" s="0" t="n">
        <f aca="false">W_PH(AH$2,$A523)</f>
        <v>3516.90408720455</v>
      </c>
      <c r="AI523" s="0" t="n">
        <f aca="false">W_PH(AI$2,$A523)</f>
        <v>3518.91898140144</v>
      </c>
      <c r="AJ523" s="0" t="n">
        <f aca="false">W_PH(AJ$2,$A523)</f>
        <v>3520.93926255321</v>
      </c>
      <c r="AK523" s="0" t="n">
        <f aca="false">W_PH(AK$2,$A523)</f>
        <v>3522.96652772348</v>
      </c>
      <c r="AL523" s="0" t="n">
        <f aca="false">W_PH(AL$2,$A523)</f>
        <v>3525.00236425502</v>
      </c>
      <c r="AM523" s="0" t="n">
        <f aca="false">W_PH(AM$2,$A523)</f>
        <v>3527.04837141659</v>
      </c>
      <c r="AN523" s="0" t="n">
        <f aca="false">W_PH(AN$2,$A523)</f>
        <v>3529.10614970049</v>
      </c>
      <c r="AO523" s="0" t="n">
        <f aca="false">W_PH(AO$2,$A523)</f>
        <v>3531.17729370769</v>
      </c>
      <c r="AP523" s="0" t="n">
        <f aca="false">W_PH(AP$2,$A523)</f>
        <v>2015</v>
      </c>
      <c r="AQ523" s="0" t="n">
        <f aca="false">W_PH(AQ$2,$A523)</f>
        <v>2015</v>
      </c>
      <c r="AR523" s="0" t="n">
        <f aca="false">W_PH(AR$2,$A523)</f>
        <v>2015</v>
      </c>
      <c r="AS523" s="0" t="n">
        <f aca="false">W_PH(AS$2,$A523)</f>
        <v>2015</v>
      </c>
    </row>
    <row r="524" customFormat="false" ht="12.8" hidden="false" customHeight="false" outlineLevel="0" collapsed="false">
      <c r="A524" s="0" t="n">
        <v>2940.67067927773</v>
      </c>
      <c r="B524" s="0" t="n">
        <f aca="false">W_PH(B$2,$A524)</f>
        <v>2015</v>
      </c>
      <c r="C524" s="0" t="n">
        <f aca="false">W_PH(C$2,$A524)</f>
        <v>3515.68081342786</v>
      </c>
      <c r="D524" s="0" t="n">
        <f aca="false">W_PH(D$2,$A524)</f>
        <v>3515.68101233651</v>
      </c>
      <c r="E524" s="0" t="n">
        <f aca="false">W_PH(E$2,$A524)</f>
        <v>3515.68121124518</v>
      </c>
      <c r="F524" s="0" t="n">
        <f aca="false">W_PH(F$2,$A524)</f>
        <v>3515.68141373949</v>
      </c>
      <c r="G524" s="0" t="n">
        <f aca="false">W_PH(G$2,$A524)</f>
        <v>3515.68342434043</v>
      </c>
      <c r="H524" s="0" t="n">
        <f aca="false">W_PH(H$2,$A524)</f>
        <v>3515.68542777079</v>
      </c>
      <c r="I524" s="0" t="n">
        <f aca="false">W_PH(I$2,$A524)</f>
        <v>3515.68743837316</v>
      </c>
      <c r="J524" s="0" t="n">
        <f aca="false">W_PH(J$2,$A524)</f>
        <v>3515.68944897625</v>
      </c>
      <c r="K524" s="0" t="n">
        <f aca="false">W_PH(K$2,$A524)</f>
        <v>3515.6914559944</v>
      </c>
      <c r="L524" s="0" t="n">
        <f aca="false">W_PH(L$2,$A524)</f>
        <v>3515.69346301328</v>
      </c>
      <c r="M524" s="0" t="n">
        <f aca="false">W_PH(M$2,$A524)</f>
        <v>3515.69547361853</v>
      </c>
      <c r="N524" s="0" t="n">
        <f aca="false">W_PH(N$2,$A524)</f>
        <v>3515.69748063884</v>
      </c>
      <c r="O524" s="0" t="n">
        <f aca="false">W_PH(O$2,$A524)</f>
        <v>3515.69948765988</v>
      </c>
      <c r="P524" s="0" t="n">
        <f aca="false">W_PH(P$2,$A524)</f>
        <v>3515.7195722531</v>
      </c>
      <c r="Q524" s="0" t="n">
        <f aca="false">W_PH(Q$2,$A524)</f>
        <v>3515.73965692057</v>
      </c>
      <c r="R524" s="0" t="n">
        <f aca="false">W_PH(R$2,$A524)</f>
        <v>3515.75974166395</v>
      </c>
      <c r="S524" s="0" t="n">
        <f aca="false">W_PH(S$2,$A524)</f>
        <v>3515.77982289914</v>
      </c>
      <c r="T524" s="0" t="n">
        <f aca="false">W_PH(T$2,$A524)</f>
        <v>3515.79990779925</v>
      </c>
      <c r="U524" s="0" t="n">
        <f aca="false">W_PH(U$2,$A524)</f>
        <v>3515.81998919445</v>
      </c>
      <c r="V524" s="0" t="n">
        <f aca="false">W_PH(V$2,$A524)</f>
        <v>3515.8400742579</v>
      </c>
      <c r="W524" s="0" t="n">
        <f aca="false">W_PH(W$2,$A524)</f>
        <v>3515.86015940551</v>
      </c>
      <c r="X524" s="0" t="n">
        <f aca="false">W_PH(X$2,$A524)</f>
        <v>3515.88024463894</v>
      </c>
      <c r="Y524" s="0" t="n">
        <f aca="false">W_PH(Y$2,$A524)</f>
        <v>3516.08108771207</v>
      </c>
      <c r="Z524" s="0" t="n">
        <f aca="false">W_PH(Z$2,$A524)</f>
        <v>3516.28194476778</v>
      </c>
      <c r="AA524" s="0" t="n">
        <f aca="false">W_PH(AA$2,$A524)</f>
        <v>3516.48281028562</v>
      </c>
      <c r="AB524" s="0" t="n">
        <f aca="false">W_PH(AB$2,$A524)</f>
        <v>3516.68368591691</v>
      </c>
      <c r="AC524" s="0" t="n">
        <f aca="false">W_PH(AC$2,$A524)</f>
        <v>3516.88458048656</v>
      </c>
      <c r="AD524" s="0" t="n">
        <f aca="false">W_PH(AD$2,$A524)</f>
        <v>3517.08548847335</v>
      </c>
      <c r="AE524" s="0" t="n">
        <f aca="false">W_PH(AE$2,$A524)</f>
        <v>3517.28641511604</v>
      </c>
      <c r="AF524" s="0" t="n">
        <f aca="false">W_PH(AF$2,$A524)</f>
        <v>3517.48735847964</v>
      </c>
      <c r="AG524" s="0" t="n">
        <f aca="false">W_PH(AG$2,$A524)</f>
        <v>3517.68832380348</v>
      </c>
      <c r="AH524" s="0" t="n">
        <f aca="false">W_PH(AH$2,$A524)</f>
        <v>3519.69943001716</v>
      </c>
      <c r="AI524" s="0" t="n">
        <f aca="false">W_PH(AI$2,$A524)</f>
        <v>3521.71431359166</v>
      </c>
      <c r="AJ524" s="0" t="n">
        <f aca="false">W_PH(AJ$2,$A524)</f>
        <v>3523.73456015269</v>
      </c>
      <c r="AK524" s="0" t="n">
        <f aca="false">W_PH(AK$2,$A524)</f>
        <v>3525.7617599455</v>
      </c>
      <c r="AL524" s="0" t="n">
        <f aca="false">W_PH(AL$2,$A524)</f>
        <v>3527.7974935111</v>
      </c>
      <c r="AM524" s="0" t="n">
        <f aca="false">W_PH(AM$2,$A524)</f>
        <v>3529.84335691237</v>
      </c>
      <c r="AN524" s="0" t="n">
        <f aca="false">W_PH(AN$2,$A524)</f>
        <v>3531.9009330506</v>
      </c>
      <c r="AO524" s="0" t="n">
        <f aca="false">W_PH(AO$2,$A524)</f>
        <v>3533.97182053412</v>
      </c>
      <c r="AP524" s="0" t="n">
        <f aca="false">W_PH(AP$2,$A524)</f>
        <v>2015</v>
      </c>
      <c r="AQ524" s="0" t="n">
        <f aca="false">W_PH(AQ$2,$A524)</f>
        <v>2015</v>
      </c>
      <c r="AR524" s="0" t="n">
        <f aca="false">W_PH(AR$2,$A524)</f>
        <v>2015</v>
      </c>
      <c r="AS524" s="0" t="n">
        <f aca="false">W_PH(AS$2,$A524)</f>
        <v>2015</v>
      </c>
    </row>
    <row r="525" customFormat="false" ht="12.8" hidden="false" customHeight="false" outlineLevel="0" collapsed="false">
      <c r="A525" s="0" t="n">
        <v>2944.96990541702</v>
      </c>
      <c r="B525" s="0" t="n">
        <f aca="false">W_PH(B$2,$A525)</f>
        <v>2015</v>
      </c>
      <c r="C525" s="0" t="n">
        <f aca="false">W_PH(C$2,$A525)</f>
        <v>3518.47275190901</v>
      </c>
      <c r="D525" s="0" t="n">
        <f aca="false">W_PH(D$2,$A525)</f>
        <v>3518.47295096136</v>
      </c>
      <c r="E525" s="0" t="n">
        <f aca="false">W_PH(E$2,$A525)</f>
        <v>3518.47315001372</v>
      </c>
      <c r="F525" s="0" t="n">
        <f aca="false">W_PH(F$2,$A525)</f>
        <v>3518.47335264887</v>
      </c>
      <c r="G525" s="0" t="n">
        <f aca="false">W_PH(G$2,$A525)</f>
        <v>3518.47536108686</v>
      </c>
      <c r="H525" s="0" t="n">
        <f aca="false">W_PH(H$2,$A525)</f>
        <v>3518.47736952555</v>
      </c>
      <c r="I525" s="0" t="n">
        <f aca="false">W_PH(I$2,$A525)</f>
        <v>3518.47937796495</v>
      </c>
      <c r="J525" s="0" t="n">
        <f aca="false">W_PH(J$2,$A525)</f>
        <v>3518.48138640505</v>
      </c>
      <c r="K525" s="0" t="n">
        <f aca="false">W_PH(K$2,$A525)</f>
        <v>3518.48339484587</v>
      </c>
      <c r="L525" s="0" t="n">
        <f aca="false">W_PH(L$2,$A525)</f>
        <v>3518.4854032874</v>
      </c>
      <c r="M525" s="0" t="n">
        <f aca="false">W_PH(M$2,$A525)</f>
        <v>3518.48741172964</v>
      </c>
      <c r="N525" s="0" t="n">
        <f aca="false">W_PH(N$2,$A525)</f>
        <v>3518.4894201726</v>
      </c>
      <c r="O525" s="0" t="n">
        <f aca="false">W_PH(O$2,$A525)</f>
        <v>3518.49142861628</v>
      </c>
      <c r="P525" s="0" t="n">
        <f aca="false">W_PH(P$2,$A525)</f>
        <v>3518.51150951003</v>
      </c>
      <c r="Q525" s="0" t="n">
        <f aca="false">W_PH(Q$2,$A525)</f>
        <v>3518.53159406011</v>
      </c>
      <c r="R525" s="0" t="n">
        <f aca="false">W_PH(R$2,$A525)</f>
        <v>3518.55167868536</v>
      </c>
      <c r="S525" s="0" t="n">
        <f aca="false">W_PH(S$2,$A525)</f>
        <v>3518.57176338744</v>
      </c>
      <c r="T525" s="0" t="n">
        <f aca="false">W_PH(T$2,$A525)</f>
        <v>3518.59184816797</v>
      </c>
      <c r="U525" s="0" t="n">
        <f aca="false">W_PH(U$2,$A525)</f>
        <v>3518.61193302861</v>
      </c>
      <c r="V525" s="0" t="n">
        <f aca="false">W_PH(V$2,$A525)</f>
        <v>3518.63201797101</v>
      </c>
      <c r="W525" s="0" t="n">
        <f aca="false">W_PH(W$2,$A525)</f>
        <v>3518.65209941385</v>
      </c>
      <c r="X525" s="0" t="n">
        <f aca="false">W_PH(X$2,$A525)</f>
        <v>3518.67218452466</v>
      </c>
      <c r="Y525" s="0" t="n">
        <f aca="false">W_PH(Y$2,$A525)</f>
        <v>3518.87302992247</v>
      </c>
      <c r="Z525" s="0" t="n">
        <f aca="false">W_PH(Z$2,$A525)</f>
        <v>3519.07388921592</v>
      </c>
      <c r="AA525" s="0" t="n">
        <f aca="false">W_PH(AA$2,$A525)</f>
        <v>3519.27475329991</v>
      </c>
      <c r="AB525" s="0" t="n">
        <f aca="false">W_PH(AB$2,$A525)</f>
        <v>3519.47563456944</v>
      </c>
      <c r="AC525" s="0" t="n">
        <f aca="false">W_PH(AC$2,$A525)</f>
        <v>3519.67652750243</v>
      </c>
      <c r="AD525" s="0" t="n">
        <f aca="false">W_PH(AD$2,$A525)</f>
        <v>3519.8774373276</v>
      </c>
      <c r="AE525" s="0" t="n">
        <f aca="false">W_PH(AE$2,$A525)</f>
        <v>3520.07836210606</v>
      </c>
      <c r="AF525" s="0" t="n">
        <f aca="false">W_PH(AF$2,$A525)</f>
        <v>3520.27930706712</v>
      </c>
      <c r="AG525" s="0" t="n">
        <f aca="false">W_PH(AG$2,$A525)</f>
        <v>3520.48027385633</v>
      </c>
      <c r="AH525" s="0" t="n">
        <f aca="false">W_PH(AH$2,$A525)</f>
        <v>3522.49138245983</v>
      </c>
      <c r="AI525" s="0" t="n">
        <f aca="false">W_PH(AI$2,$A525)</f>
        <v>3524.50624786696</v>
      </c>
      <c r="AJ525" s="0" t="n">
        <f aca="false">W_PH(AJ$2,$A525)</f>
        <v>3526.5264525066</v>
      </c>
      <c r="AK525" s="0" t="n">
        <f aca="false">W_PH(AK$2,$A525)</f>
        <v>3528.5535726644</v>
      </c>
      <c r="AL525" s="0" t="n">
        <f aca="false">W_PH(AL$2,$A525)</f>
        <v>3530.58919289109</v>
      </c>
      <c r="AM525" s="0" t="n">
        <f aca="false">W_PH(AM$2,$A525)</f>
        <v>3532.63489889465</v>
      </c>
      <c r="AN525" s="0" t="n">
        <f aca="false">W_PH(AN$2,$A525)</f>
        <v>3534.69227042571</v>
      </c>
      <c r="AO525" s="0" t="n">
        <f aca="false">W_PH(AO$2,$A525)</f>
        <v>3536.76288854981</v>
      </c>
      <c r="AP525" s="0" t="n">
        <f aca="false">W_PH(AP$2,$A525)</f>
        <v>2015</v>
      </c>
      <c r="AQ525" s="0" t="n">
        <f aca="false">W_PH(AQ$2,$A525)</f>
        <v>2015</v>
      </c>
      <c r="AR525" s="0" t="n">
        <f aca="false">W_PH(AR$2,$A525)</f>
        <v>2015</v>
      </c>
      <c r="AS525" s="0" t="n">
        <f aca="false">W_PH(AS$2,$A525)</f>
        <v>2015</v>
      </c>
    </row>
    <row r="526" customFormat="false" ht="12.8" hidden="false" customHeight="false" outlineLevel="0" collapsed="false">
      <c r="A526" s="0" t="n">
        <v>2949.26913155632</v>
      </c>
      <c r="B526" s="0" t="n">
        <f aca="false">W_PH(B$2,$A526)</f>
        <v>2015</v>
      </c>
      <c r="C526" s="0" t="n">
        <f aca="false">W_PH(C$2,$A526)</f>
        <v>3521.26132516245</v>
      </c>
      <c r="D526" s="0" t="n">
        <f aca="false">W_PH(D$2,$A526)</f>
        <v>3521.26152793636</v>
      </c>
      <c r="E526" s="0" t="n">
        <f aca="false">W_PH(E$2,$A526)</f>
        <v>3521.26173071028</v>
      </c>
      <c r="F526" s="0" t="n">
        <f aca="false">W_PH(F$2,$A526)</f>
        <v>3521.26192990427</v>
      </c>
      <c r="G526" s="0" t="n">
        <f aca="false">W_PH(G$2,$A526)</f>
        <v>3521.26393974423</v>
      </c>
      <c r="H526" s="0" t="n">
        <f aca="false">W_PH(H$2,$A526)</f>
        <v>3521.26594600494</v>
      </c>
      <c r="I526" s="0" t="n">
        <f aca="false">W_PH(I$2,$A526)</f>
        <v>3521.26795226635</v>
      </c>
      <c r="J526" s="0" t="n">
        <f aca="false">W_PH(J$2,$A526)</f>
        <v>3521.26996568837</v>
      </c>
      <c r="K526" s="0" t="n">
        <f aca="false">W_PH(K$2,$A526)</f>
        <v>3521.27197195118</v>
      </c>
      <c r="L526" s="0" t="n">
        <f aca="false">W_PH(L$2,$A526)</f>
        <v>3521.2739782147</v>
      </c>
      <c r="M526" s="0" t="n">
        <f aca="false">W_PH(M$2,$A526)</f>
        <v>3521.27598805888</v>
      </c>
      <c r="N526" s="0" t="n">
        <f aca="false">W_PH(N$2,$A526)</f>
        <v>3521.27799790377</v>
      </c>
      <c r="O526" s="0" t="n">
        <f aca="false">W_PH(O$2,$A526)</f>
        <v>3521.28000416941</v>
      </c>
      <c r="P526" s="0" t="n">
        <f aca="false">W_PH(P$2,$A526)</f>
        <v>3521.300088345</v>
      </c>
      <c r="Q526" s="0" t="n">
        <f aca="false">W_PH(Q$2,$A526)</f>
        <v>3521.32017259339</v>
      </c>
      <c r="R526" s="0" t="n">
        <f aca="false">W_PH(R$2,$A526)</f>
        <v>3521.34025691625</v>
      </c>
      <c r="S526" s="0" t="n">
        <f aca="false">W_PH(S$2,$A526)</f>
        <v>3521.36034131519</v>
      </c>
      <c r="T526" s="0" t="n">
        <f aca="false">W_PH(T$2,$A526)</f>
        <v>3521.38042579186</v>
      </c>
      <c r="U526" s="0" t="n">
        <f aca="false">W_PH(U$2,$A526)</f>
        <v>3521.4005103479</v>
      </c>
      <c r="V526" s="0" t="n">
        <f aca="false">W_PH(V$2,$A526)</f>
        <v>3521.42059498495</v>
      </c>
      <c r="W526" s="0" t="n">
        <f aca="false">W_PH(W$2,$A526)</f>
        <v>3521.44067612453</v>
      </c>
      <c r="X526" s="0" t="n">
        <f aca="false">W_PH(X$2,$A526)</f>
        <v>3521.46076092848</v>
      </c>
      <c r="Y526" s="0" t="n">
        <f aca="false">W_PH(Y$2,$A526)</f>
        <v>3521.66161038348</v>
      </c>
      <c r="Z526" s="0" t="n">
        <f aca="false">W_PH(Z$2,$A526)</f>
        <v>3521.86246648749</v>
      </c>
      <c r="AA526" s="0" t="n">
        <f aca="false">W_PH(AA$2,$A526)</f>
        <v>3522.06333445871</v>
      </c>
      <c r="AB526" s="0" t="n">
        <f aca="false">W_PH(AB$2,$A526)</f>
        <v>3522.26421235448</v>
      </c>
      <c r="AC526" s="0" t="n">
        <f aca="false">W_PH(AC$2,$A526)</f>
        <v>3522.46510539359</v>
      </c>
      <c r="AD526" s="0" t="n">
        <f aca="false">W_PH(AD$2,$A526)</f>
        <v>3522.66601521443</v>
      </c>
      <c r="AE526" s="0" t="n">
        <f aca="false">W_PH(AE$2,$A526)</f>
        <v>3522.86694345552</v>
      </c>
      <c r="AF526" s="0" t="n">
        <f aca="false">W_PH(AF$2,$A526)</f>
        <v>3523.06788817394</v>
      </c>
      <c r="AG526" s="0" t="n">
        <f aca="false">W_PH(AG$2,$A526)</f>
        <v>3523.2688510079</v>
      </c>
      <c r="AH526" s="0" t="n">
        <f aca="false">W_PH(AH$2,$A526)</f>
        <v>3525.2799508578</v>
      </c>
      <c r="AI526" s="0" t="n">
        <f aca="false">W_PH(AI$2,$A526)</f>
        <v>3527.29478712664</v>
      </c>
      <c r="AJ526" s="0" t="n">
        <f aca="false">W_PH(AJ$2,$A526)</f>
        <v>3529.31493908258</v>
      </c>
      <c r="AK526" s="0" t="n">
        <f aca="false">W_PH(AK$2,$A526)</f>
        <v>3531.34197628249</v>
      </c>
      <c r="AL526" s="0" t="n">
        <f aca="false">W_PH(AL$2,$A526)</f>
        <v>3533.37747654967</v>
      </c>
      <c r="AM526" s="0" t="n">
        <f aca="false">W_PH(AM$2,$A526)</f>
        <v>3535.42301527938</v>
      </c>
      <c r="AN526" s="0" t="n">
        <f aca="false">W_PH(AN$2,$A526)</f>
        <v>3537.48016910206</v>
      </c>
      <c r="AO526" s="0" t="n">
        <f aca="false">W_PH(AO$2,$A526)</f>
        <v>3539.55051597427</v>
      </c>
      <c r="AP526" s="0" t="n">
        <f aca="false">W_PH(AP$2,$A526)</f>
        <v>2015</v>
      </c>
      <c r="AQ526" s="0" t="n">
        <f aca="false">W_PH(AQ$2,$A526)</f>
        <v>2015</v>
      </c>
      <c r="AR526" s="0" t="n">
        <f aca="false">W_PH(AR$2,$A526)</f>
        <v>2015</v>
      </c>
      <c r="AS526" s="0" t="n">
        <f aca="false">W_PH(AS$2,$A526)</f>
        <v>2015</v>
      </c>
    </row>
    <row r="527" customFormat="false" ht="12.8" hidden="false" customHeight="false" outlineLevel="0" collapsed="false">
      <c r="A527" s="0" t="n">
        <v>2953.56835769561</v>
      </c>
      <c r="B527" s="0" t="n">
        <f aca="false">W_PH(B$2,$A527)</f>
        <v>2015</v>
      </c>
      <c r="C527" s="0" t="n">
        <f aca="false">W_PH(C$2,$A527)</f>
        <v>3524.04655344711</v>
      </c>
      <c r="D527" s="0" t="n">
        <f aca="false">W_PH(D$2,$A527)</f>
        <v>3524.04674920355</v>
      </c>
      <c r="E527" s="0" t="n">
        <f aca="false">W_PH(E$2,$A527)</f>
        <v>3524.0469521142</v>
      </c>
      <c r="F527" s="0" t="n">
        <f aca="false">W_PH(F$2,$A527)</f>
        <v>3524.04715502485</v>
      </c>
      <c r="G527" s="0" t="n">
        <f aca="false">W_PH(G$2,$A527)</f>
        <v>3524.04916266916</v>
      </c>
      <c r="H527" s="0" t="n">
        <f aca="false">W_PH(H$2,$A527)</f>
        <v>3524.05117031417</v>
      </c>
      <c r="I527" s="0" t="n">
        <f aca="false">W_PH(I$2,$A527)</f>
        <v>3524.05317795987</v>
      </c>
      <c r="J527" s="0" t="n">
        <f aca="false">W_PH(J$2,$A527)</f>
        <v>3524.05518560626</v>
      </c>
      <c r="K527" s="0" t="n">
        <f aca="false">W_PH(K$2,$A527)</f>
        <v>3524.05719325335</v>
      </c>
      <c r="L527" s="0" t="n">
        <f aca="false">W_PH(L$2,$A527)</f>
        <v>3524.05920447824</v>
      </c>
      <c r="M527" s="0" t="n">
        <f aca="false">W_PH(M$2,$A527)</f>
        <v>3524.06121212673</v>
      </c>
      <c r="N527" s="0" t="n">
        <f aca="false">W_PH(N$2,$A527)</f>
        <v>3524.06321977592</v>
      </c>
      <c r="O527" s="0" t="n">
        <f aca="false">W_PH(O$2,$A527)</f>
        <v>3524.06523100292</v>
      </c>
      <c r="P527" s="0" t="n">
        <f aca="false">W_PH(P$2,$A527)</f>
        <v>3524.0853146951</v>
      </c>
      <c r="Q527" s="0" t="n">
        <f aca="false">W_PH(Q$2,$A527)</f>
        <v>3524.10539845939</v>
      </c>
      <c r="R527" s="0" t="n">
        <f aca="false">W_PH(R$2,$A527)</f>
        <v>3524.12548229743</v>
      </c>
      <c r="S527" s="0" t="n">
        <f aca="false">W_PH(S$2,$A527)</f>
        <v>3524.14556621083</v>
      </c>
      <c r="T527" s="0" t="n">
        <f aca="false">W_PH(T$2,$A527)</f>
        <v>3524.16565020124</v>
      </c>
      <c r="U527" s="0" t="n">
        <f aca="false">W_PH(U$2,$A527)</f>
        <v>3524.18573427029</v>
      </c>
      <c r="V527" s="0" t="n">
        <f aca="false">W_PH(V$2,$A527)</f>
        <v>3524.2058184196</v>
      </c>
      <c r="W527" s="0" t="n">
        <f aca="false">W_PH(W$2,$A527)</f>
        <v>3524.22590265081</v>
      </c>
      <c r="X527" s="0" t="n">
        <f aca="false">W_PH(X$2,$A527)</f>
        <v>3524.24598696555</v>
      </c>
      <c r="Y527" s="0" t="n">
        <f aca="false">W_PH(Y$2,$A527)</f>
        <v>3524.44683148842</v>
      </c>
      <c r="Z527" s="0" t="n">
        <f aca="false">W_PH(Z$2,$A527)</f>
        <v>3524.64768615813</v>
      </c>
      <c r="AA527" s="0" t="n">
        <f aca="false">W_PH(AA$2,$A527)</f>
        <v>3524.84855618378</v>
      </c>
      <c r="AB527" s="0" t="n">
        <f aca="false">W_PH(AB$2,$A527)</f>
        <v>3525.04943246336</v>
      </c>
      <c r="AC527" s="0" t="n">
        <f aca="false">W_PH(AC$2,$A527)</f>
        <v>3525.25032378365</v>
      </c>
      <c r="AD527" s="0" t="n">
        <f aca="false">W_PH(AD$2,$A527)</f>
        <v>3525.45123535461</v>
      </c>
      <c r="AE527" s="0" t="n">
        <f aca="false">W_PH(AE$2,$A527)</f>
        <v>3525.65215807298</v>
      </c>
      <c r="AF527" s="0" t="n">
        <f aca="false">W_PH(AF$2,$A527)</f>
        <v>3525.85310430562</v>
      </c>
      <c r="AG527" s="0" t="n">
        <f aca="false">W_PH(AG$2,$A527)</f>
        <v>3526.05406494842</v>
      </c>
      <c r="AH527" s="0" t="n">
        <f aca="false">W_PH(AH$2,$A527)</f>
        <v>3528.0651450711</v>
      </c>
      <c r="AI527" s="0" t="n">
        <f aca="false">W_PH(AI$2,$A527)</f>
        <v>3530.07994856329</v>
      </c>
      <c r="AJ527" s="0" t="n">
        <f aca="false">W_PH(AJ$2,$A527)</f>
        <v>3532.10003724237</v>
      </c>
      <c r="AK527" s="0" t="n">
        <f aca="false">W_PH(AK$2,$A527)</f>
        <v>3534.12698113893</v>
      </c>
      <c r="AL527" s="0" t="n">
        <f aca="false">W_PH(AL$2,$A527)</f>
        <v>3536.16235139002</v>
      </c>
      <c r="AM527" s="0" t="n">
        <f aca="false">W_PH(AM$2,$A527)</f>
        <v>3538.20771312523</v>
      </c>
      <c r="AN527" s="0" t="n">
        <f aca="false">W_PH(AN$2,$A527)</f>
        <v>3540.26463988967</v>
      </c>
      <c r="AO527" s="0" t="n">
        <f aca="false">W_PH(AO$2,$A527)</f>
        <v>3542.33471015721</v>
      </c>
      <c r="AP527" s="0" t="n">
        <f aca="false">W_PH(AP$2,$A527)</f>
        <v>2015</v>
      </c>
      <c r="AQ527" s="0" t="n">
        <f aca="false">W_PH(AQ$2,$A527)</f>
        <v>2015</v>
      </c>
      <c r="AR527" s="0" t="n">
        <f aca="false">W_PH(AR$2,$A527)</f>
        <v>2015</v>
      </c>
      <c r="AS527" s="0" t="n">
        <f aca="false">W_PH(AS$2,$A527)</f>
        <v>2015</v>
      </c>
    </row>
    <row r="528" customFormat="false" ht="12.8" hidden="false" customHeight="false" outlineLevel="0" collapsed="false">
      <c r="A528" s="0" t="n">
        <v>2957.86758383491</v>
      </c>
      <c r="B528" s="0" t="n">
        <f aca="false">W_PH(B$2,$A528)</f>
        <v>2015</v>
      </c>
      <c r="C528" s="0" t="n">
        <f aca="false">W_PH(C$2,$A528)</f>
        <v>3526.82843191499</v>
      </c>
      <c r="D528" s="0" t="n">
        <f aca="false">W_PH(D$2,$A528)</f>
        <v>3526.82863138606</v>
      </c>
      <c r="E528" s="0" t="n">
        <f aca="false">W_PH(E$2,$A528)</f>
        <v>3526.8288344314</v>
      </c>
      <c r="F528" s="0" t="n">
        <f aca="false">W_PH(F$2,$A528)</f>
        <v>3526.82903747675</v>
      </c>
      <c r="G528" s="0" t="n">
        <f aca="false">W_PH(G$2,$A528)</f>
        <v>3526.83104291077</v>
      </c>
      <c r="H528" s="0" t="n">
        <f aca="false">W_PH(H$2,$A528)</f>
        <v>3526.83305191973</v>
      </c>
      <c r="I528" s="0" t="n">
        <f aca="false">W_PH(I$2,$A528)</f>
        <v>3526.83505735511</v>
      </c>
      <c r="J528" s="0" t="n">
        <f aca="false">W_PH(J$2,$A528)</f>
        <v>3526.83706636545</v>
      </c>
      <c r="K528" s="0" t="n">
        <f aca="false">W_PH(K$2,$A528)</f>
        <v>3526.83907537649</v>
      </c>
      <c r="L528" s="0" t="n">
        <f aca="false">W_PH(L$2,$A528)</f>
        <v>3526.84108438821</v>
      </c>
      <c r="M528" s="0" t="n">
        <f aca="false">W_PH(M$2,$A528)</f>
        <v>3526.84309340063</v>
      </c>
      <c r="N528" s="0" t="n">
        <f aca="false">W_PH(N$2,$A528)</f>
        <v>3526.84510241374</v>
      </c>
      <c r="O528" s="0" t="n">
        <f aca="false">W_PH(O$2,$A528)</f>
        <v>3526.84711142755</v>
      </c>
      <c r="P528" s="0" t="n">
        <f aca="false">W_PH(P$2,$A528)</f>
        <v>3526.86719445574</v>
      </c>
      <c r="Q528" s="0" t="n">
        <f aca="false">W_PH(Q$2,$A528)</f>
        <v>3526.88727755535</v>
      </c>
      <c r="R528" s="0" t="n">
        <f aca="false">W_PH(R$2,$A528)</f>
        <v>3526.907360728</v>
      </c>
      <c r="S528" s="0" t="n">
        <f aca="false">W_PH(S$2,$A528)</f>
        <v>3526.92744397531</v>
      </c>
      <c r="T528" s="0" t="n">
        <f aca="false">W_PH(T$2,$A528)</f>
        <v>3526.94752729891</v>
      </c>
      <c r="U528" s="0" t="n">
        <f aca="false">W_PH(U$2,$A528)</f>
        <v>3526.96761070041</v>
      </c>
      <c r="V528" s="0" t="n">
        <f aca="false">W_PH(V$2,$A528)</f>
        <v>3526.98769418146</v>
      </c>
      <c r="W528" s="0" t="n">
        <f aca="false">W_PH(W$2,$A528)</f>
        <v>3527.00777774367</v>
      </c>
      <c r="X528" s="0" t="n">
        <f aca="false">W_PH(X$2,$A528)</f>
        <v>3527.0278649631</v>
      </c>
      <c r="Y528" s="0" t="n">
        <f aca="false">W_PH(Y$2,$A528)</f>
        <v>3527.22870989836</v>
      </c>
      <c r="Z528" s="0" t="n">
        <f aca="false">W_PH(Z$2,$A528)</f>
        <v>3527.42956489939</v>
      </c>
      <c r="AA528" s="0" t="n">
        <f aca="false">W_PH(AA$2,$A528)</f>
        <v>3527.63043159075</v>
      </c>
      <c r="AB528" s="0" t="n">
        <f aca="false">W_PH(AB$2,$A528)</f>
        <v>3527.83130802196</v>
      </c>
      <c r="AC528" s="0" t="n">
        <f aca="false">W_PH(AC$2,$A528)</f>
        <v>3528.03219939261</v>
      </c>
      <c r="AD528" s="0" t="n">
        <f aca="false">W_PH(AD$2,$A528)</f>
        <v>3528.23310375211</v>
      </c>
      <c r="AE528" s="0" t="n">
        <f aca="false">W_PH(AE$2,$A528)</f>
        <v>3528.4340263006</v>
      </c>
      <c r="AF528" s="0" t="n">
        <f aca="false">W_PH(AF$2,$A528)</f>
        <v>3528.6349686632</v>
      </c>
      <c r="AG528" s="0" t="n">
        <f aca="false">W_PH(AG$2,$A528)</f>
        <v>3528.83593246513</v>
      </c>
      <c r="AH528" s="0" t="n">
        <f aca="false">W_PH(AH$2,$A528)</f>
        <v>3530.84697848048</v>
      </c>
      <c r="AI528" s="0" t="n">
        <f aca="false">W_PH(AI$2,$A528)</f>
        <v>3532.86173496968</v>
      </c>
      <c r="AJ528" s="0" t="n">
        <f aca="false">W_PH(AJ$2,$A528)</f>
        <v>3534.88174993911</v>
      </c>
      <c r="AK528" s="0" t="n">
        <f aca="false">W_PH(AK$2,$A528)</f>
        <v>3536.90859392756</v>
      </c>
      <c r="AL528" s="0" t="n">
        <f aca="false">W_PH(AL$2,$A528)</f>
        <v>3538.94382426282</v>
      </c>
      <c r="AM528" s="0" t="n">
        <f aca="false">W_PH(AM$2,$A528)</f>
        <v>3540.98900660816</v>
      </c>
      <c r="AN528" s="0" t="n">
        <f aca="false">W_PH(AN$2,$A528)</f>
        <v>3543.04570070498</v>
      </c>
      <c r="AO528" s="0" t="n">
        <f aca="false">W_PH(AO$2,$A528)</f>
        <v>3545.11548197944</v>
      </c>
      <c r="AP528" s="0" t="n">
        <f aca="false">W_PH(AP$2,$A528)</f>
        <v>2015</v>
      </c>
      <c r="AQ528" s="0" t="n">
        <f aca="false">W_PH(AQ$2,$A528)</f>
        <v>2015</v>
      </c>
      <c r="AR528" s="0" t="n">
        <f aca="false">W_PH(AR$2,$A528)</f>
        <v>2015</v>
      </c>
      <c r="AS528" s="0" t="n">
        <f aca="false">W_PH(AS$2,$A528)</f>
        <v>2015</v>
      </c>
    </row>
    <row r="529" customFormat="false" ht="12.8" hidden="false" customHeight="false" outlineLevel="0" collapsed="false">
      <c r="A529" s="0" t="n">
        <v>2962.1668099742</v>
      </c>
      <c r="B529" s="0" t="n">
        <f aca="false">W_PH(B$2,$A529)</f>
        <v>2015</v>
      </c>
      <c r="C529" s="0" t="n">
        <f aca="false">W_PH(C$2,$A529)</f>
        <v>3529.60698071081</v>
      </c>
      <c r="D529" s="0" t="n">
        <f aca="false">W_PH(D$2,$A529)</f>
        <v>3529.6071803174</v>
      </c>
      <c r="E529" s="0" t="n">
        <f aca="false">W_PH(E$2,$A529)</f>
        <v>3529.60738349543</v>
      </c>
      <c r="F529" s="0" t="n">
        <f aca="false">W_PH(F$2,$A529)</f>
        <v>3529.60758310203</v>
      </c>
      <c r="G529" s="0" t="n">
        <f aca="false">W_PH(G$2,$A529)</f>
        <v>3529.6095898827</v>
      </c>
      <c r="H529" s="0" t="n">
        <f aca="false">W_PH(H$2,$A529)</f>
        <v>3529.61160023549</v>
      </c>
      <c r="I529" s="0" t="n">
        <f aca="false">W_PH(I$2,$A529)</f>
        <v>3529.61361058897</v>
      </c>
      <c r="J529" s="0" t="n">
        <f aca="false">W_PH(J$2,$A529)</f>
        <v>3529.61561380024</v>
      </c>
      <c r="K529" s="0" t="n">
        <f aca="false">W_PH(K$2,$A529)</f>
        <v>3529.61762415508</v>
      </c>
      <c r="L529" s="0" t="n">
        <f aca="false">W_PH(L$2,$A529)</f>
        <v>3529.6196345106</v>
      </c>
      <c r="M529" s="0" t="n">
        <f aca="false">W_PH(M$2,$A529)</f>
        <v>3529.62164129537</v>
      </c>
      <c r="N529" s="0" t="n">
        <f aca="false">W_PH(N$2,$A529)</f>
        <v>3529.62364808082</v>
      </c>
      <c r="O529" s="0" t="n">
        <f aca="false">W_PH(O$2,$A529)</f>
        <v>3529.62565843841</v>
      </c>
      <c r="P529" s="0" t="n">
        <f aca="false">W_PH(P$2,$A529)</f>
        <v>3529.6457406239</v>
      </c>
      <c r="Q529" s="0" t="n">
        <f aca="false">W_PH(Q$2,$A529)</f>
        <v>3529.66582288011</v>
      </c>
      <c r="R529" s="0" t="n">
        <f aca="false">W_PH(R$2,$A529)</f>
        <v>3529.68590878017</v>
      </c>
      <c r="S529" s="0" t="n">
        <f aca="false">W_PH(S$2,$A529)</f>
        <v>3529.70599118271</v>
      </c>
      <c r="T529" s="0" t="n">
        <f aca="false">W_PH(T$2,$A529)</f>
        <v>3529.72607723236</v>
      </c>
      <c r="U529" s="0" t="n">
        <f aca="false">W_PH(U$2,$A529)</f>
        <v>3529.74615978769</v>
      </c>
      <c r="V529" s="0" t="n">
        <f aca="false">W_PH(V$2,$A529)</f>
        <v>3529.76624242184</v>
      </c>
      <c r="W529" s="0" t="n">
        <f aca="false">W_PH(W$2,$A529)</f>
        <v>3529.78632513642</v>
      </c>
      <c r="X529" s="0" t="n">
        <f aca="false">W_PH(X$2,$A529)</f>
        <v>3529.80640793304</v>
      </c>
      <c r="Y529" s="0" t="n">
        <f aca="false">W_PH(Y$2,$A529)</f>
        <v>3530.00725505506</v>
      </c>
      <c r="Z529" s="0" t="n">
        <f aca="false">W_PH(Z$2,$A529)</f>
        <v>3530.20810501908</v>
      </c>
      <c r="AA529" s="0" t="n">
        <f aca="false">W_PH(AA$2,$A529)</f>
        <v>3530.40896658617</v>
      </c>
      <c r="AB529" s="0" t="n">
        <f aca="false">W_PH(AB$2,$A529)</f>
        <v>3530.6098413743</v>
      </c>
      <c r="AC529" s="0" t="n">
        <f aca="false">W_PH(AC$2,$A529)</f>
        <v>3530.81073100158</v>
      </c>
      <c r="AD529" s="0" t="n">
        <f aca="false">W_PH(AD$2,$A529)</f>
        <v>3531.0116370862</v>
      </c>
      <c r="AE529" s="0" t="n">
        <f aca="false">W_PH(AE$2,$A529)</f>
        <v>3531.21255410087</v>
      </c>
      <c r="AF529" s="0" t="n">
        <f aca="false">W_PH(AF$2,$A529)</f>
        <v>3531.41349080893</v>
      </c>
      <c r="AG529" s="0" t="n">
        <f aca="false">W_PH(AG$2,$A529)</f>
        <v>3531.61444882894</v>
      </c>
      <c r="AH529" s="0" t="n">
        <f aca="false">W_PH(AH$2,$A529)</f>
        <v>3533.62546082383</v>
      </c>
      <c r="AI529" s="0" t="n">
        <f aca="false">W_PH(AI$2,$A529)</f>
        <v>3535.64015625645</v>
      </c>
      <c r="AJ529" s="0" t="n">
        <f aca="false">W_PH(AJ$2,$A529)</f>
        <v>3537.66009440172</v>
      </c>
      <c r="AK529" s="0" t="n">
        <f aca="false">W_PH(AK$2,$A529)</f>
        <v>3539.68682845139</v>
      </c>
      <c r="AL529" s="0" t="n">
        <f aca="false">W_PH(AL$2,$A529)</f>
        <v>3541.7219091293</v>
      </c>
      <c r="AM529" s="0" t="n">
        <f aca="false">W_PH(AM$2,$A529)</f>
        <v>3543.76690266088</v>
      </c>
      <c r="AN529" s="0" t="n">
        <f aca="false">W_PH(AN$2,$A529)</f>
        <v>3545.82335503591</v>
      </c>
      <c r="AO529" s="0" t="n">
        <f aca="false">W_PH(AO$2,$A529)</f>
        <v>3547.89283866701</v>
      </c>
      <c r="AP529" s="0" t="n">
        <f aca="false">W_PH(AP$2,$A529)</f>
        <v>2015</v>
      </c>
      <c r="AQ529" s="0" t="n">
        <f aca="false">W_PH(AQ$2,$A529)</f>
        <v>2015</v>
      </c>
      <c r="AR529" s="0" t="n">
        <f aca="false">W_PH(AR$2,$A529)</f>
        <v>2015</v>
      </c>
      <c r="AS529" s="0" t="n">
        <f aca="false">W_PH(AS$2,$A529)</f>
        <v>2015</v>
      </c>
    </row>
    <row r="530" customFormat="false" ht="12.8" hidden="false" customHeight="false" outlineLevel="0" collapsed="false">
      <c r="A530" s="0" t="n">
        <v>2966.4660361135</v>
      </c>
      <c r="B530" s="0" t="n">
        <f aca="false">W_PH(B$2,$A530)</f>
        <v>2015</v>
      </c>
      <c r="C530" s="0" t="n">
        <f aca="false">W_PH(C$2,$A530)</f>
        <v>3532.38220561868</v>
      </c>
      <c r="D530" s="0" t="n">
        <f aca="false">W_PH(D$2,$A530)</f>
        <v>3532.3824089274</v>
      </c>
      <c r="E530" s="0" t="n">
        <f aca="false">W_PH(E$2,$A530)</f>
        <v>3532.3826050989</v>
      </c>
      <c r="F530" s="0" t="n">
        <f aca="false">W_PH(F$2,$A530)</f>
        <v>3532.38280840763</v>
      </c>
      <c r="G530" s="0" t="n">
        <f aca="false">W_PH(G$2,$A530)</f>
        <v>3532.38481651501</v>
      </c>
      <c r="H530" s="0" t="n">
        <f aca="false">W_PH(H$2,$A530)</f>
        <v>3532.38682462306</v>
      </c>
      <c r="I530" s="0" t="n">
        <f aca="false">W_PH(I$2,$A530)</f>
        <v>3532.38883273179</v>
      </c>
      <c r="J530" s="0" t="n">
        <f aca="false">W_PH(J$2,$A530)</f>
        <v>3532.39084084119</v>
      </c>
      <c r="K530" s="0" t="n">
        <f aca="false">W_PH(K$2,$A530)</f>
        <v>3532.39284895127</v>
      </c>
      <c r="L530" s="0" t="n">
        <f aca="false">W_PH(L$2,$A530)</f>
        <v>3532.39485706202</v>
      </c>
      <c r="M530" s="0" t="n">
        <f aca="false">W_PH(M$2,$A530)</f>
        <v>3532.39686874208</v>
      </c>
      <c r="N530" s="0" t="n">
        <f aca="false">W_PH(N$2,$A530)</f>
        <v>3532.39887328558</v>
      </c>
      <c r="O530" s="0" t="n">
        <f aca="false">W_PH(O$2,$A530)</f>
        <v>3532.400884967</v>
      </c>
      <c r="P530" s="0" t="n">
        <f aca="false">W_PH(P$2,$A530)</f>
        <v>3532.42096613291</v>
      </c>
      <c r="Q530" s="0" t="n">
        <f aca="false">W_PH(Q$2,$A530)</f>
        <v>3532.44104736887</v>
      </c>
      <c r="R530" s="0" t="n">
        <f aca="false">W_PH(R$2,$A530)</f>
        <v>3532.46113224516</v>
      </c>
      <c r="S530" s="0" t="n">
        <f aca="false">W_PH(S$2,$A530)</f>
        <v>3532.48121719475</v>
      </c>
      <c r="T530" s="0" t="n">
        <f aca="false">W_PH(T$2,$A530)</f>
        <v>3532.50129865054</v>
      </c>
      <c r="U530" s="0" t="n">
        <f aca="false">W_PH(U$2,$A530)</f>
        <v>3532.52138018283</v>
      </c>
      <c r="V530" s="0" t="n">
        <f aca="false">W_PH(V$2,$A530)</f>
        <v>3532.54146536195</v>
      </c>
      <c r="W530" s="0" t="n">
        <f aca="false">W_PH(W$2,$A530)</f>
        <v>3532.56155062083</v>
      </c>
      <c r="X530" s="0" t="n">
        <f aca="false">W_PH(X$2,$A530)</f>
        <v>3532.58163239228</v>
      </c>
      <c r="Y530" s="0" t="n">
        <f aca="false">W_PH(Y$2,$A530)</f>
        <v>3532.78246920978</v>
      </c>
      <c r="Z530" s="0" t="n">
        <f aca="false">W_PH(Z$2,$A530)</f>
        <v>3532.98332307135</v>
      </c>
      <c r="AA530" s="0" t="n">
        <f aca="false">W_PH(AA$2,$A530)</f>
        <v>3533.18418131208</v>
      </c>
      <c r="AB530" s="0" t="n">
        <f aca="false">W_PH(AB$2,$A530)</f>
        <v>3533.38505268119</v>
      </c>
      <c r="AC530" s="0" t="n">
        <f aca="false">W_PH(AC$2,$A530)</f>
        <v>3533.5859352205</v>
      </c>
      <c r="AD530" s="0" t="n">
        <f aca="false">W_PH(AD$2,$A530)</f>
        <v>3533.78683411083</v>
      </c>
      <c r="AE530" s="0" t="n">
        <f aca="false">W_PH(AE$2,$A530)</f>
        <v>3533.98775096386</v>
      </c>
      <c r="AF530" s="0" t="n">
        <f aca="false">W_PH(AF$2,$A530)</f>
        <v>3534.18868739136</v>
      </c>
      <c r="AG530" s="0" t="n">
        <f aca="false">W_PH(AG$2,$A530)</f>
        <v>3534.38964143492</v>
      </c>
      <c r="AH530" s="0" t="n">
        <f aca="false">W_PH(AH$2,$A530)</f>
        <v>3536.40060178298</v>
      </c>
      <c r="AI530" s="0" t="n">
        <f aca="false">W_PH(AI$2,$A530)</f>
        <v>3538.41523299713</v>
      </c>
      <c r="AJ530" s="0" t="n">
        <f aca="false">W_PH(AJ$2,$A530)</f>
        <v>3540.43508062546</v>
      </c>
      <c r="AK530" s="0" t="n">
        <f aca="false">W_PH(AK$2,$A530)</f>
        <v>3542.46169128643</v>
      </c>
      <c r="AL530" s="0" t="n">
        <f aca="false">W_PH(AL$2,$A530)</f>
        <v>3544.49661987539</v>
      </c>
      <c r="AM530" s="0" t="n">
        <f aca="false">W_PH(AM$2,$A530)</f>
        <v>3546.54140816286</v>
      </c>
      <c r="AN530" s="0" t="n">
        <f aca="false">W_PH(AN$2,$A530)</f>
        <v>3548.5976170713</v>
      </c>
      <c r="AO530" s="0" t="n">
        <f aca="false">W_PH(AO$2,$A530)</f>
        <v>3550.66679455466</v>
      </c>
      <c r="AP530" s="0" t="n">
        <f aca="false">W_PH(AP$2,$A530)</f>
        <v>2015</v>
      </c>
      <c r="AQ530" s="0" t="n">
        <f aca="false">W_PH(AQ$2,$A530)</f>
        <v>2015</v>
      </c>
      <c r="AR530" s="0" t="n">
        <f aca="false">W_PH(AR$2,$A530)</f>
        <v>2015</v>
      </c>
      <c r="AS530" s="0" t="n">
        <f aca="false">W_PH(AS$2,$A530)</f>
        <v>2015</v>
      </c>
    </row>
    <row r="531" customFormat="false" ht="12.8" hidden="false" customHeight="false" outlineLevel="0" collapsed="false">
      <c r="A531" s="0" t="n">
        <v>2970.76526225279</v>
      </c>
      <c r="B531" s="0" t="n">
        <f aca="false">W_PH(B$2,$A531)</f>
        <v>2015</v>
      </c>
      <c r="C531" s="0" t="n">
        <f aca="false">W_PH(C$2,$A531)</f>
        <v>3535.15411951371</v>
      </c>
      <c r="D531" s="0" t="n">
        <f aca="false">W_PH(D$2,$A531)</f>
        <v>3535.15431581956</v>
      </c>
      <c r="E531" s="0" t="n">
        <f aca="false">W_PH(E$2,$A531)</f>
        <v>3535.15451925701</v>
      </c>
      <c r="F531" s="0" t="n">
        <f aca="false">W_PH(F$2,$A531)</f>
        <v>3535.15471912866</v>
      </c>
      <c r="G531" s="0" t="n">
        <f aca="false">W_PH(G$2,$A531)</f>
        <v>3535.15672854299</v>
      </c>
      <c r="H531" s="0" t="n">
        <f aca="false">W_PH(H$2,$A531)</f>
        <v>3535.15873439218</v>
      </c>
      <c r="I531" s="0" t="n">
        <f aca="false">W_PH(I$2,$A531)</f>
        <v>3535.16074380783</v>
      </c>
      <c r="J531" s="0" t="n">
        <f aca="false">W_PH(J$2,$A531)</f>
        <v>3535.16275322416</v>
      </c>
      <c r="K531" s="0" t="n">
        <f aca="false">W_PH(K$2,$A531)</f>
        <v>3535.16475907535</v>
      </c>
      <c r="L531" s="0" t="n">
        <f aca="false">W_PH(L$2,$A531)</f>
        <v>3535.16676849302</v>
      </c>
      <c r="M531" s="0" t="n">
        <f aca="false">W_PH(M$2,$A531)</f>
        <v>3535.16877791136</v>
      </c>
      <c r="N531" s="0" t="n">
        <f aca="false">W_PH(N$2,$A531)</f>
        <v>3535.17078376457</v>
      </c>
      <c r="O531" s="0" t="n">
        <f aca="false">W_PH(O$2,$A531)</f>
        <v>3535.17279318426</v>
      </c>
      <c r="P531" s="0" t="n">
        <f aca="false">W_PH(P$2,$A531)</f>
        <v>3535.19287672131</v>
      </c>
      <c r="Q531" s="0" t="n">
        <f aca="false">W_PH(Q$2,$A531)</f>
        <v>3535.21295676194</v>
      </c>
      <c r="R531" s="0" t="n">
        <f aca="false">W_PH(R$2,$A531)</f>
        <v>3535.23304400525</v>
      </c>
      <c r="S531" s="0" t="n">
        <f aca="false">W_PH(S$2,$A531)</f>
        <v>3535.25312418946</v>
      </c>
      <c r="T531" s="0" t="n">
        <f aca="false">W_PH(T$2,$A531)</f>
        <v>3535.27320444787</v>
      </c>
      <c r="U531" s="0" t="n">
        <f aca="false">W_PH(U$2,$A531)</f>
        <v>3535.29329191387</v>
      </c>
      <c r="V531" s="0" t="n">
        <f aca="false">W_PH(V$2,$A531)</f>
        <v>3535.31337232549</v>
      </c>
      <c r="W531" s="0" t="n">
        <f aca="false">W_PH(W$2,$A531)</f>
        <v>3535.33345638205</v>
      </c>
      <c r="X531" s="0" t="n">
        <f aca="false">W_PH(X$2,$A531)</f>
        <v>3535.35354051924</v>
      </c>
      <c r="Y531" s="0" t="n">
        <f aca="false">W_PH(Y$2,$A531)</f>
        <v>3535.55437241473</v>
      </c>
      <c r="Z531" s="0" t="n">
        <f aca="false">W_PH(Z$2,$A531)</f>
        <v>3535.75522127012</v>
      </c>
      <c r="AA531" s="0" t="n">
        <f aca="false">W_PH(AA$2,$A531)</f>
        <v>3535.95607442518</v>
      </c>
      <c r="AB531" s="0" t="n">
        <f aca="false">W_PH(AB$2,$A531)</f>
        <v>3536.15694061687</v>
      </c>
      <c r="AC531" s="0" t="n">
        <f aca="false">W_PH(AC$2,$A531)</f>
        <v>3536.35782145001</v>
      </c>
      <c r="AD531" s="0" t="n">
        <f aca="false">W_PH(AD$2,$A531)</f>
        <v>3536.5587149626</v>
      </c>
      <c r="AE531" s="0" t="n">
        <f aca="false">W_PH(AE$2,$A531)</f>
        <v>3536.7596263263</v>
      </c>
      <c r="AF531" s="0" t="n">
        <f aca="false">W_PH(AF$2,$A531)</f>
        <v>3536.96055357899</v>
      </c>
      <c r="AG531" s="0" t="n">
        <f aca="false">W_PH(AG$2,$A531)</f>
        <v>3537.16150189291</v>
      </c>
      <c r="AH531" s="0" t="n">
        <f aca="false">W_PH(AH$2,$A531)</f>
        <v>3539.17241098414</v>
      </c>
      <c r="AI531" s="0" t="n">
        <f aca="false">W_PH(AI$2,$A531)</f>
        <v>3541.18696424865</v>
      </c>
      <c r="AJ531" s="0" t="n">
        <f aca="false">W_PH(AJ$2,$A531)</f>
        <v>3543.20671497395</v>
      </c>
      <c r="AK531" s="0" t="n">
        <f aca="false">W_PH(AK$2,$A531)</f>
        <v>3545.23319610705</v>
      </c>
      <c r="AL531" s="0" t="n">
        <f aca="false">W_PH(AL$2,$A531)</f>
        <v>3547.26795958615</v>
      </c>
      <c r="AM531" s="0" t="n">
        <f aca="false">W_PH(AM$2,$A531)</f>
        <v>3549.31254424824</v>
      </c>
      <c r="AN531" s="0" t="n">
        <f aca="false">W_PH(AN$2,$A531)</f>
        <v>3551.3684937652</v>
      </c>
      <c r="AO531" s="0" t="n">
        <f aca="false">W_PH(AO$2,$A531)</f>
        <v>3553.4373603175</v>
      </c>
      <c r="AP531" s="0" t="n">
        <f aca="false">W_PH(AP$2,$A531)</f>
        <v>2015</v>
      </c>
      <c r="AQ531" s="0" t="n">
        <f aca="false">W_PH(AQ$2,$A531)</f>
        <v>2015</v>
      </c>
      <c r="AR531" s="0" t="n">
        <f aca="false">W_PH(AR$2,$A531)</f>
        <v>2015</v>
      </c>
      <c r="AS531" s="0" t="n">
        <f aca="false">W_PH(AS$2,$A531)</f>
        <v>2015</v>
      </c>
    </row>
    <row r="532" customFormat="false" ht="12.8" hidden="false" customHeight="false" outlineLevel="0" collapsed="false">
      <c r="A532" s="0" t="n">
        <v>2975.06448839209</v>
      </c>
      <c r="B532" s="0" t="n">
        <f aca="false">W_PH(B$2,$A532)</f>
        <v>2015</v>
      </c>
      <c r="C532" s="0" t="n">
        <f aca="false">W_PH(C$2,$A532)</f>
        <v>3537.92272451934</v>
      </c>
      <c r="D532" s="0" t="n">
        <f aca="false">W_PH(D$2,$A532)</f>
        <v>3537.92292452056</v>
      </c>
      <c r="E532" s="0" t="n">
        <f aca="false">W_PH(E$2,$A532)</f>
        <v>3537.9231245218</v>
      </c>
      <c r="F532" s="0" t="n">
        <f aca="false">W_PH(F$2,$A532)</f>
        <v>3537.92332808601</v>
      </c>
      <c r="G532" s="0" t="n">
        <f aca="false">W_PH(G$2,$A532)</f>
        <v>3537.92533522471</v>
      </c>
      <c r="H532" s="0" t="n">
        <f aca="false">W_PH(H$2,$A532)</f>
        <v>3537.92734236408</v>
      </c>
      <c r="I532" s="0" t="n">
        <f aca="false">W_PH(I$2,$A532)</f>
        <v>3537.9293495041</v>
      </c>
      <c r="J532" s="0" t="n">
        <f aca="false">W_PH(J$2,$A532)</f>
        <v>3537.93135664478</v>
      </c>
      <c r="K532" s="0" t="n">
        <f aca="false">W_PH(K$2,$A532)</f>
        <v>3537.9333673491</v>
      </c>
      <c r="L532" s="0" t="n">
        <f aca="false">W_PH(L$2,$A532)</f>
        <v>3537.9353780541</v>
      </c>
      <c r="M532" s="0" t="n">
        <f aca="false">W_PH(M$2,$A532)</f>
        <v>3537.93738519678</v>
      </c>
      <c r="N532" s="0" t="n">
        <f aca="false">W_PH(N$2,$A532)</f>
        <v>3537.93939234012</v>
      </c>
      <c r="O532" s="0" t="n">
        <f aca="false">W_PH(O$2,$A532)</f>
        <v>3537.94139948413</v>
      </c>
      <c r="P532" s="0" t="n">
        <f aca="false">W_PH(P$2,$A532)</f>
        <v>3537.96148165042</v>
      </c>
      <c r="Q532" s="0" t="n">
        <f aca="false">W_PH(Q$2,$A532)</f>
        <v>3537.98156388544</v>
      </c>
      <c r="R532" s="0" t="n">
        <f aca="false">W_PH(R$2,$A532)</f>
        <v>3538.0016461908</v>
      </c>
      <c r="S532" s="0" t="n">
        <f aca="false">W_PH(S$2,$A532)</f>
        <v>3538.0217285681</v>
      </c>
      <c r="T532" s="0" t="n">
        <f aca="false">W_PH(T$2,$A532)</f>
        <v>3538.04181101894</v>
      </c>
      <c r="U532" s="0" t="n">
        <f aca="false">W_PH(U$2,$A532)</f>
        <v>3538.0618935449</v>
      </c>
      <c r="V532" s="0" t="n">
        <f aca="false">W_PH(V$2,$A532)</f>
        <v>3538.0819761476</v>
      </c>
      <c r="W532" s="0" t="n">
        <f aca="false">W_PH(W$2,$A532)</f>
        <v>3538.10205882863</v>
      </c>
      <c r="X532" s="0" t="n">
        <f aca="false">W_PH(X$2,$A532)</f>
        <v>3538.12214158958</v>
      </c>
      <c r="Y532" s="0" t="n">
        <f aca="false">W_PH(Y$2,$A532)</f>
        <v>3538.32297038323</v>
      </c>
      <c r="Z532" s="0" t="n">
        <f aca="false">W_PH(Z$2,$A532)</f>
        <v>3538.5238124903</v>
      </c>
      <c r="AA532" s="0" t="n">
        <f aca="false">W_PH(AA$2,$A532)</f>
        <v>3538.72465881841</v>
      </c>
      <c r="AB532" s="0" t="n">
        <f aca="false">W_PH(AB$2,$A532)</f>
        <v>3538.92551809232</v>
      </c>
      <c r="AC532" s="0" t="n">
        <f aca="false">W_PH(AC$2,$A532)</f>
        <v>3539.12639191027</v>
      </c>
      <c r="AD532" s="0" t="n">
        <f aca="false">W_PH(AD$2,$A532)</f>
        <v>3539.32728187064</v>
      </c>
      <c r="AE532" s="0" t="n">
        <f aca="false">W_PH(AE$2,$A532)</f>
        <v>3539.5281895719</v>
      </c>
      <c r="AF532" s="0" t="n">
        <f aca="false">W_PH(AF$2,$A532)</f>
        <v>3539.72911304821</v>
      </c>
      <c r="AG532" s="0" t="n">
        <f aca="false">W_PH(AG$2,$A532)</f>
        <v>3539.9300574624</v>
      </c>
      <c r="AH532" s="0" t="n">
        <f aca="false">W_PH(AH$2,$A532)</f>
        <v>3541.94089443211</v>
      </c>
      <c r="AI532" s="0" t="n">
        <f aca="false">W_PH(AI$2,$A532)</f>
        <v>3543.95536688485</v>
      </c>
      <c r="AJ532" s="0" t="n">
        <f aca="false">W_PH(AJ$2,$A532)</f>
        <v>3545.9750109025</v>
      </c>
      <c r="AK532" s="0" t="n">
        <f aca="false">W_PH(AK$2,$A532)</f>
        <v>3548.00135651532</v>
      </c>
      <c r="AL532" s="0" t="n">
        <f aca="false">W_PH(AL$2,$A532)</f>
        <v>3550.03594202525</v>
      </c>
      <c r="AM532" s="0" t="n">
        <f aca="false">W_PH(AM$2,$A532)</f>
        <v>3552.08031050818</v>
      </c>
      <c r="AN532" s="0" t="n">
        <f aca="false">W_PH(AN$2,$A532)</f>
        <v>3554.13599559312</v>
      </c>
      <c r="AO532" s="0" t="n">
        <f aca="false">W_PH(AO$2,$A532)</f>
        <v>3556.20453941024</v>
      </c>
      <c r="AP532" s="0" t="n">
        <f aca="false">W_PH(AP$2,$A532)</f>
        <v>2015</v>
      </c>
      <c r="AQ532" s="0" t="n">
        <f aca="false">W_PH(AQ$2,$A532)</f>
        <v>2015</v>
      </c>
      <c r="AR532" s="0" t="n">
        <f aca="false">W_PH(AR$2,$A532)</f>
        <v>2015</v>
      </c>
      <c r="AS532" s="0" t="n">
        <f aca="false">W_PH(AS$2,$A532)</f>
        <v>2015</v>
      </c>
    </row>
    <row r="533" customFormat="false" ht="12.8" hidden="false" customHeight="false" outlineLevel="0" collapsed="false">
      <c r="A533" s="0" t="n">
        <v>2979.36371453138</v>
      </c>
      <c r="B533" s="0" t="n">
        <f aca="false">W_PH(B$2,$A533)</f>
        <v>2015</v>
      </c>
      <c r="C533" s="0" t="n">
        <f aca="false">W_PH(C$2,$A533)</f>
        <v>3540.68803697109</v>
      </c>
      <c r="D533" s="0" t="n">
        <f aca="false">W_PH(D$2,$A533)</f>
        <v>3540.68823709996</v>
      </c>
      <c r="E533" s="0" t="n">
        <f aca="false">W_PH(E$2,$A533)</f>
        <v>3540.68843722883</v>
      </c>
      <c r="F533" s="0" t="n">
        <f aca="false">W_PH(F$2,$A533)</f>
        <v>3540.68863735771</v>
      </c>
      <c r="G533" s="0" t="n">
        <f aca="false">W_PH(G$2,$A533)</f>
        <v>3540.69064576718</v>
      </c>
      <c r="H533" s="0" t="n">
        <f aca="false">W_PH(H$2,$A533)</f>
        <v>3540.6926541773</v>
      </c>
      <c r="I533" s="0" t="n">
        <f aca="false">W_PH(I$2,$A533)</f>
        <v>3540.69466258808</v>
      </c>
      <c r="J533" s="0" t="n">
        <f aca="false">W_PH(J$2,$A533)</f>
        <v>3540.69667099951</v>
      </c>
      <c r="K533" s="0" t="n">
        <f aca="false">W_PH(K$2,$A533)</f>
        <v>3540.6986794116</v>
      </c>
      <c r="L533" s="0" t="n">
        <f aca="false">W_PH(L$2,$A533)</f>
        <v>3540.70068782435</v>
      </c>
      <c r="M533" s="0" t="n">
        <f aca="false">W_PH(M$2,$A533)</f>
        <v>3540.70269623776</v>
      </c>
      <c r="N533" s="0" t="n">
        <f aca="false">W_PH(N$2,$A533)</f>
        <v>3540.70470465183</v>
      </c>
      <c r="O533" s="0" t="n">
        <f aca="false">W_PH(O$2,$A533)</f>
        <v>3540.70671306657</v>
      </c>
      <c r="P533" s="0" t="n">
        <f aca="false">W_PH(P$2,$A533)</f>
        <v>3540.72679369058</v>
      </c>
      <c r="Q533" s="0" t="n">
        <f aca="false">W_PH(Q$2,$A533)</f>
        <v>3540.74687438267</v>
      </c>
      <c r="R533" s="0" t="n">
        <f aca="false">W_PH(R$2,$A533)</f>
        <v>3540.76695870466</v>
      </c>
      <c r="S533" s="0" t="n">
        <f aca="false">W_PH(S$2,$A533)</f>
        <v>3540.78703597747</v>
      </c>
      <c r="T533" s="0" t="n">
        <f aca="false">W_PH(T$2,$A533)</f>
        <v>3540.80712044362</v>
      </c>
      <c r="U533" s="0" t="n">
        <f aca="false">W_PH(U$2,$A533)</f>
        <v>3540.82720142397</v>
      </c>
      <c r="V533" s="0" t="n">
        <f aca="false">W_PH(V$2,$A533)</f>
        <v>3540.84728248036</v>
      </c>
      <c r="W533" s="0" t="n">
        <f aca="false">W_PH(W$2,$A533)</f>
        <v>3540.86736717469</v>
      </c>
      <c r="X533" s="0" t="n">
        <f aca="false">W_PH(X$2,$A533)</f>
        <v>3540.88744482763</v>
      </c>
      <c r="Y533" s="0" t="n">
        <f aca="false">W_PH(Y$2,$A533)</f>
        <v>3541.08826878839</v>
      </c>
      <c r="Z533" s="0" t="n">
        <f aca="false">W_PH(Z$2,$A533)</f>
        <v>3541.28910242254</v>
      </c>
      <c r="AA533" s="0" t="n">
        <f aca="false">W_PH(AA$2,$A533)</f>
        <v>3541.48994732159</v>
      </c>
      <c r="AB533" s="0" t="n">
        <f aca="false">W_PH(AB$2,$A533)</f>
        <v>3541.69080151616</v>
      </c>
      <c r="AC533" s="0" t="n">
        <f aca="false">W_PH(AC$2,$A533)</f>
        <v>3541.89167015864</v>
      </c>
      <c r="AD533" s="0" t="n">
        <f aca="false">W_PH(AD$2,$A533)</f>
        <v>3542.09255127956</v>
      </c>
      <c r="AE533" s="0" t="n">
        <f aca="false">W_PH(AE$2,$A533)</f>
        <v>3542.29345003185</v>
      </c>
      <c r="AF533" s="0" t="n">
        <f aca="false">W_PH(AF$2,$A533)</f>
        <v>3542.49436800758</v>
      </c>
      <c r="AG533" s="0" t="n">
        <f aca="false">W_PH(AG$2,$A533)</f>
        <v>3542.69530323715</v>
      </c>
      <c r="AH533" s="0" t="n">
        <f aca="false">W_PH(AH$2,$A533)</f>
        <v>3544.70606877848</v>
      </c>
      <c r="AI533" s="0" t="n">
        <f aca="false">W_PH(AI$2,$A533)</f>
        <v>3546.720447005</v>
      </c>
      <c r="AJ533" s="0" t="n">
        <f aca="false">W_PH(AJ$2,$A533)</f>
        <v>3548.73997466337</v>
      </c>
      <c r="AK533" s="0" t="n">
        <f aca="false">W_PH(AK$2,$A533)</f>
        <v>3550.76617176934</v>
      </c>
      <c r="AL533" s="0" t="n">
        <f aca="false">W_PH(AL$2,$A533)</f>
        <v>3552.80057731319</v>
      </c>
      <c r="AM533" s="0" t="n">
        <f aca="false">W_PH(AM$2,$A533)</f>
        <v>3554.84472078956</v>
      </c>
      <c r="AN533" s="0" t="n">
        <f aca="false">W_PH(AN$2,$A533)</f>
        <v>3556.90013296539</v>
      </c>
      <c r="AO533" s="0" t="n">
        <f aca="false">W_PH(AO$2,$A533)</f>
        <v>3558.96835311239</v>
      </c>
      <c r="AP533" s="0" t="n">
        <f aca="false">W_PH(AP$2,$A533)</f>
        <v>2015</v>
      </c>
      <c r="AQ533" s="0" t="n">
        <f aca="false">W_PH(AQ$2,$A533)</f>
        <v>2015</v>
      </c>
      <c r="AR533" s="0" t="n">
        <f aca="false">W_PH(AR$2,$A533)</f>
        <v>2015</v>
      </c>
      <c r="AS533" s="0" t="n">
        <f aca="false">W_PH(AS$2,$A533)</f>
        <v>2015</v>
      </c>
    </row>
    <row r="534" customFormat="false" ht="12.8" hidden="false" customHeight="false" outlineLevel="0" collapsed="false">
      <c r="A534" s="0" t="n">
        <v>2983.66294067068</v>
      </c>
      <c r="B534" s="0" t="n">
        <f aca="false">W_PH(B$2,$A534)</f>
        <v>2015</v>
      </c>
      <c r="C534" s="0" t="n">
        <f aca="false">W_PH(C$2,$A534)</f>
        <v>3543.45006245922</v>
      </c>
      <c r="D534" s="0" t="n">
        <f aca="false">W_PH(D$2,$A534)</f>
        <v>3543.4502627138</v>
      </c>
      <c r="E534" s="0" t="n">
        <f aca="false">W_PH(E$2,$A534)</f>
        <v>3543.45046652575</v>
      </c>
      <c r="F534" s="0" t="n">
        <f aca="false">W_PH(F$2,$A534)</f>
        <v>3543.45066322298</v>
      </c>
      <c r="G534" s="0" t="n">
        <f aca="false">W_PH(G$2,$A534)</f>
        <v>3543.452672884</v>
      </c>
      <c r="H534" s="0" t="n">
        <f aca="false">W_PH(H$2,$A534)</f>
        <v>3543.45468254566</v>
      </c>
      <c r="I534" s="0" t="n">
        <f aca="false">W_PH(I$2,$A534)</f>
        <v>3543.45669220797</v>
      </c>
      <c r="J534" s="0" t="n">
        <f aca="false">W_PH(J$2,$A534)</f>
        <v>3543.45869831357</v>
      </c>
      <c r="K534" s="0" t="n">
        <f aca="false">W_PH(K$2,$A534)</f>
        <v>3543.46070441982</v>
      </c>
      <c r="L534" s="0" t="n">
        <f aca="false">W_PH(L$2,$A534)</f>
        <v>3543.46271408408</v>
      </c>
      <c r="M534" s="0" t="n">
        <f aca="false">W_PH(M$2,$A534)</f>
        <v>3543.464723749</v>
      </c>
      <c r="N534" s="0" t="n">
        <f aca="false">W_PH(N$2,$A534)</f>
        <v>3543.46672985721</v>
      </c>
      <c r="O534" s="0" t="n">
        <f aca="false">W_PH(O$2,$A534)</f>
        <v>3543.46873596607</v>
      </c>
      <c r="P534" s="0" t="n">
        <f aca="false">W_PH(P$2,$A534)</f>
        <v>3543.4888184354</v>
      </c>
      <c r="Q534" s="0" t="n">
        <f aca="false">W_PH(Q$2,$A534)</f>
        <v>3543.5089009722</v>
      </c>
      <c r="R534" s="0" t="n">
        <f aca="false">W_PH(R$2,$A534)</f>
        <v>3543.52898002063</v>
      </c>
      <c r="S534" s="0" t="n">
        <f aca="false">W_PH(S$2,$A534)</f>
        <v>3543.54905913966</v>
      </c>
      <c r="T534" s="0" t="n">
        <f aca="false">W_PH(T$2,$A534)</f>
        <v>3543.56914188833</v>
      </c>
      <c r="U534" s="0" t="n">
        <f aca="false">W_PH(U$2,$A534)</f>
        <v>3543.58922471081</v>
      </c>
      <c r="V534" s="0" t="n">
        <f aca="false">W_PH(V$2,$A534)</f>
        <v>3543.60930405119</v>
      </c>
      <c r="W534" s="0" t="n">
        <f aca="false">W_PH(W$2,$A534)</f>
        <v>3543.62938346851</v>
      </c>
      <c r="X534" s="0" t="n">
        <f aca="false">W_PH(X$2,$A534)</f>
        <v>3543.64946652187</v>
      </c>
      <c r="Y534" s="0" t="n">
        <f aca="false">W_PH(Y$2,$A534)</f>
        <v>3543.85028393653</v>
      </c>
      <c r="Z534" s="0" t="n">
        <f aca="false">W_PH(Z$2,$A534)</f>
        <v>3544.05111094884</v>
      </c>
      <c r="AA534" s="0" t="n">
        <f aca="false">W_PH(AA$2,$A534)</f>
        <v>3544.2519455858</v>
      </c>
      <c r="AB534" s="0" t="n">
        <f aca="false">W_PH(AB$2,$A534)</f>
        <v>3544.4527929902</v>
      </c>
      <c r="AC534" s="0" t="n">
        <f aca="false">W_PH(AC$2,$A534)</f>
        <v>3544.6536547473</v>
      </c>
      <c r="AD534" s="0" t="n">
        <f aca="false">W_PH(AD$2,$A534)</f>
        <v>3544.85452532546</v>
      </c>
      <c r="AE534" s="0" t="n">
        <f aca="false">W_PH(AE$2,$A534)</f>
        <v>3545.05542054376</v>
      </c>
      <c r="AF534" s="0" t="n">
        <f aca="false">W_PH(AF$2,$A534)</f>
        <v>3545.25632775353</v>
      </c>
      <c r="AG534" s="0" t="n">
        <f aca="false">W_PH(AG$2,$A534)</f>
        <v>3545.45725565743</v>
      </c>
      <c r="AH534" s="0" t="n">
        <f aca="false">W_PH(AH$2,$A534)</f>
        <v>3547.46793635554</v>
      </c>
      <c r="AI534" s="0" t="n">
        <f aca="false">W_PH(AI$2,$A534)</f>
        <v>3549.48221422587</v>
      </c>
      <c r="AJ534" s="0" t="n">
        <f aca="false">W_PH(AJ$2,$A534)</f>
        <v>3551.50161602619</v>
      </c>
      <c r="AK534" s="0" t="n">
        <f aca="false">W_PH(AK$2,$A534)</f>
        <v>3553.52765892824</v>
      </c>
      <c r="AL534" s="0" t="n">
        <f aca="false">W_PH(AL$2,$A534)</f>
        <v>3555.56187550915</v>
      </c>
      <c r="AM534" s="0" t="n">
        <f aca="false">W_PH(AM$2,$A534)</f>
        <v>3557.6057852964</v>
      </c>
      <c r="AN534" s="0" t="n">
        <f aca="false">W_PH(AN$2,$A534)</f>
        <v>3559.66091979691</v>
      </c>
      <c r="AO534" s="0" t="n">
        <f aca="false">W_PH(AO$2,$A534)</f>
        <v>3561.72880831911</v>
      </c>
      <c r="AP534" s="0" t="n">
        <f aca="false">W_PH(AP$2,$A534)</f>
        <v>2015</v>
      </c>
      <c r="AQ534" s="0" t="n">
        <f aca="false">W_PH(AQ$2,$A534)</f>
        <v>2015</v>
      </c>
      <c r="AR534" s="0" t="n">
        <f aca="false">W_PH(AR$2,$A534)</f>
        <v>2015</v>
      </c>
      <c r="AS534" s="0" t="n">
        <f aca="false">W_PH(AS$2,$A534)</f>
        <v>2015</v>
      </c>
    </row>
    <row r="535" customFormat="false" ht="12.8" hidden="false" customHeight="false" outlineLevel="0" collapsed="false">
      <c r="A535" s="0" t="n">
        <v>2987.96216680997</v>
      </c>
      <c r="B535" s="0" t="n">
        <f aca="false">W_PH(B$2,$A535)</f>
        <v>2015</v>
      </c>
      <c r="C535" s="0" t="n">
        <f aca="false">W_PH(C$2,$A535)</f>
        <v>3546.20881364396</v>
      </c>
      <c r="D535" s="0" t="n">
        <f aca="false">W_PH(D$2,$A535)</f>
        <v>3546.20901402235</v>
      </c>
      <c r="E535" s="0" t="n">
        <f aca="false">W_PH(E$2,$A535)</f>
        <v>3546.20921440075</v>
      </c>
      <c r="F535" s="0" t="n">
        <f aca="false">W_PH(F$2,$A535)</f>
        <v>3546.20941833371</v>
      </c>
      <c r="G535" s="0" t="n">
        <f aca="false">W_PH(G$2,$A535)</f>
        <v>3546.21142211811</v>
      </c>
      <c r="H535" s="0" t="n">
        <f aca="false">W_PH(H$2,$A535)</f>
        <v>3546.21343301226</v>
      </c>
      <c r="I535" s="0" t="n">
        <f aca="false">W_PH(I$2,$A535)</f>
        <v>3546.2154403525</v>
      </c>
      <c r="J535" s="0" t="n">
        <f aca="false">W_PH(J$2,$A535)</f>
        <v>3546.21744769338</v>
      </c>
      <c r="K535" s="0" t="n">
        <f aca="false">W_PH(K$2,$A535)</f>
        <v>3546.21945858947</v>
      </c>
      <c r="L535" s="0" t="n">
        <f aca="false">W_PH(L$2,$A535)</f>
        <v>3546.22146237708</v>
      </c>
      <c r="M535" s="0" t="n">
        <f aca="false">W_PH(M$2,$A535)</f>
        <v>3546.22347327446</v>
      </c>
      <c r="N535" s="0" t="n">
        <f aca="false">W_PH(N$2,$A535)</f>
        <v>3546.22548061793</v>
      </c>
      <c r="O535" s="0" t="n">
        <f aca="false">W_PH(O$2,$A535)</f>
        <v>3546.22748796205</v>
      </c>
      <c r="P535" s="0" t="n">
        <f aca="false">W_PH(P$2,$A535)</f>
        <v>3546.24756854851</v>
      </c>
      <c r="Q535" s="0" t="n">
        <f aca="false">W_PH(Q$2,$A535)</f>
        <v>3546.26764920179</v>
      </c>
      <c r="R535" s="0" t="n">
        <f aca="false">W_PH(R$2,$A535)</f>
        <v>3546.28772992348</v>
      </c>
      <c r="S535" s="0" t="n">
        <f aca="false">W_PH(S$2,$A535)</f>
        <v>3546.30781071514</v>
      </c>
      <c r="T535" s="0" t="n">
        <f aca="false">W_PH(T$2,$A535)</f>
        <v>3546.32788802371</v>
      </c>
      <c r="U535" s="0" t="n">
        <f aca="false">W_PH(U$2,$A535)</f>
        <v>3546.34796896005</v>
      </c>
      <c r="V535" s="0" t="n">
        <f aca="false">W_PH(V$2,$A535)</f>
        <v>3546.36804641642</v>
      </c>
      <c r="W535" s="0" t="n">
        <f aca="false">W_PH(W$2,$A535)</f>
        <v>3546.38812750375</v>
      </c>
      <c r="X535" s="0" t="n">
        <f aca="false">W_PH(X$2,$A535)</f>
        <v>3546.40820866895</v>
      </c>
      <c r="Y535" s="0" t="n">
        <f aca="false">W_PH(Y$2,$A535)</f>
        <v>3546.60901784132</v>
      </c>
      <c r="Z535" s="0" t="n">
        <f aca="false">W_PH(Z$2,$A535)</f>
        <v>3546.80983653639</v>
      </c>
      <c r="AA535" s="0" t="n">
        <f aca="false">W_PH(AA$2,$A535)</f>
        <v>3547.01066277752</v>
      </c>
      <c r="AB535" s="0" t="n">
        <f aca="false">W_PH(AB$2,$A535)</f>
        <v>3547.21150169824</v>
      </c>
      <c r="AC535" s="0" t="n">
        <f aca="false">W_PH(AC$2,$A535)</f>
        <v>3547.41235487734</v>
      </c>
      <c r="AD535" s="0" t="n">
        <f aca="false">W_PH(AD$2,$A535)</f>
        <v>3547.61322389371</v>
      </c>
      <c r="AE535" s="0" t="n">
        <f aca="false">W_PH(AE$2,$A535)</f>
        <v>3547.81410677055</v>
      </c>
      <c r="AF535" s="0" t="n">
        <f aca="false">W_PH(AF$2,$A535)</f>
        <v>3548.0150050865</v>
      </c>
      <c r="AG535" s="0" t="n">
        <f aca="false">W_PH(AG$2,$A535)</f>
        <v>3548.21592397649</v>
      </c>
      <c r="AH535" s="0" t="n">
        <f aca="false">W_PH(AH$2,$A535)</f>
        <v>3550.2265101375</v>
      </c>
      <c r="AI535" s="0" t="n">
        <f aca="false">W_PH(AI$2,$A535)</f>
        <v>3552.24067810852</v>
      </c>
      <c r="AJ535" s="0" t="n">
        <f aca="false">W_PH(AJ$2,$A535)</f>
        <v>3554.25994470309</v>
      </c>
      <c r="AK535" s="0" t="n">
        <f aca="false">W_PH(AK$2,$A535)</f>
        <v>3556.28582784421</v>
      </c>
      <c r="AL535" s="0" t="n">
        <f aca="false">W_PH(AL$2,$A535)</f>
        <v>3558.31984304784</v>
      </c>
      <c r="AM535" s="0" t="n">
        <f aca="false">W_PH(AM$2,$A535)</f>
        <v>3560.36351417026</v>
      </c>
      <c r="AN535" s="0" t="n">
        <f aca="false">W_PH(AN$2,$A535)</f>
        <v>3562.418362794</v>
      </c>
      <c r="AO535" s="0" t="n">
        <f aca="false">W_PH(AO$2,$A535)</f>
        <v>3564.48590473688</v>
      </c>
      <c r="AP535" s="0" t="n">
        <f aca="false">W_PH(AP$2,$A535)</f>
        <v>2015</v>
      </c>
      <c r="AQ535" s="0" t="n">
        <f aca="false">W_PH(AQ$2,$A535)</f>
        <v>2015</v>
      </c>
      <c r="AR535" s="0" t="n">
        <f aca="false">W_PH(AR$2,$A535)</f>
        <v>2015</v>
      </c>
      <c r="AS535" s="0" t="n">
        <f aca="false">W_PH(AS$2,$A535)</f>
        <v>2015</v>
      </c>
    </row>
    <row r="536" customFormat="false" ht="12.8" hidden="false" customHeight="false" outlineLevel="0" collapsed="false">
      <c r="A536" s="0" t="n">
        <v>2992.26139294927</v>
      </c>
      <c r="B536" s="0" t="n">
        <f aca="false">W_PH(B$2,$A536)</f>
        <v>2015</v>
      </c>
      <c r="C536" s="0" t="n">
        <f aca="false">W_PH(C$2,$A536)</f>
        <v>3548.96429602085</v>
      </c>
      <c r="D536" s="0" t="n">
        <f aca="false">W_PH(D$2,$A536)</f>
        <v>3548.96450007292</v>
      </c>
      <c r="E536" s="0" t="n">
        <f aca="false">W_PH(E$2,$A536)</f>
        <v>3548.96469702148</v>
      </c>
      <c r="F536" s="0" t="n">
        <f aca="false">W_PH(F$2,$A536)</f>
        <v>3548.96490107357</v>
      </c>
      <c r="G536" s="0" t="n">
        <f aca="false">W_PH(G$2,$A536)</f>
        <v>3548.96690607719</v>
      </c>
      <c r="H536" s="0" t="n">
        <f aca="false">W_PH(H$2,$A536)</f>
        <v>3548.96891818498</v>
      </c>
      <c r="I536" s="0" t="n">
        <f aca="false">W_PH(I$2,$A536)</f>
        <v>3548.97092318987</v>
      </c>
      <c r="J536" s="0" t="n">
        <f aca="false">W_PH(J$2,$A536)</f>
        <v>3548.97293174716</v>
      </c>
      <c r="K536" s="0" t="n">
        <f aca="false">W_PH(K$2,$A536)</f>
        <v>3548.9749403051</v>
      </c>
      <c r="L536" s="0" t="n">
        <f aca="false">W_PH(L$2,$A536)</f>
        <v>3548.9769453119</v>
      </c>
      <c r="M536" s="0" t="n">
        <f aca="false">W_PH(M$2,$A536)</f>
        <v>3548.97895742288</v>
      </c>
      <c r="N536" s="0" t="n">
        <f aca="false">W_PH(N$2,$A536)</f>
        <v>3548.98096243097</v>
      </c>
      <c r="O536" s="0" t="n">
        <f aca="false">W_PH(O$2,$A536)</f>
        <v>3548.98297099147</v>
      </c>
      <c r="P536" s="0" t="n">
        <f aca="false">W_PH(P$2,$A536)</f>
        <v>3549.00304952873</v>
      </c>
      <c r="Q536" s="0" t="n">
        <f aca="false">W_PH(Q$2,$A536)</f>
        <v>3549.023131684</v>
      </c>
      <c r="R536" s="0" t="n">
        <f aca="false">W_PH(R$2,$A536)</f>
        <v>3549.04321035522</v>
      </c>
      <c r="S536" s="0" t="n">
        <f aca="false">W_PH(S$2,$A536)</f>
        <v>3549.06328909578</v>
      </c>
      <c r="T536" s="0" t="n">
        <f aca="false">W_PH(T$2,$A536)</f>
        <v>3549.08336790724</v>
      </c>
      <c r="U536" s="0" t="n">
        <f aca="false">W_PH(U$2,$A536)</f>
        <v>3549.10344679117</v>
      </c>
      <c r="V536" s="0" t="n">
        <f aca="false">W_PH(V$2,$A536)</f>
        <v>3549.12352574915</v>
      </c>
      <c r="W536" s="0" t="n">
        <f aca="false">W_PH(W$2,$A536)</f>
        <v>3549.14360478275</v>
      </c>
      <c r="X536" s="0" t="n">
        <f aca="false">W_PH(X$2,$A536)</f>
        <v>3549.16368389354</v>
      </c>
      <c r="Y536" s="0" t="n">
        <f aca="false">W_PH(Y$2,$A536)</f>
        <v>3549.36448669683</v>
      </c>
      <c r="Z536" s="0" t="n">
        <f aca="false">W_PH(Z$2,$A536)</f>
        <v>3549.56529184451</v>
      </c>
      <c r="AA536" s="0" t="n">
        <f aca="false">W_PH(AA$2,$A536)</f>
        <v>3549.76611156493</v>
      </c>
      <c r="AB536" s="0" t="n">
        <f aca="false">W_PH(AB$2,$A536)</f>
        <v>3549.96694387826</v>
      </c>
      <c r="AC536" s="0" t="n">
        <f aca="false">W_PH(AC$2,$A536)</f>
        <v>3550.16778680419</v>
      </c>
      <c r="AD536" s="0" t="n">
        <f aca="false">W_PH(AD$2,$A536)</f>
        <v>3550.36864191473</v>
      </c>
      <c r="AE536" s="0" t="n">
        <f aca="false">W_PH(AE$2,$A536)</f>
        <v>3550.56951433501</v>
      </c>
      <c r="AF536" s="0" t="n">
        <f aca="false">W_PH(AF$2,$A536)</f>
        <v>3550.77040563777</v>
      </c>
      <c r="AG536" s="0" t="n">
        <f aca="false">W_PH(AG$2,$A536)</f>
        <v>3550.97131739582</v>
      </c>
      <c r="AH536" s="0" t="n">
        <f aca="false">W_PH(AH$2,$A536)</f>
        <v>3552.98179947883</v>
      </c>
      <c r="AI536" s="0" t="n">
        <f aca="false">W_PH(AI$2,$A536)</f>
        <v>3554.99584815875</v>
      </c>
      <c r="AJ536" s="0" t="n">
        <f aca="false">W_PH(AJ$2,$A536)</f>
        <v>3557.01497034925</v>
      </c>
      <c r="AK536" s="0" t="n">
        <f aca="false">W_PH(AK$2,$A536)</f>
        <v>3559.04068119221</v>
      </c>
      <c r="AL536" s="0" t="n">
        <f aca="false">W_PH(AL$2,$A536)</f>
        <v>3561.07449699746</v>
      </c>
      <c r="AM536" s="0" t="n">
        <f aca="false">W_PH(AM$2,$A536)</f>
        <v>3563.11791749071</v>
      </c>
      <c r="AN536" s="0" t="n">
        <f aca="false">W_PH(AN$2,$A536)</f>
        <v>3565.17247217464</v>
      </c>
      <c r="AO536" s="0" t="n">
        <f aca="false">W_PH(AO$2,$A536)</f>
        <v>3567.23966699461</v>
      </c>
      <c r="AP536" s="0" t="n">
        <f aca="false">W_PH(AP$2,$A536)</f>
        <v>2015</v>
      </c>
      <c r="AQ536" s="0" t="n">
        <f aca="false">W_PH(AQ$2,$A536)</f>
        <v>2015</v>
      </c>
      <c r="AR536" s="0" t="n">
        <f aca="false">W_PH(AR$2,$A536)</f>
        <v>2015</v>
      </c>
      <c r="AS536" s="0" t="n">
        <f aca="false">W_PH(AS$2,$A536)</f>
        <v>2015</v>
      </c>
    </row>
    <row r="537" customFormat="false" ht="12.8" hidden="false" customHeight="false" outlineLevel="0" collapsed="false">
      <c r="A537" s="0" t="n">
        <v>2996.56061908856</v>
      </c>
      <c r="B537" s="0" t="n">
        <f aca="false">W_PH(B$2,$A537)</f>
        <v>2015</v>
      </c>
      <c r="C537" s="0" t="n">
        <f aca="false">W_PH(C$2,$A537)</f>
        <v>3551.71652214495</v>
      </c>
      <c r="D537" s="0" t="n">
        <f aca="false">W_PH(D$2,$A537)</f>
        <v>3551.71672276532</v>
      </c>
      <c r="E537" s="0" t="n">
        <f aca="false">W_PH(E$2,$A537)</f>
        <v>3551.71692693466</v>
      </c>
      <c r="F537" s="0" t="n">
        <f aca="false">W_PH(F$2,$A537)</f>
        <v>3551.71712400607</v>
      </c>
      <c r="G537" s="0" t="n">
        <f aca="false">W_PH(G$2,$A537)</f>
        <v>3551.71913375919</v>
      </c>
      <c r="H537" s="0" t="n">
        <f aca="false">W_PH(H$2,$A537)</f>
        <v>3551.72114351294</v>
      </c>
      <c r="I537" s="0" t="n">
        <f aca="false">W_PH(I$2,$A537)</f>
        <v>3551.72314971834</v>
      </c>
      <c r="J537" s="0" t="n">
        <f aca="false">W_PH(J$2,$A537)</f>
        <v>3551.72515592437</v>
      </c>
      <c r="K537" s="0" t="n">
        <f aca="false">W_PH(K$2,$A537)</f>
        <v>3551.72716213104</v>
      </c>
      <c r="L537" s="0" t="n">
        <f aca="false">W_PH(L$2,$A537)</f>
        <v>3551.72917188731</v>
      </c>
      <c r="M537" s="0" t="n">
        <f aca="false">W_PH(M$2,$A537)</f>
        <v>3551.73118164423</v>
      </c>
      <c r="N537" s="0" t="n">
        <f aca="false">W_PH(N$2,$A537)</f>
        <v>3551.73318785279</v>
      </c>
      <c r="O537" s="0" t="n">
        <f aca="false">W_PH(O$2,$A537)</f>
        <v>3551.735194062</v>
      </c>
      <c r="P537" s="0" t="n">
        <f aca="false">W_PH(P$2,$A537)</f>
        <v>3551.75527393444</v>
      </c>
      <c r="Q537" s="0" t="n">
        <f aca="false">W_PH(Q$2,$A537)</f>
        <v>3551.77535387248</v>
      </c>
      <c r="R537" s="0" t="n">
        <f aca="false">W_PH(R$2,$A537)</f>
        <v>3551.79543032863</v>
      </c>
      <c r="S537" s="0" t="n">
        <f aca="false">W_PH(S$2,$A537)</f>
        <v>3551.81550685348</v>
      </c>
      <c r="T537" s="0" t="n">
        <f aca="false">W_PH(T$2,$A537)</f>
        <v>3551.83558699764</v>
      </c>
      <c r="U537" s="0" t="n">
        <f aca="false">W_PH(U$2,$A537)</f>
        <v>3551.85566721365</v>
      </c>
      <c r="V537" s="0" t="n">
        <f aca="false">W_PH(V$2,$A537)</f>
        <v>3551.87574395399</v>
      </c>
      <c r="W537" s="0" t="n">
        <f aca="false">W_PH(W$2,$A537)</f>
        <v>3551.89582076927</v>
      </c>
      <c r="X537" s="0" t="n">
        <f aca="false">W_PH(X$2,$A537)</f>
        <v>3551.9159012102</v>
      </c>
      <c r="Y537" s="0" t="n">
        <f aca="false">W_PH(Y$2,$A537)</f>
        <v>3552.11669242766</v>
      </c>
      <c r="Z537" s="0" t="n">
        <f aca="false">W_PH(Z$2,$A537)</f>
        <v>3552.31748947113</v>
      </c>
      <c r="AA537" s="0" t="n">
        <f aca="false">W_PH(AA$2,$A537)</f>
        <v>3552.51829745551</v>
      </c>
      <c r="AB537" s="0" t="n">
        <f aca="false">W_PH(AB$2,$A537)</f>
        <v>3552.71911794666</v>
      </c>
      <c r="AC537" s="0" t="n">
        <f aca="false">W_PH(AC$2,$A537)</f>
        <v>3552.91995251059</v>
      </c>
      <c r="AD537" s="0" t="n">
        <f aca="false">W_PH(AD$2,$A537)</f>
        <v>3553.12079561333</v>
      </c>
      <c r="AE537" s="0" t="n">
        <f aca="false">W_PH(AE$2,$A537)</f>
        <v>3553.32166302096</v>
      </c>
      <c r="AF537" s="0" t="n">
        <f aca="false">W_PH(AF$2,$A537)</f>
        <v>3553.52254209935</v>
      </c>
      <c r="AG537" s="0" t="n">
        <f aca="false">W_PH(AG$2,$A537)</f>
        <v>3553.72344151505</v>
      </c>
      <c r="AH537" s="0" t="n">
        <f aca="false">W_PH(AH$2,$A537)</f>
        <v>3555.7338136809</v>
      </c>
      <c r="AI537" s="0" t="n">
        <f aca="false">W_PH(AI$2,$A537)</f>
        <v>3557.74773382753</v>
      </c>
      <c r="AJ537" s="0" t="n">
        <f aca="false">W_PH(AJ$2,$A537)</f>
        <v>3559.76670967324</v>
      </c>
      <c r="AK537" s="0" t="n">
        <f aca="false">W_PH(AK$2,$A537)</f>
        <v>3561.7922393942</v>
      </c>
      <c r="AL537" s="0" t="n">
        <f aca="false">W_PH(AL$2,$A537)</f>
        <v>3563.82583655406</v>
      </c>
      <c r="AM537" s="0" t="n">
        <f aca="false">W_PH(AM$2,$A537)</f>
        <v>3565.86900527587</v>
      </c>
      <c r="AN537" s="0" t="n">
        <f aca="false">W_PH(AN$2,$A537)</f>
        <v>3567.9232545334</v>
      </c>
      <c r="AO537" s="0" t="n">
        <f aca="false">W_PH(AO$2,$A537)</f>
        <v>3569.99009467803</v>
      </c>
      <c r="AP537" s="0" t="n">
        <f aca="false">W_PH(AP$2,$A537)</f>
        <v>2015</v>
      </c>
      <c r="AQ537" s="0" t="n">
        <f aca="false">W_PH(AQ$2,$A537)</f>
        <v>2015</v>
      </c>
      <c r="AR537" s="0" t="n">
        <f aca="false">W_PH(AR$2,$A537)</f>
        <v>2015</v>
      </c>
      <c r="AS537" s="0" t="n">
        <f aca="false">W_PH(AS$2,$A537)</f>
        <v>2015</v>
      </c>
    </row>
    <row r="538" customFormat="false" ht="12.8" hidden="false" customHeight="false" outlineLevel="0" collapsed="false">
      <c r="A538" s="0" t="n">
        <v>3000.85984522786</v>
      </c>
      <c r="B538" s="0" t="n">
        <f aca="false">W_PH(B$2,$A538)</f>
        <v>2015</v>
      </c>
      <c r="C538" s="0" t="n">
        <f aca="false">W_PH(C$2,$A538)</f>
        <v>3554.46550096474</v>
      </c>
      <c r="D538" s="0" t="n">
        <f aca="false">W_PH(D$2,$A538)</f>
        <v>3554.46569815712</v>
      </c>
      <c r="E538" s="0" t="n">
        <f aca="false">W_PH(E$2,$A538)</f>
        <v>3554.46590244188</v>
      </c>
      <c r="F538" s="0" t="n">
        <f aca="false">W_PH(F$2,$A538)</f>
        <v>3554.46609963427</v>
      </c>
      <c r="G538" s="0" t="n">
        <f aca="false">W_PH(G$2,$A538)</f>
        <v>3554.46810702041</v>
      </c>
      <c r="H538" s="0" t="n">
        <f aca="false">W_PH(H$2,$A538)</f>
        <v>3554.47011440717</v>
      </c>
      <c r="I538" s="0" t="n">
        <f aca="false">W_PH(I$2,$A538)</f>
        <v>3554.47212534075</v>
      </c>
      <c r="J538" s="0" t="n">
        <f aca="false">W_PH(J$2,$A538)</f>
        <v>3554.47413272876</v>
      </c>
      <c r="K538" s="0" t="n">
        <f aca="false">W_PH(K$2,$A538)</f>
        <v>3554.4761401174</v>
      </c>
      <c r="L538" s="0" t="n">
        <f aca="false">W_PH(L$2,$A538)</f>
        <v>3554.47814750666</v>
      </c>
      <c r="M538" s="0" t="n">
        <f aca="false">W_PH(M$2,$A538)</f>
        <v>3554.48015489656</v>
      </c>
      <c r="N538" s="0" t="n">
        <f aca="false">W_PH(N$2,$A538)</f>
        <v>3554.48216583328</v>
      </c>
      <c r="O538" s="0" t="n">
        <f aca="false">W_PH(O$2,$A538)</f>
        <v>3554.48417322444</v>
      </c>
      <c r="P538" s="0" t="n">
        <f aca="false">W_PH(P$2,$A538)</f>
        <v>3554.50424717114</v>
      </c>
      <c r="Q538" s="0" t="n">
        <f aca="false">W_PH(Q$2,$A538)</f>
        <v>3554.524324729</v>
      </c>
      <c r="R538" s="0" t="n">
        <f aca="false">W_PH(R$2,$A538)</f>
        <v>3554.54440235339</v>
      </c>
      <c r="S538" s="0" t="n">
        <f aca="false">W_PH(S$2,$A538)</f>
        <v>3554.56448004587</v>
      </c>
      <c r="T538" s="0" t="n">
        <f aca="false">W_PH(T$2,$A538)</f>
        <v>3554.58455780799</v>
      </c>
      <c r="U538" s="0" t="n">
        <f aca="false">W_PH(U$2,$A538)</f>
        <v>3554.60463209503</v>
      </c>
      <c r="V538" s="0" t="n">
        <f aca="false">W_PH(V$2,$A538)</f>
        <v>3554.62471354741</v>
      </c>
      <c r="W538" s="0" t="n">
        <f aca="false">W_PH(W$2,$A538)</f>
        <v>3554.6447879815</v>
      </c>
      <c r="X538" s="0" t="n">
        <f aca="false">W_PH(X$2,$A538)</f>
        <v>3554.66486603778</v>
      </c>
      <c r="Y538" s="0" t="n">
        <f aca="false">W_PH(Y$2,$A538)</f>
        <v>3554.86564757062</v>
      </c>
      <c r="Z538" s="0" t="n">
        <f aca="false">W_PH(Z$2,$A538)</f>
        <v>3555.06643485996</v>
      </c>
      <c r="AA538" s="0" t="n">
        <f aca="false">W_PH(AA$2,$A538)</f>
        <v>3555.26723301156</v>
      </c>
      <c r="AB538" s="0" t="n">
        <f aca="false">W_PH(AB$2,$A538)</f>
        <v>3555.46804003801</v>
      </c>
      <c r="AC538" s="0" t="n">
        <f aca="false">W_PH(AC$2,$A538)</f>
        <v>3555.66886104561</v>
      </c>
      <c r="AD538" s="0" t="n">
        <f aca="false">W_PH(AD$2,$A538)</f>
        <v>3555.86970114139</v>
      </c>
      <c r="AE538" s="0" t="n">
        <f aca="false">W_PH(AE$2,$A538)</f>
        <v>3556.07055124351</v>
      </c>
      <c r="AF538" s="0" t="n">
        <f aca="false">W_PH(AF$2,$A538)</f>
        <v>3556.27142000616</v>
      </c>
      <c r="AG538" s="0" t="n">
        <f aca="false">W_PH(AG$2,$A538)</f>
        <v>3556.47230898948</v>
      </c>
      <c r="AH538" s="0" t="n">
        <f aca="false">W_PH(AH$2,$A538)</f>
        <v>3558.48256199235</v>
      </c>
      <c r="AI538" s="0" t="n">
        <f aca="false">W_PH(AI$2,$A538)</f>
        <v>3560.49634451141</v>
      </c>
      <c r="AJ538" s="0" t="n">
        <f aca="false">W_PH(AJ$2,$A538)</f>
        <v>3562.51515799194</v>
      </c>
      <c r="AK538" s="0" t="n">
        <f aca="false">W_PH(AK$2,$A538)</f>
        <v>3564.54050501208</v>
      </c>
      <c r="AL538" s="0" t="n">
        <f aca="false">W_PH(AL$2,$A538)</f>
        <v>3566.57387866367</v>
      </c>
      <c r="AM538" s="0" t="n">
        <f aca="false">W_PH(AM$2,$A538)</f>
        <v>3568.61678392672</v>
      </c>
      <c r="AN538" s="0" t="n">
        <f aca="false">W_PH(AN$2,$A538)</f>
        <v>3570.67072352893</v>
      </c>
      <c r="AO538" s="0" t="n">
        <f aca="false">W_PH(AO$2,$A538)</f>
        <v>3572.73720157885</v>
      </c>
      <c r="AP538" s="0" t="n">
        <f aca="false">W_PH(AP$2,$A538)</f>
        <v>2015</v>
      </c>
      <c r="AQ538" s="0" t="n">
        <f aca="false">W_PH(AQ$2,$A538)</f>
        <v>2015</v>
      </c>
      <c r="AR538" s="0" t="n">
        <f aca="false">W_PH(AR$2,$A538)</f>
        <v>2015</v>
      </c>
      <c r="AS538" s="0" t="n">
        <f aca="false">W_PH(AS$2,$A538)</f>
        <v>2015</v>
      </c>
    </row>
    <row r="539" customFormat="false" ht="12.8" hidden="false" customHeight="false" outlineLevel="0" collapsed="false">
      <c r="A539" s="0" t="n">
        <v>3005.15907136715</v>
      </c>
      <c r="B539" s="0" t="n">
        <f aca="false">W_PH(B$2,$A539)</f>
        <v>2015</v>
      </c>
      <c r="C539" s="0" t="n">
        <f aca="false">W_PH(C$2,$A539)</f>
        <v>3557.21123429299</v>
      </c>
      <c r="D539" s="0" t="n">
        <f aca="false">W_PH(D$2,$A539)</f>
        <v>3557.21143869132</v>
      </c>
      <c r="E539" s="0" t="n">
        <f aca="false">W_PH(E$2,$A539)</f>
        <v>3557.21163600286</v>
      </c>
      <c r="F539" s="0" t="n">
        <f aca="false">W_PH(F$2,$A539)</f>
        <v>3557.21184040121</v>
      </c>
      <c r="G539" s="0" t="n">
        <f aca="false">W_PH(G$2,$A539)</f>
        <v>3557.21384540758</v>
      </c>
      <c r="H539" s="0" t="n">
        <f aca="false">W_PH(H$2,$A539)</f>
        <v>3557.21585041457</v>
      </c>
      <c r="I539" s="0" t="n">
        <f aca="false">W_PH(I$2,$A539)</f>
        <v>3557.21785896559</v>
      </c>
      <c r="J539" s="0" t="n">
        <f aca="false">W_PH(J$2,$A539)</f>
        <v>3557.21986751722</v>
      </c>
      <c r="K539" s="0" t="n">
        <f aca="false">W_PH(K$2,$A539)</f>
        <v>3557.22187606947</v>
      </c>
      <c r="L539" s="0" t="n">
        <f aca="false">W_PH(L$2,$A539)</f>
        <v>3557.22388462235</v>
      </c>
      <c r="M539" s="0" t="n">
        <f aca="false">W_PH(M$2,$A539)</f>
        <v>3557.22589317585</v>
      </c>
      <c r="N539" s="0" t="n">
        <f aca="false">W_PH(N$2,$A539)</f>
        <v>3557.22789818656</v>
      </c>
      <c r="O539" s="0" t="n">
        <f aca="false">W_PH(O$2,$A539)</f>
        <v>3557.22990674132</v>
      </c>
      <c r="P539" s="0" t="n">
        <f aca="false">W_PH(P$2,$A539)</f>
        <v>3557.24998169339</v>
      </c>
      <c r="Q539" s="0" t="n">
        <f aca="false">W_PH(Q$2,$A539)</f>
        <v>3557.27006025327</v>
      </c>
      <c r="R539" s="0" t="n">
        <f aca="false">W_PH(R$2,$A539)</f>
        <v>3557.29013179216</v>
      </c>
      <c r="S539" s="0" t="n">
        <f aca="false">W_PH(S$2,$A539)</f>
        <v>3557.31021048543</v>
      </c>
      <c r="T539" s="0" t="n">
        <f aca="false">W_PH(T$2,$A539)</f>
        <v>3557.33028570425</v>
      </c>
      <c r="U539" s="0" t="n">
        <f aca="false">W_PH(U$2,$A539)</f>
        <v>3557.35036099364</v>
      </c>
      <c r="V539" s="0" t="n">
        <f aca="false">W_PH(V$2,$A539)</f>
        <v>3557.37043989866</v>
      </c>
      <c r="W539" s="0" t="n">
        <f aca="false">W_PH(W$2,$A539)</f>
        <v>3557.39051533385</v>
      </c>
      <c r="X539" s="0" t="n">
        <f aca="false">W_PH(X$2,$A539)</f>
        <v>3557.41059084426</v>
      </c>
      <c r="Y539" s="0" t="n">
        <f aca="false">W_PH(Y$2,$A539)</f>
        <v>3557.61135751475</v>
      </c>
      <c r="Z539" s="0" t="n">
        <f aca="false">W_PH(Z$2,$A539)</f>
        <v>3557.8121334165</v>
      </c>
      <c r="AA539" s="0" t="n">
        <f aca="false">W_PH(AA$2,$A539)</f>
        <v>3558.01292010265</v>
      </c>
      <c r="AB539" s="0" t="n">
        <f aca="false">W_PH(AB$2,$A539)</f>
        <v>3558.21371912645</v>
      </c>
      <c r="AC539" s="0" t="n">
        <f aca="false">W_PH(AC$2,$A539)</f>
        <v>3558.41452849695</v>
      </c>
      <c r="AD539" s="0" t="n">
        <f aca="false">W_PH(AD$2,$A539)</f>
        <v>3558.61535331164</v>
      </c>
      <c r="AE539" s="0" t="n">
        <f aca="false">W_PH(AE$2,$A539)</f>
        <v>3558.81619157952</v>
      </c>
      <c r="AF539" s="0" t="n">
        <f aca="false">W_PH(AF$2,$A539)</f>
        <v>3559.01704839861</v>
      </c>
      <c r="AG539" s="0" t="n">
        <f aca="false">W_PH(AG$2,$A539)</f>
        <v>3559.21792532274</v>
      </c>
      <c r="AH539" s="0" t="n">
        <f aca="false">W_PH(AH$2,$A539)</f>
        <v>3561.2280500632</v>
      </c>
      <c r="AI539" s="0" t="n">
        <f aca="false">W_PH(AI$2,$A539)</f>
        <v>3563.24168955295</v>
      </c>
      <c r="AJ539" s="0" t="n">
        <f aca="false">W_PH(AJ$2,$A539)</f>
        <v>3565.26033545715</v>
      </c>
      <c r="AK539" s="0" t="n">
        <f aca="false">W_PH(AK$2,$A539)</f>
        <v>3567.28548767487</v>
      </c>
      <c r="AL539" s="0" t="n">
        <f aca="false">W_PH(AL$2,$A539)</f>
        <v>3569.31862953424</v>
      </c>
      <c r="AM539" s="0" t="n">
        <f aca="false">W_PH(AM$2,$A539)</f>
        <v>3571.361266902</v>
      </c>
      <c r="AN539" s="0" t="n">
        <f aca="false">W_PH(AN$2,$A539)</f>
        <v>3573.41488563717</v>
      </c>
      <c r="AO539" s="0" t="n">
        <f aca="false">W_PH(AO$2,$A539)</f>
        <v>3575.48099430219</v>
      </c>
      <c r="AP539" s="0" t="n">
        <f aca="false">W_PH(AP$2,$A539)</f>
        <v>2015</v>
      </c>
      <c r="AQ539" s="0" t="n">
        <f aca="false">W_PH(AQ$2,$A539)</f>
        <v>2015</v>
      </c>
      <c r="AR539" s="0" t="n">
        <f aca="false">W_PH(AR$2,$A539)</f>
        <v>2015</v>
      </c>
      <c r="AS539" s="0" t="n">
        <f aca="false">W_PH(AS$2,$A539)</f>
        <v>2015</v>
      </c>
    </row>
    <row r="540" customFormat="false" ht="12.8" hidden="false" customHeight="false" outlineLevel="0" collapsed="false">
      <c r="A540" s="0" t="n">
        <v>3009.45829750645</v>
      </c>
      <c r="B540" s="0" t="n">
        <f aca="false">W_PH(B$2,$A540)</f>
        <v>2015</v>
      </c>
      <c r="C540" s="0" t="n">
        <f aca="false">W_PH(C$2,$A540)</f>
        <v>3559.9537380787</v>
      </c>
      <c r="D540" s="0" t="n">
        <f aca="false">W_PH(D$2,$A540)</f>
        <v>3559.9539425888</v>
      </c>
      <c r="E540" s="0" t="n">
        <f aca="false">W_PH(E$2,$A540)</f>
        <v>3559.95414001766</v>
      </c>
      <c r="F540" s="0" t="n">
        <f aca="false">W_PH(F$2,$A540)</f>
        <v>3559.95434452777</v>
      </c>
      <c r="G540" s="0" t="n">
        <f aca="false">W_PH(G$2,$A540)</f>
        <v>3559.95635068238</v>
      </c>
      <c r="H540" s="0" t="n">
        <f aca="false">W_PH(H$2,$A540)</f>
        <v>3559.95835683759</v>
      </c>
      <c r="I540" s="0" t="n">
        <f aca="false">W_PH(I$2,$A540)</f>
        <v>3559.96036653405</v>
      </c>
      <c r="J540" s="0" t="n">
        <f aca="false">W_PH(J$2,$A540)</f>
        <v>3559.96237269048</v>
      </c>
      <c r="K540" s="0" t="n">
        <f aca="false">W_PH(K$2,$A540)</f>
        <v>3559.96437884754</v>
      </c>
      <c r="L540" s="0" t="n">
        <f aca="false">W_PH(L$2,$A540)</f>
        <v>3559.96638854584</v>
      </c>
      <c r="M540" s="0" t="n">
        <f aca="false">W_PH(M$2,$A540)</f>
        <v>3559.96839470412</v>
      </c>
      <c r="N540" s="0" t="n">
        <f aca="false">W_PH(N$2,$A540)</f>
        <v>3559.97040086302</v>
      </c>
      <c r="O540" s="0" t="n">
        <f aca="false">W_PH(O$2,$A540)</f>
        <v>3559.97241056318</v>
      </c>
      <c r="P540" s="0" t="n">
        <f aca="false">W_PH(P$2,$A540)</f>
        <v>3559.99248635545</v>
      </c>
      <c r="Q540" s="0" t="n">
        <f aca="false">W_PH(Q$2,$A540)</f>
        <v>3560.01255867081</v>
      </c>
      <c r="R540" s="0" t="n">
        <f aca="false">W_PH(R$2,$A540)</f>
        <v>3560.03263459216</v>
      </c>
      <c r="S540" s="0" t="n">
        <f aca="false">W_PH(S$2,$A540)</f>
        <v>3560.05270703967</v>
      </c>
      <c r="T540" s="0" t="n">
        <f aca="false">W_PH(T$2,$A540)</f>
        <v>3560.07278309629</v>
      </c>
      <c r="U540" s="0" t="n">
        <f aca="false">W_PH(U$2,$A540)</f>
        <v>3560.09285922287</v>
      </c>
      <c r="V540" s="0" t="n">
        <f aca="false">W_PH(V$2,$A540)</f>
        <v>3560.11293542095</v>
      </c>
      <c r="W540" s="0" t="n">
        <f aca="false">W_PH(W$2,$A540)</f>
        <v>3560.13300815134</v>
      </c>
      <c r="X540" s="0" t="n">
        <f aca="false">W_PH(X$2,$A540)</f>
        <v>3560.15308449706</v>
      </c>
      <c r="Y540" s="0" t="n">
        <f aca="false">W_PH(Y$2,$A540)</f>
        <v>3560.35384177498</v>
      </c>
      <c r="Z540" s="0" t="n">
        <f aca="false">W_PH(Z$2,$A540)</f>
        <v>3560.55460467258</v>
      </c>
      <c r="AA540" s="0" t="n">
        <f aca="false">W_PH(AA$2,$A540)</f>
        <v>3560.75537827751</v>
      </c>
      <c r="AB540" s="0" t="n">
        <f aca="false">W_PH(AB$2,$A540)</f>
        <v>3560.95616059539</v>
      </c>
      <c r="AC540" s="0" t="n">
        <f aca="false">W_PH(AC$2,$A540)</f>
        <v>3561.1569567144</v>
      </c>
      <c r="AD540" s="0" t="n">
        <f aca="false">W_PH(AD$2,$A540)</f>
        <v>3561.3577717234</v>
      </c>
      <c r="AE540" s="0" t="n">
        <f aca="false">W_PH(AE$2,$A540)</f>
        <v>3561.55859654478</v>
      </c>
      <c r="AF540" s="0" t="n">
        <f aca="false">W_PH(AF$2,$A540)</f>
        <v>3561.75943980901</v>
      </c>
      <c r="AG540" s="0" t="n">
        <f aca="false">W_PH(AG$2,$A540)</f>
        <v>3561.96030306367</v>
      </c>
      <c r="AH540" s="0" t="n">
        <f aca="false">W_PH(AH$2,$A540)</f>
        <v>3563.97029058988</v>
      </c>
      <c r="AI540" s="0" t="n">
        <f aca="false">W_PH(AI$2,$A540)</f>
        <v>3565.98377824115</v>
      </c>
      <c r="AJ540" s="0" t="n">
        <f aca="false">W_PH(AJ$2,$A540)</f>
        <v>3568.00224794558</v>
      </c>
      <c r="AK540" s="0" t="n">
        <f aca="false">W_PH(AK$2,$A540)</f>
        <v>3570.02719695476</v>
      </c>
      <c r="AL540" s="0" t="n">
        <f aca="false">W_PH(AL$2,$A540)</f>
        <v>3572.06010242502</v>
      </c>
      <c r="AM540" s="0" t="n">
        <f aca="false">W_PH(AM$2,$A540)</f>
        <v>3574.1024569378</v>
      </c>
      <c r="AN540" s="0" t="n">
        <f aca="false">W_PH(AN$2,$A540)</f>
        <v>3576.15575438735</v>
      </c>
      <c r="AO540" s="0" t="n">
        <f aca="false">W_PH(AO$2,$A540)</f>
        <v>3578.22149005991</v>
      </c>
      <c r="AP540" s="0" t="n">
        <f aca="false">W_PH(AP$2,$A540)</f>
        <v>2015</v>
      </c>
      <c r="AQ540" s="0" t="n">
        <f aca="false">W_PH(AQ$2,$A540)</f>
        <v>2015</v>
      </c>
      <c r="AR540" s="0" t="n">
        <f aca="false">W_PH(AR$2,$A540)</f>
        <v>2015</v>
      </c>
      <c r="AS540" s="0" t="n">
        <f aca="false">W_PH(AS$2,$A540)</f>
        <v>2015</v>
      </c>
    </row>
    <row r="541" customFormat="false" ht="12.8" hidden="false" customHeight="false" outlineLevel="0" collapsed="false">
      <c r="A541" s="0" t="n">
        <v>3013.75752364574</v>
      </c>
      <c r="B541" s="0" t="n">
        <f aca="false">W_PH(B$2,$A541)</f>
        <v>2015</v>
      </c>
      <c r="C541" s="0" t="n">
        <f aca="false">W_PH(C$2,$A541)</f>
        <v>3562.69302466258</v>
      </c>
      <c r="D541" s="0" t="n">
        <f aca="false">W_PH(D$2,$A541)</f>
        <v>3562.69322220694</v>
      </c>
      <c r="E541" s="0" t="n">
        <f aca="false">W_PH(E$2,$A541)</f>
        <v>3562.69342682703</v>
      </c>
      <c r="F541" s="0" t="n">
        <f aca="false">W_PH(F$2,$A541)</f>
        <v>3562.69362437141</v>
      </c>
      <c r="G541" s="0" t="n">
        <f aca="false">W_PH(G$2,$A541)</f>
        <v>3562.69563165621</v>
      </c>
      <c r="H541" s="0" t="n">
        <f aca="false">W_PH(H$2,$A541)</f>
        <v>3562.69763894163</v>
      </c>
      <c r="I541" s="0" t="n">
        <f aca="false">W_PH(I$2,$A541)</f>
        <v>3562.69964622765</v>
      </c>
      <c r="J541" s="0" t="n">
        <f aca="false">W_PH(J$2,$A541)</f>
        <v>3562.70165351427</v>
      </c>
      <c r="K541" s="0" t="n">
        <f aca="false">W_PH(K$2,$A541)</f>
        <v>3562.70366080151</v>
      </c>
      <c r="L541" s="0" t="n">
        <f aca="false">W_PH(L$2,$A541)</f>
        <v>3562.70566808935</v>
      </c>
      <c r="M541" s="0" t="n">
        <f aca="false">W_PH(M$2,$A541)</f>
        <v>3562.70767891567</v>
      </c>
      <c r="N541" s="0" t="n">
        <f aca="false">W_PH(N$2,$A541)</f>
        <v>3562.70968266688</v>
      </c>
      <c r="O541" s="0" t="n">
        <f aca="false">W_PH(O$2,$A541)</f>
        <v>3562.71169349443</v>
      </c>
      <c r="P541" s="0" t="n">
        <f aca="false">W_PH(P$2,$A541)</f>
        <v>3562.73176642544</v>
      </c>
      <c r="Q541" s="0" t="n">
        <f aca="false">W_PH(Q$2,$A541)</f>
        <v>3562.75183941963</v>
      </c>
      <c r="R541" s="0" t="n">
        <f aca="false">W_PH(R$2,$A541)</f>
        <v>3562.77191247853</v>
      </c>
      <c r="S541" s="0" t="n">
        <f aca="false">W_PH(S$2,$A541)</f>
        <v>3562.79198560368</v>
      </c>
      <c r="T541" s="0" t="n">
        <f aca="false">W_PH(T$2,$A541)</f>
        <v>3562.81205879664</v>
      </c>
      <c r="U541" s="0" t="n">
        <f aca="false">W_PH(U$2,$A541)</f>
        <v>3562.83213205893</v>
      </c>
      <c r="V541" s="0" t="n">
        <f aca="false">W_PH(V$2,$A541)</f>
        <v>3562.8522053921</v>
      </c>
      <c r="W541" s="0" t="n">
        <f aca="false">W_PH(W$2,$A541)</f>
        <v>3562.87227879768</v>
      </c>
      <c r="X541" s="0" t="n">
        <f aca="false">W_PH(X$2,$A541)</f>
        <v>3562.89235227723</v>
      </c>
      <c r="Y541" s="0" t="n">
        <f aca="false">W_PH(Y$2,$A541)</f>
        <v>3563.0930950174</v>
      </c>
      <c r="Z541" s="0" t="n">
        <f aca="false">W_PH(Z$2,$A541)</f>
        <v>3563.29384684825</v>
      </c>
      <c r="AA541" s="0" t="n">
        <f aca="false">W_PH(AA$2,$A541)</f>
        <v>3563.494605772</v>
      </c>
      <c r="AB541" s="0" t="n">
        <f aca="false">W_PH(AB$2,$A541)</f>
        <v>3563.69537686754</v>
      </c>
      <c r="AC541" s="0" t="n">
        <f aca="false">W_PH(AC$2,$A541)</f>
        <v>3563.89616167576</v>
      </c>
      <c r="AD541" s="0" t="n">
        <f aca="false">W_PH(AD$2,$A541)</f>
        <v>3564.09695819879</v>
      </c>
      <c r="AE541" s="0" t="n">
        <f aca="false">W_PH(AE$2,$A541)</f>
        <v>3564.29777151633</v>
      </c>
      <c r="AF541" s="0" t="n">
        <f aca="false">W_PH(AF$2,$A541)</f>
        <v>3564.49860316963</v>
      </c>
      <c r="AG541" s="0" t="n">
        <f aca="false">W_PH(AG$2,$A541)</f>
        <v>3564.69945470002</v>
      </c>
      <c r="AH541" s="0" t="n">
        <f aca="false">W_PH(AH$2,$A541)</f>
        <v>3566.70929620604</v>
      </c>
      <c r="AI541" s="0" t="n">
        <f aca="false">W_PH(AI$2,$A541)</f>
        <v>3568.72261626969</v>
      </c>
      <c r="AJ541" s="0" t="n">
        <f aca="false">W_PH(AJ$2,$A541)</f>
        <v>3570.74090837762</v>
      </c>
      <c r="AK541" s="0" t="n">
        <f aca="false">W_PH(AK$2,$A541)</f>
        <v>3572.76563882267</v>
      </c>
      <c r="AL541" s="0" t="n">
        <f aca="false">W_PH(AL$2,$A541)</f>
        <v>3574.7982998873</v>
      </c>
      <c r="AM541" s="0" t="n">
        <f aca="false">W_PH(AM$2,$A541)</f>
        <v>3576.84037092367</v>
      </c>
      <c r="AN541" s="0" t="n">
        <f aca="false">W_PH(AN$2,$A541)</f>
        <v>3578.89333968736</v>
      </c>
      <c r="AO541" s="0" t="n">
        <f aca="false">W_PH(AO$2,$A541)</f>
        <v>3580.95868822937</v>
      </c>
      <c r="AP541" s="0" t="n">
        <f aca="false">W_PH(AP$2,$A541)</f>
        <v>2015</v>
      </c>
      <c r="AQ541" s="0" t="n">
        <f aca="false">W_PH(AQ$2,$A541)</f>
        <v>2015</v>
      </c>
      <c r="AR541" s="0" t="n">
        <f aca="false">W_PH(AR$2,$A541)</f>
        <v>2015</v>
      </c>
      <c r="AS541" s="0" t="n">
        <f aca="false">W_PH(AS$2,$A541)</f>
        <v>2015</v>
      </c>
    </row>
    <row r="542" customFormat="false" ht="12.8" hidden="false" customHeight="false" outlineLevel="0" collapsed="false">
      <c r="A542" s="0" t="n">
        <v>3018.05674978504</v>
      </c>
      <c r="B542" s="0" t="n">
        <f aca="false">W_PH(B$2,$A542)</f>
        <v>2015</v>
      </c>
      <c r="C542" s="0" t="n">
        <f aca="false">W_PH(C$2,$A542)</f>
        <v>3565.42909218612</v>
      </c>
      <c r="D542" s="0" t="n">
        <f aca="false">W_PH(D$2,$A542)</f>
        <v>3565.42928984421</v>
      </c>
      <c r="E542" s="0" t="n">
        <f aca="false">W_PH(E$2,$A542)</f>
        <v>3565.42949457248</v>
      </c>
      <c r="F542" s="0" t="n">
        <f aca="false">W_PH(F$2,$A542)</f>
        <v>3565.42969223059</v>
      </c>
      <c r="G542" s="0" t="n">
        <f aca="false">W_PH(G$2,$A542)</f>
        <v>3565.43170062774</v>
      </c>
      <c r="H542" s="0" t="n">
        <f aca="false">W_PH(H$2,$A542)</f>
        <v>3565.4337090255</v>
      </c>
      <c r="I542" s="0" t="n">
        <f aca="false">W_PH(I$2,$A542)</f>
        <v>3565.43571388876</v>
      </c>
      <c r="J542" s="0" t="n">
        <f aca="false">W_PH(J$2,$A542)</f>
        <v>3565.43772228772</v>
      </c>
      <c r="K542" s="0" t="n">
        <f aca="false">W_PH(K$2,$A542)</f>
        <v>3565.43973068728</v>
      </c>
      <c r="L542" s="0" t="n">
        <f aca="false">W_PH(L$2,$A542)</f>
        <v>3565.44173555235</v>
      </c>
      <c r="M542" s="0" t="n">
        <f aca="false">W_PH(M$2,$A542)</f>
        <v>3565.44374395313</v>
      </c>
      <c r="N542" s="0" t="n">
        <f aca="false">W_PH(N$2,$A542)</f>
        <v>3565.44575235451</v>
      </c>
      <c r="O542" s="0" t="n">
        <f aca="false">W_PH(O$2,$A542)</f>
        <v>3565.4477572214</v>
      </c>
      <c r="P542" s="0" t="n">
        <f aca="false">W_PH(P$2,$A542)</f>
        <v>3565.46782713473</v>
      </c>
      <c r="Q542" s="0" t="n">
        <f aca="false">W_PH(Q$2,$A542)</f>
        <v>3565.4879041809</v>
      </c>
      <c r="R542" s="0" t="n">
        <f aca="false">W_PH(R$2,$A542)</f>
        <v>3565.50797422096</v>
      </c>
      <c r="S542" s="0" t="n">
        <f aca="false">W_PH(S$2,$A542)</f>
        <v>3565.52804432667</v>
      </c>
      <c r="T542" s="0" t="n">
        <f aca="false">W_PH(T$2,$A542)</f>
        <v>3565.54811803473</v>
      </c>
      <c r="U542" s="0" t="n">
        <f aca="false">W_PH(U$2,$A542)</f>
        <v>3565.56819181154</v>
      </c>
      <c r="V542" s="0" t="n">
        <f aca="false">W_PH(V$2,$A542)</f>
        <v>3565.58826212343</v>
      </c>
      <c r="W542" s="0" t="n">
        <f aca="false">W_PH(W$2,$A542)</f>
        <v>3565.60833250711</v>
      </c>
      <c r="X542" s="0" t="n">
        <f aca="false">W_PH(X$2,$A542)</f>
        <v>3565.62840649934</v>
      </c>
      <c r="Y542" s="0" t="n">
        <f aca="false">W_PH(Y$2,$A542)</f>
        <v>3565.82913311655</v>
      </c>
      <c r="Z542" s="0" t="n">
        <f aca="false">W_PH(Z$2,$A542)</f>
        <v>3566.02987229062</v>
      </c>
      <c r="AA542" s="0" t="n">
        <f aca="false">W_PH(AA$2,$A542)</f>
        <v>3566.23061494945</v>
      </c>
      <c r="AB542" s="0" t="n">
        <f aca="false">W_PH(AB$2,$A542)</f>
        <v>3566.43137676996</v>
      </c>
      <c r="AC542" s="0" t="n">
        <f aca="false">W_PH(AC$2,$A542)</f>
        <v>3566.63214514395</v>
      </c>
      <c r="AD542" s="0" t="n">
        <f aca="false">W_PH(AD$2,$A542)</f>
        <v>3566.83292867755</v>
      </c>
      <c r="AE542" s="0" t="n">
        <f aca="false">W_PH(AE$2,$A542)</f>
        <v>3567.03372890568</v>
      </c>
      <c r="AF542" s="0" t="n">
        <f aca="false">W_PH(AF$2,$A542)</f>
        <v>3567.23454029067</v>
      </c>
      <c r="AG542" s="0" t="n">
        <f aca="false">W_PH(AG$2,$A542)</f>
        <v>3567.43537851289</v>
      </c>
      <c r="AH542" s="0" t="n">
        <f aca="false">W_PH(AH$2,$A542)</f>
        <v>3569.44506533129</v>
      </c>
      <c r="AI542" s="0" t="n">
        <f aca="false">W_PH(AI$2,$A542)</f>
        <v>3571.45821990876</v>
      </c>
      <c r="AJ542" s="0" t="n">
        <f aca="false">W_PH(AJ$2,$A542)</f>
        <v>3573.47631544523</v>
      </c>
      <c r="AK542" s="0" t="n">
        <f aca="false">W_PH(AK$2,$A542)</f>
        <v>3575.50082983105</v>
      </c>
      <c r="AL542" s="0" t="n">
        <f aca="false">W_PH(AL$2,$A542)</f>
        <v>3577.53323506776</v>
      </c>
      <c r="AM542" s="0" t="n">
        <f aca="false">W_PH(AM$2,$A542)</f>
        <v>3579.57501503336</v>
      </c>
      <c r="AN542" s="0" t="n">
        <f aca="false">W_PH(AN$2,$A542)</f>
        <v>3581.62764429335</v>
      </c>
      <c r="AO542" s="0" t="n">
        <f aca="false">W_PH(AO$2,$A542)</f>
        <v>3583.69260234832</v>
      </c>
      <c r="AP542" s="0" t="n">
        <f aca="false">W_PH(AP$2,$A542)</f>
        <v>2015</v>
      </c>
      <c r="AQ542" s="0" t="n">
        <f aca="false">W_PH(AQ$2,$A542)</f>
        <v>2015</v>
      </c>
      <c r="AR542" s="0" t="n">
        <f aca="false">W_PH(AR$2,$A542)</f>
        <v>2015</v>
      </c>
      <c r="AS542" s="0" t="n">
        <f aca="false">W_PH(AS$2,$A542)</f>
        <v>2015</v>
      </c>
    </row>
    <row r="543" customFormat="false" ht="12.8" hidden="false" customHeight="false" outlineLevel="0" collapsed="false">
      <c r="A543" s="0" t="n">
        <v>3022.35597592433</v>
      </c>
      <c r="B543" s="0" t="n">
        <f aca="false">W_PH(B$2,$A543)</f>
        <v>2015</v>
      </c>
      <c r="C543" s="0" t="n">
        <f aca="false">W_PH(C$2,$A543)</f>
        <v>3568.16195290579</v>
      </c>
      <c r="D543" s="0" t="n">
        <f aca="false">W_PH(D$2,$A543)</f>
        <v>3568.16215420816</v>
      </c>
      <c r="E543" s="0" t="n">
        <f aca="false">W_PH(E$2,$A543)</f>
        <v>3568.16235551053</v>
      </c>
      <c r="F543" s="0" t="n">
        <f aca="false">W_PH(F$2,$A543)</f>
        <v>3568.16255328059</v>
      </c>
      <c r="G543" s="0" t="n">
        <f aca="false">W_PH(G$2,$A543)</f>
        <v>3568.1645627724</v>
      </c>
      <c r="H543" s="0" t="n">
        <f aca="false">W_PH(H$2,$A543)</f>
        <v>3568.1665722648</v>
      </c>
      <c r="I543" s="0" t="n">
        <f aca="false">W_PH(I$2,$A543)</f>
        <v>3568.16857822547</v>
      </c>
      <c r="J543" s="0" t="n">
        <f aca="false">W_PH(J$2,$A543)</f>
        <v>3568.17058418674</v>
      </c>
      <c r="K543" s="0" t="n">
        <f aca="false">W_PH(K$2,$A543)</f>
        <v>3568.17259014861</v>
      </c>
      <c r="L543" s="0" t="n">
        <f aca="false">W_PH(L$2,$A543)</f>
        <v>3568.17459611107</v>
      </c>
      <c r="M543" s="0" t="n">
        <f aca="false">W_PH(M$2,$A543)</f>
        <v>3568.17660560646</v>
      </c>
      <c r="N543" s="0" t="n">
        <f aca="false">W_PH(N$2,$A543)</f>
        <v>3568.17861157013</v>
      </c>
      <c r="O543" s="0" t="n">
        <f aca="false">W_PH(O$2,$A543)</f>
        <v>3568.18062106673</v>
      </c>
      <c r="P543" s="0" t="n">
        <f aca="false">W_PH(P$2,$A543)</f>
        <v>3568.20068780759</v>
      </c>
      <c r="Q543" s="0" t="n">
        <f aca="false">W_PH(Q$2,$A543)</f>
        <v>3568.22076167517</v>
      </c>
      <c r="R543" s="0" t="n">
        <f aca="false">W_PH(R$2,$A543)</f>
        <v>3568.24082854157</v>
      </c>
      <c r="S543" s="0" t="n">
        <f aca="false">W_PH(S$2,$A543)</f>
        <v>3568.26090253781</v>
      </c>
      <c r="T543" s="0" t="n">
        <f aca="false">W_PH(T$2,$A543)</f>
        <v>3568.28096953587</v>
      </c>
      <c r="U543" s="0" t="n">
        <f aca="false">W_PH(U$2,$A543)</f>
        <v>3568.30104366688</v>
      </c>
      <c r="V543" s="0" t="n">
        <f aca="false">W_PH(V$2,$A543)</f>
        <v>3568.32111080272</v>
      </c>
      <c r="W543" s="0" t="n">
        <f aca="false">W_PH(W$2,$A543)</f>
        <v>3568.34118507461</v>
      </c>
      <c r="X543" s="0" t="n">
        <f aca="false">W_PH(X$2,$A543)</f>
        <v>3568.36125588679</v>
      </c>
      <c r="Y543" s="0" t="n">
        <f aca="false">W_PH(Y$2,$A543)</f>
        <v>3568.56196834436</v>
      </c>
      <c r="Z543" s="0" t="n">
        <f aca="false">W_PH(Z$2,$A543)</f>
        <v>3568.76268975493</v>
      </c>
      <c r="AA543" s="0" t="n">
        <f aca="false">W_PH(AA$2,$A543)</f>
        <v>3568.96341811393</v>
      </c>
      <c r="AB543" s="0" t="n">
        <f aca="false">W_PH(AB$2,$A543)</f>
        <v>3569.16416201541</v>
      </c>
      <c r="AC543" s="0" t="n">
        <f aca="false">W_PH(AC$2,$A543)</f>
        <v>3569.36491592202</v>
      </c>
      <c r="AD543" s="0" t="n">
        <f aca="false">W_PH(AD$2,$A543)</f>
        <v>3569.5656848953</v>
      </c>
      <c r="AE543" s="0" t="n">
        <f aca="false">W_PH(AE$2,$A543)</f>
        <v>3569.76646693061</v>
      </c>
      <c r="AF543" s="0" t="n">
        <f aca="false">W_PH(AF$2,$A543)</f>
        <v>3569.96726709002</v>
      </c>
      <c r="AG543" s="0" t="n">
        <f aca="false">W_PH(AG$2,$A543)</f>
        <v>3570.16808690256</v>
      </c>
      <c r="AH543" s="0" t="n">
        <f aca="false">W_PH(AH$2,$A543)</f>
        <v>3572.17761404375</v>
      </c>
      <c r="AI543" s="0" t="n">
        <f aca="false">W_PH(AI$2,$A543)</f>
        <v>3574.19059120762</v>
      </c>
      <c r="AJ543" s="0" t="n">
        <f aca="false">W_PH(AJ$2,$A543)</f>
        <v>3576.20848904756</v>
      </c>
      <c r="AK543" s="0" t="n">
        <f aca="false">W_PH(AK$2,$A543)</f>
        <v>3578.2327722974</v>
      </c>
      <c r="AL543" s="0" t="n">
        <f aca="false">W_PH(AL$2,$A543)</f>
        <v>3580.26492104452</v>
      </c>
      <c r="AM543" s="0" t="n">
        <f aca="false">W_PH(AM$2,$A543)</f>
        <v>3582.30639893532</v>
      </c>
      <c r="AN543" s="0" t="n">
        <f aca="false">W_PH(AN$2,$A543)</f>
        <v>3584.35868155302</v>
      </c>
      <c r="AO543" s="0" t="n">
        <f aca="false">W_PH(AO$2,$A543)</f>
        <v>3586.42324588127</v>
      </c>
      <c r="AP543" s="0" t="n">
        <f aca="false">W_PH(AP$2,$A543)</f>
        <v>2015</v>
      </c>
      <c r="AQ543" s="0" t="n">
        <f aca="false">W_PH(AQ$2,$A543)</f>
        <v>2015</v>
      </c>
      <c r="AR543" s="0" t="n">
        <f aca="false">W_PH(AR$2,$A543)</f>
        <v>2015</v>
      </c>
      <c r="AS543" s="0" t="n">
        <f aca="false">W_PH(AS$2,$A543)</f>
        <v>2015</v>
      </c>
    </row>
    <row r="544" customFormat="false" ht="12.8" hidden="false" customHeight="false" outlineLevel="0" collapsed="false">
      <c r="A544" s="0" t="n">
        <v>3026.65520206363</v>
      </c>
      <c r="B544" s="0" t="n">
        <f aca="false">W_PH(B$2,$A544)</f>
        <v>2015</v>
      </c>
      <c r="C544" s="0" t="n">
        <f aca="false">W_PH(C$2,$A544)</f>
        <v>3570.89161901983</v>
      </c>
      <c r="D544" s="0" t="n">
        <f aca="false">W_PH(D$2,$A544)</f>
        <v>3570.89182042964</v>
      </c>
      <c r="E544" s="0" t="n">
        <f aca="false">W_PH(E$2,$A544)</f>
        <v>3570.89202183945</v>
      </c>
      <c r="F544" s="0" t="n">
        <f aca="false">W_PH(F$2,$A544)</f>
        <v>3570.8922197197</v>
      </c>
      <c r="G544" s="0" t="n">
        <f aca="false">W_PH(G$2,$A544)</f>
        <v>3570.89422675907</v>
      </c>
      <c r="H544" s="0" t="n">
        <f aca="false">W_PH(H$2,$A544)</f>
        <v>3570.89623379902</v>
      </c>
      <c r="I544" s="0" t="n">
        <f aca="false">W_PH(I$2,$A544)</f>
        <v>3570.89824083957</v>
      </c>
      <c r="J544" s="0" t="n">
        <f aca="false">W_PH(J$2,$A544)</f>
        <v>3570.9002478807</v>
      </c>
      <c r="K544" s="0" t="n">
        <f aca="false">W_PH(K$2,$A544)</f>
        <v>3570.90225492242</v>
      </c>
      <c r="L544" s="0" t="n">
        <f aca="false">W_PH(L$2,$A544)</f>
        <v>3570.90426196474</v>
      </c>
      <c r="M544" s="0" t="n">
        <f aca="false">W_PH(M$2,$A544)</f>
        <v>3570.90626900766</v>
      </c>
      <c r="N544" s="0" t="n">
        <f aca="false">W_PH(N$2,$A544)</f>
        <v>3570.90827605116</v>
      </c>
      <c r="O544" s="0" t="n">
        <f aca="false">W_PH(O$2,$A544)</f>
        <v>3570.91028309527</v>
      </c>
      <c r="P544" s="0" t="n">
        <f aca="false">W_PH(P$2,$A544)</f>
        <v>3570.93035356957</v>
      </c>
      <c r="Q544" s="0" t="n">
        <f aca="false">W_PH(Q$2,$A544)</f>
        <v>3570.95042057574</v>
      </c>
      <c r="R544" s="0" t="n">
        <f aca="false">W_PH(R$2,$A544)</f>
        <v>3570.97048764487</v>
      </c>
      <c r="S544" s="0" t="n">
        <f aca="false">W_PH(S$2,$A544)</f>
        <v>3570.99055830812</v>
      </c>
      <c r="T544" s="0" t="n">
        <f aca="false">W_PH(T$2,$A544)</f>
        <v>3571.0106290374</v>
      </c>
      <c r="U544" s="0" t="n">
        <f aca="false">W_PH(U$2,$A544)</f>
        <v>3571.03069983425</v>
      </c>
      <c r="V544" s="0" t="n">
        <f aca="false">W_PH(V$2,$A544)</f>
        <v>3571.0507671705</v>
      </c>
      <c r="W544" s="0" t="n">
        <f aca="false">W_PH(W$2,$A544)</f>
        <v>3571.07083457733</v>
      </c>
      <c r="X544" s="0" t="n">
        <f aca="false">W_PH(X$2,$A544)</f>
        <v>3571.09090558595</v>
      </c>
      <c r="Y544" s="0" t="n">
        <f aca="false">W_PH(Y$2,$A544)</f>
        <v>3571.2916023247</v>
      </c>
      <c r="Z544" s="0" t="n">
        <f aca="false">W_PH(Z$2,$A544)</f>
        <v>3571.49230794882</v>
      </c>
      <c r="AA544" s="0" t="n">
        <f aca="false">W_PH(AA$2,$A544)</f>
        <v>3571.69302045039</v>
      </c>
      <c r="AB544" s="0" t="n">
        <f aca="false">W_PH(AB$2,$A544)</f>
        <v>3571.89374841183</v>
      </c>
      <c r="AC544" s="0" t="n">
        <f aca="false">W_PH(AC$2,$A544)</f>
        <v>3572.09448629521</v>
      </c>
      <c r="AD544" s="0" t="n">
        <f aca="false">W_PH(AD$2,$A544)</f>
        <v>3572.2952391532</v>
      </c>
      <c r="AE544" s="0" t="n">
        <f aca="false">W_PH(AE$2,$A544)</f>
        <v>3572.49600497782</v>
      </c>
      <c r="AF544" s="0" t="n">
        <f aca="false">W_PH(AF$2,$A544)</f>
        <v>3572.69679235306</v>
      </c>
      <c r="AG544" s="0" t="n">
        <f aca="false">W_PH(AG$2,$A544)</f>
        <v>3572.89759220942</v>
      </c>
      <c r="AH544" s="0" t="n">
        <f aca="false">W_PH(AH$2,$A544)</f>
        <v>3574.90695128407</v>
      </c>
      <c r="AI544" s="0" t="n">
        <f aca="false">W_PH(AI$2,$A544)</f>
        <v>3576.91974278716</v>
      </c>
      <c r="AJ544" s="0" t="n">
        <f aca="false">W_PH(AJ$2,$A544)</f>
        <v>3578.93742778619</v>
      </c>
      <c r="AK544" s="0" t="n">
        <f aca="false">W_PH(AK$2,$A544)</f>
        <v>3580.9614826521</v>
      </c>
      <c r="AL544" s="0" t="n">
        <f aca="false">W_PH(AL$2,$A544)</f>
        <v>3582.9933566776</v>
      </c>
      <c r="AM544" s="0" t="n">
        <f aca="false">W_PH(AM$2,$A544)</f>
        <v>3585.03452870126</v>
      </c>
      <c r="AN544" s="0" t="n">
        <f aca="false">W_PH(AN$2,$A544)</f>
        <v>3587.08646120304</v>
      </c>
      <c r="AO544" s="0" t="n">
        <f aca="false">W_PH(AO$2,$A544)</f>
        <v>3589.15062159748</v>
      </c>
      <c r="AP544" s="0" t="n">
        <f aca="false">W_PH(AP$2,$A544)</f>
        <v>2015</v>
      </c>
      <c r="AQ544" s="0" t="n">
        <f aca="false">W_PH(AQ$2,$A544)</f>
        <v>2015</v>
      </c>
      <c r="AR544" s="0" t="n">
        <f aca="false">W_PH(AR$2,$A544)</f>
        <v>2015</v>
      </c>
      <c r="AS544" s="0" t="n">
        <f aca="false">W_PH(AS$2,$A544)</f>
        <v>2015</v>
      </c>
    </row>
    <row r="545" customFormat="false" ht="12.8" hidden="false" customHeight="false" outlineLevel="0" collapsed="false">
      <c r="A545" s="0" t="n">
        <v>3030.95442820292</v>
      </c>
      <c r="B545" s="0" t="n">
        <f aca="false">W_PH(B$2,$A545)</f>
        <v>2015</v>
      </c>
      <c r="C545" s="0" t="n">
        <f aca="false">W_PH(C$2,$A545)</f>
        <v>3573.61809561503</v>
      </c>
      <c r="D545" s="0" t="n">
        <f aca="false">W_PH(D$2,$A545)</f>
        <v>3573.61829713053</v>
      </c>
      <c r="E545" s="0" t="n">
        <f aca="false">W_PH(E$2,$A545)</f>
        <v>3573.61849864604</v>
      </c>
      <c r="F545" s="0" t="n">
        <f aca="false">W_PH(F$2,$A545)</f>
        <v>3573.61869663475</v>
      </c>
      <c r="G545" s="0" t="n">
        <f aca="false">W_PH(G$2,$A545)</f>
        <v>3573.62070473662</v>
      </c>
      <c r="H545" s="0" t="n">
        <f aca="false">W_PH(H$2,$A545)</f>
        <v>3573.62271283908</v>
      </c>
      <c r="I545" s="0" t="n">
        <f aca="false">W_PH(I$2,$A545)</f>
        <v>3573.62472094212</v>
      </c>
      <c r="J545" s="0" t="n">
        <f aca="false">W_PH(J$2,$A545)</f>
        <v>3573.62672551893</v>
      </c>
      <c r="K545" s="0" t="n">
        <f aca="false">W_PH(K$2,$A545)</f>
        <v>3573.62873009633</v>
      </c>
      <c r="L545" s="0" t="n">
        <f aca="false">W_PH(L$2,$A545)</f>
        <v>3573.63073820113</v>
      </c>
      <c r="M545" s="0" t="n">
        <f aca="false">W_PH(M$2,$A545)</f>
        <v>3573.63274630652</v>
      </c>
      <c r="N545" s="0" t="n">
        <f aca="false">W_PH(N$2,$A545)</f>
        <v>3573.6347544125</v>
      </c>
      <c r="O545" s="0" t="n">
        <f aca="false">W_PH(O$2,$A545)</f>
        <v>3573.63675899225</v>
      </c>
      <c r="P545" s="0" t="n">
        <f aca="false">W_PH(P$2,$A545)</f>
        <v>3573.65682598362</v>
      </c>
      <c r="Q545" s="0" t="n">
        <f aca="false">W_PH(Q$2,$A545)</f>
        <v>3573.67689303589</v>
      </c>
      <c r="R545" s="0" t="n">
        <f aca="false">W_PH(R$2,$A545)</f>
        <v>3573.69696015057</v>
      </c>
      <c r="S545" s="0" t="n">
        <f aca="false">W_PH(S$2,$A545)</f>
        <v>3573.71702732918</v>
      </c>
      <c r="T545" s="0" t="n">
        <f aca="false">W_PH(T$2,$A545)</f>
        <v>3573.73709457323</v>
      </c>
      <c r="U545" s="0" t="n">
        <f aca="false">W_PH(U$2,$A545)</f>
        <v>3573.75716541114</v>
      </c>
      <c r="V545" s="0" t="n">
        <f aca="false">W_PH(V$2,$A545)</f>
        <v>3573.77723279065</v>
      </c>
      <c r="W545" s="0" t="n">
        <f aca="false">W_PH(W$2,$A545)</f>
        <v>3573.79730024014</v>
      </c>
      <c r="X545" s="0" t="n">
        <f aca="false">W_PH(X$2,$A545)</f>
        <v>3573.81736776115</v>
      </c>
      <c r="Y545" s="0" t="n">
        <f aca="false">W_PH(Y$2,$A545)</f>
        <v>3574.01804723765</v>
      </c>
      <c r="Z545" s="0" t="n">
        <f aca="false">W_PH(Z$2,$A545)</f>
        <v>3574.2187355326</v>
      </c>
      <c r="AA545" s="0" t="n">
        <f aca="false">W_PH(AA$2,$A545)</f>
        <v>3574.41943416211</v>
      </c>
      <c r="AB545" s="0" t="n">
        <f aca="false">W_PH(AB$2,$A545)</f>
        <v>3574.62014464244</v>
      </c>
      <c r="AC545" s="0" t="n">
        <f aca="false">W_PH(AC$2,$A545)</f>
        <v>3574.82086143469</v>
      </c>
      <c r="AD545" s="0" t="n">
        <f aca="false">W_PH(AD$2,$A545)</f>
        <v>3575.02160016559</v>
      </c>
      <c r="AE545" s="0" t="n">
        <f aca="false">W_PH(AE$2,$A545)</f>
        <v>3575.22234824097</v>
      </c>
      <c r="AF545" s="0" t="n">
        <f aca="false">W_PH(AF$2,$A545)</f>
        <v>3575.42311776084</v>
      </c>
      <c r="AG545" s="0" t="n">
        <f aca="false">W_PH(AG$2,$A545)</f>
        <v>3575.62390318611</v>
      </c>
      <c r="AH545" s="0" t="n">
        <f aca="false">W_PH(AH$2,$A545)</f>
        <v>3577.63307888389</v>
      </c>
      <c r="AI545" s="0" t="n">
        <f aca="false">W_PH(AI$2,$A545)</f>
        <v>3579.6456766129</v>
      </c>
      <c r="AJ545" s="0" t="n">
        <f aca="false">W_PH(AJ$2,$A545)</f>
        <v>3581.66315143653</v>
      </c>
      <c r="AK545" s="0" t="n">
        <f aca="false">W_PH(AK$2,$A545)</f>
        <v>3583.68695958103</v>
      </c>
      <c r="AL545" s="0" t="n">
        <f aca="false">W_PH(AL$2,$A545)</f>
        <v>3585.71856201314</v>
      </c>
      <c r="AM545" s="0" t="n">
        <f aca="false">W_PH(AM$2,$A545)</f>
        <v>3587.75941742842</v>
      </c>
      <c r="AN545" s="0" t="n">
        <f aca="false">W_PH(AN$2,$A545)</f>
        <v>3589.81098938418</v>
      </c>
      <c r="AO545" s="0" t="n">
        <f aca="false">W_PH(AO$2,$A545)</f>
        <v>3591.87473930509</v>
      </c>
      <c r="AP545" s="0" t="n">
        <f aca="false">W_PH(AP$2,$A545)</f>
        <v>2015</v>
      </c>
      <c r="AQ545" s="0" t="n">
        <f aca="false">W_PH(AQ$2,$A545)</f>
        <v>2015</v>
      </c>
      <c r="AR545" s="0" t="n">
        <f aca="false">W_PH(AR$2,$A545)</f>
        <v>2015</v>
      </c>
      <c r="AS545" s="0" t="n">
        <f aca="false">W_PH(AS$2,$A545)</f>
        <v>2015</v>
      </c>
    </row>
    <row r="546" customFormat="false" ht="12.8" hidden="false" customHeight="false" outlineLevel="0" collapsed="false">
      <c r="A546" s="0" t="n">
        <v>3035.25365434222</v>
      </c>
      <c r="B546" s="0" t="n">
        <f aca="false">W_PH(B$2,$A546)</f>
        <v>2015</v>
      </c>
      <c r="C546" s="0" t="n">
        <f aca="false">W_PH(C$2,$A546)</f>
        <v>3576.34139479078</v>
      </c>
      <c r="D546" s="0" t="n">
        <f aca="false">W_PH(D$2,$A546)</f>
        <v>3576.34159288621</v>
      </c>
      <c r="E546" s="0" t="n">
        <f aca="false">W_PH(E$2,$A546)</f>
        <v>3576.3417945057</v>
      </c>
      <c r="F546" s="0" t="n">
        <f aca="false">W_PH(F$2,$A546)</f>
        <v>3576.3419961252</v>
      </c>
      <c r="G546" s="0" t="n">
        <f aca="false">W_PH(G$2,$A546)</f>
        <v>3576.3440017483</v>
      </c>
      <c r="H546" s="0" t="n">
        <f aca="false">W_PH(H$2,$A546)</f>
        <v>3576.34600737198</v>
      </c>
      <c r="I546" s="0" t="n">
        <f aca="false">W_PH(I$2,$A546)</f>
        <v>3576.34801652031</v>
      </c>
      <c r="J546" s="0" t="n">
        <f aca="false">W_PH(J$2,$A546)</f>
        <v>3576.35001862108</v>
      </c>
      <c r="K546" s="0" t="n">
        <f aca="false">W_PH(K$2,$A546)</f>
        <v>3576.35202777056</v>
      </c>
      <c r="L546" s="0" t="n">
        <f aca="false">W_PH(L$2,$A546)</f>
        <v>3576.35403339656</v>
      </c>
      <c r="M546" s="0" t="n">
        <f aca="false">W_PH(M$2,$A546)</f>
        <v>3576.35603902314</v>
      </c>
      <c r="N546" s="0" t="n">
        <f aca="false">W_PH(N$2,$A546)</f>
        <v>3576.35804817438</v>
      </c>
      <c r="O546" s="0" t="n">
        <f aca="false">W_PH(O$2,$A546)</f>
        <v>3576.36005380214</v>
      </c>
      <c r="P546" s="0" t="n">
        <f aca="false">W_PH(P$2,$A546)</f>
        <v>3576.38012068452</v>
      </c>
      <c r="Q546" s="0" t="n">
        <f aca="false">W_PH(Q$2,$A546)</f>
        <v>3576.40018410315</v>
      </c>
      <c r="R546" s="0" t="n">
        <f aca="false">W_PH(R$2,$A546)</f>
        <v>3576.42024758363</v>
      </c>
      <c r="S546" s="0" t="n">
        <f aca="false">W_PH(S$2,$A546)</f>
        <v>3576.4403181757</v>
      </c>
      <c r="T546" s="0" t="n">
        <f aca="false">W_PH(T$2,$A546)</f>
        <v>3576.46038178441</v>
      </c>
      <c r="U546" s="0" t="n">
        <f aca="false">W_PH(U$2,$A546)</f>
        <v>3576.4804454595</v>
      </c>
      <c r="V546" s="0" t="n">
        <f aca="false">W_PH(V$2,$A546)</f>
        <v>3576.50051272662</v>
      </c>
      <c r="W546" s="0" t="n">
        <f aca="false">W_PH(W$2,$A546)</f>
        <v>3576.52058006316</v>
      </c>
      <c r="X546" s="0" t="n">
        <f aca="false">W_PH(X$2,$A546)</f>
        <v>3576.54064394644</v>
      </c>
      <c r="Y546" s="0" t="n">
        <f aca="false">W_PH(Y$2,$A546)</f>
        <v>3576.74130815678</v>
      </c>
      <c r="Z546" s="0" t="n">
        <f aca="false">W_PH(Z$2,$A546)</f>
        <v>3576.9419811196</v>
      </c>
      <c r="AA546" s="0" t="n">
        <f aca="false">W_PH(AA$2,$A546)</f>
        <v>3577.14266082039</v>
      </c>
      <c r="AB546" s="0" t="n">
        <f aca="false">W_PH(AB$2,$A546)</f>
        <v>3577.34335229369</v>
      </c>
      <c r="AC546" s="0" t="n">
        <f aca="false">W_PH(AC$2,$A546)</f>
        <v>3577.54405352495</v>
      </c>
      <c r="AD546" s="0" t="n">
        <f aca="false">W_PH(AD$2,$A546)</f>
        <v>3577.74477307423</v>
      </c>
      <c r="AE546" s="0" t="n">
        <f aca="false">W_PH(AE$2,$A546)</f>
        <v>3577.94550892737</v>
      </c>
      <c r="AF546" s="0" t="n">
        <f aca="false">W_PH(AF$2,$A546)</f>
        <v>3578.14625554451</v>
      </c>
      <c r="AG546" s="0" t="n">
        <f aca="false">W_PH(AG$2,$A546)</f>
        <v>3578.34702148646</v>
      </c>
      <c r="AH546" s="0" t="n">
        <f aca="false">W_PH(AH$2,$A546)</f>
        <v>3580.35601275448</v>
      </c>
      <c r="AI546" s="0" t="n">
        <f aca="false">W_PH(AI$2,$A546)</f>
        <v>3582.36840873379</v>
      </c>
      <c r="AJ546" s="0" t="n">
        <f aca="false">W_PH(AJ$2,$A546)</f>
        <v>3584.38565851138</v>
      </c>
      <c r="AK546" s="0" t="n">
        <f aca="false">W_PH(AK$2,$A546)</f>
        <v>3586.40921940286</v>
      </c>
      <c r="AL546" s="0" t="n">
        <f aca="false">W_PH(AL$2,$A546)</f>
        <v>3588.44053581661</v>
      </c>
      <c r="AM546" s="0" t="n">
        <f aca="false">W_PH(AM$2,$A546)</f>
        <v>3590.48107461244</v>
      </c>
      <c r="AN546" s="0" t="n">
        <f aca="false">W_PH(AN$2,$A546)</f>
        <v>3592.53227572425</v>
      </c>
      <c r="AO546" s="0" t="n">
        <f aca="false">W_PH(AO$2,$A546)</f>
        <v>3594.59561228726</v>
      </c>
      <c r="AP546" s="0" t="n">
        <f aca="false">W_PH(AP$2,$A546)</f>
        <v>2015</v>
      </c>
      <c r="AQ546" s="0" t="n">
        <f aca="false">W_PH(AQ$2,$A546)</f>
        <v>2015</v>
      </c>
      <c r="AR546" s="0" t="n">
        <f aca="false">W_PH(AR$2,$A546)</f>
        <v>2015</v>
      </c>
      <c r="AS546" s="0" t="n">
        <f aca="false">W_PH(AS$2,$A546)</f>
        <v>2015</v>
      </c>
    </row>
    <row r="547" customFormat="false" ht="12.8" hidden="false" customHeight="false" outlineLevel="0" collapsed="false">
      <c r="A547" s="0" t="n">
        <v>3039.55288048151</v>
      </c>
      <c r="B547" s="0" t="n">
        <f aca="false">W_PH(B$2,$A547)</f>
        <v>2015</v>
      </c>
      <c r="C547" s="0" t="n">
        <f aca="false">W_PH(C$2,$A547)</f>
        <v>3579.06151802543</v>
      </c>
      <c r="D547" s="0" t="n">
        <f aca="false">W_PH(D$2,$A547)</f>
        <v>3579.06171974719</v>
      </c>
      <c r="E547" s="0" t="n">
        <f aca="false">W_PH(E$2,$A547)</f>
        <v>3579.06191794764</v>
      </c>
      <c r="F547" s="0" t="n">
        <f aca="false">W_PH(F$2,$A547)</f>
        <v>3579.06211966941</v>
      </c>
      <c r="G547" s="0" t="n">
        <f aca="false">W_PH(G$2,$A547)</f>
        <v>3579.06412632349</v>
      </c>
      <c r="H547" s="0" t="n">
        <f aca="false">W_PH(H$2,$A547)</f>
        <v>3579.06612945683</v>
      </c>
      <c r="I547" s="0" t="n">
        <f aca="false">W_PH(I$2,$A547)</f>
        <v>3579.06813963338</v>
      </c>
      <c r="J547" s="0" t="n">
        <f aca="false">W_PH(J$2,$A547)</f>
        <v>3579.07014276786</v>
      </c>
      <c r="K547" s="0" t="n">
        <f aca="false">W_PH(K$2,$A547)</f>
        <v>3579.07215294556</v>
      </c>
      <c r="L547" s="0" t="n">
        <f aca="false">W_PH(L$2,$A547)</f>
        <v>3579.07415608119</v>
      </c>
      <c r="M547" s="0" t="n">
        <f aca="false">W_PH(M$2,$A547)</f>
        <v>3579.07616626005</v>
      </c>
      <c r="N547" s="0" t="n">
        <f aca="false">W_PH(N$2,$A547)</f>
        <v>3579.07816939684</v>
      </c>
      <c r="O547" s="0" t="n">
        <f aca="false">W_PH(O$2,$A547)</f>
        <v>3579.08017605553</v>
      </c>
      <c r="P547" s="0" t="n">
        <f aca="false">W_PH(P$2,$A547)</f>
        <v>3579.10023915347</v>
      </c>
      <c r="Q547" s="0" t="n">
        <f aca="false">W_PH(Q$2,$A547)</f>
        <v>3579.12030583255</v>
      </c>
      <c r="R547" s="0" t="n">
        <f aca="false">W_PH(R$2,$A547)</f>
        <v>3579.14036553022</v>
      </c>
      <c r="S547" s="0" t="n">
        <f aca="false">W_PH(S$2,$A547)</f>
        <v>3579.16043233344</v>
      </c>
      <c r="T547" s="0" t="n">
        <f aca="false">W_PH(T$2,$A547)</f>
        <v>3579.18049567959</v>
      </c>
      <c r="U547" s="0" t="n">
        <f aca="false">W_PH(U$2,$A547)</f>
        <v>3579.20055909155</v>
      </c>
      <c r="V547" s="0" t="n">
        <f aca="false">W_PH(V$2,$A547)</f>
        <v>3579.22062257083</v>
      </c>
      <c r="W547" s="0" t="n">
        <f aca="false">W_PH(W$2,$A547)</f>
        <v>3579.24068611893</v>
      </c>
      <c r="X547" s="0" t="n">
        <f aca="false">W_PH(X$2,$A547)</f>
        <v>3579.2607532588</v>
      </c>
      <c r="Y547" s="0" t="n">
        <f aca="false">W_PH(Y$2,$A547)</f>
        <v>3579.46139716336</v>
      </c>
      <c r="Z547" s="0" t="n">
        <f aca="false">W_PH(Z$2,$A547)</f>
        <v>3579.66204975485</v>
      </c>
      <c r="AA547" s="0" t="n">
        <f aca="false">W_PH(AA$2,$A547)</f>
        <v>3579.86271253736</v>
      </c>
      <c r="AB547" s="0" t="n">
        <f aca="false">W_PH(AB$2,$A547)</f>
        <v>3580.06338701508</v>
      </c>
      <c r="AC547" s="0" t="n">
        <f aca="false">W_PH(AC$2,$A547)</f>
        <v>3580.26407117025</v>
      </c>
      <c r="AD547" s="0" t="n">
        <f aca="false">W_PH(AD$2,$A547)</f>
        <v>3580.46477002915</v>
      </c>
      <c r="AE547" s="0" t="n">
        <f aca="false">W_PH(AE$2,$A547)</f>
        <v>3580.66548509634</v>
      </c>
      <c r="AF547" s="0" t="n">
        <f aca="false">W_PH(AF$2,$A547)</f>
        <v>3580.86621435402</v>
      </c>
      <c r="AG547" s="0" t="n">
        <f aca="false">W_PH(AG$2,$A547)</f>
        <v>3581.06696282924</v>
      </c>
      <c r="AH547" s="0" t="n">
        <f aca="false">W_PH(AH$2,$A547)</f>
        <v>3583.07575816366</v>
      </c>
      <c r="AI547" s="0" t="n">
        <f aca="false">W_PH(AI$2,$A547)</f>
        <v>3585.08794807506</v>
      </c>
      <c r="AJ547" s="0" t="n">
        <f aca="false">W_PH(AJ$2,$A547)</f>
        <v>3587.10496866412</v>
      </c>
      <c r="AK547" s="0" t="n">
        <f aca="false">W_PH(AK$2,$A547)</f>
        <v>3589.12826424883</v>
      </c>
      <c r="AL547" s="0" t="n">
        <f aca="false">W_PH(AL$2,$A547)</f>
        <v>3591.15929447706</v>
      </c>
      <c r="AM547" s="0" t="n">
        <f aca="false">W_PH(AM$2,$A547)</f>
        <v>3593.19949910226</v>
      </c>
      <c r="AN547" s="0" t="n">
        <f aca="false">W_PH(AN$2,$A547)</f>
        <v>3595.25033332402</v>
      </c>
      <c r="AO547" s="0" t="n">
        <f aca="false">W_PH(AO$2,$A547)</f>
        <v>3597.31324669185</v>
      </c>
      <c r="AP547" s="0" t="n">
        <f aca="false">W_PH(AP$2,$A547)</f>
        <v>2015</v>
      </c>
      <c r="AQ547" s="0" t="n">
        <f aca="false">W_PH(AQ$2,$A547)</f>
        <v>2015</v>
      </c>
      <c r="AR547" s="0" t="n">
        <f aca="false">W_PH(AR$2,$A547)</f>
        <v>2015</v>
      </c>
      <c r="AS547" s="0" t="n">
        <f aca="false">W_PH(AS$2,$A547)</f>
        <v>2015</v>
      </c>
    </row>
    <row r="548" customFormat="false" ht="12.8" hidden="false" customHeight="false" outlineLevel="0" collapsed="false">
      <c r="A548" s="0" t="n">
        <v>3043.85210662081</v>
      </c>
      <c r="B548" s="0" t="n">
        <f aca="false">W_PH(B$2,$A548)</f>
        <v>2015</v>
      </c>
      <c r="C548" s="0" t="n">
        <f aca="false">W_PH(C$2,$A548)</f>
        <v>3581.77847732911</v>
      </c>
      <c r="D548" s="0" t="n">
        <f aca="false">W_PH(D$2,$A548)</f>
        <v>3581.77867915146</v>
      </c>
      <c r="E548" s="0" t="n">
        <f aca="false">W_PH(E$2,$A548)</f>
        <v>3581.77887745523</v>
      </c>
      <c r="F548" s="0" t="n">
        <f aca="false">W_PH(F$2,$A548)</f>
        <v>3581.77907927759</v>
      </c>
      <c r="G548" s="0" t="n">
        <f aca="false">W_PH(G$2,$A548)</f>
        <v>3581.78108694575</v>
      </c>
      <c r="H548" s="0" t="n">
        <f aca="false">W_PH(H$2,$A548)</f>
        <v>3581.7830910959</v>
      </c>
      <c r="I548" s="0" t="n">
        <f aca="false">W_PH(I$2,$A548)</f>
        <v>3581.78509876519</v>
      </c>
      <c r="J548" s="0" t="n">
        <f aca="false">W_PH(J$2,$A548)</f>
        <v>3581.78710643505</v>
      </c>
      <c r="K548" s="0" t="n">
        <f aca="false">W_PH(K$2,$A548)</f>
        <v>3581.7891105869</v>
      </c>
      <c r="L548" s="0" t="n">
        <f aca="false">W_PH(L$2,$A548)</f>
        <v>3581.79111473933</v>
      </c>
      <c r="M548" s="0" t="n">
        <f aca="false">W_PH(M$2,$A548)</f>
        <v>3581.79312241091</v>
      </c>
      <c r="N548" s="0" t="n">
        <f aca="false">W_PH(N$2,$A548)</f>
        <v>3581.79513008306</v>
      </c>
      <c r="O548" s="0" t="n">
        <f aca="false">W_PH(O$2,$A548)</f>
        <v>3581.7971342372</v>
      </c>
      <c r="P548" s="0" t="n">
        <f aca="false">W_PH(P$2,$A548)</f>
        <v>3581.81719692218</v>
      </c>
      <c r="Q548" s="0" t="n">
        <f aca="false">W_PH(Q$2,$A548)</f>
        <v>3581.83725966642</v>
      </c>
      <c r="R548" s="0" t="n">
        <f aca="false">W_PH(R$2,$A548)</f>
        <v>3581.85732247143</v>
      </c>
      <c r="S548" s="0" t="n">
        <f aca="false">W_PH(S$2,$A548)</f>
        <v>3581.87738182007</v>
      </c>
      <c r="T548" s="0" t="n">
        <f aca="false">W_PH(T$2,$A548)</f>
        <v>3581.89744475109</v>
      </c>
      <c r="U548" s="0" t="n">
        <f aca="false">W_PH(U$2,$A548)</f>
        <v>3581.91750422871</v>
      </c>
      <c r="V548" s="0" t="n">
        <f aca="false">W_PH(V$2,$A548)</f>
        <v>3581.93756729173</v>
      </c>
      <c r="W548" s="0" t="n">
        <f aca="false">W_PH(W$2,$A548)</f>
        <v>3581.95763042301</v>
      </c>
      <c r="X548" s="0" t="n">
        <f aca="false">W_PH(X$2,$A548)</f>
        <v>3581.97769362404</v>
      </c>
      <c r="Y548" s="0" t="n">
        <f aca="false">W_PH(Y$2,$A548)</f>
        <v>3582.17831924385</v>
      </c>
      <c r="Z548" s="0" t="n">
        <f aca="false">W_PH(Z$2,$A548)</f>
        <v>3582.37895348597</v>
      </c>
      <c r="AA548" s="0" t="n">
        <f aca="false">W_PH(AA$2,$A548)</f>
        <v>3582.57959432945</v>
      </c>
      <c r="AB548" s="0" t="n">
        <f aca="false">W_PH(AB$2,$A548)</f>
        <v>3582.78025031056</v>
      </c>
      <c r="AC548" s="0" t="n">
        <f aca="false">W_PH(AC$2,$A548)</f>
        <v>3582.98091588937</v>
      </c>
      <c r="AD548" s="0" t="n">
        <f aca="false">W_PH(AD$2,$A548)</f>
        <v>3583.18159608344</v>
      </c>
      <c r="AE548" s="0" t="n">
        <f aca="false">W_PH(AE$2,$A548)</f>
        <v>3583.38228887175</v>
      </c>
      <c r="AF548" s="0" t="n">
        <f aca="false">W_PH(AF$2,$A548)</f>
        <v>3583.58300279214</v>
      </c>
      <c r="AG548" s="0" t="n">
        <f aca="false">W_PH(AG$2,$A548)</f>
        <v>3583.78373230408</v>
      </c>
      <c r="AH548" s="0" t="n">
        <f aca="false">W_PH(AH$2,$A548)</f>
        <v>3585.79232738383</v>
      </c>
      <c r="AI548" s="0" t="n">
        <f aca="false">W_PH(AI$2,$A548)</f>
        <v>3587.80429646667</v>
      </c>
      <c r="AJ548" s="0" t="n">
        <f aca="false">W_PH(AJ$2,$A548)</f>
        <v>3589.82107679667</v>
      </c>
      <c r="AK548" s="0" t="n">
        <f aca="false">W_PH(AK$2,$A548)</f>
        <v>3591.84411031901</v>
      </c>
      <c r="AL548" s="0" t="n">
        <f aca="false">W_PH(AL$2,$A548)</f>
        <v>3593.87484372775</v>
      </c>
      <c r="AM548" s="0" t="n">
        <f aca="false">W_PH(AM$2,$A548)</f>
        <v>3595.9147108879</v>
      </c>
      <c r="AN548" s="0" t="n">
        <f aca="false">W_PH(AN$2,$A548)</f>
        <v>3597.9651646305</v>
      </c>
      <c r="AO548" s="0" t="n">
        <f aca="false">W_PH(AO$2,$A548)</f>
        <v>3600.02764861941</v>
      </c>
      <c r="AP548" s="0" t="n">
        <f aca="false">W_PH(AP$2,$A548)</f>
        <v>2015</v>
      </c>
      <c r="AQ548" s="0" t="n">
        <f aca="false">W_PH(AQ$2,$A548)</f>
        <v>2015</v>
      </c>
      <c r="AR548" s="0" t="n">
        <f aca="false">W_PH(AR$2,$A548)</f>
        <v>2015</v>
      </c>
      <c r="AS548" s="0" t="n">
        <f aca="false">W_PH(AS$2,$A548)</f>
        <v>2015</v>
      </c>
    </row>
    <row r="549" customFormat="false" ht="12.8" hidden="false" customHeight="false" outlineLevel="0" collapsed="false">
      <c r="A549" s="0" t="n">
        <v>3048.1513327601</v>
      </c>
      <c r="B549" s="0" t="n">
        <f aca="false">W_PH(B$2,$A549)</f>
        <v>2015</v>
      </c>
      <c r="C549" s="0" t="n">
        <f aca="false">W_PH(C$2,$A549)</f>
        <v>3584.4922846555</v>
      </c>
      <c r="D549" s="0" t="n">
        <f aca="false">W_PH(D$2,$A549)</f>
        <v>3584.49248306092</v>
      </c>
      <c r="E549" s="0" t="n">
        <f aca="false">W_PH(E$2,$A549)</f>
        <v>3584.49268146635</v>
      </c>
      <c r="F549" s="0" t="n">
        <f aca="false">W_PH(F$2,$A549)</f>
        <v>3584.49288338761</v>
      </c>
      <c r="G549" s="0" t="n">
        <f aca="false">W_PH(G$2,$A549)</f>
        <v>3584.49489205309</v>
      </c>
      <c r="H549" s="0" t="n">
        <f aca="false">W_PH(H$2,$A549)</f>
        <v>3584.4968972033</v>
      </c>
      <c r="I549" s="0" t="n">
        <f aca="false">W_PH(I$2,$A549)</f>
        <v>3584.49890235406</v>
      </c>
      <c r="J549" s="0" t="n">
        <f aca="false">W_PH(J$2,$A549)</f>
        <v>3584.50090750539</v>
      </c>
      <c r="K549" s="0" t="n">
        <f aca="false">W_PH(K$2,$A549)</f>
        <v>3584.50291265728</v>
      </c>
      <c r="L549" s="0" t="n">
        <f aca="false">W_PH(L$2,$A549)</f>
        <v>3584.50491780974</v>
      </c>
      <c r="M549" s="0" t="n">
        <f aca="false">W_PH(M$2,$A549)</f>
        <v>3584.50692647861</v>
      </c>
      <c r="N549" s="0" t="n">
        <f aca="false">W_PH(N$2,$A549)</f>
        <v>3584.5089316322</v>
      </c>
      <c r="O549" s="0" t="n">
        <f aca="false">W_PH(O$2,$A549)</f>
        <v>3584.51094030221</v>
      </c>
      <c r="P549" s="0" t="n">
        <f aca="false">W_PH(P$2,$A549)</f>
        <v>3584.53099890729</v>
      </c>
      <c r="Q549" s="0" t="n">
        <f aca="false">W_PH(Q$2,$A549)</f>
        <v>3584.55105757109</v>
      </c>
      <c r="R549" s="0" t="n">
        <f aca="false">W_PH(R$2,$A549)</f>
        <v>3584.5711162951</v>
      </c>
      <c r="S549" s="0" t="n">
        <f aca="false">W_PH(S$2,$A549)</f>
        <v>3584.59117508081</v>
      </c>
      <c r="T549" s="0" t="n">
        <f aca="false">W_PH(T$2,$A549)</f>
        <v>3584.61123744563</v>
      </c>
      <c r="U549" s="0" t="n">
        <f aca="false">W_PH(U$2,$A549)</f>
        <v>3584.63129987517</v>
      </c>
      <c r="V549" s="0" t="n">
        <f aca="false">W_PH(V$2,$A549)</f>
        <v>3584.65135885497</v>
      </c>
      <c r="W549" s="0" t="n">
        <f aca="false">W_PH(W$2,$A549)</f>
        <v>3584.67141790244</v>
      </c>
      <c r="X549" s="0" t="n">
        <f aca="false">W_PH(X$2,$A549)</f>
        <v>3584.69147701908</v>
      </c>
      <c r="Y549" s="0" t="n">
        <f aca="false">W_PH(Y$2,$A549)</f>
        <v>3584.89208638203</v>
      </c>
      <c r="Z549" s="0" t="n">
        <f aca="false">W_PH(Z$2,$A549)</f>
        <v>3585.09269727119</v>
      </c>
      <c r="AA549" s="0" t="n">
        <f aca="false">W_PH(AA$2,$A549)</f>
        <v>3585.29332172701</v>
      </c>
      <c r="AB549" s="0" t="n">
        <f aca="false">W_PH(AB$2,$A549)</f>
        <v>3585.49395772571</v>
      </c>
      <c r="AC549" s="0" t="n">
        <f aca="false">W_PH(AC$2,$A549)</f>
        <v>3585.69460324311</v>
      </c>
      <c r="AD549" s="0" t="n">
        <f aca="false">W_PH(AD$2,$A549)</f>
        <v>3585.89526328811</v>
      </c>
      <c r="AE549" s="0" t="n">
        <f aca="false">W_PH(AE$2,$A549)</f>
        <v>3586.09593583651</v>
      </c>
      <c r="AF549" s="0" t="n">
        <f aca="false">W_PH(AF$2,$A549)</f>
        <v>3586.29662589773</v>
      </c>
      <c r="AG549" s="0" t="n">
        <f aca="false">W_PH(AG$2,$A549)</f>
        <v>3586.49733848178</v>
      </c>
      <c r="AH549" s="0" t="n">
        <f aca="false">W_PH(AH$2,$A549)</f>
        <v>3588.5057185542</v>
      </c>
      <c r="AI549" s="0" t="n">
        <f aca="false">W_PH(AI$2,$A549)</f>
        <v>3590.51746626986</v>
      </c>
      <c r="AJ549" s="0" t="n">
        <f aca="false">W_PH(AJ$2,$A549)</f>
        <v>3592.53399892963</v>
      </c>
      <c r="AK549" s="0" t="n">
        <f aca="false">W_PH(AK$2,$A549)</f>
        <v>3594.55676317169</v>
      </c>
      <c r="AL549" s="0" t="n">
        <f aca="false">W_PH(AL$2,$A549)</f>
        <v>3596.58718925895</v>
      </c>
      <c r="AM549" s="0" t="n">
        <f aca="false">W_PH(AM$2,$A549)</f>
        <v>3598.62671577205</v>
      </c>
      <c r="AN549" s="0" t="n">
        <f aca="false">W_PH(AN$2,$A549)</f>
        <v>3600.67678263257</v>
      </c>
      <c r="AO549" s="0" t="n">
        <f aca="false">W_PH(AO$2,$A549)</f>
        <v>3602.73883117611</v>
      </c>
      <c r="AP549" s="0" t="n">
        <f aca="false">W_PH(AP$2,$A549)</f>
        <v>2015</v>
      </c>
      <c r="AQ549" s="0" t="n">
        <f aca="false">W_PH(AQ$2,$A549)</f>
        <v>2015</v>
      </c>
      <c r="AR549" s="0" t="n">
        <f aca="false">W_PH(AR$2,$A549)</f>
        <v>2015</v>
      </c>
      <c r="AS549" s="0" t="n">
        <f aca="false">W_PH(AS$2,$A549)</f>
        <v>2015</v>
      </c>
    </row>
    <row r="550" customFormat="false" ht="12.8" hidden="false" customHeight="false" outlineLevel="0" collapsed="false">
      <c r="A550" s="0" t="n">
        <v>3052.4505588994</v>
      </c>
      <c r="B550" s="0" t="n">
        <f aca="false">W_PH(B$2,$A550)</f>
        <v>2015</v>
      </c>
      <c r="C550" s="0" t="n">
        <f aca="false">W_PH(C$2,$A550)</f>
        <v>3587.20293784971</v>
      </c>
      <c r="D550" s="0" t="n">
        <f aca="false">W_PH(D$2,$A550)</f>
        <v>3587.20313986822</v>
      </c>
      <c r="E550" s="0" t="n">
        <f aca="false">W_PH(E$2,$A550)</f>
        <v>3587.20334188674</v>
      </c>
      <c r="F550" s="0" t="n">
        <f aca="false">W_PH(F$2,$A550)</f>
        <v>3587.20354039216</v>
      </c>
      <c r="G550" s="0" t="n">
        <f aca="false">W_PH(G$2,$A550)</f>
        <v>3587.20554652525</v>
      </c>
      <c r="H550" s="0" t="n">
        <f aca="false">W_PH(H$2,$A550)</f>
        <v>3587.2075526589</v>
      </c>
      <c r="I550" s="0" t="n">
        <f aca="false">W_PH(I$2,$A550)</f>
        <v>3587.20955879311</v>
      </c>
      <c r="J550" s="0" t="n">
        <f aca="false">W_PH(J$2,$A550)</f>
        <v>3587.21156492788</v>
      </c>
      <c r="K550" s="0" t="n">
        <f aca="false">W_PH(K$2,$A550)</f>
        <v>3587.21357106321</v>
      </c>
      <c r="L550" s="0" t="n">
        <f aca="false">W_PH(L$2,$A550)</f>
        <v>3587.2155771991</v>
      </c>
      <c r="M550" s="0" t="n">
        <f aca="false">W_PH(M$2,$A550)</f>
        <v>3587.21758333555</v>
      </c>
      <c r="N550" s="0" t="n">
        <f aca="false">W_PH(N$2,$A550)</f>
        <v>3587.21958595946</v>
      </c>
      <c r="O550" s="0" t="n">
        <f aca="false">W_PH(O$2,$A550)</f>
        <v>3587.22159209704</v>
      </c>
      <c r="P550" s="0" t="n">
        <f aca="false">W_PH(P$2,$A550)</f>
        <v>3587.24164999118</v>
      </c>
      <c r="Q550" s="0" t="n">
        <f aca="false">W_PH(Q$2,$A550)</f>
        <v>3587.26170794353</v>
      </c>
      <c r="R550" s="0" t="n">
        <f aca="false">W_PH(R$2,$A550)</f>
        <v>3587.28176595557</v>
      </c>
      <c r="S550" s="0" t="n">
        <f aca="false">W_PH(S$2,$A550)</f>
        <v>3587.30182402878</v>
      </c>
      <c r="T550" s="0" t="n">
        <f aca="false">W_PH(T$2,$A550)</f>
        <v>3587.32188216466</v>
      </c>
      <c r="U550" s="0" t="n">
        <f aca="false">W_PH(U$2,$A550)</f>
        <v>3587.34194036468</v>
      </c>
      <c r="V550" s="0" t="n">
        <f aca="false">W_PH(V$2,$A550)</f>
        <v>3587.36199863034</v>
      </c>
      <c r="W550" s="0" t="n">
        <f aca="false">W_PH(W$2,$A550)</f>
        <v>3587.38205344989</v>
      </c>
      <c r="X550" s="0" t="n">
        <f aca="false">W_PH(X$2,$A550)</f>
        <v>3587.40211536449</v>
      </c>
      <c r="Y550" s="0" t="n">
        <f aca="false">W_PH(Y$2,$A550)</f>
        <v>3587.6026999652</v>
      </c>
      <c r="Z550" s="0" t="n">
        <f aca="false">W_PH(Z$2,$A550)</f>
        <v>3587.80329306102</v>
      </c>
      <c r="AA550" s="0" t="n">
        <f aca="false">W_PH(AA$2,$A550)</f>
        <v>3588.00389613823</v>
      </c>
      <c r="AB550" s="0" t="n">
        <f aca="false">W_PH(AB$2,$A550)</f>
        <v>3588.20451068324</v>
      </c>
      <c r="AC550" s="0" t="n">
        <f aca="false">W_PH(AC$2,$A550)</f>
        <v>3588.40513466873</v>
      </c>
      <c r="AD550" s="0" t="n">
        <f aca="false">W_PH(AD$2,$A550)</f>
        <v>3588.60577309495</v>
      </c>
      <c r="AE550" s="0" t="n">
        <f aca="false">W_PH(AE$2,$A550)</f>
        <v>3588.80642744869</v>
      </c>
      <c r="AF550" s="0" t="n">
        <f aca="false">W_PH(AF$2,$A550)</f>
        <v>3589.00709921683</v>
      </c>
      <c r="AG550" s="0" t="n">
        <f aca="false">W_PH(AG$2,$A550)</f>
        <v>3589.20778285768</v>
      </c>
      <c r="AH550" s="0" t="n">
        <f aca="false">W_PH(AH$2,$A550)</f>
        <v>3591.21595089273</v>
      </c>
      <c r="AI550" s="0" t="n">
        <f aca="false">W_PH(AI$2,$A550)</f>
        <v>3593.22746275128</v>
      </c>
      <c r="AJ550" s="0" t="n">
        <f aca="false">W_PH(AJ$2,$A550)</f>
        <v>3595.24374397387</v>
      </c>
      <c r="AK550" s="0" t="n">
        <f aca="false">W_PH(AK$2,$A550)</f>
        <v>3597.26622832395</v>
      </c>
      <c r="AL550" s="0" t="n">
        <f aca="false">W_PH(AL$2,$A550)</f>
        <v>3599.29634375902</v>
      </c>
      <c r="AM550" s="0" t="n">
        <f aca="false">W_PH(AM$2,$A550)</f>
        <v>3601.3355195135</v>
      </c>
      <c r="AN550" s="0" t="n">
        <f aca="false">W_PH(AN$2,$A550)</f>
        <v>3603.385193206</v>
      </c>
      <c r="AO550" s="0" t="n">
        <f aca="false">W_PH(AO$2,$A550)</f>
        <v>3605.4468038751</v>
      </c>
      <c r="AP550" s="0" t="n">
        <f aca="false">W_PH(AP$2,$A550)</f>
        <v>2015</v>
      </c>
      <c r="AQ550" s="0" t="n">
        <f aca="false">W_PH(AQ$2,$A550)</f>
        <v>2015</v>
      </c>
      <c r="AR550" s="0" t="n">
        <f aca="false">W_PH(AR$2,$A550)</f>
        <v>2015</v>
      </c>
      <c r="AS550" s="0" t="n">
        <f aca="false">W_PH(AS$2,$A550)</f>
        <v>2015</v>
      </c>
    </row>
    <row r="551" customFormat="false" ht="12.8" hidden="false" customHeight="false" outlineLevel="0" collapsed="false">
      <c r="A551" s="0" t="n">
        <v>3056.74978503869</v>
      </c>
      <c r="B551" s="0" t="n">
        <f aca="false">W_PH(B$2,$A551)</f>
        <v>2015</v>
      </c>
      <c r="C551" s="0" t="n">
        <f aca="false">W_PH(C$2,$A551)</f>
        <v>3589.91045580701</v>
      </c>
      <c r="D551" s="0" t="n">
        <f aca="false">W_PH(D$2,$A551)</f>
        <v>3589.91065792113</v>
      </c>
      <c r="E551" s="0" t="n">
        <f aca="false">W_PH(E$2,$A551)</f>
        <v>3589.91085652488</v>
      </c>
      <c r="F551" s="0" t="n">
        <f aca="false">W_PH(F$2,$A551)</f>
        <v>3589.91105512863</v>
      </c>
      <c r="G551" s="0" t="n">
        <f aca="false">W_PH(G$2,$A551)</f>
        <v>3589.91306222873</v>
      </c>
      <c r="H551" s="0" t="n">
        <f aca="false">W_PH(H$2,$A551)</f>
        <v>3589.91506932938</v>
      </c>
      <c r="I551" s="0" t="n">
        <f aca="false">W_PH(I$2,$A551)</f>
        <v>3589.91707292021</v>
      </c>
      <c r="J551" s="0" t="n">
        <f aca="false">W_PH(J$2,$A551)</f>
        <v>3589.91907651158</v>
      </c>
      <c r="K551" s="0" t="n">
        <f aca="false">W_PH(K$2,$A551)</f>
        <v>3589.92108361389</v>
      </c>
      <c r="L551" s="0" t="n">
        <f aca="false">W_PH(L$2,$A551)</f>
        <v>3589.92309071676</v>
      </c>
      <c r="M551" s="0" t="n">
        <f aca="false">W_PH(M$2,$A551)</f>
        <v>3589.92509782019</v>
      </c>
      <c r="N551" s="0" t="n">
        <f aca="false">W_PH(N$2,$A551)</f>
        <v>3589.92710141379</v>
      </c>
      <c r="O551" s="0" t="n">
        <f aca="false">W_PH(O$2,$A551)</f>
        <v>3589.92910500795</v>
      </c>
      <c r="P551" s="0" t="n">
        <f aca="false">W_PH(P$2,$A551)</f>
        <v>3589.94916204303</v>
      </c>
      <c r="Q551" s="0" t="n">
        <f aca="false">W_PH(Q$2,$A551)</f>
        <v>3589.9692191358</v>
      </c>
      <c r="R551" s="0" t="n">
        <f aca="false">W_PH(R$2,$A551)</f>
        <v>3589.98927628774</v>
      </c>
      <c r="S551" s="0" t="n">
        <f aca="false">W_PH(S$2,$A551)</f>
        <v>3590.0093299899</v>
      </c>
      <c r="T551" s="0" t="n">
        <f aca="false">W_PH(T$2,$A551)</f>
        <v>3590.02938375417</v>
      </c>
      <c r="U551" s="0" t="n">
        <f aca="false">W_PH(U$2,$A551)</f>
        <v>3590.04944109249</v>
      </c>
      <c r="V551" s="0" t="n">
        <f aca="false">W_PH(V$2,$A551)</f>
        <v>3590.0694984959</v>
      </c>
      <c r="W551" s="0" t="n">
        <f aca="false">W_PH(W$2,$A551)</f>
        <v>3590.0895524554</v>
      </c>
      <c r="X551" s="0" t="n">
        <f aca="false">W_PH(X$2,$A551)</f>
        <v>3590.10960999343</v>
      </c>
      <c r="Y551" s="0" t="n">
        <f aca="false">W_PH(Y$2,$A551)</f>
        <v>3590.31017188919</v>
      </c>
      <c r="Z551" s="0" t="n">
        <f aca="false">W_PH(Z$2,$A551)</f>
        <v>3590.51074572818</v>
      </c>
      <c r="AA551" s="0" t="n">
        <f aca="false">W_PH(AA$2,$A551)</f>
        <v>3590.71132948032</v>
      </c>
      <c r="AB551" s="0" t="n">
        <f aca="false">W_PH(AB$2,$A551)</f>
        <v>3590.91191760417</v>
      </c>
      <c r="AC551" s="0" t="n">
        <f aca="false">W_PH(AC$2,$A551)</f>
        <v>3591.11252211302</v>
      </c>
      <c r="AD551" s="0" t="n">
        <f aca="false">W_PH(AD$2,$A551)</f>
        <v>3591.31314097677</v>
      </c>
      <c r="AE551" s="0" t="n">
        <f aca="false">W_PH(AE$2,$A551)</f>
        <v>3591.51377216499</v>
      </c>
      <c r="AF551" s="0" t="n">
        <f aca="false">W_PH(AF$2,$A551)</f>
        <v>3591.71442066983</v>
      </c>
      <c r="AG551" s="0" t="n">
        <f aca="false">W_PH(AG$2,$A551)</f>
        <v>3591.91508797245</v>
      </c>
      <c r="AH551" s="0" t="n">
        <f aca="false">W_PH(AH$2,$A551)</f>
        <v>3593.92302948492</v>
      </c>
      <c r="AI551" s="0" t="n">
        <f aca="false">W_PH(AI$2,$A551)</f>
        <v>3595.93429816757</v>
      </c>
      <c r="AJ551" s="0" t="n">
        <f aca="false">W_PH(AJ$2,$A551)</f>
        <v>3597.95032078949</v>
      </c>
      <c r="AK551" s="0" t="n">
        <f aca="false">W_PH(AK$2,$A551)</f>
        <v>3599.97251828477</v>
      </c>
      <c r="AL551" s="0" t="n">
        <f aca="false">W_PH(AL$2,$A551)</f>
        <v>3602.0023128164</v>
      </c>
      <c r="AM551" s="0" t="n">
        <f aca="false">W_PH(AM$2,$A551)</f>
        <v>3604.04113486466</v>
      </c>
      <c r="AN551" s="0" t="n">
        <f aca="false">W_PH(AN$2,$A551)</f>
        <v>3606.09040922086</v>
      </c>
      <c r="AO551" s="0" t="n">
        <f aca="false">W_PH(AO$2,$A551)</f>
        <v>3608.15156913107</v>
      </c>
      <c r="AP551" s="0" t="n">
        <f aca="false">W_PH(AP$2,$A551)</f>
        <v>2015</v>
      </c>
      <c r="AQ551" s="0" t="n">
        <f aca="false">W_PH(AQ$2,$A551)</f>
        <v>2015</v>
      </c>
      <c r="AR551" s="0" t="n">
        <f aca="false">W_PH(AR$2,$A551)</f>
        <v>2015</v>
      </c>
      <c r="AS551" s="0" t="n">
        <f aca="false">W_PH(AS$2,$A551)</f>
        <v>2015</v>
      </c>
    </row>
    <row r="552" customFormat="false" ht="12.8" hidden="false" customHeight="false" outlineLevel="0" collapsed="false">
      <c r="A552" s="0" t="n">
        <v>3061.04901117799</v>
      </c>
      <c r="B552" s="0" t="n">
        <f aca="false">W_PH(B$2,$A552)</f>
        <v>2015</v>
      </c>
      <c r="C552" s="0" t="n">
        <f aca="false">W_PH(C$2,$A552)</f>
        <v>3592.61483980709</v>
      </c>
      <c r="D552" s="0" t="n">
        <f aca="false">W_PH(D$2,$A552)</f>
        <v>3592.61503850754</v>
      </c>
      <c r="E552" s="0" t="n">
        <f aca="false">W_PH(E$2,$A552)</f>
        <v>3592.61524071564</v>
      </c>
      <c r="F552" s="0" t="n">
        <f aca="false">W_PH(F$2,$A552)</f>
        <v>3592.61544292375</v>
      </c>
      <c r="G552" s="0" t="n">
        <f aca="false">W_PH(G$2,$A552)</f>
        <v>3592.61744395925</v>
      </c>
      <c r="H552" s="0" t="n">
        <f aca="false">W_PH(H$2,$A552)</f>
        <v>3592.61945201059</v>
      </c>
      <c r="I552" s="0" t="n">
        <f aca="false">W_PH(I$2,$A552)</f>
        <v>3592.62145655483</v>
      </c>
      <c r="J552" s="0" t="n">
        <f aca="false">W_PH(J$2,$A552)</f>
        <v>3592.62346109962</v>
      </c>
      <c r="K552" s="0" t="n">
        <f aca="false">W_PH(K$2,$A552)</f>
        <v>3592.62546915261</v>
      </c>
      <c r="L552" s="0" t="n">
        <f aca="false">W_PH(L$2,$A552)</f>
        <v>3592.62747019084</v>
      </c>
      <c r="M552" s="0" t="n">
        <f aca="false">W_PH(M$2,$A552)</f>
        <v>3592.62947824493</v>
      </c>
      <c r="N552" s="0" t="n">
        <f aca="false">W_PH(N$2,$A552)</f>
        <v>3592.63148279193</v>
      </c>
      <c r="O552" s="0" t="n">
        <f aca="false">W_PH(O$2,$A552)</f>
        <v>3592.63348733947</v>
      </c>
      <c r="P552" s="0" t="n">
        <f aca="false">W_PH(P$2,$A552)</f>
        <v>3592.65353986114</v>
      </c>
      <c r="Q552" s="0" t="n">
        <f aca="false">W_PH(Q$2,$A552)</f>
        <v>3592.67359594765</v>
      </c>
      <c r="R552" s="0" t="n">
        <f aca="false">W_PH(R$2,$A552)</f>
        <v>3592.69364858513</v>
      </c>
      <c r="S552" s="0" t="n">
        <f aca="false">W_PH(S$2,$A552)</f>
        <v>3592.71370479042</v>
      </c>
      <c r="T552" s="0" t="n">
        <f aca="false">W_PH(T$2,$A552)</f>
        <v>3592.73375754961</v>
      </c>
      <c r="U552" s="0" t="n">
        <f aca="false">W_PH(U$2,$A552)</f>
        <v>3592.75381037185</v>
      </c>
      <c r="V552" s="0" t="n">
        <f aca="false">W_PH(V$2,$A552)</f>
        <v>3592.77386325863</v>
      </c>
      <c r="W552" s="0" t="n">
        <f aca="false">W_PH(W$2,$A552)</f>
        <v>3592.79391621142</v>
      </c>
      <c r="X552" s="0" t="n">
        <f aca="false">W_PH(X$2,$A552)</f>
        <v>3592.81396923169</v>
      </c>
      <c r="Y552" s="0" t="n">
        <f aca="false">W_PH(Y$2,$A552)</f>
        <v>3593.01451399404</v>
      </c>
      <c r="Z552" s="0" t="n">
        <f aca="false">W_PH(Z$2,$A552)</f>
        <v>3593.21506361936</v>
      </c>
      <c r="AA552" s="0" t="n">
        <f aca="false">W_PH(AA$2,$A552)</f>
        <v>3593.41562309002</v>
      </c>
      <c r="AB552" s="0" t="n">
        <f aca="false">W_PH(AB$2,$A552)</f>
        <v>3593.61619037247</v>
      </c>
      <c r="AC552" s="0" t="n">
        <f aca="false">W_PH(AC$2,$A552)</f>
        <v>3593.81677395797</v>
      </c>
      <c r="AD552" s="0" t="n">
        <f aca="false">W_PH(AD$2,$A552)</f>
        <v>3594.01736830483</v>
      </c>
      <c r="AE552" s="0" t="n">
        <f aca="false">W_PH(AE$2,$A552)</f>
        <v>3594.2179783964</v>
      </c>
      <c r="AF552" s="0" t="n">
        <f aca="false">W_PH(AF$2,$A552)</f>
        <v>3594.41860219915</v>
      </c>
      <c r="AG552" s="0" t="n">
        <f aca="false">W_PH(AG$2,$A552)</f>
        <v>3594.61924469691</v>
      </c>
      <c r="AH552" s="0" t="n">
        <f aca="false">W_PH(AH$2,$A552)</f>
        <v>3596.62695586976</v>
      </c>
      <c r="AI552" s="0" t="n">
        <f aca="false">W_PH(AI$2,$A552)</f>
        <v>3598.63797769272</v>
      </c>
      <c r="AJ552" s="0" t="n">
        <f aca="false">W_PH(AJ$2,$A552)</f>
        <v>3600.65373467384</v>
      </c>
      <c r="AK552" s="0" t="n">
        <f aca="false">W_PH(AK$2,$A552)</f>
        <v>3602.67563495939</v>
      </c>
      <c r="AL552" s="0" t="n">
        <f aca="false">W_PH(AL$2,$A552)</f>
        <v>3604.7051054924</v>
      </c>
      <c r="AM552" s="0" t="n">
        <f aca="false">W_PH(AM$2,$A552)</f>
        <v>3606.74356396497</v>
      </c>
      <c r="AN552" s="0" t="n">
        <f aca="false">W_PH(AN$2,$A552)</f>
        <v>3608.79243644661</v>
      </c>
      <c r="AO552" s="0" t="n">
        <f aca="false">W_PH(AO$2,$A552)</f>
        <v>3610.85313987741</v>
      </c>
      <c r="AP552" s="0" t="n">
        <f aca="false">W_PH(AP$2,$A552)</f>
        <v>2015</v>
      </c>
      <c r="AQ552" s="0" t="n">
        <f aca="false">W_PH(AQ$2,$A552)</f>
        <v>2015</v>
      </c>
      <c r="AR552" s="0" t="n">
        <f aca="false">W_PH(AR$2,$A552)</f>
        <v>2015</v>
      </c>
      <c r="AS552" s="0" t="n">
        <f aca="false">W_PH(AS$2,$A552)</f>
        <v>2015</v>
      </c>
    </row>
    <row r="553" customFormat="false" ht="12.8" hidden="false" customHeight="false" outlineLevel="0" collapsed="false">
      <c r="A553" s="0" t="n">
        <v>3065.34823731728</v>
      </c>
      <c r="B553" s="0" t="n">
        <f aca="false">W_PH(B$2,$A553)</f>
        <v>2015</v>
      </c>
      <c r="C553" s="0" t="n">
        <f aca="false">W_PH(C$2,$A553)</f>
        <v>3595.31609811704</v>
      </c>
      <c r="D553" s="0" t="n">
        <f aca="false">W_PH(D$2,$A553)</f>
        <v>3595.31629691258</v>
      </c>
      <c r="E553" s="0" t="n">
        <f aca="false">W_PH(E$2,$A553)</f>
        <v>3595.31649921305</v>
      </c>
      <c r="F553" s="0" t="n">
        <f aca="false">W_PH(F$2,$A553)</f>
        <v>3595.31670151353</v>
      </c>
      <c r="G553" s="0" t="n">
        <f aca="false">W_PH(G$2,$A553)</f>
        <v>3595.31870348901</v>
      </c>
      <c r="H553" s="0" t="n">
        <f aca="false">W_PH(H$2,$A553)</f>
        <v>3595.32071247489</v>
      </c>
      <c r="I553" s="0" t="n">
        <f aca="false">W_PH(I$2,$A553)</f>
        <v>3595.32271445145</v>
      </c>
      <c r="J553" s="0" t="n">
        <f aca="false">W_PH(J$2,$A553)</f>
        <v>3595.32471993349</v>
      </c>
      <c r="K553" s="0" t="n">
        <f aca="false">W_PH(K$2,$A553)</f>
        <v>3595.32672541607</v>
      </c>
      <c r="L553" s="0" t="n">
        <f aca="false">W_PH(L$2,$A553)</f>
        <v>3595.3287308992</v>
      </c>
      <c r="M553" s="0" t="n">
        <f aca="false">W_PH(M$2,$A553)</f>
        <v>3595.33073638287</v>
      </c>
      <c r="N553" s="0" t="n">
        <f aca="false">W_PH(N$2,$A553)</f>
        <v>3595.3327418671</v>
      </c>
      <c r="O553" s="0" t="n">
        <f aca="false">W_PH(O$2,$A553)</f>
        <v>3595.33474735187</v>
      </c>
      <c r="P553" s="0" t="n">
        <f aca="false">W_PH(P$2,$A553)</f>
        <v>3595.35479522033</v>
      </c>
      <c r="Q553" s="0" t="n">
        <f aca="false">W_PH(Q$2,$A553)</f>
        <v>3595.37485015536</v>
      </c>
      <c r="R553" s="0" t="n">
        <f aca="false">W_PH(R$2,$A553)</f>
        <v>3595.39489813859</v>
      </c>
      <c r="S553" s="0" t="n">
        <f aca="false">W_PH(S$2,$A553)</f>
        <v>3595.41495319137</v>
      </c>
      <c r="T553" s="0" t="n">
        <f aca="false">W_PH(T$2,$A553)</f>
        <v>3595.43500129525</v>
      </c>
      <c r="U553" s="0" t="n">
        <f aca="false">W_PH(U$2,$A553)</f>
        <v>3595.45505647166</v>
      </c>
      <c r="V553" s="0" t="n">
        <f aca="false">W_PH(V$2,$A553)</f>
        <v>3595.47510470206</v>
      </c>
      <c r="W553" s="0" t="n">
        <f aca="false">W_PH(W$2,$A553)</f>
        <v>3595.49515650294</v>
      </c>
      <c r="X553" s="0" t="n">
        <f aca="false">W_PH(X$2,$A553)</f>
        <v>3595.51520837076</v>
      </c>
      <c r="Y553" s="0" t="n">
        <f aca="false">W_PH(Y$2,$A553)</f>
        <v>3595.71572754883</v>
      </c>
      <c r="Z553" s="0" t="n">
        <f aca="false">W_PH(Z$2,$A553)</f>
        <v>3595.91625503652</v>
      </c>
      <c r="AA553" s="0" t="n">
        <f aca="false">W_PH(AA$2,$A553)</f>
        <v>3596.11678879725</v>
      </c>
      <c r="AB553" s="0" t="n">
        <f aca="false">W_PH(AB$2,$A553)</f>
        <v>3596.31733731063</v>
      </c>
      <c r="AC553" s="0" t="n">
        <f aca="false">W_PH(AC$2,$A553)</f>
        <v>3596.51789503479</v>
      </c>
      <c r="AD553" s="0" t="n">
        <f aca="false">W_PH(AD$2,$A553)</f>
        <v>3596.71846694429</v>
      </c>
      <c r="AE553" s="0" t="n">
        <f aca="false">W_PH(AE$2,$A553)</f>
        <v>3596.91905100255</v>
      </c>
      <c r="AF553" s="0" t="n">
        <f aca="false">W_PH(AF$2,$A553)</f>
        <v>3597.11965569065</v>
      </c>
      <c r="AG553" s="0" t="n">
        <f aca="false">W_PH(AG$2,$A553)</f>
        <v>3597.32027546622</v>
      </c>
      <c r="AH553" s="0" t="n">
        <f aca="false">W_PH(AH$2,$A553)</f>
        <v>3599.32774559047</v>
      </c>
      <c r="AI553" s="0" t="n">
        <f aca="false">W_PH(AI$2,$A553)</f>
        <v>3601.33851348027</v>
      </c>
      <c r="AJ553" s="0" t="n">
        <f aca="false">W_PH(AJ$2,$A553)</f>
        <v>3603.35399088548</v>
      </c>
      <c r="AK553" s="0" t="n">
        <f aca="false">W_PH(AK$2,$A553)</f>
        <v>3605.37559426719</v>
      </c>
      <c r="AL553" s="0" t="n">
        <f aca="false">W_PH(AL$2,$A553)</f>
        <v>3607.40473079558</v>
      </c>
      <c r="AM553" s="0" t="n">
        <f aca="false">W_PH(AM$2,$A553)</f>
        <v>3609.44281946109</v>
      </c>
      <c r="AN553" s="0" t="n">
        <f aca="false">W_PH(AN$2,$A553)</f>
        <v>3611.49128060884</v>
      </c>
      <c r="AO553" s="0" t="n">
        <f aca="false">W_PH(AO$2,$A553)</f>
        <v>3613.55152194995</v>
      </c>
      <c r="AP553" s="0" t="n">
        <f aca="false">W_PH(AP$2,$A553)</f>
        <v>2015</v>
      </c>
      <c r="AQ553" s="0" t="n">
        <f aca="false">W_PH(AQ$2,$A553)</f>
        <v>2015</v>
      </c>
      <c r="AR553" s="0" t="n">
        <f aca="false">W_PH(AR$2,$A553)</f>
        <v>2015</v>
      </c>
      <c r="AS553" s="0" t="n">
        <f aca="false">W_PH(AS$2,$A553)</f>
        <v>2015</v>
      </c>
    </row>
    <row r="554" customFormat="false" ht="12.8" hidden="false" customHeight="false" outlineLevel="0" collapsed="false">
      <c r="A554" s="0" t="n">
        <v>3069.64746345658</v>
      </c>
      <c r="B554" s="0" t="n">
        <f aca="false">W_PH(B$2,$A554)</f>
        <v>2015</v>
      </c>
      <c r="C554" s="0" t="n">
        <f aca="false">W_PH(C$2,$A554)</f>
        <v>3598.01423896001</v>
      </c>
      <c r="D554" s="0" t="n">
        <f aca="false">W_PH(D$2,$A554)</f>
        <v>3598.01444135124</v>
      </c>
      <c r="E554" s="0" t="n">
        <f aca="false">W_PH(E$2,$A554)</f>
        <v>3598.01464374248</v>
      </c>
      <c r="F554" s="0" t="n">
        <f aca="false">W_PH(F$2,$A554)</f>
        <v>3598.01484263151</v>
      </c>
      <c r="G554" s="0" t="n">
        <f aca="false">W_PH(G$2,$A554)</f>
        <v>3598.01684553096</v>
      </c>
      <c r="H554" s="0" t="n">
        <f aca="false">W_PH(H$2,$A554)</f>
        <v>3598.01885193315</v>
      </c>
      <c r="I554" s="0" t="n">
        <f aca="false">W_PH(I$2,$A554)</f>
        <v>3598.02085833589</v>
      </c>
      <c r="J554" s="0" t="n">
        <f aca="false">W_PH(J$2,$A554)</f>
        <v>3598.02286123694</v>
      </c>
      <c r="K554" s="0" t="n">
        <f aca="false">W_PH(K$2,$A554)</f>
        <v>3598.02486764076</v>
      </c>
      <c r="L554" s="0" t="n">
        <f aca="false">W_PH(L$2,$A554)</f>
        <v>3598.02687404511</v>
      </c>
      <c r="M554" s="0" t="n">
        <f aca="false">W_PH(M$2,$A554)</f>
        <v>3598.02887694779</v>
      </c>
      <c r="N554" s="0" t="n">
        <f aca="false">W_PH(N$2,$A554)</f>
        <v>3598.03087985101</v>
      </c>
      <c r="O554" s="0" t="n">
        <f aca="false">W_PH(O$2,$A554)</f>
        <v>3598.032886257</v>
      </c>
      <c r="P554" s="0" t="n">
        <f aca="false">W_PH(P$2,$A554)</f>
        <v>3598.0529328361</v>
      </c>
      <c r="Q554" s="0" t="n">
        <f aca="false">W_PH(Q$2,$A554)</f>
        <v>3598.07298297358</v>
      </c>
      <c r="R554" s="0" t="n">
        <f aca="false">W_PH(R$2,$A554)</f>
        <v>3598.0930331687</v>
      </c>
      <c r="S554" s="0" t="n">
        <f aca="false">W_PH(S$2,$A554)</f>
        <v>3598.11308342291</v>
      </c>
      <c r="T554" s="0" t="n">
        <f aca="false">W_PH(T$2,$A554)</f>
        <v>3598.13313373768</v>
      </c>
      <c r="U554" s="0" t="n">
        <f aca="false">W_PH(U$2,$A554)</f>
        <v>3598.15318061218</v>
      </c>
      <c r="V554" s="0" t="n">
        <f aca="false">W_PH(V$2,$A554)</f>
        <v>3598.17322755014</v>
      </c>
      <c r="W554" s="0" t="n">
        <f aca="false">W_PH(W$2,$A554)</f>
        <v>3598.19327805533</v>
      </c>
      <c r="X554" s="0" t="n">
        <f aca="false">W_PH(X$2,$A554)</f>
        <v>3598.21332862694</v>
      </c>
      <c r="Y554" s="0" t="n">
        <f aca="false">W_PH(Y$2,$A554)</f>
        <v>3598.41382430752</v>
      </c>
      <c r="Z554" s="0" t="n">
        <f aca="false">W_PH(Z$2,$A554)</f>
        <v>3598.61432823725</v>
      </c>
      <c r="AA554" s="0" t="n">
        <f aca="false">W_PH(AA$2,$A554)</f>
        <v>3598.81483837651</v>
      </c>
      <c r="AB554" s="0" t="n">
        <f aca="false">W_PH(AB$2,$A554)</f>
        <v>3599.01535969089</v>
      </c>
      <c r="AC554" s="0" t="n">
        <f aca="false">W_PH(AC$2,$A554)</f>
        <v>3599.21589714663</v>
      </c>
      <c r="AD554" s="0" t="n">
        <f aca="false">W_PH(AD$2,$A554)</f>
        <v>3599.41644169836</v>
      </c>
      <c r="AE554" s="0" t="n">
        <f aca="false">W_PH(AE$2,$A554)</f>
        <v>3599.61700882155</v>
      </c>
      <c r="AF554" s="0" t="n">
        <f aca="false">W_PH(AF$2,$A554)</f>
        <v>3599.81758596746</v>
      </c>
      <c r="AG554" s="0" t="n">
        <f aca="false">W_PH(AG$2,$A554)</f>
        <v>3600.01818160595</v>
      </c>
      <c r="AH554" s="0" t="n">
        <f aca="false">W_PH(AH$2,$A554)</f>
        <v>3602.02540010311</v>
      </c>
      <c r="AI554" s="0" t="n">
        <f aca="false">W_PH(AI$2,$A554)</f>
        <v>3604.03591061299</v>
      </c>
      <c r="AJ554" s="0" t="n">
        <f aca="false">W_PH(AJ$2,$A554)</f>
        <v>3606.05110165818</v>
      </c>
      <c r="AK554" s="0" t="n">
        <f aca="false">W_PH(AK$2,$A554)</f>
        <v>3608.07239802232</v>
      </c>
      <c r="AL554" s="0" t="n">
        <f aca="false">W_PH(AL$2,$A554)</f>
        <v>3610.10119768216</v>
      </c>
      <c r="AM554" s="0" t="n">
        <f aca="false">W_PH(AM$2,$A554)</f>
        <v>3612.13890691468</v>
      </c>
      <c r="AN554" s="0" t="n">
        <f aca="false">W_PH(AN$2,$A554)</f>
        <v>3614.18694738961</v>
      </c>
      <c r="AO554" s="0" t="n">
        <f aca="false">W_PH(AO$2,$A554)</f>
        <v>3616.24672816337</v>
      </c>
      <c r="AP554" s="0" t="n">
        <f aca="false">W_PH(AP$2,$A554)</f>
        <v>2015</v>
      </c>
      <c r="AQ554" s="0" t="n">
        <f aca="false">W_PH(AQ$2,$A554)</f>
        <v>2015</v>
      </c>
      <c r="AR554" s="0" t="n">
        <f aca="false">W_PH(AR$2,$A554)</f>
        <v>2015</v>
      </c>
      <c r="AS554" s="0" t="n">
        <f aca="false">W_PH(AS$2,$A554)</f>
        <v>2015</v>
      </c>
    </row>
    <row r="555" customFormat="false" ht="12.8" hidden="false" customHeight="false" outlineLevel="0" collapsed="false">
      <c r="A555" s="0" t="n">
        <v>3073.94668959587</v>
      </c>
      <c r="B555" s="0" t="n">
        <f aca="false">W_PH(B$2,$A555)</f>
        <v>2015</v>
      </c>
      <c r="C555" s="0" t="n">
        <f aca="false">W_PH(C$2,$A555)</f>
        <v>3600.70927401494</v>
      </c>
      <c r="D555" s="0" t="n">
        <f aca="false">W_PH(D$2,$A555)</f>
        <v>3600.70947299586</v>
      </c>
      <c r="E555" s="0" t="n">
        <f aca="false">W_PH(E$2,$A555)</f>
        <v>3600.70967547628</v>
      </c>
      <c r="F555" s="0" t="n">
        <f aca="false">W_PH(F$2,$A555)</f>
        <v>3600.7098779567</v>
      </c>
      <c r="G555" s="0" t="n">
        <f aca="false">W_PH(G$2,$A555)</f>
        <v>3600.71188176425</v>
      </c>
      <c r="H555" s="0" t="n">
        <f aca="false">W_PH(H$2,$A555)</f>
        <v>3600.71388557232</v>
      </c>
      <c r="I555" s="0" t="n">
        <f aca="false">W_PH(I$2,$A555)</f>
        <v>3600.71588938093</v>
      </c>
      <c r="J555" s="0" t="n">
        <f aca="false">W_PH(J$2,$A555)</f>
        <v>3600.71789319007</v>
      </c>
      <c r="K555" s="0" t="n">
        <f aca="false">W_PH(K$2,$A555)</f>
        <v>3600.71989699974</v>
      </c>
      <c r="L555" s="0" t="n">
        <f aca="false">W_PH(L$2,$A555)</f>
        <v>3600.72190430945</v>
      </c>
      <c r="M555" s="0" t="n">
        <f aca="false">W_PH(M$2,$A555)</f>
        <v>3600.7239081202</v>
      </c>
      <c r="N555" s="0" t="n">
        <f aca="false">W_PH(N$2,$A555)</f>
        <v>3600.72591543099</v>
      </c>
      <c r="O555" s="0" t="n">
        <f aca="false">W_PH(O$2,$A555)</f>
        <v>3600.72791924282</v>
      </c>
      <c r="P555" s="0" t="n">
        <f aca="false">W_PH(P$2,$A555)</f>
        <v>3600.74796439015</v>
      </c>
      <c r="Q555" s="0" t="n">
        <f aca="false">W_PH(Q$2,$A555)</f>
        <v>3600.76800959314</v>
      </c>
      <c r="R555" s="0" t="n">
        <f aca="false">W_PH(R$2,$A555)</f>
        <v>3600.78805485324</v>
      </c>
      <c r="S555" s="0" t="n">
        <f aca="false">W_PH(S$2,$A555)</f>
        <v>3600.80810367147</v>
      </c>
      <c r="T555" s="0" t="n">
        <f aca="false">W_PH(T$2,$A555)</f>
        <v>3600.82815254976</v>
      </c>
      <c r="U555" s="0" t="n">
        <f aca="false">W_PH(U$2,$A555)</f>
        <v>3600.84819798997</v>
      </c>
      <c r="V555" s="0" t="n">
        <f aca="false">W_PH(V$2,$A555)</f>
        <v>3600.86824349312</v>
      </c>
      <c r="W555" s="0" t="n">
        <f aca="false">W_PH(W$2,$A555)</f>
        <v>3600.88828906067</v>
      </c>
      <c r="X555" s="0" t="n">
        <f aca="false">W_PH(X$2,$A555)</f>
        <v>3600.90833469408</v>
      </c>
      <c r="Y555" s="0" t="n">
        <f aca="false">W_PH(Y$2,$A555)</f>
        <v>3601.10880896981</v>
      </c>
      <c r="Z555" s="0" t="n">
        <f aca="false">W_PH(Z$2,$A555)</f>
        <v>3601.30928793522</v>
      </c>
      <c r="AA555" s="0" t="n">
        <f aca="false">W_PH(AA$2,$A555)</f>
        <v>3601.50977654724</v>
      </c>
      <c r="AB555" s="0" t="n">
        <f aca="false">W_PH(AB$2,$A555)</f>
        <v>3601.71027276325</v>
      </c>
      <c r="AC555" s="0" t="n">
        <f aca="false">W_PH(AC$2,$A555)</f>
        <v>3601.91078154065</v>
      </c>
      <c r="AD555" s="0" t="n">
        <f aca="false">W_PH(AD$2,$A555)</f>
        <v>3602.11130433713</v>
      </c>
      <c r="AE555" s="0" t="n">
        <f aca="false">W_PH(AE$2,$A555)</f>
        <v>3602.3118426105</v>
      </c>
      <c r="AF555" s="0" t="n">
        <f aca="false">W_PH(AF$2,$A555)</f>
        <v>3602.51239781871</v>
      </c>
      <c r="AG555" s="0" t="n">
        <f aca="false">W_PH(AG$2,$A555)</f>
        <v>3602.71296791914</v>
      </c>
      <c r="AH555" s="0" t="n">
        <f aca="false">W_PH(AH$2,$A555)</f>
        <v>3604.71993484656</v>
      </c>
      <c r="AI555" s="0" t="n">
        <f aca="false">W_PH(AI$2,$A555)</f>
        <v>3606.73017413687</v>
      </c>
      <c r="AJ555" s="0" t="n">
        <f aca="false">W_PH(AJ$2,$A555)</f>
        <v>3608.7450791653</v>
      </c>
      <c r="AK555" s="0" t="n">
        <f aca="false">W_PH(AK$2,$A555)</f>
        <v>3610.76605502106</v>
      </c>
      <c r="AL555" s="0" t="n">
        <f aca="false">W_PH(AL$2,$A555)</f>
        <v>3612.79450804414</v>
      </c>
      <c r="AM555" s="0" t="n">
        <f aca="false">W_PH(AM$2,$A555)</f>
        <v>3614.83183885977</v>
      </c>
      <c r="AN555" s="0" t="n">
        <f aca="false">W_PH(AN$2,$A555)</f>
        <v>3616.87945646012</v>
      </c>
      <c r="AO555" s="0" t="n">
        <f aca="false">W_PH(AO$2,$A555)</f>
        <v>3618.93876424729</v>
      </c>
      <c r="AP555" s="0" t="n">
        <f aca="false">W_PH(AP$2,$A555)</f>
        <v>2015</v>
      </c>
      <c r="AQ555" s="0" t="n">
        <f aca="false">W_PH(AQ$2,$A555)</f>
        <v>2015</v>
      </c>
      <c r="AR555" s="0" t="n">
        <f aca="false">W_PH(AR$2,$A555)</f>
        <v>2015</v>
      </c>
      <c r="AS555" s="0" t="n">
        <f aca="false">W_PH(AS$2,$A555)</f>
        <v>2015</v>
      </c>
    </row>
    <row r="556" customFormat="false" ht="12.8" hidden="false" customHeight="false" outlineLevel="0" collapsed="false">
      <c r="A556" s="0" t="n">
        <v>3078.24591573517</v>
      </c>
      <c r="B556" s="0" t="n">
        <f aca="false">W_PH(B$2,$A556)</f>
        <v>2015</v>
      </c>
      <c r="C556" s="0" t="n">
        <f aca="false">W_PH(C$2,$A556)</f>
        <v>3603.40120791305</v>
      </c>
      <c r="D556" s="0" t="n">
        <f aca="false">W_PH(D$2,$A556)</f>
        <v>3603.40140698429</v>
      </c>
      <c r="E556" s="0" t="n">
        <f aca="false">W_PH(E$2,$A556)</f>
        <v>3603.40160605553</v>
      </c>
      <c r="F556" s="0" t="n">
        <f aca="false">W_PH(F$2,$A556)</f>
        <v>3603.40180512677</v>
      </c>
      <c r="G556" s="0" t="n">
        <f aca="false">W_PH(G$2,$A556)</f>
        <v>3603.40380982668</v>
      </c>
      <c r="H556" s="0" t="n">
        <f aca="false">W_PH(H$2,$A556)</f>
        <v>3603.40581452712</v>
      </c>
      <c r="I556" s="0" t="n">
        <f aca="false">W_PH(I$2,$A556)</f>
        <v>3603.40781922808</v>
      </c>
      <c r="J556" s="0" t="n">
        <f aca="false">W_PH(J$2,$A556)</f>
        <v>3603.40982392957</v>
      </c>
      <c r="K556" s="0" t="n">
        <f aca="false">W_PH(K$2,$A556)</f>
        <v>3603.41182863159</v>
      </c>
      <c r="L556" s="0" t="n">
        <f aca="false">W_PH(L$2,$A556)</f>
        <v>3603.41383333414</v>
      </c>
      <c r="M556" s="0" t="n">
        <f aca="false">W_PH(M$2,$A556)</f>
        <v>3603.41583803723</v>
      </c>
      <c r="N556" s="0" t="n">
        <f aca="false">W_PH(N$2,$A556)</f>
        <v>3603.41784274085</v>
      </c>
      <c r="O556" s="0" t="n">
        <f aca="false">W_PH(O$2,$A556)</f>
        <v>3603.419847445</v>
      </c>
      <c r="P556" s="0" t="n">
        <f aca="false">W_PH(P$2,$A556)</f>
        <v>3603.43989101955</v>
      </c>
      <c r="Q556" s="0" t="n">
        <f aca="false">W_PH(Q$2,$A556)</f>
        <v>3603.45993464928</v>
      </c>
      <c r="R556" s="0" t="n">
        <f aca="false">W_PH(R$2,$A556)</f>
        <v>3603.47997833562</v>
      </c>
      <c r="S556" s="0" t="n">
        <f aca="false">W_PH(S$2,$A556)</f>
        <v>3603.50002208005</v>
      </c>
      <c r="T556" s="0" t="n">
        <f aca="false">W_PH(T$2,$A556)</f>
        <v>3603.52006938086</v>
      </c>
      <c r="U556" s="0" t="n">
        <f aca="false">W_PH(U$2,$A556)</f>
        <v>3603.54010974893</v>
      </c>
      <c r="V556" s="0" t="n">
        <f aca="false">W_PH(V$2,$A556)</f>
        <v>3603.56015717318</v>
      </c>
      <c r="W556" s="0" t="n">
        <f aca="false">W_PH(W$2,$A556)</f>
        <v>3603.58019766755</v>
      </c>
      <c r="X556" s="0" t="n">
        <f aca="false">W_PH(X$2,$A556)</f>
        <v>3603.60024522103</v>
      </c>
      <c r="Y556" s="0" t="n">
        <f aca="false">W_PH(Y$2,$A556)</f>
        <v>3603.80068969964</v>
      </c>
      <c r="Z556" s="0" t="n">
        <f aca="false">W_PH(Z$2,$A556)</f>
        <v>3604.0011423083</v>
      </c>
      <c r="AA556" s="0" t="n">
        <f aca="false">W_PH(AA$2,$A556)</f>
        <v>3604.20160449864</v>
      </c>
      <c r="AB556" s="0" t="n">
        <f aca="false">W_PH(AB$2,$A556)</f>
        <v>3604.40207772241</v>
      </c>
      <c r="AC556" s="0" t="n">
        <f aca="false">W_PH(AC$2,$A556)</f>
        <v>3604.60256343148</v>
      </c>
      <c r="AD556" s="0" t="n">
        <f aca="false">W_PH(AD$2,$A556)</f>
        <v>3604.80306307786</v>
      </c>
      <c r="AE556" s="0" t="n">
        <f aca="false">W_PH(AE$2,$A556)</f>
        <v>3605.00357111824</v>
      </c>
      <c r="AF556" s="0" t="n">
        <f aca="false">W_PH(AF$2,$A556)</f>
        <v>3605.20410299548</v>
      </c>
      <c r="AG556" s="0" t="n">
        <f aca="false">W_PH(AG$2,$A556)</f>
        <v>3605.40464617088</v>
      </c>
      <c r="AH556" s="0" t="n">
        <f aca="false">W_PH(AH$2,$A556)</f>
        <v>3607.41135119525</v>
      </c>
      <c r="AI556" s="0" t="n">
        <f aca="false">W_PH(AI$2,$A556)</f>
        <v>3609.42130906146</v>
      </c>
      <c r="AJ556" s="0" t="n">
        <f aca="false">W_PH(AJ$2,$A556)</f>
        <v>3611.43592151513</v>
      </c>
      <c r="AK556" s="0" t="n">
        <f aca="false">W_PH(AK$2,$A556)</f>
        <v>3613.45657751177</v>
      </c>
      <c r="AL556" s="0" t="n">
        <f aca="false">W_PH(AL$2,$A556)</f>
        <v>3615.48467775786</v>
      </c>
      <c r="AM556" s="0" t="n">
        <f aca="false">W_PH(AM$2,$A556)</f>
        <v>3617.52161725333</v>
      </c>
      <c r="AN556" s="0" t="n">
        <f aca="false">W_PH(AN$2,$A556)</f>
        <v>3619.568806372</v>
      </c>
      <c r="AO556" s="0" t="n">
        <f aca="false">W_PH(AO$2,$A556)</f>
        <v>3621.62763588746</v>
      </c>
      <c r="AP556" s="0" t="n">
        <f aca="false">W_PH(AP$2,$A556)</f>
        <v>2015</v>
      </c>
      <c r="AQ556" s="0" t="n">
        <f aca="false">W_PH(AQ$2,$A556)</f>
        <v>2015</v>
      </c>
      <c r="AR556" s="0" t="n">
        <f aca="false">W_PH(AR$2,$A556)</f>
        <v>2015</v>
      </c>
      <c r="AS556" s="0" t="n">
        <f aca="false">W_PH(AS$2,$A556)</f>
        <v>2015</v>
      </c>
    </row>
    <row r="557" customFormat="false" ht="12.8" hidden="false" customHeight="false" outlineLevel="0" collapsed="false">
      <c r="A557" s="0" t="n">
        <v>3082.54514187446</v>
      </c>
      <c r="B557" s="0" t="n">
        <f aca="false">W_PH(B$2,$A557)</f>
        <v>2015</v>
      </c>
      <c r="C557" s="0" t="n">
        <f aca="false">W_PH(C$2,$A557)</f>
        <v>3606.09004525332</v>
      </c>
      <c r="D557" s="0" t="n">
        <f aca="false">W_PH(D$2,$A557)</f>
        <v>3606.09024441331</v>
      </c>
      <c r="E557" s="0" t="n">
        <f aca="false">W_PH(E$2,$A557)</f>
        <v>3606.09044357331</v>
      </c>
      <c r="F557" s="0" t="n">
        <f aca="false">W_PH(F$2,$A557)</f>
        <v>3606.09064273332</v>
      </c>
      <c r="G557" s="0" t="n">
        <f aca="false">W_PH(G$2,$A557)</f>
        <v>3606.09264831001</v>
      </c>
      <c r="H557" s="0" t="n">
        <f aca="false">W_PH(H$2,$A557)</f>
        <v>3606.09465388722</v>
      </c>
      <c r="I557" s="0" t="n">
        <f aca="false">W_PH(I$2,$A557)</f>
        <v>3606.09665946495</v>
      </c>
      <c r="J557" s="0" t="n">
        <f aca="false">W_PH(J$2,$A557)</f>
        <v>3606.09866154912</v>
      </c>
      <c r="K557" s="0" t="n">
        <f aca="false">W_PH(K$2,$A557)</f>
        <v>3606.10066363381</v>
      </c>
      <c r="L557" s="0" t="n">
        <f aca="false">W_PH(L$2,$A557)</f>
        <v>3606.10266921312</v>
      </c>
      <c r="M557" s="0" t="n">
        <f aca="false">W_PH(M$2,$A557)</f>
        <v>3606.10467479296</v>
      </c>
      <c r="N557" s="0" t="n">
        <f aca="false">W_PH(N$2,$A557)</f>
        <v>3606.10668037332</v>
      </c>
      <c r="O557" s="0" t="n">
        <f aca="false">W_PH(O$2,$A557)</f>
        <v>3606.10868246013</v>
      </c>
      <c r="P557" s="0" t="n">
        <f aca="false">W_PH(P$2,$A557)</f>
        <v>3606.12872082816</v>
      </c>
      <c r="Q557" s="0" t="n">
        <f aca="false">W_PH(Q$2,$A557)</f>
        <v>3606.14876274499</v>
      </c>
      <c r="R557" s="0" t="n">
        <f aca="false">W_PH(R$2,$A557)</f>
        <v>3606.16880471796</v>
      </c>
      <c r="S557" s="0" t="n">
        <f aca="false">W_PH(S$2,$A557)</f>
        <v>3606.18884674852</v>
      </c>
      <c r="T557" s="0" t="n">
        <f aca="false">W_PH(T$2,$A557)</f>
        <v>3606.20888883811</v>
      </c>
      <c r="U557" s="0" t="n">
        <f aca="false">W_PH(U$2,$A557)</f>
        <v>3606.22893098818</v>
      </c>
      <c r="V557" s="0" t="n">
        <f aca="false">W_PH(V$2,$A557)</f>
        <v>3606.24897320017</v>
      </c>
      <c r="W557" s="0" t="n">
        <f aca="false">W_PH(W$2,$A557)</f>
        <v>3606.26901547554</v>
      </c>
      <c r="X557" s="0" t="n">
        <f aca="false">W_PH(X$2,$A557)</f>
        <v>3606.28905781572</v>
      </c>
      <c r="Y557" s="0" t="n">
        <f aca="false">W_PH(Y$2,$A557)</f>
        <v>3606.48947811191</v>
      </c>
      <c r="Z557" s="0" t="n">
        <f aca="false">W_PH(Z$2,$A557)</f>
        <v>3606.68990298532</v>
      </c>
      <c r="AA557" s="0" t="n">
        <f aca="false">W_PH(AA$2,$A557)</f>
        <v>3606.89034087064</v>
      </c>
      <c r="AB557" s="0" t="n">
        <f aca="false">W_PH(AB$2,$A557)</f>
        <v>3607.09078622502</v>
      </c>
      <c r="AC557" s="0" t="n">
        <f aca="false">W_PH(AC$2,$A557)</f>
        <v>3607.29124748385</v>
      </c>
      <c r="AD557" s="0" t="n">
        <f aca="false">W_PH(AD$2,$A557)</f>
        <v>3607.49171560918</v>
      </c>
      <c r="AE557" s="0" t="n">
        <f aca="false">W_PH(AE$2,$A557)</f>
        <v>3607.69220253177</v>
      </c>
      <c r="AF557" s="0" t="n">
        <f aca="false">W_PH(AF$2,$A557)</f>
        <v>3607.89270620343</v>
      </c>
      <c r="AG557" s="0" t="n">
        <f aca="false">W_PH(AG$2,$A557)</f>
        <v>3608.09322457567</v>
      </c>
      <c r="AH557" s="0" t="n">
        <f aca="false">W_PH(AH$2,$A557)</f>
        <v>3610.09965749246</v>
      </c>
      <c r="AI557" s="0" t="n">
        <f aca="false">W_PH(AI$2,$A557)</f>
        <v>3612.10933434983</v>
      </c>
      <c r="AJ557" s="0" t="n">
        <f aca="false">W_PH(AJ$2,$A557)</f>
        <v>3614.12364079474</v>
      </c>
      <c r="AK557" s="0" t="n">
        <f aca="false">W_PH(AK$2,$A557)</f>
        <v>3616.14397068272</v>
      </c>
      <c r="AL557" s="0" t="n">
        <f aca="false">W_PH(AL$2,$A557)</f>
        <v>3618.17171212442</v>
      </c>
      <c r="AM557" s="0" t="n">
        <f aca="false">W_PH(AM$2,$A557)</f>
        <v>3620.20825452697</v>
      </c>
      <c r="AN557" s="0" t="n">
        <f aca="false">W_PH(AN$2,$A557)</f>
        <v>3622.25500266211</v>
      </c>
      <c r="AO557" s="0" t="n">
        <f aca="false">W_PH(AO$2,$A557)</f>
        <v>3624.3133522294</v>
      </c>
      <c r="AP557" s="0" t="n">
        <f aca="false">W_PH(AP$2,$A557)</f>
        <v>2015</v>
      </c>
      <c r="AQ557" s="0" t="n">
        <f aca="false">W_PH(AQ$2,$A557)</f>
        <v>2015</v>
      </c>
      <c r="AR557" s="0" t="n">
        <f aca="false">W_PH(AR$2,$A557)</f>
        <v>2015</v>
      </c>
      <c r="AS557" s="0" t="n">
        <f aca="false">W_PH(AS$2,$A557)</f>
        <v>2015</v>
      </c>
    </row>
    <row r="558" customFormat="false" ht="12.8" hidden="false" customHeight="false" outlineLevel="0" collapsed="false">
      <c r="A558" s="0" t="n">
        <v>3086.84436801376</v>
      </c>
      <c r="B558" s="0" t="n">
        <f aca="false">W_PH(B$2,$A558)</f>
        <v>2015</v>
      </c>
      <c r="C558" s="0" t="n">
        <f aca="false">W_PH(C$2,$A558)</f>
        <v>3608.77579409415</v>
      </c>
      <c r="D558" s="0" t="n">
        <f aca="false">W_PH(D$2,$A558)</f>
        <v>3608.77599683275</v>
      </c>
      <c r="E558" s="0" t="n">
        <f aca="false">W_PH(E$2,$A558)</f>
        <v>3608.77619607996</v>
      </c>
      <c r="F558" s="0" t="n">
        <f aca="false">W_PH(F$2,$A558)</f>
        <v>3608.77639532718</v>
      </c>
      <c r="G558" s="0" t="n">
        <f aca="false">W_PH(G$2,$A558)</f>
        <v>3608.77839827382</v>
      </c>
      <c r="H558" s="0" t="n">
        <f aca="false">W_PH(H$2,$A558)</f>
        <v>3608.78040122097</v>
      </c>
      <c r="I558" s="0" t="n">
        <f aca="false">W_PH(I$2,$A558)</f>
        <v>3608.78240766002</v>
      </c>
      <c r="J558" s="0" t="n">
        <f aca="false">W_PH(J$2,$A558)</f>
        <v>3608.78441060821</v>
      </c>
      <c r="K558" s="0" t="n">
        <f aca="false">W_PH(K$2,$A558)</f>
        <v>3608.78641355692</v>
      </c>
      <c r="L558" s="0" t="n">
        <f aca="false">W_PH(L$2,$A558)</f>
        <v>3608.78841999754</v>
      </c>
      <c r="M558" s="0" t="n">
        <f aca="false">W_PH(M$2,$A558)</f>
        <v>3608.7904194559</v>
      </c>
      <c r="N558" s="0" t="n">
        <f aca="false">W_PH(N$2,$A558)</f>
        <v>3608.79242589757</v>
      </c>
      <c r="O558" s="0" t="n">
        <f aca="false">W_PH(O$2,$A558)</f>
        <v>3608.79443233976</v>
      </c>
      <c r="P558" s="0" t="n">
        <f aca="false">W_PH(P$2,$A558)</f>
        <v>3608.81446885984</v>
      </c>
      <c r="Q558" s="0" t="n">
        <f aca="false">W_PH(Q$2,$A558)</f>
        <v>3608.83450543412</v>
      </c>
      <c r="R558" s="0" t="n">
        <f aca="false">W_PH(R$2,$A558)</f>
        <v>3608.85454555547</v>
      </c>
      <c r="S558" s="0" t="n">
        <f aca="false">W_PH(S$2,$A558)</f>
        <v>3608.87458573392</v>
      </c>
      <c r="T558" s="0" t="n">
        <f aca="false">W_PH(T$2,$A558)</f>
        <v>3608.89462247947</v>
      </c>
      <c r="U558" s="0" t="n">
        <f aca="false">W_PH(U$2,$A558)</f>
        <v>3608.91466277644</v>
      </c>
      <c r="V558" s="0" t="n">
        <f aca="false">W_PH(V$2,$A558)</f>
        <v>3608.93470313483</v>
      </c>
      <c r="W558" s="0" t="n">
        <f aca="false">W_PH(W$2,$A558)</f>
        <v>3608.95474006461</v>
      </c>
      <c r="X558" s="0" t="n">
        <f aca="false">W_PH(X$2,$A558)</f>
        <v>3608.97477705866</v>
      </c>
      <c r="Y558" s="0" t="n">
        <f aca="false">W_PH(Y$2,$A558)</f>
        <v>3609.17517180125</v>
      </c>
      <c r="Z558" s="0" t="n">
        <f aca="false">W_PH(Z$2,$A558)</f>
        <v>3609.37557455766</v>
      </c>
      <c r="AA558" s="0" t="n">
        <f aca="false">W_PH(AA$2,$A558)</f>
        <v>3609.57598676824</v>
      </c>
      <c r="AB558" s="0" t="n">
        <f aca="false">W_PH(AB$2,$A558)</f>
        <v>3609.77640288956</v>
      </c>
      <c r="AC558" s="0" t="n">
        <f aca="false">W_PH(AC$2,$A558)</f>
        <v>3609.97683832976</v>
      </c>
      <c r="AD558" s="0" t="n">
        <f aca="false">W_PH(AD$2,$A558)</f>
        <v>3610.17728056157</v>
      </c>
      <c r="AE558" s="0" t="n">
        <f aca="false">W_PH(AE$2,$A558)</f>
        <v>3610.3777380097</v>
      </c>
      <c r="AF558" s="0" t="n">
        <f aca="false">W_PH(AF$2,$A558)</f>
        <v>3610.5782156075</v>
      </c>
      <c r="AG558" s="0" t="n">
        <f aca="false">W_PH(AG$2,$A558)</f>
        <v>3610.77870431891</v>
      </c>
      <c r="AH558" s="0" t="n">
        <f aca="false">W_PH(AH$2,$A558)</f>
        <v>3612.78486552951</v>
      </c>
      <c r="AI558" s="0" t="n">
        <f aca="false">W_PH(AI$2,$A558)</f>
        <v>3614.79425141178</v>
      </c>
      <c r="AJ558" s="0" t="n">
        <f aca="false">W_PH(AJ$2,$A558)</f>
        <v>3616.80824903195</v>
      </c>
      <c r="AK558" s="0" t="n">
        <f aca="false">W_PH(AK$2,$A558)</f>
        <v>3618.82823968388</v>
      </c>
      <c r="AL558" s="0" t="n">
        <f aca="false">W_PH(AL$2,$A558)</f>
        <v>3620.85561290772</v>
      </c>
      <c r="AM558" s="0" t="n">
        <f aca="false">W_PH(AM$2,$A558)</f>
        <v>3622.89175955032</v>
      </c>
      <c r="AN558" s="0" t="n">
        <f aca="false">W_PH(AN$2,$A558)</f>
        <v>3624.93806482347</v>
      </c>
      <c r="AO558" s="0" t="n">
        <f aca="false">W_PH(AO$2,$A558)</f>
        <v>3626.99592236413</v>
      </c>
      <c r="AP558" s="0" t="n">
        <f aca="false">W_PH(AP$2,$A558)</f>
        <v>2015</v>
      </c>
      <c r="AQ558" s="0" t="n">
        <f aca="false">W_PH(AQ$2,$A558)</f>
        <v>2015</v>
      </c>
      <c r="AR558" s="0" t="n">
        <f aca="false">W_PH(AR$2,$A558)</f>
        <v>2015</v>
      </c>
      <c r="AS558" s="0" t="n">
        <f aca="false">W_PH(AS$2,$A558)</f>
        <v>2015</v>
      </c>
    </row>
    <row r="559" customFormat="false" ht="12.8" hidden="false" customHeight="false" outlineLevel="0" collapsed="false">
      <c r="A559" s="0" t="n">
        <v>3091.14359415305</v>
      </c>
      <c r="B559" s="0" t="n">
        <f aca="false">W_PH(B$2,$A559)</f>
        <v>2015</v>
      </c>
      <c r="C559" s="0" t="n">
        <f aca="false">W_PH(C$2,$A559)</f>
        <v>3611.4584624515</v>
      </c>
      <c r="D559" s="0" t="n">
        <f aca="false">W_PH(D$2,$A559)</f>
        <v>3611.45866527308</v>
      </c>
      <c r="E559" s="0" t="n">
        <f aca="false">W_PH(E$2,$A559)</f>
        <v>3611.45886460597</v>
      </c>
      <c r="F559" s="0" t="n">
        <f aca="false">W_PH(F$2,$A559)</f>
        <v>3611.45906742756</v>
      </c>
      <c r="G559" s="0" t="n">
        <f aca="false">W_PH(G$2,$A559)</f>
        <v>3611.46106773423</v>
      </c>
      <c r="H559" s="0" t="n">
        <f aca="false">W_PH(H$2,$A559)</f>
        <v>3611.46307501879</v>
      </c>
      <c r="I559" s="0" t="n">
        <f aca="false">W_PH(I$2,$A559)</f>
        <v>3611.46507532648</v>
      </c>
      <c r="J559" s="0" t="n">
        <f aca="false">W_PH(J$2,$A559)</f>
        <v>3611.46707912337</v>
      </c>
      <c r="K559" s="0" t="n">
        <f aca="false">W_PH(K$2,$A559)</f>
        <v>3611.46908292078</v>
      </c>
      <c r="L559" s="0" t="n">
        <f aca="false">W_PH(L$2,$A559)</f>
        <v>3611.47108671871</v>
      </c>
      <c r="M559" s="0" t="n">
        <f aca="false">W_PH(M$2,$A559)</f>
        <v>3611.47309051716</v>
      </c>
      <c r="N559" s="0" t="n">
        <f aca="false">W_PH(N$2,$A559)</f>
        <v>3611.47509431613</v>
      </c>
      <c r="O559" s="0" t="n">
        <f aca="false">W_PH(O$2,$A559)</f>
        <v>3611.47709811562</v>
      </c>
      <c r="P559" s="0" t="n">
        <f aca="false">W_PH(P$2,$A559)</f>
        <v>3611.49713613952</v>
      </c>
      <c r="Q559" s="0" t="n">
        <f aca="false">W_PH(Q$2,$A559)</f>
        <v>3611.51716723975</v>
      </c>
      <c r="R559" s="0" t="n">
        <f aca="false">W_PH(R$2,$A559)</f>
        <v>3611.53720537258</v>
      </c>
      <c r="S559" s="0" t="n">
        <f aca="false">W_PH(S$2,$A559)</f>
        <v>3611.55724356204</v>
      </c>
      <c r="T559" s="0" t="n">
        <f aca="false">W_PH(T$2,$A559)</f>
        <v>3611.57727832081</v>
      </c>
      <c r="U559" s="0" t="n">
        <f aca="false">W_PH(U$2,$A559)</f>
        <v>3611.59731313904</v>
      </c>
      <c r="V559" s="0" t="n">
        <f aca="false">W_PH(V$2,$A559)</f>
        <v>3611.61735150697</v>
      </c>
      <c r="W559" s="0" t="n">
        <f aca="false">W_PH(W$2,$A559)</f>
        <v>3611.63738644846</v>
      </c>
      <c r="X559" s="0" t="n">
        <f aca="false">W_PH(X$2,$A559)</f>
        <v>3611.65742145374</v>
      </c>
      <c r="Y559" s="0" t="n">
        <f aca="false">W_PH(Y$2,$A559)</f>
        <v>3611.85778928541</v>
      </c>
      <c r="Z559" s="0" t="n">
        <f aca="false">W_PH(Z$2,$A559)</f>
        <v>3612.05816507368</v>
      </c>
      <c r="AA559" s="0" t="n">
        <f aca="false">W_PH(AA$2,$A559)</f>
        <v>3612.25854676416</v>
      </c>
      <c r="AB559" s="0" t="n">
        <f aca="false">W_PH(AB$2,$A559)</f>
        <v>3612.45893928064</v>
      </c>
      <c r="AC559" s="0" t="n">
        <f aca="false">W_PH(AC$2,$A559)</f>
        <v>3612.65934405811</v>
      </c>
      <c r="AD559" s="0" t="n">
        <f aca="false">W_PH(AD$2,$A559)</f>
        <v>3612.85976253169</v>
      </c>
      <c r="AE559" s="0" t="n">
        <f aca="false">W_PH(AE$2,$A559)</f>
        <v>3613.06019264706</v>
      </c>
      <c r="AF559" s="0" t="n">
        <f aca="false">W_PH(AF$2,$A559)</f>
        <v>3613.26063932893</v>
      </c>
      <c r="AG559" s="0" t="n">
        <f aca="false">W_PH(AG$2,$A559)</f>
        <v>3613.4611040128</v>
      </c>
      <c r="AH559" s="0" t="n">
        <f aca="false">W_PH(AH$2,$A559)</f>
        <v>3615.46698005994</v>
      </c>
      <c r="AI559" s="0" t="n">
        <f aca="false">W_PH(AI$2,$A559)</f>
        <v>3617.47606861649</v>
      </c>
      <c r="AJ559" s="0" t="n">
        <f aca="false">W_PH(AJ$2,$A559)</f>
        <v>3619.48974422388</v>
      </c>
      <c r="AK559" s="0" t="n">
        <f aca="false">W_PH(AK$2,$A559)</f>
        <v>3621.50939661518</v>
      </c>
      <c r="AL559" s="0" t="n">
        <f aca="false">W_PH(AL$2,$A559)</f>
        <v>3623.53639582333</v>
      </c>
      <c r="AM559" s="0" t="n">
        <f aca="false">W_PH(AM$2,$A559)</f>
        <v>3625.57213414975</v>
      </c>
      <c r="AN559" s="0" t="n">
        <f aca="false">W_PH(AN$2,$A559)</f>
        <v>3627.6179912821</v>
      </c>
      <c r="AO559" s="0" t="n">
        <f aca="false">W_PH(AO$2,$A559)</f>
        <v>3629.67535532861</v>
      </c>
      <c r="AP559" s="0" t="n">
        <f aca="false">W_PH(AP$2,$A559)</f>
        <v>2015</v>
      </c>
      <c r="AQ559" s="0" t="n">
        <f aca="false">W_PH(AQ$2,$A559)</f>
        <v>2015</v>
      </c>
      <c r="AR559" s="0" t="n">
        <f aca="false">W_PH(AR$2,$A559)</f>
        <v>2015</v>
      </c>
      <c r="AS559" s="0" t="n">
        <f aca="false">W_PH(AS$2,$A559)</f>
        <v>2015</v>
      </c>
    </row>
    <row r="560" customFormat="false" ht="12.8" hidden="false" customHeight="false" outlineLevel="0" collapsed="false">
      <c r="A560" s="0" t="n">
        <v>3095.44282029235</v>
      </c>
      <c r="B560" s="0" t="n">
        <f aca="false">W_PH(B$2,$A560)</f>
        <v>2015</v>
      </c>
      <c r="C560" s="0" t="n">
        <f aca="false">W_PH(C$2,$A560)</f>
        <v>3614.13806178509</v>
      </c>
      <c r="D560" s="0" t="n">
        <f aca="false">W_PH(D$2,$A560)</f>
        <v>3614.13826468814</v>
      </c>
      <c r="E560" s="0" t="n">
        <f aca="false">W_PH(E$2,$A560)</f>
        <v>3614.1384641052</v>
      </c>
      <c r="F560" s="0" t="n">
        <f aca="false">W_PH(F$2,$A560)</f>
        <v>3614.13866352226</v>
      </c>
      <c r="G560" s="0" t="n">
        <f aca="false">W_PH(G$2,$A560)</f>
        <v>3614.14066466517</v>
      </c>
      <c r="H560" s="0" t="n">
        <f aca="false">W_PH(H$2,$A560)</f>
        <v>3614.14266929458</v>
      </c>
      <c r="I560" s="0" t="n">
        <f aca="false">W_PH(I$2,$A560)</f>
        <v>3614.1446739245</v>
      </c>
      <c r="J560" s="0" t="n">
        <f aca="false">W_PH(J$2,$A560)</f>
        <v>3614.14667506893</v>
      </c>
      <c r="K560" s="0" t="n">
        <f aca="false">W_PH(K$2,$A560)</f>
        <v>3614.14867969987</v>
      </c>
      <c r="L560" s="0" t="n">
        <f aca="false">W_PH(L$2,$A560)</f>
        <v>3614.15068433132</v>
      </c>
      <c r="M560" s="0" t="n">
        <f aca="false">W_PH(M$2,$A560)</f>
        <v>3614.15268547729</v>
      </c>
      <c r="N560" s="0" t="n">
        <f aca="false">W_PH(N$2,$A560)</f>
        <v>3614.15469010978</v>
      </c>
      <c r="O560" s="0" t="n">
        <f aca="false">W_PH(O$2,$A560)</f>
        <v>3614.15669474278</v>
      </c>
      <c r="P560" s="0" t="n">
        <f aca="false">W_PH(P$2,$A560)</f>
        <v>3614.17672715755</v>
      </c>
      <c r="Q560" s="0" t="n">
        <f aca="false">W_PH(Q$2,$A560)</f>
        <v>3614.19675962558</v>
      </c>
      <c r="R560" s="0" t="n">
        <f aca="false">W_PH(R$2,$A560)</f>
        <v>3614.21679214832</v>
      </c>
      <c r="S560" s="0" t="n">
        <f aca="false">W_PH(S$2,$A560)</f>
        <v>3614.23682472719</v>
      </c>
      <c r="T560" s="0" t="n">
        <f aca="false">W_PH(T$2,$A560)</f>
        <v>3614.25685736362</v>
      </c>
      <c r="U560" s="0" t="n">
        <f aca="false">W_PH(U$2,$A560)</f>
        <v>3614.27689005904</v>
      </c>
      <c r="V560" s="0" t="n">
        <f aca="false">W_PH(V$2,$A560)</f>
        <v>3614.29692630096</v>
      </c>
      <c r="W560" s="0" t="n">
        <f aca="false">W_PH(W$2,$A560)</f>
        <v>3614.31695911865</v>
      </c>
      <c r="X560" s="0" t="n">
        <f aca="false">W_PH(X$2,$A560)</f>
        <v>3614.33699548572</v>
      </c>
      <c r="Y560" s="0" t="n">
        <f aca="false">W_PH(Y$2,$A560)</f>
        <v>3614.53733157625</v>
      </c>
      <c r="Z560" s="0" t="n">
        <f aca="false">W_PH(Z$2,$A560)</f>
        <v>3614.73767556652</v>
      </c>
      <c r="AA560" s="0" t="n">
        <f aca="false">W_PH(AA$2,$A560)</f>
        <v>3614.93803237212</v>
      </c>
      <c r="AB560" s="0" t="n">
        <f aca="false">W_PH(AB$2,$A560)</f>
        <v>3615.13839644963</v>
      </c>
      <c r="AC560" s="0" t="n">
        <f aca="false">W_PH(AC$2,$A560)</f>
        <v>3615.33877271481</v>
      </c>
      <c r="AD560" s="0" t="n">
        <f aca="false">W_PH(AD$2,$A560)</f>
        <v>3615.53916259721</v>
      </c>
      <c r="AE560" s="0" t="n">
        <f aca="false">W_PH(AE$2,$A560)</f>
        <v>3615.73956752651</v>
      </c>
      <c r="AF560" s="0" t="n">
        <f aca="false">W_PH(AF$2,$A560)</f>
        <v>3615.93998544557</v>
      </c>
      <c r="AG560" s="0" t="n">
        <f aca="false">W_PH(AG$2,$A560)</f>
        <v>3616.14042127106</v>
      </c>
      <c r="AH560" s="0" t="n">
        <f aca="false">W_PH(AH$2,$A560)</f>
        <v>3618.14600231522</v>
      </c>
      <c r="AI560" s="0" t="n">
        <f aca="false">W_PH(AI$2,$A560)</f>
        <v>3620.15478730866</v>
      </c>
      <c r="AJ560" s="0" t="n">
        <f aca="false">W_PH(AJ$2,$A560)</f>
        <v>3622.16814180431</v>
      </c>
      <c r="AK560" s="0" t="n">
        <f aca="false">W_PH(AK$2,$A560)</f>
        <v>3624.18744304316</v>
      </c>
      <c r="AL560" s="0" t="n">
        <f aca="false">W_PH(AL$2,$A560)</f>
        <v>3626.21406953017</v>
      </c>
      <c r="AM560" s="0" t="n">
        <f aca="false">W_PH(AM$2,$A560)</f>
        <v>3628.24939060193</v>
      </c>
      <c r="AN560" s="0" t="n">
        <f aca="false">W_PH(AN$2,$A560)</f>
        <v>3630.294794421</v>
      </c>
      <c r="AO560" s="0" t="n">
        <f aca="false">W_PH(AO$2,$A560)</f>
        <v>3632.3516566116</v>
      </c>
      <c r="AP560" s="0" t="n">
        <f aca="false">W_PH(AP$2,$A560)</f>
        <v>2015</v>
      </c>
      <c r="AQ560" s="0" t="n">
        <f aca="false">W_PH(AQ$2,$A560)</f>
        <v>2015</v>
      </c>
      <c r="AR560" s="0" t="n">
        <f aca="false">W_PH(AR$2,$A560)</f>
        <v>2015</v>
      </c>
      <c r="AS560" s="0" t="n">
        <f aca="false">W_PH(AS$2,$A560)</f>
        <v>2015</v>
      </c>
    </row>
    <row r="561" customFormat="false" ht="12.8" hidden="false" customHeight="false" outlineLevel="0" collapsed="false">
      <c r="A561" s="0" t="n">
        <v>3099.74204643164</v>
      </c>
      <c r="B561" s="0" t="n">
        <f aca="false">W_PH(B$2,$A561)</f>
        <v>2015</v>
      </c>
      <c r="C561" s="0" t="n">
        <f aca="false">W_PH(C$2,$A561)</f>
        <v>3616.8145965354</v>
      </c>
      <c r="D561" s="0" t="n">
        <f aca="false">W_PH(D$2,$A561)</f>
        <v>3616.81479603511</v>
      </c>
      <c r="E561" s="0" t="n">
        <f aca="false">W_PH(E$2,$A561)</f>
        <v>3616.81499553483</v>
      </c>
      <c r="F561" s="0" t="n">
        <f aca="false">W_PH(F$2,$A561)</f>
        <v>3616.81519503455</v>
      </c>
      <c r="G561" s="0" t="n">
        <f aca="false">W_PH(G$2,$A561)</f>
        <v>3616.81719699866</v>
      </c>
      <c r="H561" s="0" t="n">
        <f aca="false">W_PH(H$2,$A561)</f>
        <v>3616.81920244657</v>
      </c>
      <c r="I561" s="0" t="n">
        <f aca="false">W_PH(I$2,$A561)</f>
        <v>3616.82120441169</v>
      </c>
      <c r="J561" s="0" t="n">
        <f aca="false">W_PH(J$2,$A561)</f>
        <v>3616.82320986061</v>
      </c>
      <c r="K561" s="0" t="n">
        <f aca="false">W_PH(K$2,$A561)</f>
        <v>3616.82521182674</v>
      </c>
      <c r="L561" s="0" t="n">
        <f aca="false">W_PH(L$2,$A561)</f>
        <v>3616.82721379337</v>
      </c>
      <c r="M561" s="0" t="n">
        <f aca="false">W_PH(M$2,$A561)</f>
        <v>3616.82921576051</v>
      </c>
      <c r="N561" s="0" t="n">
        <f aca="false">W_PH(N$2,$A561)</f>
        <v>3616.83121772816</v>
      </c>
      <c r="O561" s="0" t="n">
        <f aca="false">W_PH(O$2,$A561)</f>
        <v>3616.83322317964</v>
      </c>
      <c r="P561" s="0" t="n">
        <f aca="false">W_PH(P$2,$A561)</f>
        <v>3616.85325333972</v>
      </c>
      <c r="Q561" s="0" t="n">
        <f aca="false">W_PH(Q$2,$A561)</f>
        <v>3616.87328355263</v>
      </c>
      <c r="R561" s="0" t="n">
        <f aca="false">W_PH(R$2,$A561)</f>
        <v>3616.89331381976</v>
      </c>
      <c r="S561" s="0" t="n">
        <f aca="false">W_PH(S$2,$A561)</f>
        <v>3616.91334414257</v>
      </c>
      <c r="T561" s="0" t="n">
        <f aca="false">W_PH(T$2,$A561)</f>
        <v>3616.93337452246</v>
      </c>
      <c r="U561" s="0" t="n">
        <f aca="false">W_PH(U$2,$A561)</f>
        <v>3616.95340496086</v>
      </c>
      <c r="V561" s="0" t="n">
        <f aca="false">W_PH(V$2,$A561)</f>
        <v>3616.97343545919</v>
      </c>
      <c r="W561" s="0" t="n">
        <f aca="false">W_PH(W$2,$A561)</f>
        <v>3616.99346601887</v>
      </c>
      <c r="X561" s="0" t="n">
        <f aca="false">W_PH(X$2,$A561)</f>
        <v>3617.01349664134</v>
      </c>
      <c r="Y561" s="0" t="n">
        <f aca="false">W_PH(Y$2,$A561)</f>
        <v>3617.21380663207</v>
      </c>
      <c r="Z561" s="0" t="n">
        <f aca="false">W_PH(Z$2,$A561)</f>
        <v>3617.41412446668</v>
      </c>
      <c r="AA561" s="0" t="n">
        <f aca="false">W_PH(AA$2,$A561)</f>
        <v>3617.61445156882</v>
      </c>
      <c r="AB561" s="0" t="n">
        <f aca="false">W_PH(AB$2,$A561)</f>
        <v>3617.81478587844</v>
      </c>
      <c r="AC561" s="0" t="n">
        <f aca="false">W_PH(AC$2,$A561)</f>
        <v>3618.01513230307</v>
      </c>
      <c r="AD561" s="0" t="n">
        <f aca="false">W_PH(AD$2,$A561)</f>
        <v>3618.21549575078</v>
      </c>
      <c r="AE561" s="0" t="n">
        <f aca="false">W_PH(AE$2,$A561)</f>
        <v>3618.41586719359</v>
      </c>
      <c r="AF561" s="0" t="n">
        <f aca="false">W_PH(AF$2,$A561)</f>
        <v>3618.61625502367</v>
      </c>
      <c r="AG561" s="0" t="n">
        <f aca="false">W_PH(AG$2,$A561)</f>
        <v>3618.81666414978</v>
      </c>
      <c r="AH561" s="0" t="n">
        <f aca="false">W_PH(AH$2,$A561)</f>
        <v>3620.82195093111</v>
      </c>
      <c r="AI561" s="0" t="n">
        <f aca="false">W_PH(AI$2,$A561)</f>
        <v>3622.83042275481</v>
      </c>
      <c r="AJ561" s="0" t="n">
        <f aca="false">W_PH(AJ$2,$A561)</f>
        <v>3624.84344667552</v>
      </c>
      <c r="AK561" s="0" t="n">
        <f aca="false">W_PH(AK$2,$A561)</f>
        <v>3626.86239446177</v>
      </c>
      <c r="AL561" s="0" t="n">
        <f aca="false">W_PH(AL$2,$A561)</f>
        <v>3628.88863216965</v>
      </c>
      <c r="AM561" s="0" t="n">
        <f aca="false">W_PH(AM$2,$A561)</f>
        <v>3630.92353414108</v>
      </c>
      <c r="AN561" s="0" t="n">
        <f aca="false">W_PH(AN$2,$A561)</f>
        <v>3632.96847957777</v>
      </c>
      <c r="AO561" s="0" t="n">
        <f aca="false">W_PH(AO$2,$A561)</f>
        <v>3635.02483515176</v>
      </c>
      <c r="AP561" s="0" t="n">
        <f aca="false">W_PH(AP$2,$A561)</f>
        <v>2015</v>
      </c>
      <c r="AQ561" s="0" t="n">
        <f aca="false">W_PH(AQ$2,$A561)</f>
        <v>2015</v>
      </c>
      <c r="AR561" s="0" t="n">
        <f aca="false">W_PH(AR$2,$A561)</f>
        <v>2015</v>
      </c>
      <c r="AS561" s="0" t="n">
        <f aca="false">W_PH(AS$2,$A561)</f>
        <v>2015</v>
      </c>
    </row>
    <row r="562" customFormat="false" ht="12.8" hidden="false" customHeight="false" outlineLevel="0" collapsed="false">
      <c r="A562" s="0" t="n">
        <v>3104.04127257094</v>
      </c>
      <c r="B562" s="0" t="n">
        <f aca="false">W_PH(B$2,$A562)</f>
        <v>2015</v>
      </c>
      <c r="C562" s="0" t="n">
        <f aca="false">W_PH(C$2,$A562)</f>
        <v>3619.48806763144</v>
      </c>
      <c r="D562" s="0" t="n">
        <f aca="false">W_PH(D$2,$A562)</f>
        <v>3619.48826721232</v>
      </c>
      <c r="E562" s="0" t="n">
        <f aca="false">W_PH(E$2,$A562)</f>
        <v>3619.48847027382</v>
      </c>
      <c r="F562" s="0" t="n">
        <f aca="false">W_PH(F$2,$A562)</f>
        <v>3619.48866985471</v>
      </c>
      <c r="G562" s="0" t="n">
        <f aca="false">W_PH(G$2,$A562)</f>
        <v>3619.49067262511</v>
      </c>
      <c r="H562" s="0" t="n">
        <f aca="false">W_PH(H$2,$A562)</f>
        <v>3619.49267539601</v>
      </c>
      <c r="I562" s="0" t="n">
        <f aca="false">W_PH(I$2,$A562)</f>
        <v>3619.4946781674</v>
      </c>
      <c r="J562" s="0" t="n">
        <f aca="false">W_PH(J$2,$A562)</f>
        <v>3619.4966809393</v>
      </c>
      <c r="K562" s="0" t="n">
        <f aca="false">W_PH(K$2,$A562)</f>
        <v>3619.4986837117</v>
      </c>
      <c r="L562" s="0" t="n">
        <f aca="false">W_PH(L$2,$A562)</f>
        <v>3619.5006864846</v>
      </c>
      <c r="M562" s="0" t="n">
        <f aca="false">W_PH(M$2,$A562)</f>
        <v>3619.50268925801</v>
      </c>
      <c r="N562" s="0" t="n">
        <f aca="false">W_PH(N$2,$A562)</f>
        <v>3619.50469203193</v>
      </c>
      <c r="O562" s="0" t="n">
        <f aca="false">W_PH(O$2,$A562)</f>
        <v>3619.50669480635</v>
      </c>
      <c r="P562" s="0" t="n">
        <f aca="false">W_PH(P$2,$A562)</f>
        <v>3619.52672257883</v>
      </c>
      <c r="Q562" s="0" t="n">
        <f aca="false">W_PH(Q$2,$A562)</f>
        <v>3619.54674692303</v>
      </c>
      <c r="R562" s="0" t="n">
        <f aca="false">W_PH(R$2,$A562)</f>
        <v>3619.56677480165</v>
      </c>
      <c r="S562" s="0" t="n">
        <f aca="false">W_PH(S$2,$A562)</f>
        <v>3619.58680273547</v>
      </c>
      <c r="T562" s="0" t="n">
        <f aca="false">W_PH(T$2,$A562)</f>
        <v>3619.60683072591</v>
      </c>
      <c r="U562" s="0" t="n">
        <f aca="false">W_PH(U$2,$A562)</f>
        <v>3619.62685877439</v>
      </c>
      <c r="V562" s="0" t="n">
        <f aca="false">W_PH(V$2,$A562)</f>
        <v>3619.64688688231</v>
      </c>
      <c r="W562" s="0" t="n">
        <f aca="false">W_PH(W$2,$A562)</f>
        <v>3619.66691505111</v>
      </c>
      <c r="X562" s="0" t="n">
        <f aca="false">W_PH(X$2,$A562)</f>
        <v>3619.6869432822</v>
      </c>
      <c r="Y562" s="0" t="n">
        <f aca="false">W_PH(Y$2,$A562)</f>
        <v>3619.88722236931</v>
      </c>
      <c r="Z562" s="0" t="n">
        <f aca="false">W_PH(Z$2,$A562)</f>
        <v>3620.08750924479</v>
      </c>
      <c r="AA562" s="0" t="n">
        <f aca="false">W_PH(AA$2,$A562)</f>
        <v>3620.2878053268</v>
      </c>
      <c r="AB562" s="0" t="n">
        <f aca="false">W_PH(AB$2,$A562)</f>
        <v>3620.48811203364</v>
      </c>
      <c r="AC562" s="0" t="n">
        <f aca="false">W_PH(AC$2,$A562)</f>
        <v>3620.6884307837</v>
      </c>
      <c r="AD562" s="0" t="n">
        <f aca="false">W_PH(AD$2,$A562)</f>
        <v>3620.88876299552</v>
      </c>
      <c r="AE562" s="0" t="n">
        <f aca="false">W_PH(AE$2,$A562)</f>
        <v>3621.08910660632</v>
      </c>
      <c r="AF562" s="0" t="n">
        <f aca="false">W_PH(AF$2,$A562)</f>
        <v>3621.28946651611</v>
      </c>
      <c r="AG562" s="0" t="n">
        <f aca="false">W_PH(AG$2,$A562)</f>
        <v>3621.48984066215</v>
      </c>
      <c r="AH562" s="0" t="n">
        <f aca="false">W_PH(AH$2,$A562)</f>
        <v>3623.49482705309</v>
      </c>
      <c r="AI562" s="0" t="n">
        <f aca="false">W_PH(AI$2,$A562)</f>
        <v>3625.50297970293</v>
      </c>
      <c r="AJ562" s="0" t="n">
        <f aca="false">W_PH(AJ$2,$A562)</f>
        <v>3627.51566718873</v>
      </c>
      <c r="AK562" s="0" t="n">
        <f aca="false">W_PH(AK$2,$A562)</f>
        <v>3629.53425235226</v>
      </c>
      <c r="AL562" s="0" t="n">
        <f aca="false">W_PH(AL$2,$A562)</f>
        <v>3631.56009930003</v>
      </c>
      <c r="AM562" s="0" t="n">
        <f aca="false">W_PH(AM$2,$A562)</f>
        <v>3633.59457693691</v>
      </c>
      <c r="AN562" s="0" t="n">
        <f aca="false">W_PH(AN$2,$A562)</f>
        <v>3635.63905204968</v>
      </c>
      <c r="AO562" s="0" t="n">
        <f aca="false">W_PH(AO$2,$A562)</f>
        <v>3637.69489983498</v>
      </c>
      <c r="AP562" s="0" t="n">
        <f aca="false">W_PH(AP$2,$A562)</f>
        <v>2015</v>
      </c>
      <c r="AQ562" s="0" t="n">
        <f aca="false">W_PH(AQ$2,$A562)</f>
        <v>2015</v>
      </c>
      <c r="AR562" s="0" t="n">
        <f aca="false">W_PH(AR$2,$A562)</f>
        <v>2015</v>
      </c>
      <c r="AS562" s="0" t="n">
        <f aca="false">W_PH(AS$2,$A562)</f>
        <v>2015</v>
      </c>
    </row>
    <row r="563" customFormat="false" ht="12.8" hidden="false" customHeight="false" outlineLevel="0" collapsed="false">
      <c r="A563" s="0" t="n">
        <v>3108.34049871023</v>
      </c>
      <c r="B563" s="0" t="n">
        <f aca="false">W_PH(B$2,$A563)</f>
        <v>2015</v>
      </c>
      <c r="C563" s="0" t="n">
        <f aca="false">W_PH(C$2,$A563)</f>
        <v>3622.15849337204</v>
      </c>
      <c r="D563" s="0" t="n">
        <f aca="false">W_PH(D$2,$A563)</f>
        <v>3622.15869303261</v>
      </c>
      <c r="E563" s="0" t="n">
        <f aca="false">W_PH(E$2,$A563)</f>
        <v>3622.15889269318</v>
      </c>
      <c r="F563" s="0" t="n">
        <f aca="false">W_PH(F$2,$A563)</f>
        <v>3622.1590958317</v>
      </c>
      <c r="G563" s="0" t="n">
        <f aca="false">W_PH(G$2,$A563)</f>
        <v>3622.16109591568</v>
      </c>
      <c r="H563" s="0" t="n">
        <f aca="false">W_PH(H$2,$A563)</f>
        <v>3622.16309600015</v>
      </c>
      <c r="I563" s="0" t="n">
        <f aca="false">W_PH(I$2,$A563)</f>
        <v>3622.16509956305</v>
      </c>
      <c r="J563" s="0" t="n">
        <f aca="false">W_PH(J$2,$A563)</f>
        <v>3622.16710312646</v>
      </c>
      <c r="K563" s="0" t="n">
        <f aca="false">W_PH(K$2,$A563)</f>
        <v>3622.16910669036</v>
      </c>
      <c r="L563" s="0" t="n">
        <f aca="false">W_PH(L$2,$A563)</f>
        <v>3622.17111025476</v>
      </c>
      <c r="M563" s="0" t="n">
        <f aca="false">W_PH(M$2,$A563)</f>
        <v>3622.17311034172</v>
      </c>
      <c r="N563" s="0" t="n">
        <f aca="false">W_PH(N$2,$A563)</f>
        <v>3622.17511042918</v>
      </c>
      <c r="O563" s="0" t="n">
        <f aca="false">W_PH(O$2,$A563)</f>
        <v>3622.17711399509</v>
      </c>
      <c r="P563" s="0" t="n">
        <f aca="false">W_PH(P$2,$A563)</f>
        <v>3622.19713924835</v>
      </c>
      <c r="Q563" s="0" t="n">
        <f aca="false">W_PH(Q$2,$A563)</f>
        <v>3622.21716455352</v>
      </c>
      <c r="R563" s="0" t="n">
        <f aca="false">W_PH(R$2,$A563)</f>
        <v>3622.23718643405</v>
      </c>
      <c r="S563" s="0" t="n">
        <f aca="false">W_PH(S$2,$A563)</f>
        <v>3622.25721532527</v>
      </c>
      <c r="T563" s="0" t="n">
        <f aca="false">W_PH(T$2,$A563)</f>
        <v>3622.27723731667</v>
      </c>
      <c r="U563" s="0" t="n">
        <f aca="false">W_PH(U$2,$A563)</f>
        <v>3622.29725936562</v>
      </c>
      <c r="V563" s="0" t="n">
        <f aca="false">W_PH(V$2,$A563)</f>
        <v>3622.31728842957</v>
      </c>
      <c r="W563" s="0" t="n">
        <f aca="false">W_PH(W$2,$A563)</f>
        <v>3622.33731059787</v>
      </c>
      <c r="X563" s="0" t="n">
        <f aca="false">W_PH(X$2,$A563)</f>
        <v>3622.35733630599</v>
      </c>
      <c r="Y563" s="0" t="n">
        <f aca="false">W_PH(Y$2,$A563)</f>
        <v>3622.55758666278</v>
      </c>
      <c r="Z563" s="0" t="n">
        <f aca="false">W_PH(Z$2,$A563)</f>
        <v>3622.75784475322</v>
      </c>
      <c r="AA563" s="0" t="n">
        <f aca="false">W_PH(AA$2,$A563)</f>
        <v>3622.95811199</v>
      </c>
      <c r="AB563" s="0" t="n">
        <f aca="false">W_PH(AB$2,$A563)</f>
        <v>3623.15838630748</v>
      </c>
      <c r="AC563" s="0" t="n">
        <f aca="false">W_PH(AC$2,$A563)</f>
        <v>3623.35867259686</v>
      </c>
      <c r="AD563" s="0" t="n">
        <f aca="false">W_PH(AD$2,$A563)</f>
        <v>3623.55897227121</v>
      </c>
      <c r="AE563" s="0" t="n">
        <f aca="false">W_PH(AE$2,$A563)</f>
        <v>3623.75928674372</v>
      </c>
      <c r="AF563" s="0" t="n">
        <f aca="false">W_PH(AF$2,$A563)</f>
        <v>3623.9596174277</v>
      </c>
      <c r="AG563" s="0" t="n">
        <f aca="false">W_PH(AG$2,$A563)</f>
        <v>3624.15996573661</v>
      </c>
      <c r="AH563" s="0" t="n">
        <f aca="false">W_PH(AH$2,$A563)</f>
        <v>3626.16463528441</v>
      </c>
      <c r="AI563" s="0" t="n">
        <f aca="false">W_PH(AI$2,$A563)</f>
        <v>3628.17246286682</v>
      </c>
      <c r="AJ563" s="0" t="n">
        <f aca="false">W_PH(AJ$2,$A563)</f>
        <v>3630.18480816682</v>
      </c>
      <c r="AK563" s="0" t="n">
        <f aca="false">W_PH(AK$2,$A563)</f>
        <v>3632.20302513611</v>
      </c>
      <c r="AL563" s="0" t="n">
        <f aca="false">W_PH(AL$2,$A563)</f>
        <v>3634.22847247341</v>
      </c>
      <c r="AM563" s="0" t="n">
        <f aca="false">W_PH(AM$2,$A563)</f>
        <v>3636.26251715956</v>
      </c>
      <c r="AN563" s="0" t="n">
        <f aca="false">W_PH(AN$2,$A563)</f>
        <v>3638.30652406475</v>
      </c>
      <c r="AO563" s="0" t="n">
        <f aca="false">W_PH(AO$2,$A563)</f>
        <v>3640.36185252258</v>
      </c>
      <c r="AP563" s="0" t="n">
        <f aca="false">W_PH(AP$2,$A563)</f>
        <v>2015</v>
      </c>
      <c r="AQ563" s="0" t="n">
        <f aca="false">W_PH(AQ$2,$A563)</f>
        <v>2015</v>
      </c>
      <c r="AR563" s="0" t="n">
        <f aca="false">W_PH(AR$2,$A563)</f>
        <v>2015</v>
      </c>
      <c r="AS563" s="0" t="n">
        <f aca="false">W_PH(AS$2,$A563)</f>
        <v>2015</v>
      </c>
    </row>
    <row r="564" customFormat="false" ht="12.8" hidden="false" customHeight="false" outlineLevel="0" collapsed="false">
      <c r="A564" s="0" t="n">
        <v>3112.63972484953</v>
      </c>
      <c r="B564" s="0" t="n">
        <f aca="false">W_PH(B$2,$A564)</f>
        <v>2015</v>
      </c>
      <c r="C564" s="0" t="n">
        <f aca="false">W_PH(C$2,$A564)</f>
        <v>3624.82587113125</v>
      </c>
      <c r="D564" s="0" t="n">
        <f aca="false">W_PH(D$2,$A564)</f>
        <v>3624.82607087004</v>
      </c>
      <c r="E564" s="0" t="n">
        <f aca="false">W_PH(E$2,$A564)</f>
        <v>3624.82627408409</v>
      </c>
      <c r="F564" s="0" t="n">
        <f aca="false">W_PH(F$2,$A564)</f>
        <v>3624.82647382289</v>
      </c>
      <c r="G564" s="0" t="n">
        <f aca="false">W_PH(G$2,$A564)</f>
        <v>3624.82847468643</v>
      </c>
      <c r="H564" s="0" t="n">
        <f aca="false">W_PH(H$2,$A564)</f>
        <v>3624.83047555045</v>
      </c>
      <c r="I564" s="0" t="n">
        <f aca="false">W_PH(I$2,$A564)</f>
        <v>3624.83247989023</v>
      </c>
      <c r="J564" s="0" t="n">
        <f aca="false">W_PH(J$2,$A564)</f>
        <v>3624.83448075524</v>
      </c>
      <c r="K564" s="0" t="n">
        <f aca="false">W_PH(K$2,$A564)</f>
        <v>3624.83648162074</v>
      </c>
      <c r="L564" s="0" t="n">
        <f aca="false">W_PH(L$2,$A564)</f>
        <v>3624.83848596199</v>
      </c>
      <c r="M564" s="0" t="n">
        <f aca="false">W_PH(M$2,$A564)</f>
        <v>3624.84048682848</v>
      </c>
      <c r="N564" s="0" t="n">
        <f aca="false">W_PH(N$2,$A564)</f>
        <v>3624.84248769547</v>
      </c>
      <c r="O564" s="0" t="n">
        <f aca="false">W_PH(O$2,$A564)</f>
        <v>3624.84449203822</v>
      </c>
      <c r="P564" s="0" t="n">
        <f aca="false">W_PH(P$2,$A564)</f>
        <v>3624.86451464193</v>
      </c>
      <c r="Q564" s="0" t="n">
        <f aca="false">W_PH(Q$2,$A564)</f>
        <v>3624.88453382182</v>
      </c>
      <c r="R564" s="0" t="n">
        <f aca="false">W_PH(R$2,$A564)</f>
        <v>3624.90455305457</v>
      </c>
      <c r="S564" s="0" t="n">
        <f aca="false">W_PH(S$2,$A564)</f>
        <v>3624.9245758169</v>
      </c>
      <c r="T564" s="0" t="n">
        <f aca="false">W_PH(T$2,$A564)</f>
        <v>3624.94459863493</v>
      </c>
      <c r="U564" s="0" t="n">
        <f aca="false">W_PH(U$2,$A564)</f>
        <v>3624.96462151006</v>
      </c>
      <c r="V564" s="0" t="n">
        <f aca="false">W_PH(V$2,$A564)</f>
        <v>3624.98464096836</v>
      </c>
      <c r="W564" s="0" t="n">
        <f aca="false">W_PH(W$2,$A564)</f>
        <v>3625.00466048656</v>
      </c>
      <c r="X564" s="0" t="n">
        <f aca="false">W_PH(X$2,$A564)</f>
        <v>3625.02468354142</v>
      </c>
      <c r="Y564" s="0" t="n">
        <f aca="false">W_PH(Y$2,$A564)</f>
        <v>3625.22490387058</v>
      </c>
      <c r="Z564" s="0" t="n">
        <f aca="false">W_PH(Z$2,$A564)</f>
        <v>3625.42513187921</v>
      </c>
      <c r="AA564" s="0" t="n">
        <f aca="false">W_PH(AA$2,$A564)</f>
        <v>3625.62536897456</v>
      </c>
      <c r="AB564" s="0" t="n">
        <f aca="false">W_PH(AB$2,$A564)</f>
        <v>3625.8256096125</v>
      </c>
      <c r="AC564" s="0" t="n">
        <f aca="false">W_PH(AC$2,$A564)</f>
        <v>3626.02586910339</v>
      </c>
      <c r="AD564" s="0" t="n">
        <f aca="false">W_PH(AD$2,$A564)</f>
        <v>3626.22613495161</v>
      </c>
      <c r="AE564" s="0" t="n">
        <f aca="false">W_PH(AE$2,$A564)</f>
        <v>3626.42642246856</v>
      </c>
      <c r="AF564" s="0" t="n">
        <f aca="false">W_PH(AF$2,$A564)</f>
        <v>3626.6267191581</v>
      </c>
      <c r="AG564" s="0" t="n">
        <f aca="false">W_PH(AG$2,$A564)</f>
        <v>3626.82703338014</v>
      </c>
      <c r="AH564" s="0" t="n">
        <f aca="false">W_PH(AH$2,$A564)</f>
        <v>3628.83138715013</v>
      </c>
      <c r="AI564" s="0" t="n">
        <f aca="false">W_PH(AI$2,$A564)</f>
        <v>3630.83888388277</v>
      </c>
      <c r="AJ564" s="0" t="n">
        <f aca="false">W_PH(AJ$2,$A564)</f>
        <v>3632.85087787672</v>
      </c>
      <c r="AK564" s="0" t="n">
        <f aca="false">W_PH(AK$2,$A564)</f>
        <v>3634.86871770736</v>
      </c>
      <c r="AL564" s="0" t="n">
        <f aca="false">W_PH(AL$2,$A564)</f>
        <v>3636.89376713946</v>
      </c>
      <c r="AM564" s="0" t="n">
        <f aca="false">W_PH(AM$2,$A564)</f>
        <v>3638.92737385372</v>
      </c>
      <c r="AN564" s="0" t="n">
        <f aca="false">W_PH(AN$2,$A564)</f>
        <v>3640.97090082375</v>
      </c>
      <c r="AO564" s="0" t="n">
        <f aca="false">W_PH(AO$2,$A564)</f>
        <v>3643.02570549631</v>
      </c>
      <c r="AP564" s="0" t="n">
        <f aca="false">W_PH(AP$2,$A564)</f>
        <v>2015</v>
      </c>
      <c r="AQ564" s="0" t="n">
        <f aca="false">W_PH(AQ$2,$A564)</f>
        <v>2015</v>
      </c>
      <c r="AR564" s="0" t="n">
        <f aca="false">W_PH(AR$2,$A564)</f>
        <v>2015</v>
      </c>
      <c r="AS564" s="0" t="n">
        <f aca="false">W_PH(AS$2,$A564)</f>
        <v>2015</v>
      </c>
    </row>
    <row r="565" customFormat="false" ht="12.8" hidden="false" customHeight="false" outlineLevel="0" collapsed="false">
      <c r="A565" s="0" t="n">
        <v>3116.93895098882</v>
      </c>
      <c r="B565" s="0" t="n">
        <f aca="false">W_PH(B$2,$A565)</f>
        <v>2015</v>
      </c>
      <c r="C565" s="0" t="n">
        <f aca="false">W_PH(C$2,$A565)</f>
        <v>3627.49021216481</v>
      </c>
      <c r="D565" s="0" t="n">
        <f aca="false">W_PH(D$2,$A565)</f>
        <v>3627.49041198037</v>
      </c>
      <c r="E565" s="0" t="n">
        <f aca="false">W_PH(E$2,$A565)</f>
        <v>3627.49061179594</v>
      </c>
      <c r="F565" s="0" t="n">
        <f aca="false">W_PH(F$2,$A565)</f>
        <v>3627.49081161151</v>
      </c>
      <c r="G565" s="0" t="n">
        <f aca="false">W_PH(G$2,$A565)</f>
        <v>3627.49281671267</v>
      </c>
      <c r="H565" s="0" t="n">
        <f aca="false">W_PH(H$2,$A565)</f>
        <v>3627.49481486915</v>
      </c>
      <c r="I565" s="0" t="n">
        <f aca="false">W_PH(I$2,$A565)</f>
        <v>3627.49681997128</v>
      </c>
      <c r="J565" s="0" t="n">
        <f aca="false">W_PH(J$2,$A565)</f>
        <v>3627.49881812873</v>
      </c>
      <c r="K565" s="0" t="n">
        <f aca="false">W_PH(K$2,$A565)</f>
        <v>3627.50082323184</v>
      </c>
      <c r="L565" s="0" t="n">
        <f aca="false">W_PH(L$2,$A565)</f>
        <v>3627.50282139027</v>
      </c>
      <c r="M565" s="0" t="n">
        <f aca="false">W_PH(M$2,$A565)</f>
        <v>3627.50482649437</v>
      </c>
      <c r="N565" s="0" t="n">
        <f aca="false">W_PH(N$2,$A565)</f>
        <v>3627.50682812637</v>
      </c>
      <c r="O565" s="0" t="n">
        <f aca="false">W_PH(O$2,$A565)</f>
        <v>3627.50882975886</v>
      </c>
      <c r="P565" s="0" t="n">
        <f aca="false">W_PH(P$2,$A565)</f>
        <v>3627.52884611134</v>
      </c>
      <c r="Q565" s="0" t="n">
        <f aca="false">W_PH(Q$2,$A565)</f>
        <v>3627.54886598745</v>
      </c>
      <c r="R565" s="0" t="n">
        <f aca="false">W_PH(R$2,$A565)</f>
        <v>3627.568885916</v>
      </c>
      <c r="S565" s="0" t="n">
        <f aca="false">W_PH(S$2,$A565)</f>
        <v>3627.58890242575</v>
      </c>
      <c r="T565" s="0" t="n">
        <f aca="false">W_PH(T$2,$A565)</f>
        <v>3627.60891899073</v>
      </c>
      <c r="U565" s="0" t="n">
        <f aca="false">W_PH(U$2,$A565)</f>
        <v>3627.62893908499</v>
      </c>
      <c r="V565" s="0" t="n">
        <f aca="false">W_PH(V$2,$A565)</f>
        <v>3627.64895923729</v>
      </c>
      <c r="W565" s="0" t="n">
        <f aca="false">W_PH(W$2,$A565)</f>
        <v>3627.66897597637</v>
      </c>
      <c r="X565" s="0" t="n">
        <f aca="false">W_PH(X$2,$A565)</f>
        <v>3627.68899277628</v>
      </c>
      <c r="Y565" s="0" t="n">
        <f aca="false">W_PH(Y$2,$A565)</f>
        <v>3627.88918179324</v>
      </c>
      <c r="Z565" s="0" t="n">
        <f aca="false">W_PH(Z$2,$A565)</f>
        <v>3628.08937843603</v>
      </c>
      <c r="AA565" s="0" t="n">
        <f aca="false">W_PH(AA$2,$A565)</f>
        <v>3628.28958063355</v>
      </c>
      <c r="AB565" s="0" t="n">
        <f aca="false">W_PH(AB$2,$A565)</f>
        <v>3628.48979673362</v>
      </c>
      <c r="AC565" s="0" t="n">
        <f aca="false">W_PH(AC$2,$A565)</f>
        <v>3628.69002119229</v>
      </c>
      <c r="AD565" s="0" t="n">
        <f aca="false">W_PH(AD$2,$A565)</f>
        <v>3628.89025888478</v>
      </c>
      <c r="AE565" s="0" t="n">
        <f aca="false">W_PH(AE$2,$A565)</f>
        <v>3629.09050774007</v>
      </c>
      <c r="AF565" s="0" t="n">
        <f aca="false">W_PH(AF$2,$A565)</f>
        <v>3629.2907761073</v>
      </c>
      <c r="AG565" s="0" t="n">
        <f aca="false">W_PH(AG$2,$A565)</f>
        <v>3629.49105844222</v>
      </c>
      <c r="AH565" s="0" t="n">
        <f aca="false">W_PH(AH$2,$A565)</f>
        <v>3631.49509064659</v>
      </c>
      <c r="AI565" s="0" t="n">
        <f aca="false">W_PH(AI$2,$A565)</f>
        <v>3633.50224738064</v>
      </c>
      <c r="AJ565" s="0" t="n">
        <f aca="false">W_PH(AJ$2,$A565)</f>
        <v>3635.51388453961</v>
      </c>
      <c r="AK565" s="0" t="n">
        <f aca="false">W_PH(AK$2,$A565)</f>
        <v>3637.53134535608</v>
      </c>
      <c r="AL565" s="0" t="n">
        <f aca="false">W_PH(AL$2,$A565)</f>
        <v>3639.55598128658</v>
      </c>
      <c r="AM565" s="0" t="n">
        <f aca="false">W_PH(AM$2,$A565)</f>
        <v>3641.58914510728</v>
      </c>
      <c r="AN565" s="0" t="n">
        <f aca="false">W_PH(AN$2,$A565)</f>
        <v>3643.63218748826</v>
      </c>
      <c r="AO565" s="0" t="n">
        <f aca="false">W_PH(AO$2,$A565)</f>
        <v>3645.68646749456</v>
      </c>
      <c r="AP565" s="0" t="n">
        <f aca="false">W_PH(AP$2,$A565)</f>
        <v>2015</v>
      </c>
      <c r="AQ565" s="0" t="n">
        <f aca="false">W_PH(AQ$2,$A565)</f>
        <v>2015</v>
      </c>
      <c r="AR565" s="0" t="n">
        <f aca="false">W_PH(AR$2,$A565)</f>
        <v>2015</v>
      </c>
      <c r="AS565" s="0" t="n">
        <f aca="false">W_PH(AS$2,$A565)</f>
        <v>2015</v>
      </c>
    </row>
    <row r="566" customFormat="false" ht="12.8" hidden="false" customHeight="false" outlineLevel="0" collapsed="false">
      <c r="A566" s="0" t="n">
        <v>3121.23817712812</v>
      </c>
      <c r="B566" s="0" t="n">
        <f aca="false">W_PH(B$2,$A566)</f>
        <v>2015</v>
      </c>
      <c r="C566" s="0" t="n">
        <f aca="false">W_PH(C$2,$A566)</f>
        <v>3630.15152073743</v>
      </c>
      <c r="D566" s="0" t="n">
        <f aca="false">W_PH(D$2,$A566)</f>
        <v>3630.15172062833</v>
      </c>
      <c r="E566" s="0" t="n">
        <f aca="false">W_PH(E$2,$A566)</f>
        <v>3630.15192398914</v>
      </c>
      <c r="F566" s="0" t="n">
        <f aca="false">W_PH(F$2,$A566)</f>
        <v>3630.15212388005</v>
      </c>
      <c r="G566" s="0" t="n">
        <f aca="false">W_PH(G$2,$A566)</f>
        <v>3630.15412625928</v>
      </c>
      <c r="H566" s="0" t="n">
        <f aca="false">W_PH(H$2,$A566)</f>
        <v>3630.15612516908</v>
      </c>
      <c r="I566" s="0" t="n">
        <f aca="false">W_PH(I$2,$A566)</f>
        <v>3630.15812754928</v>
      </c>
      <c r="J566" s="0" t="n">
        <f aca="false">W_PH(J$2,$A566)</f>
        <v>3630.16012992996</v>
      </c>
      <c r="K566" s="0" t="n">
        <f aca="false">W_PH(K$2,$A566)</f>
        <v>3630.16212884121</v>
      </c>
      <c r="L566" s="0" t="n">
        <f aca="false">W_PH(L$2,$A566)</f>
        <v>3630.16413469278</v>
      </c>
      <c r="M566" s="0" t="n">
        <f aca="false">W_PH(M$2,$A566)</f>
        <v>3630.166133605</v>
      </c>
      <c r="N566" s="0" t="n">
        <f aca="false">W_PH(N$2,$A566)</f>
        <v>3630.16813598763</v>
      </c>
      <c r="O566" s="0" t="n">
        <f aca="false">W_PH(O$2,$A566)</f>
        <v>3630.17013837075</v>
      </c>
      <c r="P566" s="0" t="n">
        <f aca="false">W_PH(P$2,$A566)</f>
        <v>3630.19015181948</v>
      </c>
      <c r="Q566" s="0" t="n">
        <f aca="false">W_PH(Q$2,$A566)</f>
        <v>3630.21016531879</v>
      </c>
      <c r="R566" s="0" t="n">
        <f aca="false">W_PH(R$2,$A566)</f>
        <v>3630.23018234004</v>
      </c>
      <c r="S566" s="0" t="n">
        <f aca="false">W_PH(S$2,$A566)</f>
        <v>3630.25019594473</v>
      </c>
      <c r="T566" s="0" t="n">
        <f aca="false">W_PH(T$2,$A566)</f>
        <v>3630.27020960419</v>
      </c>
      <c r="U566" s="0" t="n">
        <f aca="false">W_PH(U$2,$A566)</f>
        <v>3630.2902267898</v>
      </c>
      <c r="V566" s="0" t="n">
        <f aca="false">W_PH(V$2,$A566)</f>
        <v>3630.310244033</v>
      </c>
      <c r="W566" s="0" t="n">
        <f aca="false">W_PH(W$2,$A566)</f>
        <v>3630.33025786518</v>
      </c>
      <c r="X566" s="0" t="n">
        <f aca="false">W_PH(X$2,$A566)</f>
        <v>3630.35027175773</v>
      </c>
      <c r="Y566" s="0" t="n">
        <f aca="false">W_PH(Y$2,$A566)</f>
        <v>3630.55042819055</v>
      </c>
      <c r="Z566" s="0" t="n">
        <f aca="false">W_PH(Z$2,$A566)</f>
        <v>3630.75059219611</v>
      </c>
      <c r="AA566" s="0" t="n">
        <f aca="false">W_PH(AA$2,$A566)</f>
        <v>3630.95076517092</v>
      </c>
      <c r="AB566" s="0" t="n">
        <f aca="false">W_PH(AB$2,$A566)</f>
        <v>3631.15094851156</v>
      </c>
      <c r="AC566" s="0" t="n">
        <f aca="false">W_PH(AC$2,$A566)</f>
        <v>3631.35113667379</v>
      </c>
      <c r="AD566" s="0" t="n">
        <f aca="false">W_PH(AD$2,$A566)</f>
        <v>3631.55134493626</v>
      </c>
      <c r="AE566" s="0" t="n">
        <f aca="false">W_PH(AE$2,$A566)</f>
        <v>3631.75156081377</v>
      </c>
      <c r="AF566" s="0" t="n">
        <f aca="false">W_PH(AF$2,$A566)</f>
        <v>3631.95179611522</v>
      </c>
      <c r="AG566" s="0" t="n">
        <f aca="false">W_PH(AG$2,$A566)</f>
        <v>3632.15204876724</v>
      </c>
      <c r="AH566" s="0" t="n">
        <f aca="false">W_PH(AH$2,$A566)</f>
        <v>3634.15574678347</v>
      </c>
      <c r="AI566" s="0" t="n">
        <f aca="false">W_PH(AI$2,$A566)</f>
        <v>3636.16256142973</v>
      </c>
      <c r="AJ566" s="0" t="n">
        <f aca="false">W_PH(AJ$2,$A566)</f>
        <v>3638.17383285754</v>
      </c>
      <c r="AK566" s="0" t="n">
        <f aca="false">W_PH(AK$2,$A566)</f>
        <v>3640.1909094054</v>
      </c>
      <c r="AL566" s="0" t="n">
        <f aca="false">W_PH(AL$2,$A566)</f>
        <v>3642.21513026567</v>
      </c>
      <c r="AM566" s="0" t="n">
        <f aca="false">W_PH(AM$2,$A566)</f>
        <v>3644.24784289748</v>
      </c>
      <c r="AN566" s="0" t="n">
        <f aca="false">W_PH(AN$2,$A566)</f>
        <v>3646.29039613483</v>
      </c>
      <c r="AO566" s="0" t="n">
        <f aca="false">W_PH(AO$2,$A566)</f>
        <v>3648.34414372694</v>
      </c>
      <c r="AP566" s="0" t="n">
        <f aca="false">W_PH(AP$2,$A566)</f>
        <v>2015</v>
      </c>
      <c r="AQ566" s="0" t="n">
        <f aca="false">W_PH(AQ$2,$A566)</f>
        <v>2015</v>
      </c>
      <c r="AR566" s="0" t="n">
        <f aca="false">W_PH(AR$2,$A566)</f>
        <v>2015</v>
      </c>
      <c r="AS566" s="0" t="n">
        <f aca="false">W_PH(AS$2,$A566)</f>
        <v>2015</v>
      </c>
    </row>
    <row r="567" customFormat="false" ht="12.8" hidden="false" customHeight="false" outlineLevel="0" collapsed="false">
      <c r="A567" s="0" t="n">
        <v>3125.53740326741</v>
      </c>
      <c r="B567" s="0" t="n">
        <f aca="false">W_PH(B$2,$A567)</f>
        <v>2015</v>
      </c>
      <c r="C567" s="0" t="n">
        <f aca="false">W_PH(C$2,$A567)</f>
        <v>3632.80981148602</v>
      </c>
      <c r="D567" s="0" t="n">
        <f aca="false">W_PH(D$2,$A567)</f>
        <v>3632.81001145082</v>
      </c>
      <c r="E567" s="0" t="n">
        <f aca="false">W_PH(E$2,$A567)</f>
        <v>3632.81021141563</v>
      </c>
      <c r="F567" s="0" t="n">
        <f aca="false">W_PH(F$2,$A567)</f>
        <v>3632.81041138044</v>
      </c>
      <c r="G567" s="0" t="n">
        <f aca="false">W_PH(G$2,$A567)</f>
        <v>3632.81241102883</v>
      </c>
      <c r="H567" s="0" t="n">
        <f aca="false">W_PH(H$2,$A567)</f>
        <v>3632.81441067769</v>
      </c>
      <c r="I567" s="0" t="n">
        <f aca="false">W_PH(I$2,$A567)</f>
        <v>3632.81641379428</v>
      </c>
      <c r="J567" s="0" t="n">
        <f aca="false">W_PH(J$2,$A567)</f>
        <v>3632.81841691135</v>
      </c>
      <c r="K567" s="0" t="n">
        <f aca="false">W_PH(K$2,$A567)</f>
        <v>3632.82041656165</v>
      </c>
      <c r="L567" s="0" t="n">
        <f aca="false">W_PH(L$2,$A567)</f>
        <v>3632.82241621243</v>
      </c>
      <c r="M567" s="0" t="n">
        <f aca="false">W_PH(M$2,$A567)</f>
        <v>3632.8244158637</v>
      </c>
      <c r="N567" s="0" t="n">
        <f aca="false">W_PH(N$2,$A567)</f>
        <v>3632.8264189827</v>
      </c>
      <c r="O567" s="0" t="n">
        <f aca="false">W_PH(O$2,$A567)</f>
        <v>3632.82842210219</v>
      </c>
      <c r="P567" s="0" t="n">
        <f aca="false">W_PH(P$2,$A567)</f>
        <v>3632.84843252061</v>
      </c>
      <c r="Q567" s="0" t="n">
        <f aca="false">W_PH(Q$2,$A567)</f>
        <v>3632.8684429892</v>
      </c>
      <c r="R567" s="0" t="n">
        <f aca="false">W_PH(R$2,$A567)</f>
        <v>3632.88845350933</v>
      </c>
      <c r="S567" s="0" t="n">
        <f aca="false">W_PH(S$2,$A567)</f>
        <v>3632.90846754969</v>
      </c>
      <c r="T567" s="0" t="n">
        <f aca="false">W_PH(T$2,$A567)</f>
        <v>3632.92847817711</v>
      </c>
      <c r="U567" s="0" t="n">
        <f aca="false">W_PH(U$2,$A567)</f>
        <v>3632.94849232756</v>
      </c>
      <c r="V567" s="0" t="n">
        <f aca="false">W_PH(V$2,$A567)</f>
        <v>3632.96850306782</v>
      </c>
      <c r="W567" s="0" t="n">
        <f aca="false">W_PH(W$2,$A567)</f>
        <v>3632.98851386658</v>
      </c>
      <c r="X567" s="0" t="n">
        <f aca="false">W_PH(X$2,$A567)</f>
        <v>3633.00852472524</v>
      </c>
      <c r="Y567" s="0" t="n">
        <f aca="false">W_PH(Y$2,$A567)</f>
        <v>3633.20865078181</v>
      </c>
      <c r="Z567" s="0" t="n">
        <f aca="false">W_PH(Z$2,$A567)</f>
        <v>3633.40878089124</v>
      </c>
      <c r="AA567" s="0" t="n">
        <f aca="false">W_PH(AA$2,$A567)</f>
        <v>3633.60891991201</v>
      </c>
      <c r="AB567" s="0" t="n">
        <f aca="false">W_PH(AB$2,$A567)</f>
        <v>3633.80906923538</v>
      </c>
      <c r="AC567" s="0" t="n">
        <f aca="false">W_PH(AC$2,$A567)</f>
        <v>3634.00923025276</v>
      </c>
      <c r="AD567" s="0" t="n">
        <f aca="false">W_PH(AD$2,$A567)</f>
        <v>3634.20940088775</v>
      </c>
      <c r="AE567" s="0" t="n">
        <f aca="false">W_PH(AE$2,$A567)</f>
        <v>3634.40958599971</v>
      </c>
      <c r="AF567" s="0" t="n">
        <f aca="false">W_PH(AF$2,$A567)</f>
        <v>3634.60978698042</v>
      </c>
      <c r="AG567" s="0" t="n">
        <f aca="false">W_PH(AG$2,$A567)</f>
        <v>3634.81000522178</v>
      </c>
      <c r="AH567" s="0" t="n">
        <f aca="false">W_PH(AH$2,$A567)</f>
        <v>3636.81336695682</v>
      </c>
      <c r="AI567" s="0" t="n">
        <f aca="false">W_PH(AI$2,$A567)</f>
        <v>3638.81983058539</v>
      </c>
      <c r="AJ567" s="0" t="n">
        <f aca="false">W_PH(AJ$2,$A567)</f>
        <v>3640.83073444029</v>
      </c>
      <c r="AK567" s="0" t="n">
        <f aca="false">W_PH(AK$2,$A567)</f>
        <v>3642.84741462603</v>
      </c>
      <c r="AL567" s="0" t="n">
        <f aca="false">W_PH(AL$2,$A567)</f>
        <v>3644.87121546747</v>
      </c>
      <c r="AM567" s="0" t="n">
        <f aca="false">W_PH(AM$2,$A567)</f>
        <v>3646.90347219497</v>
      </c>
      <c r="AN567" s="0" t="n">
        <f aca="false">W_PH(AN$2,$A567)</f>
        <v>3648.94553183082</v>
      </c>
      <c r="AO567" s="0" t="n">
        <f aca="false">W_PH(AO$2,$A567)</f>
        <v>3650.9987393635</v>
      </c>
      <c r="AP567" s="0" t="n">
        <f aca="false">W_PH(AP$2,$A567)</f>
        <v>2015</v>
      </c>
      <c r="AQ567" s="0" t="n">
        <f aca="false">W_PH(AQ$2,$A567)</f>
        <v>2015</v>
      </c>
      <c r="AR567" s="0" t="n">
        <f aca="false">W_PH(AR$2,$A567)</f>
        <v>2015</v>
      </c>
      <c r="AS567" s="0" t="n">
        <f aca="false">W_PH(AS$2,$A567)</f>
        <v>2015</v>
      </c>
    </row>
    <row r="568" customFormat="false" ht="12.8" hidden="false" customHeight="false" outlineLevel="0" collapsed="false">
      <c r="A568" s="0" t="n">
        <v>3129.83662940671</v>
      </c>
      <c r="B568" s="0" t="n">
        <f aca="false">W_PH(B$2,$A568)</f>
        <v>2015</v>
      </c>
      <c r="C568" s="0" t="n">
        <f aca="false">W_PH(C$2,$A568)</f>
        <v>3635.46507819868</v>
      </c>
      <c r="D568" s="0" t="n">
        <f aca="false">W_PH(D$2,$A568)</f>
        <v>3635.46527823598</v>
      </c>
      <c r="E568" s="0" t="n">
        <f aca="false">W_PH(E$2,$A568)</f>
        <v>3635.46547827328</v>
      </c>
      <c r="F568" s="0" t="n">
        <f aca="false">W_PH(F$2,$A568)</f>
        <v>3635.46567831059</v>
      </c>
      <c r="G568" s="0" t="n">
        <f aca="false">W_PH(G$2,$A568)</f>
        <v>3635.46767868391</v>
      </c>
      <c r="H568" s="0" t="n">
        <f aca="false">W_PH(H$2,$A568)</f>
        <v>3635.46968252228</v>
      </c>
      <c r="I568" s="0" t="n">
        <f aca="false">W_PH(I$2,$A568)</f>
        <v>3635.47168289655</v>
      </c>
      <c r="J568" s="0" t="n">
        <f aca="false">W_PH(J$2,$A568)</f>
        <v>3635.47368327129</v>
      </c>
      <c r="K568" s="0" t="n">
        <f aca="false">W_PH(K$2,$A568)</f>
        <v>3635.47568364651</v>
      </c>
      <c r="L568" s="0" t="n">
        <f aca="false">W_PH(L$2,$A568)</f>
        <v>3635.47768402221</v>
      </c>
      <c r="M568" s="0" t="n">
        <f aca="false">W_PH(M$2,$A568)</f>
        <v>3635.47968439838</v>
      </c>
      <c r="N568" s="0" t="n">
        <f aca="false">W_PH(N$2,$A568)</f>
        <v>3635.48168477504</v>
      </c>
      <c r="O568" s="0" t="n">
        <f aca="false">W_PH(O$2,$A568)</f>
        <v>3635.48368515218</v>
      </c>
      <c r="P568" s="0" t="n">
        <f aca="false">W_PH(P$2,$A568)</f>
        <v>3635.50369587957</v>
      </c>
      <c r="Q568" s="0" t="n">
        <f aca="false">W_PH(Q$2,$A568)</f>
        <v>3635.52370319211</v>
      </c>
      <c r="R568" s="0" t="n">
        <f aca="false">W_PH(R$2,$A568)</f>
        <v>3635.54371055577</v>
      </c>
      <c r="S568" s="0" t="n">
        <f aca="false">W_PH(S$2,$A568)</f>
        <v>3635.56372143656</v>
      </c>
      <c r="T568" s="0" t="n">
        <f aca="false">W_PH(T$2,$A568)</f>
        <v>3635.583725442</v>
      </c>
      <c r="U568" s="0" t="n">
        <f aca="false">W_PH(U$2,$A568)</f>
        <v>3635.60373643198</v>
      </c>
      <c r="V568" s="0" t="n">
        <f aca="false">W_PH(V$2,$A568)</f>
        <v>3635.62374747865</v>
      </c>
      <c r="W568" s="0" t="n">
        <f aca="false">W_PH(W$2,$A568)</f>
        <v>3635.64375165405</v>
      </c>
      <c r="X568" s="0" t="n">
        <f aca="false">W_PH(X$2,$A568)</f>
        <v>3635.66376281822</v>
      </c>
      <c r="Y568" s="0" t="n">
        <f aca="false">W_PH(Y$2,$A568)</f>
        <v>3635.8638503166</v>
      </c>
      <c r="Z568" s="0" t="n">
        <f aca="false">W_PH(Z$2,$A568)</f>
        <v>3636.06395221288</v>
      </c>
      <c r="AA568" s="0" t="n">
        <f aca="false">W_PH(AA$2,$A568)</f>
        <v>3636.26405603363</v>
      </c>
      <c r="AB568" s="0" t="n">
        <f aca="false">W_PH(AB$2,$A568)</f>
        <v>3636.46417009435</v>
      </c>
      <c r="AC568" s="0" t="n">
        <f aca="false">W_PH(AC$2,$A568)</f>
        <v>3636.66429578111</v>
      </c>
      <c r="AD568" s="0" t="n">
        <f aca="false">W_PH(AD$2,$A568)</f>
        <v>3636.86443448014</v>
      </c>
      <c r="AE568" s="0" t="n">
        <f aca="false">W_PH(AE$2,$A568)</f>
        <v>3637.06458757775</v>
      </c>
      <c r="AF568" s="0" t="n">
        <f aca="false">W_PH(AF$2,$A568)</f>
        <v>3637.26475646042</v>
      </c>
      <c r="AG568" s="0" t="n">
        <f aca="false">W_PH(AG$2,$A568)</f>
        <v>3637.4649355837</v>
      </c>
      <c r="AH568" s="0" t="n">
        <f aca="false">W_PH(AH$2,$A568)</f>
        <v>3639.46795557656</v>
      </c>
      <c r="AI568" s="0" t="n">
        <f aca="false">W_PH(AI$2,$A568)</f>
        <v>3641.47406283758</v>
      </c>
      <c r="AJ568" s="0" t="n">
        <f aca="false">W_PH(AJ$2,$A568)</f>
        <v>3643.48459043728</v>
      </c>
      <c r="AK568" s="0" t="n">
        <f aca="false">W_PH(AK$2,$A568)</f>
        <v>3645.50087269181</v>
      </c>
      <c r="AL568" s="0" t="n">
        <f aca="false">W_PH(AL$2,$A568)</f>
        <v>3647.52424519751</v>
      </c>
      <c r="AM568" s="0" t="n">
        <f aca="false">W_PH(AM$2,$A568)</f>
        <v>3649.5560414039</v>
      </c>
      <c r="AN568" s="0" t="n">
        <f aca="false">W_PH(AN$2,$A568)</f>
        <v>3651.5976030768</v>
      </c>
      <c r="AO568" s="0" t="n">
        <f aca="false">W_PH(AO$2,$A568)</f>
        <v>3653.65026647912</v>
      </c>
      <c r="AP568" s="0" t="n">
        <f aca="false">W_PH(AP$2,$A568)</f>
        <v>2015</v>
      </c>
      <c r="AQ568" s="0" t="n">
        <f aca="false">W_PH(AQ$2,$A568)</f>
        <v>2015</v>
      </c>
      <c r="AR568" s="0" t="n">
        <f aca="false">W_PH(AR$2,$A568)</f>
        <v>2015</v>
      </c>
      <c r="AS568" s="0" t="n">
        <f aca="false">W_PH(AS$2,$A568)</f>
        <v>2015</v>
      </c>
    </row>
    <row r="569" customFormat="false" ht="12.8" hidden="false" customHeight="false" outlineLevel="0" collapsed="false">
      <c r="A569" s="0" t="n">
        <v>3134.135855546</v>
      </c>
      <c r="B569" s="0" t="n">
        <f aca="false">W_PH(B$2,$A569)</f>
        <v>2015</v>
      </c>
      <c r="C569" s="0" t="n">
        <f aca="false">W_PH(C$2,$A569)</f>
        <v>3638.11733543798</v>
      </c>
      <c r="D569" s="0" t="n">
        <f aca="false">W_PH(D$2,$A569)</f>
        <v>3638.11753554637</v>
      </c>
      <c r="E569" s="0" t="n">
        <f aca="false">W_PH(E$2,$A569)</f>
        <v>3638.11773565476</v>
      </c>
      <c r="F569" s="0" t="n">
        <f aca="false">W_PH(F$2,$A569)</f>
        <v>3638.11793576316</v>
      </c>
      <c r="G569" s="0" t="n">
        <f aca="false">W_PH(G$2,$A569)</f>
        <v>3638.11993684741</v>
      </c>
      <c r="H569" s="0" t="n">
        <f aca="false">W_PH(H$2,$A569)</f>
        <v>3638.12193793212</v>
      </c>
      <c r="I569" s="0" t="n">
        <f aca="false">W_PH(I$2,$A569)</f>
        <v>3638.12393901731</v>
      </c>
      <c r="J569" s="0" t="n">
        <f aca="false">W_PH(J$2,$A569)</f>
        <v>3638.12594010296</v>
      </c>
      <c r="K569" s="0" t="n">
        <f aca="false">W_PH(K$2,$A569)</f>
        <v>3638.12794118909</v>
      </c>
      <c r="L569" s="0" t="n">
        <f aca="false">W_PH(L$2,$A569)</f>
        <v>3638.1299422757</v>
      </c>
      <c r="M569" s="0" t="n">
        <f aca="false">W_PH(M$2,$A569)</f>
        <v>3638.13193990085</v>
      </c>
      <c r="N569" s="0" t="n">
        <f aca="false">W_PH(N$2,$A569)</f>
        <v>3638.13394098841</v>
      </c>
      <c r="O569" s="0" t="n">
        <f aca="false">W_PH(O$2,$A569)</f>
        <v>3638.13593861451</v>
      </c>
      <c r="P569" s="0" t="n">
        <f aca="false">W_PH(P$2,$A569)</f>
        <v>3638.15594605952</v>
      </c>
      <c r="Q569" s="0" t="n">
        <f aca="false">W_PH(Q$2,$A569)</f>
        <v>3638.17595355386</v>
      </c>
      <c r="R569" s="0" t="n">
        <f aca="false">W_PH(R$2,$A569)</f>
        <v>3638.19595763697</v>
      </c>
      <c r="S569" s="0" t="n">
        <f aca="false">W_PH(S$2,$A569)</f>
        <v>3638.21596177215</v>
      </c>
      <c r="T569" s="0" t="n">
        <f aca="false">W_PH(T$2,$A569)</f>
        <v>3638.23596596079</v>
      </c>
      <c r="U569" s="0" t="n">
        <f aca="false">W_PH(U$2,$A569)</f>
        <v>3638.25597020427</v>
      </c>
      <c r="V569" s="0" t="n">
        <f aca="false">W_PH(V$2,$A569)</f>
        <v>3638.27597450397</v>
      </c>
      <c r="W569" s="0" t="n">
        <f aca="false">W_PH(W$2,$A569)</f>
        <v>3638.29598232328</v>
      </c>
      <c r="X569" s="0" t="n">
        <f aca="false">W_PH(X$2,$A569)</f>
        <v>3638.31598673957</v>
      </c>
      <c r="Y569" s="0" t="n">
        <f aca="false">W_PH(Y$2,$A569)</f>
        <v>3638.51604483638</v>
      </c>
      <c r="Z569" s="0" t="n">
        <f aca="false">W_PH(Z$2,$A569)</f>
        <v>3638.71610688805</v>
      </c>
      <c r="AA569" s="0" t="n">
        <f aca="false">W_PH(AA$2,$A569)</f>
        <v>3638.91617773714</v>
      </c>
      <c r="AB569" s="0" t="n">
        <f aca="false">W_PH(AB$2,$A569)</f>
        <v>3639.11625876432</v>
      </c>
      <c r="AC569" s="0" t="n">
        <f aca="false">W_PH(AC$2,$A569)</f>
        <v>3639.3163513504</v>
      </c>
      <c r="AD569" s="0" t="n">
        <f aca="false">W_PH(AD$2,$A569)</f>
        <v>3639.5164568763</v>
      </c>
      <c r="AE569" s="0" t="n">
        <f aca="false">W_PH(AE$2,$A569)</f>
        <v>3639.71657326043</v>
      </c>
      <c r="AF569" s="0" t="n">
        <f aca="false">W_PH(AF$2,$A569)</f>
        <v>3639.91670534644</v>
      </c>
      <c r="AG569" s="0" t="n">
        <f aca="false">W_PH(AG$2,$A569)</f>
        <v>3640.11685451563</v>
      </c>
      <c r="AH569" s="0" t="n">
        <f aca="false">W_PH(AH$2,$A569)</f>
        <v>3642.11952394881</v>
      </c>
      <c r="AI569" s="0" t="n">
        <f aca="false">W_PH(AI$2,$A569)</f>
        <v>3644.12526613295</v>
      </c>
      <c r="AJ569" s="0" t="n">
        <f aca="false">W_PH(AJ$2,$A569)</f>
        <v>3646.13541237177</v>
      </c>
      <c r="AK569" s="0" t="n">
        <f aca="false">W_PH(AK$2,$A569)</f>
        <v>3648.15128828735</v>
      </c>
      <c r="AL569" s="0" t="n">
        <f aca="false">W_PH(AL$2,$A569)</f>
        <v>3650.17422771451</v>
      </c>
      <c r="AM569" s="0" t="n">
        <f aca="false">W_PH(AM$2,$A569)</f>
        <v>3652.20555888059</v>
      </c>
      <c r="AN569" s="0" t="n">
        <f aca="false">W_PH(AN$2,$A569)</f>
        <v>3654.24661138726</v>
      </c>
      <c r="AO569" s="0" t="n">
        <f aca="false">W_PH(AO$2,$A569)</f>
        <v>3656.29872667985</v>
      </c>
      <c r="AP569" s="0" t="n">
        <f aca="false">W_PH(AP$2,$A569)</f>
        <v>2015</v>
      </c>
      <c r="AQ569" s="0" t="n">
        <f aca="false">W_PH(AQ$2,$A569)</f>
        <v>2015</v>
      </c>
      <c r="AR569" s="0" t="n">
        <f aca="false">W_PH(AR$2,$A569)</f>
        <v>2015</v>
      </c>
      <c r="AS569" s="0" t="n">
        <f aca="false">W_PH(AS$2,$A569)</f>
        <v>2015</v>
      </c>
    </row>
    <row r="570" customFormat="false" ht="12.8" hidden="false" customHeight="false" outlineLevel="0" collapsed="false">
      <c r="A570" s="0" t="n">
        <v>3138.4350816853</v>
      </c>
      <c r="B570" s="0" t="n">
        <f aca="false">W_PH(B$2,$A570)</f>
        <v>2015</v>
      </c>
      <c r="C570" s="0" t="n">
        <f aca="false">W_PH(C$2,$A570)</f>
        <v>3640.7665907872</v>
      </c>
      <c r="D570" s="0" t="n">
        <f aca="false">W_PH(D$2,$A570)</f>
        <v>3640.76679096529</v>
      </c>
      <c r="E570" s="0" t="n">
        <f aca="false">W_PH(E$2,$A570)</f>
        <v>3640.76699114339</v>
      </c>
      <c r="F570" s="0" t="n">
        <f aca="false">W_PH(F$2,$A570)</f>
        <v>3640.7671913215</v>
      </c>
      <c r="G570" s="0" t="n">
        <f aca="false">W_PH(G$2,$A570)</f>
        <v>3640.76919310279</v>
      </c>
      <c r="H570" s="0" t="n">
        <f aca="false">W_PH(H$2,$A570)</f>
        <v>3640.77119142528</v>
      </c>
      <c r="I570" s="0" t="n">
        <f aca="false">W_PH(I$2,$A570)</f>
        <v>3640.77318974823</v>
      </c>
      <c r="J570" s="0" t="n">
        <f aca="false">W_PH(J$2,$A570)</f>
        <v>3640.77519153092</v>
      </c>
      <c r="K570" s="0" t="n">
        <f aca="false">W_PH(K$2,$A570)</f>
        <v>3640.77719331407</v>
      </c>
      <c r="L570" s="0" t="n">
        <f aca="false">W_PH(L$2,$A570)</f>
        <v>3640.77919163844</v>
      </c>
      <c r="M570" s="0" t="n">
        <f aca="false">W_PH(M$2,$A570)</f>
        <v>3640.78118996326</v>
      </c>
      <c r="N570" s="0" t="n">
        <f aca="false">W_PH(N$2,$A570)</f>
        <v>3640.78319174783</v>
      </c>
      <c r="O570" s="0" t="n">
        <f aca="false">W_PH(O$2,$A570)</f>
        <v>3640.78519353288</v>
      </c>
      <c r="P570" s="0" t="n">
        <f aca="false">W_PH(P$2,$A570)</f>
        <v>3640.80519065408</v>
      </c>
      <c r="Q570" s="0" t="n">
        <f aca="false">W_PH(Q$2,$A570)</f>
        <v>3640.82519474274</v>
      </c>
      <c r="R570" s="0" t="n">
        <f aca="false">W_PH(R$2,$A570)</f>
        <v>3640.8451988817</v>
      </c>
      <c r="S570" s="0" t="n">
        <f aca="false">W_PH(S$2,$A570)</f>
        <v>3640.86519615372</v>
      </c>
      <c r="T570" s="0" t="n">
        <f aca="false">W_PH(T$2,$A570)</f>
        <v>3640.88520039739</v>
      </c>
      <c r="U570" s="0" t="n">
        <f aca="false">W_PH(U$2,$A570)</f>
        <v>3640.90520123615</v>
      </c>
      <c r="V570" s="0" t="n">
        <f aca="false">W_PH(V$2,$A570)</f>
        <v>3640.92520213069</v>
      </c>
      <c r="W570" s="0" t="n">
        <f aca="false">W_PH(W$2,$A570)</f>
        <v>3640.94520654173</v>
      </c>
      <c r="X570" s="0" t="n">
        <f aca="false">W_PH(X$2,$A570)</f>
        <v>3640.96520409261</v>
      </c>
      <c r="Y570" s="0" t="n">
        <f aca="false">W_PH(Y$2,$A570)</f>
        <v>3641.16522809489</v>
      </c>
      <c r="Z570" s="0" t="n">
        <f aca="false">W_PH(Z$2,$A570)</f>
        <v>3641.36525600389</v>
      </c>
      <c r="AA570" s="0" t="n">
        <f aca="false">W_PH(AA$2,$A570)</f>
        <v>3641.56529265427</v>
      </c>
      <c r="AB570" s="0" t="n">
        <f aca="false">W_PH(AB$2,$A570)</f>
        <v>3641.76533942144</v>
      </c>
      <c r="AC570" s="0" t="n">
        <f aca="false">W_PH(AC$2,$A570)</f>
        <v>3641.96539422116</v>
      </c>
      <c r="AD570" s="0" t="n">
        <f aca="false">W_PH(AD$2,$A570)</f>
        <v>3642.16546534862</v>
      </c>
      <c r="AE570" s="0" t="n">
        <f aca="false">W_PH(AE$2,$A570)</f>
        <v>3642.36555071991</v>
      </c>
      <c r="AF570" s="0" t="n">
        <f aca="false">W_PH(AF$2,$A570)</f>
        <v>3642.56564479081</v>
      </c>
      <c r="AG570" s="0" t="n">
        <f aca="false">W_PH(AG$2,$A570)</f>
        <v>3642.76575931733</v>
      </c>
      <c r="AH570" s="0" t="n">
        <f aca="false">W_PH(AH$2,$A570)</f>
        <v>3644.76806948288</v>
      </c>
      <c r="AI570" s="0" t="n">
        <f aca="false">W_PH(AI$2,$A570)</f>
        <v>3646.77344491323</v>
      </c>
      <c r="AJ570" s="0" t="n">
        <f aca="false">W_PH(AJ$2,$A570)</f>
        <v>3648.78320478643</v>
      </c>
      <c r="AK570" s="0" t="n">
        <f aca="false">W_PH(AK$2,$A570)</f>
        <v>3650.79866606293</v>
      </c>
      <c r="AL570" s="0" t="n">
        <f aca="false">W_PH(AL$2,$A570)</f>
        <v>3652.82116776647</v>
      </c>
      <c r="AM570" s="0" t="n">
        <f aca="false">W_PH(AM$2,$A570)</f>
        <v>3654.85202600365</v>
      </c>
      <c r="AN570" s="0" t="n">
        <f aca="false">W_PH(AN$2,$A570)</f>
        <v>3656.89257211345</v>
      </c>
      <c r="AO570" s="0" t="n">
        <f aca="false">W_PH(AO$2,$A570)</f>
        <v>3658.94413194363</v>
      </c>
      <c r="AP570" s="0" t="n">
        <f aca="false">W_PH(AP$2,$A570)</f>
        <v>2015</v>
      </c>
      <c r="AQ570" s="0" t="n">
        <f aca="false">W_PH(AQ$2,$A570)</f>
        <v>2015</v>
      </c>
      <c r="AR570" s="0" t="n">
        <f aca="false">W_PH(AR$2,$A570)</f>
        <v>2015</v>
      </c>
      <c r="AS570" s="0" t="n">
        <f aca="false">W_PH(AS$2,$A570)</f>
        <v>2015</v>
      </c>
    </row>
    <row r="571" customFormat="false" ht="12.8" hidden="false" customHeight="false" outlineLevel="0" collapsed="false">
      <c r="A571" s="0" t="n">
        <v>3142.73430782459</v>
      </c>
      <c r="B571" s="0" t="n">
        <f aca="false">W_PH(B$2,$A571)</f>
        <v>2015</v>
      </c>
      <c r="C571" s="0" t="n">
        <f aca="false">W_PH(C$2,$A571)</f>
        <v>3643.41284487727</v>
      </c>
      <c r="D571" s="0" t="n">
        <f aca="false">W_PH(D$2,$A571)</f>
        <v>3643.41304512369</v>
      </c>
      <c r="E571" s="0" t="n">
        <f aca="false">W_PH(E$2,$A571)</f>
        <v>3643.41324537012</v>
      </c>
      <c r="F571" s="0" t="n">
        <f aca="false">W_PH(F$2,$A571)</f>
        <v>3643.41344561655</v>
      </c>
      <c r="G571" s="0" t="n">
        <f aca="false">W_PH(G$2,$A571)</f>
        <v>3643.41544808112</v>
      </c>
      <c r="H571" s="0" t="n">
        <f aca="false">W_PH(H$2,$A571)</f>
        <v>3643.41744363293</v>
      </c>
      <c r="I571" s="0" t="n">
        <f aca="false">W_PH(I$2,$A571)</f>
        <v>3643.41944609843</v>
      </c>
      <c r="J571" s="0" t="n">
        <f aca="false">W_PH(J$2,$A571)</f>
        <v>3643.42144510777</v>
      </c>
      <c r="K571" s="0" t="n">
        <f aca="false">W_PH(K$2,$A571)</f>
        <v>3643.42344411758</v>
      </c>
      <c r="L571" s="0" t="n">
        <f aca="false">W_PH(L$2,$A571)</f>
        <v>3643.42544658447</v>
      </c>
      <c r="M571" s="0" t="n">
        <f aca="false">W_PH(M$2,$A571)</f>
        <v>3643.42744559522</v>
      </c>
      <c r="N571" s="0" t="n">
        <f aca="false">W_PH(N$2,$A571)</f>
        <v>3643.42944460643</v>
      </c>
      <c r="O571" s="0" t="n">
        <f aca="false">W_PH(O$2,$A571)</f>
        <v>3643.43144707472</v>
      </c>
      <c r="P571" s="0" t="n">
        <f aca="false">W_PH(P$2,$A571)</f>
        <v>3643.45144413092</v>
      </c>
      <c r="Q571" s="0" t="n">
        <f aca="false">W_PH(Q$2,$A571)</f>
        <v>3643.47144123561</v>
      </c>
      <c r="R571" s="0" t="n">
        <f aca="false">W_PH(R$2,$A571)</f>
        <v>3643.49143839016</v>
      </c>
      <c r="S571" s="0" t="n">
        <f aca="false">W_PH(S$2,$A571)</f>
        <v>3643.51143559596</v>
      </c>
      <c r="T571" s="0" t="n">
        <f aca="false">W_PH(T$2,$A571)</f>
        <v>3643.53143285435</v>
      </c>
      <c r="U571" s="0" t="n">
        <f aca="false">W_PH(U$2,$A571)</f>
        <v>3643.55143016673</v>
      </c>
      <c r="V571" s="0" t="n">
        <f aca="false">W_PH(V$2,$A571)</f>
        <v>3643.57143099112</v>
      </c>
      <c r="W571" s="0" t="n">
        <f aca="false">W_PH(W$2,$A571)</f>
        <v>3643.59142841556</v>
      </c>
      <c r="X571" s="0" t="n">
        <f aca="false">W_PH(X$2,$A571)</f>
        <v>3643.61142935478</v>
      </c>
      <c r="Y571" s="0" t="n">
        <f aca="false">W_PH(Y$2,$A571)</f>
        <v>3643.81141458975</v>
      </c>
      <c r="Z571" s="0" t="n">
        <f aca="false">W_PH(Z$2,$A571)</f>
        <v>3644.01140714049</v>
      </c>
      <c r="AA571" s="0" t="n">
        <f aca="false">W_PH(AA$2,$A571)</f>
        <v>3644.21140837711</v>
      </c>
      <c r="AB571" s="0" t="n">
        <f aca="false">W_PH(AB$2,$A571)</f>
        <v>3644.41141966979</v>
      </c>
      <c r="AC571" s="0" t="n">
        <f aca="false">W_PH(AC$2,$A571)</f>
        <v>3644.61144238888</v>
      </c>
      <c r="AD571" s="0" t="n">
        <f aca="false">W_PH(AD$2,$A571)</f>
        <v>3644.81147444759</v>
      </c>
      <c r="AE571" s="0" t="n">
        <f aca="false">W_PH(AE$2,$A571)</f>
        <v>3645.01152067357</v>
      </c>
      <c r="AF571" s="0" t="n">
        <f aca="false">W_PH(AF$2,$A571)</f>
        <v>3645.21158243752</v>
      </c>
      <c r="AG571" s="0" t="n">
        <f aca="false">W_PH(AG$2,$A571)</f>
        <v>3645.41166111028</v>
      </c>
      <c r="AH571" s="0" t="n">
        <f aca="false">W_PH(AH$2,$A571)</f>
        <v>3647.41361032903</v>
      </c>
      <c r="AI571" s="0" t="n">
        <f aca="false">W_PH(AI$2,$A571)</f>
        <v>3649.41860704753</v>
      </c>
      <c r="AJ571" s="0" t="n">
        <f aca="false">W_PH(AJ$2,$A571)</f>
        <v>3651.42796873094</v>
      </c>
      <c r="AK571" s="0" t="n">
        <f aca="false">W_PH(AK$2,$A571)</f>
        <v>3653.44302101735</v>
      </c>
      <c r="AL571" s="0" t="n">
        <f aca="false">W_PH(AL$2,$A571)</f>
        <v>3655.46507698947</v>
      </c>
      <c r="AM571" s="0" t="n">
        <f aca="false">W_PH(AM$2,$A571)</f>
        <v>3657.49545451361</v>
      </c>
      <c r="AN571" s="0" t="n">
        <f aca="false">W_PH(AN$2,$A571)</f>
        <v>3659.53548322119</v>
      </c>
      <c r="AO571" s="0" t="n">
        <f aca="false">W_PH(AO$2,$A571)</f>
        <v>3661.58648726078</v>
      </c>
      <c r="AP571" s="0" t="n">
        <f aca="false">W_PH(AP$2,$A571)</f>
        <v>2015</v>
      </c>
      <c r="AQ571" s="0" t="n">
        <f aca="false">W_PH(AQ$2,$A571)</f>
        <v>2015</v>
      </c>
      <c r="AR571" s="0" t="n">
        <f aca="false">W_PH(AR$2,$A571)</f>
        <v>2015</v>
      </c>
      <c r="AS571" s="0" t="n">
        <f aca="false">W_PH(AS$2,$A571)</f>
        <v>2015</v>
      </c>
    </row>
    <row r="572" customFormat="false" ht="12.8" hidden="false" customHeight="false" outlineLevel="0" collapsed="false">
      <c r="A572" s="0" t="n">
        <v>3147.03353396389</v>
      </c>
      <c r="B572" s="0" t="n">
        <f aca="false">W_PH(B$2,$A572)</f>
        <v>2015</v>
      </c>
      <c r="C572" s="0" t="n">
        <f aca="false">W_PH(C$2,$A572)</f>
        <v>3646.05610868328</v>
      </c>
      <c r="D572" s="0" t="n">
        <f aca="false">W_PH(D$2,$A572)</f>
        <v>3646.05630899667</v>
      </c>
      <c r="E572" s="0" t="n">
        <f aca="false">W_PH(E$2,$A572)</f>
        <v>3646.05650931006</v>
      </c>
      <c r="F572" s="0" t="n">
        <f aca="false">W_PH(F$2,$A572)</f>
        <v>3646.05670962346</v>
      </c>
      <c r="G572" s="0" t="n">
        <f aca="false">W_PH(G$2,$A572)</f>
        <v>3646.05871275767</v>
      </c>
      <c r="H572" s="0" t="n">
        <f aca="false">W_PH(H$2,$A572)</f>
        <v>3646.06070898442</v>
      </c>
      <c r="I572" s="0" t="n">
        <f aca="false">W_PH(I$2,$A572)</f>
        <v>3646.06270866559</v>
      </c>
      <c r="J572" s="0" t="n">
        <f aca="false">W_PH(J$2,$A572)</f>
        <v>3646.06470834722</v>
      </c>
      <c r="K572" s="0" t="n">
        <f aca="false">W_PH(K$2,$A572)</f>
        <v>3646.06670802931</v>
      </c>
      <c r="L572" s="0" t="n">
        <f aca="false">W_PH(L$2,$A572)</f>
        <v>3646.06870771186</v>
      </c>
      <c r="M572" s="0" t="n">
        <f aca="false">W_PH(M$2,$A572)</f>
        <v>3646.07070739487</v>
      </c>
      <c r="N572" s="0" t="n">
        <f aca="false">W_PH(N$2,$A572)</f>
        <v>3646.07270707835</v>
      </c>
      <c r="O572" s="0" t="n">
        <f aca="false">W_PH(O$2,$A572)</f>
        <v>3646.07470330833</v>
      </c>
      <c r="P572" s="0" t="n">
        <f aca="false">W_PH(P$2,$A572)</f>
        <v>3646.09470017371</v>
      </c>
      <c r="Q572" s="0" t="n">
        <f aca="false">W_PH(Q$2,$A572)</f>
        <v>3646.11469363321</v>
      </c>
      <c r="R572" s="0" t="n">
        <f aca="false">W_PH(R$2,$A572)</f>
        <v>3646.13468714216</v>
      </c>
      <c r="S572" s="0" t="n">
        <f aca="false">W_PH(S$2,$A572)</f>
        <v>3646.15468415594</v>
      </c>
      <c r="T572" s="0" t="n">
        <f aca="false">W_PH(T$2,$A572)</f>
        <v>3646.17467776791</v>
      </c>
      <c r="U572" s="0" t="n">
        <f aca="false">W_PH(U$2,$A572)</f>
        <v>3646.19467143343</v>
      </c>
      <c r="V572" s="0" t="n">
        <f aca="false">W_PH(V$2,$A572)</f>
        <v>3646.2146686079</v>
      </c>
      <c r="W572" s="0" t="n">
        <f aca="false">W_PH(W$2,$A572)</f>
        <v>3646.23466238462</v>
      </c>
      <c r="X572" s="0" t="n">
        <f aca="false">W_PH(X$2,$A572)</f>
        <v>3646.25465621899</v>
      </c>
      <c r="Y572" s="0" t="n">
        <f aca="false">W_PH(Y$2,$A572)</f>
        <v>3646.45460494161</v>
      </c>
      <c r="Z572" s="0" t="n">
        <f aca="false">W_PH(Z$2,$A572)</f>
        <v>3646.65456438445</v>
      </c>
      <c r="AA572" s="0" t="n">
        <f aca="false">W_PH(AA$2,$A572)</f>
        <v>3646.85452900406</v>
      </c>
      <c r="AB572" s="0" t="n">
        <f aca="false">W_PH(AB$2,$A572)</f>
        <v>3647.05450361957</v>
      </c>
      <c r="AC572" s="0" t="n">
        <f aca="false">W_PH(AC$2,$A572)</f>
        <v>3647.25448959612</v>
      </c>
      <c r="AD572" s="0" t="n">
        <f aca="false">W_PH(AD$2,$A572)</f>
        <v>3647.45448484442</v>
      </c>
      <c r="AE572" s="0" t="n">
        <f aca="false">W_PH(AE$2,$A572)</f>
        <v>3647.6544976389</v>
      </c>
      <c r="AF572" s="0" t="n">
        <f aca="false">W_PH(AF$2,$A572)</f>
        <v>3647.85452243587</v>
      </c>
      <c r="AG572" s="0" t="n">
        <f aca="false">W_PH(AG$2,$A572)</f>
        <v>3648.05456405552</v>
      </c>
      <c r="AH572" s="0" t="n">
        <f aca="false">W_PH(AH$2,$A572)</f>
        <v>3650.05614382993</v>
      </c>
      <c r="AI572" s="0" t="n">
        <f aca="false">W_PH(AI$2,$A572)</f>
        <v>3652.06075690603</v>
      </c>
      <c r="AJ572" s="0" t="n">
        <f aca="false">W_PH(AJ$2,$A572)</f>
        <v>3654.06972251984</v>
      </c>
      <c r="AK572" s="0" t="n">
        <f aca="false">W_PH(AK$2,$A572)</f>
        <v>3656.08434733421</v>
      </c>
      <c r="AL572" s="0" t="n">
        <f aca="false">W_PH(AL$2,$A572)</f>
        <v>3658.10595312748</v>
      </c>
      <c r="AM572" s="0" t="n">
        <f aca="false">W_PH(AM$2,$A572)</f>
        <v>3660.13584917401</v>
      </c>
      <c r="AN572" s="0" t="n">
        <f aca="false">W_PH(AN$2,$A572)</f>
        <v>3662.17535996281</v>
      </c>
      <c r="AO572" s="0" t="n">
        <f aca="false">W_PH(AO$2,$A572)</f>
        <v>3664.22579758386</v>
      </c>
      <c r="AP572" s="0" t="n">
        <f aca="false">W_PH(AP$2,$A572)</f>
        <v>2015</v>
      </c>
      <c r="AQ572" s="0" t="n">
        <f aca="false">W_PH(AQ$2,$A572)</f>
        <v>2015</v>
      </c>
      <c r="AR572" s="0" t="n">
        <f aca="false">W_PH(AR$2,$A572)</f>
        <v>2015</v>
      </c>
      <c r="AS572" s="0" t="n">
        <f aca="false">W_PH(AS$2,$A572)</f>
        <v>2015</v>
      </c>
    </row>
    <row r="573" customFormat="false" ht="12.8" hidden="false" customHeight="false" outlineLevel="0" collapsed="false">
      <c r="A573" s="0" t="n">
        <v>3151.33276010318</v>
      </c>
      <c r="B573" s="0" t="n">
        <f aca="false">W_PH(B$2,$A573)</f>
        <v>2015</v>
      </c>
      <c r="C573" s="0" t="n">
        <f aca="false">W_PH(C$2,$A573)</f>
        <v>3648.69638967976</v>
      </c>
      <c r="D573" s="0" t="n">
        <f aca="false">W_PH(D$2,$A573)</f>
        <v>3648.69659005876</v>
      </c>
      <c r="E573" s="0" t="n">
        <f aca="false">W_PH(E$2,$A573)</f>
        <v>3648.69679043776</v>
      </c>
      <c r="F573" s="0" t="n">
        <f aca="false">W_PH(F$2,$A573)</f>
        <v>3648.69699081677</v>
      </c>
      <c r="G573" s="0" t="n">
        <f aca="false">W_PH(G$2,$A573)</f>
        <v>3648.6989911558</v>
      </c>
      <c r="H573" s="0" t="n">
        <f aca="false">W_PH(H$2,$A573)</f>
        <v>3648.70098804397</v>
      </c>
      <c r="I573" s="0" t="n">
        <f aca="false">W_PH(I$2,$A573)</f>
        <v>3648.70298493259</v>
      </c>
      <c r="J573" s="0" t="n">
        <f aca="false">W_PH(J$2,$A573)</f>
        <v>3648.70498872429</v>
      </c>
      <c r="K573" s="0" t="n">
        <f aca="false">W_PH(K$2,$A573)</f>
        <v>3648.70698561382</v>
      </c>
      <c r="L573" s="0" t="n">
        <f aca="false">W_PH(L$2,$A573)</f>
        <v>3648.70898250381</v>
      </c>
      <c r="M573" s="0" t="n">
        <f aca="false">W_PH(M$2,$A573)</f>
        <v>3648.71098284557</v>
      </c>
      <c r="N573" s="0" t="n">
        <f aca="false">W_PH(N$2,$A573)</f>
        <v>3648.7129831878</v>
      </c>
      <c r="O573" s="0" t="n">
        <f aca="false">W_PH(O$2,$A573)</f>
        <v>3648.71498007917</v>
      </c>
      <c r="P573" s="0" t="n">
        <f aca="false">W_PH(P$2,$A573)</f>
        <v>3648.73496972647</v>
      </c>
      <c r="Q573" s="0" t="n">
        <f aca="false">W_PH(Q$2,$A573)</f>
        <v>3648.75496287279</v>
      </c>
      <c r="R573" s="0" t="n">
        <f aca="false">W_PH(R$2,$A573)</f>
        <v>3648.77495606819</v>
      </c>
      <c r="S573" s="0" t="n">
        <f aca="false">W_PH(S$2,$A573)</f>
        <v>3648.79494586266</v>
      </c>
      <c r="T573" s="0" t="n">
        <f aca="false">W_PH(T$2,$A573)</f>
        <v>3648.8149357089</v>
      </c>
      <c r="U573" s="0" t="n">
        <f aca="false">W_PH(U$2,$A573)</f>
        <v>3648.83492560827</v>
      </c>
      <c r="V573" s="0" t="n">
        <f aca="false">W_PH(V$2,$A573)</f>
        <v>3648.85491556213</v>
      </c>
      <c r="W573" s="0" t="n">
        <f aca="false">W_PH(W$2,$A573)</f>
        <v>3648.87490902323</v>
      </c>
      <c r="X573" s="0" t="n">
        <f aca="false">W_PH(X$2,$A573)</f>
        <v>3648.89489909015</v>
      </c>
      <c r="Y573" s="0" t="n">
        <f aca="false">W_PH(Y$2,$A573)</f>
        <v>3649.0948135594</v>
      </c>
      <c r="Z573" s="0" t="n">
        <f aca="false">W_PH(Z$2,$A573)</f>
        <v>3649.29473179399</v>
      </c>
      <c r="AA573" s="0" t="n">
        <f aca="false">W_PH(AA$2,$A573)</f>
        <v>3649.49466205667</v>
      </c>
      <c r="AB573" s="0" t="n">
        <f aca="false">W_PH(AB$2,$A573)</f>
        <v>3649.69460225582</v>
      </c>
      <c r="AC573" s="0" t="n">
        <f aca="false">W_PH(AC$2,$A573)</f>
        <v>3649.89455029959</v>
      </c>
      <c r="AD573" s="0" t="n">
        <f aca="false">W_PH(AD$2,$A573)</f>
        <v>3650.09451099975</v>
      </c>
      <c r="AE573" s="0" t="n">
        <f aca="false">W_PH(AE$2,$A573)</f>
        <v>3650.29448571652</v>
      </c>
      <c r="AF573" s="0" t="n">
        <f aca="false">W_PH(AF$2,$A573)</f>
        <v>3650.49447235818</v>
      </c>
      <c r="AG573" s="0" t="n">
        <f aca="false">W_PH(AG$2,$A573)</f>
        <v>3650.69447573712</v>
      </c>
      <c r="AH573" s="0" t="n">
        <f aca="false">W_PH(AH$2,$A573)</f>
        <v>3652.6956811315</v>
      </c>
      <c r="AI573" s="0" t="n">
        <f aca="false">W_PH(AI$2,$A573)</f>
        <v>3654.69990573522</v>
      </c>
      <c r="AJ573" s="0" t="n">
        <f aca="false">W_PH(AJ$2,$A573)</f>
        <v>3656.70846366415</v>
      </c>
      <c r="AK573" s="0" t="n">
        <f aca="false">W_PH(AK$2,$A573)</f>
        <v>3658.72266338418</v>
      </c>
      <c r="AL573" s="0" t="n">
        <f aca="false">W_PH(AL$2,$A573)</f>
        <v>3660.74381119254</v>
      </c>
      <c r="AM573" s="0" t="n">
        <f aca="false">W_PH(AM$2,$A573)</f>
        <v>3662.77322162655</v>
      </c>
      <c r="AN573" s="0" t="n">
        <f aca="false">W_PH(AN$2,$A573)</f>
        <v>3664.81220369117</v>
      </c>
      <c r="AO573" s="0" t="n">
        <f aca="false">W_PH(AO$2,$A573)</f>
        <v>3666.86207128605</v>
      </c>
      <c r="AP573" s="0" t="n">
        <f aca="false">W_PH(AP$2,$A573)</f>
        <v>2015</v>
      </c>
      <c r="AQ573" s="0" t="n">
        <f aca="false">W_PH(AQ$2,$A573)</f>
        <v>2015</v>
      </c>
      <c r="AR573" s="0" t="n">
        <f aca="false">W_PH(AR$2,$A573)</f>
        <v>2015</v>
      </c>
      <c r="AS573" s="0" t="n">
        <f aca="false">W_PH(AS$2,$A573)</f>
        <v>2015</v>
      </c>
    </row>
    <row r="574" customFormat="false" ht="12.8" hidden="false" customHeight="false" outlineLevel="0" collapsed="false">
      <c r="A574" s="0" t="n">
        <v>3155.63198624248</v>
      </c>
      <c r="B574" s="0" t="n">
        <f aca="false">W_PH(B$2,$A574)</f>
        <v>2015</v>
      </c>
      <c r="C574" s="0" t="n">
        <f aca="false">W_PH(C$2,$A574)</f>
        <v>3651.3336884055</v>
      </c>
      <c r="D574" s="0" t="n">
        <f aca="false">W_PH(D$2,$A574)</f>
        <v>3651.33388884877</v>
      </c>
      <c r="E574" s="0" t="n">
        <f aca="false">W_PH(E$2,$A574)</f>
        <v>3651.33408929205</v>
      </c>
      <c r="F574" s="0" t="n">
        <f aca="false">W_PH(F$2,$A574)</f>
        <v>3651.33428973533</v>
      </c>
      <c r="G574" s="0" t="n">
        <f aca="false">W_PH(G$2,$A574)</f>
        <v>3651.33628727106</v>
      </c>
      <c r="H574" s="0" t="n">
        <f aca="false">W_PH(H$2,$A574)</f>
        <v>3651.3382882559</v>
      </c>
      <c r="I574" s="0" t="n">
        <f aca="false">W_PH(I$2,$A574)</f>
        <v>3651.34028579253</v>
      </c>
      <c r="J574" s="0" t="n">
        <f aca="false">W_PH(J$2,$A574)</f>
        <v>3651.34228677827</v>
      </c>
      <c r="K574" s="0" t="n">
        <f aca="false">W_PH(K$2,$A574)</f>
        <v>3651.3442843158</v>
      </c>
      <c r="L574" s="0" t="n">
        <f aca="false">W_PH(L$2,$A574)</f>
        <v>3651.34628185379</v>
      </c>
      <c r="M574" s="0" t="n">
        <f aca="false">W_PH(M$2,$A574)</f>
        <v>3651.34827939223</v>
      </c>
      <c r="N574" s="0" t="n">
        <f aca="false">W_PH(N$2,$A574)</f>
        <v>3651.35028037979</v>
      </c>
      <c r="O574" s="0" t="n">
        <f aca="false">W_PH(O$2,$A574)</f>
        <v>3651.35227791915</v>
      </c>
      <c r="P574" s="0" t="n">
        <f aca="false">W_PH(P$2,$A574)</f>
        <v>3651.37226368419</v>
      </c>
      <c r="Q574" s="0" t="n">
        <f aca="false">W_PH(Q$2,$A574)</f>
        <v>3651.39225294522</v>
      </c>
      <c r="R574" s="0" t="n">
        <f aca="false">W_PH(R$2,$A574)</f>
        <v>3651.41223880622</v>
      </c>
      <c r="S574" s="0" t="n">
        <f aca="false">W_PH(S$2,$A574)</f>
        <v>3651.43222471723</v>
      </c>
      <c r="T574" s="0" t="n">
        <f aca="false">W_PH(T$2,$A574)</f>
        <v>3651.45221412831</v>
      </c>
      <c r="U574" s="0" t="n">
        <f aca="false">W_PH(U$2,$A574)</f>
        <v>3651.4722001434</v>
      </c>
      <c r="V574" s="0" t="n">
        <f aca="false">W_PH(V$2,$A574)</f>
        <v>3651.49218621255</v>
      </c>
      <c r="W574" s="0" t="n">
        <f aca="false">W_PH(W$2,$A574)</f>
        <v>3651.51217578587</v>
      </c>
      <c r="X574" s="0" t="n">
        <f aca="false">W_PH(X$2,$A574)</f>
        <v>3651.53216541598</v>
      </c>
      <c r="Y574" s="0" t="n">
        <f aca="false">W_PH(Y$2,$A574)</f>
        <v>3651.73203754806</v>
      </c>
      <c r="Z574" s="0" t="n">
        <f aca="false">W_PH(Z$2,$A574)</f>
        <v>3651.93192374591</v>
      </c>
      <c r="AA574" s="0" t="n">
        <f aca="false">W_PH(AA$2,$A574)</f>
        <v>3652.13181501763</v>
      </c>
      <c r="AB574" s="0" t="n">
        <f aca="false">W_PH(AB$2,$A574)</f>
        <v>3652.33171616675</v>
      </c>
      <c r="AC574" s="0" t="n">
        <f aca="false">W_PH(AC$2,$A574)</f>
        <v>3652.53162509897</v>
      </c>
      <c r="AD574" s="0" t="n">
        <f aca="false">W_PH(AD$2,$A574)</f>
        <v>3652.73155006751</v>
      </c>
      <c r="AE574" s="0" t="n">
        <f aca="false">W_PH(AE$2,$A574)</f>
        <v>3652.93148552903</v>
      </c>
      <c r="AF574" s="0" t="n">
        <f aca="false">W_PH(AF$2,$A574)</f>
        <v>3653.13143628794</v>
      </c>
      <c r="AG574" s="0" t="n">
        <f aca="false">W_PH(AG$2,$A574)</f>
        <v>3653.33140369958</v>
      </c>
      <c r="AH574" s="0" t="n">
        <f aca="false">W_PH(AH$2,$A574)</f>
        <v>3655.33222642761</v>
      </c>
      <c r="AI574" s="0" t="n">
        <f aca="false">W_PH(AI$2,$A574)</f>
        <v>3657.33605782679</v>
      </c>
      <c r="AJ574" s="0" t="n">
        <f aca="false">W_PH(AJ$2,$A574)</f>
        <v>3659.34420347216</v>
      </c>
      <c r="AK574" s="0" t="n">
        <f aca="false">W_PH(AK$2,$A574)</f>
        <v>3661.35797019787</v>
      </c>
      <c r="AL574" s="0" t="n">
        <f aca="false">W_PH(AL$2,$A574)</f>
        <v>3663.37865576954</v>
      </c>
      <c r="AM574" s="0" t="n">
        <f aca="false">W_PH(AM$2,$A574)</f>
        <v>3665.40756963958</v>
      </c>
      <c r="AN574" s="0" t="n">
        <f aca="false">W_PH(AN$2,$A574)</f>
        <v>3667.44601918879</v>
      </c>
      <c r="AO574" s="0" t="n">
        <f aca="false">W_PH(AO$2,$A574)</f>
        <v>3669.49531669235</v>
      </c>
      <c r="AP574" s="0" t="n">
        <f aca="false">W_PH(AP$2,$A574)</f>
        <v>2015</v>
      </c>
      <c r="AQ574" s="0" t="n">
        <f aca="false">W_PH(AQ$2,$A574)</f>
        <v>2015</v>
      </c>
      <c r="AR574" s="0" t="n">
        <f aca="false">W_PH(AR$2,$A574)</f>
        <v>2015</v>
      </c>
      <c r="AS574" s="0" t="n">
        <f aca="false">W_PH(AS$2,$A574)</f>
        <v>2015</v>
      </c>
    </row>
    <row r="575" customFormat="false" ht="12.8" hidden="false" customHeight="false" outlineLevel="0" collapsed="false">
      <c r="A575" s="0" t="n">
        <v>3159.93121238177</v>
      </c>
      <c r="B575" s="0" t="n">
        <f aca="false">W_PH(B$2,$A575)</f>
        <v>2015</v>
      </c>
      <c r="C575" s="0" t="n">
        <f aca="false">W_PH(C$2,$A575)</f>
        <v>3653.96801916638</v>
      </c>
      <c r="D575" s="0" t="n">
        <f aca="false">W_PH(D$2,$A575)</f>
        <v>3653.9682196726</v>
      </c>
      <c r="E575" s="0" t="n">
        <f aca="false">W_PH(E$2,$A575)</f>
        <v>3653.96842017882</v>
      </c>
      <c r="F575" s="0" t="n">
        <f aca="false">W_PH(F$2,$A575)</f>
        <v>3653.96861723902</v>
      </c>
      <c r="G575" s="0" t="n">
        <f aca="false">W_PH(G$2,$A575)</f>
        <v>3653.97061540947</v>
      </c>
      <c r="H575" s="0" t="n">
        <f aca="false">W_PH(H$2,$A575)</f>
        <v>3653.97261358037</v>
      </c>
      <c r="I575" s="0" t="n">
        <f aca="false">W_PH(I$2,$A575)</f>
        <v>3653.97461175172</v>
      </c>
      <c r="J575" s="0" t="n">
        <f aca="false">W_PH(J$2,$A575)</f>
        <v>3653.97661336954</v>
      </c>
      <c r="K575" s="0" t="n">
        <f aca="false">W_PH(K$2,$A575)</f>
        <v>3653.97861154178</v>
      </c>
      <c r="L575" s="0" t="n">
        <f aca="false">W_PH(L$2,$A575)</f>
        <v>3653.98060971447</v>
      </c>
      <c r="M575" s="0" t="n">
        <f aca="false">W_PH(M$2,$A575)</f>
        <v>3653.98260788762</v>
      </c>
      <c r="N575" s="0" t="n">
        <f aca="false">W_PH(N$2,$A575)</f>
        <v>3653.98460606121</v>
      </c>
      <c r="O575" s="0" t="n">
        <f aca="false">W_PH(O$2,$A575)</f>
        <v>3653.98660423526</v>
      </c>
      <c r="P575" s="0" t="n">
        <f aca="false">W_PH(P$2,$A575)</f>
        <v>3654.00658600105</v>
      </c>
      <c r="Q575" s="0" t="n">
        <f aca="false">W_PH(Q$2,$A575)</f>
        <v>3654.02656781375</v>
      </c>
      <c r="R575" s="0" t="n">
        <f aca="false">W_PH(R$2,$A575)</f>
        <v>3654.0465496747</v>
      </c>
      <c r="S575" s="0" t="n">
        <f aca="false">W_PH(S$2,$A575)</f>
        <v>3654.06653503132</v>
      </c>
      <c r="T575" s="0" t="n">
        <f aca="false">W_PH(T$2,$A575)</f>
        <v>3654.08652043891</v>
      </c>
      <c r="U575" s="0" t="n">
        <f aca="false">W_PH(U$2,$A575)</f>
        <v>3654.10650245273</v>
      </c>
      <c r="V575" s="0" t="n">
        <f aca="false">W_PH(V$2,$A575)</f>
        <v>3654.12648452021</v>
      </c>
      <c r="W575" s="0" t="n">
        <f aca="false">W_PH(W$2,$A575)</f>
        <v>3654.14646664268</v>
      </c>
      <c r="X575" s="0" t="n">
        <f aca="false">W_PH(X$2,$A575)</f>
        <v>3654.16645226762</v>
      </c>
      <c r="Y575" s="0" t="n">
        <f aca="false">W_PH(Y$2,$A575)</f>
        <v>3654.36629123684</v>
      </c>
      <c r="Z575" s="0" t="n">
        <f aca="false">W_PH(Z$2,$A575)</f>
        <v>3654.56613732603</v>
      </c>
      <c r="AA575" s="0" t="n">
        <f aca="false">W_PH(AA$2,$A575)</f>
        <v>3654.76598843832</v>
      </c>
      <c r="AB575" s="0" t="n">
        <f aca="false">W_PH(AB$2,$A575)</f>
        <v>3654.96585281596</v>
      </c>
      <c r="AC575" s="0" t="n">
        <f aca="false">W_PH(AC$2,$A575)</f>
        <v>3655.1657283624</v>
      </c>
      <c r="AD575" s="0" t="n">
        <f aca="false">W_PH(AD$2,$A575)</f>
        <v>3655.36560953433</v>
      </c>
      <c r="AE575" s="0" t="n">
        <f aca="false">W_PH(AE$2,$A575)</f>
        <v>3655.56551146795</v>
      </c>
      <c r="AF575" s="0" t="n">
        <f aca="false">W_PH(AF$2,$A575)</f>
        <v>3655.76542172685</v>
      </c>
      <c r="AG575" s="0" t="n">
        <f aca="false">W_PH(AG$2,$A575)</f>
        <v>3655.96535200129</v>
      </c>
      <c r="AH575" s="0" t="n">
        <f aca="false">W_PH(AH$2,$A575)</f>
        <v>3657.96578733007</v>
      </c>
      <c r="AI575" s="0" t="n">
        <f aca="false">W_PH(AI$2,$A575)</f>
        <v>3659.96921744165</v>
      </c>
      <c r="AJ575" s="0" t="n">
        <f aca="false">W_PH(AJ$2,$A575)</f>
        <v>3661.97694974953</v>
      </c>
      <c r="AK575" s="0" t="n">
        <f aca="false">W_PH(AK$2,$A575)</f>
        <v>3663.99027223394</v>
      </c>
      <c r="AL575" s="0" t="n">
        <f aca="false">W_PH(AL$2,$A575)</f>
        <v>3666.01049140958</v>
      </c>
      <c r="AM575" s="0" t="n">
        <f aca="false">W_PH(AM$2,$A575)</f>
        <v>3668.03890822517</v>
      </c>
      <c r="AN575" s="0" t="n">
        <f aca="false">W_PH(AN$2,$A575)</f>
        <v>3670.07682155813</v>
      </c>
      <c r="AO575" s="0" t="n">
        <f aca="false">W_PH(AO$2,$A575)</f>
        <v>3672.12553517504</v>
      </c>
      <c r="AP575" s="0" t="n">
        <f aca="false">W_PH(AP$2,$A575)</f>
        <v>2015</v>
      </c>
      <c r="AQ575" s="0" t="n">
        <f aca="false">W_PH(AQ$2,$A575)</f>
        <v>2015</v>
      </c>
      <c r="AR575" s="0" t="n">
        <f aca="false">W_PH(AR$2,$A575)</f>
        <v>2015</v>
      </c>
      <c r="AS575" s="0" t="n">
        <f aca="false">W_PH(AS$2,$A575)</f>
        <v>2015</v>
      </c>
    </row>
    <row r="576" customFormat="false" ht="12.8" hidden="false" customHeight="false" outlineLevel="0" collapsed="false">
      <c r="A576" s="0" t="n">
        <v>3164.23043852107</v>
      </c>
      <c r="B576" s="0" t="n">
        <f aca="false">W_PH(B$2,$A576)</f>
        <v>2015</v>
      </c>
      <c r="C576" s="0" t="n">
        <f aca="false">W_PH(C$2,$A576)</f>
        <v>3656.59937899234</v>
      </c>
      <c r="D576" s="0" t="n">
        <f aca="false">W_PH(D$2,$A576)</f>
        <v>3656.5995761168</v>
      </c>
      <c r="E576" s="0" t="n">
        <f aca="false">W_PH(E$2,$A576)</f>
        <v>3656.59977668465</v>
      </c>
      <c r="F576" s="0" t="n">
        <f aca="false">W_PH(F$2,$A576)</f>
        <v>3656.5999772525</v>
      </c>
      <c r="G576" s="0" t="n">
        <f aca="false">W_PH(G$2,$A576)</f>
        <v>3656.60197604451</v>
      </c>
      <c r="H576" s="0" t="n">
        <f aca="false">W_PH(H$2,$A576)</f>
        <v>3656.60397483696</v>
      </c>
      <c r="I576" s="0" t="n">
        <f aca="false">W_PH(I$2,$A576)</f>
        <v>3656.60597362986</v>
      </c>
      <c r="J576" s="0" t="n">
        <f aca="false">W_PH(J$2,$A576)</f>
        <v>3656.60797242319</v>
      </c>
      <c r="K576" s="0" t="n">
        <f aca="false">W_PH(K$2,$A576)</f>
        <v>3656.60996777359</v>
      </c>
      <c r="L576" s="0" t="n">
        <f aca="false">W_PH(L$2,$A576)</f>
        <v>3656.61196656782</v>
      </c>
      <c r="M576" s="0" t="n">
        <f aca="false">W_PH(M$2,$A576)</f>
        <v>3656.6139619191</v>
      </c>
      <c r="N576" s="0" t="n">
        <f aca="false">W_PH(N$2,$A576)</f>
        <v>3656.61596071423</v>
      </c>
      <c r="O576" s="0" t="n">
        <f aca="false">W_PH(O$2,$A576)</f>
        <v>3656.61795950981</v>
      </c>
      <c r="P576" s="0" t="n">
        <f aca="false">W_PH(P$2,$A576)</f>
        <v>3656.63794060387</v>
      </c>
      <c r="Q576" s="0" t="n">
        <f aca="false">W_PH(Q$2,$A576)</f>
        <v>3656.65791830106</v>
      </c>
      <c r="R576" s="0" t="n">
        <f aca="false">W_PH(R$2,$A576)</f>
        <v>3656.67789604611</v>
      </c>
      <c r="S576" s="0" t="n">
        <f aca="false">W_PH(S$2,$A576)</f>
        <v>3656.69787728379</v>
      </c>
      <c r="T576" s="0" t="n">
        <f aca="false">W_PH(T$2,$A576)</f>
        <v>3656.71785857205</v>
      </c>
      <c r="U576" s="0" t="n">
        <f aca="false">W_PH(U$2,$A576)</f>
        <v>3656.73783646877</v>
      </c>
      <c r="V576" s="0" t="n">
        <f aca="false">W_PH(V$2,$A576)</f>
        <v>3656.75781441873</v>
      </c>
      <c r="W576" s="0" t="n">
        <f aca="false">W_PH(W$2,$A576)</f>
        <v>3656.77779586673</v>
      </c>
      <c r="X576" s="0" t="n">
        <f aca="false">W_PH(X$2,$A576)</f>
        <v>3656.79777737068</v>
      </c>
      <c r="Y576" s="0" t="n">
        <f aca="false">W_PH(Y$2,$A576)</f>
        <v>3656.99757512152</v>
      </c>
      <c r="Z576" s="0" t="n">
        <f aca="false">W_PH(Z$2,$A576)</f>
        <v>3657.19738338814</v>
      </c>
      <c r="AA576" s="0" t="n">
        <f aca="false">W_PH(AA$2,$A576)</f>
        <v>3657.39720007149</v>
      </c>
      <c r="AB576" s="0" t="n">
        <f aca="false">W_PH(AB$2,$A576)</f>
        <v>3657.59702307231</v>
      </c>
      <c r="AC576" s="0" t="n">
        <f aca="false">W_PH(AC$2,$A576)</f>
        <v>3657.7968571789</v>
      </c>
      <c r="AD576" s="0" t="n">
        <f aca="false">W_PH(AD$2,$A576)</f>
        <v>3657.99670373604</v>
      </c>
      <c r="AE576" s="0" t="n">
        <f aca="false">W_PH(AE$2,$A576)</f>
        <v>3658.19656408866</v>
      </c>
      <c r="AF576" s="0" t="n">
        <f aca="false">W_PH(AF$2,$A576)</f>
        <v>3658.3964395818</v>
      </c>
      <c r="AG576" s="0" t="n">
        <f aca="false">W_PH(AG$2,$A576)</f>
        <v>3658.59632467225</v>
      </c>
      <c r="AH576" s="0" t="n">
        <f aca="false">W_PH(AH$2,$A576)</f>
        <v>3660.59636796558</v>
      </c>
      <c r="AI576" s="0" t="n">
        <f aca="false">W_PH(AI$2,$A576)</f>
        <v>3662.59939570177</v>
      </c>
      <c r="AJ576" s="0" t="n">
        <f aca="false">W_PH(AJ$2,$A576)</f>
        <v>3664.60670336657</v>
      </c>
      <c r="AK576" s="0" t="n">
        <f aca="false">W_PH(AK$2,$A576)</f>
        <v>3666.619580813</v>
      </c>
      <c r="AL576" s="0" t="n">
        <f aca="false">W_PH(AL$2,$A576)</f>
        <v>3668.63932607817</v>
      </c>
      <c r="AM576" s="0" t="n">
        <f aca="false">W_PH(AM$2,$A576)</f>
        <v>3670.66723508517</v>
      </c>
      <c r="AN576" s="0" t="n">
        <f aca="false">W_PH(AN$2,$A576)</f>
        <v>3672.70460513823</v>
      </c>
      <c r="AO576" s="0" t="n">
        <f aca="false">W_PH(AO$2,$A576)</f>
        <v>3674.7527418798</v>
      </c>
      <c r="AP576" s="0" t="n">
        <f aca="false">W_PH(AP$2,$A576)</f>
        <v>2015</v>
      </c>
      <c r="AQ576" s="0" t="n">
        <f aca="false">W_PH(AQ$2,$A576)</f>
        <v>2015</v>
      </c>
      <c r="AR576" s="0" t="n">
        <f aca="false">W_PH(AR$2,$A576)</f>
        <v>2015</v>
      </c>
      <c r="AS576" s="0" t="n">
        <f aca="false">W_PH(AS$2,$A576)</f>
        <v>2015</v>
      </c>
    </row>
    <row r="577" customFormat="false" ht="12.8" hidden="false" customHeight="false" outlineLevel="0" collapsed="false">
      <c r="A577" s="0" t="n">
        <v>3168.52966466036</v>
      </c>
      <c r="B577" s="0" t="n">
        <f aca="false">W_PH(B$2,$A577)</f>
        <v>2015</v>
      </c>
      <c r="C577" s="0" t="n">
        <f aca="false">W_PH(C$2,$A577)</f>
        <v>3659.22777867031</v>
      </c>
      <c r="D577" s="0" t="n">
        <f aca="false">W_PH(D$2,$A577)</f>
        <v>3659.22797929848</v>
      </c>
      <c r="E577" s="0" t="n">
        <f aca="false">W_PH(E$2,$A577)</f>
        <v>3659.2281764859</v>
      </c>
      <c r="F577" s="0" t="n">
        <f aca="false">W_PH(F$2,$A577)</f>
        <v>3659.22837711408</v>
      </c>
      <c r="G577" s="0" t="n">
        <f aca="false">W_PH(G$2,$A577)</f>
        <v>3659.23037651459</v>
      </c>
      <c r="H577" s="0" t="n">
        <f aca="false">W_PH(H$2,$A577)</f>
        <v>3659.23237591554</v>
      </c>
      <c r="I577" s="0" t="n">
        <f aca="false">W_PH(I$2,$A577)</f>
        <v>3659.23436843541</v>
      </c>
      <c r="J577" s="0" t="n">
        <f aca="false">W_PH(J$2,$A577)</f>
        <v>3659.23636783724</v>
      </c>
      <c r="K577" s="0" t="n">
        <f aca="false">W_PH(K$2,$A577)</f>
        <v>3659.23836723951</v>
      </c>
      <c r="L577" s="0" t="n">
        <f aca="false">W_PH(L$2,$A577)</f>
        <v>3659.24036320147</v>
      </c>
      <c r="M577" s="0" t="n">
        <f aca="false">W_PH(M$2,$A577)</f>
        <v>3659.24235916387</v>
      </c>
      <c r="N577" s="0" t="n">
        <f aca="false">W_PH(N$2,$A577)</f>
        <v>3659.24435856747</v>
      </c>
      <c r="O577" s="0" t="n">
        <f aca="false">W_PH(O$2,$A577)</f>
        <v>3659.24635797152</v>
      </c>
      <c r="P577" s="0" t="n">
        <f aca="false">W_PH(P$2,$A577)</f>
        <v>3659.26633139233</v>
      </c>
      <c r="Q577" s="0" t="n">
        <f aca="false">W_PH(Q$2,$A577)</f>
        <v>3659.28630485928</v>
      </c>
      <c r="R577" s="0" t="n">
        <f aca="false">W_PH(R$2,$A577)</f>
        <v>3659.30628525527</v>
      </c>
      <c r="S577" s="0" t="n">
        <f aca="false">W_PH(S$2,$A577)</f>
        <v>3659.32625881852</v>
      </c>
      <c r="T577" s="0" t="n">
        <f aca="false">W_PH(T$2,$A577)</f>
        <v>3659.34623243193</v>
      </c>
      <c r="U577" s="0" t="n">
        <f aca="false">W_PH(U$2,$A577)</f>
        <v>3659.36620953764</v>
      </c>
      <c r="V577" s="0" t="n">
        <f aca="false">W_PH(V$2,$A577)</f>
        <v>3659.38618669619</v>
      </c>
      <c r="W577" s="0" t="n">
        <f aca="false">W_PH(W$2,$A577)</f>
        <v>3659.40616046811</v>
      </c>
      <c r="X577" s="0" t="n">
        <f aca="false">W_PH(X$2,$A577)</f>
        <v>3659.42613773637</v>
      </c>
      <c r="Y577" s="0" t="n">
        <f aca="false">W_PH(Y$2,$A577)</f>
        <v>3659.62589656297</v>
      </c>
      <c r="Z577" s="0" t="n">
        <f aca="false">W_PH(Z$2,$A577)</f>
        <v>3659.82566585553</v>
      </c>
      <c r="AA577" s="0" t="n">
        <f aca="false">W_PH(AA$2,$A577)</f>
        <v>3660.02544351259</v>
      </c>
      <c r="AB577" s="0" t="n">
        <f aca="false">W_PH(AB$2,$A577)</f>
        <v>3660.22522743249</v>
      </c>
      <c r="AC577" s="0" t="n">
        <f aca="false">W_PH(AC$2,$A577)</f>
        <v>3660.42502239583</v>
      </c>
      <c r="AD577" s="0" t="n">
        <f aca="false">W_PH(AD$2,$A577)</f>
        <v>3660.62483318367</v>
      </c>
      <c r="AE577" s="0" t="n">
        <f aca="false">W_PH(AE$2,$A577)</f>
        <v>3660.82465081196</v>
      </c>
      <c r="AF577" s="0" t="n">
        <f aca="false">W_PH(AF$2,$A577)</f>
        <v>3661.02448350315</v>
      </c>
      <c r="AG577" s="0" t="n">
        <f aca="false">W_PH(AG$2,$A577)</f>
        <v>3661.22433603892</v>
      </c>
      <c r="AH577" s="0" t="n">
        <f aca="false">W_PH(AH$2,$A577)</f>
        <v>3663.22397931631</v>
      </c>
      <c r="AI577" s="0" t="n">
        <f aca="false">W_PH(AI$2,$A577)</f>
        <v>3665.22659334821</v>
      </c>
      <c r="AJ577" s="0" t="n">
        <f aca="false">W_PH(AJ$2,$A577)</f>
        <v>3667.23347206084</v>
      </c>
      <c r="AK577" s="0" t="n">
        <f aca="false">W_PH(AK$2,$A577)</f>
        <v>3669.24589686817</v>
      </c>
      <c r="AL577" s="0" t="n">
        <f aca="false">W_PH(AL$2,$A577)</f>
        <v>3671.26516425149</v>
      </c>
      <c r="AM577" s="0" t="n">
        <f aca="false">W_PH(AM$2,$A577)</f>
        <v>3673.29256513827</v>
      </c>
      <c r="AN577" s="0" t="n">
        <f aca="false">W_PH(AN$2,$A577)</f>
        <v>3675.32939183717</v>
      </c>
      <c r="AO577" s="0" t="n">
        <f aca="false">W_PH(AO$2,$A577)</f>
        <v>3677.37693464853</v>
      </c>
      <c r="AP577" s="0" t="n">
        <f aca="false">W_PH(AP$2,$A577)</f>
        <v>2015</v>
      </c>
      <c r="AQ577" s="0" t="n">
        <f aca="false">W_PH(AQ$2,$A577)</f>
        <v>2015</v>
      </c>
      <c r="AR577" s="0" t="n">
        <f aca="false">W_PH(AR$2,$A577)</f>
        <v>2015</v>
      </c>
      <c r="AS577" s="0" t="n">
        <f aca="false">W_PH(AS$2,$A577)</f>
        <v>2015</v>
      </c>
    </row>
    <row r="578" customFormat="false" ht="12.8" hidden="false" customHeight="false" outlineLevel="0" collapsed="false">
      <c r="A578" s="0" t="n">
        <v>3172.82889079966</v>
      </c>
      <c r="B578" s="0" t="n">
        <f aca="false">W_PH(B$2,$A578)</f>
        <v>2015</v>
      </c>
      <c r="C578" s="0" t="n">
        <f aca="false">W_PH(C$2,$A578)</f>
        <v>2015</v>
      </c>
      <c r="D578" s="0" t="n">
        <f aca="false">W_PH(D$2,$A578)</f>
        <v>2015</v>
      </c>
      <c r="E578" s="0" t="n">
        <f aca="false">W_PH(E$2,$A578)</f>
        <v>2015</v>
      </c>
      <c r="F578" s="0" t="n">
        <f aca="false">W_PH(F$2,$A578)</f>
        <v>2015</v>
      </c>
      <c r="G578" s="0" t="n">
        <f aca="false">W_PH(G$2,$A578)</f>
        <v>2015</v>
      </c>
      <c r="H578" s="0" t="n">
        <f aca="false">W_PH(H$2,$A578)</f>
        <v>2015</v>
      </c>
      <c r="I578" s="0" t="n">
        <f aca="false">W_PH(I$2,$A578)</f>
        <v>2015</v>
      </c>
      <c r="J578" s="0" t="n">
        <f aca="false">W_PH(J$2,$A578)</f>
        <v>2015</v>
      </c>
      <c r="K578" s="0" t="n">
        <f aca="false">W_PH(K$2,$A578)</f>
        <v>2015</v>
      </c>
      <c r="L578" s="0" t="n">
        <f aca="false">W_PH(L$2,$A578)</f>
        <v>2015</v>
      </c>
      <c r="M578" s="0" t="n">
        <f aca="false">W_PH(M$2,$A578)</f>
        <v>2015</v>
      </c>
      <c r="N578" s="0" t="n">
        <f aca="false">W_PH(N$2,$A578)</f>
        <v>2015</v>
      </c>
      <c r="O578" s="0" t="n">
        <f aca="false">W_PH(O$2,$A578)</f>
        <v>2015</v>
      </c>
      <c r="P578" s="0" t="n">
        <f aca="false">W_PH(P$2,$A578)</f>
        <v>2015</v>
      </c>
      <c r="Q578" s="0" t="n">
        <f aca="false">W_PH(Q$2,$A578)</f>
        <v>2015</v>
      </c>
      <c r="R578" s="0" t="n">
        <f aca="false">W_PH(R$2,$A578)</f>
        <v>2015</v>
      </c>
      <c r="S578" s="0" t="n">
        <f aca="false">W_PH(S$2,$A578)</f>
        <v>2015</v>
      </c>
      <c r="T578" s="0" t="n">
        <f aca="false">W_PH(T$2,$A578)</f>
        <v>2015</v>
      </c>
      <c r="U578" s="0" t="n">
        <f aca="false">W_PH(U$2,$A578)</f>
        <v>2015</v>
      </c>
      <c r="V578" s="0" t="n">
        <f aca="false">W_PH(V$2,$A578)</f>
        <v>2015</v>
      </c>
      <c r="W578" s="0" t="n">
        <f aca="false">W_PH(W$2,$A578)</f>
        <v>2015</v>
      </c>
      <c r="X578" s="0" t="n">
        <f aca="false">W_PH(X$2,$A578)</f>
        <v>2015</v>
      </c>
      <c r="Y578" s="0" t="n">
        <f aca="false">W_PH(Y$2,$A578)</f>
        <v>2015</v>
      </c>
      <c r="Z578" s="0" t="n">
        <f aca="false">W_PH(Z$2,$A578)</f>
        <v>2015</v>
      </c>
      <c r="AA578" s="0" t="n">
        <f aca="false">W_PH(AA$2,$A578)</f>
        <v>2015</v>
      </c>
      <c r="AB578" s="0" t="n">
        <f aca="false">W_PH(AB$2,$A578)</f>
        <v>2015</v>
      </c>
      <c r="AC578" s="0" t="n">
        <f aca="false">W_PH(AC$2,$A578)</f>
        <v>2015</v>
      </c>
      <c r="AD578" s="0" t="n">
        <f aca="false">W_PH(AD$2,$A578)</f>
        <v>2015</v>
      </c>
      <c r="AE578" s="0" t="n">
        <f aca="false">W_PH(AE$2,$A578)</f>
        <v>2015</v>
      </c>
      <c r="AF578" s="0" t="n">
        <f aca="false">W_PH(AF$2,$A578)</f>
        <v>2015</v>
      </c>
      <c r="AG578" s="0" t="n">
        <f aca="false">W_PH(AG$2,$A578)</f>
        <v>2015</v>
      </c>
      <c r="AH578" s="0" t="n">
        <f aca="false">W_PH(AH$2,$A578)</f>
        <v>2015</v>
      </c>
      <c r="AI578" s="0" t="n">
        <f aca="false">W_PH(AI$2,$A578)</f>
        <v>2015</v>
      </c>
      <c r="AJ578" s="0" t="n">
        <f aca="false">W_PH(AJ$2,$A578)</f>
        <v>2015</v>
      </c>
      <c r="AK578" s="0" t="n">
        <f aca="false">W_PH(AK$2,$A578)</f>
        <v>2015</v>
      </c>
      <c r="AL578" s="0" t="n">
        <f aca="false">W_PH(AL$2,$A578)</f>
        <v>2015</v>
      </c>
      <c r="AM578" s="0" t="n">
        <f aca="false">W_PH(AM$2,$A578)</f>
        <v>2015</v>
      </c>
      <c r="AN578" s="0" t="n">
        <f aca="false">W_PH(AN$2,$A578)</f>
        <v>2015</v>
      </c>
      <c r="AO578" s="0" t="n">
        <f aca="false">W_PH(AO$2,$A578)</f>
        <v>2015</v>
      </c>
      <c r="AP578" s="0" t="n">
        <f aca="false">W_PH(AP$2,$A578)</f>
        <v>2015</v>
      </c>
      <c r="AQ578" s="0" t="n">
        <f aca="false">W_PH(AQ$2,$A578)</f>
        <v>2015</v>
      </c>
      <c r="AR578" s="0" t="n">
        <f aca="false">W_PH(AR$2,$A578)</f>
        <v>2015</v>
      </c>
      <c r="AS578" s="0" t="n">
        <f aca="false">W_PH(AS$2,$A578)</f>
        <v>2015</v>
      </c>
    </row>
    <row r="579" customFormat="false" ht="12.8" hidden="false" customHeight="false" outlineLevel="0" collapsed="false">
      <c r="A579" s="0" t="n">
        <v>3177.12811693895</v>
      </c>
      <c r="B579" s="0" t="n">
        <f aca="false">W_PH(B$2,$A579)</f>
        <v>2015</v>
      </c>
      <c r="C579" s="0" t="n">
        <f aca="false">W_PH(C$2,$A579)</f>
        <v>2015</v>
      </c>
      <c r="D579" s="0" t="n">
        <f aca="false">W_PH(D$2,$A579)</f>
        <v>2015</v>
      </c>
      <c r="E579" s="0" t="n">
        <f aca="false">W_PH(E$2,$A579)</f>
        <v>2015</v>
      </c>
      <c r="F579" s="0" t="n">
        <f aca="false">W_PH(F$2,$A579)</f>
        <v>2015</v>
      </c>
      <c r="G579" s="0" t="n">
        <f aca="false">W_PH(G$2,$A579)</f>
        <v>2015</v>
      </c>
      <c r="H579" s="0" t="n">
        <f aca="false">W_PH(H$2,$A579)</f>
        <v>2015</v>
      </c>
      <c r="I579" s="0" t="n">
        <f aca="false">W_PH(I$2,$A579)</f>
        <v>2015</v>
      </c>
      <c r="J579" s="0" t="n">
        <f aca="false">W_PH(J$2,$A579)</f>
        <v>2015</v>
      </c>
      <c r="K579" s="0" t="n">
        <f aca="false">W_PH(K$2,$A579)</f>
        <v>2015</v>
      </c>
      <c r="L579" s="0" t="n">
        <f aca="false">W_PH(L$2,$A579)</f>
        <v>2015</v>
      </c>
      <c r="M579" s="0" t="n">
        <f aca="false">W_PH(M$2,$A579)</f>
        <v>2015</v>
      </c>
      <c r="N579" s="0" t="n">
        <f aca="false">W_PH(N$2,$A579)</f>
        <v>2015</v>
      </c>
      <c r="O579" s="0" t="n">
        <f aca="false">W_PH(O$2,$A579)</f>
        <v>2015</v>
      </c>
      <c r="P579" s="0" t="n">
        <f aca="false">W_PH(P$2,$A579)</f>
        <v>2015</v>
      </c>
      <c r="Q579" s="0" t="n">
        <f aca="false">W_PH(Q$2,$A579)</f>
        <v>2015</v>
      </c>
      <c r="R579" s="0" t="n">
        <f aca="false">W_PH(R$2,$A579)</f>
        <v>2015</v>
      </c>
      <c r="S579" s="0" t="n">
        <f aca="false">W_PH(S$2,$A579)</f>
        <v>2015</v>
      </c>
      <c r="T579" s="0" t="n">
        <f aca="false">W_PH(T$2,$A579)</f>
        <v>2015</v>
      </c>
      <c r="U579" s="0" t="n">
        <f aca="false">W_PH(U$2,$A579)</f>
        <v>2015</v>
      </c>
      <c r="V579" s="0" t="n">
        <f aca="false">W_PH(V$2,$A579)</f>
        <v>2015</v>
      </c>
      <c r="W579" s="0" t="n">
        <f aca="false">W_PH(W$2,$A579)</f>
        <v>2015</v>
      </c>
      <c r="X579" s="0" t="n">
        <f aca="false">W_PH(X$2,$A579)</f>
        <v>2015</v>
      </c>
      <c r="Y579" s="0" t="n">
        <f aca="false">W_PH(Y$2,$A579)</f>
        <v>2015</v>
      </c>
      <c r="Z579" s="0" t="n">
        <f aca="false">W_PH(Z$2,$A579)</f>
        <v>2015</v>
      </c>
      <c r="AA579" s="0" t="n">
        <f aca="false">W_PH(AA$2,$A579)</f>
        <v>2015</v>
      </c>
      <c r="AB579" s="0" t="n">
        <f aca="false">W_PH(AB$2,$A579)</f>
        <v>2015</v>
      </c>
      <c r="AC579" s="0" t="n">
        <f aca="false">W_PH(AC$2,$A579)</f>
        <v>2015</v>
      </c>
      <c r="AD579" s="0" t="n">
        <f aca="false">W_PH(AD$2,$A579)</f>
        <v>2015</v>
      </c>
      <c r="AE579" s="0" t="n">
        <f aca="false">W_PH(AE$2,$A579)</f>
        <v>2015</v>
      </c>
      <c r="AF579" s="0" t="n">
        <f aca="false">W_PH(AF$2,$A579)</f>
        <v>2015</v>
      </c>
      <c r="AG579" s="0" t="n">
        <f aca="false">W_PH(AG$2,$A579)</f>
        <v>2015</v>
      </c>
      <c r="AH579" s="0" t="n">
        <f aca="false">W_PH(AH$2,$A579)</f>
        <v>2015</v>
      </c>
      <c r="AI579" s="0" t="n">
        <f aca="false">W_PH(AI$2,$A579)</f>
        <v>2015</v>
      </c>
      <c r="AJ579" s="0" t="n">
        <f aca="false">W_PH(AJ$2,$A579)</f>
        <v>2015</v>
      </c>
      <c r="AK579" s="0" t="n">
        <f aca="false">W_PH(AK$2,$A579)</f>
        <v>2015</v>
      </c>
      <c r="AL579" s="0" t="n">
        <f aca="false">W_PH(AL$2,$A579)</f>
        <v>2015</v>
      </c>
      <c r="AM579" s="0" t="n">
        <f aca="false">W_PH(AM$2,$A579)</f>
        <v>2015</v>
      </c>
      <c r="AN579" s="0" t="n">
        <f aca="false">W_PH(AN$2,$A579)</f>
        <v>2015</v>
      </c>
      <c r="AO579" s="0" t="n">
        <f aca="false">W_PH(AO$2,$A579)</f>
        <v>2015</v>
      </c>
      <c r="AP579" s="0" t="n">
        <f aca="false">W_PH(AP$2,$A579)</f>
        <v>2015</v>
      </c>
      <c r="AQ579" s="0" t="n">
        <f aca="false">W_PH(AQ$2,$A579)</f>
        <v>2015</v>
      </c>
      <c r="AR579" s="0" t="n">
        <f aca="false">W_PH(AR$2,$A579)</f>
        <v>2015</v>
      </c>
      <c r="AS579" s="0" t="n">
        <f aca="false">W_PH(AS$2,$A579)</f>
        <v>2015</v>
      </c>
    </row>
    <row r="580" customFormat="false" ht="12.8" hidden="false" customHeight="false" outlineLevel="0" collapsed="false">
      <c r="A580" s="0" t="n">
        <v>3181.42734307825</v>
      </c>
      <c r="B580" s="0" t="n">
        <f aca="false">W_PH(B$2,$A580)</f>
        <v>2015</v>
      </c>
      <c r="C580" s="0" t="n">
        <f aca="false">W_PH(C$2,$A580)</f>
        <v>2015</v>
      </c>
      <c r="D580" s="0" t="n">
        <f aca="false">W_PH(D$2,$A580)</f>
        <v>2015</v>
      </c>
      <c r="E580" s="0" t="n">
        <f aca="false">W_PH(E$2,$A580)</f>
        <v>2015</v>
      </c>
      <c r="F580" s="0" t="n">
        <f aca="false">W_PH(F$2,$A580)</f>
        <v>2015</v>
      </c>
      <c r="G580" s="0" t="n">
        <f aca="false">W_PH(G$2,$A580)</f>
        <v>2015</v>
      </c>
      <c r="H580" s="0" t="n">
        <f aca="false">W_PH(H$2,$A580)</f>
        <v>2015</v>
      </c>
      <c r="I580" s="0" t="n">
        <f aca="false">W_PH(I$2,$A580)</f>
        <v>2015</v>
      </c>
      <c r="J580" s="0" t="n">
        <f aca="false">W_PH(J$2,$A580)</f>
        <v>2015</v>
      </c>
      <c r="K580" s="0" t="n">
        <f aca="false">W_PH(K$2,$A580)</f>
        <v>2015</v>
      </c>
      <c r="L580" s="0" t="n">
        <f aca="false">W_PH(L$2,$A580)</f>
        <v>2015</v>
      </c>
      <c r="M580" s="0" t="n">
        <f aca="false">W_PH(M$2,$A580)</f>
        <v>2015</v>
      </c>
      <c r="N580" s="0" t="n">
        <f aca="false">W_PH(N$2,$A580)</f>
        <v>2015</v>
      </c>
      <c r="O580" s="0" t="n">
        <f aca="false">W_PH(O$2,$A580)</f>
        <v>2015</v>
      </c>
      <c r="P580" s="0" t="n">
        <f aca="false">W_PH(P$2,$A580)</f>
        <v>2015</v>
      </c>
      <c r="Q580" s="0" t="n">
        <f aca="false">W_PH(Q$2,$A580)</f>
        <v>2015</v>
      </c>
      <c r="R580" s="0" t="n">
        <f aca="false">W_PH(R$2,$A580)</f>
        <v>2015</v>
      </c>
      <c r="S580" s="0" t="n">
        <f aca="false">W_PH(S$2,$A580)</f>
        <v>2015</v>
      </c>
      <c r="T580" s="0" t="n">
        <f aca="false">W_PH(T$2,$A580)</f>
        <v>2015</v>
      </c>
      <c r="U580" s="0" t="n">
        <f aca="false">W_PH(U$2,$A580)</f>
        <v>2015</v>
      </c>
      <c r="V580" s="0" t="n">
        <f aca="false">W_PH(V$2,$A580)</f>
        <v>2015</v>
      </c>
      <c r="W580" s="0" t="n">
        <f aca="false">W_PH(W$2,$A580)</f>
        <v>2015</v>
      </c>
      <c r="X580" s="0" t="n">
        <f aca="false">W_PH(X$2,$A580)</f>
        <v>2015</v>
      </c>
      <c r="Y580" s="0" t="n">
        <f aca="false">W_PH(Y$2,$A580)</f>
        <v>2015</v>
      </c>
      <c r="Z580" s="0" t="n">
        <f aca="false">W_PH(Z$2,$A580)</f>
        <v>2015</v>
      </c>
      <c r="AA580" s="0" t="n">
        <f aca="false">W_PH(AA$2,$A580)</f>
        <v>2015</v>
      </c>
      <c r="AB580" s="0" t="n">
        <f aca="false">W_PH(AB$2,$A580)</f>
        <v>2015</v>
      </c>
      <c r="AC580" s="0" t="n">
        <f aca="false">W_PH(AC$2,$A580)</f>
        <v>2015</v>
      </c>
      <c r="AD580" s="0" t="n">
        <f aca="false">W_PH(AD$2,$A580)</f>
        <v>2015</v>
      </c>
      <c r="AE580" s="0" t="n">
        <f aca="false">W_PH(AE$2,$A580)</f>
        <v>2015</v>
      </c>
      <c r="AF580" s="0" t="n">
        <f aca="false">W_PH(AF$2,$A580)</f>
        <v>2015</v>
      </c>
      <c r="AG580" s="0" t="n">
        <f aca="false">W_PH(AG$2,$A580)</f>
        <v>2015</v>
      </c>
      <c r="AH580" s="0" t="n">
        <f aca="false">W_PH(AH$2,$A580)</f>
        <v>2015</v>
      </c>
      <c r="AI580" s="0" t="n">
        <f aca="false">W_PH(AI$2,$A580)</f>
        <v>2015</v>
      </c>
      <c r="AJ580" s="0" t="n">
        <f aca="false">W_PH(AJ$2,$A580)</f>
        <v>2015</v>
      </c>
      <c r="AK580" s="0" t="n">
        <f aca="false">W_PH(AK$2,$A580)</f>
        <v>2015</v>
      </c>
      <c r="AL580" s="0" t="n">
        <f aca="false">W_PH(AL$2,$A580)</f>
        <v>2015</v>
      </c>
      <c r="AM580" s="0" t="n">
        <f aca="false">W_PH(AM$2,$A580)</f>
        <v>2015</v>
      </c>
      <c r="AN580" s="0" t="n">
        <f aca="false">W_PH(AN$2,$A580)</f>
        <v>2015</v>
      </c>
      <c r="AO580" s="0" t="n">
        <f aca="false">W_PH(AO$2,$A580)</f>
        <v>2015</v>
      </c>
      <c r="AP580" s="0" t="n">
        <f aca="false">W_PH(AP$2,$A580)</f>
        <v>2015</v>
      </c>
      <c r="AQ580" s="0" t="n">
        <f aca="false">W_PH(AQ$2,$A580)</f>
        <v>2015</v>
      </c>
      <c r="AR580" s="0" t="n">
        <f aca="false">W_PH(AR$2,$A580)</f>
        <v>2015</v>
      </c>
      <c r="AS580" s="0" t="n">
        <f aca="false">W_PH(AS$2,$A580)</f>
        <v>2015</v>
      </c>
    </row>
    <row r="581" customFormat="false" ht="12.8" hidden="false" customHeight="false" outlineLevel="0" collapsed="false">
      <c r="A581" s="0" t="n">
        <v>3185.72656921754</v>
      </c>
      <c r="B581" s="0" t="n">
        <f aca="false">W_PH(B$2,$A581)</f>
        <v>2015</v>
      </c>
      <c r="C581" s="0" t="n">
        <f aca="false">W_PH(C$2,$A581)</f>
        <v>2015</v>
      </c>
      <c r="D581" s="0" t="n">
        <f aca="false">W_PH(D$2,$A581)</f>
        <v>2015</v>
      </c>
      <c r="E581" s="0" t="n">
        <f aca="false">W_PH(E$2,$A581)</f>
        <v>2015</v>
      </c>
      <c r="F581" s="0" t="n">
        <f aca="false">W_PH(F$2,$A581)</f>
        <v>2015</v>
      </c>
      <c r="G581" s="0" t="n">
        <f aca="false">W_PH(G$2,$A581)</f>
        <v>2015</v>
      </c>
      <c r="H581" s="0" t="n">
        <f aca="false">W_PH(H$2,$A581)</f>
        <v>2015</v>
      </c>
      <c r="I581" s="0" t="n">
        <f aca="false">W_PH(I$2,$A581)</f>
        <v>2015</v>
      </c>
      <c r="J581" s="0" t="n">
        <f aca="false">W_PH(J$2,$A581)</f>
        <v>2015</v>
      </c>
      <c r="K581" s="0" t="n">
        <f aca="false">W_PH(K$2,$A581)</f>
        <v>2015</v>
      </c>
      <c r="L581" s="0" t="n">
        <f aca="false">W_PH(L$2,$A581)</f>
        <v>2015</v>
      </c>
      <c r="M581" s="0" t="n">
        <f aca="false">W_PH(M$2,$A581)</f>
        <v>2015</v>
      </c>
      <c r="N581" s="0" t="n">
        <f aca="false">W_PH(N$2,$A581)</f>
        <v>2015</v>
      </c>
      <c r="O581" s="0" t="n">
        <f aca="false">W_PH(O$2,$A581)</f>
        <v>2015</v>
      </c>
      <c r="P581" s="0" t="n">
        <f aca="false">W_PH(P$2,$A581)</f>
        <v>2015</v>
      </c>
      <c r="Q581" s="0" t="n">
        <f aca="false">W_PH(Q$2,$A581)</f>
        <v>2015</v>
      </c>
      <c r="R581" s="0" t="n">
        <f aca="false">W_PH(R$2,$A581)</f>
        <v>2015</v>
      </c>
      <c r="S581" s="0" t="n">
        <f aca="false">W_PH(S$2,$A581)</f>
        <v>2015</v>
      </c>
      <c r="T581" s="0" t="n">
        <f aca="false">W_PH(T$2,$A581)</f>
        <v>2015</v>
      </c>
      <c r="U581" s="0" t="n">
        <f aca="false">W_PH(U$2,$A581)</f>
        <v>2015</v>
      </c>
      <c r="V581" s="0" t="n">
        <f aca="false">W_PH(V$2,$A581)</f>
        <v>2015</v>
      </c>
      <c r="W581" s="0" t="n">
        <f aca="false">W_PH(W$2,$A581)</f>
        <v>2015</v>
      </c>
      <c r="X581" s="0" t="n">
        <f aca="false">W_PH(X$2,$A581)</f>
        <v>2015</v>
      </c>
      <c r="Y581" s="0" t="n">
        <f aca="false">W_PH(Y$2,$A581)</f>
        <v>2015</v>
      </c>
      <c r="Z581" s="0" t="n">
        <f aca="false">W_PH(Z$2,$A581)</f>
        <v>2015</v>
      </c>
      <c r="AA581" s="0" t="n">
        <f aca="false">W_PH(AA$2,$A581)</f>
        <v>2015</v>
      </c>
      <c r="AB581" s="0" t="n">
        <f aca="false">W_PH(AB$2,$A581)</f>
        <v>2015</v>
      </c>
      <c r="AC581" s="0" t="n">
        <f aca="false">W_PH(AC$2,$A581)</f>
        <v>2015</v>
      </c>
      <c r="AD581" s="0" t="n">
        <f aca="false">W_PH(AD$2,$A581)</f>
        <v>2015</v>
      </c>
      <c r="AE581" s="0" t="n">
        <f aca="false">W_PH(AE$2,$A581)</f>
        <v>2015</v>
      </c>
      <c r="AF581" s="0" t="n">
        <f aca="false">W_PH(AF$2,$A581)</f>
        <v>2015</v>
      </c>
      <c r="AG581" s="0" t="n">
        <f aca="false">W_PH(AG$2,$A581)</f>
        <v>2015</v>
      </c>
      <c r="AH581" s="0" t="n">
        <f aca="false">W_PH(AH$2,$A581)</f>
        <v>2015</v>
      </c>
      <c r="AI581" s="0" t="n">
        <f aca="false">W_PH(AI$2,$A581)</f>
        <v>2015</v>
      </c>
      <c r="AJ581" s="0" t="n">
        <f aca="false">W_PH(AJ$2,$A581)</f>
        <v>2015</v>
      </c>
      <c r="AK581" s="0" t="n">
        <f aca="false">W_PH(AK$2,$A581)</f>
        <v>2015</v>
      </c>
      <c r="AL581" s="0" t="n">
        <f aca="false">W_PH(AL$2,$A581)</f>
        <v>2015</v>
      </c>
      <c r="AM581" s="0" t="n">
        <f aca="false">W_PH(AM$2,$A581)</f>
        <v>2015</v>
      </c>
      <c r="AN581" s="0" t="n">
        <f aca="false">W_PH(AN$2,$A581)</f>
        <v>2015</v>
      </c>
      <c r="AO581" s="0" t="n">
        <f aca="false">W_PH(AO$2,$A581)</f>
        <v>2015</v>
      </c>
      <c r="AP581" s="0" t="n">
        <f aca="false">W_PH(AP$2,$A581)</f>
        <v>2015</v>
      </c>
      <c r="AQ581" s="0" t="n">
        <f aca="false">W_PH(AQ$2,$A581)</f>
        <v>2015</v>
      </c>
      <c r="AR581" s="0" t="n">
        <f aca="false">W_PH(AR$2,$A581)</f>
        <v>2015</v>
      </c>
      <c r="AS581" s="0" t="n">
        <f aca="false">W_PH(AS$2,$A581)</f>
        <v>2015</v>
      </c>
    </row>
    <row r="582" customFormat="false" ht="12.8" hidden="false" customHeight="false" outlineLevel="0" collapsed="false">
      <c r="A582" s="0" t="n">
        <v>3190.02579535684</v>
      </c>
      <c r="B582" s="0" t="n">
        <f aca="false">W_PH(B$2,$A582)</f>
        <v>2015</v>
      </c>
      <c r="C582" s="0" t="n">
        <f aca="false">W_PH(C$2,$A582)</f>
        <v>2015</v>
      </c>
      <c r="D582" s="0" t="n">
        <f aca="false">W_PH(D$2,$A582)</f>
        <v>2015</v>
      </c>
      <c r="E582" s="0" t="n">
        <f aca="false">W_PH(E$2,$A582)</f>
        <v>2015</v>
      </c>
      <c r="F582" s="0" t="n">
        <f aca="false">W_PH(F$2,$A582)</f>
        <v>2015</v>
      </c>
      <c r="G582" s="0" t="n">
        <f aca="false">W_PH(G$2,$A582)</f>
        <v>2015</v>
      </c>
      <c r="H582" s="0" t="n">
        <f aca="false">W_PH(H$2,$A582)</f>
        <v>2015</v>
      </c>
      <c r="I582" s="0" t="n">
        <f aca="false">W_PH(I$2,$A582)</f>
        <v>2015</v>
      </c>
      <c r="J582" s="0" t="n">
        <f aca="false">W_PH(J$2,$A582)</f>
        <v>2015</v>
      </c>
      <c r="K582" s="0" t="n">
        <f aca="false">W_PH(K$2,$A582)</f>
        <v>2015</v>
      </c>
      <c r="L582" s="0" t="n">
        <f aca="false">W_PH(L$2,$A582)</f>
        <v>2015</v>
      </c>
      <c r="M582" s="0" t="n">
        <f aca="false">W_PH(M$2,$A582)</f>
        <v>2015</v>
      </c>
      <c r="N582" s="0" t="n">
        <f aca="false">W_PH(N$2,$A582)</f>
        <v>2015</v>
      </c>
      <c r="O582" s="0" t="n">
        <f aca="false">W_PH(O$2,$A582)</f>
        <v>2015</v>
      </c>
      <c r="P582" s="0" t="n">
        <f aca="false">W_PH(P$2,$A582)</f>
        <v>2015</v>
      </c>
      <c r="Q582" s="0" t="n">
        <f aca="false">W_PH(Q$2,$A582)</f>
        <v>2015</v>
      </c>
      <c r="R582" s="0" t="n">
        <f aca="false">W_PH(R$2,$A582)</f>
        <v>2015</v>
      </c>
      <c r="S582" s="0" t="n">
        <f aca="false">W_PH(S$2,$A582)</f>
        <v>2015</v>
      </c>
      <c r="T582" s="0" t="n">
        <f aca="false">W_PH(T$2,$A582)</f>
        <v>2015</v>
      </c>
      <c r="U582" s="0" t="n">
        <f aca="false">W_PH(U$2,$A582)</f>
        <v>2015</v>
      </c>
      <c r="V582" s="0" t="n">
        <f aca="false">W_PH(V$2,$A582)</f>
        <v>2015</v>
      </c>
      <c r="W582" s="0" t="n">
        <f aca="false">W_PH(W$2,$A582)</f>
        <v>2015</v>
      </c>
      <c r="X582" s="0" t="n">
        <f aca="false">W_PH(X$2,$A582)</f>
        <v>2015</v>
      </c>
      <c r="Y582" s="0" t="n">
        <f aca="false">W_PH(Y$2,$A582)</f>
        <v>2015</v>
      </c>
      <c r="Z582" s="0" t="n">
        <f aca="false">W_PH(Z$2,$A582)</f>
        <v>2015</v>
      </c>
      <c r="AA582" s="0" t="n">
        <f aca="false">W_PH(AA$2,$A582)</f>
        <v>2015</v>
      </c>
      <c r="AB582" s="0" t="n">
        <f aca="false">W_PH(AB$2,$A582)</f>
        <v>2015</v>
      </c>
      <c r="AC582" s="0" t="n">
        <f aca="false">W_PH(AC$2,$A582)</f>
        <v>2015</v>
      </c>
      <c r="AD582" s="0" t="n">
        <f aca="false">W_PH(AD$2,$A582)</f>
        <v>2015</v>
      </c>
      <c r="AE582" s="0" t="n">
        <f aca="false">W_PH(AE$2,$A582)</f>
        <v>2015</v>
      </c>
      <c r="AF582" s="0" t="n">
        <f aca="false">W_PH(AF$2,$A582)</f>
        <v>2015</v>
      </c>
      <c r="AG582" s="0" t="n">
        <f aca="false">W_PH(AG$2,$A582)</f>
        <v>2015</v>
      </c>
      <c r="AH582" s="0" t="n">
        <f aca="false">W_PH(AH$2,$A582)</f>
        <v>2015</v>
      </c>
      <c r="AI582" s="0" t="n">
        <f aca="false">W_PH(AI$2,$A582)</f>
        <v>2015</v>
      </c>
      <c r="AJ582" s="0" t="n">
        <f aca="false">W_PH(AJ$2,$A582)</f>
        <v>2015</v>
      </c>
      <c r="AK582" s="0" t="n">
        <f aca="false">W_PH(AK$2,$A582)</f>
        <v>2015</v>
      </c>
      <c r="AL582" s="0" t="n">
        <f aca="false">W_PH(AL$2,$A582)</f>
        <v>2015</v>
      </c>
      <c r="AM582" s="0" t="n">
        <f aca="false">W_PH(AM$2,$A582)</f>
        <v>2015</v>
      </c>
      <c r="AN582" s="0" t="n">
        <f aca="false">W_PH(AN$2,$A582)</f>
        <v>2015</v>
      </c>
      <c r="AO582" s="0" t="n">
        <f aca="false">W_PH(AO$2,$A582)</f>
        <v>2015</v>
      </c>
      <c r="AP582" s="0" t="n">
        <f aca="false">W_PH(AP$2,$A582)</f>
        <v>2015</v>
      </c>
      <c r="AQ582" s="0" t="n">
        <f aca="false">W_PH(AQ$2,$A582)</f>
        <v>2015</v>
      </c>
      <c r="AR582" s="0" t="n">
        <f aca="false">W_PH(AR$2,$A582)</f>
        <v>2015</v>
      </c>
      <c r="AS582" s="0" t="n">
        <f aca="false">W_PH(AS$2,$A582)</f>
        <v>2015</v>
      </c>
    </row>
    <row r="583" customFormat="false" ht="12.8" hidden="false" customHeight="false" outlineLevel="0" collapsed="false">
      <c r="A583" s="0" t="n">
        <v>3194.32502149613</v>
      </c>
      <c r="B583" s="0" t="n">
        <f aca="false">W_PH(B$2,$A583)</f>
        <v>2015</v>
      </c>
      <c r="C583" s="0" t="n">
        <f aca="false">W_PH(C$2,$A583)</f>
        <v>2015</v>
      </c>
      <c r="D583" s="0" t="n">
        <f aca="false">W_PH(D$2,$A583)</f>
        <v>2015</v>
      </c>
      <c r="E583" s="0" t="n">
        <f aca="false">W_PH(E$2,$A583)</f>
        <v>2015</v>
      </c>
      <c r="F583" s="0" t="n">
        <f aca="false">W_PH(F$2,$A583)</f>
        <v>2015</v>
      </c>
      <c r="G583" s="0" t="n">
        <f aca="false">W_PH(G$2,$A583)</f>
        <v>2015</v>
      </c>
      <c r="H583" s="0" t="n">
        <f aca="false">W_PH(H$2,$A583)</f>
        <v>2015</v>
      </c>
      <c r="I583" s="0" t="n">
        <f aca="false">W_PH(I$2,$A583)</f>
        <v>2015</v>
      </c>
      <c r="J583" s="0" t="n">
        <f aca="false">W_PH(J$2,$A583)</f>
        <v>2015</v>
      </c>
      <c r="K583" s="0" t="n">
        <f aca="false">W_PH(K$2,$A583)</f>
        <v>2015</v>
      </c>
      <c r="L583" s="0" t="n">
        <f aca="false">W_PH(L$2,$A583)</f>
        <v>2015</v>
      </c>
      <c r="M583" s="0" t="n">
        <f aca="false">W_PH(M$2,$A583)</f>
        <v>2015</v>
      </c>
      <c r="N583" s="0" t="n">
        <f aca="false">W_PH(N$2,$A583)</f>
        <v>2015</v>
      </c>
      <c r="O583" s="0" t="n">
        <f aca="false">W_PH(O$2,$A583)</f>
        <v>2015</v>
      </c>
      <c r="P583" s="0" t="n">
        <f aca="false">W_PH(P$2,$A583)</f>
        <v>2015</v>
      </c>
      <c r="Q583" s="0" t="n">
        <f aca="false">W_PH(Q$2,$A583)</f>
        <v>2015</v>
      </c>
      <c r="R583" s="0" t="n">
        <f aca="false">W_PH(R$2,$A583)</f>
        <v>2015</v>
      </c>
      <c r="S583" s="0" t="n">
        <f aca="false">W_PH(S$2,$A583)</f>
        <v>2015</v>
      </c>
      <c r="T583" s="0" t="n">
        <f aca="false">W_PH(T$2,$A583)</f>
        <v>2015</v>
      </c>
      <c r="U583" s="0" t="n">
        <f aca="false">W_PH(U$2,$A583)</f>
        <v>2015</v>
      </c>
      <c r="V583" s="0" t="n">
        <f aca="false">W_PH(V$2,$A583)</f>
        <v>2015</v>
      </c>
      <c r="W583" s="0" t="n">
        <f aca="false">W_PH(W$2,$A583)</f>
        <v>2015</v>
      </c>
      <c r="X583" s="0" t="n">
        <f aca="false">W_PH(X$2,$A583)</f>
        <v>2015</v>
      </c>
      <c r="Y583" s="0" t="n">
        <f aca="false">W_PH(Y$2,$A583)</f>
        <v>2015</v>
      </c>
      <c r="Z583" s="0" t="n">
        <f aca="false">W_PH(Z$2,$A583)</f>
        <v>2015</v>
      </c>
      <c r="AA583" s="0" t="n">
        <f aca="false">W_PH(AA$2,$A583)</f>
        <v>2015</v>
      </c>
      <c r="AB583" s="0" t="n">
        <f aca="false">W_PH(AB$2,$A583)</f>
        <v>2015</v>
      </c>
      <c r="AC583" s="0" t="n">
        <f aca="false">W_PH(AC$2,$A583)</f>
        <v>2015</v>
      </c>
      <c r="AD583" s="0" t="n">
        <f aca="false">W_PH(AD$2,$A583)</f>
        <v>2015</v>
      </c>
      <c r="AE583" s="0" t="n">
        <f aca="false">W_PH(AE$2,$A583)</f>
        <v>2015</v>
      </c>
      <c r="AF583" s="0" t="n">
        <f aca="false">W_PH(AF$2,$A583)</f>
        <v>2015</v>
      </c>
      <c r="AG583" s="0" t="n">
        <f aca="false">W_PH(AG$2,$A583)</f>
        <v>2015</v>
      </c>
      <c r="AH583" s="0" t="n">
        <f aca="false">W_PH(AH$2,$A583)</f>
        <v>2015</v>
      </c>
      <c r="AI583" s="0" t="n">
        <f aca="false">W_PH(AI$2,$A583)</f>
        <v>2015</v>
      </c>
      <c r="AJ583" s="0" t="n">
        <f aca="false">W_PH(AJ$2,$A583)</f>
        <v>2015</v>
      </c>
      <c r="AK583" s="0" t="n">
        <f aca="false">W_PH(AK$2,$A583)</f>
        <v>2015</v>
      </c>
      <c r="AL583" s="0" t="n">
        <f aca="false">W_PH(AL$2,$A583)</f>
        <v>2015</v>
      </c>
      <c r="AM583" s="0" t="n">
        <f aca="false">W_PH(AM$2,$A583)</f>
        <v>2015</v>
      </c>
      <c r="AN583" s="0" t="n">
        <f aca="false">W_PH(AN$2,$A583)</f>
        <v>2015</v>
      </c>
      <c r="AO583" s="0" t="n">
        <f aca="false">W_PH(AO$2,$A583)</f>
        <v>2015</v>
      </c>
      <c r="AP583" s="0" t="n">
        <f aca="false">W_PH(AP$2,$A583)</f>
        <v>2015</v>
      </c>
      <c r="AQ583" s="0" t="n">
        <f aca="false">W_PH(AQ$2,$A583)</f>
        <v>2015</v>
      </c>
      <c r="AR583" s="0" t="n">
        <f aca="false">W_PH(AR$2,$A583)</f>
        <v>2015</v>
      </c>
      <c r="AS583" s="0" t="n">
        <f aca="false">W_PH(AS$2,$A583)</f>
        <v>2015</v>
      </c>
    </row>
    <row r="584" customFormat="false" ht="12.8" hidden="false" customHeight="false" outlineLevel="0" collapsed="false">
      <c r="A584" s="0" t="n">
        <v>3198.62424763543</v>
      </c>
      <c r="B584" s="0" t="n">
        <f aca="false">W_PH(B$2,$A584)</f>
        <v>2015</v>
      </c>
      <c r="C584" s="0" t="n">
        <f aca="false">W_PH(C$2,$A584)</f>
        <v>2015</v>
      </c>
      <c r="D584" s="0" t="n">
        <f aca="false">W_PH(D$2,$A584)</f>
        <v>2015</v>
      </c>
      <c r="E584" s="0" t="n">
        <f aca="false">W_PH(E$2,$A584)</f>
        <v>2015</v>
      </c>
      <c r="F584" s="0" t="n">
        <f aca="false">W_PH(F$2,$A584)</f>
        <v>2015</v>
      </c>
      <c r="G584" s="0" t="n">
        <f aca="false">W_PH(G$2,$A584)</f>
        <v>2015</v>
      </c>
      <c r="H584" s="0" t="n">
        <f aca="false">W_PH(H$2,$A584)</f>
        <v>2015</v>
      </c>
      <c r="I584" s="0" t="n">
        <f aca="false">W_PH(I$2,$A584)</f>
        <v>2015</v>
      </c>
      <c r="J584" s="0" t="n">
        <f aca="false">W_PH(J$2,$A584)</f>
        <v>2015</v>
      </c>
      <c r="K584" s="0" t="n">
        <f aca="false">W_PH(K$2,$A584)</f>
        <v>2015</v>
      </c>
      <c r="L584" s="0" t="n">
        <f aca="false">W_PH(L$2,$A584)</f>
        <v>2015</v>
      </c>
      <c r="M584" s="0" t="n">
        <f aca="false">W_PH(M$2,$A584)</f>
        <v>2015</v>
      </c>
      <c r="N584" s="0" t="n">
        <f aca="false">W_PH(N$2,$A584)</f>
        <v>2015</v>
      </c>
      <c r="O584" s="0" t="n">
        <f aca="false">W_PH(O$2,$A584)</f>
        <v>2015</v>
      </c>
      <c r="P584" s="0" t="n">
        <f aca="false">W_PH(P$2,$A584)</f>
        <v>2015</v>
      </c>
      <c r="Q584" s="0" t="n">
        <f aca="false">W_PH(Q$2,$A584)</f>
        <v>2015</v>
      </c>
      <c r="R584" s="0" t="n">
        <f aca="false">W_PH(R$2,$A584)</f>
        <v>2015</v>
      </c>
      <c r="S584" s="0" t="n">
        <f aca="false">W_PH(S$2,$A584)</f>
        <v>2015</v>
      </c>
      <c r="T584" s="0" t="n">
        <f aca="false">W_PH(T$2,$A584)</f>
        <v>2015</v>
      </c>
      <c r="U584" s="0" t="n">
        <f aca="false">W_PH(U$2,$A584)</f>
        <v>2015</v>
      </c>
      <c r="V584" s="0" t="n">
        <f aca="false">W_PH(V$2,$A584)</f>
        <v>2015</v>
      </c>
      <c r="W584" s="0" t="n">
        <f aca="false">W_PH(W$2,$A584)</f>
        <v>2015</v>
      </c>
      <c r="X584" s="0" t="n">
        <f aca="false">W_PH(X$2,$A584)</f>
        <v>2015</v>
      </c>
      <c r="Y584" s="0" t="n">
        <f aca="false">W_PH(Y$2,$A584)</f>
        <v>2015</v>
      </c>
      <c r="Z584" s="0" t="n">
        <f aca="false">W_PH(Z$2,$A584)</f>
        <v>2015</v>
      </c>
      <c r="AA584" s="0" t="n">
        <f aca="false">W_PH(AA$2,$A584)</f>
        <v>2015</v>
      </c>
      <c r="AB584" s="0" t="n">
        <f aca="false">W_PH(AB$2,$A584)</f>
        <v>2015</v>
      </c>
      <c r="AC584" s="0" t="n">
        <f aca="false">W_PH(AC$2,$A584)</f>
        <v>2015</v>
      </c>
      <c r="AD584" s="0" t="n">
        <f aca="false">W_PH(AD$2,$A584)</f>
        <v>2015</v>
      </c>
      <c r="AE584" s="0" t="n">
        <f aca="false">W_PH(AE$2,$A584)</f>
        <v>2015</v>
      </c>
      <c r="AF584" s="0" t="n">
        <f aca="false">W_PH(AF$2,$A584)</f>
        <v>2015</v>
      </c>
      <c r="AG584" s="0" t="n">
        <f aca="false">W_PH(AG$2,$A584)</f>
        <v>2015</v>
      </c>
      <c r="AH584" s="0" t="n">
        <f aca="false">W_PH(AH$2,$A584)</f>
        <v>2015</v>
      </c>
      <c r="AI584" s="0" t="n">
        <f aca="false">W_PH(AI$2,$A584)</f>
        <v>2015</v>
      </c>
      <c r="AJ584" s="0" t="n">
        <f aca="false">W_PH(AJ$2,$A584)</f>
        <v>2015</v>
      </c>
      <c r="AK584" s="0" t="n">
        <f aca="false">W_PH(AK$2,$A584)</f>
        <v>2015</v>
      </c>
      <c r="AL584" s="0" t="n">
        <f aca="false">W_PH(AL$2,$A584)</f>
        <v>2015</v>
      </c>
      <c r="AM584" s="0" t="n">
        <f aca="false">W_PH(AM$2,$A584)</f>
        <v>2015</v>
      </c>
      <c r="AN584" s="0" t="n">
        <f aca="false">W_PH(AN$2,$A584)</f>
        <v>2015</v>
      </c>
      <c r="AO584" s="0" t="n">
        <f aca="false">W_PH(AO$2,$A584)</f>
        <v>2015</v>
      </c>
      <c r="AP584" s="0" t="n">
        <f aca="false">W_PH(AP$2,$A584)</f>
        <v>2015</v>
      </c>
      <c r="AQ584" s="0" t="n">
        <f aca="false">W_PH(AQ$2,$A584)</f>
        <v>2015</v>
      </c>
      <c r="AR584" s="0" t="n">
        <f aca="false">W_PH(AR$2,$A584)</f>
        <v>2015</v>
      </c>
      <c r="AS584" s="0" t="n">
        <f aca="false">W_PH(AS$2,$A584)</f>
        <v>2015</v>
      </c>
    </row>
    <row r="585" customFormat="false" ht="12.8" hidden="false" customHeight="false" outlineLevel="0" collapsed="false">
      <c r="A585" s="0" t="n">
        <v>3202.92347377472</v>
      </c>
      <c r="B585" s="0" t="n">
        <f aca="false">W_PH(B$2,$A585)</f>
        <v>2015</v>
      </c>
      <c r="C585" s="0" t="n">
        <f aca="false">W_PH(C$2,$A585)</f>
        <v>2015</v>
      </c>
      <c r="D585" s="0" t="n">
        <f aca="false">W_PH(D$2,$A585)</f>
        <v>2015</v>
      </c>
      <c r="E585" s="0" t="n">
        <f aca="false">W_PH(E$2,$A585)</f>
        <v>2015</v>
      </c>
      <c r="F585" s="0" t="n">
        <f aca="false">W_PH(F$2,$A585)</f>
        <v>2015</v>
      </c>
      <c r="G585" s="0" t="n">
        <f aca="false">W_PH(G$2,$A585)</f>
        <v>2015</v>
      </c>
      <c r="H585" s="0" t="n">
        <f aca="false">W_PH(H$2,$A585)</f>
        <v>2015</v>
      </c>
      <c r="I585" s="0" t="n">
        <f aca="false">W_PH(I$2,$A585)</f>
        <v>2015</v>
      </c>
      <c r="J585" s="0" t="n">
        <f aca="false">W_PH(J$2,$A585)</f>
        <v>2015</v>
      </c>
      <c r="K585" s="0" t="n">
        <f aca="false">W_PH(K$2,$A585)</f>
        <v>2015</v>
      </c>
      <c r="L585" s="0" t="n">
        <f aca="false">W_PH(L$2,$A585)</f>
        <v>2015</v>
      </c>
      <c r="M585" s="0" t="n">
        <f aca="false">W_PH(M$2,$A585)</f>
        <v>2015</v>
      </c>
      <c r="N585" s="0" t="n">
        <f aca="false">W_PH(N$2,$A585)</f>
        <v>2015</v>
      </c>
      <c r="O585" s="0" t="n">
        <f aca="false">W_PH(O$2,$A585)</f>
        <v>2015</v>
      </c>
      <c r="P585" s="0" t="n">
        <f aca="false">W_PH(P$2,$A585)</f>
        <v>2015</v>
      </c>
      <c r="Q585" s="0" t="n">
        <f aca="false">W_PH(Q$2,$A585)</f>
        <v>2015</v>
      </c>
      <c r="R585" s="0" t="n">
        <f aca="false">W_PH(R$2,$A585)</f>
        <v>2015</v>
      </c>
      <c r="S585" s="0" t="n">
        <f aca="false">W_PH(S$2,$A585)</f>
        <v>2015</v>
      </c>
      <c r="T585" s="0" t="n">
        <f aca="false">W_PH(T$2,$A585)</f>
        <v>2015</v>
      </c>
      <c r="U585" s="0" t="n">
        <f aca="false">W_PH(U$2,$A585)</f>
        <v>2015</v>
      </c>
      <c r="V585" s="0" t="n">
        <f aca="false">W_PH(V$2,$A585)</f>
        <v>2015</v>
      </c>
      <c r="W585" s="0" t="n">
        <f aca="false">W_PH(W$2,$A585)</f>
        <v>2015</v>
      </c>
      <c r="X585" s="0" t="n">
        <f aca="false">W_PH(X$2,$A585)</f>
        <v>2015</v>
      </c>
      <c r="Y585" s="0" t="n">
        <f aca="false">W_PH(Y$2,$A585)</f>
        <v>2015</v>
      </c>
      <c r="Z585" s="0" t="n">
        <f aca="false">W_PH(Z$2,$A585)</f>
        <v>2015</v>
      </c>
      <c r="AA585" s="0" t="n">
        <f aca="false">W_PH(AA$2,$A585)</f>
        <v>2015</v>
      </c>
      <c r="AB585" s="0" t="n">
        <f aca="false">W_PH(AB$2,$A585)</f>
        <v>2015</v>
      </c>
      <c r="AC585" s="0" t="n">
        <f aca="false">W_PH(AC$2,$A585)</f>
        <v>2015</v>
      </c>
      <c r="AD585" s="0" t="n">
        <f aca="false">W_PH(AD$2,$A585)</f>
        <v>2015</v>
      </c>
      <c r="AE585" s="0" t="n">
        <f aca="false">W_PH(AE$2,$A585)</f>
        <v>2015</v>
      </c>
      <c r="AF585" s="0" t="n">
        <f aca="false">W_PH(AF$2,$A585)</f>
        <v>2015</v>
      </c>
      <c r="AG585" s="0" t="n">
        <f aca="false">W_PH(AG$2,$A585)</f>
        <v>2015</v>
      </c>
      <c r="AH585" s="0" t="n">
        <f aca="false">W_PH(AH$2,$A585)</f>
        <v>2015</v>
      </c>
      <c r="AI585" s="0" t="n">
        <f aca="false">W_PH(AI$2,$A585)</f>
        <v>2015</v>
      </c>
      <c r="AJ585" s="0" t="n">
        <f aca="false">W_PH(AJ$2,$A585)</f>
        <v>2015</v>
      </c>
      <c r="AK585" s="0" t="n">
        <f aca="false">W_PH(AK$2,$A585)</f>
        <v>2015</v>
      </c>
      <c r="AL585" s="0" t="n">
        <f aca="false">W_PH(AL$2,$A585)</f>
        <v>2015</v>
      </c>
      <c r="AM585" s="0" t="n">
        <f aca="false">W_PH(AM$2,$A585)</f>
        <v>2015</v>
      </c>
      <c r="AN585" s="0" t="n">
        <f aca="false">W_PH(AN$2,$A585)</f>
        <v>2015</v>
      </c>
      <c r="AO585" s="0" t="n">
        <f aca="false">W_PH(AO$2,$A585)</f>
        <v>2015</v>
      </c>
      <c r="AP585" s="0" t="n">
        <f aca="false">W_PH(AP$2,$A585)</f>
        <v>2015</v>
      </c>
      <c r="AQ585" s="0" t="n">
        <f aca="false">W_PH(AQ$2,$A585)</f>
        <v>2015</v>
      </c>
      <c r="AR585" s="0" t="n">
        <f aca="false">W_PH(AR$2,$A585)</f>
        <v>2015</v>
      </c>
      <c r="AS585" s="0" t="n">
        <f aca="false">W_PH(AS$2,$A585)</f>
        <v>2015</v>
      </c>
    </row>
    <row r="586" customFormat="false" ht="12.8" hidden="false" customHeight="false" outlineLevel="0" collapsed="false">
      <c r="A586" s="0" t="n">
        <v>3207.22269991402</v>
      </c>
      <c r="B586" s="0" t="n">
        <f aca="false">W_PH(B$2,$A586)</f>
        <v>2015</v>
      </c>
      <c r="C586" s="0" t="n">
        <f aca="false">W_PH(C$2,$A586)</f>
        <v>2015</v>
      </c>
      <c r="D586" s="0" t="n">
        <f aca="false">W_PH(D$2,$A586)</f>
        <v>2015</v>
      </c>
      <c r="E586" s="0" t="n">
        <f aca="false">W_PH(E$2,$A586)</f>
        <v>2015</v>
      </c>
      <c r="F586" s="0" t="n">
        <f aca="false">W_PH(F$2,$A586)</f>
        <v>2015</v>
      </c>
      <c r="G586" s="0" t="n">
        <f aca="false">W_PH(G$2,$A586)</f>
        <v>2015</v>
      </c>
      <c r="H586" s="0" t="n">
        <f aca="false">W_PH(H$2,$A586)</f>
        <v>2015</v>
      </c>
      <c r="I586" s="0" t="n">
        <f aca="false">W_PH(I$2,$A586)</f>
        <v>2015</v>
      </c>
      <c r="J586" s="0" t="n">
        <f aca="false">W_PH(J$2,$A586)</f>
        <v>2015</v>
      </c>
      <c r="K586" s="0" t="n">
        <f aca="false">W_PH(K$2,$A586)</f>
        <v>2015</v>
      </c>
      <c r="L586" s="0" t="n">
        <f aca="false">W_PH(L$2,$A586)</f>
        <v>2015</v>
      </c>
      <c r="M586" s="0" t="n">
        <f aca="false">W_PH(M$2,$A586)</f>
        <v>2015</v>
      </c>
      <c r="N586" s="0" t="n">
        <f aca="false">W_PH(N$2,$A586)</f>
        <v>2015</v>
      </c>
      <c r="O586" s="0" t="n">
        <f aca="false">W_PH(O$2,$A586)</f>
        <v>2015</v>
      </c>
      <c r="P586" s="0" t="n">
        <f aca="false">W_PH(P$2,$A586)</f>
        <v>2015</v>
      </c>
      <c r="Q586" s="0" t="n">
        <f aca="false">W_PH(Q$2,$A586)</f>
        <v>2015</v>
      </c>
      <c r="R586" s="0" t="n">
        <f aca="false">W_PH(R$2,$A586)</f>
        <v>2015</v>
      </c>
      <c r="S586" s="0" t="n">
        <f aca="false">W_PH(S$2,$A586)</f>
        <v>2015</v>
      </c>
      <c r="T586" s="0" t="n">
        <f aca="false">W_PH(T$2,$A586)</f>
        <v>2015</v>
      </c>
      <c r="U586" s="0" t="n">
        <f aca="false">W_PH(U$2,$A586)</f>
        <v>2015</v>
      </c>
      <c r="V586" s="0" t="n">
        <f aca="false">W_PH(V$2,$A586)</f>
        <v>2015</v>
      </c>
      <c r="W586" s="0" t="n">
        <f aca="false">W_PH(W$2,$A586)</f>
        <v>2015</v>
      </c>
      <c r="X586" s="0" t="n">
        <f aca="false">W_PH(X$2,$A586)</f>
        <v>2015</v>
      </c>
      <c r="Y586" s="0" t="n">
        <f aca="false">W_PH(Y$2,$A586)</f>
        <v>2015</v>
      </c>
      <c r="Z586" s="0" t="n">
        <f aca="false">W_PH(Z$2,$A586)</f>
        <v>2015</v>
      </c>
      <c r="AA586" s="0" t="n">
        <f aca="false">W_PH(AA$2,$A586)</f>
        <v>2015</v>
      </c>
      <c r="AB586" s="0" t="n">
        <f aca="false">W_PH(AB$2,$A586)</f>
        <v>2015</v>
      </c>
      <c r="AC586" s="0" t="n">
        <f aca="false">W_PH(AC$2,$A586)</f>
        <v>2015</v>
      </c>
      <c r="AD586" s="0" t="n">
        <f aca="false">W_PH(AD$2,$A586)</f>
        <v>2015</v>
      </c>
      <c r="AE586" s="0" t="n">
        <f aca="false">W_PH(AE$2,$A586)</f>
        <v>2015</v>
      </c>
      <c r="AF586" s="0" t="n">
        <f aca="false">W_PH(AF$2,$A586)</f>
        <v>2015</v>
      </c>
      <c r="AG586" s="0" t="n">
        <f aca="false">W_PH(AG$2,$A586)</f>
        <v>2015</v>
      </c>
      <c r="AH586" s="0" t="n">
        <f aca="false">W_PH(AH$2,$A586)</f>
        <v>2015</v>
      </c>
      <c r="AI586" s="0" t="n">
        <f aca="false">W_PH(AI$2,$A586)</f>
        <v>2015</v>
      </c>
      <c r="AJ586" s="0" t="n">
        <f aca="false">W_PH(AJ$2,$A586)</f>
        <v>2015</v>
      </c>
      <c r="AK586" s="0" t="n">
        <f aca="false">W_PH(AK$2,$A586)</f>
        <v>2015</v>
      </c>
      <c r="AL586" s="0" t="n">
        <f aca="false">W_PH(AL$2,$A586)</f>
        <v>2015</v>
      </c>
      <c r="AM586" s="0" t="n">
        <f aca="false">W_PH(AM$2,$A586)</f>
        <v>2015</v>
      </c>
      <c r="AN586" s="0" t="n">
        <f aca="false">W_PH(AN$2,$A586)</f>
        <v>2015</v>
      </c>
      <c r="AO586" s="0" t="n">
        <f aca="false">W_PH(AO$2,$A586)</f>
        <v>2015</v>
      </c>
      <c r="AP586" s="0" t="n">
        <f aca="false">W_PH(AP$2,$A586)</f>
        <v>2015</v>
      </c>
      <c r="AQ586" s="0" t="n">
        <f aca="false">W_PH(AQ$2,$A586)</f>
        <v>2015</v>
      </c>
      <c r="AR586" s="0" t="n">
        <f aca="false">W_PH(AR$2,$A586)</f>
        <v>2015</v>
      </c>
      <c r="AS586" s="0" t="n">
        <f aca="false">W_PH(AS$2,$A586)</f>
        <v>2015</v>
      </c>
    </row>
    <row r="587" customFormat="false" ht="12.8" hidden="false" customHeight="false" outlineLevel="0" collapsed="false">
      <c r="A587" s="0" t="n">
        <v>3211.52192605331</v>
      </c>
      <c r="B587" s="0" t="n">
        <f aca="false">W_PH(B$2,$A587)</f>
        <v>2015</v>
      </c>
      <c r="C587" s="0" t="n">
        <f aca="false">W_PH(C$2,$A587)</f>
        <v>2015</v>
      </c>
      <c r="D587" s="0" t="n">
        <f aca="false">W_PH(D$2,$A587)</f>
        <v>2015</v>
      </c>
      <c r="E587" s="0" t="n">
        <f aca="false">W_PH(E$2,$A587)</f>
        <v>2015</v>
      </c>
      <c r="F587" s="0" t="n">
        <f aca="false">W_PH(F$2,$A587)</f>
        <v>2015</v>
      </c>
      <c r="G587" s="0" t="n">
        <f aca="false">W_PH(G$2,$A587)</f>
        <v>2015</v>
      </c>
      <c r="H587" s="0" t="n">
        <f aca="false">W_PH(H$2,$A587)</f>
        <v>2015</v>
      </c>
      <c r="I587" s="0" t="n">
        <f aca="false">W_PH(I$2,$A587)</f>
        <v>2015</v>
      </c>
      <c r="J587" s="0" t="n">
        <f aca="false">W_PH(J$2,$A587)</f>
        <v>2015</v>
      </c>
      <c r="K587" s="0" t="n">
        <f aca="false">W_PH(K$2,$A587)</f>
        <v>2015</v>
      </c>
      <c r="L587" s="0" t="n">
        <f aca="false">W_PH(L$2,$A587)</f>
        <v>2015</v>
      </c>
      <c r="M587" s="0" t="n">
        <f aca="false">W_PH(M$2,$A587)</f>
        <v>2015</v>
      </c>
      <c r="N587" s="0" t="n">
        <f aca="false">W_PH(N$2,$A587)</f>
        <v>2015</v>
      </c>
      <c r="O587" s="0" t="n">
        <f aca="false">W_PH(O$2,$A587)</f>
        <v>2015</v>
      </c>
      <c r="P587" s="0" t="n">
        <f aca="false">W_PH(P$2,$A587)</f>
        <v>2015</v>
      </c>
      <c r="Q587" s="0" t="n">
        <f aca="false">W_PH(Q$2,$A587)</f>
        <v>2015</v>
      </c>
      <c r="R587" s="0" t="n">
        <f aca="false">W_PH(R$2,$A587)</f>
        <v>2015</v>
      </c>
      <c r="S587" s="0" t="n">
        <f aca="false">W_PH(S$2,$A587)</f>
        <v>2015</v>
      </c>
      <c r="T587" s="0" t="n">
        <f aca="false">W_PH(T$2,$A587)</f>
        <v>2015</v>
      </c>
      <c r="U587" s="0" t="n">
        <f aca="false">W_PH(U$2,$A587)</f>
        <v>2015</v>
      </c>
      <c r="V587" s="0" t="n">
        <f aca="false">W_PH(V$2,$A587)</f>
        <v>2015</v>
      </c>
      <c r="W587" s="0" t="n">
        <f aca="false">W_PH(W$2,$A587)</f>
        <v>2015</v>
      </c>
      <c r="X587" s="0" t="n">
        <f aca="false">W_PH(X$2,$A587)</f>
        <v>2015</v>
      </c>
      <c r="Y587" s="0" t="n">
        <f aca="false">W_PH(Y$2,$A587)</f>
        <v>2015</v>
      </c>
      <c r="Z587" s="0" t="n">
        <f aca="false">W_PH(Z$2,$A587)</f>
        <v>2015</v>
      </c>
      <c r="AA587" s="0" t="n">
        <f aca="false">W_PH(AA$2,$A587)</f>
        <v>2015</v>
      </c>
      <c r="AB587" s="0" t="n">
        <f aca="false">W_PH(AB$2,$A587)</f>
        <v>2015</v>
      </c>
      <c r="AC587" s="0" t="n">
        <f aca="false">W_PH(AC$2,$A587)</f>
        <v>2015</v>
      </c>
      <c r="AD587" s="0" t="n">
        <f aca="false">W_PH(AD$2,$A587)</f>
        <v>2015</v>
      </c>
      <c r="AE587" s="0" t="n">
        <f aca="false">W_PH(AE$2,$A587)</f>
        <v>2015</v>
      </c>
      <c r="AF587" s="0" t="n">
        <f aca="false">W_PH(AF$2,$A587)</f>
        <v>2015</v>
      </c>
      <c r="AG587" s="0" t="n">
        <f aca="false">W_PH(AG$2,$A587)</f>
        <v>2015</v>
      </c>
      <c r="AH587" s="0" t="n">
        <f aca="false">W_PH(AH$2,$A587)</f>
        <v>2015</v>
      </c>
      <c r="AI587" s="0" t="n">
        <f aca="false">W_PH(AI$2,$A587)</f>
        <v>2015</v>
      </c>
      <c r="AJ587" s="0" t="n">
        <f aca="false">W_PH(AJ$2,$A587)</f>
        <v>2015</v>
      </c>
      <c r="AK587" s="0" t="n">
        <f aca="false">W_PH(AK$2,$A587)</f>
        <v>2015</v>
      </c>
      <c r="AL587" s="0" t="n">
        <f aca="false">W_PH(AL$2,$A587)</f>
        <v>2015</v>
      </c>
      <c r="AM587" s="0" t="n">
        <f aca="false">W_PH(AM$2,$A587)</f>
        <v>2015</v>
      </c>
      <c r="AN587" s="0" t="n">
        <f aca="false">W_PH(AN$2,$A587)</f>
        <v>2015</v>
      </c>
      <c r="AO587" s="0" t="n">
        <f aca="false">W_PH(AO$2,$A587)</f>
        <v>2015</v>
      </c>
      <c r="AP587" s="0" t="n">
        <f aca="false">W_PH(AP$2,$A587)</f>
        <v>2015</v>
      </c>
      <c r="AQ587" s="0" t="n">
        <f aca="false">W_PH(AQ$2,$A587)</f>
        <v>2015</v>
      </c>
      <c r="AR587" s="0" t="n">
        <f aca="false">W_PH(AR$2,$A587)</f>
        <v>2015</v>
      </c>
      <c r="AS587" s="0" t="n">
        <f aca="false">W_PH(AS$2,$A587)</f>
        <v>2015</v>
      </c>
    </row>
    <row r="588" customFormat="false" ht="12.8" hidden="false" customHeight="false" outlineLevel="0" collapsed="false">
      <c r="A588" s="0" t="n">
        <v>3215.82115219261</v>
      </c>
      <c r="B588" s="0" t="n">
        <f aca="false">W_PH(B$2,$A588)</f>
        <v>2015</v>
      </c>
      <c r="C588" s="0" t="n">
        <f aca="false">W_PH(C$2,$A588)</f>
        <v>2015</v>
      </c>
      <c r="D588" s="0" t="n">
        <f aca="false">W_PH(D$2,$A588)</f>
        <v>2015</v>
      </c>
      <c r="E588" s="0" t="n">
        <f aca="false">W_PH(E$2,$A588)</f>
        <v>2015</v>
      </c>
      <c r="F588" s="0" t="n">
        <f aca="false">W_PH(F$2,$A588)</f>
        <v>2015</v>
      </c>
      <c r="G588" s="0" t="n">
        <f aca="false">W_PH(G$2,$A588)</f>
        <v>2015</v>
      </c>
      <c r="H588" s="0" t="n">
        <f aca="false">W_PH(H$2,$A588)</f>
        <v>2015</v>
      </c>
      <c r="I588" s="0" t="n">
        <f aca="false">W_PH(I$2,$A588)</f>
        <v>2015</v>
      </c>
      <c r="J588" s="0" t="n">
        <f aca="false">W_PH(J$2,$A588)</f>
        <v>2015</v>
      </c>
      <c r="K588" s="0" t="n">
        <f aca="false">W_PH(K$2,$A588)</f>
        <v>2015</v>
      </c>
      <c r="L588" s="0" t="n">
        <f aca="false">W_PH(L$2,$A588)</f>
        <v>2015</v>
      </c>
      <c r="M588" s="0" t="n">
        <f aca="false">W_PH(M$2,$A588)</f>
        <v>2015</v>
      </c>
      <c r="N588" s="0" t="n">
        <f aca="false">W_PH(N$2,$A588)</f>
        <v>2015</v>
      </c>
      <c r="O588" s="0" t="n">
        <f aca="false">W_PH(O$2,$A588)</f>
        <v>2015</v>
      </c>
      <c r="P588" s="0" t="n">
        <f aca="false">W_PH(P$2,$A588)</f>
        <v>2015</v>
      </c>
      <c r="Q588" s="0" t="n">
        <f aca="false">W_PH(Q$2,$A588)</f>
        <v>2015</v>
      </c>
      <c r="R588" s="0" t="n">
        <f aca="false">W_PH(R$2,$A588)</f>
        <v>2015</v>
      </c>
      <c r="S588" s="0" t="n">
        <f aca="false">W_PH(S$2,$A588)</f>
        <v>2015</v>
      </c>
      <c r="T588" s="0" t="n">
        <f aca="false">W_PH(T$2,$A588)</f>
        <v>2015</v>
      </c>
      <c r="U588" s="0" t="n">
        <f aca="false">W_PH(U$2,$A588)</f>
        <v>2015</v>
      </c>
      <c r="V588" s="0" t="n">
        <f aca="false">W_PH(V$2,$A588)</f>
        <v>2015</v>
      </c>
      <c r="W588" s="0" t="n">
        <f aca="false">W_PH(W$2,$A588)</f>
        <v>2015</v>
      </c>
      <c r="X588" s="0" t="n">
        <f aca="false">W_PH(X$2,$A588)</f>
        <v>2015</v>
      </c>
      <c r="Y588" s="0" t="n">
        <f aca="false">W_PH(Y$2,$A588)</f>
        <v>2015</v>
      </c>
      <c r="Z588" s="0" t="n">
        <f aca="false">W_PH(Z$2,$A588)</f>
        <v>2015</v>
      </c>
      <c r="AA588" s="0" t="n">
        <f aca="false">W_PH(AA$2,$A588)</f>
        <v>2015</v>
      </c>
      <c r="AB588" s="0" t="n">
        <f aca="false">W_PH(AB$2,$A588)</f>
        <v>2015</v>
      </c>
      <c r="AC588" s="0" t="n">
        <f aca="false">W_PH(AC$2,$A588)</f>
        <v>2015</v>
      </c>
      <c r="AD588" s="0" t="n">
        <f aca="false">W_PH(AD$2,$A588)</f>
        <v>2015</v>
      </c>
      <c r="AE588" s="0" t="n">
        <f aca="false">W_PH(AE$2,$A588)</f>
        <v>2015</v>
      </c>
      <c r="AF588" s="0" t="n">
        <f aca="false">W_PH(AF$2,$A588)</f>
        <v>2015</v>
      </c>
      <c r="AG588" s="0" t="n">
        <f aca="false">W_PH(AG$2,$A588)</f>
        <v>2015</v>
      </c>
      <c r="AH588" s="0" t="n">
        <f aca="false">W_PH(AH$2,$A588)</f>
        <v>2015</v>
      </c>
      <c r="AI588" s="0" t="n">
        <f aca="false">W_PH(AI$2,$A588)</f>
        <v>2015</v>
      </c>
      <c r="AJ588" s="0" t="n">
        <f aca="false">W_PH(AJ$2,$A588)</f>
        <v>2015</v>
      </c>
      <c r="AK588" s="0" t="n">
        <f aca="false">W_PH(AK$2,$A588)</f>
        <v>2015</v>
      </c>
      <c r="AL588" s="0" t="n">
        <f aca="false">W_PH(AL$2,$A588)</f>
        <v>2015</v>
      </c>
      <c r="AM588" s="0" t="n">
        <f aca="false">W_PH(AM$2,$A588)</f>
        <v>2015</v>
      </c>
      <c r="AN588" s="0" t="n">
        <f aca="false">W_PH(AN$2,$A588)</f>
        <v>2015</v>
      </c>
      <c r="AO588" s="0" t="n">
        <f aca="false">W_PH(AO$2,$A588)</f>
        <v>2015</v>
      </c>
      <c r="AP588" s="0" t="n">
        <f aca="false">W_PH(AP$2,$A588)</f>
        <v>2015</v>
      </c>
      <c r="AQ588" s="0" t="n">
        <f aca="false">W_PH(AQ$2,$A588)</f>
        <v>2015</v>
      </c>
      <c r="AR588" s="0" t="n">
        <f aca="false">W_PH(AR$2,$A588)</f>
        <v>2015</v>
      </c>
      <c r="AS588" s="0" t="n">
        <f aca="false">W_PH(AS$2,$A588)</f>
        <v>2015</v>
      </c>
    </row>
    <row r="589" customFormat="false" ht="12.8" hidden="false" customHeight="false" outlineLevel="0" collapsed="false">
      <c r="A589" s="0" t="n">
        <v>3220.1203783319</v>
      </c>
      <c r="B589" s="0" t="n">
        <f aca="false">W_PH(B$2,$A589)</f>
        <v>2015</v>
      </c>
      <c r="C589" s="0" t="n">
        <f aca="false">W_PH(C$2,$A589)</f>
        <v>2015</v>
      </c>
      <c r="D589" s="0" t="n">
        <f aca="false">W_PH(D$2,$A589)</f>
        <v>2015</v>
      </c>
      <c r="E589" s="0" t="n">
        <f aca="false">W_PH(E$2,$A589)</f>
        <v>2015</v>
      </c>
      <c r="F589" s="0" t="n">
        <f aca="false">W_PH(F$2,$A589)</f>
        <v>2015</v>
      </c>
      <c r="G589" s="0" t="n">
        <f aca="false">W_PH(G$2,$A589)</f>
        <v>2015</v>
      </c>
      <c r="H589" s="0" t="n">
        <f aca="false">W_PH(H$2,$A589)</f>
        <v>2015</v>
      </c>
      <c r="I589" s="0" t="n">
        <f aca="false">W_PH(I$2,$A589)</f>
        <v>2015</v>
      </c>
      <c r="J589" s="0" t="n">
        <f aca="false">W_PH(J$2,$A589)</f>
        <v>2015</v>
      </c>
      <c r="K589" s="0" t="n">
        <f aca="false">W_PH(K$2,$A589)</f>
        <v>2015</v>
      </c>
      <c r="L589" s="0" t="n">
        <f aca="false">W_PH(L$2,$A589)</f>
        <v>2015</v>
      </c>
      <c r="M589" s="0" t="n">
        <f aca="false">W_PH(M$2,$A589)</f>
        <v>2015</v>
      </c>
      <c r="N589" s="0" t="n">
        <f aca="false">W_PH(N$2,$A589)</f>
        <v>2015</v>
      </c>
      <c r="O589" s="0" t="n">
        <f aca="false">W_PH(O$2,$A589)</f>
        <v>2015</v>
      </c>
      <c r="P589" s="0" t="n">
        <f aca="false">W_PH(P$2,$A589)</f>
        <v>2015</v>
      </c>
      <c r="Q589" s="0" t="n">
        <f aca="false">W_PH(Q$2,$A589)</f>
        <v>2015</v>
      </c>
      <c r="R589" s="0" t="n">
        <f aca="false">W_PH(R$2,$A589)</f>
        <v>2015</v>
      </c>
      <c r="S589" s="0" t="n">
        <f aca="false">W_PH(S$2,$A589)</f>
        <v>2015</v>
      </c>
      <c r="T589" s="0" t="n">
        <f aca="false">W_PH(T$2,$A589)</f>
        <v>2015</v>
      </c>
      <c r="U589" s="0" t="n">
        <f aca="false">W_PH(U$2,$A589)</f>
        <v>2015</v>
      </c>
      <c r="V589" s="0" t="n">
        <f aca="false">W_PH(V$2,$A589)</f>
        <v>2015</v>
      </c>
      <c r="W589" s="0" t="n">
        <f aca="false">W_PH(W$2,$A589)</f>
        <v>2015</v>
      </c>
      <c r="X589" s="0" t="n">
        <f aca="false">W_PH(X$2,$A589)</f>
        <v>2015</v>
      </c>
      <c r="Y589" s="0" t="n">
        <f aca="false">W_PH(Y$2,$A589)</f>
        <v>2015</v>
      </c>
      <c r="Z589" s="0" t="n">
        <f aca="false">W_PH(Z$2,$A589)</f>
        <v>2015</v>
      </c>
      <c r="AA589" s="0" t="n">
        <f aca="false">W_PH(AA$2,$A589)</f>
        <v>2015</v>
      </c>
      <c r="AB589" s="0" t="n">
        <f aca="false">W_PH(AB$2,$A589)</f>
        <v>2015</v>
      </c>
      <c r="AC589" s="0" t="n">
        <f aca="false">W_PH(AC$2,$A589)</f>
        <v>2015</v>
      </c>
      <c r="AD589" s="0" t="n">
        <f aca="false">W_PH(AD$2,$A589)</f>
        <v>2015</v>
      </c>
      <c r="AE589" s="0" t="n">
        <f aca="false">W_PH(AE$2,$A589)</f>
        <v>2015</v>
      </c>
      <c r="AF589" s="0" t="n">
        <f aca="false">W_PH(AF$2,$A589)</f>
        <v>2015</v>
      </c>
      <c r="AG589" s="0" t="n">
        <f aca="false">W_PH(AG$2,$A589)</f>
        <v>2015</v>
      </c>
      <c r="AH589" s="0" t="n">
        <f aca="false">W_PH(AH$2,$A589)</f>
        <v>2015</v>
      </c>
      <c r="AI589" s="0" t="n">
        <f aca="false">W_PH(AI$2,$A589)</f>
        <v>2015</v>
      </c>
      <c r="AJ589" s="0" t="n">
        <f aca="false">W_PH(AJ$2,$A589)</f>
        <v>2015</v>
      </c>
      <c r="AK589" s="0" t="n">
        <f aca="false">W_PH(AK$2,$A589)</f>
        <v>2015</v>
      </c>
      <c r="AL589" s="0" t="n">
        <f aca="false">W_PH(AL$2,$A589)</f>
        <v>2015</v>
      </c>
      <c r="AM589" s="0" t="n">
        <f aca="false">W_PH(AM$2,$A589)</f>
        <v>2015</v>
      </c>
      <c r="AN589" s="0" t="n">
        <f aca="false">W_PH(AN$2,$A589)</f>
        <v>2015</v>
      </c>
      <c r="AO589" s="0" t="n">
        <f aca="false">W_PH(AO$2,$A589)</f>
        <v>2015</v>
      </c>
      <c r="AP589" s="0" t="n">
        <f aca="false">W_PH(AP$2,$A589)</f>
        <v>2015</v>
      </c>
      <c r="AQ589" s="0" t="n">
        <f aca="false">W_PH(AQ$2,$A589)</f>
        <v>2015</v>
      </c>
      <c r="AR589" s="0" t="n">
        <f aca="false">W_PH(AR$2,$A589)</f>
        <v>2015</v>
      </c>
      <c r="AS589" s="0" t="n">
        <f aca="false">W_PH(AS$2,$A589)</f>
        <v>2015</v>
      </c>
    </row>
    <row r="590" customFormat="false" ht="12.8" hidden="false" customHeight="false" outlineLevel="0" collapsed="false">
      <c r="A590" s="0" t="n">
        <v>3224.4196044712</v>
      </c>
      <c r="B590" s="0" t="n">
        <f aca="false">W_PH(B$2,$A590)</f>
        <v>2015</v>
      </c>
      <c r="C590" s="0" t="n">
        <f aca="false">W_PH(C$2,$A590)</f>
        <v>2015</v>
      </c>
      <c r="D590" s="0" t="n">
        <f aca="false">W_PH(D$2,$A590)</f>
        <v>2015</v>
      </c>
      <c r="E590" s="0" t="n">
        <f aca="false">W_PH(E$2,$A590)</f>
        <v>2015</v>
      </c>
      <c r="F590" s="0" t="n">
        <f aca="false">W_PH(F$2,$A590)</f>
        <v>2015</v>
      </c>
      <c r="G590" s="0" t="n">
        <f aca="false">W_PH(G$2,$A590)</f>
        <v>2015</v>
      </c>
      <c r="H590" s="0" t="n">
        <f aca="false">W_PH(H$2,$A590)</f>
        <v>2015</v>
      </c>
      <c r="I590" s="0" t="n">
        <f aca="false">W_PH(I$2,$A590)</f>
        <v>2015</v>
      </c>
      <c r="J590" s="0" t="n">
        <f aca="false">W_PH(J$2,$A590)</f>
        <v>2015</v>
      </c>
      <c r="K590" s="0" t="n">
        <f aca="false">W_PH(K$2,$A590)</f>
        <v>2015</v>
      </c>
      <c r="L590" s="0" t="n">
        <f aca="false">W_PH(L$2,$A590)</f>
        <v>2015</v>
      </c>
      <c r="M590" s="0" t="n">
        <f aca="false">W_PH(M$2,$A590)</f>
        <v>2015</v>
      </c>
      <c r="N590" s="0" t="n">
        <f aca="false">W_PH(N$2,$A590)</f>
        <v>2015</v>
      </c>
      <c r="O590" s="0" t="n">
        <f aca="false">W_PH(O$2,$A590)</f>
        <v>2015</v>
      </c>
      <c r="P590" s="0" t="n">
        <f aca="false">W_PH(P$2,$A590)</f>
        <v>2015</v>
      </c>
      <c r="Q590" s="0" t="n">
        <f aca="false">W_PH(Q$2,$A590)</f>
        <v>2015</v>
      </c>
      <c r="R590" s="0" t="n">
        <f aca="false">W_PH(R$2,$A590)</f>
        <v>2015</v>
      </c>
      <c r="S590" s="0" t="n">
        <f aca="false">W_PH(S$2,$A590)</f>
        <v>2015</v>
      </c>
      <c r="T590" s="0" t="n">
        <f aca="false">W_PH(T$2,$A590)</f>
        <v>2015</v>
      </c>
      <c r="U590" s="0" t="n">
        <f aca="false">W_PH(U$2,$A590)</f>
        <v>2015</v>
      </c>
      <c r="V590" s="0" t="n">
        <f aca="false">W_PH(V$2,$A590)</f>
        <v>2015</v>
      </c>
      <c r="W590" s="0" t="n">
        <f aca="false">W_PH(W$2,$A590)</f>
        <v>2015</v>
      </c>
      <c r="X590" s="0" t="n">
        <f aca="false">W_PH(X$2,$A590)</f>
        <v>2015</v>
      </c>
      <c r="Y590" s="0" t="n">
        <f aca="false">W_PH(Y$2,$A590)</f>
        <v>2015</v>
      </c>
      <c r="Z590" s="0" t="n">
        <f aca="false">W_PH(Z$2,$A590)</f>
        <v>2015</v>
      </c>
      <c r="AA590" s="0" t="n">
        <f aca="false">W_PH(AA$2,$A590)</f>
        <v>2015</v>
      </c>
      <c r="AB590" s="0" t="n">
        <f aca="false">W_PH(AB$2,$A590)</f>
        <v>2015</v>
      </c>
      <c r="AC590" s="0" t="n">
        <f aca="false">W_PH(AC$2,$A590)</f>
        <v>2015</v>
      </c>
      <c r="AD590" s="0" t="n">
        <f aca="false">W_PH(AD$2,$A590)</f>
        <v>2015</v>
      </c>
      <c r="AE590" s="0" t="n">
        <f aca="false">W_PH(AE$2,$A590)</f>
        <v>2015</v>
      </c>
      <c r="AF590" s="0" t="n">
        <f aca="false">W_PH(AF$2,$A590)</f>
        <v>2015</v>
      </c>
      <c r="AG590" s="0" t="n">
        <f aca="false">W_PH(AG$2,$A590)</f>
        <v>2015</v>
      </c>
      <c r="AH590" s="0" t="n">
        <f aca="false">W_PH(AH$2,$A590)</f>
        <v>2015</v>
      </c>
      <c r="AI590" s="0" t="n">
        <f aca="false">W_PH(AI$2,$A590)</f>
        <v>2015</v>
      </c>
      <c r="AJ590" s="0" t="n">
        <f aca="false">W_PH(AJ$2,$A590)</f>
        <v>2015</v>
      </c>
      <c r="AK590" s="0" t="n">
        <f aca="false">W_PH(AK$2,$A590)</f>
        <v>2015</v>
      </c>
      <c r="AL590" s="0" t="n">
        <f aca="false">W_PH(AL$2,$A590)</f>
        <v>2015</v>
      </c>
      <c r="AM590" s="0" t="n">
        <f aca="false">W_PH(AM$2,$A590)</f>
        <v>2015</v>
      </c>
      <c r="AN590" s="0" t="n">
        <f aca="false">W_PH(AN$2,$A590)</f>
        <v>2015</v>
      </c>
      <c r="AO590" s="0" t="n">
        <f aca="false">W_PH(AO$2,$A590)</f>
        <v>2015</v>
      </c>
      <c r="AP590" s="0" t="n">
        <f aca="false">W_PH(AP$2,$A590)</f>
        <v>2015</v>
      </c>
      <c r="AQ590" s="0" t="n">
        <f aca="false">W_PH(AQ$2,$A590)</f>
        <v>2015</v>
      </c>
      <c r="AR590" s="0" t="n">
        <f aca="false">W_PH(AR$2,$A590)</f>
        <v>2015</v>
      </c>
      <c r="AS590" s="0" t="n">
        <f aca="false">W_PH(AS$2,$A590)</f>
        <v>2015</v>
      </c>
    </row>
    <row r="591" customFormat="false" ht="12.8" hidden="false" customHeight="false" outlineLevel="0" collapsed="false">
      <c r="A591" s="0" t="n">
        <v>3228.71883061049</v>
      </c>
      <c r="B591" s="0" t="n">
        <f aca="false">W_PH(B$2,$A591)</f>
        <v>2015</v>
      </c>
      <c r="C591" s="0" t="n">
        <f aca="false">W_PH(C$2,$A591)</f>
        <v>2015</v>
      </c>
      <c r="D591" s="0" t="n">
        <f aca="false">W_PH(D$2,$A591)</f>
        <v>2015</v>
      </c>
      <c r="E591" s="0" t="n">
        <f aca="false">W_PH(E$2,$A591)</f>
        <v>2015</v>
      </c>
      <c r="F591" s="0" t="n">
        <f aca="false">W_PH(F$2,$A591)</f>
        <v>2015</v>
      </c>
      <c r="G591" s="0" t="n">
        <f aca="false">W_PH(G$2,$A591)</f>
        <v>2015</v>
      </c>
      <c r="H591" s="0" t="n">
        <f aca="false">W_PH(H$2,$A591)</f>
        <v>2015</v>
      </c>
      <c r="I591" s="0" t="n">
        <f aca="false">W_PH(I$2,$A591)</f>
        <v>2015</v>
      </c>
      <c r="J591" s="0" t="n">
        <f aca="false">W_PH(J$2,$A591)</f>
        <v>2015</v>
      </c>
      <c r="K591" s="0" t="n">
        <f aca="false">W_PH(K$2,$A591)</f>
        <v>2015</v>
      </c>
      <c r="L591" s="0" t="n">
        <f aca="false">W_PH(L$2,$A591)</f>
        <v>2015</v>
      </c>
      <c r="M591" s="0" t="n">
        <f aca="false">W_PH(M$2,$A591)</f>
        <v>2015</v>
      </c>
      <c r="N591" s="0" t="n">
        <f aca="false">W_PH(N$2,$A591)</f>
        <v>2015</v>
      </c>
      <c r="O591" s="0" t="n">
        <f aca="false">W_PH(O$2,$A591)</f>
        <v>2015</v>
      </c>
      <c r="P591" s="0" t="n">
        <f aca="false">W_PH(P$2,$A591)</f>
        <v>2015</v>
      </c>
      <c r="Q591" s="0" t="n">
        <f aca="false">W_PH(Q$2,$A591)</f>
        <v>2015</v>
      </c>
      <c r="R591" s="0" t="n">
        <f aca="false">W_PH(R$2,$A591)</f>
        <v>2015</v>
      </c>
      <c r="S591" s="0" t="n">
        <f aca="false">W_PH(S$2,$A591)</f>
        <v>2015</v>
      </c>
      <c r="T591" s="0" t="n">
        <f aca="false">W_PH(T$2,$A591)</f>
        <v>2015</v>
      </c>
      <c r="U591" s="0" t="n">
        <f aca="false">W_PH(U$2,$A591)</f>
        <v>2015</v>
      </c>
      <c r="V591" s="0" t="n">
        <f aca="false">W_PH(V$2,$A591)</f>
        <v>2015</v>
      </c>
      <c r="W591" s="0" t="n">
        <f aca="false">W_PH(W$2,$A591)</f>
        <v>2015</v>
      </c>
      <c r="X591" s="0" t="n">
        <f aca="false">W_PH(X$2,$A591)</f>
        <v>2015</v>
      </c>
      <c r="Y591" s="0" t="n">
        <f aca="false">W_PH(Y$2,$A591)</f>
        <v>2015</v>
      </c>
      <c r="Z591" s="0" t="n">
        <f aca="false">W_PH(Z$2,$A591)</f>
        <v>2015</v>
      </c>
      <c r="AA591" s="0" t="n">
        <f aca="false">W_PH(AA$2,$A591)</f>
        <v>2015</v>
      </c>
      <c r="AB591" s="0" t="n">
        <f aca="false">W_PH(AB$2,$A591)</f>
        <v>2015</v>
      </c>
      <c r="AC591" s="0" t="n">
        <f aca="false">W_PH(AC$2,$A591)</f>
        <v>2015</v>
      </c>
      <c r="AD591" s="0" t="n">
        <f aca="false">W_PH(AD$2,$A591)</f>
        <v>2015</v>
      </c>
      <c r="AE591" s="0" t="n">
        <f aca="false">W_PH(AE$2,$A591)</f>
        <v>2015</v>
      </c>
      <c r="AF591" s="0" t="n">
        <f aca="false">W_PH(AF$2,$A591)</f>
        <v>2015</v>
      </c>
      <c r="AG591" s="0" t="n">
        <f aca="false">W_PH(AG$2,$A591)</f>
        <v>2015</v>
      </c>
      <c r="AH591" s="0" t="n">
        <f aca="false">W_PH(AH$2,$A591)</f>
        <v>2015</v>
      </c>
      <c r="AI591" s="0" t="n">
        <f aca="false">W_PH(AI$2,$A591)</f>
        <v>2015</v>
      </c>
      <c r="AJ591" s="0" t="n">
        <f aca="false">W_PH(AJ$2,$A591)</f>
        <v>2015</v>
      </c>
      <c r="AK591" s="0" t="n">
        <f aca="false">W_PH(AK$2,$A591)</f>
        <v>2015</v>
      </c>
      <c r="AL591" s="0" t="n">
        <f aca="false">W_PH(AL$2,$A591)</f>
        <v>2015</v>
      </c>
      <c r="AM591" s="0" t="n">
        <f aca="false">W_PH(AM$2,$A591)</f>
        <v>2015</v>
      </c>
      <c r="AN591" s="0" t="n">
        <f aca="false">W_PH(AN$2,$A591)</f>
        <v>2015</v>
      </c>
      <c r="AO591" s="0" t="n">
        <f aca="false">W_PH(AO$2,$A591)</f>
        <v>2015</v>
      </c>
      <c r="AP591" s="0" t="n">
        <f aca="false">W_PH(AP$2,$A591)</f>
        <v>2015</v>
      </c>
      <c r="AQ591" s="0" t="n">
        <f aca="false">W_PH(AQ$2,$A591)</f>
        <v>2015</v>
      </c>
      <c r="AR591" s="0" t="n">
        <f aca="false">W_PH(AR$2,$A591)</f>
        <v>2015</v>
      </c>
      <c r="AS591" s="0" t="n">
        <f aca="false">W_PH(AS$2,$A591)</f>
        <v>2015</v>
      </c>
    </row>
    <row r="592" customFormat="false" ht="12.8" hidden="false" customHeight="false" outlineLevel="0" collapsed="false">
      <c r="A592" s="0" t="n">
        <v>3233.01805674979</v>
      </c>
      <c r="B592" s="0" t="n">
        <f aca="false">W_PH(B$2,$A592)</f>
        <v>2015</v>
      </c>
      <c r="C592" s="0" t="n">
        <f aca="false">W_PH(C$2,$A592)</f>
        <v>2015</v>
      </c>
      <c r="D592" s="0" t="n">
        <f aca="false">W_PH(D$2,$A592)</f>
        <v>2015</v>
      </c>
      <c r="E592" s="0" t="n">
        <f aca="false">W_PH(E$2,$A592)</f>
        <v>2015</v>
      </c>
      <c r="F592" s="0" t="n">
        <f aca="false">W_PH(F$2,$A592)</f>
        <v>2015</v>
      </c>
      <c r="G592" s="0" t="n">
        <f aca="false">W_PH(G$2,$A592)</f>
        <v>2015</v>
      </c>
      <c r="H592" s="0" t="n">
        <f aca="false">W_PH(H$2,$A592)</f>
        <v>2015</v>
      </c>
      <c r="I592" s="0" t="n">
        <f aca="false">W_PH(I$2,$A592)</f>
        <v>2015</v>
      </c>
      <c r="J592" s="0" t="n">
        <f aca="false">W_PH(J$2,$A592)</f>
        <v>2015</v>
      </c>
      <c r="K592" s="0" t="n">
        <f aca="false">W_PH(K$2,$A592)</f>
        <v>2015</v>
      </c>
      <c r="L592" s="0" t="n">
        <f aca="false">W_PH(L$2,$A592)</f>
        <v>2015</v>
      </c>
      <c r="M592" s="0" t="n">
        <f aca="false">W_PH(M$2,$A592)</f>
        <v>2015</v>
      </c>
      <c r="N592" s="0" t="n">
        <f aca="false">W_PH(N$2,$A592)</f>
        <v>2015</v>
      </c>
      <c r="O592" s="0" t="n">
        <f aca="false">W_PH(O$2,$A592)</f>
        <v>2015</v>
      </c>
      <c r="P592" s="0" t="n">
        <f aca="false">W_PH(P$2,$A592)</f>
        <v>2015</v>
      </c>
      <c r="Q592" s="0" t="n">
        <f aca="false">W_PH(Q$2,$A592)</f>
        <v>2015</v>
      </c>
      <c r="R592" s="0" t="n">
        <f aca="false">W_PH(R$2,$A592)</f>
        <v>2015</v>
      </c>
      <c r="S592" s="0" t="n">
        <f aca="false">W_PH(S$2,$A592)</f>
        <v>2015</v>
      </c>
      <c r="T592" s="0" t="n">
        <f aca="false">W_PH(T$2,$A592)</f>
        <v>2015</v>
      </c>
      <c r="U592" s="0" t="n">
        <f aca="false">W_PH(U$2,$A592)</f>
        <v>2015</v>
      </c>
      <c r="V592" s="0" t="n">
        <f aca="false">W_PH(V$2,$A592)</f>
        <v>2015</v>
      </c>
      <c r="W592" s="0" t="n">
        <f aca="false">W_PH(W$2,$A592)</f>
        <v>2015</v>
      </c>
      <c r="X592" s="0" t="n">
        <f aca="false">W_PH(X$2,$A592)</f>
        <v>2015</v>
      </c>
      <c r="Y592" s="0" t="n">
        <f aca="false">W_PH(Y$2,$A592)</f>
        <v>2015</v>
      </c>
      <c r="Z592" s="0" t="n">
        <f aca="false">W_PH(Z$2,$A592)</f>
        <v>2015</v>
      </c>
      <c r="AA592" s="0" t="n">
        <f aca="false">W_PH(AA$2,$A592)</f>
        <v>2015</v>
      </c>
      <c r="AB592" s="0" t="n">
        <f aca="false">W_PH(AB$2,$A592)</f>
        <v>2015</v>
      </c>
      <c r="AC592" s="0" t="n">
        <f aca="false">W_PH(AC$2,$A592)</f>
        <v>2015</v>
      </c>
      <c r="AD592" s="0" t="n">
        <f aca="false">W_PH(AD$2,$A592)</f>
        <v>2015</v>
      </c>
      <c r="AE592" s="0" t="n">
        <f aca="false">W_PH(AE$2,$A592)</f>
        <v>2015</v>
      </c>
      <c r="AF592" s="0" t="n">
        <f aca="false">W_PH(AF$2,$A592)</f>
        <v>2015</v>
      </c>
      <c r="AG592" s="0" t="n">
        <f aca="false">W_PH(AG$2,$A592)</f>
        <v>2015</v>
      </c>
      <c r="AH592" s="0" t="n">
        <f aca="false">W_PH(AH$2,$A592)</f>
        <v>2015</v>
      </c>
      <c r="AI592" s="0" t="n">
        <f aca="false">W_PH(AI$2,$A592)</f>
        <v>2015</v>
      </c>
      <c r="AJ592" s="0" t="n">
        <f aca="false">W_PH(AJ$2,$A592)</f>
        <v>2015</v>
      </c>
      <c r="AK592" s="0" t="n">
        <f aca="false">W_PH(AK$2,$A592)</f>
        <v>2015</v>
      </c>
      <c r="AL592" s="0" t="n">
        <f aca="false">W_PH(AL$2,$A592)</f>
        <v>2015</v>
      </c>
      <c r="AM592" s="0" t="n">
        <f aca="false">W_PH(AM$2,$A592)</f>
        <v>2015</v>
      </c>
      <c r="AN592" s="0" t="n">
        <f aca="false">W_PH(AN$2,$A592)</f>
        <v>2015</v>
      </c>
      <c r="AO592" s="0" t="n">
        <f aca="false">W_PH(AO$2,$A592)</f>
        <v>2015</v>
      </c>
      <c r="AP592" s="0" t="n">
        <f aca="false">W_PH(AP$2,$A592)</f>
        <v>2015</v>
      </c>
      <c r="AQ592" s="0" t="n">
        <f aca="false">W_PH(AQ$2,$A592)</f>
        <v>2015</v>
      </c>
      <c r="AR592" s="0" t="n">
        <f aca="false">W_PH(AR$2,$A592)</f>
        <v>2015</v>
      </c>
      <c r="AS592" s="0" t="n">
        <f aca="false">W_PH(AS$2,$A592)</f>
        <v>2015</v>
      </c>
    </row>
    <row r="593" customFormat="false" ht="12.8" hidden="false" customHeight="false" outlineLevel="0" collapsed="false">
      <c r="A593" s="0" t="n">
        <v>3237.31728288908</v>
      </c>
      <c r="B593" s="0" t="n">
        <f aca="false">W_PH(B$2,$A593)</f>
        <v>2015</v>
      </c>
      <c r="C593" s="0" t="n">
        <f aca="false">W_PH(C$2,$A593)</f>
        <v>2015</v>
      </c>
      <c r="D593" s="0" t="n">
        <f aca="false">W_PH(D$2,$A593)</f>
        <v>2015</v>
      </c>
      <c r="E593" s="0" t="n">
        <f aca="false">W_PH(E$2,$A593)</f>
        <v>2015</v>
      </c>
      <c r="F593" s="0" t="n">
        <f aca="false">W_PH(F$2,$A593)</f>
        <v>2015</v>
      </c>
      <c r="G593" s="0" t="n">
        <f aca="false">W_PH(G$2,$A593)</f>
        <v>2015</v>
      </c>
      <c r="H593" s="0" t="n">
        <f aca="false">W_PH(H$2,$A593)</f>
        <v>2015</v>
      </c>
      <c r="I593" s="0" t="n">
        <f aca="false">W_PH(I$2,$A593)</f>
        <v>2015</v>
      </c>
      <c r="J593" s="0" t="n">
        <f aca="false">W_PH(J$2,$A593)</f>
        <v>2015</v>
      </c>
      <c r="K593" s="0" t="n">
        <f aca="false">W_PH(K$2,$A593)</f>
        <v>2015</v>
      </c>
      <c r="L593" s="0" t="n">
        <f aca="false">W_PH(L$2,$A593)</f>
        <v>2015</v>
      </c>
      <c r="M593" s="0" t="n">
        <f aca="false">W_PH(M$2,$A593)</f>
        <v>2015</v>
      </c>
      <c r="N593" s="0" t="n">
        <f aca="false">W_PH(N$2,$A593)</f>
        <v>2015</v>
      </c>
      <c r="O593" s="0" t="n">
        <f aca="false">W_PH(O$2,$A593)</f>
        <v>2015</v>
      </c>
      <c r="P593" s="0" t="n">
        <f aca="false">W_PH(P$2,$A593)</f>
        <v>2015</v>
      </c>
      <c r="Q593" s="0" t="n">
        <f aca="false">W_PH(Q$2,$A593)</f>
        <v>2015</v>
      </c>
      <c r="R593" s="0" t="n">
        <f aca="false">W_PH(R$2,$A593)</f>
        <v>2015</v>
      </c>
      <c r="S593" s="0" t="n">
        <f aca="false">W_PH(S$2,$A593)</f>
        <v>2015</v>
      </c>
      <c r="T593" s="0" t="n">
        <f aca="false">W_PH(T$2,$A593)</f>
        <v>2015</v>
      </c>
      <c r="U593" s="0" t="n">
        <f aca="false">W_PH(U$2,$A593)</f>
        <v>2015</v>
      </c>
      <c r="V593" s="0" t="n">
        <f aca="false">W_PH(V$2,$A593)</f>
        <v>2015</v>
      </c>
      <c r="W593" s="0" t="n">
        <f aca="false">W_PH(W$2,$A593)</f>
        <v>2015</v>
      </c>
      <c r="X593" s="0" t="n">
        <f aca="false">W_PH(X$2,$A593)</f>
        <v>2015</v>
      </c>
      <c r="Y593" s="0" t="n">
        <f aca="false">W_PH(Y$2,$A593)</f>
        <v>2015</v>
      </c>
      <c r="Z593" s="0" t="n">
        <f aca="false">W_PH(Z$2,$A593)</f>
        <v>2015</v>
      </c>
      <c r="AA593" s="0" t="n">
        <f aca="false">W_PH(AA$2,$A593)</f>
        <v>2015</v>
      </c>
      <c r="AB593" s="0" t="n">
        <f aca="false">W_PH(AB$2,$A593)</f>
        <v>2015</v>
      </c>
      <c r="AC593" s="0" t="n">
        <f aca="false">W_PH(AC$2,$A593)</f>
        <v>2015</v>
      </c>
      <c r="AD593" s="0" t="n">
        <f aca="false">W_PH(AD$2,$A593)</f>
        <v>2015</v>
      </c>
      <c r="AE593" s="0" t="n">
        <f aca="false">W_PH(AE$2,$A593)</f>
        <v>2015</v>
      </c>
      <c r="AF593" s="0" t="n">
        <f aca="false">W_PH(AF$2,$A593)</f>
        <v>2015</v>
      </c>
      <c r="AG593" s="0" t="n">
        <f aca="false">W_PH(AG$2,$A593)</f>
        <v>2015</v>
      </c>
      <c r="AH593" s="0" t="n">
        <f aca="false">W_PH(AH$2,$A593)</f>
        <v>2015</v>
      </c>
      <c r="AI593" s="0" t="n">
        <f aca="false">W_PH(AI$2,$A593)</f>
        <v>2015</v>
      </c>
      <c r="AJ593" s="0" t="n">
        <f aca="false">W_PH(AJ$2,$A593)</f>
        <v>2015</v>
      </c>
      <c r="AK593" s="0" t="n">
        <f aca="false">W_PH(AK$2,$A593)</f>
        <v>2015</v>
      </c>
      <c r="AL593" s="0" t="n">
        <f aca="false">W_PH(AL$2,$A593)</f>
        <v>2015</v>
      </c>
      <c r="AM593" s="0" t="n">
        <f aca="false">W_PH(AM$2,$A593)</f>
        <v>2015</v>
      </c>
      <c r="AN593" s="0" t="n">
        <f aca="false">W_PH(AN$2,$A593)</f>
        <v>2015</v>
      </c>
      <c r="AO593" s="0" t="n">
        <f aca="false">W_PH(AO$2,$A593)</f>
        <v>2015</v>
      </c>
      <c r="AP593" s="0" t="n">
        <f aca="false">W_PH(AP$2,$A593)</f>
        <v>2015</v>
      </c>
      <c r="AQ593" s="0" t="n">
        <f aca="false">W_PH(AQ$2,$A593)</f>
        <v>2015</v>
      </c>
      <c r="AR593" s="0" t="n">
        <f aca="false">W_PH(AR$2,$A593)</f>
        <v>2015</v>
      </c>
      <c r="AS593" s="0" t="n">
        <f aca="false">W_PH(AS$2,$A593)</f>
        <v>2015</v>
      </c>
    </row>
    <row r="594" customFormat="false" ht="12.8" hidden="false" customHeight="false" outlineLevel="0" collapsed="false">
      <c r="A594" s="0" t="n">
        <v>3241.61650902837</v>
      </c>
      <c r="B594" s="0" t="n">
        <f aca="false">W_PH(B$2,$A594)</f>
        <v>2015</v>
      </c>
      <c r="C594" s="0" t="n">
        <f aca="false">W_PH(C$2,$A594)</f>
        <v>2015</v>
      </c>
      <c r="D594" s="0" t="n">
        <f aca="false">W_PH(D$2,$A594)</f>
        <v>2015</v>
      </c>
      <c r="E594" s="0" t="n">
        <f aca="false">W_PH(E$2,$A594)</f>
        <v>2015</v>
      </c>
      <c r="F594" s="0" t="n">
        <f aca="false">W_PH(F$2,$A594)</f>
        <v>2015</v>
      </c>
      <c r="G594" s="0" t="n">
        <f aca="false">W_PH(G$2,$A594)</f>
        <v>2015</v>
      </c>
      <c r="H594" s="0" t="n">
        <f aca="false">W_PH(H$2,$A594)</f>
        <v>2015</v>
      </c>
      <c r="I594" s="0" t="n">
        <f aca="false">W_PH(I$2,$A594)</f>
        <v>2015</v>
      </c>
      <c r="J594" s="0" t="n">
        <f aca="false">W_PH(J$2,$A594)</f>
        <v>2015</v>
      </c>
      <c r="K594" s="0" t="n">
        <f aca="false">W_PH(K$2,$A594)</f>
        <v>2015</v>
      </c>
      <c r="L594" s="0" t="n">
        <f aca="false">W_PH(L$2,$A594)</f>
        <v>2015</v>
      </c>
      <c r="M594" s="0" t="n">
        <f aca="false">W_PH(M$2,$A594)</f>
        <v>2015</v>
      </c>
      <c r="N594" s="0" t="n">
        <f aca="false">W_PH(N$2,$A594)</f>
        <v>2015</v>
      </c>
      <c r="O594" s="0" t="n">
        <f aca="false">W_PH(O$2,$A594)</f>
        <v>2015</v>
      </c>
      <c r="P594" s="0" t="n">
        <f aca="false">W_PH(P$2,$A594)</f>
        <v>2015</v>
      </c>
      <c r="Q594" s="0" t="n">
        <f aca="false">W_PH(Q$2,$A594)</f>
        <v>2015</v>
      </c>
      <c r="R594" s="0" t="n">
        <f aca="false">W_PH(R$2,$A594)</f>
        <v>2015</v>
      </c>
      <c r="S594" s="0" t="n">
        <f aca="false">W_PH(S$2,$A594)</f>
        <v>2015</v>
      </c>
      <c r="T594" s="0" t="n">
        <f aca="false">W_PH(T$2,$A594)</f>
        <v>2015</v>
      </c>
      <c r="U594" s="0" t="n">
        <f aca="false">W_PH(U$2,$A594)</f>
        <v>2015</v>
      </c>
      <c r="V594" s="0" t="n">
        <f aca="false">W_PH(V$2,$A594)</f>
        <v>2015</v>
      </c>
      <c r="W594" s="0" t="n">
        <f aca="false">W_PH(W$2,$A594)</f>
        <v>2015</v>
      </c>
      <c r="X594" s="0" t="n">
        <f aca="false">W_PH(X$2,$A594)</f>
        <v>2015</v>
      </c>
      <c r="Y594" s="0" t="n">
        <f aca="false">W_PH(Y$2,$A594)</f>
        <v>2015</v>
      </c>
      <c r="Z594" s="0" t="n">
        <f aca="false">W_PH(Z$2,$A594)</f>
        <v>2015</v>
      </c>
      <c r="AA594" s="0" t="n">
        <f aca="false">W_PH(AA$2,$A594)</f>
        <v>2015</v>
      </c>
      <c r="AB594" s="0" t="n">
        <f aca="false">W_PH(AB$2,$A594)</f>
        <v>2015</v>
      </c>
      <c r="AC594" s="0" t="n">
        <f aca="false">W_PH(AC$2,$A594)</f>
        <v>2015</v>
      </c>
      <c r="AD594" s="0" t="n">
        <f aca="false">W_PH(AD$2,$A594)</f>
        <v>2015</v>
      </c>
      <c r="AE594" s="0" t="n">
        <f aca="false">W_PH(AE$2,$A594)</f>
        <v>2015</v>
      </c>
      <c r="AF594" s="0" t="n">
        <f aca="false">W_PH(AF$2,$A594)</f>
        <v>2015</v>
      </c>
      <c r="AG594" s="0" t="n">
        <f aca="false">W_PH(AG$2,$A594)</f>
        <v>2015</v>
      </c>
      <c r="AH594" s="0" t="n">
        <f aca="false">W_PH(AH$2,$A594)</f>
        <v>2015</v>
      </c>
      <c r="AI594" s="0" t="n">
        <f aca="false">W_PH(AI$2,$A594)</f>
        <v>2015</v>
      </c>
      <c r="AJ594" s="0" t="n">
        <f aca="false">W_PH(AJ$2,$A594)</f>
        <v>2015</v>
      </c>
      <c r="AK594" s="0" t="n">
        <f aca="false">W_PH(AK$2,$A594)</f>
        <v>2015</v>
      </c>
      <c r="AL594" s="0" t="n">
        <f aca="false">W_PH(AL$2,$A594)</f>
        <v>2015</v>
      </c>
      <c r="AM594" s="0" t="n">
        <f aca="false">W_PH(AM$2,$A594)</f>
        <v>2015</v>
      </c>
      <c r="AN594" s="0" t="n">
        <f aca="false">W_PH(AN$2,$A594)</f>
        <v>2015</v>
      </c>
      <c r="AO594" s="0" t="n">
        <f aca="false">W_PH(AO$2,$A594)</f>
        <v>2015</v>
      </c>
      <c r="AP594" s="0" t="n">
        <f aca="false">W_PH(AP$2,$A594)</f>
        <v>2015</v>
      </c>
      <c r="AQ594" s="0" t="n">
        <f aca="false">W_PH(AQ$2,$A594)</f>
        <v>2015</v>
      </c>
      <c r="AR594" s="0" t="n">
        <f aca="false">W_PH(AR$2,$A594)</f>
        <v>2015</v>
      </c>
      <c r="AS594" s="0" t="n">
        <f aca="false">W_PH(AS$2,$A594)</f>
        <v>2015</v>
      </c>
    </row>
    <row r="595" customFormat="false" ht="12.8" hidden="false" customHeight="false" outlineLevel="0" collapsed="false">
      <c r="A595" s="0" t="n">
        <v>3245.91573516767</v>
      </c>
      <c r="B595" s="0" t="n">
        <f aca="false">W_PH(B$2,$A595)</f>
        <v>2015</v>
      </c>
      <c r="C595" s="0" t="n">
        <f aca="false">W_PH(C$2,$A595)</f>
        <v>2015</v>
      </c>
      <c r="D595" s="0" t="n">
        <f aca="false">W_PH(D$2,$A595)</f>
        <v>2015</v>
      </c>
      <c r="E595" s="0" t="n">
        <f aca="false">W_PH(E$2,$A595)</f>
        <v>2015</v>
      </c>
      <c r="F595" s="0" t="n">
        <f aca="false">W_PH(F$2,$A595)</f>
        <v>2015</v>
      </c>
      <c r="G595" s="0" t="n">
        <f aca="false">W_PH(G$2,$A595)</f>
        <v>2015</v>
      </c>
      <c r="H595" s="0" t="n">
        <f aca="false">W_PH(H$2,$A595)</f>
        <v>2015</v>
      </c>
      <c r="I595" s="0" t="n">
        <f aca="false">W_PH(I$2,$A595)</f>
        <v>2015</v>
      </c>
      <c r="J595" s="0" t="n">
        <f aca="false">W_PH(J$2,$A595)</f>
        <v>2015</v>
      </c>
      <c r="K595" s="0" t="n">
        <f aca="false">W_PH(K$2,$A595)</f>
        <v>2015</v>
      </c>
      <c r="L595" s="0" t="n">
        <f aca="false">W_PH(L$2,$A595)</f>
        <v>2015</v>
      </c>
      <c r="M595" s="0" t="n">
        <f aca="false">W_PH(M$2,$A595)</f>
        <v>2015</v>
      </c>
      <c r="N595" s="0" t="n">
        <f aca="false">W_PH(N$2,$A595)</f>
        <v>2015</v>
      </c>
      <c r="O595" s="0" t="n">
        <f aca="false">W_PH(O$2,$A595)</f>
        <v>2015</v>
      </c>
      <c r="P595" s="0" t="n">
        <f aca="false">W_PH(P$2,$A595)</f>
        <v>2015</v>
      </c>
      <c r="Q595" s="0" t="n">
        <f aca="false">W_PH(Q$2,$A595)</f>
        <v>2015</v>
      </c>
      <c r="R595" s="0" t="n">
        <f aca="false">W_PH(R$2,$A595)</f>
        <v>2015</v>
      </c>
      <c r="S595" s="0" t="n">
        <f aca="false">W_PH(S$2,$A595)</f>
        <v>2015</v>
      </c>
      <c r="T595" s="0" t="n">
        <f aca="false">W_PH(T$2,$A595)</f>
        <v>2015</v>
      </c>
      <c r="U595" s="0" t="n">
        <f aca="false">W_PH(U$2,$A595)</f>
        <v>2015</v>
      </c>
      <c r="V595" s="0" t="n">
        <f aca="false">W_PH(V$2,$A595)</f>
        <v>2015</v>
      </c>
      <c r="W595" s="0" t="n">
        <f aca="false">W_PH(W$2,$A595)</f>
        <v>2015</v>
      </c>
      <c r="X595" s="0" t="n">
        <f aca="false">W_PH(X$2,$A595)</f>
        <v>2015</v>
      </c>
      <c r="Y595" s="0" t="n">
        <f aca="false">W_PH(Y$2,$A595)</f>
        <v>2015</v>
      </c>
      <c r="Z595" s="0" t="n">
        <f aca="false">W_PH(Z$2,$A595)</f>
        <v>2015</v>
      </c>
      <c r="AA595" s="0" t="n">
        <f aca="false">W_PH(AA$2,$A595)</f>
        <v>2015</v>
      </c>
      <c r="AB595" s="0" t="n">
        <f aca="false">W_PH(AB$2,$A595)</f>
        <v>2015</v>
      </c>
      <c r="AC595" s="0" t="n">
        <f aca="false">W_PH(AC$2,$A595)</f>
        <v>2015</v>
      </c>
      <c r="AD595" s="0" t="n">
        <f aca="false">W_PH(AD$2,$A595)</f>
        <v>2015</v>
      </c>
      <c r="AE595" s="0" t="n">
        <f aca="false">W_PH(AE$2,$A595)</f>
        <v>2015</v>
      </c>
      <c r="AF595" s="0" t="n">
        <f aca="false">W_PH(AF$2,$A595)</f>
        <v>2015</v>
      </c>
      <c r="AG595" s="0" t="n">
        <f aca="false">W_PH(AG$2,$A595)</f>
        <v>2015</v>
      </c>
      <c r="AH595" s="0" t="n">
        <f aca="false">W_PH(AH$2,$A595)</f>
        <v>2015</v>
      </c>
      <c r="AI595" s="0" t="n">
        <f aca="false">W_PH(AI$2,$A595)</f>
        <v>2015</v>
      </c>
      <c r="AJ595" s="0" t="n">
        <f aca="false">W_PH(AJ$2,$A595)</f>
        <v>2015</v>
      </c>
      <c r="AK595" s="0" t="n">
        <f aca="false">W_PH(AK$2,$A595)</f>
        <v>2015</v>
      </c>
      <c r="AL595" s="0" t="n">
        <f aca="false">W_PH(AL$2,$A595)</f>
        <v>2015</v>
      </c>
      <c r="AM595" s="0" t="n">
        <f aca="false">W_PH(AM$2,$A595)</f>
        <v>2015</v>
      </c>
      <c r="AN595" s="0" t="n">
        <f aca="false">W_PH(AN$2,$A595)</f>
        <v>2015</v>
      </c>
      <c r="AO595" s="0" t="n">
        <f aca="false">W_PH(AO$2,$A595)</f>
        <v>2015</v>
      </c>
      <c r="AP595" s="0" t="n">
        <f aca="false">W_PH(AP$2,$A595)</f>
        <v>2015</v>
      </c>
      <c r="AQ595" s="0" t="n">
        <f aca="false">W_PH(AQ$2,$A595)</f>
        <v>2015</v>
      </c>
      <c r="AR595" s="0" t="n">
        <f aca="false">W_PH(AR$2,$A595)</f>
        <v>2015</v>
      </c>
      <c r="AS595" s="0" t="n">
        <f aca="false">W_PH(AS$2,$A595)</f>
        <v>2015</v>
      </c>
    </row>
    <row r="596" customFormat="false" ht="12.8" hidden="false" customHeight="false" outlineLevel="0" collapsed="false">
      <c r="A596" s="0" t="n">
        <v>3250.21496130696</v>
      </c>
      <c r="B596" s="0" t="n">
        <f aca="false">W_PH(B$2,$A596)</f>
        <v>2015</v>
      </c>
      <c r="C596" s="0" t="n">
        <f aca="false">W_PH(C$2,$A596)</f>
        <v>2015</v>
      </c>
      <c r="D596" s="0" t="n">
        <f aca="false">W_PH(D$2,$A596)</f>
        <v>2015</v>
      </c>
      <c r="E596" s="0" t="n">
        <f aca="false">W_PH(E$2,$A596)</f>
        <v>2015</v>
      </c>
      <c r="F596" s="0" t="n">
        <f aca="false">W_PH(F$2,$A596)</f>
        <v>2015</v>
      </c>
      <c r="G596" s="0" t="n">
        <f aca="false">W_PH(G$2,$A596)</f>
        <v>2015</v>
      </c>
      <c r="H596" s="0" t="n">
        <f aca="false">W_PH(H$2,$A596)</f>
        <v>2015</v>
      </c>
      <c r="I596" s="0" t="n">
        <f aca="false">W_PH(I$2,$A596)</f>
        <v>2015</v>
      </c>
      <c r="J596" s="0" t="n">
        <f aca="false">W_PH(J$2,$A596)</f>
        <v>2015</v>
      </c>
      <c r="K596" s="0" t="n">
        <f aca="false">W_PH(K$2,$A596)</f>
        <v>2015</v>
      </c>
      <c r="L596" s="0" t="n">
        <f aca="false">W_PH(L$2,$A596)</f>
        <v>2015</v>
      </c>
      <c r="M596" s="0" t="n">
        <f aca="false">W_PH(M$2,$A596)</f>
        <v>2015</v>
      </c>
      <c r="N596" s="0" t="n">
        <f aca="false">W_PH(N$2,$A596)</f>
        <v>2015</v>
      </c>
      <c r="O596" s="0" t="n">
        <f aca="false">W_PH(O$2,$A596)</f>
        <v>2015</v>
      </c>
      <c r="P596" s="0" t="n">
        <f aca="false">W_PH(P$2,$A596)</f>
        <v>2015</v>
      </c>
      <c r="Q596" s="0" t="n">
        <f aca="false">W_PH(Q$2,$A596)</f>
        <v>2015</v>
      </c>
      <c r="R596" s="0" t="n">
        <f aca="false">W_PH(R$2,$A596)</f>
        <v>2015</v>
      </c>
      <c r="S596" s="0" t="n">
        <f aca="false">W_PH(S$2,$A596)</f>
        <v>2015</v>
      </c>
      <c r="T596" s="0" t="n">
        <f aca="false">W_PH(T$2,$A596)</f>
        <v>2015</v>
      </c>
      <c r="U596" s="0" t="n">
        <f aca="false">W_PH(U$2,$A596)</f>
        <v>2015</v>
      </c>
      <c r="V596" s="0" t="n">
        <f aca="false">W_PH(V$2,$A596)</f>
        <v>2015</v>
      </c>
      <c r="W596" s="0" t="n">
        <f aca="false">W_PH(W$2,$A596)</f>
        <v>2015</v>
      </c>
      <c r="X596" s="0" t="n">
        <f aca="false">W_PH(X$2,$A596)</f>
        <v>2015</v>
      </c>
      <c r="Y596" s="0" t="n">
        <f aca="false">W_PH(Y$2,$A596)</f>
        <v>2015</v>
      </c>
      <c r="Z596" s="0" t="n">
        <f aca="false">W_PH(Z$2,$A596)</f>
        <v>2015</v>
      </c>
      <c r="AA596" s="0" t="n">
        <f aca="false">W_PH(AA$2,$A596)</f>
        <v>2015</v>
      </c>
      <c r="AB596" s="0" t="n">
        <f aca="false">W_PH(AB$2,$A596)</f>
        <v>2015</v>
      </c>
      <c r="AC596" s="0" t="n">
        <f aca="false">W_PH(AC$2,$A596)</f>
        <v>2015</v>
      </c>
      <c r="AD596" s="0" t="n">
        <f aca="false">W_PH(AD$2,$A596)</f>
        <v>2015</v>
      </c>
      <c r="AE596" s="0" t="n">
        <f aca="false">W_PH(AE$2,$A596)</f>
        <v>2015</v>
      </c>
      <c r="AF596" s="0" t="n">
        <f aca="false">W_PH(AF$2,$A596)</f>
        <v>2015</v>
      </c>
      <c r="AG596" s="0" t="n">
        <f aca="false">W_PH(AG$2,$A596)</f>
        <v>2015</v>
      </c>
      <c r="AH596" s="0" t="n">
        <f aca="false">W_PH(AH$2,$A596)</f>
        <v>2015</v>
      </c>
      <c r="AI596" s="0" t="n">
        <f aca="false">W_PH(AI$2,$A596)</f>
        <v>2015</v>
      </c>
      <c r="AJ596" s="0" t="n">
        <f aca="false">W_PH(AJ$2,$A596)</f>
        <v>2015</v>
      </c>
      <c r="AK596" s="0" t="n">
        <f aca="false">W_PH(AK$2,$A596)</f>
        <v>2015</v>
      </c>
      <c r="AL596" s="0" t="n">
        <f aca="false">W_PH(AL$2,$A596)</f>
        <v>2015</v>
      </c>
      <c r="AM596" s="0" t="n">
        <f aca="false">W_PH(AM$2,$A596)</f>
        <v>2015</v>
      </c>
      <c r="AN596" s="0" t="n">
        <f aca="false">W_PH(AN$2,$A596)</f>
        <v>2015</v>
      </c>
      <c r="AO596" s="0" t="n">
        <f aca="false">W_PH(AO$2,$A596)</f>
        <v>2015</v>
      </c>
      <c r="AP596" s="0" t="n">
        <f aca="false">W_PH(AP$2,$A596)</f>
        <v>2015</v>
      </c>
      <c r="AQ596" s="0" t="n">
        <f aca="false">W_PH(AQ$2,$A596)</f>
        <v>2015</v>
      </c>
      <c r="AR596" s="0" t="n">
        <f aca="false">W_PH(AR$2,$A596)</f>
        <v>2015</v>
      </c>
      <c r="AS596" s="0" t="n">
        <f aca="false">W_PH(AS$2,$A596)</f>
        <v>2015</v>
      </c>
    </row>
    <row r="597" customFormat="false" ht="12.8" hidden="false" customHeight="false" outlineLevel="0" collapsed="false">
      <c r="A597" s="0" t="n">
        <v>3254.51418744626</v>
      </c>
      <c r="B597" s="0" t="n">
        <f aca="false">W_PH(B$2,$A597)</f>
        <v>2015</v>
      </c>
      <c r="C597" s="0" t="n">
        <f aca="false">W_PH(C$2,$A597)</f>
        <v>2015</v>
      </c>
      <c r="D597" s="0" t="n">
        <f aca="false">W_PH(D$2,$A597)</f>
        <v>2015</v>
      </c>
      <c r="E597" s="0" t="n">
        <f aca="false">W_PH(E$2,$A597)</f>
        <v>2015</v>
      </c>
      <c r="F597" s="0" t="n">
        <f aca="false">W_PH(F$2,$A597)</f>
        <v>2015</v>
      </c>
      <c r="G597" s="0" t="n">
        <f aca="false">W_PH(G$2,$A597)</f>
        <v>2015</v>
      </c>
      <c r="H597" s="0" t="n">
        <f aca="false">W_PH(H$2,$A597)</f>
        <v>2015</v>
      </c>
      <c r="I597" s="0" t="n">
        <f aca="false">W_PH(I$2,$A597)</f>
        <v>2015</v>
      </c>
      <c r="J597" s="0" t="n">
        <f aca="false">W_PH(J$2,$A597)</f>
        <v>2015</v>
      </c>
      <c r="K597" s="0" t="n">
        <f aca="false">W_PH(K$2,$A597)</f>
        <v>2015</v>
      </c>
      <c r="L597" s="0" t="n">
        <f aca="false">W_PH(L$2,$A597)</f>
        <v>2015</v>
      </c>
      <c r="M597" s="0" t="n">
        <f aca="false">W_PH(M$2,$A597)</f>
        <v>2015</v>
      </c>
      <c r="N597" s="0" t="n">
        <f aca="false">W_PH(N$2,$A597)</f>
        <v>2015</v>
      </c>
      <c r="O597" s="0" t="n">
        <f aca="false">W_PH(O$2,$A597)</f>
        <v>2015</v>
      </c>
      <c r="P597" s="0" t="n">
        <f aca="false">W_PH(P$2,$A597)</f>
        <v>2015</v>
      </c>
      <c r="Q597" s="0" t="n">
        <f aca="false">W_PH(Q$2,$A597)</f>
        <v>2015</v>
      </c>
      <c r="R597" s="0" t="n">
        <f aca="false">W_PH(R$2,$A597)</f>
        <v>2015</v>
      </c>
      <c r="S597" s="0" t="n">
        <f aca="false">W_PH(S$2,$A597)</f>
        <v>2015</v>
      </c>
      <c r="T597" s="0" t="n">
        <f aca="false">W_PH(T$2,$A597)</f>
        <v>2015</v>
      </c>
      <c r="U597" s="0" t="n">
        <f aca="false">W_PH(U$2,$A597)</f>
        <v>2015</v>
      </c>
      <c r="V597" s="0" t="n">
        <f aca="false">W_PH(V$2,$A597)</f>
        <v>2015</v>
      </c>
      <c r="W597" s="0" t="n">
        <f aca="false">W_PH(W$2,$A597)</f>
        <v>2015</v>
      </c>
      <c r="X597" s="0" t="n">
        <f aca="false">W_PH(X$2,$A597)</f>
        <v>2015</v>
      </c>
      <c r="Y597" s="0" t="n">
        <f aca="false">W_PH(Y$2,$A597)</f>
        <v>2015</v>
      </c>
      <c r="Z597" s="0" t="n">
        <f aca="false">W_PH(Z$2,$A597)</f>
        <v>2015</v>
      </c>
      <c r="AA597" s="0" t="n">
        <f aca="false">W_PH(AA$2,$A597)</f>
        <v>2015</v>
      </c>
      <c r="AB597" s="0" t="n">
        <f aca="false">W_PH(AB$2,$A597)</f>
        <v>2015</v>
      </c>
      <c r="AC597" s="0" t="n">
        <f aca="false">W_PH(AC$2,$A597)</f>
        <v>2015</v>
      </c>
      <c r="AD597" s="0" t="n">
        <f aca="false">W_PH(AD$2,$A597)</f>
        <v>2015</v>
      </c>
      <c r="AE597" s="0" t="n">
        <f aca="false">W_PH(AE$2,$A597)</f>
        <v>2015</v>
      </c>
      <c r="AF597" s="0" t="n">
        <f aca="false">W_PH(AF$2,$A597)</f>
        <v>2015</v>
      </c>
      <c r="AG597" s="0" t="n">
        <f aca="false">W_PH(AG$2,$A597)</f>
        <v>2015</v>
      </c>
      <c r="AH597" s="0" t="n">
        <f aca="false">W_PH(AH$2,$A597)</f>
        <v>2015</v>
      </c>
      <c r="AI597" s="0" t="n">
        <f aca="false">W_PH(AI$2,$A597)</f>
        <v>2015</v>
      </c>
      <c r="AJ597" s="0" t="n">
        <f aca="false">W_PH(AJ$2,$A597)</f>
        <v>2015</v>
      </c>
      <c r="AK597" s="0" t="n">
        <f aca="false">W_PH(AK$2,$A597)</f>
        <v>2015</v>
      </c>
      <c r="AL597" s="0" t="n">
        <f aca="false">W_PH(AL$2,$A597)</f>
        <v>2015</v>
      </c>
      <c r="AM597" s="0" t="n">
        <f aca="false">W_PH(AM$2,$A597)</f>
        <v>2015</v>
      </c>
      <c r="AN597" s="0" t="n">
        <f aca="false">W_PH(AN$2,$A597)</f>
        <v>2015</v>
      </c>
      <c r="AO597" s="0" t="n">
        <f aca="false">W_PH(AO$2,$A597)</f>
        <v>2015</v>
      </c>
      <c r="AP597" s="0" t="n">
        <f aca="false">W_PH(AP$2,$A597)</f>
        <v>2015</v>
      </c>
      <c r="AQ597" s="0" t="n">
        <f aca="false">W_PH(AQ$2,$A597)</f>
        <v>2015</v>
      </c>
      <c r="AR597" s="0" t="n">
        <f aca="false">W_PH(AR$2,$A597)</f>
        <v>2015</v>
      </c>
      <c r="AS597" s="0" t="n">
        <f aca="false">W_PH(AS$2,$A597)</f>
        <v>2015</v>
      </c>
    </row>
    <row r="598" customFormat="false" ht="12.8" hidden="false" customHeight="false" outlineLevel="0" collapsed="false">
      <c r="A598" s="0" t="n">
        <v>3258.81341358555</v>
      </c>
      <c r="B598" s="0" t="n">
        <f aca="false">W_PH(B$2,$A598)</f>
        <v>2015</v>
      </c>
      <c r="C598" s="0" t="n">
        <f aca="false">W_PH(C$2,$A598)</f>
        <v>2015</v>
      </c>
      <c r="D598" s="0" t="n">
        <f aca="false">W_PH(D$2,$A598)</f>
        <v>2015</v>
      </c>
      <c r="E598" s="0" t="n">
        <f aca="false">W_PH(E$2,$A598)</f>
        <v>2015</v>
      </c>
      <c r="F598" s="0" t="n">
        <f aca="false">W_PH(F$2,$A598)</f>
        <v>2015</v>
      </c>
      <c r="G598" s="0" t="n">
        <f aca="false">W_PH(G$2,$A598)</f>
        <v>2015</v>
      </c>
      <c r="H598" s="0" t="n">
        <f aca="false">W_PH(H$2,$A598)</f>
        <v>2015</v>
      </c>
      <c r="I598" s="0" t="n">
        <f aca="false">W_PH(I$2,$A598)</f>
        <v>2015</v>
      </c>
      <c r="J598" s="0" t="n">
        <f aca="false">W_PH(J$2,$A598)</f>
        <v>2015</v>
      </c>
      <c r="K598" s="0" t="n">
        <f aca="false">W_PH(K$2,$A598)</f>
        <v>2015</v>
      </c>
      <c r="L598" s="0" t="n">
        <f aca="false">W_PH(L$2,$A598)</f>
        <v>2015</v>
      </c>
      <c r="M598" s="0" t="n">
        <f aca="false">W_PH(M$2,$A598)</f>
        <v>2015</v>
      </c>
      <c r="N598" s="0" t="n">
        <f aca="false">W_PH(N$2,$A598)</f>
        <v>2015</v>
      </c>
      <c r="O598" s="0" t="n">
        <f aca="false">W_PH(O$2,$A598)</f>
        <v>2015</v>
      </c>
      <c r="P598" s="0" t="n">
        <f aca="false">W_PH(P$2,$A598)</f>
        <v>2015</v>
      </c>
      <c r="Q598" s="0" t="n">
        <f aca="false">W_PH(Q$2,$A598)</f>
        <v>2015</v>
      </c>
      <c r="R598" s="0" t="n">
        <f aca="false">W_PH(R$2,$A598)</f>
        <v>2015</v>
      </c>
      <c r="S598" s="0" t="n">
        <f aca="false">W_PH(S$2,$A598)</f>
        <v>2015</v>
      </c>
      <c r="T598" s="0" t="n">
        <f aca="false">W_PH(T$2,$A598)</f>
        <v>2015</v>
      </c>
      <c r="U598" s="0" t="n">
        <f aca="false">W_PH(U$2,$A598)</f>
        <v>2015</v>
      </c>
      <c r="V598" s="0" t="n">
        <f aca="false">W_PH(V$2,$A598)</f>
        <v>2015</v>
      </c>
      <c r="W598" s="0" t="n">
        <f aca="false">W_PH(W$2,$A598)</f>
        <v>2015</v>
      </c>
      <c r="X598" s="0" t="n">
        <f aca="false">W_PH(X$2,$A598)</f>
        <v>2015</v>
      </c>
      <c r="Y598" s="0" t="n">
        <f aca="false">W_PH(Y$2,$A598)</f>
        <v>2015</v>
      </c>
      <c r="Z598" s="0" t="n">
        <f aca="false">W_PH(Z$2,$A598)</f>
        <v>2015</v>
      </c>
      <c r="AA598" s="0" t="n">
        <f aca="false">W_PH(AA$2,$A598)</f>
        <v>2015</v>
      </c>
      <c r="AB598" s="0" t="n">
        <f aca="false">W_PH(AB$2,$A598)</f>
        <v>2015</v>
      </c>
      <c r="AC598" s="0" t="n">
        <f aca="false">W_PH(AC$2,$A598)</f>
        <v>2015</v>
      </c>
      <c r="AD598" s="0" t="n">
        <f aca="false">W_PH(AD$2,$A598)</f>
        <v>2015</v>
      </c>
      <c r="AE598" s="0" t="n">
        <f aca="false">W_PH(AE$2,$A598)</f>
        <v>2015</v>
      </c>
      <c r="AF598" s="0" t="n">
        <f aca="false">W_PH(AF$2,$A598)</f>
        <v>2015</v>
      </c>
      <c r="AG598" s="0" t="n">
        <f aca="false">W_PH(AG$2,$A598)</f>
        <v>2015</v>
      </c>
      <c r="AH598" s="0" t="n">
        <f aca="false">W_PH(AH$2,$A598)</f>
        <v>2015</v>
      </c>
      <c r="AI598" s="0" t="n">
        <f aca="false">W_PH(AI$2,$A598)</f>
        <v>2015</v>
      </c>
      <c r="AJ598" s="0" t="n">
        <f aca="false">W_PH(AJ$2,$A598)</f>
        <v>2015</v>
      </c>
      <c r="AK598" s="0" t="n">
        <f aca="false">W_PH(AK$2,$A598)</f>
        <v>2015</v>
      </c>
      <c r="AL598" s="0" t="n">
        <f aca="false">W_PH(AL$2,$A598)</f>
        <v>2015</v>
      </c>
      <c r="AM598" s="0" t="n">
        <f aca="false">W_PH(AM$2,$A598)</f>
        <v>2015</v>
      </c>
      <c r="AN598" s="0" t="n">
        <f aca="false">W_PH(AN$2,$A598)</f>
        <v>2015</v>
      </c>
      <c r="AO598" s="0" t="n">
        <f aca="false">W_PH(AO$2,$A598)</f>
        <v>2015</v>
      </c>
      <c r="AP598" s="0" t="n">
        <f aca="false">W_PH(AP$2,$A598)</f>
        <v>2015</v>
      </c>
      <c r="AQ598" s="0" t="n">
        <f aca="false">W_PH(AQ$2,$A598)</f>
        <v>2015</v>
      </c>
      <c r="AR598" s="0" t="n">
        <f aca="false">W_PH(AR$2,$A598)</f>
        <v>2015</v>
      </c>
      <c r="AS598" s="0" t="n">
        <f aca="false">W_PH(AS$2,$A598)</f>
        <v>2015</v>
      </c>
    </row>
    <row r="599" customFormat="false" ht="12.8" hidden="false" customHeight="false" outlineLevel="0" collapsed="false">
      <c r="A599" s="0" t="n">
        <v>3263.11263972485</v>
      </c>
      <c r="B599" s="0" t="n">
        <f aca="false">W_PH(B$2,$A599)</f>
        <v>2015</v>
      </c>
      <c r="C599" s="0" t="n">
        <f aca="false">W_PH(C$2,$A599)</f>
        <v>2015</v>
      </c>
      <c r="D599" s="0" t="n">
        <f aca="false">W_PH(D$2,$A599)</f>
        <v>2015</v>
      </c>
      <c r="E599" s="0" t="n">
        <f aca="false">W_PH(E$2,$A599)</f>
        <v>2015</v>
      </c>
      <c r="F599" s="0" t="n">
        <f aca="false">W_PH(F$2,$A599)</f>
        <v>2015</v>
      </c>
      <c r="G599" s="0" t="n">
        <f aca="false">W_PH(G$2,$A599)</f>
        <v>2015</v>
      </c>
      <c r="H599" s="0" t="n">
        <f aca="false">W_PH(H$2,$A599)</f>
        <v>2015</v>
      </c>
      <c r="I599" s="0" t="n">
        <f aca="false">W_PH(I$2,$A599)</f>
        <v>2015</v>
      </c>
      <c r="J599" s="0" t="n">
        <f aca="false">W_PH(J$2,$A599)</f>
        <v>2015</v>
      </c>
      <c r="K599" s="0" t="n">
        <f aca="false">W_PH(K$2,$A599)</f>
        <v>2015</v>
      </c>
      <c r="L599" s="0" t="n">
        <f aca="false">W_PH(L$2,$A599)</f>
        <v>2015</v>
      </c>
      <c r="M599" s="0" t="n">
        <f aca="false">W_PH(M$2,$A599)</f>
        <v>2015</v>
      </c>
      <c r="N599" s="0" t="n">
        <f aca="false">W_PH(N$2,$A599)</f>
        <v>2015</v>
      </c>
      <c r="O599" s="0" t="n">
        <f aca="false">W_PH(O$2,$A599)</f>
        <v>2015</v>
      </c>
      <c r="P599" s="0" t="n">
        <f aca="false">W_PH(P$2,$A599)</f>
        <v>2015</v>
      </c>
      <c r="Q599" s="0" t="n">
        <f aca="false">W_PH(Q$2,$A599)</f>
        <v>2015</v>
      </c>
      <c r="R599" s="0" t="n">
        <f aca="false">W_PH(R$2,$A599)</f>
        <v>2015</v>
      </c>
      <c r="S599" s="0" t="n">
        <f aca="false">W_PH(S$2,$A599)</f>
        <v>2015</v>
      </c>
      <c r="T599" s="0" t="n">
        <f aca="false">W_PH(T$2,$A599)</f>
        <v>2015</v>
      </c>
      <c r="U599" s="0" t="n">
        <f aca="false">W_PH(U$2,$A599)</f>
        <v>2015</v>
      </c>
      <c r="V599" s="0" t="n">
        <f aca="false">W_PH(V$2,$A599)</f>
        <v>2015</v>
      </c>
      <c r="W599" s="0" t="n">
        <f aca="false">W_PH(W$2,$A599)</f>
        <v>2015</v>
      </c>
      <c r="X599" s="0" t="n">
        <f aca="false">W_PH(X$2,$A599)</f>
        <v>2015</v>
      </c>
      <c r="Y599" s="0" t="n">
        <f aca="false">W_PH(Y$2,$A599)</f>
        <v>2015</v>
      </c>
      <c r="Z599" s="0" t="n">
        <f aca="false">W_PH(Z$2,$A599)</f>
        <v>2015</v>
      </c>
      <c r="AA599" s="0" t="n">
        <f aca="false">W_PH(AA$2,$A599)</f>
        <v>2015</v>
      </c>
      <c r="AB599" s="0" t="n">
        <f aca="false">W_PH(AB$2,$A599)</f>
        <v>2015</v>
      </c>
      <c r="AC599" s="0" t="n">
        <f aca="false">W_PH(AC$2,$A599)</f>
        <v>2015</v>
      </c>
      <c r="AD599" s="0" t="n">
        <f aca="false">W_PH(AD$2,$A599)</f>
        <v>2015</v>
      </c>
      <c r="AE599" s="0" t="n">
        <f aca="false">W_PH(AE$2,$A599)</f>
        <v>2015</v>
      </c>
      <c r="AF599" s="0" t="n">
        <f aca="false">W_PH(AF$2,$A599)</f>
        <v>2015</v>
      </c>
      <c r="AG599" s="0" t="n">
        <f aca="false">W_PH(AG$2,$A599)</f>
        <v>2015</v>
      </c>
      <c r="AH599" s="0" t="n">
        <f aca="false">W_PH(AH$2,$A599)</f>
        <v>2015</v>
      </c>
      <c r="AI599" s="0" t="n">
        <f aca="false">W_PH(AI$2,$A599)</f>
        <v>2015</v>
      </c>
      <c r="AJ599" s="0" t="n">
        <f aca="false">W_PH(AJ$2,$A599)</f>
        <v>2015</v>
      </c>
      <c r="AK599" s="0" t="n">
        <f aca="false">W_PH(AK$2,$A599)</f>
        <v>2015</v>
      </c>
      <c r="AL599" s="0" t="n">
        <f aca="false">W_PH(AL$2,$A599)</f>
        <v>2015</v>
      </c>
      <c r="AM599" s="0" t="n">
        <f aca="false">W_PH(AM$2,$A599)</f>
        <v>2015</v>
      </c>
      <c r="AN599" s="0" t="n">
        <f aca="false">W_PH(AN$2,$A599)</f>
        <v>2015</v>
      </c>
      <c r="AO599" s="0" t="n">
        <f aca="false">W_PH(AO$2,$A599)</f>
        <v>2015</v>
      </c>
      <c r="AP599" s="0" t="n">
        <f aca="false">W_PH(AP$2,$A599)</f>
        <v>2015</v>
      </c>
      <c r="AQ599" s="0" t="n">
        <f aca="false">W_PH(AQ$2,$A599)</f>
        <v>2015</v>
      </c>
      <c r="AR599" s="0" t="n">
        <f aca="false">W_PH(AR$2,$A599)</f>
        <v>2015</v>
      </c>
      <c r="AS599" s="0" t="n">
        <f aca="false">W_PH(AS$2,$A599)</f>
        <v>2015</v>
      </c>
    </row>
    <row r="600" customFormat="false" ht="12.8" hidden="false" customHeight="false" outlineLevel="0" collapsed="false">
      <c r="A600" s="0" t="n">
        <v>3267.41186586414</v>
      </c>
      <c r="B600" s="0" t="n">
        <f aca="false">W_PH(B$2,$A600)</f>
        <v>2015</v>
      </c>
      <c r="C600" s="0" t="n">
        <f aca="false">W_PH(C$2,$A600)</f>
        <v>2015</v>
      </c>
      <c r="D600" s="0" t="n">
        <f aca="false">W_PH(D$2,$A600)</f>
        <v>2015</v>
      </c>
      <c r="E600" s="0" t="n">
        <f aca="false">W_PH(E$2,$A600)</f>
        <v>2015</v>
      </c>
      <c r="F600" s="0" t="n">
        <f aca="false">W_PH(F$2,$A600)</f>
        <v>2015</v>
      </c>
      <c r="G600" s="0" t="n">
        <f aca="false">W_PH(G$2,$A600)</f>
        <v>2015</v>
      </c>
      <c r="H600" s="0" t="n">
        <f aca="false">W_PH(H$2,$A600)</f>
        <v>2015</v>
      </c>
      <c r="I600" s="0" t="n">
        <f aca="false">W_PH(I$2,$A600)</f>
        <v>2015</v>
      </c>
      <c r="J600" s="0" t="n">
        <f aca="false">W_PH(J$2,$A600)</f>
        <v>2015</v>
      </c>
      <c r="K600" s="0" t="n">
        <f aca="false">W_PH(K$2,$A600)</f>
        <v>2015</v>
      </c>
      <c r="L600" s="0" t="n">
        <f aca="false">W_PH(L$2,$A600)</f>
        <v>2015</v>
      </c>
      <c r="M600" s="0" t="n">
        <f aca="false">W_PH(M$2,$A600)</f>
        <v>2015</v>
      </c>
      <c r="N600" s="0" t="n">
        <f aca="false">W_PH(N$2,$A600)</f>
        <v>2015</v>
      </c>
      <c r="O600" s="0" t="n">
        <f aca="false">W_PH(O$2,$A600)</f>
        <v>2015</v>
      </c>
      <c r="P600" s="0" t="n">
        <f aca="false">W_PH(P$2,$A600)</f>
        <v>2015</v>
      </c>
      <c r="Q600" s="0" t="n">
        <f aca="false">W_PH(Q$2,$A600)</f>
        <v>2015</v>
      </c>
      <c r="R600" s="0" t="n">
        <f aca="false">W_PH(R$2,$A600)</f>
        <v>2015</v>
      </c>
      <c r="S600" s="0" t="n">
        <f aca="false">W_PH(S$2,$A600)</f>
        <v>2015</v>
      </c>
      <c r="T600" s="0" t="n">
        <f aca="false">W_PH(T$2,$A600)</f>
        <v>2015</v>
      </c>
      <c r="U600" s="0" t="n">
        <f aca="false">W_PH(U$2,$A600)</f>
        <v>2015</v>
      </c>
      <c r="V600" s="0" t="n">
        <f aca="false">W_PH(V$2,$A600)</f>
        <v>2015</v>
      </c>
      <c r="W600" s="0" t="n">
        <f aca="false">W_PH(W$2,$A600)</f>
        <v>2015</v>
      </c>
      <c r="X600" s="0" t="n">
        <f aca="false">W_PH(X$2,$A600)</f>
        <v>2015</v>
      </c>
      <c r="Y600" s="0" t="n">
        <f aca="false">W_PH(Y$2,$A600)</f>
        <v>2015</v>
      </c>
      <c r="Z600" s="0" t="n">
        <f aca="false">W_PH(Z$2,$A600)</f>
        <v>2015</v>
      </c>
      <c r="AA600" s="0" t="n">
        <f aca="false">W_PH(AA$2,$A600)</f>
        <v>2015</v>
      </c>
      <c r="AB600" s="0" t="n">
        <f aca="false">W_PH(AB$2,$A600)</f>
        <v>2015</v>
      </c>
      <c r="AC600" s="0" t="n">
        <f aca="false">W_PH(AC$2,$A600)</f>
        <v>2015</v>
      </c>
      <c r="AD600" s="0" t="n">
        <f aca="false">W_PH(AD$2,$A600)</f>
        <v>2015</v>
      </c>
      <c r="AE600" s="0" t="n">
        <f aca="false">W_PH(AE$2,$A600)</f>
        <v>2015</v>
      </c>
      <c r="AF600" s="0" t="n">
        <f aca="false">W_PH(AF$2,$A600)</f>
        <v>2015</v>
      </c>
      <c r="AG600" s="0" t="n">
        <f aca="false">W_PH(AG$2,$A600)</f>
        <v>2015</v>
      </c>
      <c r="AH600" s="0" t="n">
        <f aca="false">W_PH(AH$2,$A600)</f>
        <v>2015</v>
      </c>
      <c r="AI600" s="0" t="n">
        <f aca="false">W_PH(AI$2,$A600)</f>
        <v>2015</v>
      </c>
      <c r="AJ600" s="0" t="n">
        <f aca="false">W_PH(AJ$2,$A600)</f>
        <v>2015</v>
      </c>
      <c r="AK600" s="0" t="n">
        <f aca="false">W_PH(AK$2,$A600)</f>
        <v>2015</v>
      </c>
      <c r="AL600" s="0" t="n">
        <f aca="false">W_PH(AL$2,$A600)</f>
        <v>2015</v>
      </c>
      <c r="AM600" s="0" t="n">
        <f aca="false">W_PH(AM$2,$A600)</f>
        <v>2015</v>
      </c>
      <c r="AN600" s="0" t="n">
        <f aca="false">W_PH(AN$2,$A600)</f>
        <v>2015</v>
      </c>
      <c r="AO600" s="0" t="n">
        <f aca="false">W_PH(AO$2,$A600)</f>
        <v>2015</v>
      </c>
      <c r="AP600" s="0" t="n">
        <f aca="false">W_PH(AP$2,$A600)</f>
        <v>2015</v>
      </c>
      <c r="AQ600" s="0" t="n">
        <f aca="false">W_PH(AQ$2,$A600)</f>
        <v>2015</v>
      </c>
      <c r="AR600" s="0" t="n">
        <f aca="false">W_PH(AR$2,$A600)</f>
        <v>2015</v>
      </c>
      <c r="AS600" s="0" t="n">
        <f aca="false">W_PH(AS$2,$A600)</f>
        <v>2015</v>
      </c>
    </row>
    <row r="601" customFormat="false" ht="12.8" hidden="false" customHeight="false" outlineLevel="0" collapsed="false">
      <c r="A601" s="0" t="n">
        <v>3271.71109200344</v>
      </c>
      <c r="B601" s="0" t="n">
        <f aca="false">W_PH(B$2,$A601)</f>
        <v>2015</v>
      </c>
      <c r="C601" s="0" t="n">
        <f aca="false">W_PH(C$2,$A601)</f>
        <v>2015</v>
      </c>
      <c r="D601" s="0" t="n">
        <f aca="false">W_PH(D$2,$A601)</f>
        <v>2015</v>
      </c>
      <c r="E601" s="0" t="n">
        <f aca="false">W_PH(E$2,$A601)</f>
        <v>2015</v>
      </c>
      <c r="F601" s="0" t="n">
        <f aca="false">W_PH(F$2,$A601)</f>
        <v>2015</v>
      </c>
      <c r="G601" s="0" t="n">
        <f aca="false">W_PH(G$2,$A601)</f>
        <v>2015</v>
      </c>
      <c r="H601" s="0" t="n">
        <f aca="false">W_PH(H$2,$A601)</f>
        <v>2015</v>
      </c>
      <c r="I601" s="0" t="n">
        <f aca="false">W_PH(I$2,$A601)</f>
        <v>2015</v>
      </c>
      <c r="J601" s="0" t="n">
        <f aca="false">W_PH(J$2,$A601)</f>
        <v>2015</v>
      </c>
      <c r="K601" s="0" t="n">
        <f aca="false">W_PH(K$2,$A601)</f>
        <v>2015</v>
      </c>
      <c r="L601" s="0" t="n">
        <f aca="false">W_PH(L$2,$A601)</f>
        <v>2015</v>
      </c>
      <c r="M601" s="0" t="n">
        <f aca="false">W_PH(M$2,$A601)</f>
        <v>2015</v>
      </c>
      <c r="N601" s="0" t="n">
        <f aca="false">W_PH(N$2,$A601)</f>
        <v>2015</v>
      </c>
      <c r="O601" s="0" t="n">
        <f aca="false">W_PH(O$2,$A601)</f>
        <v>2015</v>
      </c>
      <c r="P601" s="0" t="n">
        <f aca="false">W_PH(P$2,$A601)</f>
        <v>2015</v>
      </c>
      <c r="Q601" s="0" t="n">
        <f aca="false">W_PH(Q$2,$A601)</f>
        <v>2015</v>
      </c>
      <c r="R601" s="0" t="n">
        <f aca="false">W_PH(R$2,$A601)</f>
        <v>2015</v>
      </c>
      <c r="S601" s="0" t="n">
        <f aca="false">W_PH(S$2,$A601)</f>
        <v>2015</v>
      </c>
      <c r="T601" s="0" t="n">
        <f aca="false">W_PH(T$2,$A601)</f>
        <v>2015</v>
      </c>
      <c r="U601" s="0" t="n">
        <f aca="false">W_PH(U$2,$A601)</f>
        <v>2015</v>
      </c>
      <c r="V601" s="0" t="n">
        <f aca="false">W_PH(V$2,$A601)</f>
        <v>2015</v>
      </c>
      <c r="W601" s="0" t="n">
        <f aca="false">W_PH(W$2,$A601)</f>
        <v>2015</v>
      </c>
      <c r="X601" s="0" t="n">
        <f aca="false">W_PH(X$2,$A601)</f>
        <v>2015</v>
      </c>
      <c r="Y601" s="0" t="n">
        <f aca="false">W_PH(Y$2,$A601)</f>
        <v>2015</v>
      </c>
      <c r="Z601" s="0" t="n">
        <f aca="false">W_PH(Z$2,$A601)</f>
        <v>2015</v>
      </c>
      <c r="AA601" s="0" t="n">
        <f aca="false">W_PH(AA$2,$A601)</f>
        <v>2015</v>
      </c>
      <c r="AB601" s="0" t="n">
        <f aca="false">W_PH(AB$2,$A601)</f>
        <v>2015</v>
      </c>
      <c r="AC601" s="0" t="n">
        <f aca="false">W_PH(AC$2,$A601)</f>
        <v>2015</v>
      </c>
      <c r="AD601" s="0" t="n">
        <f aca="false">W_PH(AD$2,$A601)</f>
        <v>2015</v>
      </c>
      <c r="AE601" s="0" t="n">
        <f aca="false">W_PH(AE$2,$A601)</f>
        <v>2015</v>
      </c>
      <c r="AF601" s="0" t="n">
        <f aca="false">W_PH(AF$2,$A601)</f>
        <v>2015</v>
      </c>
      <c r="AG601" s="0" t="n">
        <f aca="false">W_PH(AG$2,$A601)</f>
        <v>2015</v>
      </c>
      <c r="AH601" s="0" t="n">
        <f aca="false">W_PH(AH$2,$A601)</f>
        <v>2015</v>
      </c>
      <c r="AI601" s="0" t="n">
        <f aca="false">W_PH(AI$2,$A601)</f>
        <v>2015</v>
      </c>
      <c r="AJ601" s="0" t="n">
        <f aca="false">W_PH(AJ$2,$A601)</f>
        <v>2015</v>
      </c>
      <c r="AK601" s="0" t="n">
        <f aca="false">W_PH(AK$2,$A601)</f>
        <v>2015</v>
      </c>
      <c r="AL601" s="0" t="n">
        <f aca="false">W_PH(AL$2,$A601)</f>
        <v>2015</v>
      </c>
      <c r="AM601" s="0" t="n">
        <f aca="false">W_PH(AM$2,$A601)</f>
        <v>2015</v>
      </c>
      <c r="AN601" s="0" t="n">
        <f aca="false">W_PH(AN$2,$A601)</f>
        <v>2015</v>
      </c>
      <c r="AO601" s="0" t="n">
        <f aca="false">W_PH(AO$2,$A601)</f>
        <v>2015</v>
      </c>
      <c r="AP601" s="0" t="n">
        <f aca="false">W_PH(AP$2,$A601)</f>
        <v>2015</v>
      </c>
      <c r="AQ601" s="0" t="n">
        <f aca="false">W_PH(AQ$2,$A601)</f>
        <v>2015</v>
      </c>
      <c r="AR601" s="0" t="n">
        <f aca="false">W_PH(AR$2,$A601)</f>
        <v>2015</v>
      </c>
      <c r="AS601" s="0" t="n">
        <f aca="false">W_PH(AS$2,$A601)</f>
        <v>2015</v>
      </c>
    </row>
    <row r="602" customFormat="false" ht="12.8" hidden="false" customHeight="false" outlineLevel="0" collapsed="false">
      <c r="A602" s="0" t="n">
        <v>3276.01031814273</v>
      </c>
      <c r="B602" s="0" t="n">
        <f aca="false">W_PH(B$2,$A602)</f>
        <v>2015</v>
      </c>
      <c r="C602" s="0" t="n">
        <f aca="false">W_PH(C$2,$A602)</f>
        <v>2015</v>
      </c>
      <c r="D602" s="0" t="n">
        <f aca="false">W_PH(D$2,$A602)</f>
        <v>2015</v>
      </c>
      <c r="E602" s="0" t="n">
        <f aca="false">W_PH(E$2,$A602)</f>
        <v>2015</v>
      </c>
      <c r="F602" s="0" t="n">
        <f aca="false">W_PH(F$2,$A602)</f>
        <v>2015</v>
      </c>
      <c r="G602" s="0" t="n">
        <f aca="false">W_PH(G$2,$A602)</f>
        <v>2015</v>
      </c>
      <c r="H602" s="0" t="n">
        <f aca="false">W_PH(H$2,$A602)</f>
        <v>2015</v>
      </c>
      <c r="I602" s="0" t="n">
        <f aca="false">W_PH(I$2,$A602)</f>
        <v>2015</v>
      </c>
      <c r="J602" s="0" t="n">
        <f aca="false">W_PH(J$2,$A602)</f>
        <v>2015</v>
      </c>
      <c r="K602" s="0" t="n">
        <f aca="false">W_PH(K$2,$A602)</f>
        <v>2015</v>
      </c>
      <c r="L602" s="0" t="n">
        <f aca="false">W_PH(L$2,$A602)</f>
        <v>2015</v>
      </c>
      <c r="M602" s="0" t="n">
        <f aca="false">W_PH(M$2,$A602)</f>
        <v>2015</v>
      </c>
      <c r="N602" s="0" t="n">
        <f aca="false">W_PH(N$2,$A602)</f>
        <v>2015</v>
      </c>
      <c r="O602" s="0" t="n">
        <f aca="false">W_PH(O$2,$A602)</f>
        <v>2015</v>
      </c>
      <c r="P602" s="0" t="n">
        <f aca="false">W_PH(P$2,$A602)</f>
        <v>2015</v>
      </c>
      <c r="Q602" s="0" t="n">
        <f aca="false">W_PH(Q$2,$A602)</f>
        <v>2015</v>
      </c>
      <c r="R602" s="0" t="n">
        <f aca="false">W_PH(R$2,$A602)</f>
        <v>2015</v>
      </c>
      <c r="S602" s="0" t="n">
        <f aca="false">W_PH(S$2,$A602)</f>
        <v>2015</v>
      </c>
      <c r="T602" s="0" t="n">
        <f aca="false">W_PH(T$2,$A602)</f>
        <v>2015</v>
      </c>
      <c r="U602" s="0" t="n">
        <f aca="false">W_PH(U$2,$A602)</f>
        <v>2015</v>
      </c>
      <c r="V602" s="0" t="n">
        <f aca="false">W_PH(V$2,$A602)</f>
        <v>2015</v>
      </c>
      <c r="W602" s="0" t="n">
        <f aca="false">W_PH(W$2,$A602)</f>
        <v>2015</v>
      </c>
      <c r="X602" s="0" t="n">
        <f aca="false">W_PH(X$2,$A602)</f>
        <v>2015</v>
      </c>
      <c r="Y602" s="0" t="n">
        <f aca="false">W_PH(Y$2,$A602)</f>
        <v>2015</v>
      </c>
      <c r="Z602" s="0" t="n">
        <f aca="false">W_PH(Z$2,$A602)</f>
        <v>2015</v>
      </c>
      <c r="AA602" s="0" t="n">
        <f aca="false">W_PH(AA$2,$A602)</f>
        <v>2015</v>
      </c>
      <c r="AB602" s="0" t="n">
        <f aca="false">W_PH(AB$2,$A602)</f>
        <v>2015</v>
      </c>
      <c r="AC602" s="0" t="n">
        <f aca="false">W_PH(AC$2,$A602)</f>
        <v>2015</v>
      </c>
      <c r="AD602" s="0" t="n">
        <f aca="false">W_PH(AD$2,$A602)</f>
        <v>2015</v>
      </c>
      <c r="AE602" s="0" t="n">
        <f aca="false">W_PH(AE$2,$A602)</f>
        <v>2015</v>
      </c>
      <c r="AF602" s="0" t="n">
        <f aca="false">W_PH(AF$2,$A602)</f>
        <v>2015</v>
      </c>
      <c r="AG602" s="0" t="n">
        <f aca="false">W_PH(AG$2,$A602)</f>
        <v>2015</v>
      </c>
      <c r="AH602" s="0" t="n">
        <f aca="false">W_PH(AH$2,$A602)</f>
        <v>2015</v>
      </c>
      <c r="AI602" s="0" t="n">
        <f aca="false">W_PH(AI$2,$A602)</f>
        <v>2015</v>
      </c>
      <c r="AJ602" s="0" t="n">
        <f aca="false">W_PH(AJ$2,$A602)</f>
        <v>2015</v>
      </c>
      <c r="AK602" s="0" t="n">
        <f aca="false">W_PH(AK$2,$A602)</f>
        <v>2015</v>
      </c>
      <c r="AL602" s="0" t="n">
        <f aca="false">W_PH(AL$2,$A602)</f>
        <v>2015</v>
      </c>
      <c r="AM602" s="0" t="n">
        <f aca="false">W_PH(AM$2,$A602)</f>
        <v>2015</v>
      </c>
      <c r="AN602" s="0" t="n">
        <f aca="false">W_PH(AN$2,$A602)</f>
        <v>2015</v>
      </c>
      <c r="AO602" s="0" t="n">
        <f aca="false">W_PH(AO$2,$A602)</f>
        <v>2015</v>
      </c>
      <c r="AP602" s="0" t="n">
        <f aca="false">W_PH(AP$2,$A602)</f>
        <v>2015</v>
      </c>
      <c r="AQ602" s="0" t="n">
        <f aca="false">W_PH(AQ$2,$A602)</f>
        <v>2015</v>
      </c>
      <c r="AR602" s="0" t="n">
        <f aca="false">W_PH(AR$2,$A602)</f>
        <v>2015</v>
      </c>
      <c r="AS602" s="0" t="n">
        <f aca="false">W_PH(AS$2,$A602)</f>
        <v>2015</v>
      </c>
    </row>
    <row r="603" customFormat="false" ht="12.8" hidden="false" customHeight="false" outlineLevel="0" collapsed="false">
      <c r="A603" s="0" t="n">
        <v>3280.30954428203</v>
      </c>
      <c r="B603" s="0" t="n">
        <f aca="false">W_PH(B$2,$A603)</f>
        <v>2015</v>
      </c>
      <c r="C603" s="0" t="n">
        <f aca="false">W_PH(C$2,$A603)</f>
        <v>2015</v>
      </c>
      <c r="D603" s="0" t="n">
        <f aca="false">W_PH(D$2,$A603)</f>
        <v>2015</v>
      </c>
      <c r="E603" s="0" t="n">
        <f aca="false">W_PH(E$2,$A603)</f>
        <v>2015</v>
      </c>
      <c r="F603" s="0" t="n">
        <f aca="false">W_PH(F$2,$A603)</f>
        <v>2015</v>
      </c>
      <c r="G603" s="0" t="n">
        <f aca="false">W_PH(G$2,$A603)</f>
        <v>2015</v>
      </c>
      <c r="H603" s="0" t="n">
        <f aca="false">W_PH(H$2,$A603)</f>
        <v>2015</v>
      </c>
      <c r="I603" s="0" t="n">
        <f aca="false">W_PH(I$2,$A603)</f>
        <v>2015</v>
      </c>
      <c r="J603" s="0" t="n">
        <f aca="false">W_PH(J$2,$A603)</f>
        <v>2015</v>
      </c>
      <c r="K603" s="0" t="n">
        <f aca="false">W_PH(K$2,$A603)</f>
        <v>2015</v>
      </c>
      <c r="L603" s="0" t="n">
        <f aca="false">W_PH(L$2,$A603)</f>
        <v>2015</v>
      </c>
      <c r="M603" s="0" t="n">
        <f aca="false">W_PH(M$2,$A603)</f>
        <v>2015</v>
      </c>
      <c r="N603" s="0" t="n">
        <f aca="false">W_PH(N$2,$A603)</f>
        <v>2015</v>
      </c>
      <c r="O603" s="0" t="n">
        <f aca="false">W_PH(O$2,$A603)</f>
        <v>2015</v>
      </c>
      <c r="P603" s="0" t="n">
        <f aca="false">W_PH(P$2,$A603)</f>
        <v>2015</v>
      </c>
      <c r="Q603" s="0" t="n">
        <f aca="false">W_PH(Q$2,$A603)</f>
        <v>2015</v>
      </c>
      <c r="R603" s="0" t="n">
        <f aca="false">W_PH(R$2,$A603)</f>
        <v>2015</v>
      </c>
      <c r="S603" s="0" t="n">
        <f aca="false">W_PH(S$2,$A603)</f>
        <v>2015</v>
      </c>
      <c r="T603" s="0" t="n">
        <f aca="false">W_PH(T$2,$A603)</f>
        <v>2015</v>
      </c>
      <c r="U603" s="0" t="n">
        <f aca="false">W_PH(U$2,$A603)</f>
        <v>2015</v>
      </c>
      <c r="V603" s="0" t="n">
        <f aca="false">W_PH(V$2,$A603)</f>
        <v>2015</v>
      </c>
      <c r="W603" s="0" t="n">
        <f aca="false">W_PH(W$2,$A603)</f>
        <v>2015</v>
      </c>
      <c r="X603" s="0" t="n">
        <f aca="false">W_PH(X$2,$A603)</f>
        <v>2015</v>
      </c>
      <c r="Y603" s="0" t="n">
        <f aca="false">W_PH(Y$2,$A603)</f>
        <v>2015</v>
      </c>
      <c r="Z603" s="0" t="n">
        <f aca="false">W_PH(Z$2,$A603)</f>
        <v>2015</v>
      </c>
      <c r="AA603" s="0" t="n">
        <f aca="false">W_PH(AA$2,$A603)</f>
        <v>2015</v>
      </c>
      <c r="AB603" s="0" t="n">
        <f aca="false">W_PH(AB$2,$A603)</f>
        <v>2015</v>
      </c>
      <c r="AC603" s="0" t="n">
        <f aca="false">W_PH(AC$2,$A603)</f>
        <v>2015</v>
      </c>
      <c r="AD603" s="0" t="n">
        <f aca="false">W_PH(AD$2,$A603)</f>
        <v>2015</v>
      </c>
      <c r="AE603" s="0" t="n">
        <f aca="false">W_PH(AE$2,$A603)</f>
        <v>2015</v>
      </c>
      <c r="AF603" s="0" t="n">
        <f aca="false">W_PH(AF$2,$A603)</f>
        <v>2015</v>
      </c>
      <c r="AG603" s="0" t="n">
        <f aca="false">W_PH(AG$2,$A603)</f>
        <v>2015</v>
      </c>
      <c r="AH603" s="0" t="n">
        <f aca="false">W_PH(AH$2,$A603)</f>
        <v>2015</v>
      </c>
      <c r="AI603" s="0" t="n">
        <f aca="false">W_PH(AI$2,$A603)</f>
        <v>2015</v>
      </c>
      <c r="AJ603" s="0" t="n">
        <f aca="false">W_PH(AJ$2,$A603)</f>
        <v>2015</v>
      </c>
      <c r="AK603" s="0" t="n">
        <f aca="false">W_PH(AK$2,$A603)</f>
        <v>2015</v>
      </c>
      <c r="AL603" s="0" t="n">
        <f aca="false">W_PH(AL$2,$A603)</f>
        <v>2015</v>
      </c>
      <c r="AM603" s="0" t="n">
        <f aca="false">W_PH(AM$2,$A603)</f>
        <v>2015</v>
      </c>
      <c r="AN603" s="0" t="n">
        <f aca="false">W_PH(AN$2,$A603)</f>
        <v>2015</v>
      </c>
      <c r="AO603" s="0" t="n">
        <f aca="false">W_PH(AO$2,$A603)</f>
        <v>2015</v>
      </c>
      <c r="AP603" s="0" t="n">
        <f aca="false">W_PH(AP$2,$A603)</f>
        <v>2015</v>
      </c>
      <c r="AQ603" s="0" t="n">
        <f aca="false">W_PH(AQ$2,$A603)</f>
        <v>2015</v>
      </c>
      <c r="AR603" s="0" t="n">
        <f aca="false">W_PH(AR$2,$A603)</f>
        <v>2015</v>
      </c>
      <c r="AS603" s="0" t="n">
        <f aca="false">W_PH(AS$2,$A603)</f>
        <v>2015</v>
      </c>
    </row>
    <row r="604" customFormat="false" ht="12.8" hidden="false" customHeight="false" outlineLevel="0" collapsed="false">
      <c r="A604" s="0" t="n">
        <v>3284.60877042132</v>
      </c>
      <c r="B604" s="0" t="n">
        <f aca="false">W_PH(B$2,$A604)</f>
        <v>2015</v>
      </c>
      <c r="C604" s="0" t="n">
        <f aca="false">W_PH(C$2,$A604)</f>
        <v>2015</v>
      </c>
      <c r="D604" s="0" t="n">
        <f aca="false">W_PH(D$2,$A604)</f>
        <v>2015</v>
      </c>
      <c r="E604" s="0" t="n">
        <f aca="false">W_PH(E$2,$A604)</f>
        <v>2015</v>
      </c>
      <c r="F604" s="0" t="n">
        <f aca="false">W_PH(F$2,$A604)</f>
        <v>2015</v>
      </c>
      <c r="G604" s="0" t="n">
        <f aca="false">W_PH(G$2,$A604)</f>
        <v>2015</v>
      </c>
      <c r="H604" s="0" t="n">
        <f aca="false">W_PH(H$2,$A604)</f>
        <v>2015</v>
      </c>
      <c r="I604" s="0" t="n">
        <f aca="false">W_PH(I$2,$A604)</f>
        <v>2015</v>
      </c>
      <c r="J604" s="0" t="n">
        <f aca="false">W_PH(J$2,$A604)</f>
        <v>2015</v>
      </c>
      <c r="K604" s="0" t="n">
        <f aca="false">W_PH(K$2,$A604)</f>
        <v>2015</v>
      </c>
      <c r="L604" s="0" t="n">
        <f aca="false">W_PH(L$2,$A604)</f>
        <v>2015</v>
      </c>
      <c r="M604" s="0" t="n">
        <f aca="false">W_PH(M$2,$A604)</f>
        <v>2015</v>
      </c>
      <c r="N604" s="0" t="n">
        <f aca="false">W_PH(N$2,$A604)</f>
        <v>2015</v>
      </c>
      <c r="O604" s="0" t="n">
        <f aca="false">W_PH(O$2,$A604)</f>
        <v>2015</v>
      </c>
      <c r="P604" s="0" t="n">
        <f aca="false">W_PH(P$2,$A604)</f>
        <v>2015</v>
      </c>
      <c r="Q604" s="0" t="n">
        <f aca="false">W_PH(Q$2,$A604)</f>
        <v>2015</v>
      </c>
      <c r="R604" s="0" t="n">
        <f aca="false">W_PH(R$2,$A604)</f>
        <v>2015</v>
      </c>
      <c r="S604" s="0" t="n">
        <f aca="false">W_PH(S$2,$A604)</f>
        <v>2015</v>
      </c>
      <c r="T604" s="0" t="n">
        <f aca="false">W_PH(T$2,$A604)</f>
        <v>2015</v>
      </c>
      <c r="U604" s="0" t="n">
        <f aca="false">W_PH(U$2,$A604)</f>
        <v>2015</v>
      </c>
      <c r="V604" s="0" t="n">
        <f aca="false">W_PH(V$2,$A604)</f>
        <v>2015</v>
      </c>
      <c r="W604" s="0" t="n">
        <f aca="false">W_PH(W$2,$A604)</f>
        <v>2015</v>
      </c>
      <c r="X604" s="0" t="n">
        <f aca="false">W_PH(X$2,$A604)</f>
        <v>2015</v>
      </c>
      <c r="Y604" s="0" t="n">
        <f aca="false">W_PH(Y$2,$A604)</f>
        <v>2015</v>
      </c>
      <c r="Z604" s="0" t="n">
        <f aca="false">W_PH(Z$2,$A604)</f>
        <v>2015</v>
      </c>
      <c r="AA604" s="0" t="n">
        <f aca="false">W_PH(AA$2,$A604)</f>
        <v>2015</v>
      </c>
      <c r="AB604" s="0" t="n">
        <f aca="false">W_PH(AB$2,$A604)</f>
        <v>2015</v>
      </c>
      <c r="AC604" s="0" t="n">
        <f aca="false">W_PH(AC$2,$A604)</f>
        <v>2015</v>
      </c>
      <c r="AD604" s="0" t="n">
        <f aca="false">W_PH(AD$2,$A604)</f>
        <v>2015</v>
      </c>
      <c r="AE604" s="0" t="n">
        <f aca="false">W_PH(AE$2,$A604)</f>
        <v>2015</v>
      </c>
      <c r="AF604" s="0" t="n">
        <f aca="false">W_PH(AF$2,$A604)</f>
        <v>2015</v>
      </c>
      <c r="AG604" s="0" t="n">
        <f aca="false">W_PH(AG$2,$A604)</f>
        <v>2015</v>
      </c>
      <c r="AH604" s="0" t="n">
        <f aca="false">W_PH(AH$2,$A604)</f>
        <v>2015</v>
      </c>
      <c r="AI604" s="0" t="n">
        <f aca="false">W_PH(AI$2,$A604)</f>
        <v>2015</v>
      </c>
      <c r="AJ604" s="0" t="n">
        <f aca="false">W_PH(AJ$2,$A604)</f>
        <v>2015</v>
      </c>
      <c r="AK604" s="0" t="n">
        <f aca="false">W_PH(AK$2,$A604)</f>
        <v>2015</v>
      </c>
      <c r="AL604" s="0" t="n">
        <f aca="false">W_PH(AL$2,$A604)</f>
        <v>2015</v>
      </c>
      <c r="AM604" s="0" t="n">
        <f aca="false">W_PH(AM$2,$A604)</f>
        <v>2015</v>
      </c>
      <c r="AN604" s="0" t="n">
        <f aca="false">W_PH(AN$2,$A604)</f>
        <v>2015</v>
      </c>
      <c r="AO604" s="0" t="n">
        <f aca="false">W_PH(AO$2,$A604)</f>
        <v>2015</v>
      </c>
      <c r="AP604" s="0" t="n">
        <f aca="false">W_PH(AP$2,$A604)</f>
        <v>2015</v>
      </c>
      <c r="AQ604" s="0" t="n">
        <f aca="false">W_PH(AQ$2,$A604)</f>
        <v>2015</v>
      </c>
      <c r="AR604" s="0" t="n">
        <f aca="false">W_PH(AR$2,$A604)</f>
        <v>2015</v>
      </c>
      <c r="AS604" s="0" t="n">
        <f aca="false">W_PH(AS$2,$A604)</f>
        <v>2015</v>
      </c>
    </row>
    <row r="605" customFormat="false" ht="12.8" hidden="false" customHeight="false" outlineLevel="0" collapsed="false">
      <c r="A605" s="0" t="n">
        <v>3288.90799656062</v>
      </c>
      <c r="B605" s="0" t="n">
        <f aca="false">W_PH(B$2,$A605)</f>
        <v>2015</v>
      </c>
      <c r="C605" s="0" t="n">
        <f aca="false">W_PH(C$2,$A605)</f>
        <v>2015</v>
      </c>
      <c r="D605" s="0" t="n">
        <f aca="false">W_PH(D$2,$A605)</f>
        <v>2015</v>
      </c>
      <c r="E605" s="0" t="n">
        <f aca="false">W_PH(E$2,$A605)</f>
        <v>2015</v>
      </c>
      <c r="F605" s="0" t="n">
        <f aca="false">W_PH(F$2,$A605)</f>
        <v>2015</v>
      </c>
      <c r="G605" s="0" t="n">
        <f aca="false">W_PH(G$2,$A605)</f>
        <v>2015</v>
      </c>
      <c r="H605" s="0" t="n">
        <f aca="false">W_PH(H$2,$A605)</f>
        <v>2015</v>
      </c>
      <c r="I605" s="0" t="n">
        <f aca="false">W_PH(I$2,$A605)</f>
        <v>2015</v>
      </c>
      <c r="J605" s="0" t="n">
        <f aca="false">W_PH(J$2,$A605)</f>
        <v>2015</v>
      </c>
      <c r="K605" s="0" t="n">
        <f aca="false">W_PH(K$2,$A605)</f>
        <v>2015</v>
      </c>
      <c r="L605" s="0" t="n">
        <f aca="false">W_PH(L$2,$A605)</f>
        <v>2015</v>
      </c>
      <c r="M605" s="0" t="n">
        <f aca="false">W_PH(M$2,$A605)</f>
        <v>2015</v>
      </c>
      <c r="N605" s="0" t="n">
        <f aca="false">W_PH(N$2,$A605)</f>
        <v>2015</v>
      </c>
      <c r="O605" s="0" t="n">
        <f aca="false">W_PH(O$2,$A605)</f>
        <v>2015</v>
      </c>
      <c r="P605" s="0" t="n">
        <f aca="false">W_PH(P$2,$A605)</f>
        <v>2015</v>
      </c>
      <c r="Q605" s="0" t="n">
        <f aca="false">W_PH(Q$2,$A605)</f>
        <v>2015</v>
      </c>
      <c r="R605" s="0" t="n">
        <f aca="false">W_PH(R$2,$A605)</f>
        <v>2015</v>
      </c>
      <c r="S605" s="0" t="n">
        <f aca="false">W_PH(S$2,$A605)</f>
        <v>2015</v>
      </c>
      <c r="T605" s="0" t="n">
        <f aca="false">W_PH(T$2,$A605)</f>
        <v>2015</v>
      </c>
      <c r="U605" s="0" t="n">
        <f aca="false">W_PH(U$2,$A605)</f>
        <v>2015</v>
      </c>
      <c r="V605" s="0" t="n">
        <f aca="false">W_PH(V$2,$A605)</f>
        <v>2015</v>
      </c>
      <c r="W605" s="0" t="n">
        <f aca="false">W_PH(W$2,$A605)</f>
        <v>2015</v>
      </c>
      <c r="X605" s="0" t="n">
        <f aca="false">W_PH(X$2,$A605)</f>
        <v>2015</v>
      </c>
      <c r="Y605" s="0" t="n">
        <f aca="false">W_PH(Y$2,$A605)</f>
        <v>2015</v>
      </c>
      <c r="Z605" s="0" t="n">
        <f aca="false">W_PH(Z$2,$A605)</f>
        <v>2015</v>
      </c>
      <c r="AA605" s="0" t="n">
        <f aca="false">W_PH(AA$2,$A605)</f>
        <v>2015</v>
      </c>
      <c r="AB605" s="0" t="n">
        <f aca="false">W_PH(AB$2,$A605)</f>
        <v>2015</v>
      </c>
      <c r="AC605" s="0" t="n">
        <f aca="false">W_PH(AC$2,$A605)</f>
        <v>2015</v>
      </c>
      <c r="AD605" s="0" t="n">
        <f aca="false">W_PH(AD$2,$A605)</f>
        <v>2015</v>
      </c>
      <c r="AE605" s="0" t="n">
        <f aca="false">W_PH(AE$2,$A605)</f>
        <v>2015</v>
      </c>
      <c r="AF605" s="0" t="n">
        <f aca="false">W_PH(AF$2,$A605)</f>
        <v>2015</v>
      </c>
      <c r="AG605" s="0" t="n">
        <f aca="false">W_PH(AG$2,$A605)</f>
        <v>2015</v>
      </c>
      <c r="AH605" s="0" t="n">
        <f aca="false">W_PH(AH$2,$A605)</f>
        <v>2015</v>
      </c>
      <c r="AI605" s="0" t="n">
        <f aca="false">W_PH(AI$2,$A605)</f>
        <v>2015</v>
      </c>
      <c r="AJ605" s="0" t="n">
        <f aca="false">W_PH(AJ$2,$A605)</f>
        <v>2015</v>
      </c>
      <c r="AK605" s="0" t="n">
        <f aca="false">W_PH(AK$2,$A605)</f>
        <v>2015</v>
      </c>
      <c r="AL605" s="0" t="n">
        <f aca="false">W_PH(AL$2,$A605)</f>
        <v>2015</v>
      </c>
      <c r="AM605" s="0" t="n">
        <f aca="false">W_PH(AM$2,$A605)</f>
        <v>2015</v>
      </c>
      <c r="AN605" s="0" t="n">
        <f aca="false">W_PH(AN$2,$A605)</f>
        <v>2015</v>
      </c>
      <c r="AO605" s="0" t="n">
        <f aca="false">W_PH(AO$2,$A605)</f>
        <v>2015</v>
      </c>
      <c r="AP605" s="0" t="n">
        <f aca="false">W_PH(AP$2,$A605)</f>
        <v>2015</v>
      </c>
      <c r="AQ605" s="0" t="n">
        <f aca="false">W_PH(AQ$2,$A605)</f>
        <v>2015</v>
      </c>
      <c r="AR605" s="0" t="n">
        <f aca="false">W_PH(AR$2,$A605)</f>
        <v>2015</v>
      </c>
      <c r="AS605" s="0" t="n">
        <f aca="false">W_PH(AS$2,$A605)</f>
        <v>2015</v>
      </c>
    </row>
    <row r="606" customFormat="false" ht="12.8" hidden="false" customHeight="false" outlineLevel="0" collapsed="false">
      <c r="A606" s="0" t="n">
        <v>3293.20722269991</v>
      </c>
      <c r="B606" s="0" t="n">
        <f aca="false">W_PH(B$2,$A606)</f>
        <v>2015</v>
      </c>
      <c r="C606" s="0" t="n">
        <f aca="false">W_PH(C$2,$A606)</f>
        <v>2015</v>
      </c>
      <c r="D606" s="0" t="n">
        <f aca="false">W_PH(D$2,$A606)</f>
        <v>2015</v>
      </c>
      <c r="E606" s="0" t="n">
        <f aca="false">W_PH(E$2,$A606)</f>
        <v>2015</v>
      </c>
      <c r="F606" s="0" t="n">
        <f aca="false">W_PH(F$2,$A606)</f>
        <v>2015</v>
      </c>
      <c r="G606" s="0" t="n">
        <f aca="false">W_PH(G$2,$A606)</f>
        <v>2015</v>
      </c>
      <c r="H606" s="0" t="n">
        <f aca="false">W_PH(H$2,$A606)</f>
        <v>2015</v>
      </c>
      <c r="I606" s="0" t="n">
        <f aca="false">W_PH(I$2,$A606)</f>
        <v>2015</v>
      </c>
      <c r="J606" s="0" t="n">
        <f aca="false">W_PH(J$2,$A606)</f>
        <v>2015</v>
      </c>
      <c r="K606" s="0" t="n">
        <f aca="false">W_PH(K$2,$A606)</f>
        <v>2015</v>
      </c>
      <c r="L606" s="0" t="n">
        <f aca="false">W_PH(L$2,$A606)</f>
        <v>2015</v>
      </c>
      <c r="M606" s="0" t="n">
        <f aca="false">W_PH(M$2,$A606)</f>
        <v>2015</v>
      </c>
      <c r="N606" s="0" t="n">
        <f aca="false">W_PH(N$2,$A606)</f>
        <v>2015</v>
      </c>
      <c r="O606" s="0" t="n">
        <f aca="false">W_PH(O$2,$A606)</f>
        <v>2015</v>
      </c>
      <c r="P606" s="0" t="n">
        <f aca="false">W_PH(P$2,$A606)</f>
        <v>2015</v>
      </c>
      <c r="Q606" s="0" t="n">
        <f aca="false">W_PH(Q$2,$A606)</f>
        <v>2015</v>
      </c>
      <c r="R606" s="0" t="n">
        <f aca="false">W_PH(R$2,$A606)</f>
        <v>2015</v>
      </c>
      <c r="S606" s="0" t="n">
        <f aca="false">W_PH(S$2,$A606)</f>
        <v>2015</v>
      </c>
      <c r="T606" s="0" t="n">
        <f aca="false">W_PH(T$2,$A606)</f>
        <v>2015</v>
      </c>
      <c r="U606" s="0" t="n">
        <f aca="false">W_PH(U$2,$A606)</f>
        <v>2015</v>
      </c>
      <c r="V606" s="0" t="n">
        <f aca="false">W_PH(V$2,$A606)</f>
        <v>2015</v>
      </c>
      <c r="W606" s="0" t="n">
        <f aca="false">W_PH(W$2,$A606)</f>
        <v>2015</v>
      </c>
      <c r="X606" s="0" t="n">
        <f aca="false">W_PH(X$2,$A606)</f>
        <v>2015</v>
      </c>
      <c r="Y606" s="0" t="n">
        <f aca="false">W_PH(Y$2,$A606)</f>
        <v>2015</v>
      </c>
      <c r="Z606" s="0" t="n">
        <f aca="false">W_PH(Z$2,$A606)</f>
        <v>2015</v>
      </c>
      <c r="AA606" s="0" t="n">
        <f aca="false">W_PH(AA$2,$A606)</f>
        <v>2015</v>
      </c>
      <c r="AB606" s="0" t="n">
        <f aca="false">W_PH(AB$2,$A606)</f>
        <v>2015</v>
      </c>
      <c r="AC606" s="0" t="n">
        <f aca="false">W_PH(AC$2,$A606)</f>
        <v>2015</v>
      </c>
      <c r="AD606" s="0" t="n">
        <f aca="false">W_PH(AD$2,$A606)</f>
        <v>2015</v>
      </c>
      <c r="AE606" s="0" t="n">
        <f aca="false">W_PH(AE$2,$A606)</f>
        <v>2015</v>
      </c>
      <c r="AF606" s="0" t="n">
        <f aca="false">W_PH(AF$2,$A606)</f>
        <v>2015</v>
      </c>
      <c r="AG606" s="0" t="n">
        <f aca="false">W_PH(AG$2,$A606)</f>
        <v>2015</v>
      </c>
      <c r="AH606" s="0" t="n">
        <f aca="false">W_PH(AH$2,$A606)</f>
        <v>2015</v>
      </c>
      <c r="AI606" s="0" t="n">
        <f aca="false">W_PH(AI$2,$A606)</f>
        <v>2015</v>
      </c>
      <c r="AJ606" s="0" t="n">
        <f aca="false">W_PH(AJ$2,$A606)</f>
        <v>2015</v>
      </c>
      <c r="AK606" s="0" t="n">
        <f aca="false">W_PH(AK$2,$A606)</f>
        <v>2015</v>
      </c>
      <c r="AL606" s="0" t="n">
        <f aca="false">W_PH(AL$2,$A606)</f>
        <v>2015</v>
      </c>
      <c r="AM606" s="0" t="n">
        <f aca="false">W_PH(AM$2,$A606)</f>
        <v>2015</v>
      </c>
      <c r="AN606" s="0" t="n">
        <f aca="false">W_PH(AN$2,$A606)</f>
        <v>2015</v>
      </c>
      <c r="AO606" s="0" t="n">
        <f aca="false">W_PH(AO$2,$A606)</f>
        <v>2015</v>
      </c>
      <c r="AP606" s="0" t="n">
        <f aca="false">W_PH(AP$2,$A606)</f>
        <v>2015</v>
      </c>
      <c r="AQ606" s="0" t="n">
        <f aca="false">W_PH(AQ$2,$A606)</f>
        <v>2015</v>
      </c>
      <c r="AR606" s="0" t="n">
        <f aca="false">W_PH(AR$2,$A606)</f>
        <v>2015</v>
      </c>
      <c r="AS606" s="0" t="n">
        <f aca="false">W_PH(AS$2,$A606)</f>
        <v>2015</v>
      </c>
    </row>
    <row r="607" customFormat="false" ht="12.8" hidden="false" customHeight="false" outlineLevel="0" collapsed="false">
      <c r="A607" s="0" t="n">
        <v>3297.50644883921</v>
      </c>
      <c r="B607" s="0" t="n">
        <f aca="false">W_PH(B$2,$A607)</f>
        <v>2015</v>
      </c>
      <c r="C607" s="0" t="n">
        <f aca="false">W_PH(C$2,$A607)</f>
        <v>2015</v>
      </c>
      <c r="D607" s="0" t="n">
        <f aca="false">W_PH(D$2,$A607)</f>
        <v>2015</v>
      </c>
      <c r="E607" s="0" t="n">
        <f aca="false">W_PH(E$2,$A607)</f>
        <v>2015</v>
      </c>
      <c r="F607" s="0" t="n">
        <f aca="false">W_PH(F$2,$A607)</f>
        <v>2015</v>
      </c>
      <c r="G607" s="0" t="n">
        <f aca="false">W_PH(G$2,$A607)</f>
        <v>2015</v>
      </c>
      <c r="H607" s="0" t="n">
        <f aca="false">W_PH(H$2,$A607)</f>
        <v>2015</v>
      </c>
      <c r="I607" s="0" t="n">
        <f aca="false">W_PH(I$2,$A607)</f>
        <v>2015</v>
      </c>
      <c r="J607" s="0" t="n">
        <f aca="false">W_PH(J$2,$A607)</f>
        <v>2015</v>
      </c>
      <c r="K607" s="0" t="n">
        <f aca="false">W_PH(K$2,$A607)</f>
        <v>2015</v>
      </c>
      <c r="L607" s="0" t="n">
        <f aca="false">W_PH(L$2,$A607)</f>
        <v>2015</v>
      </c>
      <c r="M607" s="0" t="n">
        <f aca="false">W_PH(M$2,$A607)</f>
        <v>2015</v>
      </c>
      <c r="N607" s="0" t="n">
        <f aca="false">W_PH(N$2,$A607)</f>
        <v>2015</v>
      </c>
      <c r="O607" s="0" t="n">
        <f aca="false">W_PH(O$2,$A607)</f>
        <v>2015</v>
      </c>
      <c r="P607" s="0" t="n">
        <f aca="false">W_PH(P$2,$A607)</f>
        <v>2015</v>
      </c>
      <c r="Q607" s="0" t="n">
        <f aca="false">W_PH(Q$2,$A607)</f>
        <v>2015</v>
      </c>
      <c r="R607" s="0" t="n">
        <f aca="false">W_PH(R$2,$A607)</f>
        <v>2015</v>
      </c>
      <c r="S607" s="0" t="n">
        <f aca="false">W_PH(S$2,$A607)</f>
        <v>2015</v>
      </c>
      <c r="T607" s="0" t="n">
        <f aca="false">W_PH(T$2,$A607)</f>
        <v>2015</v>
      </c>
      <c r="U607" s="0" t="n">
        <f aca="false">W_PH(U$2,$A607)</f>
        <v>2015</v>
      </c>
      <c r="V607" s="0" t="n">
        <f aca="false">W_PH(V$2,$A607)</f>
        <v>2015</v>
      </c>
      <c r="W607" s="0" t="n">
        <f aca="false">W_PH(W$2,$A607)</f>
        <v>2015</v>
      </c>
      <c r="X607" s="0" t="n">
        <f aca="false">W_PH(X$2,$A607)</f>
        <v>2015</v>
      </c>
      <c r="Y607" s="0" t="n">
        <f aca="false">W_PH(Y$2,$A607)</f>
        <v>2015</v>
      </c>
      <c r="Z607" s="0" t="n">
        <f aca="false">W_PH(Z$2,$A607)</f>
        <v>2015</v>
      </c>
      <c r="AA607" s="0" t="n">
        <f aca="false">W_PH(AA$2,$A607)</f>
        <v>2015</v>
      </c>
      <c r="AB607" s="0" t="n">
        <f aca="false">W_PH(AB$2,$A607)</f>
        <v>2015</v>
      </c>
      <c r="AC607" s="0" t="n">
        <f aca="false">W_PH(AC$2,$A607)</f>
        <v>2015</v>
      </c>
      <c r="AD607" s="0" t="n">
        <f aca="false">W_PH(AD$2,$A607)</f>
        <v>2015</v>
      </c>
      <c r="AE607" s="0" t="n">
        <f aca="false">W_PH(AE$2,$A607)</f>
        <v>2015</v>
      </c>
      <c r="AF607" s="0" t="n">
        <f aca="false">W_PH(AF$2,$A607)</f>
        <v>2015</v>
      </c>
      <c r="AG607" s="0" t="n">
        <f aca="false">W_PH(AG$2,$A607)</f>
        <v>2015</v>
      </c>
      <c r="AH607" s="0" t="n">
        <f aca="false">W_PH(AH$2,$A607)</f>
        <v>2015</v>
      </c>
      <c r="AI607" s="0" t="n">
        <f aca="false">W_PH(AI$2,$A607)</f>
        <v>2015</v>
      </c>
      <c r="AJ607" s="0" t="n">
        <f aca="false">W_PH(AJ$2,$A607)</f>
        <v>2015</v>
      </c>
      <c r="AK607" s="0" t="n">
        <f aca="false">W_PH(AK$2,$A607)</f>
        <v>2015</v>
      </c>
      <c r="AL607" s="0" t="n">
        <f aca="false">W_PH(AL$2,$A607)</f>
        <v>2015</v>
      </c>
      <c r="AM607" s="0" t="n">
        <f aca="false">W_PH(AM$2,$A607)</f>
        <v>2015</v>
      </c>
      <c r="AN607" s="0" t="n">
        <f aca="false">W_PH(AN$2,$A607)</f>
        <v>2015</v>
      </c>
      <c r="AO607" s="0" t="n">
        <f aca="false">W_PH(AO$2,$A607)</f>
        <v>2015</v>
      </c>
      <c r="AP607" s="0" t="n">
        <f aca="false">W_PH(AP$2,$A607)</f>
        <v>2015</v>
      </c>
      <c r="AQ607" s="0" t="n">
        <f aca="false">W_PH(AQ$2,$A607)</f>
        <v>2015</v>
      </c>
      <c r="AR607" s="0" t="n">
        <f aca="false">W_PH(AR$2,$A607)</f>
        <v>2015</v>
      </c>
      <c r="AS607" s="0" t="n">
        <f aca="false">W_PH(AS$2,$A607)</f>
        <v>2015</v>
      </c>
    </row>
    <row r="608" customFormat="false" ht="12.8" hidden="false" customHeight="false" outlineLevel="0" collapsed="false">
      <c r="A608" s="0" t="n">
        <v>3301.8056749785</v>
      </c>
      <c r="B608" s="0" t="n">
        <f aca="false">W_PH(B$2,$A608)</f>
        <v>2015</v>
      </c>
      <c r="C608" s="0" t="n">
        <f aca="false">W_PH(C$2,$A608)</f>
        <v>2015</v>
      </c>
      <c r="D608" s="0" t="n">
        <f aca="false">W_PH(D$2,$A608)</f>
        <v>2015</v>
      </c>
      <c r="E608" s="0" t="n">
        <f aca="false">W_PH(E$2,$A608)</f>
        <v>2015</v>
      </c>
      <c r="F608" s="0" t="n">
        <f aca="false">W_PH(F$2,$A608)</f>
        <v>2015</v>
      </c>
      <c r="G608" s="0" t="n">
        <f aca="false">W_PH(G$2,$A608)</f>
        <v>2015</v>
      </c>
      <c r="H608" s="0" t="n">
        <f aca="false">W_PH(H$2,$A608)</f>
        <v>2015</v>
      </c>
      <c r="I608" s="0" t="n">
        <f aca="false">W_PH(I$2,$A608)</f>
        <v>2015</v>
      </c>
      <c r="J608" s="0" t="n">
        <f aca="false">W_PH(J$2,$A608)</f>
        <v>2015</v>
      </c>
      <c r="K608" s="0" t="n">
        <f aca="false">W_PH(K$2,$A608)</f>
        <v>2015</v>
      </c>
      <c r="L608" s="0" t="n">
        <f aca="false">W_PH(L$2,$A608)</f>
        <v>2015</v>
      </c>
      <c r="M608" s="0" t="n">
        <f aca="false">W_PH(M$2,$A608)</f>
        <v>2015</v>
      </c>
      <c r="N608" s="0" t="n">
        <f aca="false">W_PH(N$2,$A608)</f>
        <v>2015</v>
      </c>
      <c r="O608" s="0" t="n">
        <f aca="false">W_PH(O$2,$A608)</f>
        <v>2015</v>
      </c>
      <c r="P608" s="0" t="n">
        <f aca="false">W_PH(P$2,$A608)</f>
        <v>2015</v>
      </c>
      <c r="Q608" s="0" t="n">
        <f aca="false">W_PH(Q$2,$A608)</f>
        <v>2015</v>
      </c>
      <c r="R608" s="0" t="n">
        <f aca="false">W_PH(R$2,$A608)</f>
        <v>2015</v>
      </c>
      <c r="S608" s="0" t="n">
        <f aca="false">W_PH(S$2,$A608)</f>
        <v>2015</v>
      </c>
      <c r="T608" s="0" t="n">
        <f aca="false">W_PH(T$2,$A608)</f>
        <v>2015</v>
      </c>
      <c r="U608" s="0" t="n">
        <f aca="false">W_PH(U$2,$A608)</f>
        <v>2015</v>
      </c>
      <c r="V608" s="0" t="n">
        <f aca="false">W_PH(V$2,$A608)</f>
        <v>2015</v>
      </c>
      <c r="W608" s="0" t="n">
        <f aca="false">W_PH(W$2,$A608)</f>
        <v>2015</v>
      </c>
      <c r="X608" s="0" t="n">
        <f aca="false">W_PH(X$2,$A608)</f>
        <v>2015</v>
      </c>
      <c r="Y608" s="0" t="n">
        <f aca="false">W_PH(Y$2,$A608)</f>
        <v>2015</v>
      </c>
      <c r="Z608" s="0" t="n">
        <f aca="false">W_PH(Z$2,$A608)</f>
        <v>2015</v>
      </c>
      <c r="AA608" s="0" t="n">
        <f aca="false">W_PH(AA$2,$A608)</f>
        <v>2015</v>
      </c>
      <c r="AB608" s="0" t="n">
        <f aca="false">W_PH(AB$2,$A608)</f>
        <v>2015</v>
      </c>
      <c r="AC608" s="0" t="n">
        <f aca="false">W_PH(AC$2,$A608)</f>
        <v>2015</v>
      </c>
      <c r="AD608" s="0" t="n">
        <f aca="false">W_PH(AD$2,$A608)</f>
        <v>2015</v>
      </c>
      <c r="AE608" s="0" t="n">
        <f aca="false">W_PH(AE$2,$A608)</f>
        <v>2015</v>
      </c>
      <c r="AF608" s="0" t="n">
        <f aca="false">W_PH(AF$2,$A608)</f>
        <v>2015</v>
      </c>
      <c r="AG608" s="0" t="n">
        <f aca="false">W_PH(AG$2,$A608)</f>
        <v>2015</v>
      </c>
      <c r="AH608" s="0" t="n">
        <f aca="false">W_PH(AH$2,$A608)</f>
        <v>2015</v>
      </c>
      <c r="AI608" s="0" t="n">
        <f aca="false">W_PH(AI$2,$A608)</f>
        <v>2015</v>
      </c>
      <c r="AJ608" s="0" t="n">
        <f aca="false">W_PH(AJ$2,$A608)</f>
        <v>2015</v>
      </c>
      <c r="AK608" s="0" t="n">
        <f aca="false">W_PH(AK$2,$A608)</f>
        <v>2015</v>
      </c>
      <c r="AL608" s="0" t="n">
        <f aca="false">W_PH(AL$2,$A608)</f>
        <v>2015</v>
      </c>
      <c r="AM608" s="0" t="n">
        <f aca="false">W_PH(AM$2,$A608)</f>
        <v>2015</v>
      </c>
      <c r="AN608" s="0" t="n">
        <f aca="false">W_PH(AN$2,$A608)</f>
        <v>2015</v>
      </c>
      <c r="AO608" s="0" t="n">
        <f aca="false">W_PH(AO$2,$A608)</f>
        <v>2015</v>
      </c>
      <c r="AP608" s="0" t="n">
        <f aca="false">W_PH(AP$2,$A608)</f>
        <v>2015</v>
      </c>
      <c r="AQ608" s="0" t="n">
        <f aca="false">W_PH(AQ$2,$A608)</f>
        <v>2015</v>
      </c>
      <c r="AR608" s="0" t="n">
        <f aca="false">W_PH(AR$2,$A608)</f>
        <v>2015</v>
      </c>
      <c r="AS608" s="0" t="n">
        <f aca="false">W_PH(AS$2,$A608)</f>
        <v>2015</v>
      </c>
    </row>
    <row r="609" customFormat="false" ht="12.8" hidden="false" customHeight="false" outlineLevel="0" collapsed="false">
      <c r="A609" s="0" t="n">
        <v>3306.1049011178</v>
      </c>
      <c r="B609" s="0" t="n">
        <f aca="false">W_PH(B$2,$A609)</f>
        <v>2015</v>
      </c>
      <c r="C609" s="0" t="n">
        <f aca="false">W_PH(C$2,$A609)</f>
        <v>2015</v>
      </c>
      <c r="D609" s="0" t="n">
        <f aca="false">W_PH(D$2,$A609)</f>
        <v>2015</v>
      </c>
      <c r="E609" s="0" t="n">
        <f aca="false">W_PH(E$2,$A609)</f>
        <v>2015</v>
      </c>
      <c r="F609" s="0" t="n">
        <f aca="false">W_PH(F$2,$A609)</f>
        <v>2015</v>
      </c>
      <c r="G609" s="0" t="n">
        <f aca="false">W_PH(G$2,$A609)</f>
        <v>2015</v>
      </c>
      <c r="H609" s="0" t="n">
        <f aca="false">W_PH(H$2,$A609)</f>
        <v>2015</v>
      </c>
      <c r="I609" s="0" t="n">
        <f aca="false">W_PH(I$2,$A609)</f>
        <v>2015</v>
      </c>
      <c r="J609" s="0" t="n">
        <f aca="false">W_PH(J$2,$A609)</f>
        <v>2015</v>
      </c>
      <c r="K609" s="0" t="n">
        <f aca="false">W_PH(K$2,$A609)</f>
        <v>2015</v>
      </c>
      <c r="L609" s="0" t="n">
        <f aca="false">W_PH(L$2,$A609)</f>
        <v>2015</v>
      </c>
      <c r="M609" s="0" t="n">
        <f aca="false">W_PH(M$2,$A609)</f>
        <v>2015</v>
      </c>
      <c r="N609" s="0" t="n">
        <f aca="false">W_PH(N$2,$A609)</f>
        <v>2015</v>
      </c>
      <c r="O609" s="0" t="n">
        <f aca="false">W_PH(O$2,$A609)</f>
        <v>2015</v>
      </c>
      <c r="P609" s="0" t="n">
        <f aca="false">W_PH(P$2,$A609)</f>
        <v>2015</v>
      </c>
      <c r="Q609" s="0" t="n">
        <f aca="false">W_PH(Q$2,$A609)</f>
        <v>2015</v>
      </c>
      <c r="R609" s="0" t="n">
        <f aca="false">W_PH(R$2,$A609)</f>
        <v>2015</v>
      </c>
      <c r="S609" s="0" t="n">
        <f aca="false">W_PH(S$2,$A609)</f>
        <v>2015</v>
      </c>
      <c r="T609" s="0" t="n">
        <f aca="false">W_PH(T$2,$A609)</f>
        <v>2015</v>
      </c>
      <c r="U609" s="0" t="n">
        <f aca="false">W_PH(U$2,$A609)</f>
        <v>2015</v>
      </c>
      <c r="V609" s="0" t="n">
        <f aca="false">W_PH(V$2,$A609)</f>
        <v>2015</v>
      </c>
      <c r="W609" s="0" t="n">
        <f aca="false">W_PH(W$2,$A609)</f>
        <v>2015</v>
      </c>
      <c r="X609" s="0" t="n">
        <f aca="false">W_PH(X$2,$A609)</f>
        <v>2015</v>
      </c>
      <c r="Y609" s="0" t="n">
        <f aca="false">W_PH(Y$2,$A609)</f>
        <v>2015</v>
      </c>
      <c r="Z609" s="0" t="n">
        <f aca="false">W_PH(Z$2,$A609)</f>
        <v>2015</v>
      </c>
      <c r="AA609" s="0" t="n">
        <f aca="false">W_PH(AA$2,$A609)</f>
        <v>2015</v>
      </c>
      <c r="AB609" s="0" t="n">
        <f aca="false">W_PH(AB$2,$A609)</f>
        <v>2015</v>
      </c>
      <c r="AC609" s="0" t="n">
        <f aca="false">W_PH(AC$2,$A609)</f>
        <v>2015</v>
      </c>
      <c r="AD609" s="0" t="n">
        <f aca="false">W_PH(AD$2,$A609)</f>
        <v>2015</v>
      </c>
      <c r="AE609" s="0" t="n">
        <f aca="false">W_PH(AE$2,$A609)</f>
        <v>2015</v>
      </c>
      <c r="AF609" s="0" t="n">
        <f aca="false">W_PH(AF$2,$A609)</f>
        <v>2015</v>
      </c>
      <c r="AG609" s="0" t="n">
        <f aca="false">W_PH(AG$2,$A609)</f>
        <v>2015</v>
      </c>
      <c r="AH609" s="0" t="n">
        <f aca="false">W_PH(AH$2,$A609)</f>
        <v>2015</v>
      </c>
      <c r="AI609" s="0" t="n">
        <f aca="false">W_PH(AI$2,$A609)</f>
        <v>2015</v>
      </c>
      <c r="AJ609" s="0" t="n">
        <f aca="false">W_PH(AJ$2,$A609)</f>
        <v>2015</v>
      </c>
      <c r="AK609" s="0" t="n">
        <f aca="false">W_PH(AK$2,$A609)</f>
        <v>2015</v>
      </c>
      <c r="AL609" s="0" t="n">
        <f aca="false">W_PH(AL$2,$A609)</f>
        <v>2015</v>
      </c>
      <c r="AM609" s="0" t="n">
        <f aca="false">W_PH(AM$2,$A609)</f>
        <v>2015</v>
      </c>
      <c r="AN609" s="0" t="n">
        <f aca="false">W_PH(AN$2,$A609)</f>
        <v>2015</v>
      </c>
      <c r="AO609" s="0" t="n">
        <f aca="false">W_PH(AO$2,$A609)</f>
        <v>2015</v>
      </c>
      <c r="AP609" s="0" t="n">
        <f aca="false">W_PH(AP$2,$A609)</f>
        <v>2015</v>
      </c>
      <c r="AQ609" s="0" t="n">
        <f aca="false">W_PH(AQ$2,$A609)</f>
        <v>2015</v>
      </c>
      <c r="AR609" s="0" t="n">
        <f aca="false">W_PH(AR$2,$A609)</f>
        <v>2015</v>
      </c>
      <c r="AS609" s="0" t="n">
        <f aca="false">W_PH(AS$2,$A609)</f>
        <v>2015</v>
      </c>
    </row>
    <row r="610" customFormat="false" ht="12.8" hidden="false" customHeight="false" outlineLevel="0" collapsed="false">
      <c r="A610" s="0" t="n">
        <v>3310.40412725709</v>
      </c>
      <c r="B610" s="0" t="n">
        <f aca="false">W_PH(B$2,$A610)</f>
        <v>2015</v>
      </c>
      <c r="C610" s="0" t="n">
        <f aca="false">W_PH(C$2,$A610)</f>
        <v>2015</v>
      </c>
      <c r="D610" s="0" t="n">
        <f aca="false">W_PH(D$2,$A610)</f>
        <v>2015</v>
      </c>
      <c r="E610" s="0" t="n">
        <f aca="false">W_PH(E$2,$A610)</f>
        <v>2015</v>
      </c>
      <c r="F610" s="0" t="n">
        <f aca="false">W_PH(F$2,$A610)</f>
        <v>2015</v>
      </c>
      <c r="G610" s="0" t="n">
        <f aca="false">W_PH(G$2,$A610)</f>
        <v>2015</v>
      </c>
      <c r="H610" s="0" t="n">
        <f aca="false">W_PH(H$2,$A610)</f>
        <v>2015</v>
      </c>
      <c r="I610" s="0" t="n">
        <f aca="false">W_PH(I$2,$A610)</f>
        <v>2015</v>
      </c>
      <c r="J610" s="0" t="n">
        <f aca="false">W_PH(J$2,$A610)</f>
        <v>2015</v>
      </c>
      <c r="K610" s="0" t="n">
        <f aca="false">W_PH(K$2,$A610)</f>
        <v>2015</v>
      </c>
      <c r="L610" s="0" t="n">
        <f aca="false">W_PH(L$2,$A610)</f>
        <v>2015</v>
      </c>
      <c r="M610" s="0" t="n">
        <f aca="false">W_PH(M$2,$A610)</f>
        <v>2015</v>
      </c>
      <c r="N610" s="0" t="n">
        <f aca="false">W_PH(N$2,$A610)</f>
        <v>2015</v>
      </c>
      <c r="O610" s="0" t="n">
        <f aca="false">W_PH(O$2,$A610)</f>
        <v>2015</v>
      </c>
      <c r="P610" s="0" t="n">
        <f aca="false">W_PH(P$2,$A610)</f>
        <v>2015</v>
      </c>
      <c r="Q610" s="0" t="n">
        <f aca="false">W_PH(Q$2,$A610)</f>
        <v>2015</v>
      </c>
      <c r="R610" s="0" t="n">
        <f aca="false">W_PH(R$2,$A610)</f>
        <v>2015</v>
      </c>
      <c r="S610" s="0" t="n">
        <f aca="false">W_PH(S$2,$A610)</f>
        <v>2015</v>
      </c>
      <c r="T610" s="0" t="n">
        <f aca="false">W_PH(T$2,$A610)</f>
        <v>2015</v>
      </c>
      <c r="U610" s="0" t="n">
        <f aca="false">W_PH(U$2,$A610)</f>
        <v>2015</v>
      </c>
      <c r="V610" s="0" t="n">
        <f aca="false">W_PH(V$2,$A610)</f>
        <v>2015</v>
      </c>
      <c r="W610" s="0" t="n">
        <f aca="false">W_PH(W$2,$A610)</f>
        <v>2015</v>
      </c>
      <c r="X610" s="0" t="n">
        <f aca="false">W_PH(X$2,$A610)</f>
        <v>2015</v>
      </c>
      <c r="Y610" s="0" t="n">
        <f aca="false">W_PH(Y$2,$A610)</f>
        <v>2015</v>
      </c>
      <c r="Z610" s="0" t="n">
        <f aca="false">W_PH(Z$2,$A610)</f>
        <v>2015</v>
      </c>
      <c r="AA610" s="0" t="n">
        <f aca="false">W_PH(AA$2,$A610)</f>
        <v>2015</v>
      </c>
      <c r="AB610" s="0" t="n">
        <f aca="false">W_PH(AB$2,$A610)</f>
        <v>2015</v>
      </c>
      <c r="AC610" s="0" t="n">
        <f aca="false">W_PH(AC$2,$A610)</f>
        <v>2015</v>
      </c>
      <c r="AD610" s="0" t="n">
        <f aca="false">W_PH(AD$2,$A610)</f>
        <v>2015</v>
      </c>
      <c r="AE610" s="0" t="n">
        <f aca="false">W_PH(AE$2,$A610)</f>
        <v>2015</v>
      </c>
      <c r="AF610" s="0" t="n">
        <f aca="false">W_PH(AF$2,$A610)</f>
        <v>2015</v>
      </c>
      <c r="AG610" s="0" t="n">
        <f aca="false">W_PH(AG$2,$A610)</f>
        <v>2015</v>
      </c>
      <c r="AH610" s="0" t="n">
        <f aca="false">W_PH(AH$2,$A610)</f>
        <v>2015</v>
      </c>
      <c r="AI610" s="0" t="n">
        <f aca="false">W_PH(AI$2,$A610)</f>
        <v>2015</v>
      </c>
      <c r="AJ610" s="0" t="n">
        <f aca="false">W_PH(AJ$2,$A610)</f>
        <v>2015</v>
      </c>
      <c r="AK610" s="0" t="n">
        <f aca="false">W_PH(AK$2,$A610)</f>
        <v>2015</v>
      </c>
      <c r="AL610" s="0" t="n">
        <f aca="false">W_PH(AL$2,$A610)</f>
        <v>2015</v>
      </c>
      <c r="AM610" s="0" t="n">
        <f aca="false">W_PH(AM$2,$A610)</f>
        <v>2015</v>
      </c>
      <c r="AN610" s="0" t="n">
        <f aca="false">W_PH(AN$2,$A610)</f>
        <v>2015</v>
      </c>
      <c r="AO610" s="0" t="n">
        <f aca="false">W_PH(AO$2,$A610)</f>
        <v>2015</v>
      </c>
      <c r="AP610" s="0" t="n">
        <f aca="false">W_PH(AP$2,$A610)</f>
        <v>2015</v>
      </c>
      <c r="AQ610" s="0" t="n">
        <f aca="false">W_PH(AQ$2,$A610)</f>
        <v>2015</v>
      </c>
      <c r="AR610" s="0" t="n">
        <f aca="false">W_PH(AR$2,$A610)</f>
        <v>2015</v>
      </c>
      <c r="AS610" s="0" t="n">
        <f aca="false">W_PH(AS$2,$A610)</f>
        <v>2015</v>
      </c>
    </row>
    <row r="611" customFormat="false" ht="12.8" hidden="false" customHeight="false" outlineLevel="0" collapsed="false">
      <c r="A611" s="0" t="n">
        <v>3314.70335339639</v>
      </c>
      <c r="B611" s="0" t="n">
        <f aca="false">W_PH(B$2,$A611)</f>
        <v>2015</v>
      </c>
      <c r="C611" s="0" t="n">
        <f aca="false">W_PH(C$2,$A611)</f>
        <v>2015</v>
      </c>
      <c r="D611" s="0" t="n">
        <f aca="false">W_PH(D$2,$A611)</f>
        <v>2015</v>
      </c>
      <c r="E611" s="0" t="n">
        <f aca="false">W_PH(E$2,$A611)</f>
        <v>2015</v>
      </c>
      <c r="F611" s="0" t="n">
        <f aca="false">W_PH(F$2,$A611)</f>
        <v>2015</v>
      </c>
      <c r="G611" s="0" t="n">
        <f aca="false">W_PH(G$2,$A611)</f>
        <v>2015</v>
      </c>
      <c r="H611" s="0" t="n">
        <f aca="false">W_PH(H$2,$A611)</f>
        <v>2015</v>
      </c>
      <c r="I611" s="0" t="n">
        <f aca="false">W_PH(I$2,$A611)</f>
        <v>2015</v>
      </c>
      <c r="J611" s="0" t="n">
        <f aca="false">W_PH(J$2,$A611)</f>
        <v>2015</v>
      </c>
      <c r="K611" s="0" t="n">
        <f aca="false">W_PH(K$2,$A611)</f>
        <v>2015</v>
      </c>
      <c r="L611" s="0" t="n">
        <f aca="false">W_PH(L$2,$A611)</f>
        <v>2015</v>
      </c>
      <c r="M611" s="0" t="n">
        <f aca="false">W_PH(M$2,$A611)</f>
        <v>2015</v>
      </c>
      <c r="N611" s="0" t="n">
        <f aca="false">W_PH(N$2,$A611)</f>
        <v>2015</v>
      </c>
      <c r="O611" s="0" t="n">
        <f aca="false">W_PH(O$2,$A611)</f>
        <v>2015</v>
      </c>
      <c r="P611" s="0" t="n">
        <f aca="false">W_PH(P$2,$A611)</f>
        <v>2015</v>
      </c>
      <c r="Q611" s="0" t="n">
        <f aca="false">W_PH(Q$2,$A611)</f>
        <v>2015</v>
      </c>
      <c r="R611" s="0" t="n">
        <f aca="false">W_PH(R$2,$A611)</f>
        <v>2015</v>
      </c>
      <c r="S611" s="0" t="n">
        <f aca="false">W_PH(S$2,$A611)</f>
        <v>2015</v>
      </c>
      <c r="T611" s="0" t="n">
        <f aca="false">W_PH(T$2,$A611)</f>
        <v>2015</v>
      </c>
      <c r="U611" s="0" t="n">
        <f aca="false">W_PH(U$2,$A611)</f>
        <v>2015</v>
      </c>
      <c r="V611" s="0" t="n">
        <f aca="false">W_PH(V$2,$A611)</f>
        <v>2015</v>
      </c>
      <c r="W611" s="0" t="n">
        <f aca="false">W_PH(W$2,$A611)</f>
        <v>2015</v>
      </c>
      <c r="X611" s="0" t="n">
        <f aca="false">W_PH(X$2,$A611)</f>
        <v>2015</v>
      </c>
      <c r="Y611" s="0" t="n">
        <f aca="false">W_PH(Y$2,$A611)</f>
        <v>2015</v>
      </c>
      <c r="Z611" s="0" t="n">
        <f aca="false">W_PH(Z$2,$A611)</f>
        <v>2015</v>
      </c>
      <c r="AA611" s="0" t="n">
        <f aca="false">W_PH(AA$2,$A611)</f>
        <v>2015</v>
      </c>
      <c r="AB611" s="0" t="n">
        <f aca="false">W_PH(AB$2,$A611)</f>
        <v>2015</v>
      </c>
      <c r="AC611" s="0" t="n">
        <f aca="false">W_PH(AC$2,$A611)</f>
        <v>2015</v>
      </c>
      <c r="AD611" s="0" t="n">
        <f aca="false">W_PH(AD$2,$A611)</f>
        <v>2015</v>
      </c>
      <c r="AE611" s="0" t="n">
        <f aca="false">W_PH(AE$2,$A611)</f>
        <v>2015</v>
      </c>
      <c r="AF611" s="0" t="n">
        <f aca="false">W_PH(AF$2,$A611)</f>
        <v>2015</v>
      </c>
      <c r="AG611" s="0" t="n">
        <f aca="false">W_PH(AG$2,$A611)</f>
        <v>2015</v>
      </c>
      <c r="AH611" s="0" t="n">
        <f aca="false">W_PH(AH$2,$A611)</f>
        <v>2015</v>
      </c>
      <c r="AI611" s="0" t="n">
        <f aca="false">W_PH(AI$2,$A611)</f>
        <v>2015</v>
      </c>
      <c r="AJ611" s="0" t="n">
        <f aca="false">W_PH(AJ$2,$A611)</f>
        <v>2015</v>
      </c>
      <c r="AK611" s="0" t="n">
        <f aca="false">W_PH(AK$2,$A611)</f>
        <v>2015</v>
      </c>
      <c r="AL611" s="0" t="n">
        <f aca="false">W_PH(AL$2,$A611)</f>
        <v>2015</v>
      </c>
      <c r="AM611" s="0" t="n">
        <f aca="false">W_PH(AM$2,$A611)</f>
        <v>2015</v>
      </c>
      <c r="AN611" s="0" t="n">
        <f aca="false">W_PH(AN$2,$A611)</f>
        <v>2015</v>
      </c>
      <c r="AO611" s="0" t="n">
        <f aca="false">W_PH(AO$2,$A611)</f>
        <v>2015</v>
      </c>
      <c r="AP611" s="0" t="n">
        <f aca="false">W_PH(AP$2,$A611)</f>
        <v>2015</v>
      </c>
      <c r="AQ611" s="0" t="n">
        <f aca="false">W_PH(AQ$2,$A611)</f>
        <v>2015</v>
      </c>
      <c r="AR611" s="0" t="n">
        <f aca="false">W_PH(AR$2,$A611)</f>
        <v>2015</v>
      </c>
      <c r="AS611" s="0" t="n">
        <f aca="false">W_PH(AS$2,$A611)</f>
        <v>2015</v>
      </c>
    </row>
    <row r="612" customFormat="false" ht="12.8" hidden="false" customHeight="false" outlineLevel="0" collapsed="false">
      <c r="A612" s="0" t="n">
        <v>3319.00257953568</v>
      </c>
      <c r="B612" s="0" t="n">
        <f aca="false">W_PH(B$2,$A612)</f>
        <v>2015</v>
      </c>
      <c r="C612" s="0" t="n">
        <f aca="false">W_PH(C$2,$A612)</f>
        <v>2015</v>
      </c>
      <c r="D612" s="0" t="n">
        <f aca="false">W_PH(D$2,$A612)</f>
        <v>2015</v>
      </c>
      <c r="E612" s="0" t="n">
        <f aca="false">W_PH(E$2,$A612)</f>
        <v>2015</v>
      </c>
      <c r="F612" s="0" t="n">
        <f aca="false">W_PH(F$2,$A612)</f>
        <v>2015</v>
      </c>
      <c r="G612" s="0" t="n">
        <f aca="false">W_PH(G$2,$A612)</f>
        <v>2015</v>
      </c>
      <c r="H612" s="0" t="n">
        <f aca="false">W_PH(H$2,$A612)</f>
        <v>2015</v>
      </c>
      <c r="I612" s="0" t="n">
        <f aca="false">W_PH(I$2,$A612)</f>
        <v>2015</v>
      </c>
      <c r="J612" s="0" t="n">
        <f aca="false">W_PH(J$2,$A612)</f>
        <v>2015</v>
      </c>
      <c r="K612" s="0" t="n">
        <f aca="false">W_PH(K$2,$A612)</f>
        <v>2015</v>
      </c>
      <c r="L612" s="0" t="n">
        <f aca="false">W_PH(L$2,$A612)</f>
        <v>2015</v>
      </c>
      <c r="M612" s="0" t="n">
        <f aca="false">W_PH(M$2,$A612)</f>
        <v>2015</v>
      </c>
      <c r="N612" s="0" t="n">
        <f aca="false">W_PH(N$2,$A612)</f>
        <v>2015</v>
      </c>
      <c r="O612" s="0" t="n">
        <f aca="false">W_PH(O$2,$A612)</f>
        <v>2015</v>
      </c>
      <c r="P612" s="0" t="n">
        <f aca="false">W_PH(P$2,$A612)</f>
        <v>2015</v>
      </c>
      <c r="Q612" s="0" t="n">
        <f aca="false">W_PH(Q$2,$A612)</f>
        <v>2015</v>
      </c>
      <c r="R612" s="0" t="n">
        <f aca="false">W_PH(R$2,$A612)</f>
        <v>2015</v>
      </c>
      <c r="S612" s="0" t="n">
        <f aca="false">W_PH(S$2,$A612)</f>
        <v>2015</v>
      </c>
      <c r="T612" s="0" t="n">
        <f aca="false">W_PH(T$2,$A612)</f>
        <v>2015</v>
      </c>
      <c r="U612" s="0" t="n">
        <f aca="false">W_PH(U$2,$A612)</f>
        <v>2015</v>
      </c>
      <c r="V612" s="0" t="n">
        <f aca="false">W_PH(V$2,$A612)</f>
        <v>2015</v>
      </c>
      <c r="W612" s="0" t="n">
        <f aca="false">W_PH(W$2,$A612)</f>
        <v>2015</v>
      </c>
      <c r="X612" s="0" t="n">
        <f aca="false">W_PH(X$2,$A612)</f>
        <v>2015</v>
      </c>
      <c r="Y612" s="0" t="n">
        <f aca="false">W_PH(Y$2,$A612)</f>
        <v>2015</v>
      </c>
      <c r="Z612" s="0" t="n">
        <f aca="false">W_PH(Z$2,$A612)</f>
        <v>2015</v>
      </c>
      <c r="AA612" s="0" t="n">
        <f aca="false">W_PH(AA$2,$A612)</f>
        <v>2015</v>
      </c>
      <c r="AB612" s="0" t="n">
        <f aca="false">W_PH(AB$2,$A612)</f>
        <v>2015</v>
      </c>
      <c r="AC612" s="0" t="n">
        <f aca="false">W_PH(AC$2,$A612)</f>
        <v>2015</v>
      </c>
      <c r="AD612" s="0" t="n">
        <f aca="false">W_PH(AD$2,$A612)</f>
        <v>2015</v>
      </c>
      <c r="AE612" s="0" t="n">
        <f aca="false">W_PH(AE$2,$A612)</f>
        <v>2015</v>
      </c>
      <c r="AF612" s="0" t="n">
        <f aca="false">W_PH(AF$2,$A612)</f>
        <v>2015</v>
      </c>
      <c r="AG612" s="0" t="n">
        <f aca="false">W_PH(AG$2,$A612)</f>
        <v>2015</v>
      </c>
      <c r="AH612" s="0" t="n">
        <f aca="false">W_PH(AH$2,$A612)</f>
        <v>2015</v>
      </c>
      <c r="AI612" s="0" t="n">
        <f aca="false">W_PH(AI$2,$A612)</f>
        <v>2015</v>
      </c>
      <c r="AJ612" s="0" t="n">
        <f aca="false">W_PH(AJ$2,$A612)</f>
        <v>2015</v>
      </c>
      <c r="AK612" s="0" t="n">
        <f aca="false">W_PH(AK$2,$A612)</f>
        <v>2015</v>
      </c>
      <c r="AL612" s="0" t="n">
        <f aca="false">W_PH(AL$2,$A612)</f>
        <v>2015</v>
      </c>
      <c r="AM612" s="0" t="n">
        <f aca="false">W_PH(AM$2,$A612)</f>
        <v>2015</v>
      </c>
      <c r="AN612" s="0" t="n">
        <f aca="false">W_PH(AN$2,$A612)</f>
        <v>2015</v>
      </c>
      <c r="AO612" s="0" t="n">
        <f aca="false">W_PH(AO$2,$A612)</f>
        <v>2015</v>
      </c>
      <c r="AP612" s="0" t="n">
        <f aca="false">W_PH(AP$2,$A612)</f>
        <v>2015</v>
      </c>
      <c r="AQ612" s="0" t="n">
        <f aca="false">W_PH(AQ$2,$A612)</f>
        <v>2015</v>
      </c>
      <c r="AR612" s="0" t="n">
        <f aca="false">W_PH(AR$2,$A612)</f>
        <v>2015</v>
      </c>
      <c r="AS612" s="0" t="n">
        <f aca="false">W_PH(AS$2,$A612)</f>
        <v>2015</v>
      </c>
    </row>
    <row r="613" customFormat="false" ht="12.8" hidden="false" customHeight="false" outlineLevel="0" collapsed="false">
      <c r="A613" s="0" t="n">
        <v>3323.30180567498</v>
      </c>
      <c r="B613" s="0" t="n">
        <f aca="false">W_PH(B$2,$A613)</f>
        <v>2015</v>
      </c>
      <c r="C613" s="0" t="n">
        <f aca="false">W_PH(C$2,$A613)</f>
        <v>2015</v>
      </c>
      <c r="D613" s="0" t="n">
        <f aca="false">W_PH(D$2,$A613)</f>
        <v>2015</v>
      </c>
      <c r="E613" s="0" t="n">
        <f aca="false">W_PH(E$2,$A613)</f>
        <v>2015</v>
      </c>
      <c r="F613" s="0" t="n">
        <f aca="false">W_PH(F$2,$A613)</f>
        <v>2015</v>
      </c>
      <c r="G613" s="0" t="n">
        <f aca="false">W_PH(G$2,$A613)</f>
        <v>2015</v>
      </c>
      <c r="H613" s="0" t="n">
        <f aca="false">W_PH(H$2,$A613)</f>
        <v>2015</v>
      </c>
      <c r="I613" s="0" t="n">
        <f aca="false">W_PH(I$2,$A613)</f>
        <v>2015</v>
      </c>
      <c r="J613" s="0" t="n">
        <f aca="false">W_PH(J$2,$A613)</f>
        <v>2015</v>
      </c>
      <c r="K613" s="0" t="n">
        <f aca="false">W_PH(K$2,$A613)</f>
        <v>2015</v>
      </c>
      <c r="L613" s="0" t="n">
        <f aca="false">W_PH(L$2,$A613)</f>
        <v>2015</v>
      </c>
      <c r="M613" s="0" t="n">
        <f aca="false">W_PH(M$2,$A613)</f>
        <v>2015</v>
      </c>
      <c r="N613" s="0" t="n">
        <f aca="false">W_PH(N$2,$A613)</f>
        <v>2015</v>
      </c>
      <c r="O613" s="0" t="n">
        <f aca="false">W_PH(O$2,$A613)</f>
        <v>2015</v>
      </c>
      <c r="P613" s="0" t="n">
        <f aca="false">W_PH(P$2,$A613)</f>
        <v>2015</v>
      </c>
      <c r="Q613" s="0" t="n">
        <f aca="false">W_PH(Q$2,$A613)</f>
        <v>2015</v>
      </c>
      <c r="R613" s="0" t="n">
        <f aca="false">W_PH(R$2,$A613)</f>
        <v>2015</v>
      </c>
      <c r="S613" s="0" t="n">
        <f aca="false">W_PH(S$2,$A613)</f>
        <v>2015</v>
      </c>
      <c r="T613" s="0" t="n">
        <f aca="false">W_PH(T$2,$A613)</f>
        <v>2015</v>
      </c>
      <c r="U613" s="0" t="n">
        <f aca="false">W_PH(U$2,$A613)</f>
        <v>2015</v>
      </c>
      <c r="V613" s="0" t="n">
        <f aca="false">W_PH(V$2,$A613)</f>
        <v>2015</v>
      </c>
      <c r="W613" s="0" t="n">
        <f aca="false">W_PH(W$2,$A613)</f>
        <v>2015</v>
      </c>
      <c r="X613" s="0" t="n">
        <f aca="false">W_PH(X$2,$A613)</f>
        <v>2015</v>
      </c>
      <c r="Y613" s="0" t="n">
        <f aca="false">W_PH(Y$2,$A613)</f>
        <v>2015</v>
      </c>
      <c r="Z613" s="0" t="n">
        <f aca="false">W_PH(Z$2,$A613)</f>
        <v>2015</v>
      </c>
      <c r="AA613" s="0" t="n">
        <f aca="false">W_PH(AA$2,$A613)</f>
        <v>2015</v>
      </c>
      <c r="AB613" s="0" t="n">
        <f aca="false">W_PH(AB$2,$A613)</f>
        <v>2015</v>
      </c>
      <c r="AC613" s="0" t="n">
        <f aca="false">W_PH(AC$2,$A613)</f>
        <v>2015</v>
      </c>
      <c r="AD613" s="0" t="n">
        <f aca="false">W_PH(AD$2,$A613)</f>
        <v>2015</v>
      </c>
      <c r="AE613" s="0" t="n">
        <f aca="false">W_PH(AE$2,$A613)</f>
        <v>2015</v>
      </c>
      <c r="AF613" s="0" t="n">
        <f aca="false">W_PH(AF$2,$A613)</f>
        <v>2015</v>
      </c>
      <c r="AG613" s="0" t="n">
        <f aca="false">W_PH(AG$2,$A613)</f>
        <v>2015</v>
      </c>
      <c r="AH613" s="0" t="n">
        <f aca="false">W_PH(AH$2,$A613)</f>
        <v>2015</v>
      </c>
      <c r="AI613" s="0" t="n">
        <f aca="false">W_PH(AI$2,$A613)</f>
        <v>2015</v>
      </c>
      <c r="AJ613" s="0" t="n">
        <f aca="false">W_PH(AJ$2,$A613)</f>
        <v>2015</v>
      </c>
      <c r="AK613" s="0" t="n">
        <f aca="false">W_PH(AK$2,$A613)</f>
        <v>2015</v>
      </c>
      <c r="AL613" s="0" t="n">
        <f aca="false">W_PH(AL$2,$A613)</f>
        <v>2015</v>
      </c>
      <c r="AM613" s="0" t="n">
        <f aca="false">W_PH(AM$2,$A613)</f>
        <v>2015</v>
      </c>
      <c r="AN613" s="0" t="n">
        <f aca="false">W_PH(AN$2,$A613)</f>
        <v>2015</v>
      </c>
      <c r="AO613" s="0" t="n">
        <f aca="false">W_PH(AO$2,$A613)</f>
        <v>2015</v>
      </c>
      <c r="AP613" s="0" t="n">
        <f aca="false">W_PH(AP$2,$A613)</f>
        <v>2015</v>
      </c>
      <c r="AQ613" s="0" t="n">
        <f aca="false">W_PH(AQ$2,$A613)</f>
        <v>2015</v>
      </c>
      <c r="AR613" s="0" t="n">
        <f aca="false">W_PH(AR$2,$A613)</f>
        <v>2015</v>
      </c>
      <c r="AS613" s="0" t="n">
        <f aca="false">W_PH(AS$2,$A613)</f>
        <v>2015</v>
      </c>
    </row>
    <row r="614" customFormat="false" ht="12.8" hidden="false" customHeight="false" outlineLevel="0" collapsed="false">
      <c r="A614" s="0" t="n">
        <v>3327.60103181427</v>
      </c>
      <c r="B614" s="0" t="n">
        <f aca="false">W_PH(B$2,$A614)</f>
        <v>2015</v>
      </c>
      <c r="C614" s="0" t="n">
        <f aca="false">W_PH(C$2,$A614)</f>
        <v>2015</v>
      </c>
      <c r="D614" s="0" t="n">
        <f aca="false">W_PH(D$2,$A614)</f>
        <v>2015</v>
      </c>
      <c r="E614" s="0" t="n">
        <f aca="false">W_PH(E$2,$A614)</f>
        <v>2015</v>
      </c>
      <c r="F614" s="0" t="n">
        <f aca="false">W_PH(F$2,$A614)</f>
        <v>2015</v>
      </c>
      <c r="G614" s="0" t="n">
        <f aca="false">W_PH(G$2,$A614)</f>
        <v>2015</v>
      </c>
      <c r="H614" s="0" t="n">
        <f aca="false">W_PH(H$2,$A614)</f>
        <v>2015</v>
      </c>
      <c r="I614" s="0" t="n">
        <f aca="false">W_PH(I$2,$A614)</f>
        <v>2015</v>
      </c>
      <c r="J614" s="0" t="n">
        <f aca="false">W_PH(J$2,$A614)</f>
        <v>2015</v>
      </c>
      <c r="K614" s="0" t="n">
        <f aca="false">W_PH(K$2,$A614)</f>
        <v>2015</v>
      </c>
      <c r="L614" s="0" t="n">
        <f aca="false">W_PH(L$2,$A614)</f>
        <v>2015</v>
      </c>
      <c r="M614" s="0" t="n">
        <f aca="false">W_PH(M$2,$A614)</f>
        <v>2015</v>
      </c>
      <c r="N614" s="0" t="n">
        <f aca="false">W_PH(N$2,$A614)</f>
        <v>2015</v>
      </c>
      <c r="O614" s="0" t="n">
        <f aca="false">W_PH(O$2,$A614)</f>
        <v>2015</v>
      </c>
      <c r="P614" s="0" t="n">
        <f aca="false">W_PH(P$2,$A614)</f>
        <v>2015</v>
      </c>
      <c r="Q614" s="0" t="n">
        <f aca="false">W_PH(Q$2,$A614)</f>
        <v>2015</v>
      </c>
      <c r="R614" s="0" t="n">
        <f aca="false">W_PH(R$2,$A614)</f>
        <v>2015</v>
      </c>
      <c r="S614" s="0" t="n">
        <f aca="false">W_PH(S$2,$A614)</f>
        <v>2015</v>
      </c>
      <c r="T614" s="0" t="n">
        <f aca="false">W_PH(T$2,$A614)</f>
        <v>2015</v>
      </c>
      <c r="U614" s="0" t="n">
        <f aca="false">W_PH(U$2,$A614)</f>
        <v>2015</v>
      </c>
      <c r="V614" s="0" t="n">
        <f aca="false">W_PH(V$2,$A614)</f>
        <v>2015</v>
      </c>
      <c r="W614" s="0" t="n">
        <f aca="false">W_PH(W$2,$A614)</f>
        <v>2015</v>
      </c>
      <c r="X614" s="0" t="n">
        <f aca="false">W_PH(X$2,$A614)</f>
        <v>2015</v>
      </c>
      <c r="Y614" s="0" t="n">
        <f aca="false">W_PH(Y$2,$A614)</f>
        <v>2015</v>
      </c>
      <c r="Z614" s="0" t="n">
        <f aca="false">W_PH(Z$2,$A614)</f>
        <v>2015</v>
      </c>
      <c r="AA614" s="0" t="n">
        <f aca="false">W_PH(AA$2,$A614)</f>
        <v>2015</v>
      </c>
      <c r="AB614" s="0" t="n">
        <f aca="false">W_PH(AB$2,$A614)</f>
        <v>2015</v>
      </c>
      <c r="AC614" s="0" t="n">
        <f aca="false">W_PH(AC$2,$A614)</f>
        <v>2015</v>
      </c>
      <c r="AD614" s="0" t="n">
        <f aca="false">W_PH(AD$2,$A614)</f>
        <v>2015</v>
      </c>
      <c r="AE614" s="0" t="n">
        <f aca="false">W_PH(AE$2,$A614)</f>
        <v>2015</v>
      </c>
      <c r="AF614" s="0" t="n">
        <f aca="false">W_PH(AF$2,$A614)</f>
        <v>2015</v>
      </c>
      <c r="AG614" s="0" t="n">
        <f aca="false">W_PH(AG$2,$A614)</f>
        <v>2015</v>
      </c>
      <c r="AH614" s="0" t="n">
        <f aca="false">W_PH(AH$2,$A614)</f>
        <v>2015</v>
      </c>
      <c r="AI614" s="0" t="n">
        <f aca="false">W_PH(AI$2,$A614)</f>
        <v>2015</v>
      </c>
      <c r="AJ614" s="0" t="n">
        <f aca="false">W_PH(AJ$2,$A614)</f>
        <v>2015</v>
      </c>
      <c r="AK614" s="0" t="n">
        <f aca="false">W_PH(AK$2,$A614)</f>
        <v>2015</v>
      </c>
      <c r="AL614" s="0" t="n">
        <f aca="false">W_PH(AL$2,$A614)</f>
        <v>2015</v>
      </c>
      <c r="AM614" s="0" t="n">
        <f aca="false">W_PH(AM$2,$A614)</f>
        <v>2015</v>
      </c>
      <c r="AN614" s="0" t="n">
        <f aca="false">W_PH(AN$2,$A614)</f>
        <v>2015</v>
      </c>
      <c r="AO614" s="0" t="n">
        <f aca="false">W_PH(AO$2,$A614)</f>
        <v>2015</v>
      </c>
      <c r="AP614" s="0" t="n">
        <f aca="false">W_PH(AP$2,$A614)</f>
        <v>2015</v>
      </c>
      <c r="AQ614" s="0" t="n">
        <f aca="false">W_PH(AQ$2,$A614)</f>
        <v>2015</v>
      </c>
      <c r="AR614" s="0" t="n">
        <f aca="false">W_PH(AR$2,$A614)</f>
        <v>2015</v>
      </c>
      <c r="AS614" s="0" t="n">
        <f aca="false">W_PH(AS$2,$A614)</f>
        <v>2015</v>
      </c>
    </row>
    <row r="615" customFormat="false" ht="12.8" hidden="false" customHeight="false" outlineLevel="0" collapsed="false">
      <c r="A615" s="0" t="n">
        <v>3331.90025795357</v>
      </c>
      <c r="B615" s="0" t="n">
        <f aca="false">W_PH(B$2,$A615)</f>
        <v>2015</v>
      </c>
      <c r="C615" s="0" t="n">
        <f aca="false">W_PH(C$2,$A615)</f>
        <v>2015</v>
      </c>
      <c r="D615" s="0" t="n">
        <f aca="false">W_PH(D$2,$A615)</f>
        <v>2015</v>
      </c>
      <c r="E615" s="0" t="n">
        <f aca="false">W_PH(E$2,$A615)</f>
        <v>2015</v>
      </c>
      <c r="F615" s="0" t="n">
        <f aca="false">W_PH(F$2,$A615)</f>
        <v>2015</v>
      </c>
      <c r="G615" s="0" t="n">
        <f aca="false">W_PH(G$2,$A615)</f>
        <v>2015</v>
      </c>
      <c r="H615" s="0" t="n">
        <f aca="false">W_PH(H$2,$A615)</f>
        <v>2015</v>
      </c>
      <c r="I615" s="0" t="n">
        <f aca="false">W_PH(I$2,$A615)</f>
        <v>2015</v>
      </c>
      <c r="J615" s="0" t="n">
        <f aca="false">W_PH(J$2,$A615)</f>
        <v>2015</v>
      </c>
      <c r="K615" s="0" t="n">
        <f aca="false">W_PH(K$2,$A615)</f>
        <v>2015</v>
      </c>
      <c r="L615" s="0" t="n">
        <f aca="false">W_PH(L$2,$A615)</f>
        <v>2015</v>
      </c>
      <c r="M615" s="0" t="n">
        <f aca="false">W_PH(M$2,$A615)</f>
        <v>2015</v>
      </c>
      <c r="N615" s="0" t="n">
        <f aca="false">W_PH(N$2,$A615)</f>
        <v>2015</v>
      </c>
      <c r="O615" s="0" t="n">
        <f aca="false">W_PH(O$2,$A615)</f>
        <v>2015</v>
      </c>
      <c r="P615" s="0" t="n">
        <f aca="false">W_PH(P$2,$A615)</f>
        <v>2015</v>
      </c>
      <c r="Q615" s="0" t="n">
        <f aca="false">W_PH(Q$2,$A615)</f>
        <v>2015</v>
      </c>
      <c r="R615" s="0" t="n">
        <f aca="false">W_PH(R$2,$A615)</f>
        <v>2015</v>
      </c>
      <c r="S615" s="0" t="n">
        <f aca="false">W_PH(S$2,$A615)</f>
        <v>2015</v>
      </c>
      <c r="T615" s="0" t="n">
        <f aca="false">W_PH(T$2,$A615)</f>
        <v>2015</v>
      </c>
      <c r="U615" s="0" t="n">
        <f aca="false">W_PH(U$2,$A615)</f>
        <v>2015</v>
      </c>
      <c r="V615" s="0" t="n">
        <f aca="false">W_PH(V$2,$A615)</f>
        <v>2015</v>
      </c>
      <c r="W615" s="0" t="n">
        <f aca="false">W_PH(W$2,$A615)</f>
        <v>2015</v>
      </c>
      <c r="X615" s="0" t="n">
        <f aca="false">W_PH(X$2,$A615)</f>
        <v>2015</v>
      </c>
      <c r="Y615" s="0" t="n">
        <f aca="false">W_PH(Y$2,$A615)</f>
        <v>2015</v>
      </c>
      <c r="Z615" s="0" t="n">
        <f aca="false">W_PH(Z$2,$A615)</f>
        <v>2015</v>
      </c>
      <c r="AA615" s="0" t="n">
        <f aca="false">W_PH(AA$2,$A615)</f>
        <v>2015</v>
      </c>
      <c r="AB615" s="0" t="n">
        <f aca="false">W_PH(AB$2,$A615)</f>
        <v>2015</v>
      </c>
      <c r="AC615" s="0" t="n">
        <f aca="false">W_PH(AC$2,$A615)</f>
        <v>2015</v>
      </c>
      <c r="AD615" s="0" t="n">
        <f aca="false">W_PH(AD$2,$A615)</f>
        <v>2015</v>
      </c>
      <c r="AE615" s="0" t="n">
        <f aca="false">W_PH(AE$2,$A615)</f>
        <v>2015</v>
      </c>
      <c r="AF615" s="0" t="n">
        <f aca="false">W_PH(AF$2,$A615)</f>
        <v>2015</v>
      </c>
      <c r="AG615" s="0" t="n">
        <f aca="false">W_PH(AG$2,$A615)</f>
        <v>2015</v>
      </c>
      <c r="AH615" s="0" t="n">
        <f aca="false">W_PH(AH$2,$A615)</f>
        <v>2015</v>
      </c>
      <c r="AI615" s="0" t="n">
        <f aca="false">W_PH(AI$2,$A615)</f>
        <v>2015</v>
      </c>
      <c r="AJ615" s="0" t="n">
        <f aca="false">W_PH(AJ$2,$A615)</f>
        <v>2015</v>
      </c>
      <c r="AK615" s="0" t="n">
        <f aca="false">W_PH(AK$2,$A615)</f>
        <v>2015</v>
      </c>
      <c r="AL615" s="0" t="n">
        <f aca="false">W_PH(AL$2,$A615)</f>
        <v>2015</v>
      </c>
      <c r="AM615" s="0" t="n">
        <f aca="false">W_PH(AM$2,$A615)</f>
        <v>2015</v>
      </c>
      <c r="AN615" s="0" t="n">
        <f aca="false">W_PH(AN$2,$A615)</f>
        <v>2015</v>
      </c>
      <c r="AO615" s="0" t="n">
        <f aca="false">W_PH(AO$2,$A615)</f>
        <v>2015</v>
      </c>
      <c r="AP615" s="0" t="n">
        <f aca="false">W_PH(AP$2,$A615)</f>
        <v>2015</v>
      </c>
      <c r="AQ615" s="0" t="n">
        <f aca="false">W_PH(AQ$2,$A615)</f>
        <v>2015</v>
      </c>
      <c r="AR615" s="0" t="n">
        <f aca="false">W_PH(AR$2,$A615)</f>
        <v>2015</v>
      </c>
      <c r="AS615" s="0" t="n">
        <f aca="false">W_PH(AS$2,$A615)</f>
        <v>2015</v>
      </c>
    </row>
    <row r="616" customFormat="false" ht="12.8" hidden="false" customHeight="false" outlineLevel="0" collapsed="false">
      <c r="A616" s="0" t="n">
        <v>3336.19948409286</v>
      </c>
      <c r="B616" s="0" t="n">
        <f aca="false">W_PH(B$2,$A616)</f>
        <v>2015</v>
      </c>
      <c r="C616" s="0" t="n">
        <f aca="false">W_PH(C$2,$A616)</f>
        <v>2015</v>
      </c>
      <c r="D616" s="0" t="n">
        <f aca="false">W_PH(D$2,$A616)</f>
        <v>2015</v>
      </c>
      <c r="E616" s="0" t="n">
        <f aca="false">W_PH(E$2,$A616)</f>
        <v>2015</v>
      </c>
      <c r="F616" s="0" t="n">
        <f aca="false">W_PH(F$2,$A616)</f>
        <v>2015</v>
      </c>
      <c r="G616" s="0" t="n">
        <f aca="false">W_PH(G$2,$A616)</f>
        <v>2015</v>
      </c>
      <c r="H616" s="0" t="n">
        <f aca="false">W_PH(H$2,$A616)</f>
        <v>2015</v>
      </c>
      <c r="I616" s="0" t="n">
        <f aca="false">W_PH(I$2,$A616)</f>
        <v>2015</v>
      </c>
      <c r="J616" s="0" t="n">
        <f aca="false">W_PH(J$2,$A616)</f>
        <v>2015</v>
      </c>
      <c r="K616" s="0" t="n">
        <f aca="false">W_PH(K$2,$A616)</f>
        <v>2015</v>
      </c>
      <c r="L616" s="0" t="n">
        <f aca="false">W_PH(L$2,$A616)</f>
        <v>2015</v>
      </c>
      <c r="M616" s="0" t="n">
        <f aca="false">W_PH(M$2,$A616)</f>
        <v>2015</v>
      </c>
      <c r="N616" s="0" t="n">
        <f aca="false">W_PH(N$2,$A616)</f>
        <v>2015</v>
      </c>
      <c r="O616" s="0" t="n">
        <f aca="false">W_PH(O$2,$A616)</f>
        <v>2015</v>
      </c>
      <c r="P616" s="0" t="n">
        <f aca="false">W_PH(P$2,$A616)</f>
        <v>2015</v>
      </c>
      <c r="Q616" s="0" t="n">
        <f aca="false">W_PH(Q$2,$A616)</f>
        <v>2015</v>
      </c>
      <c r="R616" s="0" t="n">
        <f aca="false">W_PH(R$2,$A616)</f>
        <v>2015</v>
      </c>
      <c r="S616" s="0" t="n">
        <f aca="false">W_PH(S$2,$A616)</f>
        <v>2015</v>
      </c>
      <c r="T616" s="0" t="n">
        <f aca="false">W_PH(T$2,$A616)</f>
        <v>2015</v>
      </c>
      <c r="U616" s="0" t="n">
        <f aca="false">W_PH(U$2,$A616)</f>
        <v>2015</v>
      </c>
      <c r="V616" s="0" t="n">
        <f aca="false">W_PH(V$2,$A616)</f>
        <v>2015</v>
      </c>
      <c r="W616" s="0" t="n">
        <f aca="false">W_PH(W$2,$A616)</f>
        <v>2015</v>
      </c>
      <c r="X616" s="0" t="n">
        <f aca="false">W_PH(X$2,$A616)</f>
        <v>2015</v>
      </c>
      <c r="Y616" s="0" t="n">
        <f aca="false">W_PH(Y$2,$A616)</f>
        <v>2015</v>
      </c>
      <c r="Z616" s="0" t="n">
        <f aca="false">W_PH(Z$2,$A616)</f>
        <v>2015</v>
      </c>
      <c r="AA616" s="0" t="n">
        <f aca="false">W_PH(AA$2,$A616)</f>
        <v>2015</v>
      </c>
      <c r="AB616" s="0" t="n">
        <f aca="false">W_PH(AB$2,$A616)</f>
        <v>2015</v>
      </c>
      <c r="AC616" s="0" t="n">
        <f aca="false">W_PH(AC$2,$A616)</f>
        <v>2015</v>
      </c>
      <c r="AD616" s="0" t="n">
        <f aca="false">W_PH(AD$2,$A616)</f>
        <v>2015</v>
      </c>
      <c r="AE616" s="0" t="n">
        <f aca="false">W_PH(AE$2,$A616)</f>
        <v>2015</v>
      </c>
      <c r="AF616" s="0" t="n">
        <f aca="false">W_PH(AF$2,$A616)</f>
        <v>2015</v>
      </c>
      <c r="AG616" s="0" t="n">
        <f aca="false">W_PH(AG$2,$A616)</f>
        <v>2015</v>
      </c>
      <c r="AH616" s="0" t="n">
        <f aca="false">W_PH(AH$2,$A616)</f>
        <v>2015</v>
      </c>
      <c r="AI616" s="0" t="n">
        <f aca="false">W_PH(AI$2,$A616)</f>
        <v>2015</v>
      </c>
      <c r="AJ616" s="0" t="n">
        <f aca="false">W_PH(AJ$2,$A616)</f>
        <v>2015</v>
      </c>
      <c r="AK616" s="0" t="n">
        <f aca="false">W_PH(AK$2,$A616)</f>
        <v>2015</v>
      </c>
      <c r="AL616" s="0" t="n">
        <f aca="false">W_PH(AL$2,$A616)</f>
        <v>2015</v>
      </c>
      <c r="AM616" s="0" t="n">
        <f aca="false">W_PH(AM$2,$A616)</f>
        <v>2015</v>
      </c>
      <c r="AN616" s="0" t="n">
        <f aca="false">W_PH(AN$2,$A616)</f>
        <v>2015</v>
      </c>
      <c r="AO616" s="0" t="n">
        <f aca="false">W_PH(AO$2,$A616)</f>
        <v>2015</v>
      </c>
      <c r="AP616" s="0" t="n">
        <f aca="false">W_PH(AP$2,$A616)</f>
        <v>2015</v>
      </c>
      <c r="AQ616" s="0" t="n">
        <f aca="false">W_PH(AQ$2,$A616)</f>
        <v>2015</v>
      </c>
      <c r="AR616" s="0" t="n">
        <f aca="false">W_PH(AR$2,$A616)</f>
        <v>2015</v>
      </c>
      <c r="AS616" s="0" t="n">
        <f aca="false">W_PH(AS$2,$A616)</f>
        <v>2015</v>
      </c>
    </row>
    <row r="617" customFormat="false" ht="12.8" hidden="false" customHeight="false" outlineLevel="0" collapsed="false">
      <c r="A617" s="0" t="n">
        <v>3340.49871023216</v>
      </c>
      <c r="B617" s="0" t="n">
        <f aca="false">W_PH(B$2,$A617)</f>
        <v>2015</v>
      </c>
      <c r="C617" s="0" t="n">
        <f aca="false">W_PH(C$2,$A617)</f>
        <v>2015</v>
      </c>
      <c r="D617" s="0" t="n">
        <f aca="false">W_PH(D$2,$A617)</f>
        <v>2015</v>
      </c>
      <c r="E617" s="0" t="n">
        <f aca="false">W_PH(E$2,$A617)</f>
        <v>2015</v>
      </c>
      <c r="F617" s="0" t="n">
        <f aca="false">W_PH(F$2,$A617)</f>
        <v>2015</v>
      </c>
      <c r="G617" s="0" t="n">
        <f aca="false">W_PH(G$2,$A617)</f>
        <v>2015</v>
      </c>
      <c r="H617" s="0" t="n">
        <f aca="false">W_PH(H$2,$A617)</f>
        <v>2015</v>
      </c>
      <c r="I617" s="0" t="n">
        <f aca="false">W_PH(I$2,$A617)</f>
        <v>2015</v>
      </c>
      <c r="J617" s="0" t="n">
        <f aca="false">W_PH(J$2,$A617)</f>
        <v>2015</v>
      </c>
      <c r="K617" s="0" t="n">
        <f aca="false">W_PH(K$2,$A617)</f>
        <v>2015</v>
      </c>
      <c r="L617" s="0" t="n">
        <f aca="false">W_PH(L$2,$A617)</f>
        <v>2015</v>
      </c>
      <c r="M617" s="0" t="n">
        <f aca="false">W_PH(M$2,$A617)</f>
        <v>2015</v>
      </c>
      <c r="N617" s="0" t="n">
        <f aca="false">W_PH(N$2,$A617)</f>
        <v>2015</v>
      </c>
      <c r="O617" s="0" t="n">
        <f aca="false">W_PH(O$2,$A617)</f>
        <v>2015</v>
      </c>
      <c r="P617" s="0" t="n">
        <f aca="false">W_PH(P$2,$A617)</f>
        <v>2015</v>
      </c>
      <c r="Q617" s="0" t="n">
        <f aca="false">W_PH(Q$2,$A617)</f>
        <v>2015</v>
      </c>
      <c r="R617" s="0" t="n">
        <f aca="false">W_PH(R$2,$A617)</f>
        <v>2015</v>
      </c>
      <c r="S617" s="0" t="n">
        <f aca="false">W_PH(S$2,$A617)</f>
        <v>2015</v>
      </c>
      <c r="T617" s="0" t="n">
        <f aca="false">W_PH(T$2,$A617)</f>
        <v>2015</v>
      </c>
      <c r="U617" s="0" t="n">
        <f aca="false">W_PH(U$2,$A617)</f>
        <v>2015</v>
      </c>
      <c r="V617" s="0" t="n">
        <f aca="false">W_PH(V$2,$A617)</f>
        <v>2015</v>
      </c>
      <c r="W617" s="0" t="n">
        <f aca="false">W_PH(W$2,$A617)</f>
        <v>2015</v>
      </c>
      <c r="X617" s="0" t="n">
        <f aca="false">W_PH(X$2,$A617)</f>
        <v>2015</v>
      </c>
      <c r="Y617" s="0" t="n">
        <f aca="false">W_PH(Y$2,$A617)</f>
        <v>2015</v>
      </c>
      <c r="Z617" s="0" t="n">
        <f aca="false">W_PH(Z$2,$A617)</f>
        <v>2015</v>
      </c>
      <c r="AA617" s="0" t="n">
        <f aca="false">W_PH(AA$2,$A617)</f>
        <v>2015</v>
      </c>
      <c r="AB617" s="0" t="n">
        <f aca="false">W_PH(AB$2,$A617)</f>
        <v>2015</v>
      </c>
      <c r="AC617" s="0" t="n">
        <f aca="false">W_PH(AC$2,$A617)</f>
        <v>2015</v>
      </c>
      <c r="AD617" s="0" t="n">
        <f aca="false">W_PH(AD$2,$A617)</f>
        <v>2015</v>
      </c>
      <c r="AE617" s="0" t="n">
        <f aca="false">W_PH(AE$2,$A617)</f>
        <v>2015</v>
      </c>
      <c r="AF617" s="0" t="n">
        <f aca="false">W_PH(AF$2,$A617)</f>
        <v>2015</v>
      </c>
      <c r="AG617" s="0" t="n">
        <f aca="false">W_PH(AG$2,$A617)</f>
        <v>2015</v>
      </c>
      <c r="AH617" s="0" t="n">
        <f aca="false">W_PH(AH$2,$A617)</f>
        <v>2015</v>
      </c>
      <c r="AI617" s="0" t="n">
        <f aca="false">W_PH(AI$2,$A617)</f>
        <v>2015</v>
      </c>
      <c r="AJ617" s="0" t="n">
        <f aca="false">W_PH(AJ$2,$A617)</f>
        <v>2015</v>
      </c>
      <c r="AK617" s="0" t="n">
        <f aca="false">W_PH(AK$2,$A617)</f>
        <v>2015</v>
      </c>
      <c r="AL617" s="0" t="n">
        <f aca="false">W_PH(AL$2,$A617)</f>
        <v>2015</v>
      </c>
      <c r="AM617" s="0" t="n">
        <f aca="false">W_PH(AM$2,$A617)</f>
        <v>2015</v>
      </c>
      <c r="AN617" s="0" t="n">
        <f aca="false">W_PH(AN$2,$A617)</f>
        <v>2015</v>
      </c>
      <c r="AO617" s="0" t="n">
        <f aca="false">W_PH(AO$2,$A617)</f>
        <v>2015</v>
      </c>
      <c r="AP617" s="0" t="n">
        <f aca="false">W_PH(AP$2,$A617)</f>
        <v>2015</v>
      </c>
      <c r="AQ617" s="0" t="n">
        <f aca="false">W_PH(AQ$2,$A617)</f>
        <v>2015</v>
      </c>
      <c r="AR617" s="0" t="n">
        <f aca="false">W_PH(AR$2,$A617)</f>
        <v>2015</v>
      </c>
      <c r="AS617" s="0" t="n">
        <f aca="false">W_PH(AS$2,$A617)</f>
        <v>2015</v>
      </c>
    </row>
    <row r="618" customFormat="false" ht="12.8" hidden="false" customHeight="false" outlineLevel="0" collapsed="false">
      <c r="A618" s="0" t="n">
        <v>3344.79793637145</v>
      </c>
      <c r="B618" s="0" t="n">
        <f aca="false">W_PH(B$2,$A618)</f>
        <v>2015</v>
      </c>
      <c r="C618" s="0" t="n">
        <f aca="false">W_PH(C$2,$A618)</f>
        <v>2015</v>
      </c>
      <c r="D618" s="0" t="n">
        <f aca="false">W_PH(D$2,$A618)</f>
        <v>2015</v>
      </c>
      <c r="E618" s="0" t="n">
        <f aca="false">W_PH(E$2,$A618)</f>
        <v>2015</v>
      </c>
      <c r="F618" s="0" t="n">
        <f aca="false">W_PH(F$2,$A618)</f>
        <v>2015</v>
      </c>
      <c r="G618" s="0" t="n">
        <f aca="false">W_PH(G$2,$A618)</f>
        <v>2015</v>
      </c>
      <c r="H618" s="0" t="n">
        <f aca="false">W_PH(H$2,$A618)</f>
        <v>2015</v>
      </c>
      <c r="I618" s="0" t="n">
        <f aca="false">W_PH(I$2,$A618)</f>
        <v>2015</v>
      </c>
      <c r="J618" s="0" t="n">
        <f aca="false">W_PH(J$2,$A618)</f>
        <v>2015</v>
      </c>
      <c r="K618" s="0" t="n">
        <f aca="false">W_PH(K$2,$A618)</f>
        <v>2015</v>
      </c>
      <c r="L618" s="0" t="n">
        <f aca="false">W_PH(L$2,$A618)</f>
        <v>2015</v>
      </c>
      <c r="M618" s="0" t="n">
        <f aca="false">W_PH(M$2,$A618)</f>
        <v>2015</v>
      </c>
      <c r="N618" s="0" t="n">
        <f aca="false">W_PH(N$2,$A618)</f>
        <v>2015</v>
      </c>
      <c r="O618" s="0" t="n">
        <f aca="false">W_PH(O$2,$A618)</f>
        <v>2015</v>
      </c>
      <c r="P618" s="0" t="n">
        <f aca="false">W_PH(P$2,$A618)</f>
        <v>2015</v>
      </c>
      <c r="Q618" s="0" t="n">
        <f aca="false">W_PH(Q$2,$A618)</f>
        <v>2015</v>
      </c>
      <c r="R618" s="0" t="n">
        <f aca="false">W_PH(R$2,$A618)</f>
        <v>2015</v>
      </c>
      <c r="S618" s="0" t="n">
        <f aca="false">W_PH(S$2,$A618)</f>
        <v>2015</v>
      </c>
      <c r="T618" s="0" t="n">
        <f aca="false">W_PH(T$2,$A618)</f>
        <v>2015</v>
      </c>
      <c r="U618" s="0" t="n">
        <f aca="false">W_PH(U$2,$A618)</f>
        <v>2015</v>
      </c>
      <c r="V618" s="0" t="n">
        <f aca="false">W_PH(V$2,$A618)</f>
        <v>2015</v>
      </c>
      <c r="W618" s="0" t="n">
        <f aca="false">W_PH(W$2,$A618)</f>
        <v>2015</v>
      </c>
      <c r="X618" s="0" t="n">
        <f aca="false">W_PH(X$2,$A618)</f>
        <v>2015</v>
      </c>
      <c r="Y618" s="0" t="n">
        <f aca="false">W_PH(Y$2,$A618)</f>
        <v>2015</v>
      </c>
      <c r="Z618" s="0" t="n">
        <f aca="false">W_PH(Z$2,$A618)</f>
        <v>2015</v>
      </c>
      <c r="AA618" s="0" t="n">
        <f aca="false">W_PH(AA$2,$A618)</f>
        <v>2015</v>
      </c>
      <c r="AB618" s="0" t="n">
        <f aca="false">W_PH(AB$2,$A618)</f>
        <v>2015</v>
      </c>
      <c r="AC618" s="0" t="n">
        <f aca="false">W_PH(AC$2,$A618)</f>
        <v>2015</v>
      </c>
      <c r="AD618" s="0" t="n">
        <f aca="false">W_PH(AD$2,$A618)</f>
        <v>2015</v>
      </c>
      <c r="AE618" s="0" t="n">
        <f aca="false">W_PH(AE$2,$A618)</f>
        <v>2015</v>
      </c>
      <c r="AF618" s="0" t="n">
        <f aca="false">W_PH(AF$2,$A618)</f>
        <v>2015</v>
      </c>
      <c r="AG618" s="0" t="n">
        <f aca="false">W_PH(AG$2,$A618)</f>
        <v>2015</v>
      </c>
      <c r="AH618" s="0" t="n">
        <f aca="false">W_PH(AH$2,$A618)</f>
        <v>2015</v>
      </c>
      <c r="AI618" s="0" t="n">
        <f aca="false">W_PH(AI$2,$A618)</f>
        <v>2015</v>
      </c>
      <c r="AJ618" s="0" t="n">
        <f aca="false">W_PH(AJ$2,$A618)</f>
        <v>2015</v>
      </c>
      <c r="AK618" s="0" t="n">
        <f aca="false">W_PH(AK$2,$A618)</f>
        <v>2015</v>
      </c>
      <c r="AL618" s="0" t="n">
        <f aca="false">W_PH(AL$2,$A618)</f>
        <v>2015</v>
      </c>
      <c r="AM618" s="0" t="n">
        <f aca="false">W_PH(AM$2,$A618)</f>
        <v>2015</v>
      </c>
      <c r="AN618" s="0" t="n">
        <f aca="false">W_PH(AN$2,$A618)</f>
        <v>2015</v>
      </c>
      <c r="AO618" s="0" t="n">
        <f aca="false">W_PH(AO$2,$A618)</f>
        <v>2015</v>
      </c>
      <c r="AP618" s="0" t="n">
        <f aca="false">W_PH(AP$2,$A618)</f>
        <v>2015</v>
      </c>
      <c r="AQ618" s="0" t="n">
        <f aca="false">W_PH(AQ$2,$A618)</f>
        <v>2015</v>
      </c>
      <c r="AR618" s="0" t="n">
        <f aca="false">W_PH(AR$2,$A618)</f>
        <v>2015</v>
      </c>
      <c r="AS618" s="0" t="n">
        <f aca="false">W_PH(AS$2,$A618)</f>
        <v>2015</v>
      </c>
    </row>
    <row r="619" customFormat="false" ht="12.8" hidden="false" customHeight="false" outlineLevel="0" collapsed="false">
      <c r="A619" s="0" t="n">
        <v>3349.09716251075</v>
      </c>
      <c r="B619" s="0" t="n">
        <f aca="false">W_PH(B$2,$A619)</f>
        <v>2015</v>
      </c>
      <c r="C619" s="0" t="n">
        <f aca="false">W_PH(C$2,$A619)</f>
        <v>2015</v>
      </c>
      <c r="D619" s="0" t="n">
        <f aca="false">W_PH(D$2,$A619)</f>
        <v>2015</v>
      </c>
      <c r="E619" s="0" t="n">
        <f aca="false">W_PH(E$2,$A619)</f>
        <v>2015</v>
      </c>
      <c r="F619" s="0" t="n">
        <f aca="false">W_PH(F$2,$A619)</f>
        <v>2015</v>
      </c>
      <c r="G619" s="0" t="n">
        <f aca="false">W_PH(G$2,$A619)</f>
        <v>2015</v>
      </c>
      <c r="H619" s="0" t="n">
        <f aca="false">W_PH(H$2,$A619)</f>
        <v>2015</v>
      </c>
      <c r="I619" s="0" t="n">
        <f aca="false">W_PH(I$2,$A619)</f>
        <v>2015</v>
      </c>
      <c r="J619" s="0" t="n">
        <f aca="false">W_PH(J$2,$A619)</f>
        <v>2015</v>
      </c>
      <c r="K619" s="0" t="n">
        <f aca="false">W_PH(K$2,$A619)</f>
        <v>2015</v>
      </c>
      <c r="L619" s="0" t="n">
        <f aca="false">W_PH(L$2,$A619)</f>
        <v>2015</v>
      </c>
      <c r="M619" s="0" t="n">
        <f aca="false">W_PH(M$2,$A619)</f>
        <v>2015</v>
      </c>
      <c r="N619" s="0" t="n">
        <f aca="false">W_PH(N$2,$A619)</f>
        <v>2015</v>
      </c>
      <c r="O619" s="0" t="n">
        <f aca="false">W_PH(O$2,$A619)</f>
        <v>2015</v>
      </c>
      <c r="P619" s="0" t="n">
        <f aca="false">W_PH(P$2,$A619)</f>
        <v>2015</v>
      </c>
      <c r="Q619" s="0" t="n">
        <f aca="false">W_PH(Q$2,$A619)</f>
        <v>2015</v>
      </c>
      <c r="R619" s="0" t="n">
        <f aca="false">W_PH(R$2,$A619)</f>
        <v>2015</v>
      </c>
      <c r="S619" s="0" t="n">
        <f aca="false">W_PH(S$2,$A619)</f>
        <v>2015</v>
      </c>
      <c r="T619" s="0" t="n">
        <f aca="false">W_PH(T$2,$A619)</f>
        <v>2015</v>
      </c>
      <c r="U619" s="0" t="n">
        <f aca="false">W_PH(U$2,$A619)</f>
        <v>2015</v>
      </c>
      <c r="V619" s="0" t="n">
        <f aca="false">W_PH(V$2,$A619)</f>
        <v>2015</v>
      </c>
      <c r="W619" s="0" t="n">
        <f aca="false">W_PH(W$2,$A619)</f>
        <v>2015</v>
      </c>
      <c r="X619" s="0" t="n">
        <f aca="false">W_PH(X$2,$A619)</f>
        <v>2015</v>
      </c>
      <c r="Y619" s="0" t="n">
        <f aca="false">W_PH(Y$2,$A619)</f>
        <v>2015</v>
      </c>
      <c r="Z619" s="0" t="n">
        <f aca="false">W_PH(Z$2,$A619)</f>
        <v>2015</v>
      </c>
      <c r="AA619" s="0" t="n">
        <f aca="false">W_PH(AA$2,$A619)</f>
        <v>2015</v>
      </c>
      <c r="AB619" s="0" t="n">
        <f aca="false">W_PH(AB$2,$A619)</f>
        <v>2015</v>
      </c>
      <c r="AC619" s="0" t="n">
        <f aca="false">W_PH(AC$2,$A619)</f>
        <v>2015</v>
      </c>
      <c r="AD619" s="0" t="n">
        <f aca="false">W_PH(AD$2,$A619)</f>
        <v>2015</v>
      </c>
      <c r="AE619" s="0" t="n">
        <f aca="false">W_PH(AE$2,$A619)</f>
        <v>2015</v>
      </c>
      <c r="AF619" s="0" t="n">
        <f aca="false">W_PH(AF$2,$A619)</f>
        <v>2015</v>
      </c>
      <c r="AG619" s="0" t="n">
        <f aca="false">W_PH(AG$2,$A619)</f>
        <v>2015</v>
      </c>
      <c r="AH619" s="0" t="n">
        <f aca="false">W_PH(AH$2,$A619)</f>
        <v>2015</v>
      </c>
      <c r="AI619" s="0" t="n">
        <f aca="false">W_PH(AI$2,$A619)</f>
        <v>2015</v>
      </c>
      <c r="AJ619" s="0" t="n">
        <f aca="false">W_PH(AJ$2,$A619)</f>
        <v>2015</v>
      </c>
      <c r="AK619" s="0" t="n">
        <f aca="false">W_PH(AK$2,$A619)</f>
        <v>2015</v>
      </c>
      <c r="AL619" s="0" t="n">
        <f aca="false">W_PH(AL$2,$A619)</f>
        <v>2015</v>
      </c>
      <c r="AM619" s="0" t="n">
        <f aca="false">W_PH(AM$2,$A619)</f>
        <v>2015</v>
      </c>
      <c r="AN619" s="0" t="n">
        <f aca="false">W_PH(AN$2,$A619)</f>
        <v>2015</v>
      </c>
      <c r="AO619" s="0" t="n">
        <f aca="false">W_PH(AO$2,$A619)</f>
        <v>2015</v>
      </c>
      <c r="AP619" s="0" t="n">
        <f aca="false">W_PH(AP$2,$A619)</f>
        <v>2015</v>
      </c>
      <c r="AQ619" s="0" t="n">
        <f aca="false">W_PH(AQ$2,$A619)</f>
        <v>2015</v>
      </c>
      <c r="AR619" s="0" t="n">
        <f aca="false">W_PH(AR$2,$A619)</f>
        <v>2015</v>
      </c>
      <c r="AS619" s="0" t="n">
        <f aca="false">W_PH(AS$2,$A619)</f>
        <v>2015</v>
      </c>
    </row>
    <row r="620" customFormat="false" ht="12.8" hidden="false" customHeight="false" outlineLevel="0" collapsed="false">
      <c r="A620" s="0" t="n">
        <v>3353.39638865004</v>
      </c>
      <c r="B620" s="0" t="n">
        <f aca="false">W_PH(B$2,$A620)</f>
        <v>2015</v>
      </c>
      <c r="C620" s="0" t="n">
        <f aca="false">W_PH(C$2,$A620)</f>
        <v>2015</v>
      </c>
      <c r="D620" s="0" t="n">
        <f aca="false">W_PH(D$2,$A620)</f>
        <v>2015</v>
      </c>
      <c r="E620" s="0" t="n">
        <f aca="false">W_PH(E$2,$A620)</f>
        <v>2015</v>
      </c>
      <c r="F620" s="0" t="n">
        <f aca="false">W_PH(F$2,$A620)</f>
        <v>2015</v>
      </c>
      <c r="G620" s="0" t="n">
        <f aca="false">W_PH(G$2,$A620)</f>
        <v>2015</v>
      </c>
      <c r="H620" s="0" t="n">
        <f aca="false">W_PH(H$2,$A620)</f>
        <v>2015</v>
      </c>
      <c r="I620" s="0" t="n">
        <f aca="false">W_PH(I$2,$A620)</f>
        <v>2015</v>
      </c>
      <c r="J620" s="0" t="n">
        <f aca="false">W_PH(J$2,$A620)</f>
        <v>2015</v>
      </c>
      <c r="K620" s="0" t="n">
        <f aca="false">W_PH(K$2,$A620)</f>
        <v>2015</v>
      </c>
      <c r="L620" s="0" t="n">
        <f aca="false">W_PH(L$2,$A620)</f>
        <v>2015</v>
      </c>
      <c r="M620" s="0" t="n">
        <f aca="false">W_PH(M$2,$A620)</f>
        <v>2015</v>
      </c>
      <c r="N620" s="0" t="n">
        <f aca="false">W_PH(N$2,$A620)</f>
        <v>2015</v>
      </c>
      <c r="O620" s="0" t="n">
        <f aca="false">W_PH(O$2,$A620)</f>
        <v>2015</v>
      </c>
      <c r="P620" s="0" t="n">
        <f aca="false">W_PH(P$2,$A620)</f>
        <v>2015</v>
      </c>
      <c r="Q620" s="0" t="n">
        <f aca="false">W_PH(Q$2,$A620)</f>
        <v>2015</v>
      </c>
      <c r="R620" s="0" t="n">
        <f aca="false">W_PH(R$2,$A620)</f>
        <v>2015</v>
      </c>
      <c r="S620" s="0" t="n">
        <f aca="false">W_PH(S$2,$A620)</f>
        <v>2015</v>
      </c>
      <c r="T620" s="0" t="n">
        <f aca="false">W_PH(T$2,$A620)</f>
        <v>2015</v>
      </c>
      <c r="U620" s="0" t="n">
        <f aca="false">W_PH(U$2,$A620)</f>
        <v>2015</v>
      </c>
      <c r="V620" s="0" t="n">
        <f aca="false">W_PH(V$2,$A620)</f>
        <v>2015</v>
      </c>
      <c r="W620" s="0" t="n">
        <f aca="false">W_PH(W$2,$A620)</f>
        <v>2015</v>
      </c>
      <c r="X620" s="0" t="n">
        <f aca="false">W_PH(X$2,$A620)</f>
        <v>2015</v>
      </c>
      <c r="Y620" s="0" t="n">
        <f aca="false">W_PH(Y$2,$A620)</f>
        <v>2015</v>
      </c>
      <c r="Z620" s="0" t="n">
        <f aca="false">W_PH(Z$2,$A620)</f>
        <v>2015</v>
      </c>
      <c r="AA620" s="0" t="n">
        <f aca="false">W_PH(AA$2,$A620)</f>
        <v>2015</v>
      </c>
      <c r="AB620" s="0" t="n">
        <f aca="false">W_PH(AB$2,$A620)</f>
        <v>2015</v>
      </c>
      <c r="AC620" s="0" t="n">
        <f aca="false">W_PH(AC$2,$A620)</f>
        <v>2015</v>
      </c>
      <c r="AD620" s="0" t="n">
        <f aca="false">W_PH(AD$2,$A620)</f>
        <v>2015</v>
      </c>
      <c r="AE620" s="0" t="n">
        <f aca="false">W_PH(AE$2,$A620)</f>
        <v>2015</v>
      </c>
      <c r="AF620" s="0" t="n">
        <f aca="false">W_PH(AF$2,$A620)</f>
        <v>2015</v>
      </c>
      <c r="AG620" s="0" t="n">
        <f aca="false">W_PH(AG$2,$A620)</f>
        <v>2015</v>
      </c>
      <c r="AH620" s="0" t="n">
        <f aca="false">W_PH(AH$2,$A620)</f>
        <v>2015</v>
      </c>
      <c r="AI620" s="0" t="n">
        <f aca="false">W_PH(AI$2,$A620)</f>
        <v>2015</v>
      </c>
      <c r="AJ620" s="0" t="n">
        <f aca="false">W_PH(AJ$2,$A620)</f>
        <v>2015</v>
      </c>
      <c r="AK620" s="0" t="n">
        <f aca="false">W_PH(AK$2,$A620)</f>
        <v>2015</v>
      </c>
      <c r="AL620" s="0" t="n">
        <f aca="false">W_PH(AL$2,$A620)</f>
        <v>2015</v>
      </c>
      <c r="AM620" s="0" t="n">
        <f aca="false">W_PH(AM$2,$A620)</f>
        <v>2015</v>
      </c>
      <c r="AN620" s="0" t="n">
        <f aca="false">W_PH(AN$2,$A620)</f>
        <v>2015</v>
      </c>
      <c r="AO620" s="0" t="n">
        <f aca="false">W_PH(AO$2,$A620)</f>
        <v>2015</v>
      </c>
      <c r="AP620" s="0" t="n">
        <f aca="false">W_PH(AP$2,$A620)</f>
        <v>2015</v>
      </c>
      <c r="AQ620" s="0" t="n">
        <f aca="false">W_PH(AQ$2,$A620)</f>
        <v>2015</v>
      </c>
      <c r="AR620" s="0" t="n">
        <f aca="false">W_PH(AR$2,$A620)</f>
        <v>2015</v>
      </c>
      <c r="AS620" s="0" t="n">
        <f aca="false">W_PH(AS$2,$A620)</f>
        <v>2015</v>
      </c>
    </row>
    <row r="621" customFormat="false" ht="12.8" hidden="false" customHeight="false" outlineLevel="0" collapsed="false">
      <c r="A621" s="0" t="n">
        <v>3357.69561478934</v>
      </c>
      <c r="B621" s="0" t="n">
        <f aca="false">W_PH(B$2,$A621)</f>
        <v>2015</v>
      </c>
      <c r="C621" s="0" t="n">
        <f aca="false">W_PH(C$2,$A621)</f>
        <v>2015</v>
      </c>
      <c r="D621" s="0" t="n">
        <f aca="false">W_PH(D$2,$A621)</f>
        <v>2015</v>
      </c>
      <c r="E621" s="0" t="n">
        <f aca="false">W_PH(E$2,$A621)</f>
        <v>2015</v>
      </c>
      <c r="F621" s="0" t="n">
        <f aca="false">W_PH(F$2,$A621)</f>
        <v>2015</v>
      </c>
      <c r="G621" s="0" t="n">
        <f aca="false">W_PH(G$2,$A621)</f>
        <v>2015</v>
      </c>
      <c r="H621" s="0" t="n">
        <f aca="false">W_PH(H$2,$A621)</f>
        <v>2015</v>
      </c>
      <c r="I621" s="0" t="n">
        <f aca="false">W_PH(I$2,$A621)</f>
        <v>2015</v>
      </c>
      <c r="J621" s="0" t="n">
        <f aca="false">W_PH(J$2,$A621)</f>
        <v>2015</v>
      </c>
      <c r="K621" s="0" t="n">
        <f aca="false">W_PH(K$2,$A621)</f>
        <v>2015</v>
      </c>
      <c r="L621" s="0" t="n">
        <f aca="false">W_PH(L$2,$A621)</f>
        <v>2015</v>
      </c>
      <c r="M621" s="0" t="n">
        <f aca="false">W_PH(M$2,$A621)</f>
        <v>2015</v>
      </c>
      <c r="N621" s="0" t="n">
        <f aca="false">W_PH(N$2,$A621)</f>
        <v>2015</v>
      </c>
      <c r="O621" s="0" t="n">
        <f aca="false">W_PH(O$2,$A621)</f>
        <v>2015</v>
      </c>
      <c r="P621" s="0" t="n">
        <f aca="false">W_PH(P$2,$A621)</f>
        <v>2015</v>
      </c>
      <c r="Q621" s="0" t="n">
        <f aca="false">W_PH(Q$2,$A621)</f>
        <v>2015</v>
      </c>
      <c r="R621" s="0" t="n">
        <f aca="false">W_PH(R$2,$A621)</f>
        <v>2015</v>
      </c>
      <c r="S621" s="0" t="n">
        <f aca="false">W_PH(S$2,$A621)</f>
        <v>2015</v>
      </c>
      <c r="T621" s="0" t="n">
        <f aca="false">W_PH(T$2,$A621)</f>
        <v>2015</v>
      </c>
      <c r="U621" s="0" t="n">
        <f aca="false">W_PH(U$2,$A621)</f>
        <v>2015</v>
      </c>
      <c r="V621" s="0" t="n">
        <f aca="false">W_PH(V$2,$A621)</f>
        <v>2015</v>
      </c>
      <c r="W621" s="0" t="n">
        <f aca="false">W_PH(W$2,$A621)</f>
        <v>2015</v>
      </c>
      <c r="X621" s="0" t="n">
        <f aca="false">W_PH(X$2,$A621)</f>
        <v>2015</v>
      </c>
      <c r="Y621" s="0" t="n">
        <f aca="false">W_PH(Y$2,$A621)</f>
        <v>2015</v>
      </c>
      <c r="Z621" s="0" t="n">
        <f aca="false">W_PH(Z$2,$A621)</f>
        <v>2015</v>
      </c>
      <c r="AA621" s="0" t="n">
        <f aca="false">W_PH(AA$2,$A621)</f>
        <v>2015</v>
      </c>
      <c r="AB621" s="0" t="n">
        <f aca="false">W_PH(AB$2,$A621)</f>
        <v>2015</v>
      </c>
      <c r="AC621" s="0" t="n">
        <f aca="false">W_PH(AC$2,$A621)</f>
        <v>2015</v>
      </c>
      <c r="AD621" s="0" t="n">
        <f aca="false">W_PH(AD$2,$A621)</f>
        <v>2015</v>
      </c>
      <c r="AE621" s="0" t="n">
        <f aca="false">W_PH(AE$2,$A621)</f>
        <v>2015</v>
      </c>
      <c r="AF621" s="0" t="n">
        <f aca="false">W_PH(AF$2,$A621)</f>
        <v>2015</v>
      </c>
      <c r="AG621" s="0" t="n">
        <f aca="false">W_PH(AG$2,$A621)</f>
        <v>2015</v>
      </c>
      <c r="AH621" s="0" t="n">
        <f aca="false">W_PH(AH$2,$A621)</f>
        <v>2015</v>
      </c>
      <c r="AI621" s="0" t="n">
        <f aca="false">W_PH(AI$2,$A621)</f>
        <v>2015</v>
      </c>
      <c r="AJ621" s="0" t="n">
        <f aca="false">W_PH(AJ$2,$A621)</f>
        <v>2015</v>
      </c>
      <c r="AK621" s="0" t="n">
        <f aca="false">W_PH(AK$2,$A621)</f>
        <v>2015</v>
      </c>
      <c r="AL621" s="0" t="n">
        <f aca="false">W_PH(AL$2,$A621)</f>
        <v>2015</v>
      </c>
      <c r="AM621" s="0" t="n">
        <f aca="false">W_PH(AM$2,$A621)</f>
        <v>2015</v>
      </c>
      <c r="AN621" s="0" t="n">
        <f aca="false">W_PH(AN$2,$A621)</f>
        <v>2015</v>
      </c>
      <c r="AO621" s="0" t="n">
        <f aca="false">W_PH(AO$2,$A621)</f>
        <v>2015</v>
      </c>
      <c r="AP621" s="0" t="n">
        <f aca="false">W_PH(AP$2,$A621)</f>
        <v>2015</v>
      </c>
      <c r="AQ621" s="0" t="n">
        <f aca="false">W_PH(AQ$2,$A621)</f>
        <v>2015</v>
      </c>
      <c r="AR621" s="0" t="n">
        <f aca="false">W_PH(AR$2,$A621)</f>
        <v>2015</v>
      </c>
      <c r="AS621" s="0" t="n">
        <f aca="false">W_PH(AS$2,$A621)</f>
        <v>2015</v>
      </c>
    </row>
    <row r="622" customFormat="false" ht="12.8" hidden="false" customHeight="false" outlineLevel="0" collapsed="false">
      <c r="A622" s="0" t="n">
        <v>3361.99484092863</v>
      </c>
      <c r="B622" s="0" t="n">
        <f aca="false">W_PH(B$2,$A622)</f>
        <v>2015</v>
      </c>
      <c r="C622" s="0" t="n">
        <f aca="false">W_PH(C$2,$A622)</f>
        <v>2015</v>
      </c>
      <c r="D622" s="0" t="n">
        <f aca="false">W_PH(D$2,$A622)</f>
        <v>2015</v>
      </c>
      <c r="E622" s="0" t="n">
        <f aca="false">W_PH(E$2,$A622)</f>
        <v>2015</v>
      </c>
      <c r="F622" s="0" t="n">
        <f aca="false">W_PH(F$2,$A622)</f>
        <v>2015</v>
      </c>
      <c r="G622" s="0" t="n">
        <f aca="false">W_PH(G$2,$A622)</f>
        <v>2015</v>
      </c>
      <c r="H622" s="0" t="n">
        <f aca="false">W_PH(H$2,$A622)</f>
        <v>2015</v>
      </c>
      <c r="I622" s="0" t="n">
        <f aca="false">W_PH(I$2,$A622)</f>
        <v>2015</v>
      </c>
      <c r="J622" s="0" t="n">
        <f aca="false">W_PH(J$2,$A622)</f>
        <v>2015</v>
      </c>
      <c r="K622" s="0" t="n">
        <f aca="false">W_PH(K$2,$A622)</f>
        <v>2015</v>
      </c>
      <c r="L622" s="0" t="n">
        <f aca="false">W_PH(L$2,$A622)</f>
        <v>2015</v>
      </c>
      <c r="M622" s="0" t="n">
        <f aca="false">W_PH(M$2,$A622)</f>
        <v>2015</v>
      </c>
      <c r="N622" s="0" t="n">
        <f aca="false">W_PH(N$2,$A622)</f>
        <v>2015</v>
      </c>
      <c r="O622" s="0" t="n">
        <f aca="false">W_PH(O$2,$A622)</f>
        <v>2015</v>
      </c>
      <c r="P622" s="0" t="n">
        <f aca="false">W_PH(P$2,$A622)</f>
        <v>2015</v>
      </c>
      <c r="Q622" s="0" t="n">
        <f aca="false">W_PH(Q$2,$A622)</f>
        <v>2015</v>
      </c>
      <c r="R622" s="0" t="n">
        <f aca="false">W_PH(R$2,$A622)</f>
        <v>2015</v>
      </c>
      <c r="S622" s="0" t="n">
        <f aca="false">W_PH(S$2,$A622)</f>
        <v>2015</v>
      </c>
      <c r="T622" s="0" t="n">
        <f aca="false">W_PH(T$2,$A622)</f>
        <v>2015</v>
      </c>
      <c r="U622" s="0" t="n">
        <f aca="false">W_PH(U$2,$A622)</f>
        <v>2015</v>
      </c>
      <c r="V622" s="0" t="n">
        <f aca="false">W_PH(V$2,$A622)</f>
        <v>2015</v>
      </c>
      <c r="W622" s="0" t="n">
        <f aca="false">W_PH(W$2,$A622)</f>
        <v>2015</v>
      </c>
      <c r="X622" s="0" t="n">
        <f aca="false">W_PH(X$2,$A622)</f>
        <v>2015</v>
      </c>
      <c r="Y622" s="0" t="n">
        <f aca="false">W_PH(Y$2,$A622)</f>
        <v>2015</v>
      </c>
      <c r="Z622" s="0" t="n">
        <f aca="false">W_PH(Z$2,$A622)</f>
        <v>2015</v>
      </c>
      <c r="AA622" s="0" t="n">
        <f aca="false">W_PH(AA$2,$A622)</f>
        <v>2015</v>
      </c>
      <c r="AB622" s="0" t="n">
        <f aca="false">W_PH(AB$2,$A622)</f>
        <v>2015</v>
      </c>
      <c r="AC622" s="0" t="n">
        <f aca="false">W_PH(AC$2,$A622)</f>
        <v>2015</v>
      </c>
      <c r="AD622" s="0" t="n">
        <f aca="false">W_PH(AD$2,$A622)</f>
        <v>2015</v>
      </c>
      <c r="AE622" s="0" t="n">
        <f aca="false">W_PH(AE$2,$A622)</f>
        <v>2015</v>
      </c>
      <c r="AF622" s="0" t="n">
        <f aca="false">W_PH(AF$2,$A622)</f>
        <v>2015</v>
      </c>
      <c r="AG622" s="0" t="n">
        <f aca="false">W_PH(AG$2,$A622)</f>
        <v>2015</v>
      </c>
      <c r="AH622" s="0" t="n">
        <f aca="false">W_PH(AH$2,$A622)</f>
        <v>2015</v>
      </c>
      <c r="AI622" s="0" t="n">
        <f aca="false">W_PH(AI$2,$A622)</f>
        <v>2015</v>
      </c>
      <c r="AJ622" s="0" t="n">
        <f aca="false">W_PH(AJ$2,$A622)</f>
        <v>2015</v>
      </c>
      <c r="AK622" s="0" t="n">
        <f aca="false">W_PH(AK$2,$A622)</f>
        <v>2015</v>
      </c>
      <c r="AL622" s="0" t="n">
        <f aca="false">W_PH(AL$2,$A622)</f>
        <v>2015</v>
      </c>
      <c r="AM622" s="0" t="n">
        <f aca="false">W_PH(AM$2,$A622)</f>
        <v>2015</v>
      </c>
      <c r="AN622" s="0" t="n">
        <f aca="false">W_PH(AN$2,$A622)</f>
        <v>2015</v>
      </c>
      <c r="AO622" s="0" t="n">
        <f aca="false">W_PH(AO$2,$A622)</f>
        <v>2015</v>
      </c>
      <c r="AP622" s="0" t="n">
        <f aca="false">W_PH(AP$2,$A622)</f>
        <v>2015</v>
      </c>
      <c r="AQ622" s="0" t="n">
        <f aca="false">W_PH(AQ$2,$A622)</f>
        <v>2015</v>
      </c>
      <c r="AR622" s="0" t="n">
        <f aca="false">W_PH(AR$2,$A622)</f>
        <v>2015</v>
      </c>
      <c r="AS622" s="0" t="n">
        <f aca="false">W_PH(AS$2,$A622)</f>
        <v>2015</v>
      </c>
    </row>
    <row r="623" customFormat="false" ht="12.8" hidden="false" customHeight="false" outlineLevel="0" collapsed="false">
      <c r="A623" s="0" t="n">
        <v>3366.29406706793</v>
      </c>
      <c r="B623" s="0" t="n">
        <f aca="false">W_PH(B$2,$A623)</f>
        <v>2015</v>
      </c>
      <c r="C623" s="0" t="n">
        <f aca="false">W_PH(C$2,$A623)</f>
        <v>2015</v>
      </c>
      <c r="D623" s="0" t="n">
        <f aca="false">W_PH(D$2,$A623)</f>
        <v>2015</v>
      </c>
      <c r="E623" s="0" t="n">
        <f aca="false">W_PH(E$2,$A623)</f>
        <v>2015</v>
      </c>
      <c r="F623" s="0" t="n">
        <f aca="false">W_PH(F$2,$A623)</f>
        <v>2015</v>
      </c>
      <c r="G623" s="0" t="n">
        <f aca="false">W_PH(G$2,$A623)</f>
        <v>2015</v>
      </c>
      <c r="H623" s="0" t="n">
        <f aca="false">W_PH(H$2,$A623)</f>
        <v>2015</v>
      </c>
      <c r="I623" s="0" t="n">
        <f aca="false">W_PH(I$2,$A623)</f>
        <v>2015</v>
      </c>
      <c r="J623" s="0" t="n">
        <f aca="false">W_PH(J$2,$A623)</f>
        <v>2015</v>
      </c>
      <c r="K623" s="0" t="n">
        <f aca="false">W_PH(K$2,$A623)</f>
        <v>2015</v>
      </c>
      <c r="L623" s="0" t="n">
        <f aca="false">W_PH(L$2,$A623)</f>
        <v>2015</v>
      </c>
      <c r="M623" s="0" t="n">
        <f aca="false">W_PH(M$2,$A623)</f>
        <v>2015</v>
      </c>
      <c r="N623" s="0" t="n">
        <f aca="false">W_PH(N$2,$A623)</f>
        <v>2015</v>
      </c>
      <c r="O623" s="0" t="n">
        <f aca="false">W_PH(O$2,$A623)</f>
        <v>2015</v>
      </c>
      <c r="P623" s="0" t="n">
        <f aca="false">W_PH(P$2,$A623)</f>
        <v>2015</v>
      </c>
      <c r="Q623" s="0" t="n">
        <f aca="false">W_PH(Q$2,$A623)</f>
        <v>2015</v>
      </c>
      <c r="R623" s="0" t="n">
        <f aca="false">W_PH(R$2,$A623)</f>
        <v>2015</v>
      </c>
      <c r="S623" s="0" t="n">
        <f aca="false">W_PH(S$2,$A623)</f>
        <v>2015</v>
      </c>
      <c r="T623" s="0" t="n">
        <f aca="false">W_PH(T$2,$A623)</f>
        <v>2015</v>
      </c>
      <c r="U623" s="0" t="n">
        <f aca="false">W_PH(U$2,$A623)</f>
        <v>2015</v>
      </c>
      <c r="V623" s="0" t="n">
        <f aca="false">W_PH(V$2,$A623)</f>
        <v>2015</v>
      </c>
      <c r="W623" s="0" t="n">
        <f aca="false">W_PH(W$2,$A623)</f>
        <v>2015</v>
      </c>
      <c r="X623" s="0" t="n">
        <f aca="false">W_PH(X$2,$A623)</f>
        <v>2015</v>
      </c>
      <c r="Y623" s="0" t="n">
        <f aca="false">W_PH(Y$2,$A623)</f>
        <v>2015</v>
      </c>
      <c r="Z623" s="0" t="n">
        <f aca="false">W_PH(Z$2,$A623)</f>
        <v>2015</v>
      </c>
      <c r="AA623" s="0" t="n">
        <f aca="false">W_PH(AA$2,$A623)</f>
        <v>2015</v>
      </c>
      <c r="AB623" s="0" t="n">
        <f aca="false">W_PH(AB$2,$A623)</f>
        <v>2015</v>
      </c>
      <c r="AC623" s="0" t="n">
        <f aca="false">W_PH(AC$2,$A623)</f>
        <v>2015</v>
      </c>
      <c r="AD623" s="0" t="n">
        <f aca="false">W_PH(AD$2,$A623)</f>
        <v>2015</v>
      </c>
      <c r="AE623" s="0" t="n">
        <f aca="false">W_PH(AE$2,$A623)</f>
        <v>2015</v>
      </c>
      <c r="AF623" s="0" t="n">
        <f aca="false">W_PH(AF$2,$A623)</f>
        <v>2015</v>
      </c>
      <c r="AG623" s="0" t="n">
        <f aca="false">W_PH(AG$2,$A623)</f>
        <v>2015</v>
      </c>
      <c r="AH623" s="0" t="n">
        <f aca="false">W_PH(AH$2,$A623)</f>
        <v>2015</v>
      </c>
      <c r="AI623" s="0" t="n">
        <f aca="false">W_PH(AI$2,$A623)</f>
        <v>2015</v>
      </c>
      <c r="AJ623" s="0" t="n">
        <f aca="false">W_PH(AJ$2,$A623)</f>
        <v>2015</v>
      </c>
      <c r="AK623" s="0" t="n">
        <f aca="false">W_PH(AK$2,$A623)</f>
        <v>2015</v>
      </c>
      <c r="AL623" s="0" t="n">
        <f aca="false">W_PH(AL$2,$A623)</f>
        <v>2015</v>
      </c>
      <c r="AM623" s="0" t="n">
        <f aca="false">W_PH(AM$2,$A623)</f>
        <v>2015</v>
      </c>
      <c r="AN623" s="0" t="n">
        <f aca="false">W_PH(AN$2,$A623)</f>
        <v>2015</v>
      </c>
      <c r="AO623" s="0" t="n">
        <f aca="false">W_PH(AO$2,$A623)</f>
        <v>2015</v>
      </c>
      <c r="AP623" s="0" t="n">
        <f aca="false">W_PH(AP$2,$A623)</f>
        <v>2015</v>
      </c>
      <c r="AQ623" s="0" t="n">
        <f aca="false">W_PH(AQ$2,$A623)</f>
        <v>2015</v>
      </c>
      <c r="AR623" s="0" t="n">
        <f aca="false">W_PH(AR$2,$A623)</f>
        <v>2015</v>
      </c>
      <c r="AS623" s="0" t="n">
        <f aca="false">W_PH(AS$2,$A623)</f>
        <v>2015</v>
      </c>
    </row>
    <row r="624" customFormat="false" ht="12.8" hidden="false" customHeight="false" outlineLevel="0" collapsed="false">
      <c r="A624" s="0" t="n">
        <v>3370.59329320722</v>
      </c>
      <c r="B624" s="0" t="n">
        <f aca="false">W_PH(B$2,$A624)</f>
        <v>2015</v>
      </c>
      <c r="C624" s="0" t="n">
        <f aca="false">W_PH(C$2,$A624)</f>
        <v>2015</v>
      </c>
      <c r="D624" s="0" t="n">
        <f aca="false">W_PH(D$2,$A624)</f>
        <v>2015</v>
      </c>
      <c r="E624" s="0" t="n">
        <f aca="false">W_PH(E$2,$A624)</f>
        <v>2015</v>
      </c>
      <c r="F624" s="0" t="n">
        <f aca="false">W_PH(F$2,$A624)</f>
        <v>2015</v>
      </c>
      <c r="G624" s="0" t="n">
        <f aca="false">W_PH(G$2,$A624)</f>
        <v>2015</v>
      </c>
      <c r="H624" s="0" t="n">
        <f aca="false">W_PH(H$2,$A624)</f>
        <v>2015</v>
      </c>
      <c r="I624" s="0" t="n">
        <f aca="false">W_PH(I$2,$A624)</f>
        <v>2015</v>
      </c>
      <c r="J624" s="0" t="n">
        <f aca="false">W_PH(J$2,$A624)</f>
        <v>2015</v>
      </c>
      <c r="K624" s="0" t="n">
        <f aca="false">W_PH(K$2,$A624)</f>
        <v>2015</v>
      </c>
      <c r="L624" s="0" t="n">
        <f aca="false">W_PH(L$2,$A624)</f>
        <v>2015</v>
      </c>
      <c r="M624" s="0" t="n">
        <f aca="false">W_PH(M$2,$A624)</f>
        <v>2015</v>
      </c>
      <c r="N624" s="0" t="n">
        <f aca="false">W_PH(N$2,$A624)</f>
        <v>2015</v>
      </c>
      <c r="O624" s="0" t="n">
        <f aca="false">W_PH(O$2,$A624)</f>
        <v>2015</v>
      </c>
      <c r="P624" s="0" t="n">
        <f aca="false">W_PH(P$2,$A624)</f>
        <v>2015</v>
      </c>
      <c r="Q624" s="0" t="n">
        <f aca="false">W_PH(Q$2,$A624)</f>
        <v>2015</v>
      </c>
      <c r="R624" s="0" t="n">
        <f aca="false">W_PH(R$2,$A624)</f>
        <v>2015</v>
      </c>
      <c r="S624" s="0" t="n">
        <f aca="false">W_PH(S$2,$A624)</f>
        <v>2015</v>
      </c>
      <c r="T624" s="0" t="n">
        <f aca="false">W_PH(T$2,$A624)</f>
        <v>2015</v>
      </c>
      <c r="U624" s="0" t="n">
        <f aca="false">W_PH(U$2,$A624)</f>
        <v>2015</v>
      </c>
      <c r="V624" s="0" t="n">
        <f aca="false">W_PH(V$2,$A624)</f>
        <v>2015</v>
      </c>
      <c r="W624" s="0" t="n">
        <f aca="false">W_PH(W$2,$A624)</f>
        <v>2015</v>
      </c>
      <c r="X624" s="0" t="n">
        <f aca="false">W_PH(X$2,$A624)</f>
        <v>2015</v>
      </c>
      <c r="Y624" s="0" t="n">
        <f aca="false">W_PH(Y$2,$A624)</f>
        <v>2015</v>
      </c>
      <c r="Z624" s="0" t="n">
        <f aca="false">W_PH(Z$2,$A624)</f>
        <v>2015</v>
      </c>
      <c r="AA624" s="0" t="n">
        <f aca="false">W_PH(AA$2,$A624)</f>
        <v>2015</v>
      </c>
      <c r="AB624" s="0" t="n">
        <f aca="false">W_PH(AB$2,$A624)</f>
        <v>2015</v>
      </c>
      <c r="AC624" s="0" t="n">
        <f aca="false">W_PH(AC$2,$A624)</f>
        <v>2015</v>
      </c>
      <c r="AD624" s="0" t="n">
        <f aca="false">W_PH(AD$2,$A624)</f>
        <v>2015</v>
      </c>
      <c r="AE624" s="0" t="n">
        <f aca="false">W_PH(AE$2,$A624)</f>
        <v>2015</v>
      </c>
      <c r="AF624" s="0" t="n">
        <f aca="false">W_PH(AF$2,$A624)</f>
        <v>2015</v>
      </c>
      <c r="AG624" s="0" t="n">
        <f aca="false">W_PH(AG$2,$A624)</f>
        <v>2015</v>
      </c>
      <c r="AH624" s="0" t="n">
        <f aca="false">W_PH(AH$2,$A624)</f>
        <v>2015</v>
      </c>
      <c r="AI624" s="0" t="n">
        <f aca="false">W_PH(AI$2,$A624)</f>
        <v>2015</v>
      </c>
      <c r="AJ624" s="0" t="n">
        <f aca="false">W_PH(AJ$2,$A624)</f>
        <v>2015</v>
      </c>
      <c r="AK624" s="0" t="n">
        <f aca="false">W_PH(AK$2,$A624)</f>
        <v>2015</v>
      </c>
      <c r="AL624" s="0" t="n">
        <f aca="false">W_PH(AL$2,$A624)</f>
        <v>2015</v>
      </c>
      <c r="AM624" s="0" t="n">
        <f aca="false">W_PH(AM$2,$A624)</f>
        <v>2015</v>
      </c>
      <c r="AN624" s="0" t="n">
        <f aca="false">W_PH(AN$2,$A624)</f>
        <v>2015</v>
      </c>
      <c r="AO624" s="0" t="n">
        <f aca="false">W_PH(AO$2,$A624)</f>
        <v>2015</v>
      </c>
      <c r="AP624" s="0" t="n">
        <f aca="false">W_PH(AP$2,$A624)</f>
        <v>2015</v>
      </c>
      <c r="AQ624" s="0" t="n">
        <f aca="false">W_PH(AQ$2,$A624)</f>
        <v>2015</v>
      </c>
      <c r="AR624" s="0" t="n">
        <f aca="false">W_PH(AR$2,$A624)</f>
        <v>2015</v>
      </c>
      <c r="AS624" s="0" t="n">
        <f aca="false">W_PH(AS$2,$A624)</f>
        <v>2015</v>
      </c>
    </row>
    <row r="625" customFormat="false" ht="12.8" hidden="false" customHeight="false" outlineLevel="0" collapsed="false">
      <c r="A625" s="0" t="n">
        <v>3374.89251934652</v>
      </c>
      <c r="B625" s="0" t="n">
        <f aca="false">W_PH(B$2,$A625)</f>
        <v>2015</v>
      </c>
      <c r="C625" s="0" t="n">
        <f aca="false">W_PH(C$2,$A625)</f>
        <v>2015</v>
      </c>
      <c r="D625" s="0" t="n">
        <f aca="false">W_PH(D$2,$A625)</f>
        <v>2015</v>
      </c>
      <c r="E625" s="0" t="n">
        <f aca="false">W_PH(E$2,$A625)</f>
        <v>2015</v>
      </c>
      <c r="F625" s="0" t="n">
        <f aca="false">W_PH(F$2,$A625)</f>
        <v>2015</v>
      </c>
      <c r="G625" s="0" t="n">
        <f aca="false">W_PH(G$2,$A625)</f>
        <v>2015</v>
      </c>
      <c r="H625" s="0" t="n">
        <f aca="false">W_PH(H$2,$A625)</f>
        <v>2015</v>
      </c>
      <c r="I625" s="0" t="n">
        <f aca="false">W_PH(I$2,$A625)</f>
        <v>2015</v>
      </c>
      <c r="J625" s="0" t="n">
        <f aca="false">W_PH(J$2,$A625)</f>
        <v>2015</v>
      </c>
      <c r="K625" s="0" t="n">
        <f aca="false">W_PH(K$2,$A625)</f>
        <v>2015</v>
      </c>
      <c r="L625" s="0" t="n">
        <f aca="false">W_PH(L$2,$A625)</f>
        <v>2015</v>
      </c>
      <c r="M625" s="0" t="n">
        <f aca="false">W_PH(M$2,$A625)</f>
        <v>2015</v>
      </c>
      <c r="N625" s="0" t="n">
        <f aca="false">W_PH(N$2,$A625)</f>
        <v>2015</v>
      </c>
      <c r="O625" s="0" t="n">
        <f aca="false">W_PH(O$2,$A625)</f>
        <v>2015</v>
      </c>
      <c r="P625" s="0" t="n">
        <f aca="false">W_PH(P$2,$A625)</f>
        <v>2015</v>
      </c>
      <c r="Q625" s="0" t="n">
        <f aca="false">W_PH(Q$2,$A625)</f>
        <v>2015</v>
      </c>
      <c r="R625" s="0" t="n">
        <f aca="false">W_PH(R$2,$A625)</f>
        <v>2015</v>
      </c>
      <c r="S625" s="0" t="n">
        <f aca="false">W_PH(S$2,$A625)</f>
        <v>2015</v>
      </c>
      <c r="T625" s="0" t="n">
        <f aca="false">W_PH(T$2,$A625)</f>
        <v>2015</v>
      </c>
      <c r="U625" s="0" t="n">
        <f aca="false">W_PH(U$2,$A625)</f>
        <v>2015</v>
      </c>
      <c r="V625" s="0" t="n">
        <f aca="false">W_PH(V$2,$A625)</f>
        <v>2015</v>
      </c>
      <c r="W625" s="0" t="n">
        <f aca="false">W_PH(W$2,$A625)</f>
        <v>2015</v>
      </c>
      <c r="X625" s="0" t="n">
        <f aca="false">W_PH(X$2,$A625)</f>
        <v>2015</v>
      </c>
      <c r="Y625" s="0" t="n">
        <f aca="false">W_PH(Y$2,$A625)</f>
        <v>2015</v>
      </c>
      <c r="Z625" s="0" t="n">
        <f aca="false">W_PH(Z$2,$A625)</f>
        <v>2015</v>
      </c>
      <c r="AA625" s="0" t="n">
        <f aca="false">W_PH(AA$2,$A625)</f>
        <v>2015</v>
      </c>
      <c r="AB625" s="0" t="n">
        <f aca="false">W_PH(AB$2,$A625)</f>
        <v>2015</v>
      </c>
      <c r="AC625" s="0" t="n">
        <f aca="false">W_PH(AC$2,$A625)</f>
        <v>2015</v>
      </c>
      <c r="AD625" s="0" t="n">
        <f aca="false">W_PH(AD$2,$A625)</f>
        <v>2015</v>
      </c>
      <c r="AE625" s="0" t="n">
        <f aca="false">W_PH(AE$2,$A625)</f>
        <v>2015</v>
      </c>
      <c r="AF625" s="0" t="n">
        <f aca="false">W_PH(AF$2,$A625)</f>
        <v>2015</v>
      </c>
      <c r="AG625" s="0" t="n">
        <f aca="false">W_PH(AG$2,$A625)</f>
        <v>2015</v>
      </c>
      <c r="AH625" s="0" t="n">
        <f aca="false">W_PH(AH$2,$A625)</f>
        <v>2015</v>
      </c>
      <c r="AI625" s="0" t="n">
        <f aca="false">W_PH(AI$2,$A625)</f>
        <v>2015</v>
      </c>
      <c r="AJ625" s="0" t="n">
        <f aca="false">W_PH(AJ$2,$A625)</f>
        <v>2015</v>
      </c>
      <c r="AK625" s="0" t="n">
        <f aca="false">W_PH(AK$2,$A625)</f>
        <v>2015</v>
      </c>
      <c r="AL625" s="0" t="n">
        <f aca="false">W_PH(AL$2,$A625)</f>
        <v>2015</v>
      </c>
      <c r="AM625" s="0" t="n">
        <f aca="false">W_PH(AM$2,$A625)</f>
        <v>2015</v>
      </c>
      <c r="AN625" s="0" t="n">
        <f aca="false">W_PH(AN$2,$A625)</f>
        <v>2015</v>
      </c>
      <c r="AO625" s="0" t="n">
        <f aca="false">W_PH(AO$2,$A625)</f>
        <v>2015</v>
      </c>
      <c r="AP625" s="0" t="n">
        <f aca="false">W_PH(AP$2,$A625)</f>
        <v>2015</v>
      </c>
      <c r="AQ625" s="0" t="n">
        <f aca="false">W_PH(AQ$2,$A625)</f>
        <v>2015</v>
      </c>
      <c r="AR625" s="0" t="n">
        <f aca="false">W_PH(AR$2,$A625)</f>
        <v>2015</v>
      </c>
      <c r="AS625" s="0" t="n">
        <f aca="false">W_PH(AS$2,$A625)</f>
        <v>2015</v>
      </c>
    </row>
    <row r="626" customFormat="false" ht="12.8" hidden="false" customHeight="false" outlineLevel="0" collapsed="false">
      <c r="A626" s="0" t="n">
        <v>3379.19174548581</v>
      </c>
      <c r="B626" s="0" t="n">
        <f aca="false">W_PH(B$2,$A626)</f>
        <v>2015</v>
      </c>
      <c r="C626" s="0" t="n">
        <f aca="false">W_PH(C$2,$A626)</f>
        <v>2015</v>
      </c>
      <c r="D626" s="0" t="n">
        <f aca="false">W_PH(D$2,$A626)</f>
        <v>2015</v>
      </c>
      <c r="E626" s="0" t="n">
        <f aca="false">W_PH(E$2,$A626)</f>
        <v>2015</v>
      </c>
      <c r="F626" s="0" t="n">
        <f aca="false">W_PH(F$2,$A626)</f>
        <v>2015</v>
      </c>
      <c r="G626" s="0" t="n">
        <f aca="false">W_PH(G$2,$A626)</f>
        <v>2015</v>
      </c>
      <c r="H626" s="0" t="n">
        <f aca="false">W_PH(H$2,$A626)</f>
        <v>2015</v>
      </c>
      <c r="I626" s="0" t="n">
        <f aca="false">W_PH(I$2,$A626)</f>
        <v>2015</v>
      </c>
      <c r="J626" s="0" t="n">
        <f aca="false">W_PH(J$2,$A626)</f>
        <v>2015</v>
      </c>
      <c r="K626" s="0" t="n">
        <f aca="false">W_PH(K$2,$A626)</f>
        <v>2015</v>
      </c>
      <c r="L626" s="0" t="n">
        <f aca="false">W_PH(L$2,$A626)</f>
        <v>2015</v>
      </c>
      <c r="M626" s="0" t="n">
        <f aca="false">W_PH(M$2,$A626)</f>
        <v>2015</v>
      </c>
      <c r="N626" s="0" t="n">
        <f aca="false">W_PH(N$2,$A626)</f>
        <v>2015</v>
      </c>
      <c r="O626" s="0" t="n">
        <f aca="false">W_PH(O$2,$A626)</f>
        <v>2015</v>
      </c>
      <c r="P626" s="0" t="n">
        <f aca="false">W_PH(P$2,$A626)</f>
        <v>2015</v>
      </c>
      <c r="Q626" s="0" t="n">
        <f aca="false">W_PH(Q$2,$A626)</f>
        <v>2015</v>
      </c>
      <c r="R626" s="0" t="n">
        <f aca="false">W_PH(R$2,$A626)</f>
        <v>2015</v>
      </c>
      <c r="S626" s="0" t="n">
        <f aca="false">W_PH(S$2,$A626)</f>
        <v>2015</v>
      </c>
      <c r="T626" s="0" t="n">
        <f aca="false">W_PH(T$2,$A626)</f>
        <v>2015</v>
      </c>
      <c r="U626" s="0" t="n">
        <f aca="false">W_PH(U$2,$A626)</f>
        <v>2015</v>
      </c>
      <c r="V626" s="0" t="n">
        <f aca="false">W_PH(V$2,$A626)</f>
        <v>2015</v>
      </c>
      <c r="W626" s="0" t="n">
        <f aca="false">W_PH(W$2,$A626)</f>
        <v>2015</v>
      </c>
      <c r="X626" s="0" t="n">
        <f aca="false">W_PH(X$2,$A626)</f>
        <v>2015</v>
      </c>
      <c r="Y626" s="0" t="n">
        <f aca="false">W_PH(Y$2,$A626)</f>
        <v>2015</v>
      </c>
      <c r="Z626" s="0" t="n">
        <f aca="false">W_PH(Z$2,$A626)</f>
        <v>2015</v>
      </c>
      <c r="AA626" s="0" t="n">
        <f aca="false">W_PH(AA$2,$A626)</f>
        <v>2015</v>
      </c>
      <c r="AB626" s="0" t="n">
        <f aca="false">W_PH(AB$2,$A626)</f>
        <v>2015</v>
      </c>
      <c r="AC626" s="0" t="n">
        <f aca="false">W_PH(AC$2,$A626)</f>
        <v>2015</v>
      </c>
      <c r="AD626" s="0" t="n">
        <f aca="false">W_PH(AD$2,$A626)</f>
        <v>2015</v>
      </c>
      <c r="AE626" s="0" t="n">
        <f aca="false">W_PH(AE$2,$A626)</f>
        <v>2015</v>
      </c>
      <c r="AF626" s="0" t="n">
        <f aca="false">W_PH(AF$2,$A626)</f>
        <v>2015</v>
      </c>
      <c r="AG626" s="0" t="n">
        <f aca="false">W_PH(AG$2,$A626)</f>
        <v>2015</v>
      </c>
      <c r="AH626" s="0" t="n">
        <f aca="false">W_PH(AH$2,$A626)</f>
        <v>2015</v>
      </c>
      <c r="AI626" s="0" t="n">
        <f aca="false">W_PH(AI$2,$A626)</f>
        <v>2015</v>
      </c>
      <c r="AJ626" s="0" t="n">
        <f aca="false">W_PH(AJ$2,$A626)</f>
        <v>2015</v>
      </c>
      <c r="AK626" s="0" t="n">
        <f aca="false">W_PH(AK$2,$A626)</f>
        <v>2015</v>
      </c>
      <c r="AL626" s="0" t="n">
        <f aca="false">W_PH(AL$2,$A626)</f>
        <v>2015</v>
      </c>
      <c r="AM626" s="0" t="n">
        <f aca="false">W_PH(AM$2,$A626)</f>
        <v>2015</v>
      </c>
      <c r="AN626" s="0" t="n">
        <f aca="false">W_PH(AN$2,$A626)</f>
        <v>2015</v>
      </c>
      <c r="AO626" s="0" t="n">
        <f aca="false">W_PH(AO$2,$A626)</f>
        <v>2015</v>
      </c>
      <c r="AP626" s="0" t="n">
        <f aca="false">W_PH(AP$2,$A626)</f>
        <v>2015</v>
      </c>
      <c r="AQ626" s="0" t="n">
        <f aca="false">W_PH(AQ$2,$A626)</f>
        <v>2015</v>
      </c>
      <c r="AR626" s="0" t="n">
        <f aca="false">W_PH(AR$2,$A626)</f>
        <v>2015</v>
      </c>
      <c r="AS626" s="0" t="n">
        <f aca="false">W_PH(AS$2,$A626)</f>
        <v>2015</v>
      </c>
    </row>
    <row r="627" customFormat="false" ht="12.8" hidden="false" customHeight="false" outlineLevel="0" collapsed="false">
      <c r="A627" s="0" t="n">
        <v>3383.49097162511</v>
      </c>
      <c r="B627" s="0" t="n">
        <f aca="false">W_PH(B$2,$A627)</f>
        <v>2015</v>
      </c>
      <c r="C627" s="0" t="n">
        <f aca="false">W_PH(C$2,$A627)</f>
        <v>2015</v>
      </c>
      <c r="D627" s="0" t="n">
        <f aca="false">W_PH(D$2,$A627)</f>
        <v>2015</v>
      </c>
      <c r="E627" s="0" t="n">
        <f aca="false">W_PH(E$2,$A627)</f>
        <v>2015</v>
      </c>
      <c r="F627" s="0" t="n">
        <f aca="false">W_PH(F$2,$A627)</f>
        <v>2015</v>
      </c>
      <c r="G627" s="0" t="n">
        <f aca="false">W_PH(G$2,$A627)</f>
        <v>2015</v>
      </c>
      <c r="H627" s="0" t="n">
        <f aca="false">W_PH(H$2,$A627)</f>
        <v>2015</v>
      </c>
      <c r="I627" s="0" t="n">
        <f aca="false">W_PH(I$2,$A627)</f>
        <v>2015</v>
      </c>
      <c r="J627" s="0" t="n">
        <f aca="false">W_PH(J$2,$A627)</f>
        <v>2015</v>
      </c>
      <c r="K627" s="0" t="n">
        <f aca="false">W_PH(K$2,$A627)</f>
        <v>2015</v>
      </c>
      <c r="L627" s="0" t="n">
        <f aca="false">W_PH(L$2,$A627)</f>
        <v>2015</v>
      </c>
      <c r="M627" s="0" t="n">
        <f aca="false">W_PH(M$2,$A627)</f>
        <v>2015</v>
      </c>
      <c r="N627" s="0" t="n">
        <f aca="false">W_PH(N$2,$A627)</f>
        <v>2015</v>
      </c>
      <c r="O627" s="0" t="n">
        <f aca="false">W_PH(O$2,$A627)</f>
        <v>2015</v>
      </c>
      <c r="P627" s="0" t="n">
        <f aca="false">W_PH(P$2,$A627)</f>
        <v>2015</v>
      </c>
      <c r="Q627" s="0" t="n">
        <f aca="false">W_PH(Q$2,$A627)</f>
        <v>2015</v>
      </c>
      <c r="R627" s="0" t="n">
        <f aca="false">W_PH(R$2,$A627)</f>
        <v>2015</v>
      </c>
      <c r="S627" s="0" t="n">
        <f aca="false">W_PH(S$2,$A627)</f>
        <v>2015</v>
      </c>
      <c r="T627" s="0" t="n">
        <f aca="false">W_PH(T$2,$A627)</f>
        <v>2015</v>
      </c>
      <c r="U627" s="0" t="n">
        <f aca="false">W_PH(U$2,$A627)</f>
        <v>2015</v>
      </c>
      <c r="V627" s="0" t="n">
        <f aca="false">W_PH(V$2,$A627)</f>
        <v>2015</v>
      </c>
      <c r="W627" s="0" t="n">
        <f aca="false">W_PH(W$2,$A627)</f>
        <v>2015</v>
      </c>
      <c r="X627" s="0" t="n">
        <f aca="false">W_PH(X$2,$A627)</f>
        <v>2015</v>
      </c>
      <c r="Y627" s="0" t="n">
        <f aca="false">W_PH(Y$2,$A627)</f>
        <v>2015</v>
      </c>
      <c r="Z627" s="0" t="n">
        <f aca="false">W_PH(Z$2,$A627)</f>
        <v>2015</v>
      </c>
      <c r="AA627" s="0" t="n">
        <f aca="false">W_PH(AA$2,$A627)</f>
        <v>2015</v>
      </c>
      <c r="AB627" s="0" t="n">
        <f aca="false">W_PH(AB$2,$A627)</f>
        <v>2015</v>
      </c>
      <c r="AC627" s="0" t="n">
        <f aca="false">W_PH(AC$2,$A627)</f>
        <v>2015</v>
      </c>
      <c r="AD627" s="0" t="n">
        <f aca="false">W_PH(AD$2,$A627)</f>
        <v>2015</v>
      </c>
      <c r="AE627" s="0" t="n">
        <f aca="false">W_PH(AE$2,$A627)</f>
        <v>2015</v>
      </c>
      <c r="AF627" s="0" t="n">
        <f aca="false">W_PH(AF$2,$A627)</f>
        <v>2015</v>
      </c>
      <c r="AG627" s="0" t="n">
        <f aca="false">W_PH(AG$2,$A627)</f>
        <v>2015</v>
      </c>
      <c r="AH627" s="0" t="n">
        <f aca="false">W_PH(AH$2,$A627)</f>
        <v>2015</v>
      </c>
      <c r="AI627" s="0" t="n">
        <f aca="false">W_PH(AI$2,$A627)</f>
        <v>2015</v>
      </c>
      <c r="AJ627" s="0" t="n">
        <f aca="false">W_PH(AJ$2,$A627)</f>
        <v>2015</v>
      </c>
      <c r="AK627" s="0" t="n">
        <f aca="false">W_PH(AK$2,$A627)</f>
        <v>2015</v>
      </c>
      <c r="AL627" s="0" t="n">
        <f aca="false">W_PH(AL$2,$A627)</f>
        <v>2015</v>
      </c>
      <c r="AM627" s="0" t="n">
        <f aca="false">W_PH(AM$2,$A627)</f>
        <v>2015</v>
      </c>
      <c r="AN627" s="0" t="n">
        <f aca="false">W_PH(AN$2,$A627)</f>
        <v>2015</v>
      </c>
      <c r="AO627" s="0" t="n">
        <f aca="false">W_PH(AO$2,$A627)</f>
        <v>2015</v>
      </c>
      <c r="AP627" s="0" t="n">
        <f aca="false">W_PH(AP$2,$A627)</f>
        <v>2015</v>
      </c>
      <c r="AQ627" s="0" t="n">
        <f aca="false">W_PH(AQ$2,$A627)</f>
        <v>2015</v>
      </c>
      <c r="AR627" s="0" t="n">
        <f aca="false">W_PH(AR$2,$A627)</f>
        <v>2015</v>
      </c>
      <c r="AS627" s="0" t="n">
        <f aca="false">W_PH(AS$2,$A627)</f>
        <v>2015</v>
      </c>
    </row>
    <row r="628" customFormat="false" ht="12.8" hidden="false" customHeight="false" outlineLevel="0" collapsed="false">
      <c r="A628" s="0" t="n">
        <v>3387.7901977644</v>
      </c>
      <c r="B628" s="0" t="n">
        <f aca="false">W_PH(B$2,$A628)</f>
        <v>2015</v>
      </c>
      <c r="C628" s="0" t="n">
        <f aca="false">W_PH(C$2,$A628)</f>
        <v>2015</v>
      </c>
      <c r="D628" s="0" t="n">
        <f aca="false">W_PH(D$2,$A628)</f>
        <v>2015</v>
      </c>
      <c r="E628" s="0" t="n">
        <f aca="false">W_PH(E$2,$A628)</f>
        <v>2015</v>
      </c>
      <c r="F628" s="0" t="n">
        <f aca="false">W_PH(F$2,$A628)</f>
        <v>2015</v>
      </c>
      <c r="G628" s="0" t="n">
        <f aca="false">W_PH(G$2,$A628)</f>
        <v>2015</v>
      </c>
      <c r="H628" s="0" t="n">
        <f aca="false">W_PH(H$2,$A628)</f>
        <v>2015</v>
      </c>
      <c r="I628" s="0" t="n">
        <f aca="false">W_PH(I$2,$A628)</f>
        <v>2015</v>
      </c>
      <c r="J628" s="0" t="n">
        <f aca="false">W_PH(J$2,$A628)</f>
        <v>2015</v>
      </c>
      <c r="K628" s="0" t="n">
        <f aca="false">W_PH(K$2,$A628)</f>
        <v>2015</v>
      </c>
      <c r="L628" s="0" t="n">
        <f aca="false">W_PH(L$2,$A628)</f>
        <v>2015</v>
      </c>
      <c r="M628" s="0" t="n">
        <f aca="false">W_PH(M$2,$A628)</f>
        <v>2015</v>
      </c>
      <c r="N628" s="0" t="n">
        <f aca="false">W_PH(N$2,$A628)</f>
        <v>2015</v>
      </c>
      <c r="O628" s="0" t="n">
        <f aca="false">W_PH(O$2,$A628)</f>
        <v>2015</v>
      </c>
      <c r="P628" s="0" t="n">
        <f aca="false">W_PH(P$2,$A628)</f>
        <v>2015</v>
      </c>
      <c r="Q628" s="0" t="n">
        <f aca="false">W_PH(Q$2,$A628)</f>
        <v>2015</v>
      </c>
      <c r="R628" s="0" t="n">
        <f aca="false">W_PH(R$2,$A628)</f>
        <v>2015</v>
      </c>
      <c r="S628" s="0" t="n">
        <f aca="false">W_PH(S$2,$A628)</f>
        <v>2015</v>
      </c>
      <c r="T628" s="0" t="n">
        <f aca="false">W_PH(T$2,$A628)</f>
        <v>2015</v>
      </c>
      <c r="U628" s="0" t="n">
        <f aca="false">W_PH(U$2,$A628)</f>
        <v>2015</v>
      </c>
      <c r="V628" s="0" t="n">
        <f aca="false">W_PH(V$2,$A628)</f>
        <v>2015</v>
      </c>
      <c r="W628" s="0" t="n">
        <f aca="false">W_PH(W$2,$A628)</f>
        <v>2015</v>
      </c>
      <c r="X628" s="0" t="n">
        <f aca="false">W_PH(X$2,$A628)</f>
        <v>2015</v>
      </c>
      <c r="Y628" s="0" t="n">
        <f aca="false">W_PH(Y$2,$A628)</f>
        <v>2015</v>
      </c>
      <c r="Z628" s="0" t="n">
        <f aca="false">W_PH(Z$2,$A628)</f>
        <v>2015</v>
      </c>
      <c r="AA628" s="0" t="n">
        <f aca="false">W_PH(AA$2,$A628)</f>
        <v>2015</v>
      </c>
      <c r="AB628" s="0" t="n">
        <f aca="false">W_PH(AB$2,$A628)</f>
        <v>2015</v>
      </c>
      <c r="AC628" s="0" t="n">
        <f aca="false">W_PH(AC$2,$A628)</f>
        <v>2015</v>
      </c>
      <c r="AD628" s="0" t="n">
        <f aca="false">W_PH(AD$2,$A628)</f>
        <v>2015</v>
      </c>
      <c r="AE628" s="0" t="n">
        <f aca="false">W_PH(AE$2,$A628)</f>
        <v>2015</v>
      </c>
      <c r="AF628" s="0" t="n">
        <f aca="false">W_PH(AF$2,$A628)</f>
        <v>2015</v>
      </c>
      <c r="AG628" s="0" t="n">
        <f aca="false">W_PH(AG$2,$A628)</f>
        <v>2015</v>
      </c>
      <c r="AH628" s="0" t="n">
        <f aca="false">W_PH(AH$2,$A628)</f>
        <v>2015</v>
      </c>
      <c r="AI628" s="0" t="n">
        <f aca="false">W_PH(AI$2,$A628)</f>
        <v>2015</v>
      </c>
      <c r="AJ628" s="0" t="n">
        <f aca="false">W_PH(AJ$2,$A628)</f>
        <v>2015</v>
      </c>
      <c r="AK628" s="0" t="n">
        <f aca="false">W_PH(AK$2,$A628)</f>
        <v>2015</v>
      </c>
      <c r="AL628" s="0" t="n">
        <f aca="false">W_PH(AL$2,$A628)</f>
        <v>2015</v>
      </c>
      <c r="AM628" s="0" t="n">
        <f aca="false">W_PH(AM$2,$A628)</f>
        <v>2015</v>
      </c>
      <c r="AN628" s="0" t="n">
        <f aca="false">W_PH(AN$2,$A628)</f>
        <v>2015</v>
      </c>
      <c r="AO628" s="0" t="n">
        <f aca="false">W_PH(AO$2,$A628)</f>
        <v>2015</v>
      </c>
      <c r="AP628" s="0" t="n">
        <f aca="false">W_PH(AP$2,$A628)</f>
        <v>2015</v>
      </c>
      <c r="AQ628" s="0" t="n">
        <f aca="false">W_PH(AQ$2,$A628)</f>
        <v>2015</v>
      </c>
      <c r="AR628" s="0" t="n">
        <f aca="false">W_PH(AR$2,$A628)</f>
        <v>2015</v>
      </c>
      <c r="AS628" s="0" t="n">
        <f aca="false">W_PH(AS$2,$A628)</f>
        <v>2015</v>
      </c>
    </row>
    <row r="629" customFormat="false" ht="12.8" hidden="false" customHeight="false" outlineLevel="0" collapsed="false">
      <c r="A629" s="0" t="n">
        <v>3392.0894239037</v>
      </c>
      <c r="B629" s="0" t="n">
        <f aca="false">W_PH(B$2,$A629)</f>
        <v>2015</v>
      </c>
      <c r="C629" s="0" t="n">
        <f aca="false">W_PH(C$2,$A629)</f>
        <v>2015</v>
      </c>
      <c r="D629" s="0" t="n">
        <f aca="false">W_PH(D$2,$A629)</f>
        <v>2015</v>
      </c>
      <c r="E629" s="0" t="n">
        <f aca="false">W_PH(E$2,$A629)</f>
        <v>2015</v>
      </c>
      <c r="F629" s="0" t="n">
        <f aca="false">W_PH(F$2,$A629)</f>
        <v>2015</v>
      </c>
      <c r="G629" s="0" t="n">
        <f aca="false">W_PH(G$2,$A629)</f>
        <v>2015</v>
      </c>
      <c r="H629" s="0" t="n">
        <f aca="false">W_PH(H$2,$A629)</f>
        <v>2015</v>
      </c>
      <c r="I629" s="0" t="n">
        <f aca="false">W_PH(I$2,$A629)</f>
        <v>2015</v>
      </c>
      <c r="J629" s="0" t="n">
        <f aca="false">W_PH(J$2,$A629)</f>
        <v>2015</v>
      </c>
      <c r="K629" s="0" t="n">
        <f aca="false">W_PH(K$2,$A629)</f>
        <v>2015</v>
      </c>
      <c r="L629" s="0" t="n">
        <f aca="false">W_PH(L$2,$A629)</f>
        <v>2015</v>
      </c>
      <c r="M629" s="0" t="n">
        <f aca="false">W_PH(M$2,$A629)</f>
        <v>2015</v>
      </c>
      <c r="N629" s="0" t="n">
        <f aca="false">W_PH(N$2,$A629)</f>
        <v>2015</v>
      </c>
      <c r="O629" s="0" t="n">
        <f aca="false">W_PH(O$2,$A629)</f>
        <v>2015</v>
      </c>
      <c r="P629" s="0" t="n">
        <f aca="false">W_PH(P$2,$A629)</f>
        <v>2015</v>
      </c>
      <c r="Q629" s="0" t="n">
        <f aca="false">W_PH(Q$2,$A629)</f>
        <v>2015</v>
      </c>
      <c r="R629" s="0" t="n">
        <f aca="false">W_PH(R$2,$A629)</f>
        <v>2015</v>
      </c>
      <c r="S629" s="0" t="n">
        <f aca="false">W_PH(S$2,$A629)</f>
        <v>2015</v>
      </c>
      <c r="T629" s="0" t="n">
        <f aca="false">W_PH(T$2,$A629)</f>
        <v>2015</v>
      </c>
      <c r="U629" s="0" t="n">
        <f aca="false">W_PH(U$2,$A629)</f>
        <v>2015</v>
      </c>
      <c r="V629" s="0" t="n">
        <f aca="false">W_PH(V$2,$A629)</f>
        <v>2015</v>
      </c>
      <c r="W629" s="0" t="n">
        <f aca="false">W_PH(W$2,$A629)</f>
        <v>2015</v>
      </c>
      <c r="X629" s="0" t="n">
        <f aca="false">W_PH(X$2,$A629)</f>
        <v>2015</v>
      </c>
      <c r="Y629" s="0" t="n">
        <f aca="false">W_PH(Y$2,$A629)</f>
        <v>2015</v>
      </c>
      <c r="Z629" s="0" t="n">
        <f aca="false">W_PH(Z$2,$A629)</f>
        <v>2015</v>
      </c>
      <c r="AA629" s="0" t="n">
        <f aca="false">W_PH(AA$2,$A629)</f>
        <v>2015</v>
      </c>
      <c r="AB629" s="0" t="n">
        <f aca="false">W_PH(AB$2,$A629)</f>
        <v>2015</v>
      </c>
      <c r="AC629" s="0" t="n">
        <f aca="false">W_PH(AC$2,$A629)</f>
        <v>2015</v>
      </c>
      <c r="AD629" s="0" t="n">
        <f aca="false">W_PH(AD$2,$A629)</f>
        <v>2015</v>
      </c>
      <c r="AE629" s="0" t="n">
        <f aca="false">W_PH(AE$2,$A629)</f>
        <v>2015</v>
      </c>
      <c r="AF629" s="0" t="n">
        <f aca="false">W_PH(AF$2,$A629)</f>
        <v>2015</v>
      </c>
      <c r="AG629" s="0" t="n">
        <f aca="false">W_PH(AG$2,$A629)</f>
        <v>2015</v>
      </c>
      <c r="AH629" s="0" t="n">
        <f aca="false">W_PH(AH$2,$A629)</f>
        <v>2015</v>
      </c>
      <c r="AI629" s="0" t="n">
        <f aca="false">W_PH(AI$2,$A629)</f>
        <v>2015</v>
      </c>
      <c r="AJ629" s="0" t="n">
        <f aca="false">W_PH(AJ$2,$A629)</f>
        <v>2015</v>
      </c>
      <c r="AK629" s="0" t="n">
        <f aca="false">W_PH(AK$2,$A629)</f>
        <v>2015</v>
      </c>
      <c r="AL629" s="0" t="n">
        <f aca="false">W_PH(AL$2,$A629)</f>
        <v>2015</v>
      </c>
      <c r="AM629" s="0" t="n">
        <f aca="false">W_PH(AM$2,$A629)</f>
        <v>2015</v>
      </c>
      <c r="AN629" s="0" t="n">
        <f aca="false">W_PH(AN$2,$A629)</f>
        <v>2015</v>
      </c>
      <c r="AO629" s="0" t="n">
        <f aca="false">W_PH(AO$2,$A629)</f>
        <v>2015</v>
      </c>
      <c r="AP629" s="0" t="n">
        <f aca="false">W_PH(AP$2,$A629)</f>
        <v>2015</v>
      </c>
      <c r="AQ629" s="0" t="n">
        <f aca="false">W_PH(AQ$2,$A629)</f>
        <v>2015</v>
      </c>
      <c r="AR629" s="0" t="n">
        <f aca="false">W_PH(AR$2,$A629)</f>
        <v>2015</v>
      </c>
      <c r="AS629" s="0" t="n">
        <f aca="false">W_PH(AS$2,$A629)</f>
        <v>2015</v>
      </c>
    </row>
    <row r="630" customFormat="false" ht="12.8" hidden="false" customHeight="false" outlineLevel="0" collapsed="false">
      <c r="A630" s="0" t="n">
        <v>3396.38865004299</v>
      </c>
      <c r="B630" s="0" t="n">
        <f aca="false">W_PH(B$2,$A630)</f>
        <v>2015</v>
      </c>
      <c r="C630" s="0" t="n">
        <f aca="false">W_PH(C$2,$A630)</f>
        <v>2015</v>
      </c>
      <c r="D630" s="0" t="n">
        <f aca="false">W_PH(D$2,$A630)</f>
        <v>2015</v>
      </c>
      <c r="E630" s="0" t="n">
        <f aca="false">W_PH(E$2,$A630)</f>
        <v>2015</v>
      </c>
      <c r="F630" s="0" t="n">
        <f aca="false">W_PH(F$2,$A630)</f>
        <v>2015</v>
      </c>
      <c r="G630" s="0" t="n">
        <f aca="false">W_PH(G$2,$A630)</f>
        <v>2015</v>
      </c>
      <c r="H630" s="0" t="n">
        <f aca="false">W_PH(H$2,$A630)</f>
        <v>2015</v>
      </c>
      <c r="I630" s="0" t="n">
        <f aca="false">W_PH(I$2,$A630)</f>
        <v>2015</v>
      </c>
      <c r="J630" s="0" t="n">
        <f aca="false">W_PH(J$2,$A630)</f>
        <v>2015</v>
      </c>
      <c r="K630" s="0" t="n">
        <f aca="false">W_PH(K$2,$A630)</f>
        <v>2015</v>
      </c>
      <c r="L630" s="0" t="n">
        <f aca="false">W_PH(L$2,$A630)</f>
        <v>2015</v>
      </c>
      <c r="M630" s="0" t="n">
        <f aca="false">W_PH(M$2,$A630)</f>
        <v>2015</v>
      </c>
      <c r="N630" s="0" t="n">
        <f aca="false">W_PH(N$2,$A630)</f>
        <v>2015</v>
      </c>
      <c r="O630" s="0" t="n">
        <f aca="false">W_PH(O$2,$A630)</f>
        <v>2015</v>
      </c>
      <c r="P630" s="0" t="n">
        <f aca="false">W_PH(P$2,$A630)</f>
        <v>2015</v>
      </c>
      <c r="Q630" s="0" t="n">
        <f aca="false">W_PH(Q$2,$A630)</f>
        <v>2015</v>
      </c>
      <c r="R630" s="0" t="n">
        <f aca="false">W_PH(R$2,$A630)</f>
        <v>2015</v>
      </c>
      <c r="S630" s="0" t="n">
        <f aca="false">W_PH(S$2,$A630)</f>
        <v>2015</v>
      </c>
      <c r="T630" s="0" t="n">
        <f aca="false">W_PH(T$2,$A630)</f>
        <v>2015</v>
      </c>
      <c r="U630" s="0" t="n">
        <f aca="false">W_PH(U$2,$A630)</f>
        <v>2015</v>
      </c>
      <c r="V630" s="0" t="n">
        <f aca="false">W_PH(V$2,$A630)</f>
        <v>2015</v>
      </c>
      <c r="W630" s="0" t="n">
        <f aca="false">W_PH(W$2,$A630)</f>
        <v>2015</v>
      </c>
      <c r="X630" s="0" t="n">
        <f aca="false">W_PH(X$2,$A630)</f>
        <v>2015</v>
      </c>
      <c r="Y630" s="0" t="n">
        <f aca="false">W_PH(Y$2,$A630)</f>
        <v>2015</v>
      </c>
      <c r="Z630" s="0" t="n">
        <f aca="false">W_PH(Z$2,$A630)</f>
        <v>2015</v>
      </c>
      <c r="AA630" s="0" t="n">
        <f aca="false">W_PH(AA$2,$A630)</f>
        <v>2015</v>
      </c>
      <c r="AB630" s="0" t="n">
        <f aca="false">W_PH(AB$2,$A630)</f>
        <v>2015</v>
      </c>
      <c r="AC630" s="0" t="n">
        <f aca="false">W_PH(AC$2,$A630)</f>
        <v>2015</v>
      </c>
      <c r="AD630" s="0" t="n">
        <f aca="false">W_PH(AD$2,$A630)</f>
        <v>2015</v>
      </c>
      <c r="AE630" s="0" t="n">
        <f aca="false">W_PH(AE$2,$A630)</f>
        <v>2015</v>
      </c>
      <c r="AF630" s="0" t="n">
        <f aca="false">W_PH(AF$2,$A630)</f>
        <v>2015</v>
      </c>
      <c r="AG630" s="0" t="n">
        <f aca="false">W_PH(AG$2,$A630)</f>
        <v>2015</v>
      </c>
      <c r="AH630" s="0" t="n">
        <f aca="false">W_PH(AH$2,$A630)</f>
        <v>2015</v>
      </c>
      <c r="AI630" s="0" t="n">
        <f aca="false">W_PH(AI$2,$A630)</f>
        <v>2015</v>
      </c>
      <c r="AJ630" s="0" t="n">
        <f aca="false">W_PH(AJ$2,$A630)</f>
        <v>2015</v>
      </c>
      <c r="AK630" s="0" t="n">
        <f aca="false">W_PH(AK$2,$A630)</f>
        <v>2015</v>
      </c>
      <c r="AL630" s="0" t="n">
        <f aca="false">W_PH(AL$2,$A630)</f>
        <v>2015</v>
      </c>
      <c r="AM630" s="0" t="n">
        <f aca="false">W_PH(AM$2,$A630)</f>
        <v>2015</v>
      </c>
      <c r="AN630" s="0" t="n">
        <f aca="false">W_PH(AN$2,$A630)</f>
        <v>2015</v>
      </c>
      <c r="AO630" s="0" t="n">
        <f aca="false">W_PH(AO$2,$A630)</f>
        <v>2015</v>
      </c>
      <c r="AP630" s="0" t="n">
        <f aca="false">W_PH(AP$2,$A630)</f>
        <v>2015</v>
      </c>
      <c r="AQ630" s="0" t="n">
        <f aca="false">W_PH(AQ$2,$A630)</f>
        <v>2015</v>
      </c>
      <c r="AR630" s="0" t="n">
        <f aca="false">W_PH(AR$2,$A630)</f>
        <v>2015</v>
      </c>
      <c r="AS630" s="0" t="n">
        <f aca="false">W_PH(AS$2,$A630)</f>
        <v>2015</v>
      </c>
    </row>
    <row r="631" customFormat="false" ht="12.8" hidden="false" customHeight="false" outlineLevel="0" collapsed="false">
      <c r="A631" s="0" t="n">
        <v>3400.68787618229</v>
      </c>
      <c r="B631" s="0" t="n">
        <f aca="false">W_PH(B$2,$A631)</f>
        <v>2015</v>
      </c>
      <c r="C631" s="0" t="n">
        <f aca="false">W_PH(C$2,$A631)</f>
        <v>2015</v>
      </c>
      <c r="D631" s="0" t="n">
        <f aca="false">W_PH(D$2,$A631)</f>
        <v>2015</v>
      </c>
      <c r="E631" s="0" t="n">
        <f aca="false">W_PH(E$2,$A631)</f>
        <v>2015</v>
      </c>
      <c r="F631" s="0" t="n">
        <f aca="false">W_PH(F$2,$A631)</f>
        <v>2015</v>
      </c>
      <c r="G631" s="0" t="n">
        <f aca="false">W_PH(G$2,$A631)</f>
        <v>2015</v>
      </c>
      <c r="H631" s="0" t="n">
        <f aca="false">W_PH(H$2,$A631)</f>
        <v>2015</v>
      </c>
      <c r="I631" s="0" t="n">
        <f aca="false">W_PH(I$2,$A631)</f>
        <v>2015</v>
      </c>
      <c r="J631" s="0" t="n">
        <f aca="false">W_PH(J$2,$A631)</f>
        <v>2015</v>
      </c>
      <c r="K631" s="0" t="n">
        <f aca="false">W_PH(K$2,$A631)</f>
        <v>2015</v>
      </c>
      <c r="L631" s="0" t="n">
        <f aca="false">W_PH(L$2,$A631)</f>
        <v>2015</v>
      </c>
      <c r="M631" s="0" t="n">
        <f aca="false">W_PH(M$2,$A631)</f>
        <v>2015</v>
      </c>
      <c r="N631" s="0" t="n">
        <f aca="false">W_PH(N$2,$A631)</f>
        <v>2015</v>
      </c>
      <c r="O631" s="0" t="n">
        <f aca="false">W_PH(O$2,$A631)</f>
        <v>2015</v>
      </c>
      <c r="P631" s="0" t="n">
        <f aca="false">W_PH(P$2,$A631)</f>
        <v>2015</v>
      </c>
      <c r="Q631" s="0" t="n">
        <f aca="false">W_PH(Q$2,$A631)</f>
        <v>2015</v>
      </c>
      <c r="R631" s="0" t="n">
        <f aca="false">W_PH(R$2,$A631)</f>
        <v>2015</v>
      </c>
      <c r="S631" s="0" t="n">
        <f aca="false">W_PH(S$2,$A631)</f>
        <v>2015</v>
      </c>
      <c r="T631" s="0" t="n">
        <f aca="false">W_PH(T$2,$A631)</f>
        <v>2015</v>
      </c>
      <c r="U631" s="0" t="n">
        <f aca="false">W_PH(U$2,$A631)</f>
        <v>2015</v>
      </c>
      <c r="V631" s="0" t="n">
        <f aca="false">W_PH(V$2,$A631)</f>
        <v>2015</v>
      </c>
      <c r="W631" s="0" t="n">
        <f aca="false">W_PH(W$2,$A631)</f>
        <v>2015</v>
      </c>
      <c r="X631" s="0" t="n">
        <f aca="false">W_PH(X$2,$A631)</f>
        <v>2015</v>
      </c>
      <c r="Y631" s="0" t="n">
        <f aca="false">W_PH(Y$2,$A631)</f>
        <v>2015</v>
      </c>
      <c r="Z631" s="0" t="n">
        <f aca="false">W_PH(Z$2,$A631)</f>
        <v>2015</v>
      </c>
      <c r="AA631" s="0" t="n">
        <f aca="false">W_PH(AA$2,$A631)</f>
        <v>2015</v>
      </c>
      <c r="AB631" s="0" t="n">
        <f aca="false">W_PH(AB$2,$A631)</f>
        <v>2015</v>
      </c>
      <c r="AC631" s="0" t="n">
        <f aca="false">W_PH(AC$2,$A631)</f>
        <v>2015</v>
      </c>
      <c r="AD631" s="0" t="n">
        <f aca="false">W_PH(AD$2,$A631)</f>
        <v>2015</v>
      </c>
      <c r="AE631" s="0" t="n">
        <f aca="false">W_PH(AE$2,$A631)</f>
        <v>2015</v>
      </c>
      <c r="AF631" s="0" t="n">
        <f aca="false">W_PH(AF$2,$A631)</f>
        <v>2015</v>
      </c>
      <c r="AG631" s="0" t="n">
        <f aca="false">W_PH(AG$2,$A631)</f>
        <v>2015</v>
      </c>
      <c r="AH631" s="0" t="n">
        <f aca="false">W_PH(AH$2,$A631)</f>
        <v>2015</v>
      </c>
      <c r="AI631" s="0" t="n">
        <f aca="false">W_PH(AI$2,$A631)</f>
        <v>2015</v>
      </c>
      <c r="AJ631" s="0" t="n">
        <f aca="false">W_PH(AJ$2,$A631)</f>
        <v>2015</v>
      </c>
      <c r="AK631" s="0" t="n">
        <f aca="false">W_PH(AK$2,$A631)</f>
        <v>2015</v>
      </c>
      <c r="AL631" s="0" t="n">
        <f aca="false">W_PH(AL$2,$A631)</f>
        <v>2015</v>
      </c>
      <c r="AM631" s="0" t="n">
        <f aca="false">W_PH(AM$2,$A631)</f>
        <v>2015</v>
      </c>
      <c r="AN631" s="0" t="n">
        <f aca="false">W_PH(AN$2,$A631)</f>
        <v>2015</v>
      </c>
      <c r="AO631" s="0" t="n">
        <f aca="false">W_PH(AO$2,$A631)</f>
        <v>2015</v>
      </c>
      <c r="AP631" s="0" t="n">
        <f aca="false">W_PH(AP$2,$A631)</f>
        <v>2015</v>
      </c>
      <c r="AQ631" s="0" t="n">
        <f aca="false">W_PH(AQ$2,$A631)</f>
        <v>2015</v>
      </c>
      <c r="AR631" s="0" t="n">
        <f aca="false">W_PH(AR$2,$A631)</f>
        <v>2015</v>
      </c>
      <c r="AS631" s="0" t="n">
        <f aca="false">W_PH(AS$2,$A631)</f>
        <v>2015</v>
      </c>
    </row>
    <row r="632" customFormat="false" ht="12.8" hidden="false" customHeight="false" outlineLevel="0" collapsed="false">
      <c r="A632" s="0" t="n">
        <v>3404.98710232158</v>
      </c>
      <c r="B632" s="0" t="n">
        <f aca="false">W_PH(B$2,$A632)</f>
        <v>2015</v>
      </c>
      <c r="C632" s="0" t="n">
        <f aca="false">W_PH(C$2,$A632)</f>
        <v>2015</v>
      </c>
      <c r="D632" s="0" t="n">
        <f aca="false">W_PH(D$2,$A632)</f>
        <v>2015</v>
      </c>
      <c r="E632" s="0" t="n">
        <f aca="false">W_PH(E$2,$A632)</f>
        <v>2015</v>
      </c>
      <c r="F632" s="0" t="n">
        <f aca="false">W_PH(F$2,$A632)</f>
        <v>2015</v>
      </c>
      <c r="G632" s="0" t="n">
        <f aca="false">W_PH(G$2,$A632)</f>
        <v>2015</v>
      </c>
      <c r="H632" s="0" t="n">
        <f aca="false">W_PH(H$2,$A632)</f>
        <v>2015</v>
      </c>
      <c r="I632" s="0" t="n">
        <f aca="false">W_PH(I$2,$A632)</f>
        <v>2015</v>
      </c>
      <c r="J632" s="0" t="n">
        <f aca="false">W_PH(J$2,$A632)</f>
        <v>2015</v>
      </c>
      <c r="K632" s="0" t="n">
        <f aca="false">W_PH(K$2,$A632)</f>
        <v>2015</v>
      </c>
      <c r="L632" s="0" t="n">
        <f aca="false">W_PH(L$2,$A632)</f>
        <v>2015</v>
      </c>
      <c r="M632" s="0" t="n">
        <f aca="false">W_PH(M$2,$A632)</f>
        <v>2015</v>
      </c>
      <c r="N632" s="0" t="n">
        <f aca="false">W_PH(N$2,$A632)</f>
        <v>2015</v>
      </c>
      <c r="O632" s="0" t="n">
        <f aca="false">W_PH(O$2,$A632)</f>
        <v>2015</v>
      </c>
      <c r="P632" s="0" t="n">
        <f aca="false">W_PH(P$2,$A632)</f>
        <v>2015</v>
      </c>
      <c r="Q632" s="0" t="n">
        <f aca="false">W_PH(Q$2,$A632)</f>
        <v>2015</v>
      </c>
      <c r="R632" s="0" t="n">
        <f aca="false">W_PH(R$2,$A632)</f>
        <v>2015</v>
      </c>
      <c r="S632" s="0" t="n">
        <f aca="false">W_PH(S$2,$A632)</f>
        <v>2015</v>
      </c>
      <c r="T632" s="0" t="n">
        <f aca="false">W_PH(T$2,$A632)</f>
        <v>2015</v>
      </c>
      <c r="U632" s="0" t="n">
        <f aca="false">W_PH(U$2,$A632)</f>
        <v>2015</v>
      </c>
      <c r="V632" s="0" t="n">
        <f aca="false">W_PH(V$2,$A632)</f>
        <v>2015</v>
      </c>
      <c r="W632" s="0" t="n">
        <f aca="false">W_PH(W$2,$A632)</f>
        <v>2015</v>
      </c>
      <c r="X632" s="0" t="n">
        <f aca="false">W_PH(X$2,$A632)</f>
        <v>2015</v>
      </c>
      <c r="Y632" s="0" t="n">
        <f aca="false">W_PH(Y$2,$A632)</f>
        <v>2015</v>
      </c>
      <c r="Z632" s="0" t="n">
        <f aca="false">W_PH(Z$2,$A632)</f>
        <v>2015</v>
      </c>
      <c r="AA632" s="0" t="n">
        <f aca="false">W_PH(AA$2,$A632)</f>
        <v>2015</v>
      </c>
      <c r="AB632" s="0" t="n">
        <f aca="false">W_PH(AB$2,$A632)</f>
        <v>2015</v>
      </c>
      <c r="AC632" s="0" t="n">
        <f aca="false">W_PH(AC$2,$A632)</f>
        <v>2015</v>
      </c>
      <c r="AD632" s="0" t="n">
        <f aca="false">W_PH(AD$2,$A632)</f>
        <v>2015</v>
      </c>
      <c r="AE632" s="0" t="n">
        <f aca="false">W_PH(AE$2,$A632)</f>
        <v>2015</v>
      </c>
      <c r="AF632" s="0" t="n">
        <f aca="false">W_PH(AF$2,$A632)</f>
        <v>2015</v>
      </c>
      <c r="AG632" s="0" t="n">
        <f aca="false">W_PH(AG$2,$A632)</f>
        <v>2015</v>
      </c>
      <c r="AH632" s="0" t="n">
        <f aca="false">W_PH(AH$2,$A632)</f>
        <v>2015</v>
      </c>
      <c r="AI632" s="0" t="n">
        <f aca="false">W_PH(AI$2,$A632)</f>
        <v>2015</v>
      </c>
      <c r="AJ632" s="0" t="n">
        <f aca="false">W_PH(AJ$2,$A632)</f>
        <v>2015</v>
      </c>
      <c r="AK632" s="0" t="n">
        <f aca="false">W_PH(AK$2,$A632)</f>
        <v>2015</v>
      </c>
      <c r="AL632" s="0" t="n">
        <f aca="false">W_PH(AL$2,$A632)</f>
        <v>2015</v>
      </c>
      <c r="AM632" s="0" t="n">
        <f aca="false">W_PH(AM$2,$A632)</f>
        <v>2015</v>
      </c>
      <c r="AN632" s="0" t="n">
        <f aca="false">W_PH(AN$2,$A632)</f>
        <v>2015</v>
      </c>
      <c r="AO632" s="0" t="n">
        <f aca="false">W_PH(AO$2,$A632)</f>
        <v>2015</v>
      </c>
      <c r="AP632" s="0" t="n">
        <f aca="false">W_PH(AP$2,$A632)</f>
        <v>2015</v>
      </c>
      <c r="AQ632" s="0" t="n">
        <f aca="false">W_PH(AQ$2,$A632)</f>
        <v>2015</v>
      </c>
      <c r="AR632" s="0" t="n">
        <f aca="false">W_PH(AR$2,$A632)</f>
        <v>2015</v>
      </c>
      <c r="AS632" s="0" t="n">
        <f aca="false">W_PH(AS$2,$A632)</f>
        <v>2015</v>
      </c>
    </row>
    <row r="633" customFormat="false" ht="12.8" hidden="false" customHeight="false" outlineLevel="0" collapsed="false">
      <c r="A633" s="0" t="n">
        <v>3409.28632846088</v>
      </c>
      <c r="B633" s="0" t="n">
        <f aca="false">W_PH(B$2,$A633)</f>
        <v>2015</v>
      </c>
      <c r="C633" s="0" t="n">
        <f aca="false">W_PH(C$2,$A633)</f>
        <v>2015</v>
      </c>
      <c r="D633" s="0" t="n">
        <f aca="false">W_PH(D$2,$A633)</f>
        <v>2015</v>
      </c>
      <c r="E633" s="0" t="n">
        <f aca="false">W_PH(E$2,$A633)</f>
        <v>2015</v>
      </c>
      <c r="F633" s="0" t="n">
        <f aca="false">W_PH(F$2,$A633)</f>
        <v>2015</v>
      </c>
      <c r="G633" s="0" t="n">
        <f aca="false">W_PH(G$2,$A633)</f>
        <v>2015</v>
      </c>
      <c r="H633" s="0" t="n">
        <f aca="false">W_PH(H$2,$A633)</f>
        <v>2015</v>
      </c>
      <c r="I633" s="0" t="n">
        <f aca="false">W_PH(I$2,$A633)</f>
        <v>2015</v>
      </c>
      <c r="J633" s="0" t="n">
        <f aca="false">W_PH(J$2,$A633)</f>
        <v>2015</v>
      </c>
      <c r="K633" s="0" t="n">
        <f aca="false">W_PH(K$2,$A633)</f>
        <v>2015</v>
      </c>
      <c r="L633" s="0" t="n">
        <f aca="false">W_PH(L$2,$A633)</f>
        <v>2015</v>
      </c>
      <c r="M633" s="0" t="n">
        <f aca="false">W_PH(M$2,$A633)</f>
        <v>2015</v>
      </c>
      <c r="N633" s="0" t="n">
        <f aca="false">W_PH(N$2,$A633)</f>
        <v>2015</v>
      </c>
      <c r="O633" s="0" t="n">
        <f aca="false">W_PH(O$2,$A633)</f>
        <v>2015</v>
      </c>
      <c r="P633" s="0" t="n">
        <f aca="false">W_PH(P$2,$A633)</f>
        <v>2015</v>
      </c>
      <c r="Q633" s="0" t="n">
        <f aca="false">W_PH(Q$2,$A633)</f>
        <v>2015</v>
      </c>
      <c r="R633" s="0" t="n">
        <f aca="false">W_PH(R$2,$A633)</f>
        <v>2015</v>
      </c>
      <c r="S633" s="0" t="n">
        <f aca="false">W_PH(S$2,$A633)</f>
        <v>2015</v>
      </c>
      <c r="T633" s="0" t="n">
        <f aca="false">W_PH(T$2,$A633)</f>
        <v>2015</v>
      </c>
      <c r="U633" s="0" t="n">
        <f aca="false">W_PH(U$2,$A633)</f>
        <v>2015</v>
      </c>
      <c r="V633" s="0" t="n">
        <f aca="false">W_PH(V$2,$A633)</f>
        <v>2015</v>
      </c>
      <c r="W633" s="0" t="n">
        <f aca="false">W_PH(W$2,$A633)</f>
        <v>2015</v>
      </c>
      <c r="X633" s="0" t="n">
        <f aca="false">W_PH(X$2,$A633)</f>
        <v>2015</v>
      </c>
      <c r="Y633" s="0" t="n">
        <f aca="false">W_PH(Y$2,$A633)</f>
        <v>2015</v>
      </c>
      <c r="Z633" s="0" t="n">
        <f aca="false">W_PH(Z$2,$A633)</f>
        <v>2015</v>
      </c>
      <c r="AA633" s="0" t="n">
        <f aca="false">W_PH(AA$2,$A633)</f>
        <v>2015</v>
      </c>
      <c r="AB633" s="0" t="n">
        <f aca="false">W_PH(AB$2,$A633)</f>
        <v>2015</v>
      </c>
      <c r="AC633" s="0" t="n">
        <f aca="false">W_PH(AC$2,$A633)</f>
        <v>2015</v>
      </c>
      <c r="AD633" s="0" t="n">
        <f aca="false">W_PH(AD$2,$A633)</f>
        <v>2015</v>
      </c>
      <c r="AE633" s="0" t="n">
        <f aca="false">W_PH(AE$2,$A633)</f>
        <v>2015</v>
      </c>
      <c r="AF633" s="0" t="n">
        <f aca="false">W_PH(AF$2,$A633)</f>
        <v>2015</v>
      </c>
      <c r="AG633" s="0" t="n">
        <f aca="false">W_PH(AG$2,$A633)</f>
        <v>2015</v>
      </c>
      <c r="AH633" s="0" t="n">
        <f aca="false">W_PH(AH$2,$A633)</f>
        <v>2015</v>
      </c>
      <c r="AI633" s="0" t="n">
        <f aca="false">W_PH(AI$2,$A633)</f>
        <v>2015</v>
      </c>
      <c r="AJ633" s="0" t="n">
        <f aca="false">W_PH(AJ$2,$A633)</f>
        <v>2015</v>
      </c>
      <c r="AK633" s="0" t="n">
        <f aca="false">W_PH(AK$2,$A633)</f>
        <v>2015</v>
      </c>
      <c r="AL633" s="0" t="n">
        <f aca="false">W_PH(AL$2,$A633)</f>
        <v>2015</v>
      </c>
      <c r="AM633" s="0" t="n">
        <f aca="false">W_PH(AM$2,$A633)</f>
        <v>2015</v>
      </c>
      <c r="AN633" s="0" t="n">
        <f aca="false">W_PH(AN$2,$A633)</f>
        <v>2015</v>
      </c>
      <c r="AO633" s="0" t="n">
        <f aca="false">W_PH(AO$2,$A633)</f>
        <v>2015</v>
      </c>
      <c r="AP633" s="0" t="n">
        <f aca="false">W_PH(AP$2,$A633)</f>
        <v>2015</v>
      </c>
      <c r="AQ633" s="0" t="n">
        <f aca="false">W_PH(AQ$2,$A633)</f>
        <v>2015</v>
      </c>
      <c r="AR633" s="0" t="n">
        <f aca="false">W_PH(AR$2,$A633)</f>
        <v>2015</v>
      </c>
      <c r="AS633" s="0" t="n">
        <f aca="false">W_PH(AS$2,$A633)</f>
        <v>2015</v>
      </c>
    </row>
    <row r="634" customFormat="false" ht="12.8" hidden="false" customHeight="false" outlineLevel="0" collapsed="false">
      <c r="A634" s="0" t="n">
        <v>3413.58555460017</v>
      </c>
      <c r="B634" s="0" t="n">
        <f aca="false">W_PH(B$2,$A634)</f>
        <v>2015</v>
      </c>
      <c r="C634" s="0" t="n">
        <f aca="false">W_PH(C$2,$A634)</f>
        <v>2015</v>
      </c>
      <c r="D634" s="0" t="n">
        <f aca="false">W_PH(D$2,$A634)</f>
        <v>2015</v>
      </c>
      <c r="E634" s="0" t="n">
        <f aca="false">W_PH(E$2,$A634)</f>
        <v>2015</v>
      </c>
      <c r="F634" s="0" t="n">
        <f aca="false">W_PH(F$2,$A634)</f>
        <v>2015</v>
      </c>
      <c r="G634" s="0" t="n">
        <f aca="false">W_PH(G$2,$A634)</f>
        <v>2015</v>
      </c>
      <c r="H634" s="0" t="n">
        <f aca="false">W_PH(H$2,$A634)</f>
        <v>2015</v>
      </c>
      <c r="I634" s="0" t="n">
        <f aca="false">W_PH(I$2,$A634)</f>
        <v>2015</v>
      </c>
      <c r="J634" s="0" t="n">
        <f aca="false">W_PH(J$2,$A634)</f>
        <v>2015</v>
      </c>
      <c r="K634" s="0" t="n">
        <f aca="false">W_PH(K$2,$A634)</f>
        <v>2015</v>
      </c>
      <c r="L634" s="0" t="n">
        <f aca="false">W_PH(L$2,$A634)</f>
        <v>2015</v>
      </c>
      <c r="M634" s="0" t="n">
        <f aca="false">W_PH(M$2,$A634)</f>
        <v>2015</v>
      </c>
      <c r="N634" s="0" t="n">
        <f aca="false">W_PH(N$2,$A634)</f>
        <v>2015</v>
      </c>
      <c r="O634" s="0" t="n">
        <f aca="false">W_PH(O$2,$A634)</f>
        <v>2015</v>
      </c>
      <c r="P634" s="0" t="n">
        <f aca="false">W_PH(P$2,$A634)</f>
        <v>2015</v>
      </c>
      <c r="Q634" s="0" t="n">
        <f aca="false">W_PH(Q$2,$A634)</f>
        <v>2015</v>
      </c>
      <c r="R634" s="0" t="n">
        <f aca="false">W_PH(R$2,$A634)</f>
        <v>2015</v>
      </c>
      <c r="S634" s="0" t="n">
        <f aca="false">W_PH(S$2,$A634)</f>
        <v>2015</v>
      </c>
      <c r="T634" s="0" t="n">
        <f aca="false">W_PH(T$2,$A634)</f>
        <v>2015</v>
      </c>
      <c r="U634" s="0" t="n">
        <f aca="false">W_PH(U$2,$A634)</f>
        <v>2015</v>
      </c>
      <c r="V634" s="0" t="n">
        <f aca="false">W_PH(V$2,$A634)</f>
        <v>2015</v>
      </c>
      <c r="W634" s="0" t="n">
        <f aca="false">W_PH(W$2,$A634)</f>
        <v>2015</v>
      </c>
      <c r="X634" s="0" t="n">
        <f aca="false">W_PH(X$2,$A634)</f>
        <v>2015</v>
      </c>
      <c r="Y634" s="0" t="n">
        <f aca="false">W_PH(Y$2,$A634)</f>
        <v>2015</v>
      </c>
      <c r="Z634" s="0" t="n">
        <f aca="false">W_PH(Z$2,$A634)</f>
        <v>2015</v>
      </c>
      <c r="AA634" s="0" t="n">
        <f aca="false">W_PH(AA$2,$A634)</f>
        <v>2015</v>
      </c>
      <c r="AB634" s="0" t="n">
        <f aca="false">W_PH(AB$2,$A634)</f>
        <v>2015</v>
      </c>
      <c r="AC634" s="0" t="n">
        <f aca="false">W_PH(AC$2,$A634)</f>
        <v>2015</v>
      </c>
      <c r="AD634" s="0" t="n">
        <f aca="false">W_PH(AD$2,$A634)</f>
        <v>2015</v>
      </c>
      <c r="AE634" s="0" t="n">
        <f aca="false">W_PH(AE$2,$A634)</f>
        <v>2015</v>
      </c>
      <c r="AF634" s="0" t="n">
        <f aca="false">W_PH(AF$2,$A634)</f>
        <v>2015</v>
      </c>
      <c r="AG634" s="0" t="n">
        <f aca="false">W_PH(AG$2,$A634)</f>
        <v>2015</v>
      </c>
      <c r="AH634" s="0" t="n">
        <f aca="false">W_PH(AH$2,$A634)</f>
        <v>2015</v>
      </c>
      <c r="AI634" s="0" t="n">
        <f aca="false">W_PH(AI$2,$A634)</f>
        <v>2015</v>
      </c>
      <c r="AJ634" s="0" t="n">
        <f aca="false">W_PH(AJ$2,$A634)</f>
        <v>2015</v>
      </c>
      <c r="AK634" s="0" t="n">
        <f aca="false">W_PH(AK$2,$A634)</f>
        <v>2015</v>
      </c>
      <c r="AL634" s="0" t="n">
        <f aca="false">W_PH(AL$2,$A634)</f>
        <v>2015</v>
      </c>
      <c r="AM634" s="0" t="n">
        <f aca="false">W_PH(AM$2,$A634)</f>
        <v>2015</v>
      </c>
      <c r="AN634" s="0" t="n">
        <f aca="false">W_PH(AN$2,$A634)</f>
        <v>2015</v>
      </c>
      <c r="AO634" s="0" t="n">
        <f aca="false">W_PH(AO$2,$A634)</f>
        <v>2015</v>
      </c>
      <c r="AP634" s="0" t="n">
        <f aca="false">W_PH(AP$2,$A634)</f>
        <v>2015</v>
      </c>
      <c r="AQ634" s="0" t="n">
        <f aca="false">W_PH(AQ$2,$A634)</f>
        <v>2015</v>
      </c>
      <c r="AR634" s="0" t="n">
        <f aca="false">W_PH(AR$2,$A634)</f>
        <v>2015</v>
      </c>
      <c r="AS634" s="0" t="n">
        <f aca="false">W_PH(AS$2,$A634)</f>
        <v>2015</v>
      </c>
    </row>
    <row r="635" customFormat="false" ht="12.8" hidden="false" customHeight="false" outlineLevel="0" collapsed="false">
      <c r="A635" s="0" t="n">
        <v>3417.88478073947</v>
      </c>
      <c r="B635" s="0" t="n">
        <f aca="false">W_PH(B$2,$A635)</f>
        <v>2015</v>
      </c>
      <c r="C635" s="0" t="n">
        <f aca="false">W_PH(C$2,$A635)</f>
        <v>2015</v>
      </c>
      <c r="D635" s="0" t="n">
        <f aca="false">W_PH(D$2,$A635)</f>
        <v>2015</v>
      </c>
      <c r="E635" s="0" t="n">
        <f aca="false">W_PH(E$2,$A635)</f>
        <v>2015</v>
      </c>
      <c r="F635" s="0" t="n">
        <f aca="false">W_PH(F$2,$A635)</f>
        <v>2015</v>
      </c>
      <c r="G635" s="0" t="n">
        <f aca="false">W_PH(G$2,$A635)</f>
        <v>2015</v>
      </c>
      <c r="H635" s="0" t="n">
        <f aca="false">W_PH(H$2,$A635)</f>
        <v>2015</v>
      </c>
      <c r="I635" s="0" t="n">
        <f aca="false">W_PH(I$2,$A635)</f>
        <v>2015</v>
      </c>
      <c r="J635" s="0" t="n">
        <f aca="false">W_PH(J$2,$A635)</f>
        <v>2015</v>
      </c>
      <c r="K635" s="0" t="n">
        <f aca="false">W_PH(K$2,$A635)</f>
        <v>2015</v>
      </c>
      <c r="L635" s="0" t="n">
        <f aca="false">W_PH(L$2,$A635)</f>
        <v>2015</v>
      </c>
      <c r="M635" s="0" t="n">
        <f aca="false">W_PH(M$2,$A635)</f>
        <v>2015</v>
      </c>
      <c r="N635" s="0" t="n">
        <f aca="false">W_PH(N$2,$A635)</f>
        <v>2015</v>
      </c>
      <c r="O635" s="0" t="n">
        <f aca="false">W_PH(O$2,$A635)</f>
        <v>2015</v>
      </c>
      <c r="P635" s="0" t="n">
        <f aca="false">W_PH(P$2,$A635)</f>
        <v>2015</v>
      </c>
      <c r="Q635" s="0" t="n">
        <f aca="false">W_PH(Q$2,$A635)</f>
        <v>2015</v>
      </c>
      <c r="R635" s="0" t="n">
        <f aca="false">W_PH(R$2,$A635)</f>
        <v>2015</v>
      </c>
      <c r="S635" s="0" t="n">
        <f aca="false">W_PH(S$2,$A635)</f>
        <v>2015</v>
      </c>
      <c r="T635" s="0" t="n">
        <f aca="false">W_PH(T$2,$A635)</f>
        <v>2015</v>
      </c>
      <c r="U635" s="0" t="n">
        <f aca="false">W_PH(U$2,$A635)</f>
        <v>2015</v>
      </c>
      <c r="V635" s="0" t="n">
        <f aca="false">W_PH(V$2,$A635)</f>
        <v>2015</v>
      </c>
      <c r="W635" s="0" t="n">
        <f aca="false">W_PH(W$2,$A635)</f>
        <v>2015</v>
      </c>
      <c r="X635" s="0" t="n">
        <f aca="false">W_PH(X$2,$A635)</f>
        <v>2015</v>
      </c>
      <c r="Y635" s="0" t="n">
        <f aca="false">W_PH(Y$2,$A635)</f>
        <v>2015</v>
      </c>
      <c r="Z635" s="0" t="n">
        <f aca="false">W_PH(Z$2,$A635)</f>
        <v>2015</v>
      </c>
      <c r="AA635" s="0" t="n">
        <f aca="false">W_PH(AA$2,$A635)</f>
        <v>2015</v>
      </c>
      <c r="AB635" s="0" t="n">
        <f aca="false">W_PH(AB$2,$A635)</f>
        <v>2015</v>
      </c>
      <c r="AC635" s="0" t="n">
        <f aca="false">W_PH(AC$2,$A635)</f>
        <v>2015</v>
      </c>
      <c r="AD635" s="0" t="n">
        <f aca="false">W_PH(AD$2,$A635)</f>
        <v>2015</v>
      </c>
      <c r="AE635" s="0" t="n">
        <f aca="false">W_PH(AE$2,$A635)</f>
        <v>2015</v>
      </c>
      <c r="AF635" s="0" t="n">
        <f aca="false">W_PH(AF$2,$A635)</f>
        <v>2015</v>
      </c>
      <c r="AG635" s="0" t="n">
        <f aca="false">W_PH(AG$2,$A635)</f>
        <v>2015</v>
      </c>
      <c r="AH635" s="0" t="n">
        <f aca="false">W_PH(AH$2,$A635)</f>
        <v>2015</v>
      </c>
      <c r="AI635" s="0" t="n">
        <f aca="false">W_PH(AI$2,$A635)</f>
        <v>2015</v>
      </c>
      <c r="AJ635" s="0" t="n">
        <f aca="false">W_PH(AJ$2,$A635)</f>
        <v>2015</v>
      </c>
      <c r="AK635" s="0" t="n">
        <f aca="false">W_PH(AK$2,$A635)</f>
        <v>2015</v>
      </c>
      <c r="AL635" s="0" t="n">
        <f aca="false">W_PH(AL$2,$A635)</f>
        <v>2015</v>
      </c>
      <c r="AM635" s="0" t="n">
        <f aca="false">W_PH(AM$2,$A635)</f>
        <v>2015</v>
      </c>
      <c r="AN635" s="0" t="n">
        <f aca="false">W_PH(AN$2,$A635)</f>
        <v>2015</v>
      </c>
      <c r="AO635" s="0" t="n">
        <f aca="false">W_PH(AO$2,$A635)</f>
        <v>2015</v>
      </c>
      <c r="AP635" s="0" t="n">
        <f aca="false">W_PH(AP$2,$A635)</f>
        <v>2015</v>
      </c>
      <c r="AQ635" s="0" t="n">
        <f aca="false">W_PH(AQ$2,$A635)</f>
        <v>2015</v>
      </c>
      <c r="AR635" s="0" t="n">
        <f aca="false">W_PH(AR$2,$A635)</f>
        <v>2015</v>
      </c>
      <c r="AS635" s="0" t="n">
        <f aca="false">W_PH(AS$2,$A635)</f>
        <v>2015</v>
      </c>
    </row>
    <row r="636" customFormat="false" ht="12.8" hidden="false" customHeight="false" outlineLevel="0" collapsed="false">
      <c r="A636" s="0" t="n">
        <v>3422.18400687876</v>
      </c>
      <c r="B636" s="0" t="n">
        <f aca="false">W_PH(B$2,$A636)</f>
        <v>2015</v>
      </c>
      <c r="C636" s="0" t="n">
        <f aca="false">W_PH(C$2,$A636)</f>
        <v>2015</v>
      </c>
      <c r="D636" s="0" t="n">
        <f aca="false">W_PH(D$2,$A636)</f>
        <v>2015</v>
      </c>
      <c r="E636" s="0" t="n">
        <f aca="false">W_PH(E$2,$A636)</f>
        <v>2015</v>
      </c>
      <c r="F636" s="0" t="n">
        <f aca="false">W_PH(F$2,$A636)</f>
        <v>2015</v>
      </c>
      <c r="G636" s="0" t="n">
        <f aca="false">W_PH(G$2,$A636)</f>
        <v>2015</v>
      </c>
      <c r="H636" s="0" t="n">
        <f aca="false">W_PH(H$2,$A636)</f>
        <v>2015</v>
      </c>
      <c r="I636" s="0" t="n">
        <f aca="false">W_PH(I$2,$A636)</f>
        <v>2015</v>
      </c>
      <c r="J636" s="0" t="n">
        <f aca="false">W_PH(J$2,$A636)</f>
        <v>2015</v>
      </c>
      <c r="K636" s="0" t="n">
        <f aca="false">W_PH(K$2,$A636)</f>
        <v>2015</v>
      </c>
      <c r="L636" s="0" t="n">
        <f aca="false">W_PH(L$2,$A636)</f>
        <v>2015</v>
      </c>
      <c r="M636" s="0" t="n">
        <f aca="false">W_PH(M$2,$A636)</f>
        <v>2015</v>
      </c>
      <c r="N636" s="0" t="n">
        <f aca="false">W_PH(N$2,$A636)</f>
        <v>2015</v>
      </c>
      <c r="O636" s="0" t="n">
        <f aca="false">W_PH(O$2,$A636)</f>
        <v>2015</v>
      </c>
      <c r="P636" s="0" t="n">
        <f aca="false">W_PH(P$2,$A636)</f>
        <v>2015</v>
      </c>
      <c r="Q636" s="0" t="n">
        <f aca="false">W_PH(Q$2,$A636)</f>
        <v>2015</v>
      </c>
      <c r="R636" s="0" t="n">
        <f aca="false">W_PH(R$2,$A636)</f>
        <v>2015</v>
      </c>
      <c r="S636" s="0" t="n">
        <f aca="false">W_PH(S$2,$A636)</f>
        <v>2015</v>
      </c>
      <c r="T636" s="0" t="n">
        <f aca="false">W_PH(T$2,$A636)</f>
        <v>2015</v>
      </c>
      <c r="U636" s="0" t="n">
        <f aca="false">W_PH(U$2,$A636)</f>
        <v>2015</v>
      </c>
      <c r="V636" s="0" t="n">
        <f aca="false">W_PH(V$2,$A636)</f>
        <v>2015</v>
      </c>
      <c r="W636" s="0" t="n">
        <f aca="false">W_PH(W$2,$A636)</f>
        <v>2015</v>
      </c>
      <c r="X636" s="0" t="n">
        <f aca="false">W_PH(X$2,$A636)</f>
        <v>2015</v>
      </c>
      <c r="Y636" s="0" t="n">
        <f aca="false">W_PH(Y$2,$A636)</f>
        <v>2015</v>
      </c>
      <c r="Z636" s="0" t="n">
        <f aca="false">W_PH(Z$2,$A636)</f>
        <v>2015</v>
      </c>
      <c r="AA636" s="0" t="n">
        <f aca="false">W_PH(AA$2,$A636)</f>
        <v>2015</v>
      </c>
      <c r="AB636" s="0" t="n">
        <f aca="false">W_PH(AB$2,$A636)</f>
        <v>2015</v>
      </c>
      <c r="AC636" s="0" t="n">
        <f aca="false">W_PH(AC$2,$A636)</f>
        <v>2015</v>
      </c>
      <c r="AD636" s="0" t="n">
        <f aca="false">W_PH(AD$2,$A636)</f>
        <v>2015</v>
      </c>
      <c r="AE636" s="0" t="n">
        <f aca="false">W_PH(AE$2,$A636)</f>
        <v>2015</v>
      </c>
      <c r="AF636" s="0" t="n">
        <f aca="false">W_PH(AF$2,$A636)</f>
        <v>2015</v>
      </c>
      <c r="AG636" s="0" t="n">
        <f aca="false">W_PH(AG$2,$A636)</f>
        <v>2015</v>
      </c>
      <c r="AH636" s="0" t="n">
        <f aca="false">W_PH(AH$2,$A636)</f>
        <v>2015</v>
      </c>
      <c r="AI636" s="0" t="n">
        <f aca="false">W_PH(AI$2,$A636)</f>
        <v>2015</v>
      </c>
      <c r="AJ636" s="0" t="n">
        <f aca="false">W_PH(AJ$2,$A636)</f>
        <v>2015</v>
      </c>
      <c r="AK636" s="0" t="n">
        <f aca="false">W_PH(AK$2,$A636)</f>
        <v>2015</v>
      </c>
      <c r="AL636" s="0" t="n">
        <f aca="false">W_PH(AL$2,$A636)</f>
        <v>2015</v>
      </c>
      <c r="AM636" s="0" t="n">
        <f aca="false">W_PH(AM$2,$A636)</f>
        <v>2015</v>
      </c>
      <c r="AN636" s="0" t="n">
        <f aca="false">W_PH(AN$2,$A636)</f>
        <v>2015</v>
      </c>
      <c r="AO636" s="0" t="n">
        <f aca="false">W_PH(AO$2,$A636)</f>
        <v>2015</v>
      </c>
      <c r="AP636" s="0" t="n">
        <f aca="false">W_PH(AP$2,$A636)</f>
        <v>2015</v>
      </c>
      <c r="AQ636" s="0" t="n">
        <f aca="false">W_PH(AQ$2,$A636)</f>
        <v>2015</v>
      </c>
      <c r="AR636" s="0" t="n">
        <f aca="false">W_PH(AR$2,$A636)</f>
        <v>2015</v>
      </c>
      <c r="AS636" s="0" t="n">
        <f aca="false">W_PH(AS$2,$A636)</f>
        <v>2015</v>
      </c>
    </row>
    <row r="637" customFormat="false" ht="12.8" hidden="false" customHeight="false" outlineLevel="0" collapsed="false">
      <c r="A637" s="0" t="n">
        <v>3426.48323301806</v>
      </c>
      <c r="B637" s="0" t="n">
        <f aca="false">W_PH(B$2,$A637)</f>
        <v>2015</v>
      </c>
      <c r="C637" s="0" t="n">
        <f aca="false">W_PH(C$2,$A637)</f>
        <v>2015</v>
      </c>
      <c r="D637" s="0" t="n">
        <f aca="false">W_PH(D$2,$A637)</f>
        <v>2015</v>
      </c>
      <c r="E637" s="0" t="n">
        <f aca="false">W_PH(E$2,$A637)</f>
        <v>2015</v>
      </c>
      <c r="F637" s="0" t="n">
        <f aca="false">W_PH(F$2,$A637)</f>
        <v>2015</v>
      </c>
      <c r="G637" s="0" t="n">
        <f aca="false">W_PH(G$2,$A637)</f>
        <v>2015</v>
      </c>
      <c r="H637" s="0" t="n">
        <f aca="false">W_PH(H$2,$A637)</f>
        <v>2015</v>
      </c>
      <c r="I637" s="0" t="n">
        <f aca="false">W_PH(I$2,$A637)</f>
        <v>2015</v>
      </c>
      <c r="J637" s="0" t="n">
        <f aca="false">W_PH(J$2,$A637)</f>
        <v>2015</v>
      </c>
      <c r="K637" s="0" t="n">
        <f aca="false">W_PH(K$2,$A637)</f>
        <v>2015</v>
      </c>
      <c r="L637" s="0" t="n">
        <f aca="false">W_PH(L$2,$A637)</f>
        <v>2015</v>
      </c>
      <c r="M637" s="0" t="n">
        <f aca="false">W_PH(M$2,$A637)</f>
        <v>2015</v>
      </c>
      <c r="N637" s="0" t="n">
        <f aca="false">W_PH(N$2,$A637)</f>
        <v>2015</v>
      </c>
      <c r="O637" s="0" t="n">
        <f aca="false">W_PH(O$2,$A637)</f>
        <v>2015</v>
      </c>
      <c r="P637" s="0" t="n">
        <f aca="false">W_PH(P$2,$A637)</f>
        <v>2015</v>
      </c>
      <c r="Q637" s="0" t="n">
        <f aca="false">W_PH(Q$2,$A637)</f>
        <v>2015</v>
      </c>
      <c r="R637" s="0" t="n">
        <f aca="false">W_PH(R$2,$A637)</f>
        <v>2015</v>
      </c>
      <c r="S637" s="0" t="n">
        <f aca="false">W_PH(S$2,$A637)</f>
        <v>2015</v>
      </c>
      <c r="T637" s="0" t="n">
        <f aca="false">W_PH(T$2,$A637)</f>
        <v>2015</v>
      </c>
      <c r="U637" s="0" t="n">
        <f aca="false">W_PH(U$2,$A637)</f>
        <v>2015</v>
      </c>
      <c r="V637" s="0" t="n">
        <f aca="false">W_PH(V$2,$A637)</f>
        <v>2015</v>
      </c>
      <c r="W637" s="0" t="n">
        <f aca="false">W_PH(W$2,$A637)</f>
        <v>2015</v>
      </c>
      <c r="X637" s="0" t="n">
        <f aca="false">W_PH(X$2,$A637)</f>
        <v>2015</v>
      </c>
      <c r="Y637" s="0" t="n">
        <f aca="false">W_PH(Y$2,$A637)</f>
        <v>2015</v>
      </c>
      <c r="Z637" s="0" t="n">
        <f aca="false">W_PH(Z$2,$A637)</f>
        <v>2015</v>
      </c>
      <c r="AA637" s="0" t="n">
        <f aca="false">W_PH(AA$2,$A637)</f>
        <v>2015</v>
      </c>
      <c r="AB637" s="0" t="n">
        <f aca="false">W_PH(AB$2,$A637)</f>
        <v>2015</v>
      </c>
      <c r="AC637" s="0" t="n">
        <f aca="false">W_PH(AC$2,$A637)</f>
        <v>2015</v>
      </c>
      <c r="AD637" s="0" t="n">
        <f aca="false">W_PH(AD$2,$A637)</f>
        <v>2015</v>
      </c>
      <c r="AE637" s="0" t="n">
        <f aca="false">W_PH(AE$2,$A637)</f>
        <v>2015</v>
      </c>
      <c r="AF637" s="0" t="n">
        <f aca="false">W_PH(AF$2,$A637)</f>
        <v>2015</v>
      </c>
      <c r="AG637" s="0" t="n">
        <f aca="false">W_PH(AG$2,$A637)</f>
        <v>2015</v>
      </c>
      <c r="AH637" s="0" t="n">
        <f aca="false">W_PH(AH$2,$A637)</f>
        <v>2015</v>
      </c>
      <c r="AI637" s="0" t="n">
        <f aca="false">W_PH(AI$2,$A637)</f>
        <v>2015</v>
      </c>
      <c r="AJ637" s="0" t="n">
        <f aca="false">W_PH(AJ$2,$A637)</f>
        <v>2015</v>
      </c>
      <c r="AK637" s="0" t="n">
        <f aca="false">W_PH(AK$2,$A637)</f>
        <v>2015</v>
      </c>
      <c r="AL637" s="0" t="n">
        <f aca="false">W_PH(AL$2,$A637)</f>
        <v>2015</v>
      </c>
      <c r="AM637" s="0" t="n">
        <f aca="false">W_PH(AM$2,$A637)</f>
        <v>2015</v>
      </c>
      <c r="AN637" s="0" t="n">
        <f aca="false">W_PH(AN$2,$A637)</f>
        <v>2015</v>
      </c>
      <c r="AO637" s="0" t="n">
        <f aca="false">W_PH(AO$2,$A637)</f>
        <v>2015</v>
      </c>
      <c r="AP637" s="0" t="n">
        <f aca="false">W_PH(AP$2,$A637)</f>
        <v>2015</v>
      </c>
      <c r="AQ637" s="0" t="n">
        <f aca="false">W_PH(AQ$2,$A637)</f>
        <v>2015</v>
      </c>
      <c r="AR637" s="0" t="n">
        <f aca="false">W_PH(AR$2,$A637)</f>
        <v>2015</v>
      </c>
      <c r="AS637" s="0" t="n">
        <f aca="false">W_PH(AS$2,$A637)</f>
        <v>2015</v>
      </c>
    </row>
    <row r="638" customFormat="false" ht="12.8" hidden="false" customHeight="false" outlineLevel="0" collapsed="false">
      <c r="A638" s="0" t="n">
        <v>3430.78245915735</v>
      </c>
      <c r="B638" s="0" t="n">
        <f aca="false">W_PH(B$2,$A638)</f>
        <v>2015</v>
      </c>
      <c r="C638" s="0" t="n">
        <f aca="false">W_PH(C$2,$A638)</f>
        <v>2015</v>
      </c>
      <c r="D638" s="0" t="n">
        <f aca="false">W_PH(D$2,$A638)</f>
        <v>2015</v>
      </c>
      <c r="E638" s="0" t="n">
        <f aca="false">W_PH(E$2,$A638)</f>
        <v>2015</v>
      </c>
      <c r="F638" s="0" t="n">
        <f aca="false">W_PH(F$2,$A638)</f>
        <v>2015</v>
      </c>
      <c r="G638" s="0" t="n">
        <f aca="false">W_PH(G$2,$A638)</f>
        <v>2015</v>
      </c>
      <c r="H638" s="0" t="n">
        <f aca="false">W_PH(H$2,$A638)</f>
        <v>2015</v>
      </c>
      <c r="I638" s="0" t="n">
        <f aca="false">W_PH(I$2,$A638)</f>
        <v>2015</v>
      </c>
      <c r="J638" s="0" t="n">
        <f aca="false">W_PH(J$2,$A638)</f>
        <v>2015</v>
      </c>
      <c r="K638" s="0" t="n">
        <f aca="false">W_PH(K$2,$A638)</f>
        <v>2015</v>
      </c>
      <c r="L638" s="0" t="n">
        <f aca="false">W_PH(L$2,$A638)</f>
        <v>2015</v>
      </c>
      <c r="M638" s="0" t="n">
        <f aca="false">W_PH(M$2,$A638)</f>
        <v>2015</v>
      </c>
      <c r="N638" s="0" t="n">
        <f aca="false">W_PH(N$2,$A638)</f>
        <v>2015</v>
      </c>
      <c r="O638" s="0" t="n">
        <f aca="false">W_PH(O$2,$A638)</f>
        <v>2015</v>
      </c>
      <c r="P638" s="0" t="n">
        <f aca="false">W_PH(P$2,$A638)</f>
        <v>2015</v>
      </c>
      <c r="Q638" s="0" t="n">
        <f aca="false">W_PH(Q$2,$A638)</f>
        <v>2015</v>
      </c>
      <c r="R638" s="0" t="n">
        <f aca="false">W_PH(R$2,$A638)</f>
        <v>2015</v>
      </c>
      <c r="S638" s="0" t="n">
        <f aca="false">W_PH(S$2,$A638)</f>
        <v>2015</v>
      </c>
      <c r="T638" s="0" t="n">
        <f aca="false">W_PH(T$2,$A638)</f>
        <v>2015</v>
      </c>
      <c r="U638" s="0" t="n">
        <f aca="false">W_PH(U$2,$A638)</f>
        <v>2015</v>
      </c>
      <c r="V638" s="0" t="n">
        <f aca="false">W_PH(V$2,$A638)</f>
        <v>2015</v>
      </c>
      <c r="W638" s="0" t="n">
        <f aca="false">W_PH(W$2,$A638)</f>
        <v>2015</v>
      </c>
      <c r="X638" s="0" t="n">
        <f aca="false">W_PH(X$2,$A638)</f>
        <v>2015</v>
      </c>
      <c r="Y638" s="0" t="n">
        <f aca="false">W_PH(Y$2,$A638)</f>
        <v>2015</v>
      </c>
      <c r="Z638" s="0" t="n">
        <f aca="false">W_PH(Z$2,$A638)</f>
        <v>2015</v>
      </c>
      <c r="AA638" s="0" t="n">
        <f aca="false">W_PH(AA$2,$A638)</f>
        <v>2015</v>
      </c>
      <c r="AB638" s="0" t="n">
        <f aca="false">W_PH(AB$2,$A638)</f>
        <v>2015</v>
      </c>
      <c r="AC638" s="0" t="n">
        <f aca="false">W_PH(AC$2,$A638)</f>
        <v>2015</v>
      </c>
      <c r="AD638" s="0" t="n">
        <f aca="false">W_PH(AD$2,$A638)</f>
        <v>2015</v>
      </c>
      <c r="AE638" s="0" t="n">
        <f aca="false">W_PH(AE$2,$A638)</f>
        <v>2015</v>
      </c>
      <c r="AF638" s="0" t="n">
        <f aca="false">W_PH(AF$2,$A638)</f>
        <v>2015</v>
      </c>
      <c r="AG638" s="0" t="n">
        <f aca="false">W_PH(AG$2,$A638)</f>
        <v>2015</v>
      </c>
      <c r="AH638" s="0" t="n">
        <f aca="false">W_PH(AH$2,$A638)</f>
        <v>2015</v>
      </c>
      <c r="AI638" s="0" t="n">
        <f aca="false">W_PH(AI$2,$A638)</f>
        <v>2015</v>
      </c>
      <c r="AJ638" s="0" t="n">
        <f aca="false">W_PH(AJ$2,$A638)</f>
        <v>2015</v>
      </c>
      <c r="AK638" s="0" t="n">
        <f aca="false">W_PH(AK$2,$A638)</f>
        <v>2015</v>
      </c>
      <c r="AL638" s="0" t="n">
        <f aca="false">W_PH(AL$2,$A638)</f>
        <v>2015</v>
      </c>
      <c r="AM638" s="0" t="n">
        <f aca="false">W_PH(AM$2,$A638)</f>
        <v>2015</v>
      </c>
      <c r="AN638" s="0" t="n">
        <f aca="false">W_PH(AN$2,$A638)</f>
        <v>2015</v>
      </c>
      <c r="AO638" s="0" t="n">
        <f aca="false">W_PH(AO$2,$A638)</f>
        <v>2015</v>
      </c>
      <c r="AP638" s="0" t="n">
        <f aca="false">W_PH(AP$2,$A638)</f>
        <v>2015</v>
      </c>
      <c r="AQ638" s="0" t="n">
        <f aca="false">W_PH(AQ$2,$A638)</f>
        <v>2015</v>
      </c>
      <c r="AR638" s="0" t="n">
        <f aca="false">W_PH(AR$2,$A638)</f>
        <v>2015</v>
      </c>
      <c r="AS638" s="0" t="n">
        <f aca="false">W_PH(AS$2,$A638)</f>
        <v>2015</v>
      </c>
    </row>
    <row r="639" customFormat="false" ht="12.8" hidden="false" customHeight="false" outlineLevel="0" collapsed="false">
      <c r="A639" s="0" t="n">
        <v>3435.08168529665</v>
      </c>
      <c r="B639" s="0" t="n">
        <f aca="false">W_PH(B$2,$A639)</f>
        <v>2015</v>
      </c>
      <c r="C639" s="0" t="n">
        <f aca="false">W_PH(C$2,$A639)</f>
        <v>2015</v>
      </c>
      <c r="D639" s="0" t="n">
        <f aca="false">W_PH(D$2,$A639)</f>
        <v>2015</v>
      </c>
      <c r="E639" s="0" t="n">
        <f aca="false">W_PH(E$2,$A639)</f>
        <v>2015</v>
      </c>
      <c r="F639" s="0" t="n">
        <f aca="false">W_PH(F$2,$A639)</f>
        <v>2015</v>
      </c>
      <c r="G639" s="0" t="n">
        <f aca="false">W_PH(G$2,$A639)</f>
        <v>2015</v>
      </c>
      <c r="H639" s="0" t="n">
        <f aca="false">W_PH(H$2,$A639)</f>
        <v>2015</v>
      </c>
      <c r="I639" s="0" t="n">
        <f aca="false">W_PH(I$2,$A639)</f>
        <v>2015</v>
      </c>
      <c r="J639" s="0" t="n">
        <f aca="false">W_PH(J$2,$A639)</f>
        <v>2015</v>
      </c>
      <c r="K639" s="0" t="n">
        <f aca="false">W_PH(K$2,$A639)</f>
        <v>2015</v>
      </c>
      <c r="L639" s="0" t="n">
        <f aca="false">W_PH(L$2,$A639)</f>
        <v>2015</v>
      </c>
      <c r="M639" s="0" t="n">
        <f aca="false">W_PH(M$2,$A639)</f>
        <v>2015</v>
      </c>
      <c r="N639" s="0" t="n">
        <f aca="false">W_PH(N$2,$A639)</f>
        <v>2015</v>
      </c>
      <c r="O639" s="0" t="n">
        <f aca="false">W_PH(O$2,$A639)</f>
        <v>2015</v>
      </c>
      <c r="P639" s="0" t="n">
        <f aca="false">W_PH(P$2,$A639)</f>
        <v>2015</v>
      </c>
      <c r="Q639" s="0" t="n">
        <f aca="false">W_PH(Q$2,$A639)</f>
        <v>2015</v>
      </c>
      <c r="R639" s="0" t="n">
        <f aca="false">W_PH(R$2,$A639)</f>
        <v>2015</v>
      </c>
      <c r="S639" s="0" t="n">
        <f aca="false">W_PH(S$2,$A639)</f>
        <v>2015</v>
      </c>
      <c r="T639" s="0" t="n">
        <f aca="false">W_PH(T$2,$A639)</f>
        <v>2015</v>
      </c>
      <c r="U639" s="0" t="n">
        <f aca="false">W_PH(U$2,$A639)</f>
        <v>2015</v>
      </c>
      <c r="V639" s="0" t="n">
        <f aca="false">W_PH(V$2,$A639)</f>
        <v>2015</v>
      </c>
      <c r="W639" s="0" t="n">
        <f aca="false">W_PH(W$2,$A639)</f>
        <v>2015</v>
      </c>
      <c r="X639" s="0" t="n">
        <f aca="false">W_PH(X$2,$A639)</f>
        <v>2015</v>
      </c>
      <c r="Y639" s="0" t="n">
        <f aca="false">W_PH(Y$2,$A639)</f>
        <v>2015</v>
      </c>
      <c r="Z639" s="0" t="n">
        <f aca="false">W_PH(Z$2,$A639)</f>
        <v>2015</v>
      </c>
      <c r="AA639" s="0" t="n">
        <f aca="false">W_PH(AA$2,$A639)</f>
        <v>2015</v>
      </c>
      <c r="AB639" s="0" t="n">
        <f aca="false">W_PH(AB$2,$A639)</f>
        <v>2015</v>
      </c>
      <c r="AC639" s="0" t="n">
        <f aca="false">W_PH(AC$2,$A639)</f>
        <v>2015</v>
      </c>
      <c r="AD639" s="0" t="n">
        <f aca="false">W_PH(AD$2,$A639)</f>
        <v>2015</v>
      </c>
      <c r="AE639" s="0" t="n">
        <f aca="false">W_PH(AE$2,$A639)</f>
        <v>2015</v>
      </c>
      <c r="AF639" s="0" t="n">
        <f aca="false">W_PH(AF$2,$A639)</f>
        <v>2015</v>
      </c>
      <c r="AG639" s="0" t="n">
        <f aca="false">W_PH(AG$2,$A639)</f>
        <v>2015</v>
      </c>
      <c r="AH639" s="0" t="n">
        <f aca="false">W_PH(AH$2,$A639)</f>
        <v>2015</v>
      </c>
      <c r="AI639" s="0" t="n">
        <f aca="false">W_PH(AI$2,$A639)</f>
        <v>2015</v>
      </c>
      <c r="AJ639" s="0" t="n">
        <f aca="false">W_PH(AJ$2,$A639)</f>
        <v>2015</v>
      </c>
      <c r="AK639" s="0" t="n">
        <f aca="false">W_PH(AK$2,$A639)</f>
        <v>2015</v>
      </c>
      <c r="AL639" s="0" t="n">
        <f aca="false">W_PH(AL$2,$A639)</f>
        <v>2015</v>
      </c>
      <c r="AM639" s="0" t="n">
        <f aca="false">W_PH(AM$2,$A639)</f>
        <v>2015</v>
      </c>
      <c r="AN639" s="0" t="n">
        <f aca="false">W_PH(AN$2,$A639)</f>
        <v>2015</v>
      </c>
      <c r="AO639" s="0" t="n">
        <f aca="false">W_PH(AO$2,$A639)</f>
        <v>2015</v>
      </c>
      <c r="AP639" s="0" t="n">
        <f aca="false">W_PH(AP$2,$A639)</f>
        <v>2015</v>
      </c>
      <c r="AQ639" s="0" t="n">
        <f aca="false">W_PH(AQ$2,$A639)</f>
        <v>2015</v>
      </c>
      <c r="AR639" s="0" t="n">
        <f aca="false">W_PH(AR$2,$A639)</f>
        <v>2015</v>
      </c>
      <c r="AS639" s="0" t="n">
        <f aca="false">W_PH(AS$2,$A639)</f>
        <v>2015</v>
      </c>
    </row>
    <row r="640" customFormat="false" ht="12.8" hidden="false" customHeight="false" outlineLevel="0" collapsed="false">
      <c r="A640" s="0" t="n">
        <v>3439.38091143594</v>
      </c>
      <c r="B640" s="0" t="n">
        <f aca="false">W_PH(B$2,$A640)</f>
        <v>2015</v>
      </c>
      <c r="C640" s="0" t="n">
        <f aca="false">W_PH(C$2,$A640)</f>
        <v>2015</v>
      </c>
      <c r="D640" s="0" t="n">
        <f aca="false">W_PH(D$2,$A640)</f>
        <v>2015</v>
      </c>
      <c r="E640" s="0" t="n">
        <f aca="false">W_PH(E$2,$A640)</f>
        <v>2015</v>
      </c>
      <c r="F640" s="0" t="n">
        <f aca="false">W_PH(F$2,$A640)</f>
        <v>2015</v>
      </c>
      <c r="G640" s="0" t="n">
        <f aca="false">W_PH(G$2,$A640)</f>
        <v>2015</v>
      </c>
      <c r="H640" s="0" t="n">
        <f aca="false">W_PH(H$2,$A640)</f>
        <v>2015</v>
      </c>
      <c r="I640" s="0" t="n">
        <f aca="false">W_PH(I$2,$A640)</f>
        <v>2015</v>
      </c>
      <c r="J640" s="0" t="n">
        <f aca="false">W_PH(J$2,$A640)</f>
        <v>2015</v>
      </c>
      <c r="K640" s="0" t="n">
        <f aca="false">W_PH(K$2,$A640)</f>
        <v>2015</v>
      </c>
      <c r="L640" s="0" t="n">
        <f aca="false">W_PH(L$2,$A640)</f>
        <v>2015</v>
      </c>
      <c r="M640" s="0" t="n">
        <f aca="false">W_PH(M$2,$A640)</f>
        <v>2015</v>
      </c>
      <c r="N640" s="0" t="n">
        <f aca="false">W_PH(N$2,$A640)</f>
        <v>2015</v>
      </c>
      <c r="O640" s="0" t="n">
        <f aca="false">W_PH(O$2,$A640)</f>
        <v>2015</v>
      </c>
      <c r="P640" s="0" t="n">
        <f aca="false">W_PH(P$2,$A640)</f>
        <v>2015</v>
      </c>
      <c r="Q640" s="0" t="n">
        <f aca="false">W_PH(Q$2,$A640)</f>
        <v>2015</v>
      </c>
      <c r="R640" s="0" t="n">
        <f aca="false">W_PH(R$2,$A640)</f>
        <v>2015</v>
      </c>
      <c r="S640" s="0" t="n">
        <f aca="false">W_PH(S$2,$A640)</f>
        <v>2015</v>
      </c>
      <c r="T640" s="0" t="n">
        <f aca="false">W_PH(T$2,$A640)</f>
        <v>2015</v>
      </c>
      <c r="U640" s="0" t="n">
        <f aca="false">W_PH(U$2,$A640)</f>
        <v>2015</v>
      </c>
      <c r="V640" s="0" t="n">
        <f aca="false">W_PH(V$2,$A640)</f>
        <v>2015</v>
      </c>
      <c r="W640" s="0" t="n">
        <f aca="false">W_PH(W$2,$A640)</f>
        <v>2015</v>
      </c>
      <c r="X640" s="0" t="n">
        <f aca="false">W_PH(X$2,$A640)</f>
        <v>2015</v>
      </c>
      <c r="Y640" s="0" t="n">
        <f aca="false">W_PH(Y$2,$A640)</f>
        <v>2015</v>
      </c>
      <c r="Z640" s="0" t="n">
        <f aca="false">W_PH(Z$2,$A640)</f>
        <v>2015</v>
      </c>
      <c r="AA640" s="0" t="n">
        <f aca="false">W_PH(AA$2,$A640)</f>
        <v>2015</v>
      </c>
      <c r="AB640" s="0" t="n">
        <f aca="false">W_PH(AB$2,$A640)</f>
        <v>2015</v>
      </c>
      <c r="AC640" s="0" t="n">
        <f aca="false">W_PH(AC$2,$A640)</f>
        <v>2015</v>
      </c>
      <c r="AD640" s="0" t="n">
        <f aca="false">W_PH(AD$2,$A640)</f>
        <v>2015</v>
      </c>
      <c r="AE640" s="0" t="n">
        <f aca="false">W_PH(AE$2,$A640)</f>
        <v>2015</v>
      </c>
      <c r="AF640" s="0" t="n">
        <f aca="false">W_PH(AF$2,$A640)</f>
        <v>2015</v>
      </c>
      <c r="AG640" s="0" t="n">
        <f aca="false">W_PH(AG$2,$A640)</f>
        <v>2015</v>
      </c>
      <c r="AH640" s="0" t="n">
        <f aca="false">W_PH(AH$2,$A640)</f>
        <v>2015</v>
      </c>
      <c r="AI640" s="0" t="n">
        <f aca="false">W_PH(AI$2,$A640)</f>
        <v>2015</v>
      </c>
      <c r="AJ640" s="0" t="n">
        <f aca="false">W_PH(AJ$2,$A640)</f>
        <v>2015</v>
      </c>
      <c r="AK640" s="0" t="n">
        <f aca="false">W_PH(AK$2,$A640)</f>
        <v>2015</v>
      </c>
      <c r="AL640" s="0" t="n">
        <f aca="false">W_PH(AL$2,$A640)</f>
        <v>2015</v>
      </c>
      <c r="AM640" s="0" t="n">
        <f aca="false">W_PH(AM$2,$A640)</f>
        <v>2015</v>
      </c>
      <c r="AN640" s="0" t="n">
        <f aca="false">W_PH(AN$2,$A640)</f>
        <v>2015</v>
      </c>
      <c r="AO640" s="0" t="n">
        <f aca="false">W_PH(AO$2,$A640)</f>
        <v>2015</v>
      </c>
      <c r="AP640" s="0" t="n">
        <f aca="false">W_PH(AP$2,$A640)</f>
        <v>2015</v>
      </c>
      <c r="AQ640" s="0" t="n">
        <f aca="false">W_PH(AQ$2,$A640)</f>
        <v>2015</v>
      </c>
      <c r="AR640" s="0" t="n">
        <f aca="false">W_PH(AR$2,$A640)</f>
        <v>2015</v>
      </c>
      <c r="AS640" s="0" t="n">
        <f aca="false">W_PH(AS$2,$A640)</f>
        <v>2015</v>
      </c>
    </row>
    <row r="641" customFormat="false" ht="12.8" hidden="false" customHeight="false" outlineLevel="0" collapsed="false">
      <c r="A641" s="0" t="n">
        <v>3869.30352536543</v>
      </c>
      <c r="B641" s="0" t="n">
        <f aca="false">W_PH(B$2,$A641)</f>
        <v>2015</v>
      </c>
      <c r="C641" s="0" t="n">
        <f aca="false">W_PH(C$2,$A641)</f>
        <v>2015</v>
      </c>
      <c r="D641" s="0" t="n">
        <f aca="false">W_PH(D$2,$A641)</f>
        <v>2015</v>
      </c>
      <c r="E641" s="0" t="n">
        <f aca="false">W_PH(E$2,$A641)</f>
        <v>2015</v>
      </c>
      <c r="F641" s="0" t="n">
        <f aca="false">W_PH(F$2,$A641)</f>
        <v>2015</v>
      </c>
      <c r="G641" s="0" t="n">
        <f aca="false">W_PH(G$2,$A641)</f>
        <v>2015</v>
      </c>
      <c r="H641" s="0" t="n">
        <f aca="false">W_PH(H$2,$A641)</f>
        <v>2015</v>
      </c>
      <c r="I641" s="0" t="n">
        <f aca="false">W_PH(I$2,$A641)</f>
        <v>2015</v>
      </c>
      <c r="J641" s="0" t="n">
        <f aca="false">W_PH(J$2,$A641)</f>
        <v>2015</v>
      </c>
      <c r="K641" s="0" t="n">
        <f aca="false">W_PH(K$2,$A641)</f>
        <v>2015</v>
      </c>
      <c r="L641" s="0" t="n">
        <f aca="false">W_PH(L$2,$A641)</f>
        <v>2015</v>
      </c>
      <c r="M641" s="0" t="n">
        <f aca="false">W_PH(M$2,$A641)</f>
        <v>2015</v>
      </c>
      <c r="N641" s="0" t="n">
        <f aca="false">W_PH(N$2,$A641)</f>
        <v>2015</v>
      </c>
      <c r="O641" s="0" t="n">
        <f aca="false">W_PH(O$2,$A641)</f>
        <v>2015</v>
      </c>
      <c r="P641" s="0" t="n">
        <f aca="false">W_PH(P$2,$A641)</f>
        <v>2015</v>
      </c>
      <c r="Q641" s="0" t="n">
        <f aca="false">W_PH(Q$2,$A641)</f>
        <v>2015</v>
      </c>
      <c r="R641" s="0" t="n">
        <f aca="false">W_PH(R$2,$A641)</f>
        <v>2015</v>
      </c>
      <c r="S641" s="0" t="n">
        <f aca="false">W_PH(S$2,$A641)</f>
        <v>2015</v>
      </c>
      <c r="T641" s="0" t="n">
        <f aca="false">W_PH(T$2,$A641)</f>
        <v>2015</v>
      </c>
      <c r="U641" s="0" t="n">
        <f aca="false">W_PH(U$2,$A641)</f>
        <v>2015</v>
      </c>
      <c r="V641" s="0" t="n">
        <f aca="false">W_PH(V$2,$A641)</f>
        <v>2015</v>
      </c>
      <c r="W641" s="0" t="n">
        <f aca="false">W_PH(W$2,$A641)</f>
        <v>2015</v>
      </c>
      <c r="X641" s="0" t="n">
        <f aca="false">W_PH(X$2,$A641)</f>
        <v>2015</v>
      </c>
      <c r="Y641" s="0" t="n">
        <f aca="false">W_PH(Y$2,$A641)</f>
        <v>2015</v>
      </c>
      <c r="Z641" s="0" t="n">
        <f aca="false">W_PH(Z$2,$A641)</f>
        <v>2015</v>
      </c>
      <c r="AA641" s="0" t="n">
        <f aca="false">W_PH(AA$2,$A641)</f>
        <v>2015</v>
      </c>
      <c r="AB641" s="0" t="n">
        <f aca="false">W_PH(AB$2,$A641)</f>
        <v>2015</v>
      </c>
      <c r="AC641" s="0" t="n">
        <f aca="false">W_PH(AC$2,$A641)</f>
        <v>2015</v>
      </c>
      <c r="AD641" s="0" t="n">
        <f aca="false">W_PH(AD$2,$A641)</f>
        <v>2015</v>
      </c>
      <c r="AE641" s="0" t="n">
        <f aca="false">W_PH(AE$2,$A641)</f>
        <v>2015</v>
      </c>
      <c r="AF641" s="0" t="n">
        <f aca="false">W_PH(AF$2,$A641)</f>
        <v>2015</v>
      </c>
      <c r="AG641" s="0" t="n">
        <f aca="false">W_PH(AG$2,$A641)</f>
        <v>2015</v>
      </c>
      <c r="AH641" s="0" t="n">
        <f aca="false">W_PH(AH$2,$A641)</f>
        <v>2015</v>
      </c>
      <c r="AI641" s="0" t="n">
        <f aca="false">W_PH(AI$2,$A641)</f>
        <v>2015</v>
      </c>
      <c r="AJ641" s="0" t="n">
        <f aca="false">W_PH(AJ$2,$A641)</f>
        <v>2015</v>
      </c>
      <c r="AK641" s="0" t="n">
        <f aca="false">W_PH(AK$2,$A641)</f>
        <v>2015</v>
      </c>
      <c r="AL641" s="0" t="n">
        <f aca="false">W_PH(AL$2,$A641)</f>
        <v>2015</v>
      </c>
      <c r="AM641" s="0" t="n">
        <f aca="false">W_PH(AM$2,$A641)</f>
        <v>2015</v>
      </c>
      <c r="AN641" s="0" t="n">
        <f aca="false">W_PH(AN$2,$A641)</f>
        <v>2015</v>
      </c>
      <c r="AO641" s="0" t="n">
        <f aca="false">W_PH(AO$2,$A641)</f>
        <v>2015</v>
      </c>
      <c r="AP641" s="0" t="n">
        <f aca="false">W_PH(AP$2,$A641)</f>
        <v>2015</v>
      </c>
      <c r="AQ641" s="0" t="n">
        <f aca="false">W_PH(AQ$2,$A641)</f>
        <v>2015</v>
      </c>
      <c r="AR641" s="0" t="n">
        <f aca="false">W_PH(AR$2,$A641)</f>
        <v>2015</v>
      </c>
      <c r="AS641" s="0" t="n">
        <f aca="false">W_PH(AS$2,$A641)</f>
        <v>2015</v>
      </c>
    </row>
    <row r="642" customFormat="false" ht="12.8" hidden="false" customHeight="false" outlineLevel="0" collapsed="false">
      <c r="A642" s="0" t="n">
        <v>4299.22613929493</v>
      </c>
      <c r="B642" s="0" t="n">
        <f aca="false">W_PH(B$2,$A642)</f>
        <v>2015</v>
      </c>
      <c r="C642" s="0" t="n">
        <f aca="false">W_PH(C$2,$A642)</f>
        <v>2015</v>
      </c>
      <c r="D642" s="0" t="n">
        <f aca="false">W_PH(D$2,$A642)</f>
        <v>2015</v>
      </c>
      <c r="E642" s="0" t="n">
        <f aca="false">W_PH(E$2,$A642)</f>
        <v>2015</v>
      </c>
      <c r="F642" s="0" t="n">
        <f aca="false">W_PH(F$2,$A642)</f>
        <v>2015</v>
      </c>
      <c r="G642" s="0" t="n">
        <f aca="false">W_PH(G$2,$A642)</f>
        <v>2015</v>
      </c>
      <c r="H642" s="0" t="n">
        <f aca="false">W_PH(H$2,$A642)</f>
        <v>2015</v>
      </c>
      <c r="I642" s="0" t="n">
        <f aca="false">W_PH(I$2,$A642)</f>
        <v>2015</v>
      </c>
      <c r="J642" s="0" t="n">
        <f aca="false">W_PH(J$2,$A642)</f>
        <v>2015</v>
      </c>
      <c r="K642" s="0" t="n">
        <f aca="false">W_PH(K$2,$A642)</f>
        <v>2015</v>
      </c>
      <c r="L642" s="0" t="n">
        <f aca="false">W_PH(L$2,$A642)</f>
        <v>2015</v>
      </c>
      <c r="M642" s="0" t="n">
        <f aca="false">W_PH(M$2,$A642)</f>
        <v>2015</v>
      </c>
      <c r="N642" s="0" t="n">
        <f aca="false">W_PH(N$2,$A642)</f>
        <v>2015</v>
      </c>
      <c r="O642" s="0" t="n">
        <f aca="false">W_PH(O$2,$A642)</f>
        <v>2015</v>
      </c>
      <c r="P642" s="0" t="n">
        <f aca="false">W_PH(P$2,$A642)</f>
        <v>2015</v>
      </c>
      <c r="Q642" s="0" t="n">
        <f aca="false">W_PH(Q$2,$A642)</f>
        <v>2015</v>
      </c>
      <c r="R642" s="0" t="n">
        <f aca="false">W_PH(R$2,$A642)</f>
        <v>2015</v>
      </c>
      <c r="S642" s="0" t="n">
        <f aca="false">W_PH(S$2,$A642)</f>
        <v>2015</v>
      </c>
      <c r="T642" s="0" t="n">
        <f aca="false">W_PH(T$2,$A642)</f>
        <v>2015</v>
      </c>
      <c r="U642" s="0" t="n">
        <f aca="false">W_PH(U$2,$A642)</f>
        <v>2015</v>
      </c>
      <c r="V642" s="0" t="n">
        <f aca="false">W_PH(V$2,$A642)</f>
        <v>2015</v>
      </c>
      <c r="W642" s="0" t="n">
        <f aca="false">W_PH(W$2,$A642)</f>
        <v>2015</v>
      </c>
      <c r="X642" s="0" t="n">
        <f aca="false">W_PH(X$2,$A642)</f>
        <v>2015</v>
      </c>
      <c r="Y642" s="0" t="n">
        <f aca="false">W_PH(Y$2,$A642)</f>
        <v>2015</v>
      </c>
      <c r="Z642" s="0" t="n">
        <f aca="false">W_PH(Z$2,$A642)</f>
        <v>2015</v>
      </c>
      <c r="AA642" s="0" t="n">
        <f aca="false">W_PH(AA$2,$A642)</f>
        <v>2015</v>
      </c>
      <c r="AB642" s="0" t="n">
        <f aca="false">W_PH(AB$2,$A642)</f>
        <v>2015</v>
      </c>
      <c r="AC642" s="0" t="n">
        <f aca="false">W_PH(AC$2,$A642)</f>
        <v>2015</v>
      </c>
      <c r="AD642" s="0" t="n">
        <f aca="false">W_PH(AD$2,$A642)</f>
        <v>2015</v>
      </c>
      <c r="AE642" s="0" t="n">
        <f aca="false">W_PH(AE$2,$A642)</f>
        <v>2015</v>
      </c>
      <c r="AF642" s="0" t="n">
        <f aca="false">W_PH(AF$2,$A642)</f>
        <v>2015</v>
      </c>
      <c r="AG642" s="0" t="n">
        <f aca="false">W_PH(AG$2,$A642)</f>
        <v>2015</v>
      </c>
      <c r="AH642" s="0" t="n">
        <f aca="false">W_PH(AH$2,$A642)</f>
        <v>2015</v>
      </c>
      <c r="AI642" s="0" t="n">
        <f aca="false">W_PH(AI$2,$A642)</f>
        <v>2015</v>
      </c>
      <c r="AJ642" s="0" t="n">
        <f aca="false">W_PH(AJ$2,$A642)</f>
        <v>2015</v>
      </c>
      <c r="AK642" s="0" t="n">
        <f aca="false">W_PH(AK$2,$A642)</f>
        <v>2015</v>
      </c>
      <c r="AL642" s="0" t="n">
        <f aca="false">W_PH(AL$2,$A642)</f>
        <v>2015</v>
      </c>
      <c r="AM642" s="0" t="n">
        <f aca="false">W_PH(AM$2,$A642)</f>
        <v>2015</v>
      </c>
      <c r="AN642" s="0" t="n">
        <f aca="false">W_PH(AN$2,$A642)</f>
        <v>2015</v>
      </c>
      <c r="AO642" s="0" t="n">
        <f aca="false">W_PH(AO$2,$A642)</f>
        <v>2015</v>
      </c>
      <c r="AP642" s="0" t="n">
        <f aca="false">W_PH(AP$2,$A642)</f>
        <v>2015</v>
      </c>
      <c r="AQ642" s="0" t="n">
        <f aca="false">W_PH(AQ$2,$A642)</f>
        <v>2015</v>
      </c>
      <c r="AR642" s="0" t="n">
        <f aca="false">W_PH(AR$2,$A642)</f>
        <v>2015</v>
      </c>
      <c r="AS642" s="0" t="n">
        <f aca="false">W_PH(AS$2,$A642)</f>
        <v>2015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450</TotalTime>
  <Application>LibreOffice/6.0.2.1$Windows_X86_64 LibreOffice_project/f7f06a8f319e4b62f9bc5095aa112a65d2f3ac89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2018-07-11T10:23:13Z</dcterms:created>
  <dc:creator/>
  <dc:description/>
  <dc:language>en-US</dc:language>
  <cp:lastModifiedBy/>
  <dcterms:modified xsi:type="dcterms:W3CDTF">2018-09-23T10:40:35Z</dcterms:modified>
  <cp:revision>56</cp:revision>
  <dc:subject/>
  <dc:title/>
</cp:coreProperties>
</file>