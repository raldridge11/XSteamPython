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<sst xmlns="http://schemas.openxmlformats.org/spreadsheetml/2006/main" count="6" uniqueCount="4">
  <si>
    <t xml:space="preserve">Tsat(p)</t>
  </si>
  <si>
    <t xml:space="preserve">X</t>
  </si>
  <si>
    <t xml:space="preserve">(Tsat_s)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</si>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</sst>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0" activeCellId="0" sqref="C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  <c r="AS3" s="0" t="n">
        <f aca="false">TSAT_P(AS2)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</row>
    <row r="2" customFormat="false" ht="13.8" hidden="false" customHeight="false" outlineLevel="0" collapsed="false">
      <c r="A2" s="0" t="s">
        <v>1</v>
      </c>
      <c r="B2" s="1" t="n">
        <v>-0.00015</v>
      </c>
      <c r="C2" s="0" t="n">
        <v>0</v>
      </c>
      <c r="D2" s="0" t="n">
        <f aca="false">C2+0.001</f>
        <v>0.001</v>
      </c>
      <c r="E2" s="0" t="n">
        <f aca="false">D2+0.001</f>
        <v>0.002</v>
      </c>
      <c r="F2" s="0" t="n">
        <f aca="false">E2+0.001</f>
        <v>0.003</v>
      </c>
      <c r="G2" s="0" t="n">
        <f aca="false">F2+0.001</f>
        <v>0.004</v>
      </c>
      <c r="H2" s="0" t="n">
        <f aca="false">G2+0.001</f>
        <v>0.005</v>
      </c>
      <c r="I2" s="0" t="n">
        <f aca="false">H2+0.001</f>
        <v>0.006</v>
      </c>
      <c r="J2" s="0" t="n">
        <f aca="false">I2+0.001</f>
        <v>0.007</v>
      </c>
      <c r="K2" s="0" t="n">
        <f aca="false">J2+0.001</f>
        <v>0.008</v>
      </c>
      <c r="L2" s="0" t="n">
        <f aca="false">K2+0.001</f>
        <v>0.009</v>
      </c>
      <c r="M2" s="0" t="n">
        <f aca="false">L2+0.001</f>
        <v>0.01</v>
      </c>
      <c r="N2" s="0" t="n">
        <f aca="false">M2+0.01</f>
        <v>0.02</v>
      </c>
      <c r="O2" s="0" t="n">
        <f aca="false">N2+0.01</f>
        <v>0.03</v>
      </c>
      <c r="P2" s="0" t="n">
        <f aca="false">O2+0.01</f>
        <v>0.04</v>
      </c>
      <c r="Q2" s="0" t="n">
        <f aca="false">P2+0.01</f>
        <v>0.05</v>
      </c>
      <c r="R2" s="0" t="n">
        <f aca="false">Q2+0.01</f>
        <v>0.06</v>
      </c>
      <c r="S2" s="0" t="n">
        <f aca="false">R2+0.01</f>
        <v>0.07</v>
      </c>
      <c r="T2" s="0" t="n">
        <f aca="false">S2+0.01</f>
        <v>0.08</v>
      </c>
      <c r="U2" s="0" t="n">
        <f aca="false">T2+0.01</f>
        <v>0.09</v>
      </c>
      <c r="V2" s="0" t="n">
        <f aca="false">U2+0.01</f>
        <v>0.1</v>
      </c>
      <c r="W2" s="0" t="n">
        <f aca="false">V2+0.1</f>
        <v>0.2</v>
      </c>
      <c r="X2" s="0" t="n">
        <f aca="false">W2+0.1</f>
        <v>0.3</v>
      </c>
      <c r="Y2" s="0" t="n">
        <f aca="false">X2+0.1</f>
        <v>0.4</v>
      </c>
      <c r="Z2" s="0" t="n">
        <f aca="false">Y2+0.1</f>
        <v>0.5</v>
      </c>
      <c r="AA2" s="0" t="n">
        <f aca="false">Z2+0.1</f>
        <v>0.6</v>
      </c>
      <c r="AB2" s="0" t="n">
        <f aca="false">AA2+0.1</f>
        <v>0.7</v>
      </c>
      <c r="AC2" s="0" t="n">
        <f aca="false">AB2+0.1</f>
        <v>0.8</v>
      </c>
      <c r="AD2" s="0" t="n">
        <f aca="false">AC2+0.1</f>
        <v>0.9</v>
      </c>
      <c r="AE2" s="0" t="n">
        <f aca="false">AD2+0.1</f>
        <v>1</v>
      </c>
      <c r="AF2" s="0" t="n">
        <f aca="false">AE2+1</f>
        <v>2</v>
      </c>
      <c r="AG2" s="0" t="n">
        <f aca="false">AF2+1</f>
        <v>3</v>
      </c>
      <c r="AH2" s="0" t="n">
        <f aca="false">AG2+1</f>
        <v>4</v>
      </c>
      <c r="AI2" s="0" t="n">
        <f aca="false">AH2+1</f>
        <v>5</v>
      </c>
      <c r="AJ2" s="0" t="n">
        <f aca="false">AI2+1</f>
        <v>6</v>
      </c>
      <c r="AK2" s="0" t="n">
        <f aca="false">AJ2+1</f>
        <v>7</v>
      </c>
      <c r="AL2" s="0" t="n">
        <f aca="false">AK2+1</f>
        <v>8</v>
      </c>
      <c r="AM2" s="0" t="n">
        <f aca="false">AL2+1</f>
        <v>9</v>
      </c>
      <c r="AN2" s="1" t="n">
        <v>9.15574</v>
      </c>
      <c r="AO2" s="0" t="n">
        <v>9.2</v>
      </c>
    </row>
    <row r="3" customFormat="false" ht="13.8" hidden="false" customHeight="false" outlineLevel="0" collapsed="false">
      <c r="A3" s="0" t="n">
        <v>0</v>
      </c>
      <c r="B3" s="0" t="n">
        <f aca="false">TSAT_S(B2)</f>
        <v>-0.0715762126388881</v>
      </c>
      <c r="C3" s="0" t="n">
        <f aca="false">TSAT_S(C2)</f>
        <v>-0.0603015649985537</v>
      </c>
      <c r="D3" s="0" t="n">
        <f aca="false">TSAT_S(D2)</f>
        <v>0.0146418522835461</v>
      </c>
      <c r="E3" s="0" t="n">
        <f aca="false">TSAT_S(E2)</f>
        <v>0.0892015787143237</v>
      </c>
      <c r="F3" s="0" t="n">
        <f aca="false">TSAT_S(F2)</f>
        <v>0.163378923090079</v>
      </c>
      <c r="G3" s="0" t="n">
        <f aca="false">TSAT_S(G2)</f>
        <v>0.237175961373168</v>
      </c>
      <c r="H3" s="0" t="n">
        <f aca="false">TSAT_S(H2)</f>
        <v>0.310595473644298</v>
      </c>
      <c r="I3" s="0" t="n">
        <f aca="false">TSAT_S(I2)</f>
        <v>0.383640882652912</v>
      </c>
      <c r="J3" s="0" t="n">
        <f aca="false">TSAT_S(J2)</f>
        <v>0.456316203246502</v>
      </c>
      <c r="K3" s="0" t="n">
        <f aca="false">TSAT_S(K2)</f>
        <v>0.528625993014316</v>
      </c>
      <c r="L3" s="0" t="n">
        <f aca="false">TSAT_S(L2)</f>
        <v>0.600575298068748</v>
      </c>
      <c r="M3" s="0" t="n">
        <f aca="false">TSAT_S(M2)</f>
        <v>0.672169618914325</v>
      </c>
      <c r="N3" s="0" t="n">
        <f aca="false">TSAT_S(N2)</f>
        <v>1.37004000906757</v>
      </c>
      <c r="O3" s="0" t="n">
        <f aca="false">TSAT_S(O2)</f>
        <v>2.04042734653029</v>
      </c>
      <c r="P3" s="0" t="n">
        <f aca="false">TSAT_S(P2)</f>
        <v>2.69145074247081</v>
      </c>
      <c r="Q3" s="0" t="n">
        <f aca="false">TSAT_S(Q2)</f>
        <v>3.33066823105435</v>
      </c>
      <c r="R3" s="0" t="n">
        <f aca="false">TSAT_S(R2)</f>
        <v>3.96437809880638</v>
      </c>
      <c r="S3" s="0" t="n">
        <f aca="false">TSAT_S(S2)</f>
        <v>4.59741191145599</v>
      </c>
      <c r="T3" s="0" t="n">
        <f aca="false">TSAT_S(T2)</f>
        <v>5.23319545899858</v>
      </c>
      <c r="U3" s="0" t="n">
        <f aca="false">TSAT_S(U2)</f>
        <v>5.87394159189068</v>
      </c>
      <c r="V3" s="0" t="n">
        <f aca="false">TSAT_S(V2)</f>
        <v>6.52089245365852</v>
      </c>
      <c r="W3" s="0" t="n">
        <f aca="false">TSAT_S(W2)</f>
        <v>13.2999451031202</v>
      </c>
      <c r="X3" s="0" t="n">
        <f aca="false">TSAT_S(X2)</f>
        <v>20.32496453473</v>
      </c>
      <c r="Y3" s="0" t="n">
        <f aca="false">TSAT_S(Y2)</f>
        <v>27.3946690062107</v>
      </c>
      <c r="Z3" s="0" t="n">
        <f aca="false">TSAT_S(Z2)</f>
        <v>34.5701233072136</v>
      </c>
      <c r="AA3" s="0" t="n">
        <f aca="false">TSAT_S(AA2)</f>
        <v>41.9718386980907</v>
      </c>
      <c r="AB3" s="0" t="n">
        <f aca="false">TSAT_S(AB2)</f>
        <v>49.6328110142231</v>
      </c>
      <c r="AC3" s="0" t="n">
        <f aca="false">TSAT_S(AC2)</f>
        <v>57.5219249668939</v>
      </c>
      <c r="AD3" s="0" t="n">
        <f aca="false">TSAT_S(AD2)</f>
        <v>65.5979384677005</v>
      </c>
      <c r="AE3" s="0" t="n">
        <f aca="false">TSAT_S(AE2)</f>
        <v>73.828888519121</v>
      </c>
      <c r="AF3" s="0" t="n">
        <f aca="false">TSAT_S(AF2)</f>
        <v>165.687398831686</v>
      </c>
      <c r="AG3" s="0" t="n">
        <f aca="false">TSAT_S(AG2)</f>
        <v>272.677716829283</v>
      </c>
      <c r="AH3" s="0" t="n">
        <f aca="false">TSAT_S(AH2)</f>
        <v>364.942529636544</v>
      </c>
      <c r="AI3" s="0" t="n">
        <f aca="false">TSAT_S(AI2)</f>
        <v>362.678618398269</v>
      </c>
      <c r="AJ3" s="0" t="n">
        <f aca="false">TSAT_S(AJ2)</f>
        <v>260.237344515045</v>
      </c>
      <c r="AK3" s="0" t="n">
        <f aca="false">TSAT_S(AK2)</f>
        <v>132.666156424925</v>
      </c>
      <c r="AL3" s="0" t="n">
        <f aca="false">TSAT_S(AL2)</f>
        <v>54.3945067789662</v>
      </c>
      <c r="AM3" s="0" t="n">
        <f aca="false">TSAT_S(AM2)</f>
        <v>5.97582136545452</v>
      </c>
      <c r="AN3" s="0" t="n">
        <f aca="false">TSAT_S(AN2)</f>
        <v>0.000410492588343914</v>
      </c>
      <c r="AO3" s="0" t="n">
        <f aca="false">TSAT_S(AO2)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false" showOutlineSymbols="true" defaultGridColor="true" view="normal" topLeftCell="AJ1" colorId="64" zoomScale="100" zoomScaleNormal="100" zoomScalePageLayoutView="100" workbookViewId="0">
      <selection pane="topLeft" activeCell="AS56" activeCellId="0" sqref="AS56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193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2018-04-28T12:57:42Z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