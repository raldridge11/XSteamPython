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Properties" sheetId="1" state="visible" r:id="rId3"/>
    <sheet name="Functions" sheetId="2" state="visible" r:id="rId4"/>
    <sheet name="Variables" sheetId="3" state="visible" r:id="rId5"/>
    <sheet name="Pr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MY_ALLREGIONS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<sst xmlns="http://schemas.openxmlformats.org/spreadsheetml/2006/main" count="525" uniqueCount="252">
  <si>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</si>
  <si>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</si>
  <si>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</si>
  <si>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</si>
  <si>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</si>
  <si>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</si>
  <si>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</si>
  <si>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</si>
  <si>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</si>
  <si>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</si>
  <si>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</si>
  <si>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</si>
  <si>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</si>
  <si>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</si>
  <si>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</si>
  <si>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</si>
  <si>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</si>
  <si>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</si>
  <si>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</si>
  <si>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</si>
  <si>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</si>
  <si>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</si>
  <si>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</si>
  <si>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</si>
  <si>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</si>
  <si>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</si>
  <si>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</si>
  <si>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</si>
  <si>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</si>
  <si>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</si>
  <si>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</si>
  <si>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</si>
  <si>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</si>
  <si>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</si>
  <si>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</si>
  <si>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</si>
  <si>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</si>
  <si>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</si>
  <si>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</si>
  <si>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</si>
  <si>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</si>
  <si>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</si>
  <si>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</si>
  <si>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2.63890, 500.0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</si>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</sst>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sz val="10"/>
      <name val="Arial"/>
      <family val="2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"/>
    <col collapsed="false" customWidth="true" hidden="false" outlineLevel="0" max="3" min="3" style="1" width="7.7"/>
    <col collapsed="false" customWidth="true" hidden="false" outlineLevel="0" max="4" min="4" style="1" width="4.7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"/>
    <col collapsed="false" customWidth="true" hidden="false" outlineLevel="0" max="259" min="259" style="1" width="7.7"/>
    <col collapsed="false" customWidth="true" hidden="false" outlineLevel="0" max="260" min="260" style="1" width="4.7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"/>
    <col collapsed="false" customWidth="true" hidden="false" outlineLevel="0" max="515" min="515" style="1" width="7.7"/>
    <col collapsed="false" customWidth="true" hidden="false" outlineLevel="0" max="516" min="516" style="1" width="4.7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"/>
    <col collapsed="false" customWidth="true" hidden="false" outlineLevel="0" max="771" min="771" style="1" width="7.7"/>
    <col collapsed="false" customWidth="true" hidden="false" outlineLevel="0" max="772" min="772" style="1" width="4.7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2.8" hidden="false" customHeight="false" outlineLevel="0" collapsed="false">
      <c r="A3" s="4" t="s">
        <v>40</v>
      </c>
      <c r="L3" s="31" t="n">
        <v>1</v>
      </c>
      <c r="M3" s="4" t="n">
        <f aca="false">REGION_PH(L3,L4)</f>
        <v>4</v>
      </c>
      <c r="N3" s="4" t="n">
        <v>60000</v>
      </c>
      <c r="O3" s="4" t="n">
        <f aca="false">H_PT(N3,N5)</f>
        <v>166.614936306524</v>
      </c>
    </row>
    <row r="4" s="4" customFormat="true" ht="12.8" hidden="false" customHeight="false" outlineLevel="0" collapsed="false">
      <c r="A4" s="4" t="s">
        <v>41</v>
      </c>
      <c r="F4" s="6" t="s">
        <v>42</v>
      </c>
      <c r="L4" s="4" t="n">
        <v>1000</v>
      </c>
      <c r="M4" s="4" t="n">
        <f aca="false">MY_ALLREGIONS_PH(L3,L4)</f>
        <v>1.32809175893687E-005</v>
      </c>
      <c r="N4" s="4" t="n">
        <v>300</v>
      </c>
    </row>
    <row r="5" s="4" customFormat="true" ht="12.8" hidden="false" customHeight="false" outlineLevel="0" collapsed="false">
      <c r="A5" s="4" t="s">
        <v>4</v>
      </c>
      <c r="N5" s="4" t="n">
        <f aca="false">N4-273.15</f>
        <v>26.85</v>
      </c>
    </row>
    <row r="6" customFormat="false" ht="12.8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L6" s="3" t="s">
        <v>43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3" customFormat="true" ht="15" hidden="false" customHeight="false" outlineLevel="0" collapsed="false">
      <c r="A8" s="32" t="s">
        <v>9</v>
      </c>
      <c r="F8" s="34"/>
      <c r="G8" s="34"/>
    </row>
    <row r="9" s="4" customFormat="true" ht="12.75" hidden="false" customHeight="false" outlineLevel="1" collapsed="false">
      <c r="A9" s="5" t="s">
        <v>44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45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46</v>
      </c>
    </row>
    <row r="11" s="4" customFormat="true" ht="12.75" hidden="false" customHeight="false" outlineLevel="1" collapsed="false">
      <c r="A11" s="5" t="s">
        <v>47</v>
      </c>
      <c r="B11" s="3" t="n">
        <v>100</v>
      </c>
      <c r="C11" s="3" t="s">
        <v>12</v>
      </c>
      <c r="D11" s="3" t="n">
        <v>1</v>
      </c>
      <c r="E11" s="3" t="s">
        <v>48</v>
      </c>
      <c r="F11" s="5" t="n">
        <f aca="false">T_PS(B11,D11)</f>
        <v>73.7085942144087</v>
      </c>
      <c r="G11" s="5" t="s">
        <v>10</v>
      </c>
      <c r="H11" s="3" t="s">
        <v>49</v>
      </c>
    </row>
    <row r="12" s="4" customFormat="true" ht="12.75" hidden="false" customHeight="false" outlineLevel="1" collapsed="false">
      <c r="A12" s="5" t="s">
        <v>50</v>
      </c>
      <c r="B12" s="3" t="n">
        <v>100</v>
      </c>
      <c r="C12" s="3" t="s">
        <v>17</v>
      </c>
      <c r="D12" s="3" t="n">
        <v>0.2</v>
      </c>
      <c r="E12" s="3" t="s">
        <v>48</v>
      </c>
      <c r="F12" s="5" t="n">
        <f aca="false">T_HS(B12,D12)</f>
        <v>13.8493351118726</v>
      </c>
      <c r="G12" s="5" t="s">
        <v>10</v>
      </c>
      <c r="H12" s="3" t="s">
        <v>51</v>
      </c>
    </row>
    <row r="13" s="33" customFormat="true" ht="15" hidden="false" customHeight="false" outlineLevel="0" collapsed="false">
      <c r="A13" s="32" t="s">
        <v>11</v>
      </c>
      <c r="F13" s="34"/>
      <c r="G13" s="34"/>
    </row>
    <row r="14" s="4" customFormat="true" ht="12.75" hidden="false" customHeight="false" outlineLevel="1" collapsed="false">
      <c r="A14" s="5" t="s">
        <v>52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53</v>
      </c>
      <c r="H14" s="3" t="s">
        <v>13</v>
      </c>
    </row>
    <row r="15" s="4" customFormat="true" ht="12.75" hidden="false" customHeight="false" outlineLevel="1" collapsed="false">
      <c r="A15" s="5" t="s">
        <v>54</v>
      </c>
      <c r="B15" s="3" t="n">
        <v>84</v>
      </c>
      <c r="C15" s="3" t="s">
        <v>17</v>
      </c>
      <c r="D15" s="3" t="n">
        <v>0.296</v>
      </c>
      <c r="E15" s="3" t="s">
        <v>48</v>
      </c>
      <c r="F15" s="5" t="n">
        <f aca="false">P_HS(B15,D15)</f>
        <v>229.549826928091</v>
      </c>
      <c r="G15" s="5" t="s">
        <v>53</v>
      </c>
      <c r="H15" s="3" t="s">
        <v>55</v>
      </c>
    </row>
    <row r="16" s="4" customFormat="true" ht="12.75" hidden="false" customHeight="false" outlineLevel="1" collapsed="false">
      <c r="A16" s="5" t="s">
        <v>56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53</v>
      </c>
      <c r="H16" s="3" t="s">
        <v>57</v>
      </c>
    </row>
    <row r="17" s="33" customFormat="true" ht="15" hidden="false" customHeight="false" outlineLevel="0" collapsed="false">
      <c r="A17" s="32" t="s">
        <v>16</v>
      </c>
      <c r="F17" s="34"/>
      <c r="G17" s="34"/>
    </row>
    <row r="18" s="4" customFormat="true" ht="12.75" hidden="false" customHeight="false" outlineLevel="1" collapsed="false">
      <c r="A18" s="5" t="s">
        <v>58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59</v>
      </c>
    </row>
    <row r="19" s="4" customFormat="true" ht="12.75" hidden="false" customHeight="false" outlineLevel="1" collapsed="false">
      <c r="A19" s="5" t="s">
        <v>60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61</v>
      </c>
    </row>
    <row r="20" s="4" customFormat="true" ht="12.75" hidden="false" customHeight="false" outlineLevel="1" collapsed="false">
      <c r="A20" s="5" t="s">
        <v>62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59</v>
      </c>
    </row>
    <row r="21" s="4" customFormat="true" ht="12.75" hidden="false" customHeight="false" outlineLevel="1" collapsed="false">
      <c r="A21" s="5" t="s">
        <v>63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61</v>
      </c>
    </row>
    <row r="22" s="4" customFormat="true" ht="12.75" hidden="false" customHeight="false" outlineLevel="1" collapsed="false">
      <c r="A22" s="5" t="s">
        <v>64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65</v>
      </c>
    </row>
    <row r="23" s="4" customFormat="true" ht="12.75" hidden="false" customHeight="false" outlineLevel="1" collapsed="false">
      <c r="A23" s="5" t="s">
        <v>66</v>
      </c>
      <c r="B23" s="3" t="n">
        <v>100</v>
      </c>
      <c r="C23" s="3" t="s">
        <v>12</v>
      </c>
      <c r="D23" s="3" t="n">
        <v>1</v>
      </c>
      <c r="E23" s="3" t="s">
        <v>48</v>
      </c>
      <c r="F23" s="5" t="n">
        <f aca="false">H_PS(B23,D23)</f>
        <v>308.610717082946</v>
      </c>
      <c r="G23" s="5" t="s">
        <v>17</v>
      </c>
      <c r="H23" s="3" t="s">
        <v>67</v>
      </c>
    </row>
    <row r="24" s="4" customFormat="true" ht="12.75" hidden="false" customHeight="false" outlineLevel="1" collapsed="false">
      <c r="A24" s="5" t="s">
        <v>68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69</v>
      </c>
    </row>
    <row r="25" s="4" customFormat="true" ht="12.75" hidden="false" customHeight="false" outlineLevel="1" collapsed="false">
      <c r="A25" s="5" t="s">
        <v>70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71</v>
      </c>
    </row>
    <row r="26" s="4" customFormat="true" ht="12.75" hidden="false" customHeight="false" outlineLevel="1" collapsed="false">
      <c r="A26" s="5" t="s">
        <v>72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73</v>
      </c>
    </row>
    <row r="27" s="33" customFormat="true" ht="15" hidden="false" customHeight="false" outlineLevel="0" collapsed="false">
      <c r="A27" s="32" t="s">
        <v>74</v>
      </c>
      <c r="F27" s="34"/>
      <c r="G27" s="34"/>
    </row>
    <row r="28" s="4" customFormat="true" ht="12.75" hidden="false" customHeight="false" outlineLevel="1" collapsed="false">
      <c r="A28" s="5" t="s">
        <v>75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76</v>
      </c>
      <c r="H28" s="3" t="s">
        <v>77</v>
      </c>
    </row>
    <row r="29" s="4" customFormat="true" ht="12.75" hidden="false" customHeight="false" outlineLevel="1" collapsed="false">
      <c r="A29" s="5" t="s">
        <v>78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76</v>
      </c>
      <c r="H29" s="3" t="s">
        <v>79</v>
      </c>
    </row>
    <row r="30" s="4" customFormat="true" ht="12.75" hidden="false" customHeight="false" outlineLevel="1" collapsed="false">
      <c r="A30" s="5" t="s">
        <v>80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76</v>
      </c>
      <c r="H30" s="3" t="s">
        <v>77</v>
      </c>
    </row>
    <row r="31" s="4" customFormat="true" ht="12.75" hidden="false" customHeight="false" outlineLevel="1" collapsed="false">
      <c r="A31" s="5" t="s">
        <v>81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76</v>
      </c>
      <c r="H31" s="3" t="s">
        <v>79</v>
      </c>
    </row>
    <row r="32" s="4" customFormat="true" ht="12.75" hidden="false" customHeight="false" outlineLevel="1" collapsed="false">
      <c r="A32" s="5" t="s">
        <v>82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76</v>
      </c>
      <c r="H32" s="3" t="s">
        <v>83</v>
      </c>
    </row>
    <row r="33" s="4" customFormat="true" ht="12.75" hidden="false" customHeight="false" outlineLevel="1" collapsed="false">
      <c r="A33" s="5" t="s">
        <v>84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76</v>
      </c>
      <c r="H33" s="3" t="s">
        <v>85</v>
      </c>
    </row>
    <row r="34" s="4" customFormat="true" ht="12.75" hidden="false" customHeight="false" outlineLevel="1" collapsed="false">
      <c r="A34" s="5" t="s">
        <v>86</v>
      </c>
      <c r="B34" s="3" t="n">
        <v>100</v>
      </c>
      <c r="C34" s="3" t="s">
        <v>12</v>
      </c>
      <c r="D34" s="3" t="n">
        <v>5</v>
      </c>
      <c r="E34" s="3" t="s">
        <v>48</v>
      </c>
      <c r="F34" s="5" t="n">
        <f aca="false">V_PS(B34,D34)</f>
        <v>1.03463539018629</v>
      </c>
      <c r="G34" s="5" t="s">
        <v>76</v>
      </c>
      <c r="H34" s="3" t="s">
        <v>87</v>
      </c>
    </row>
    <row r="35" s="33" customFormat="true" ht="15" hidden="false" customHeight="false" outlineLevel="0" collapsed="false">
      <c r="A35" s="32" t="s">
        <v>18</v>
      </c>
      <c r="F35" s="34"/>
      <c r="G35" s="34"/>
    </row>
    <row r="36" s="4" customFormat="true" ht="12.75" hidden="false" customHeight="false" outlineLevel="1" collapsed="false">
      <c r="A36" s="5" t="s">
        <v>88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89</v>
      </c>
    </row>
    <row r="37" s="4" customFormat="true" ht="12.75" hidden="false" customHeight="false" outlineLevel="1" collapsed="false">
      <c r="A37" s="5" t="s">
        <v>90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91</v>
      </c>
    </row>
    <row r="38" s="4" customFormat="true" ht="12.75" hidden="false" customHeight="false" outlineLevel="1" collapsed="false">
      <c r="A38" s="5" t="s">
        <v>92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89</v>
      </c>
    </row>
    <row r="39" s="4" customFormat="true" ht="12.75" hidden="false" customHeight="false" outlineLevel="1" collapsed="false">
      <c r="A39" s="5" t="s">
        <v>93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91</v>
      </c>
    </row>
    <row r="40" s="4" customFormat="true" ht="12.75" hidden="false" customHeight="false" outlineLevel="1" collapsed="false">
      <c r="A40" s="5" t="s">
        <v>94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95</v>
      </c>
    </row>
    <row r="41" s="4" customFormat="true" ht="12.75" hidden="false" customHeight="false" outlineLevel="1" collapsed="false">
      <c r="A41" s="5" t="s">
        <v>96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97</v>
      </c>
    </row>
    <row r="42" s="4" customFormat="true" ht="12.75" hidden="false" customHeight="false" outlineLevel="1" collapsed="false">
      <c r="A42" s="5" t="s">
        <v>98</v>
      </c>
      <c r="B42" s="3" t="n">
        <v>100</v>
      </c>
      <c r="C42" s="3" t="s">
        <v>12</v>
      </c>
      <c r="D42" s="3" t="n">
        <v>1</v>
      </c>
      <c r="E42" s="3" t="s">
        <v>48</v>
      </c>
      <c r="F42" s="5" t="n">
        <f aca="false">RHO_PS(B42,D42)</f>
        <v>975.623678848232</v>
      </c>
      <c r="G42" s="5" t="s">
        <v>19</v>
      </c>
      <c r="H42" s="3" t="s">
        <v>99</v>
      </c>
    </row>
    <row r="43" s="33" customFormat="true" ht="15" hidden="false" customHeight="false" outlineLevel="0" collapsed="false">
      <c r="A43" s="32" t="s">
        <v>100</v>
      </c>
      <c r="F43" s="34"/>
      <c r="G43" s="34"/>
    </row>
    <row r="44" s="4" customFormat="true" ht="12.75" hidden="false" customHeight="false" outlineLevel="1" collapsed="false">
      <c r="A44" s="5" t="s">
        <v>101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48</v>
      </c>
      <c r="H44" s="3" t="s">
        <v>102</v>
      </c>
    </row>
    <row r="45" s="4" customFormat="true" ht="12.75" hidden="false" customHeight="false" outlineLevel="1" collapsed="false">
      <c r="A45" s="5" t="s">
        <v>103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48</v>
      </c>
      <c r="H45" s="3" t="s">
        <v>104</v>
      </c>
    </row>
    <row r="46" s="4" customFormat="true" ht="12.75" hidden="false" customHeight="false" outlineLevel="1" collapsed="false">
      <c r="A46" s="5" t="s">
        <v>105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48</v>
      </c>
      <c r="H46" s="3" t="s">
        <v>102</v>
      </c>
    </row>
    <row r="47" s="4" customFormat="true" ht="12.75" hidden="false" customHeight="false" outlineLevel="1" collapsed="false">
      <c r="A47" s="5" t="s">
        <v>106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48</v>
      </c>
      <c r="H47" s="3" t="s">
        <v>104</v>
      </c>
    </row>
    <row r="48" s="4" customFormat="true" ht="12.75" hidden="false" customHeight="false" outlineLevel="1" collapsed="false">
      <c r="A48" s="5" t="s">
        <v>107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48</v>
      </c>
      <c r="H48" s="3" t="s">
        <v>108</v>
      </c>
    </row>
    <row r="49" s="4" customFormat="true" ht="12.75" hidden="false" customHeight="false" outlineLevel="1" collapsed="false">
      <c r="A49" s="5" t="s">
        <v>109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48</v>
      </c>
      <c r="H49" s="3" t="s">
        <v>110</v>
      </c>
    </row>
    <row r="50" s="33" customFormat="true" ht="15" hidden="false" customHeight="false" outlineLevel="0" collapsed="false">
      <c r="A50" s="32" t="s">
        <v>111</v>
      </c>
      <c r="F50" s="34"/>
      <c r="G50" s="34"/>
    </row>
    <row r="51" s="4" customFormat="true" ht="12.75" hidden="false" customHeight="false" outlineLevel="1" collapsed="false">
      <c r="A51" s="5" t="s">
        <v>112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113</v>
      </c>
    </row>
    <row r="52" s="4" customFormat="true" ht="12.75" hidden="false" customHeight="false" outlineLevel="1" collapsed="false">
      <c r="A52" s="5" t="s">
        <v>114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115</v>
      </c>
    </row>
    <row r="53" s="4" customFormat="true" ht="12.75" hidden="false" customHeight="false" outlineLevel="1" collapsed="false">
      <c r="A53" s="5" t="s">
        <v>116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113</v>
      </c>
    </row>
    <row r="54" s="4" customFormat="true" ht="12.75" hidden="false" customHeight="false" outlineLevel="1" collapsed="false">
      <c r="A54" s="5" t="s">
        <v>117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115</v>
      </c>
    </row>
    <row r="55" s="4" customFormat="true" ht="12.75" hidden="false" customHeight="false" outlineLevel="1" collapsed="false">
      <c r="A55" s="5" t="s">
        <v>118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119</v>
      </c>
    </row>
    <row r="56" s="4" customFormat="true" ht="12.75" hidden="false" customHeight="false" outlineLevel="1" collapsed="false">
      <c r="A56" s="5" t="s">
        <v>120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121</v>
      </c>
    </row>
    <row r="57" s="4" customFormat="true" ht="12.75" hidden="false" customHeight="false" outlineLevel="1" collapsed="false">
      <c r="A57" s="5" t="s">
        <v>122</v>
      </c>
      <c r="B57" s="3" t="n">
        <v>100</v>
      </c>
      <c r="C57" s="3" t="s">
        <v>12</v>
      </c>
      <c r="D57" s="3" t="n">
        <v>1</v>
      </c>
      <c r="E57" s="3" t="s">
        <v>48</v>
      </c>
      <c r="F57" s="5" t="n">
        <f aca="false">U_PS(B57,D57)</f>
        <v>308.508218545684</v>
      </c>
      <c r="G57" s="5" t="s">
        <v>17</v>
      </c>
      <c r="H57" s="3" t="s">
        <v>123</v>
      </c>
    </row>
    <row r="58" s="33" customFormat="true" ht="15" hidden="false" customHeight="false" outlineLevel="0" collapsed="false">
      <c r="A58" s="32" t="s">
        <v>124</v>
      </c>
      <c r="F58" s="34"/>
      <c r="G58" s="34"/>
    </row>
    <row r="59" s="4" customFormat="true" ht="12.75" hidden="false" customHeight="false" outlineLevel="1" collapsed="false">
      <c r="A59" s="5" t="s">
        <v>125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126</v>
      </c>
      <c r="H59" s="3" t="s">
        <v>127</v>
      </c>
    </row>
    <row r="60" s="4" customFormat="true" ht="12.75" hidden="false" customHeight="false" outlineLevel="1" collapsed="false">
      <c r="A60" s="5" t="s">
        <v>128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126</v>
      </c>
      <c r="H60" s="3" t="s">
        <v>129</v>
      </c>
    </row>
    <row r="61" s="4" customFormat="true" ht="12.75" hidden="false" customHeight="false" outlineLevel="1" collapsed="false">
      <c r="A61" s="5" t="s">
        <v>130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126</v>
      </c>
      <c r="H61" s="3" t="s">
        <v>127</v>
      </c>
    </row>
    <row r="62" s="4" customFormat="true" ht="12.75" hidden="false" customHeight="false" outlineLevel="1" collapsed="false">
      <c r="A62" s="5" t="s">
        <v>131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126</v>
      </c>
      <c r="H62" s="3" t="s">
        <v>129</v>
      </c>
    </row>
    <row r="63" s="4" customFormat="true" ht="12.75" hidden="false" customHeight="false" outlineLevel="1" collapsed="false">
      <c r="A63" s="5" t="s">
        <v>132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126</v>
      </c>
      <c r="H63" s="3" t="s">
        <v>133</v>
      </c>
    </row>
    <row r="64" s="4" customFormat="true" ht="12.75" hidden="false" customHeight="false" outlineLevel="1" collapsed="false">
      <c r="A64" s="5" t="s">
        <v>134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126</v>
      </c>
      <c r="H64" s="3" t="s">
        <v>135</v>
      </c>
    </row>
    <row r="65" s="4" customFormat="true" ht="12.75" hidden="false" customHeight="false" outlineLevel="1" collapsed="false">
      <c r="A65" s="5" t="s">
        <v>136</v>
      </c>
      <c r="B65" s="3" t="n">
        <v>100</v>
      </c>
      <c r="C65" s="3" t="s">
        <v>12</v>
      </c>
      <c r="D65" s="3" t="n">
        <v>1</v>
      </c>
      <c r="E65" s="3" t="s">
        <v>48</v>
      </c>
      <c r="F65" s="5" t="n">
        <f aca="false">CP_PS(B65,D65)</f>
        <v>4.19060703790129</v>
      </c>
      <c r="G65" s="5" t="s">
        <v>126</v>
      </c>
      <c r="H65" s="3" t="s">
        <v>137</v>
      </c>
    </row>
    <row r="66" s="33" customFormat="true" ht="15" hidden="false" customHeight="false" outlineLevel="0" collapsed="false">
      <c r="A66" s="32" t="s">
        <v>138</v>
      </c>
      <c r="F66" s="34"/>
      <c r="G66" s="34"/>
    </row>
    <row r="67" s="4" customFormat="true" ht="12.75" hidden="false" customHeight="false" outlineLevel="1" collapsed="false">
      <c r="A67" s="5" t="s">
        <v>139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126</v>
      </c>
      <c r="H67" s="3" t="s">
        <v>140</v>
      </c>
    </row>
    <row r="68" s="4" customFormat="true" ht="12.75" hidden="false" customHeight="false" outlineLevel="1" collapsed="false">
      <c r="A68" s="5" t="s">
        <v>141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126</v>
      </c>
      <c r="H68" s="3" t="s">
        <v>142</v>
      </c>
    </row>
    <row r="69" s="4" customFormat="true" ht="12.75" hidden="false" customHeight="false" outlineLevel="1" collapsed="false">
      <c r="A69" s="5" t="s">
        <v>143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126</v>
      </c>
      <c r="H69" s="3" t="s">
        <v>140</v>
      </c>
    </row>
    <row r="70" s="4" customFormat="true" ht="12.75" hidden="false" customHeight="false" outlineLevel="1" collapsed="false">
      <c r="A70" s="5" t="s">
        <v>144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126</v>
      </c>
      <c r="H70" s="3" t="s">
        <v>142</v>
      </c>
    </row>
    <row r="71" s="4" customFormat="true" ht="12.75" hidden="false" customHeight="false" outlineLevel="1" collapsed="false">
      <c r="A71" s="5" t="s">
        <v>145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126</v>
      </c>
      <c r="H71" s="3" t="s">
        <v>146</v>
      </c>
    </row>
    <row r="72" s="4" customFormat="true" ht="12.75" hidden="false" customHeight="false" outlineLevel="1" collapsed="false">
      <c r="A72" s="5" t="s">
        <v>147</v>
      </c>
      <c r="B72" s="3" t="n">
        <v>1E-010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126</v>
      </c>
      <c r="H72" s="3" t="s">
        <v>148</v>
      </c>
    </row>
    <row r="73" s="4" customFormat="true" ht="12.75" hidden="false" customHeight="false" outlineLevel="1" collapsed="false">
      <c r="A73" s="5" t="s">
        <v>149</v>
      </c>
      <c r="B73" s="3" t="n">
        <v>100</v>
      </c>
      <c r="C73" s="3" t="s">
        <v>12</v>
      </c>
      <c r="D73" s="3" t="n">
        <v>1</v>
      </c>
      <c r="E73" s="3" t="s">
        <v>48</v>
      </c>
      <c r="F73" s="5" t="n">
        <f aca="false">CV_PS(B73,D73)</f>
        <v>3.90291946811366</v>
      </c>
      <c r="G73" s="5" t="s">
        <v>126</v>
      </c>
      <c r="H73" s="3" t="s">
        <v>150</v>
      </c>
    </row>
    <row r="74" s="33" customFormat="true" ht="15" hidden="false" customHeight="false" outlineLevel="0" collapsed="false">
      <c r="A74" s="32" t="s">
        <v>151</v>
      </c>
      <c r="F74" s="34"/>
      <c r="G74" s="34"/>
    </row>
    <row r="75" s="4" customFormat="true" ht="12.75" hidden="false" customHeight="false" outlineLevel="1" collapsed="false">
      <c r="A75" s="5" t="s">
        <v>152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153</v>
      </c>
    </row>
    <row r="76" s="4" customFormat="true" ht="12.75" hidden="false" customHeight="false" outlineLevel="1" collapsed="false">
      <c r="A76" s="5" t="s">
        <v>154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155</v>
      </c>
    </row>
    <row r="77" s="4" customFormat="true" ht="12.75" hidden="false" customHeight="false" outlineLevel="1" collapsed="false">
      <c r="A77" s="5" t="s">
        <v>156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153</v>
      </c>
    </row>
    <row r="78" s="4" customFormat="true" ht="12.75" hidden="false" customHeight="false" outlineLevel="1" collapsed="false">
      <c r="A78" s="5" t="s">
        <v>157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155</v>
      </c>
    </row>
    <row r="79" s="4" customFormat="true" ht="12.75" hidden="false" customHeight="false" outlineLevel="1" collapsed="false">
      <c r="A79" s="5" t="s">
        <v>158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159</v>
      </c>
    </row>
    <row r="80" s="4" customFormat="true" ht="12.75" hidden="false" customHeight="false" outlineLevel="1" collapsed="false">
      <c r="A80" s="5" t="s">
        <v>160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161</v>
      </c>
    </row>
    <row r="81" s="4" customFormat="true" ht="12.75" hidden="false" customHeight="false" outlineLevel="1" collapsed="false">
      <c r="A81" s="5" t="s">
        <v>162</v>
      </c>
      <c r="B81" s="3" t="n">
        <v>100</v>
      </c>
      <c r="C81" s="3" t="s">
        <v>12</v>
      </c>
      <c r="D81" s="3" t="n">
        <v>1</v>
      </c>
      <c r="E81" s="3" t="s">
        <v>48</v>
      </c>
      <c r="F81" s="5" t="n">
        <f aca="false">W_PS(B81,D81)</f>
        <v>1557.85853553222</v>
      </c>
      <c r="G81" s="5" t="s">
        <v>36</v>
      </c>
      <c r="H81" s="3" t="s">
        <v>163</v>
      </c>
    </row>
    <row r="82" s="33" customFormat="true" ht="15" hidden="false" customHeight="false" outlineLevel="0" collapsed="false">
      <c r="A82" s="32" t="s">
        <v>164</v>
      </c>
      <c r="F82" s="34"/>
      <c r="G82" s="34"/>
    </row>
    <row r="83" s="4" customFormat="true" ht="11.25" hidden="false" customHeight="false" outlineLevel="1" collapsed="false">
      <c r="A83" s="4" t="s">
        <v>165</v>
      </c>
      <c r="F83" s="30"/>
      <c r="G83" s="30"/>
    </row>
    <row r="84" s="4" customFormat="true" ht="11.25" hidden="false" customHeight="false" outlineLevel="1" collapsed="false">
      <c r="A84" s="4" t="s">
        <v>166</v>
      </c>
      <c r="F84" s="30"/>
      <c r="G84" s="30"/>
    </row>
    <row r="85" s="4" customFormat="true" ht="12.75" hidden="false" customHeight="false" outlineLevel="1" collapsed="false">
      <c r="A85" s="5" t="s">
        <v>167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168</v>
      </c>
      <c r="H85" s="3" t="s">
        <v>169</v>
      </c>
    </row>
    <row r="86" s="4" customFormat="true" ht="12.75" hidden="false" customHeight="false" outlineLevel="1" collapsed="false">
      <c r="A86" s="5" t="s">
        <v>170</v>
      </c>
      <c r="B86" s="3" t="n">
        <v>100</v>
      </c>
      <c r="C86" s="3" t="s">
        <v>12</v>
      </c>
      <c r="D86" s="3" t="n">
        <v>100</v>
      </c>
      <c r="E86" s="3" t="s">
        <v>17</v>
      </c>
      <c r="F86" s="35" t="n">
        <f aca="false">MY_PH(B86,D86)</f>
        <v>0.000914003770302112</v>
      </c>
      <c r="G86" s="5" t="s">
        <v>168</v>
      </c>
      <c r="H86" s="3" t="s">
        <v>171</v>
      </c>
    </row>
    <row r="87" s="4" customFormat="true" ht="12.75" hidden="false" customHeight="false" outlineLevel="1" collapsed="false">
      <c r="A87" s="5" t="s">
        <v>172</v>
      </c>
      <c r="B87" s="3" t="n">
        <v>100</v>
      </c>
      <c r="C87" s="3" t="s">
        <v>12</v>
      </c>
      <c r="D87" s="3" t="n">
        <v>1</v>
      </c>
      <c r="E87" s="3" t="s">
        <v>48</v>
      </c>
      <c r="F87" s="35" t="n">
        <f aca="false">MY_PS(B87,D87)</f>
        <v>0.000384221865647568</v>
      </c>
      <c r="G87" s="5" t="s">
        <v>168</v>
      </c>
      <c r="H87" s="3" t="s">
        <v>173</v>
      </c>
    </row>
    <row r="88" customFormat="false" ht="18" hidden="false" customHeight="false" outlineLevel="0" collapsed="false">
      <c r="A88" s="2" t="s">
        <v>174</v>
      </c>
      <c r="F88" s="35"/>
      <c r="H88" s="36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175</v>
      </c>
      <c r="F89" s="35"/>
      <c r="H89" s="36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176</v>
      </c>
      <c r="B90" s="3" t="n">
        <v>100</v>
      </c>
      <c r="C90" s="3" t="s">
        <v>12</v>
      </c>
      <c r="D90" s="1" t="n">
        <v>200</v>
      </c>
      <c r="E90" s="1" t="s">
        <v>10</v>
      </c>
      <c r="F90" s="35" t="n">
        <f aca="false">PR_PT(B90,D90)</f>
        <v>0.957808214385887</v>
      </c>
      <c r="G90" s="5" t="s">
        <v>177</v>
      </c>
      <c r="H90" s="36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178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5" t="n">
        <f aca="false">PR_PH(B91,D91)</f>
        <v>0.957808261483562</v>
      </c>
      <c r="G91" s="5" t="s">
        <v>177</v>
      </c>
      <c r="H91" s="36"/>
      <c r="I91" s="9"/>
      <c r="J91" s="9"/>
      <c r="K91" s="9"/>
      <c r="L91" s="9"/>
      <c r="M91" s="9"/>
    </row>
    <row r="92" s="33" customFormat="true" ht="15" hidden="false" customHeight="false" outlineLevel="0" collapsed="false">
      <c r="A92" s="32" t="s">
        <v>179</v>
      </c>
      <c r="F92" s="34"/>
      <c r="G92" s="34"/>
      <c r="H92" s="37"/>
      <c r="I92" s="37"/>
      <c r="J92" s="37"/>
      <c r="K92" s="37"/>
      <c r="L92" s="37"/>
      <c r="M92" s="37"/>
    </row>
    <row r="93" s="4" customFormat="true" ht="11.25" hidden="false" customHeight="false" outlineLevel="1" collapsed="false">
      <c r="A93" s="4" t="s">
        <v>180</v>
      </c>
      <c r="F93" s="30"/>
      <c r="G93" s="30"/>
    </row>
    <row r="94" s="4" customFormat="true" ht="12.75" hidden="false" customHeight="false" outlineLevel="1" collapsed="false">
      <c r="A94" s="5" t="s">
        <v>181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182</v>
      </c>
      <c r="H94" s="3" t="s">
        <v>183</v>
      </c>
    </row>
    <row r="95" s="4" customFormat="true" ht="12.75" hidden="false" customHeight="false" outlineLevel="1" collapsed="false">
      <c r="A95" s="5" t="s">
        <v>184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182</v>
      </c>
      <c r="H95" s="3" t="s">
        <v>185</v>
      </c>
    </row>
    <row r="96" s="4" customFormat="true" ht="12.75" hidden="false" customHeight="false" outlineLevel="1" collapsed="false">
      <c r="A96" s="5" t="s">
        <v>186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182</v>
      </c>
      <c r="H96" s="3" t="s">
        <v>183</v>
      </c>
    </row>
    <row r="97" s="4" customFormat="true" ht="12.75" hidden="false" customHeight="false" outlineLevel="1" collapsed="false">
      <c r="A97" s="5" t="s">
        <v>187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182</v>
      </c>
      <c r="H97" s="3" t="s">
        <v>185</v>
      </c>
    </row>
    <row r="98" s="4" customFormat="true" ht="12.75" hidden="false" customHeight="false" outlineLevel="1" collapsed="false">
      <c r="A98" s="5" t="s">
        <v>188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182</v>
      </c>
      <c r="H98" s="3" t="s">
        <v>189</v>
      </c>
    </row>
    <row r="99" s="4" customFormat="true" ht="12.75" hidden="false" customHeight="false" outlineLevel="1" collapsed="false">
      <c r="A99" s="5" t="s">
        <v>190</v>
      </c>
      <c r="B99" s="3" t="n">
        <v>100</v>
      </c>
      <c r="C99" s="3" t="s">
        <v>12</v>
      </c>
      <c r="D99" s="3" t="n">
        <v>100</v>
      </c>
      <c r="E99" s="3" t="s">
        <v>48</v>
      </c>
      <c r="F99" s="5" t="n">
        <f aca="false">TC_PH(B99,D99)</f>
        <v>0.605710062456013</v>
      </c>
      <c r="G99" s="5" t="s">
        <v>182</v>
      </c>
      <c r="H99" s="3" t="s">
        <v>191</v>
      </c>
    </row>
    <row r="100" s="4" customFormat="true" ht="12.75" hidden="false" customHeight="false" outlineLevel="1" collapsed="false">
      <c r="A100" s="5" t="s">
        <v>192</v>
      </c>
      <c r="B100" s="3" t="n">
        <v>100</v>
      </c>
      <c r="C100" s="3" t="s">
        <v>48</v>
      </c>
      <c r="D100" s="3" t="n">
        <v>0.34</v>
      </c>
      <c r="E100" s="3" t="s">
        <v>48</v>
      </c>
      <c r="F100" s="5" t="n">
        <f aca="false">TC_HS(B100,D100)</f>
        <v>0.606283123848912</v>
      </c>
      <c r="G100" s="5" t="s">
        <v>182</v>
      </c>
      <c r="H100" s="3" t="s">
        <v>193</v>
      </c>
    </row>
    <row r="101" s="4" customFormat="true" ht="15" hidden="false" customHeight="false" outlineLevel="0" collapsed="false">
      <c r="A101" s="32" t="s">
        <v>194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195</v>
      </c>
      <c r="F102" s="30"/>
      <c r="G102" s="30"/>
    </row>
    <row r="103" s="4" customFormat="true" ht="12.75" hidden="false" customHeight="false" outlineLevel="1" collapsed="false">
      <c r="A103" s="5" t="s">
        <v>196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197</v>
      </c>
      <c r="H103" s="3" t="s">
        <v>198</v>
      </c>
    </row>
    <row r="104" s="4" customFormat="true" ht="12.75" hidden="false" customHeight="false" outlineLevel="1" collapsed="false">
      <c r="A104" s="5" t="s">
        <v>199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197</v>
      </c>
      <c r="H104" s="3" t="s">
        <v>198</v>
      </c>
    </row>
    <row r="105" s="33" customFormat="true" ht="15" hidden="false" customHeight="false" outlineLevel="0" collapsed="false">
      <c r="A105" s="32" t="s">
        <v>30</v>
      </c>
      <c r="F105" s="34"/>
      <c r="G105" s="34"/>
    </row>
    <row r="106" s="4" customFormat="true" ht="12.75" hidden="false" customHeight="false" outlineLevel="1" collapsed="false">
      <c r="A106" s="5" t="s">
        <v>200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201</v>
      </c>
    </row>
    <row r="107" s="4" customFormat="true" ht="12.75" hidden="false" customHeight="false" outlineLevel="1" collapsed="false">
      <c r="A107" s="5" t="s">
        <v>202</v>
      </c>
      <c r="B107" s="3" t="n">
        <v>100</v>
      </c>
      <c r="C107" s="3" t="s">
        <v>12</v>
      </c>
      <c r="D107" s="3" t="n">
        <v>4</v>
      </c>
      <c r="E107" s="3" t="s">
        <v>48</v>
      </c>
      <c r="F107" s="5" t="n">
        <f aca="false">X_PS(B107,D107)</f>
        <v>0.44539796073232</v>
      </c>
      <c r="G107" s="5"/>
      <c r="H107" s="3" t="s">
        <v>203</v>
      </c>
    </row>
    <row r="108" s="33" customFormat="true" ht="15" hidden="false" customHeight="false" outlineLevel="0" collapsed="false">
      <c r="A108" s="32" t="s">
        <v>204</v>
      </c>
      <c r="F108" s="34"/>
      <c r="G108" s="34"/>
    </row>
    <row r="109" s="4" customFormat="true" ht="11.25" hidden="false" customHeight="false" outlineLevel="1" collapsed="false">
      <c r="A109" s="4" t="s">
        <v>205</v>
      </c>
      <c r="F109" s="30"/>
      <c r="G109" s="30"/>
    </row>
    <row r="110" s="4" customFormat="true" ht="11.25" hidden="false" customHeight="false" outlineLevel="1" collapsed="false">
      <c r="A110" s="4" t="s">
        <v>206</v>
      </c>
      <c r="F110" s="30"/>
      <c r="G110" s="30"/>
    </row>
    <row r="111" s="4" customFormat="true" ht="12.75" hidden="false" customHeight="false" outlineLevel="1" collapsed="false">
      <c r="A111" s="5" t="s">
        <v>207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8" t="n">
        <f aca="false">VX_PH(B111,D111)</f>
        <v>0.288493093437067</v>
      </c>
      <c r="G111" s="5"/>
      <c r="H111" s="3" t="s">
        <v>208</v>
      </c>
    </row>
    <row r="112" s="4" customFormat="true" ht="12.75" hidden="false" customHeight="false" outlineLevel="1" collapsed="false">
      <c r="A112" s="5" t="s">
        <v>209</v>
      </c>
      <c r="B112" s="3" t="n">
        <v>100</v>
      </c>
      <c r="C112" s="3" t="s">
        <v>12</v>
      </c>
      <c r="D112" s="3" t="n">
        <v>4</v>
      </c>
      <c r="E112" s="3" t="s">
        <v>48</v>
      </c>
      <c r="F112" s="38" t="n">
        <f aca="false">VX_PS(B112,D112)</f>
        <v>0.99923382663888</v>
      </c>
      <c r="G112" s="5"/>
      <c r="H112" s="3" t="s">
        <v>210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2" t="s">
        <v>211</v>
      </c>
    </row>
    <row r="115" customFormat="false" ht="12.75" hidden="false" customHeight="false" outlineLevel="0" collapsed="false">
      <c r="A115" s="30" t="s">
        <v>212</v>
      </c>
    </row>
    <row r="116" customFormat="false" ht="12.75" hidden="false" customHeight="false" outlineLevel="0" collapsed="false">
      <c r="A116" s="4" t="s">
        <v>213</v>
      </c>
    </row>
    <row r="117" customFormat="false" ht="12.75" hidden="false" customHeight="false" outlineLevel="0" collapsed="false">
      <c r="A117" s="4" t="s">
        <v>214</v>
      </c>
    </row>
    <row r="118" customFormat="false" ht="12.75" hidden="false" customHeight="false" outlineLevel="0" collapsed="false">
      <c r="A118" s="4" t="s">
        <v>215</v>
      </c>
    </row>
    <row r="119" customFormat="false" ht="12.75" hidden="false" customHeight="false" outlineLevel="0" collapsed="false">
      <c r="A119" s="30" t="s">
        <v>216</v>
      </c>
    </row>
    <row r="120" customFormat="false" ht="12.75" hidden="false" customHeight="false" outlineLevel="0" collapsed="false">
      <c r="A120" s="4" t="s">
        <v>217</v>
      </c>
    </row>
    <row r="121" customFormat="false" ht="12.75" hidden="false" customHeight="false" outlineLevel="0" collapsed="false">
      <c r="A121" s="30" t="s">
        <v>218</v>
      </c>
    </row>
    <row r="122" customFormat="false" ht="12.75" hidden="false" customHeight="false" outlineLevel="0" collapsed="false">
      <c r="A122" s="4" t="s">
        <v>219</v>
      </c>
    </row>
    <row r="123" customFormat="false" ht="12.75" hidden="false" customHeight="false" outlineLevel="0" collapsed="false">
      <c r="A123" s="4" t="s">
        <v>220</v>
      </c>
    </row>
    <row r="124" customFormat="false" ht="10.9" hidden="false" customHeight="true" outlineLevel="0" collapsed="false">
      <c r="A124" s="4" t="s">
        <v>221</v>
      </c>
    </row>
    <row r="125" customFormat="false" ht="11.45" hidden="false" customHeight="true" outlineLevel="0" collapsed="false">
      <c r="A125" s="4" t="s">
        <v>222</v>
      </c>
    </row>
    <row r="126" customFormat="false" ht="11.45" hidden="false" customHeight="true" outlineLevel="0" collapsed="false">
      <c r="A126" s="30" t="s">
        <v>223</v>
      </c>
    </row>
    <row r="127" customFormat="false" ht="12.75" hidden="false" customHeight="false" outlineLevel="0" collapsed="false">
      <c r="A127" s="4" t="s">
        <v>224</v>
      </c>
    </row>
    <row r="128" customFormat="false" ht="12.75" hidden="false" customHeight="false" outlineLevel="0" collapsed="false">
      <c r="A128" s="4" t="s">
        <v>225</v>
      </c>
    </row>
    <row r="129" customFormat="false" ht="12.75" hidden="false" customHeight="false" outlineLevel="0" collapsed="false">
      <c r="A129" s="4" t="s">
        <v>226</v>
      </c>
    </row>
    <row r="130" customFormat="false" ht="12.75" hidden="false" customHeight="false" outlineLevel="0" collapsed="false">
      <c r="A130" s="4" t="s">
        <v>227</v>
      </c>
    </row>
    <row r="131" customFormat="false" ht="12.75" hidden="false" customHeight="false" outlineLevel="0" collapsed="false">
      <c r="A131" s="4" t="s">
        <v>228</v>
      </c>
    </row>
    <row r="132" customFormat="false" ht="12.75" hidden="false" customHeight="false" outlineLevel="0" collapsed="false">
      <c r="A132" s="30" t="s">
        <v>229</v>
      </c>
    </row>
    <row r="133" customFormat="false" ht="12.75" hidden="false" customHeight="false" outlineLevel="0" collapsed="false">
      <c r="A133" s="4" t="s">
        <v>225</v>
      </c>
    </row>
    <row r="134" customFormat="false" ht="12.75" hidden="false" customHeight="false" outlineLevel="0" collapsed="false">
      <c r="A134" s="4" t="s">
        <v>230</v>
      </c>
    </row>
    <row r="135" customFormat="false" ht="12.75" hidden="false" customHeight="false" outlineLevel="0" collapsed="false">
      <c r="A135" s="4" t="s">
        <v>231</v>
      </c>
    </row>
    <row r="136" customFormat="false" ht="12.75" hidden="false" customHeight="false" outlineLevel="0" collapsed="false">
      <c r="A136" s="4" t="s">
        <v>232</v>
      </c>
    </row>
    <row r="137" customFormat="false" ht="12.75" hidden="false" customHeight="false" outlineLevel="0" collapsed="false">
      <c r="A137" s="4" t="s">
        <v>233</v>
      </c>
    </row>
    <row r="138" customFormat="false" ht="12.75" hidden="false" customHeight="false" outlineLevel="0" collapsed="false">
      <c r="A138" s="30" t="s">
        <v>234</v>
      </c>
    </row>
    <row r="139" customFormat="false" ht="12.75" hidden="false" customHeight="false" outlineLevel="0" collapsed="false">
      <c r="A139" s="4" t="s">
        <v>235</v>
      </c>
    </row>
    <row r="140" customFormat="false" ht="12.75" hidden="false" customHeight="false" outlineLevel="0" collapsed="false">
      <c r="A140" s="4" t="s">
        <v>236</v>
      </c>
    </row>
    <row r="141" customFormat="false" ht="12.75" hidden="false" customHeight="false" outlineLevel="0" collapsed="false">
      <c r="A141" s="4" t="s">
        <v>237</v>
      </c>
    </row>
    <row r="142" customFormat="false" ht="12.75" hidden="false" customHeight="false" outlineLevel="0" collapsed="false">
      <c r="A142" s="30" t="s">
        <v>238</v>
      </c>
    </row>
    <row r="143" customFormat="false" ht="12.75" hidden="false" customHeight="false" outlineLevel="0" collapsed="false">
      <c r="A143" s="4" t="s">
        <v>239</v>
      </c>
    </row>
    <row r="144" customFormat="false" ht="12.75" hidden="false" customHeight="false" outlineLevel="0" collapsed="false">
      <c r="A144" s="4" t="s">
        <v>240</v>
      </c>
    </row>
    <row r="145" customFormat="false" ht="12.75" hidden="false" customHeight="false" outlineLevel="0" collapsed="false">
      <c r="A145" s="4" t="s">
        <v>241</v>
      </c>
    </row>
    <row r="146" customFormat="false" ht="12.75" hidden="false" customHeight="false" outlineLevel="0" collapsed="false">
      <c r="A146" s="4" t="s">
        <v>242</v>
      </c>
    </row>
    <row r="147" customFormat="false" ht="12.75" hidden="false" customHeight="false" outlineLevel="0" collapsed="false">
      <c r="A147" s="4" t="s">
        <v>243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245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246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247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248</v>
      </c>
      <c r="B9" s="0" t="s">
        <v>249</v>
      </c>
      <c r="C9" s="0" t="s">
        <v>250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true" hidden="false" outlineLevel="0" max="1025" min="1" style="39" width="8.67"/>
  </cols>
  <sheetData>
    <row r="1" customFormat="false" ht="12.8" hidden="false" customHeight="false" outlineLevel="0" collapsed="false">
      <c r="A1" s="39" t="s">
        <v>251</v>
      </c>
      <c r="B1" s="39" t="n">
        <v>1</v>
      </c>
      <c r="C1" s="39" t="n">
        <v>2</v>
      </c>
      <c r="D1" s="39" t="n">
        <v>3</v>
      </c>
      <c r="E1" s="39" t="n">
        <v>4</v>
      </c>
      <c r="F1" s="39" t="n">
        <v>5</v>
      </c>
      <c r="G1" s="39" t="n">
        <v>6</v>
      </c>
      <c r="H1" s="39" t="n">
        <v>7</v>
      </c>
      <c r="I1" s="39" t="n">
        <v>8</v>
      </c>
      <c r="J1" s="39" t="n">
        <v>9</v>
      </c>
      <c r="K1" s="39" t="n">
        <v>10</v>
      </c>
      <c r="L1" s="39" t="n">
        <v>11</v>
      </c>
      <c r="M1" s="39" t="n">
        <v>12</v>
      </c>
      <c r="N1" s="39" t="n">
        <v>13</v>
      </c>
      <c r="O1" s="39" t="n">
        <v>14</v>
      </c>
      <c r="P1" s="39" t="n">
        <v>15</v>
      </c>
      <c r="Q1" s="39" t="n">
        <v>16</v>
      </c>
      <c r="R1" s="39" t="n">
        <v>17</v>
      </c>
      <c r="S1" s="39" t="n">
        <v>18</v>
      </c>
      <c r="T1" s="39" t="n">
        <v>19</v>
      </c>
      <c r="U1" s="39" t="n">
        <v>20</v>
      </c>
      <c r="V1" s="39" t="n">
        <v>21</v>
      </c>
      <c r="W1" s="39" t="n">
        <v>22</v>
      </c>
      <c r="X1" s="39" t="n">
        <v>23</v>
      </c>
      <c r="Y1" s="39" t="n">
        <v>24</v>
      </c>
      <c r="Z1" s="39" t="n">
        <v>25</v>
      </c>
      <c r="AA1" s="39" t="n">
        <v>26</v>
      </c>
      <c r="AB1" s="39" t="n">
        <v>27</v>
      </c>
      <c r="AC1" s="39" t="n">
        <v>28</v>
      </c>
      <c r="AD1" s="39" t="n">
        <v>29</v>
      </c>
      <c r="AE1" s="39" t="n">
        <v>30</v>
      </c>
      <c r="AF1" s="39" t="n">
        <v>31</v>
      </c>
      <c r="AG1" s="39" t="n">
        <v>32</v>
      </c>
      <c r="AH1" s="39" t="n">
        <v>33</v>
      </c>
      <c r="AI1" s="39" t="n">
        <v>34</v>
      </c>
      <c r="AJ1" s="39" t="n">
        <v>35</v>
      </c>
      <c r="AK1" s="39" t="n">
        <v>36</v>
      </c>
      <c r="AL1" s="39" t="n">
        <v>37</v>
      </c>
      <c r="AM1" s="39" t="n">
        <v>38</v>
      </c>
      <c r="AN1" s="39" t="n">
        <v>39</v>
      </c>
      <c r="AO1" s="39" t="n">
        <v>40</v>
      </c>
      <c r="AP1" s="39" t="n">
        <v>41</v>
      </c>
      <c r="AQ1" s="39" t="n">
        <v>42</v>
      </c>
      <c r="AR1" s="39" t="n">
        <v>43</v>
      </c>
      <c r="AS1" s="39" t="n">
        <v>44</v>
      </c>
    </row>
    <row r="2" customFormat="false" ht="13.8" hidden="false" customHeight="false" outlineLevel="0" collapsed="false">
      <c r="A2" s="39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39" t="n">
        <f aca="false">PR_PT(B$2,$A3)</f>
        <v>2015</v>
      </c>
      <c r="C3" s="39" t="n">
        <f aca="false">PR_PT(C$2,$A3)</f>
        <v>2015</v>
      </c>
      <c r="D3" s="39" t="n">
        <f aca="false">PR_PT(D$2,$A3)</f>
        <v>2015</v>
      </c>
      <c r="E3" s="39" t="n">
        <f aca="false">PR_PT(E$2,$A3)</f>
        <v>2015</v>
      </c>
      <c r="F3" s="39" t="n">
        <f aca="false">PR_PT(F$2,$A3)</f>
        <v>2015</v>
      </c>
      <c r="G3" s="39" t="n">
        <f aca="false">PR_PT(G$2,$A3)</f>
        <v>2015</v>
      </c>
      <c r="H3" s="39" t="n">
        <f aca="false">PR_PT(H$2,$A3)</f>
        <v>2015</v>
      </c>
      <c r="I3" s="39" t="n">
        <f aca="false">PR_PT(I$2,$A3)</f>
        <v>2015</v>
      </c>
      <c r="J3" s="39" t="n">
        <f aca="false">PR_PT(J$2,$A3)</f>
        <v>2015</v>
      </c>
      <c r="K3" s="39" t="n">
        <f aca="false">PR_PT(K$2,$A3)</f>
        <v>2015</v>
      </c>
      <c r="L3" s="39" t="n">
        <f aca="false">PR_PT(L$2,$A3)</f>
        <v>2015</v>
      </c>
      <c r="M3" s="39" t="n">
        <f aca="false">PR_PT(M$2,$A3)</f>
        <v>2015</v>
      </c>
      <c r="N3" s="39" t="n">
        <f aca="false">PR_PT(N$2,$A3)</f>
        <v>2015</v>
      </c>
      <c r="O3" s="39" t="n">
        <f aca="false">PR_PT(O$2,$A3)</f>
        <v>2015</v>
      </c>
      <c r="P3" s="39" t="n">
        <f aca="false">PR_PT(P$2,$A3)</f>
        <v>2015</v>
      </c>
      <c r="Q3" s="39" t="n">
        <f aca="false">PR_PT(Q$2,$A3)</f>
        <v>2015</v>
      </c>
      <c r="R3" s="39" t="n">
        <f aca="false">PR_PT(R$2,$A3)</f>
        <v>2015</v>
      </c>
      <c r="S3" s="39" t="n">
        <f aca="false">PR_PT(S$2,$A3)</f>
        <v>2015</v>
      </c>
      <c r="T3" s="39" t="n">
        <f aca="false">PR_PT(T$2,$A3)</f>
        <v>2015</v>
      </c>
      <c r="U3" s="39" t="n">
        <f aca="false">PR_PT(U$2,$A3)</f>
        <v>2015</v>
      </c>
      <c r="V3" s="39" t="n">
        <f aca="false">PR_PT(V$2,$A3)</f>
        <v>2015</v>
      </c>
      <c r="W3" s="39" t="n">
        <f aca="false">PR_PT(W$2,$A3)</f>
        <v>2015</v>
      </c>
      <c r="X3" s="39" t="n">
        <f aca="false">PR_PT(X$2,$A3)</f>
        <v>2015</v>
      </c>
      <c r="Y3" s="39" t="n">
        <f aca="false">PR_PT(Y$2,$A3)</f>
        <v>2015</v>
      </c>
      <c r="Z3" s="39" t="n">
        <f aca="false">PR_PT(Z$2,$A3)</f>
        <v>2015</v>
      </c>
      <c r="AA3" s="39" t="n">
        <f aca="false">PR_PT(AA$2,$A3)</f>
        <v>2015</v>
      </c>
      <c r="AB3" s="39" t="n">
        <f aca="false">PR_PT(AB$2,$A3)</f>
        <v>2015</v>
      </c>
      <c r="AC3" s="39" t="n">
        <f aca="false">PR_PT(AC$2,$A3)</f>
        <v>2015</v>
      </c>
      <c r="AD3" s="39" t="n">
        <f aca="false">PR_PT(AD$2,$A3)</f>
        <v>2015</v>
      </c>
      <c r="AE3" s="39" t="n">
        <f aca="false">PR_PT(AE$2,$A3)</f>
        <v>2015</v>
      </c>
      <c r="AF3" s="39" t="n">
        <f aca="false">PR_PT(AF$2,$A3)</f>
        <v>2015</v>
      </c>
      <c r="AG3" s="39" t="n">
        <f aca="false">PR_PT(AG$2,$A3)</f>
        <v>2015</v>
      </c>
      <c r="AH3" s="39" t="n">
        <f aca="false">PR_PT(AH$2,$A3)</f>
        <v>2015</v>
      </c>
      <c r="AI3" s="39" t="n">
        <f aca="false">PR_PT(AI$2,$A3)</f>
        <v>2015</v>
      </c>
      <c r="AJ3" s="39" t="n">
        <f aca="false">PR_PT(AJ$2,$A3)</f>
        <v>2015</v>
      </c>
      <c r="AK3" s="39" t="n">
        <f aca="false">PR_PT(AK$2,$A3)</f>
        <v>2015</v>
      </c>
      <c r="AL3" s="39" t="n">
        <f aca="false">PR_PT(AL$2,$A3)</f>
        <v>2015</v>
      </c>
      <c r="AM3" s="39" t="n">
        <f aca="false">PR_PT(AM$2,$A3)</f>
        <v>2015</v>
      </c>
      <c r="AN3" s="39" t="n">
        <f aca="false">PR_PT(AN$2,$A3)</f>
        <v>2015</v>
      </c>
      <c r="AO3" s="39" t="n">
        <f aca="false">PR_PT(AO$2,$A3)</f>
        <v>2015</v>
      </c>
      <c r="AP3" s="39" t="n">
        <f aca="false">PR_PT(AP$2,$A3)</f>
        <v>2015</v>
      </c>
      <c r="AQ3" s="39" t="n">
        <f aca="false">PR_PT(AQ$2,$A3)</f>
        <v>2015</v>
      </c>
      <c r="AR3" s="39" t="n">
        <f aca="false">PR_PT(AR$2,$A3)</f>
        <v>2015</v>
      </c>
      <c r="AS3" s="39" t="n">
        <f aca="false">PR_PT(AS$2,$A3)</f>
        <v>2015</v>
      </c>
    </row>
    <row r="4" customFormat="false" ht="13.8" hidden="false" customHeight="false" outlineLevel="0" collapsed="false">
      <c r="A4" s="0" t="n">
        <v>0.1</v>
      </c>
      <c r="B4" s="39" t="n">
        <f aca="false">PR_PT(B$2,$A4)</f>
        <v>2015</v>
      </c>
      <c r="C4" s="39" t="n">
        <f aca="false">PR_PT(C$2,$A4)</f>
        <v>13.4018434536891</v>
      </c>
      <c r="D4" s="39" t="n">
        <f aca="false">PR_PT(D$2,$A4)</f>
        <v>13.4018385822115</v>
      </c>
      <c r="E4" s="39" t="n">
        <f aca="false">PR_PT(E$2,$A4)</f>
        <v>13.401833710739</v>
      </c>
      <c r="F4" s="39" t="n">
        <f aca="false">PR_PT(F$2,$A4)</f>
        <v>13.4018288392717</v>
      </c>
      <c r="G4" s="39" t="n">
        <f aca="false">PR_PT(G$2,$A4)</f>
        <v>13.4017801248872</v>
      </c>
      <c r="H4" s="39" t="n">
        <f aca="false">PR_PT(H$2,$A4)</f>
        <v>13.4017314110256</v>
      </c>
      <c r="I4" s="39" t="n">
        <f aca="false">PR_PT(I$2,$A4)</f>
        <v>13.4016826976871</v>
      </c>
      <c r="J4" s="39" t="n">
        <f aca="false">PR_PT(J$2,$A4)</f>
        <v>13.4016339848713</v>
      </c>
      <c r="K4" s="39" t="n">
        <f aca="false">PR_PT(K$2,$A4)</f>
        <v>13.4015852725784</v>
      </c>
      <c r="L4" s="39" t="n">
        <f aca="false">PR_PT(L$2,$A4)</f>
        <v>13.4015365608084</v>
      </c>
      <c r="M4" s="39" t="n">
        <f aca="false">PR_PT(M$2,$A4)</f>
        <v>13.4014878495614</v>
      </c>
      <c r="N4" s="39" t="n">
        <f aca="false">PR_PT(N$2,$A4)</f>
        <v>13.4014391388372</v>
      </c>
      <c r="O4" s="39" t="n">
        <f aca="false">PR_PT(O$2,$A4)</f>
        <v>13.4013904286358</v>
      </c>
      <c r="P4" s="39" t="n">
        <f aca="false">PR_PT(P$2,$A4)</f>
        <v>13.400903355381</v>
      </c>
      <c r="Q4" s="39" t="n">
        <f aca="false">PR_PT(Q$2,$A4)</f>
        <v>13.4004163344095</v>
      </c>
      <c r="R4" s="39" t="n">
        <f aca="false">PR_PT(R$2,$A4)</f>
        <v>13.3999293657157</v>
      </c>
      <c r="S4" s="39" t="n">
        <f aca="false">PR_PT(S$2,$A4)</f>
        <v>13.3994424492942</v>
      </c>
      <c r="T4" s="39" t="n">
        <f aca="false">PR_PT(T$2,$A4)</f>
        <v>13.3989555851397</v>
      </c>
      <c r="U4" s="39" t="n">
        <f aca="false">PR_PT(U$2,$A4)</f>
        <v>13.3984687732463</v>
      </c>
      <c r="V4" s="39" t="n">
        <f aca="false">PR_PT(V$2,$A4)</f>
        <v>13.3979820136088</v>
      </c>
      <c r="W4" s="39" t="n">
        <f aca="false">PR_PT(W$2,$A4)</f>
        <v>13.397495306222</v>
      </c>
      <c r="X4" s="39" t="n">
        <f aca="false">PR_PT(X$2,$A4)</f>
        <v>13.3970086510802</v>
      </c>
      <c r="Y4" s="39" t="n">
        <f aca="false">PR_PT(Y$2,$A4)</f>
        <v>13.3921449719397</v>
      </c>
      <c r="Z4" s="39" t="n">
        <f aca="false">PR_PT(Z$2,$A4)</f>
        <v>13.387286511308</v>
      </c>
      <c r="AA4" s="39" t="n">
        <f aca="false">PR_PT(AA$2,$A4)</f>
        <v>13.3824332637422</v>
      </c>
      <c r="AB4" s="39" t="n">
        <f aca="false">PR_PT(AB$2,$A4)</f>
        <v>13.3775852238044</v>
      </c>
      <c r="AC4" s="39" t="n">
        <f aca="false">PR_PT(AC$2,$A4)</f>
        <v>13.3727423860626</v>
      </c>
      <c r="AD4" s="39" t="n">
        <f aca="false">PR_PT(AD$2,$A4)</f>
        <v>13.3679047450905</v>
      </c>
      <c r="AE4" s="39" t="n">
        <f aca="false">PR_PT(AE$2,$A4)</f>
        <v>13.3630722954683</v>
      </c>
      <c r="AF4" s="39" t="n">
        <f aca="false">PR_PT(AF$2,$A4)</f>
        <v>13.3582450317808</v>
      </c>
      <c r="AG4" s="39" t="n">
        <f aca="false">PR_PT(AG$2,$A4)</f>
        <v>13.3534229486194</v>
      </c>
      <c r="AH4" s="39" t="n">
        <f aca="false">PR_PT(AH$2,$A4)</f>
        <v>13.3054858601212</v>
      </c>
      <c r="AI4" s="39" t="n">
        <f aca="false">PR_PT(AI$2,$A4)</f>
        <v>13.258060917203</v>
      </c>
      <c r="AJ4" s="39" t="n">
        <f aca="false">PR_PT(AJ$2,$A4)</f>
        <v>13.2111428055293</v>
      </c>
      <c r="AK4" s="39" t="n">
        <f aca="false">PR_PT(AK$2,$A4)</f>
        <v>13.1647262674551</v>
      </c>
      <c r="AL4" s="39" t="n">
        <f aca="false">PR_PT(AL$2,$A4)</f>
        <v>13.1188061015669</v>
      </c>
      <c r="AM4" s="39" t="n">
        <f aca="false">PR_PT(AM$2,$A4)</f>
        <v>13.0733771622218</v>
      </c>
      <c r="AN4" s="39" t="n">
        <f aca="false">PR_PT(AN$2,$A4)</f>
        <v>13.0284343590856</v>
      </c>
      <c r="AO4" s="39" t="n">
        <f aca="false">PR_PT(AO$2,$A4)</f>
        <v>12.9839726566696</v>
      </c>
      <c r="AP4" s="39" t="n">
        <f aca="false">PR_PT(AP$2,$A4)</f>
        <v>12.9399870738656</v>
      </c>
      <c r="AQ4" s="39" t="n">
        <f aca="false">PR_PT(AQ$2,$A4)</f>
        <v>12.5252599309688</v>
      </c>
      <c r="AR4" s="39" t="n">
        <f aca="false">PR_PT(AR$2,$A4)</f>
        <v>12.4451000073678</v>
      </c>
      <c r="AS4" s="39" t="n">
        <f aca="false">PR_PT(AS$2,$A4)</f>
        <v>12.4093315141892</v>
      </c>
    </row>
    <row r="5" customFormat="false" ht="13.8" hidden="false" customHeight="false" outlineLevel="0" collapsed="false">
      <c r="A5" s="0" t="n">
        <v>0.2</v>
      </c>
      <c r="B5" s="39" t="n">
        <f aca="false">PR_PT(B$2,$A5)</f>
        <v>2015</v>
      </c>
      <c r="C5" s="39" t="n">
        <f aca="false">PR_PT(C$2,$A5)</f>
        <v>13.3492444052435</v>
      </c>
      <c r="D5" s="39" t="n">
        <f aca="false">PR_PT(D$2,$A5)</f>
        <v>13.3492395682356</v>
      </c>
      <c r="E5" s="39" t="n">
        <f aca="false">PR_PT(E$2,$A5)</f>
        <v>13.3492347312329</v>
      </c>
      <c r="F5" s="39" t="n">
        <f aca="false">PR_PT(F$2,$A5)</f>
        <v>13.3492298942353</v>
      </c>
      <c r="G5" s="39" t="n">
        <f aca="false">PR_PT(G$2,$A5)</f>
        <v>13.3491815245445</v>
      </c>
      <c r="H5" s="39" t="n">
        <f aca="false">PR_PT(H$2,$A5)</f>
        <v>13.3491331553727</v>
      </c>
      <c r="I5" s="39" t="n">
        <f aca="false">PR_PT(I$2,$A5)</f>
        <v>13.3490847867196</v>
      </c>
      <c r="J5" s="39" t="n">
        <f aca="false">PR_PT(J$2,$A5)</f>
        <v>13.3490364185846</v>
      </c>
      <c r="K5" s="39" t="n">
        <f aca="false">PR_PT(K$2,$A5)</f>
        <v>13.3489880509686</v>
      </c>
      <c r="L5" s="39" t="n">
        <f aca="false">PR_PT(L$2,$A5)</f>
        <v>13.3489396838711</v>
      </c>
      <c r="M5" s="39" t="n">
        <f aca="false">PR_PT(M$2,$A5)</f>
        <v>13.3488913172923</v>
      </c>
      <c r="N5" s="39" t="n">
        <f aca="false">PR_PT(N$2,$A5)</f>
        <v>13.348842951232</v>
      </c>
      <c r="O5" s="39" t="n">
        <f aca="false">PR_PT(O$2,$A5)</f>
        <v>13.3487945856902</v>
      </c>
      <c r="P5" s="39" t="n">
        <f aca="false">PR_PT(P$2,$A5)</f>
        <v>13.3483109587935</v>
      </c>
      <c r="Q5" s="39" t="n">
        <f aca="false">PR_PT(Q$2,$A5)</f>
        <v>13.3478273837484</v>
      </c>
      <c r="R5" s="39" t="n">
        <f aca="false">PR_PT(R$2,$A5)</f>
        <v>13.3473438605499</v>
      </c>
      <c r="S5" s="39" t="n">
        <f aca="false">PR_PT(S$2,$A5)</f>
        <v>13.3468603891926</v>
      </c>
      <c r="T5" s="39" t="n">
        <f aca="false">PR_PT(T$2,$A5)</f>
        <v>13.3463769696709</v>
      </c>
      <c r="U5" s="39" t="n">
        <f aca="false">PR_PT(U$2,$A5)</f>
        <v>13.3458936019795</v>
      </c>
      <c r="V5" s="39" t="n">
        <f aca="false">PR_PT(V$2,$A5)</f>
        <v>13.345410286113</v>
      </c>
      <c r="W5" s="39" t="n">
        <f aca="false">PR_PT(W$2,$A5)</f>
        <v>13.344927022066</v>
      </c>
      <c r="X5" s="39" t="n">
        <f aca="false">PR_PT(X$2,$A5)</f>
        <v>13.344443809833</v>
      </c>
      <c r="Y5" s="39" t="n">
        <f aca="false">PR_PT(Y$2,$A5)</f>
        <v>13.3396145360907</v>
      </c>
      <c r="Z5" s="39" t="n">
        <f aca="false">PR_PT(Z$2,$A5)</f>
        <v>13.3347904378209</v>
      </c>
      <c r="AA5" s="39" t="n">
        <f aca="false">PR_PT(AA$2,$A5)</f>
        <v>13.3299715096334</v>
      </c>
      <c r="AB5" s="39" t="n">
        <f aca="false">PR_PT(AB$2,$A5)</f>
        <v>13.3251577461425</v>
      </c>
      <c r="AC5" s="39" t="n">
        <f aca="false">PR_PT(AC$2,$A5)</f>
        <v>13.3203491419692</v>
      </c>
      <c r="AD5" s="39" t="n">
        <f aca="false">PR_PT(AD$2,$A5)</f>
        <v>13.31554569174</v>
      </c>
      <c r="AE5" s="39" t="n">
        <f aca="false">PR_PT(AE$2,$A5)</f>
        <v>13.3107473900871</v>
      </c>
      <c r="AF5" s="39" t="n">
        <f aca="false">PR_PT(AF$2,$A5)</f>
        <v>13.3059542316482</v>
      </c>
      <c r="AG5" s="39" t="n">
        <f aca="false">PR_PT(AG$2,$A5)</f>
        <v>13.3011662110671</v>
      </c>
      <c r="AH5" s="39" t="n">
        <f aca="false">PR_PT(AH$2,$A5)</f>
        <v>13.2535674130846</v>
      </c>
      <c r="AI5" s="39" t="n">
        <f aca="false">PR_PT(AI$2,$A5)</f>
        <v>13.2064765509902</v>
      </c>
      <c r="AJ5" s="39" t="n">
        <f aca="false">PR_PT(AJ$2,$A5)</f>
        <v>13.1598883617901</v>
      </c>
      <c r="AK5" s="39" t="n">
        <f aca="false">PR_PT(AK$2,$A5)</f>
        <v>13.1137976385532</v>
      </c>
      <c r="AL5" s="39" t="n">
        <f aca="false">PR_PT(AL$2,$A5)</f>
        <v>13.0681992299571</v>
      </c>
      <c r="AM5" s="39" t="n">
        <f aca="false">PR_PT(AM$2,$A5)</f>
        <v>13.0230880398328</v>
      </c>
      <c r="AN5" s="39" t="n">
        <f aca="false">PR_PT(AN$2,$A5)</f>
        <v>12.9784590267097</v>
      </c>
      <c r="AO5" s="39" t="n">
        <f aca="false">PR_PT(AO$2,$A5)</f>
        <v>12.9343072033557</v>
      </c>
      <c r="AP5" s="39" t="n">
        <f aca="false">PR_PT(AP$2,$A5)</f>
        <v>12.8906276363193</v>
      </c>
      <c r="AQ5" s="39" t="n">
        <f aca="false">PR_PT(AQ$2,$A5)</f>
        <v>12.4787582363944</v>
      </c>
      <c r="AR5" s="39" t="n">
        <f aca="false">PR_PT(AR$2,$A5)</f>
        <v>12.3991446878916</v>
      </c>
      <c r="AS5" s="39" t="n">
        <f aca="false">PR_PT(AS$2,$A5)</f>
        <v>12.3636193448568</v>
      </c>
    </row>
    <row r="6" customFormat="false" ht="13.8" hidden="false" customHeight="false" outlineLevel="0" collapsed="false">
      <c r="A6" s="0" t="n">
        <v>0.3</v>
      </c>
      <c r="B6" s="39" t="n">
        <f aca="false">PR_PT(B$2,$A6)</f>
        <v>1.05399725949728</v>
      </c>
      <c r="C6" s="39" t="n">
        <f aca="false">PR_PT(C$2,$A6)</f>
        <v>13.2969650057787</v>
      </c>
      <c r="D6" s="39" t="n">
        <f aca="false">PR_PT(D$2,$A6)</f>
        <v>13.2969602029349</v>
      </c>
      <c r="E6" s="39" t="n">
        <f aca="false">PR_PT(E$2,$A6)</f>
        <v>13.2969554000962</v>
      </c>
      <c r="F6" s="39" t="n">
        <f aca="false">PR_PT(F$2,$A6)</f>
        <v>13.2969505972624</v>
      </c>
      <c r="G6" s="39" t="n">
        <f aca="false">PR_PT(G$2,$A6)</f>
        <v>13.2969025692095</v>
      </c>
      <c r="H6" s="39" t="n">
        <f aca="false">PR_PT(H$2,$A6)</f>
        <v>13.2968545416709</v>
      </c>
      <c r="I6" s="39" t="n">
        <f aca="false">PR_PT(I$2,$A6)</f>
        <v>13.2968065146464</v>
      </c>
      <c r="J6" s="39" t="n">
        <f aca="false">PR_PT(J$2,$A6)</f>
        <v>13.2967584881365</v>
      </c>
      <c r="K6" s="39" t="n">
        <f aca="false">PR_PT(K$2,$A6)</f>
        <v>13.2967104621408</v>
      </c>
      <c r="L6" s="39" t="n">
        <f aca="false">PR_PT(L$2,$A6)</f>
        <v>13.2966624366593</v>
      </c>
      <c r="M6" s="39" t="n">
        <f aca="false">PR_PT(M$2,$A6)</f>
        <v>13.2966144116922</v>
      </c>
      <c r="N6" s="39" t="n">
        <f aca="false">PR_PT(N$2,$A6)</f>
        <v>13.2965663872396</v>
      </c>
      <c r="O6" s="39" t="n">
        <f aca="false">PR_PT(O$2,$A6)</f>
        <v>13.2965183633012</v>
      </c>
      <c r="P6" s="39" t="n">
        <f aca="false">PR_PT(P$2,$A6)</f>
        <v>13.2960381522027</v>
      </c>
      <c r="Q6" s="39" t="n">
        <f aca="false">PR_PT(Q$2,$A6)</f>
        <v>13.2955579925295</v>
      </c>
      <c r="R6" s="39" t="n">
        <f aca="false">PR_PT(R$2,$A6)</f>
        <v>13.2950778842758</v>
      </c>
      <c r="S6" s="39" t="n">
        <f aca="false">PR_PT(S$2,$A6)</f>
        <v>13.2945978274363</v>
      </c>
      <c r="T6" s="39" t="n">
        <f aca="false">PR_PT(T$2,$A6)</f>
        <v>13.2941178220057</v>
      </c>
      <c r="U6" s="39" t="n">
        <f aca="false">PR_PT(U$2,$A6)</f>
        <v>13.2936378679787</v>
      </c>
      <c r="V6" s="39" t="n">
        <f aca="false">PR_PT(V$2,$A6)</f>
        <v>13.2931579653499</v>
      </c>
      <c r="W6" s="39" t="n">
        <f aca="false">PR_PT(W$2,$A6)</f>
        <v>13.2926781141139</v>
      </c>
      <c r="X6" s="39" t="n">
        <f aca="false">PR_PT(X$2,$A6)</f>
        <v>13.2921983142654</v>
      </c>
      <c r="Y6" s="39" t="n">
        <f aca="false">PR_PT(Y$2,$A6)</f>
        <v>13.2874031409188</v>
      </c>
      <c r="Z6" s="39" t="n">
        <f aca="false">PR_PT(Z$2,$A6)</f>
        <v>13.2826131004458</v>
      </c>
      <c r="AA6" s="39" t="n">
        <f aca="false">PR_PT(AA$2,$A6)</f>
        <v>13.2778281875074</v>
      </c>
      <c r="AB6" s="39" t="n">
        <f aca="false">PR_PT(AB$2,$A6)</f>
        <v>13.2730483967711</v>
      </c>
      <c r="AC6" s="39" t="n">
        <f aca="false">PR_PT(AC$2,$A6)</f>
        <v>13.2682737229092</v>
      </c>
      <c r="AD6" s="39" t="n">
        <f aca="false">PR_PT(AD$2,$A6)</f>
        <v>13.2635041606006</v>
      </c>
      <c r="AE6" s="39" t="n">
        <f aca="false">PR_PT(AE$2,$A6)</f>
        <v>13.2587397045296</v>
      </c>
      <c r="AF6" s="39" t="n">
        <f aca="false">PR_PT(AF$2,$A6)</f>
        <v>13.2539803493852</v>
      </c>
      <c r="AG6" s="39" t="n">
        <f aca="false">PR_PT(AG$2,$A6)</f>
        <v>13.2492260898632</v>
      </c>
      <c r="AH6" s="39" t="n">
        <f aca="false">PR_PT(AH$2,$A6)</f>
        <v>13.2019625908726</v>
      </c>
      <c r="AI6" s="39" t="n">
        <f aca="false">PR_PT(AI$2,$A6)</f>
        <v>13.1552028607266</v>
      </c>
      <c r="AJ6" s="39" t="n">
        <f aca="false">PR_PT(AJ$2,$A6)</f>
        <v>13.1089416871815</v>
      </c>
      <c r="AK6" s="39" t="n">
        <f aca="false">PR_PT(AK$2,$A6)</f>
        <v>13.0631739134355</v>
      </c>
      <c r="AL6" s="39" t="n">
        <f aca="false">PR_PT(AL$2,$A6)</f>
        <v>13.0178944376821</v>
      </c>
      <c r="AM6" s="39" t="n">
        <f aca="false">PR_PT(AM$2,$A6)</f>
        <v>12.973098212659</v>
      </c>
      <c r="AN6" s="39" t="n">
        <f aca="false">PR_PT(AN$2,$A6)</f>
        <v>12.9287802451979</v>
      </c>
      <c r="AO6" s="39" t="n">
        <f aca="false">PR_PT(AO$2,$A6)</f>
        <v>12.8849355957715</v>
      </c>
      <c r="AP6" s="39" t="n">
        <f aca="false">PR_PT(AP$2,$A6)</f>
        <v>12.8415593780404</v>
      </c>
      <c r="AQ6" s="39" t="n">
        <f aca="false">PR_PT(AQ$2,$A6)</f>
        <v>12.4325230689614</v>
      </c>
      <c r="AR6" s="39" t="n">
        <f aca="false">PR_PT(AR$2,$A6)</f>
        <v>12.3534512362205</v>
      </c>
      <c r="AS6" s="39" t="n">
        <f aca="false">PR_PT(AS$2,$A6)</f>
        <v>12.3181669756858</v>
      </c>
    </row>
    <row r="7" customFormat="false" ht="13.8" hidden="false" customHeight="false" outlineLevel="0" collapsed="false">
      <c r="A7" s="0" t="n">
        <v>0.4</v>
      </c>
      <c r="B7" s="39" t="n">
        <f aca="false">PR_PT(B$2,$A7)</f>
        <v>1.05362425309533</v>
      </c>
      <c r="C7" s="39" t="n">
        <f aca="false">PR_PT(C$2,$A7)</f>
        <v>13.245002640042</v>
      </c>
      <c r="D7" s="39" t="n">
        <f aca="false">PR_PT(D$2,$A7)</f>
        <v>13.2449978710597</v>
      </c>
      <c r="E7" s="39" t="n">
        <f aca="false">PR_PT(E$2,$A7)</f>
        <v>13.2449931020827</v>
      </c>
      <c r="F7" s="39" t="n">
        <f aca="false">PR_PT(F$2,$A7)</f>
        <v>13.2449883331108</v>
      </c>
      <c r="G7" s="39" t="n">
        <f aca="false">PR_PT(G$2,$A7)</f>
        <v>13.2449406436713</v>
      </c>
      <c r="H7" s="39" t="n">
        <f aca="false">PR_PT(H$2,$A7)</f>
        <v>13.244892954742</v>
      </c>
      <c r="I7" s="39" t="n">
        <f aca="false">PR_PT(I$2,$A7)</f>
        <v>13.2448452663227</v>
      </c>
      <c r="J7" s="39" t="n">
        <f aca="false">PR_PT(J$2,$A7)</f>
        <v>13.2447975784136</v>
      </c>
      <c r="K7" s="39" t="n">
        <f aca="false">PR_PT(K$2,$A7)</f>
        <v>13.2447498910147</v>
      </c>
      <c r="L7" s="39" t="n">
        <f aca="false">PR_PT(L$2,$A7)</f>
        <v>13.2447022041258</v>
      </c>
      <c r="M7" s="39" t="n">
        <f aca="false">PR_PT(M$2,$A7)</f>
        <v>13.244654517747</v>
      </c>
      <c r="N7" s="39" t="n">
        <f aca="false">PR_PT(N$2,$A7)</f>
        <v>13.2446068318785</v>
      </c>
      <c r="O7" s="39" t="n">
        <f aca="false">PR_PT(O$2,$A7)</f>
        <v>13.2445591465198</v>
      </c>
      <c r="P7" s="39" t="n">
        <f aca="false">PR_PT(P$2,$A7)</f>
        <v>13.244082320987</v>
      </c>
      <c r="Q7" s="39" t="n">
        <f aca="false">PR_PT(Q$2,$A7)</f>
        <v>13.2436055464566</v>
      </c>
      <c r="R7" s="39" t="n">
        <f aca="false">PR_PT(R$2,$A7)</f>
        <v>13.2431288229232</v>
      </c>
      <c r="S7" s="39" t="n">
        <f aca="false">PR_PT(S$2,$A7)</f>
        <v>13.2426521503816</v>
      </c>
      <c r="T7" s="39" t="n">
        <f aca="false">PR_PT(T$2,$A7)</f>
        <v>13.2421755288267</v>
      </c>
      <c r="U7" s="39" t="n">
        <f aca="false">PR_PT(U$2,$A7)</f>
        <v>13.2416989582527</v>
      </c>
      <c r="V7" s="39" t="n">
        <f aca="false">PR_PT(V$2,$A7)</f>
        <v>13.2412224386546</v>
      </c>
      <c r="W7" s="39" t="n">
        <f aca="false">PR_PT(W$2,$A7)</f>
        <v>13.2407459700272</v>
      </c>
      <c r="X7" s="39" t="n">
        <f aca="false">PR_PT(X$2,$A7)</f>
        <v>13.2402695523649</v>
      </c>
      <c r="Y7" s="39" t="n">
        <f aca="false">PR_PT(Y$2,$A7)</f>
        <v>13.2355081776687</v>
      </c>
      <c r="Z7" s="39" t="n">
        <f aca="false">PR_PT(Z$2,$A7)</f>
        <v>13.2307518936787</v>
      </c>
      <c r="AA7" s="39" t="n">
        <f aca="false">PR_PT(AA$2,$A7)</f>
        <v>13.226000695108</v>
      </c>
      <c r="AB7" s="39" t="n">
        <f aca="false">PR_PT(AB$2,$A7)</f>
        <v>13.2212545766754</v>
      </c>
      <c r="AC7" s="39" t="n">
        <f aca="false">PR_PT(AC$2,$A7)</f>
        <v>13.2165135331047</v>
      </c>
      <c r="AD7" s="39" t="n">
        <f aca="false">PR_PT(AD$2,$A7)</f>
        <v>13.2117775591262</v>
      </c>
      <c r="AE7" s="39" t="n">
        <f aca="false">PR_PT(AE$2,$A7)</f>
        <v>13.2070466494749</v>
      </c>
      <c r="AF7" s="39" t="n">
        <f aca="false">PR_PT(AF$2,$A7)</f>
        <v>13.2023207988919</v>
      </c>
      <c r="AG7" s="39" t="n">
        <f aca="false">PR_PT(AG$2,$A7)</f>
        <v>13.1976000021238</v>
      </c>
      <c r="AH7" s="39" t="n">
        <f aca="false">PR_PT(AH$2,$A7)</f>
        <v>13.1506688424781</v>
      </c>
      <c r="AI7" s="39" t="n">
        <f aca="false">PR_PT(AI$2,$A7)</f>
        <v>13.1042373267745</v>
      </c>
      <c r="AJ7" s="39" t="n">
        <f aca="false">PR_PT(AJ$2,$A7)</f>
        <v>13.0583002929347</v>
      </c>
      <c r="AK7" s="39" t="n">
        <f aca="false">PR_PT(AK$2,$A7)</f>
        <v>13.0128526337113</v>
      </c>
      <c r="AL7" s="39" t="n">
        <f aca="false">PR_PT(AL$2,$A7)</f>
        <v>12.9678892962445</v>
      </c>
      <c r="AM7" s="39" t="n">
        <f aca="false">PR_PT(AM$2,$A7)</f>
        <v>12.9234052816184</v>
      </c>
      <c r="AN7" s="39" t="n">
        <f aca="false">PR_PT(AN$2,$A7)</f>
        <v>12.879395644415</v>
      </c>
      <c r="AO7" s="39" t="n">
        <f aca="false">PR_PT(AO$2,$A7)</f>
        <v>12.8358554922662</v>
      </c>
      <c r="AP7" s="39" t="n">
        <f aca="false">PR_PT(AP$2,$A7)</f>
        <v>12.7927799854073</v>
      </c>
      <c r="AQ7" s="39" t="n">
        <f aca="false">PR_PT(AQ$2,$A7)</f>
        <v>12.3865523717971</v>
      </c>
      <c r="AR7" s="39" t="n">
        <f aca="false">PR_PT(AR$2,$A7)</f>
        <v>12.3080176434926</v>
      </c>
      <c r="AS7" s="39" t="n">
        <f aca="false">PR_PT(AS$2,$A7)</f>
        <v>12.272972419065</v>
      </c>
    </row>
    <row r="8" customFormat="false" ht="13.8" hidden="false" customHeight="false" outlineLevel="0" collapsed="false">
      <c r="A8" s="0" t="n">
        <v>0.5</v>
      </c>
      <c r="B8" s="39" t="n">
        <f aca="false">PR_PT(B$2,$A8)</f>
        <v>1.05325496121455</v>
      </c>
      <c r="C8" s="39" t="n">
        <f aca="false">PR_PT(C$2,$A8)</f>
        <v>13.1933547195223</v>
      </c>
      <c r="D8" s="39" t="n">
        <f aca="false">PR_PT(D$2,$A8)</f>
        <v>13.1933499841027</v>
      </c>
      <c r="E8" s="39" t="n">
        <f aca="false">PR_PT(E$2,$A8)</f>
        <v>13.1933452486879</v>
      </c>
      <c r="F8" s="39" t="n">
        <f aca="false">PR_PT(F$2,$A8)</f>
        <v>13.1933405132784</v>
      </c>
      <c r="G8" s="39" t="n">
        <f aca="false">PR_PT(G$2,$A8)</f>
        <v>13.193293159461</v>
      </c>
      <c r="H8" s="39" t="n">
        <f aca="false">PR_PT(H$2,$A8)</f>
        <v>13.1932458061496</v>
      </c>
      <c r="I8" s="39" t="n">
        <f aca="false">PR_PT(I$2,$A8)</f>
        <v>13.193198453344</v>
      </c>
      <c r="J8" s="39" t="n">
        <f aca="false">PR_PT(J$2,$A8)</f>
        <v>13.1931511010443</v>
      </c>
      <c r="K8" s="39" t="n">
        <f aca="false">PR_PT(K$2,$A8)</f>
        <v>13.1931037492505</v>
      </c>
      <c r="L8" s="39" t="n">
        <f aca="false">PR_PT(L$2,$A8)</f>
        <v>13.1930563979628</v>
      </c>
      <c r="M8" s="39" t="n">
        <f aca="false">PR_PT(M$2,$A8)</f>
        <v>13.1930090471807</v>
      </c>
      <c r="N8" s="39" t="n">
        <f aca="false">PR_PT(N$2,$A8)</f>
        <v>13.1929616969048</v>
      </c>
      <c r="O8" s="39" t="n">
        <f aca="false">PR_PT(O$2,$A8)</f>
        <v>13.1929143471347</v>
      </c>
      <c r="P8" s="39" t="n">
        <f aca="false">PR_PT(P$2,$A8)</f>
        <v>13.1924408772569</v>
      </c>
      <c r="Q8" s="39" t="n">
        <f aca="false">PR_PT(Q$2,$A8)</f>
        <v>13.1919674579633</v>
      </c>
      <c r="R8" s="39" t="n">
        <f aca="false">PR_PT(R$2,$A8)</f>
        <v>13.1914940892483</v>
      </c>
      <c r="S8" s="39" t="n">
        <f aca="false">PR_PT(S$2,$A8)</f>
        <v>13.1910207711069</v>
      </c>
      <c r="T8" s="39" t="n">
        <f aca="false">PR_PT(T$2,$A8)</f>
        <v>13.1905475035338</v>
      </c>
      <c r="U8" s="39" t="n">
        <f aca="false">PR_PT(U$2,$A8)</f>
        <v>13.1900742865237</v>
      </c>
      <c r="V8" s="39" t="n">
        <f aca="false">PR_PT(V$2,$A8)</f>
        <v>13.1896011200716</v>
      </c>
      <c r="W8" s="39" t="n">
        <f aca="false">PR_PT(W$2,$A8)</f>
        <v>13.1891280041719</v>
      </c>
      <c r="X8" s="39" t="n">
        <f aca="false">PR_PT(X$2,$A8)</f>
        <v>13.1886549388195</v>
      </c>
      <c r="Y8" s="39" t="n">
        <f aca="false">PR_PT(Y$2,$A8)</f>
        <v>13.1839270642452</v>
      </c>
      <c r="Z8" s="39" t="n">
        <f aca="false">PR_PT(Z$2,$A8)</f>
        <v>13.179204238637</v>
      </c>
      <c r="AA8" s="39" t="n">
        <f aca="false">PR_PT(AA$2,$A8)</f>
        <v>13.1744864567591</v>
      </c>
      <c r="AB8" s="39" t="n">
        <f aca="false">PR_PT(AB$2,$A8)</f>
        <v>13.1697737133808</v>
      </c>
      <c r="AC8" s="39" t="n">
        <f aca="false">PR_PT(AC$2,$A8)</f>
        <v>13.1650660032772</v>
      </c>
      <c r="AD8" s="39" t="n">
        <f aca="false">PR_PT(AD$2,$A8)</f>
        <v>13.1603633212291</v>
      </c>
      <c r="AE8" s="39" t="n">
        <f aca="false">PR_PT(AE$2,$A8)</f>
        <v>13.1556656620223</v>
      </c>
      <c r="AF8" s="39" t="n">
        <f aca="false">PR_PT(AF$2,$A8)</f>
        <v>13.1509730204488</v>
      </c>
      <c r="AG8" s="39" t="n">
        <f aca="false">PR_PT(AG$2,$A8)</f>
        <v>13.1462853913051</v>
      </c>
      <c r="AH8" s="39" t="n">
        <f aca="false">PR_PT(AH$2,$A8)</f>
        <v>13.0996836428384</v>
      </c>
      <c r="AI8" s="39" t="n">
        <f aca="false">PR_PT(AI$2,$A8)</f>
        <v>13.0535774550513</v>
      </c>
      <c r="AJ8" s="39" t="n">
        <f aca="false">PR_PT(AJ$2,$A8)</f>
        <v>13.0079617154551</v>
      </c>
      <c r="AK8" s="39" t="n">
        <f aca="false">PR_PT(AK$2,$A8)</f>
        <v>12.9628313657877</v>
      </c>
      <c r="AL8" s="39" t="n">
        <f aca="false">PR_PT(AL$2,$A8)</f>
        <v>12.9181814015761</v>
      </c>
      <c r="AM8" s="39" t="n">
        <f aca="false">PR_PT(AM$2,$A8)</f>
        <v>12.8740068716974</v>
      </c>
      <c r="AN8" s="39" t="n">
        <f aca="false">PR_PT(AN$2,$A8)</f>
        <v>12.8303028779374</v>
      </c>
      <c r="AO8" s="39" t="n">
        <f aca="false">PR_PT(AO$2,$A8)</f>
        <v>12.7870645745508</v>
      </c>
      <c r="AP8" s="39" t="n">
        <f aca="false">PR_PT(AP$2,$A8)</f>
        <v>12.7442871678165</v>
      </c>
      <c r="AQ8" s="39" t="n">
        <f aca="false">PR_PT(AQ$2,$A8)</f>
        <v>12.3408441079279</v>
      </c>
      <c r="AR8" s="39" t="n">
        <f aca="false">PR_PT(AR$2,$A8)</f>
        <v>12.2628419201685</v>
      </c>
      <c r="AS8" s="39" t="n">
        <f aca="false">PR_PT(AS$2,$A8)</f>
        <v>12.2280337064486</v>
      </c>
    </row>
    <row r="9" customFormat="false" ht="13.8" hidden="false" customHeight="false" outlineLevel="0" collapsed="false">
      <c r="A9" s="0" t="n">
        <v>0.6</v>
      </c>
      <c r="B9" s="39" t="n">
        <f aca="false">PR_PT(B$2,$A9)</f>
        <v>1.05288932399349</v>
      </c>
      <c r="C9" s="39" t="n">
        <f aca="false">PR_PT(C$2,$A9)</f>
        <v>13.1420186821242</v>
      </c>
      <c r="D9" s="39" t="n">
        <f aca="false">PR_PT(D$2,$A9)</f>
        <v>13.1420139799711</v>
      </c>
      <c r="E9" s="39" t="n">
        <f aca="false">PR_PT(E$2,$A9)</f>
        <v>13.1420092778229</v>
      </c>
      <c r="F9" s="39" t="n">
        <f aca="false">PR_PT(F$2,$A9)</f>
        <v>13.1420045756798</v>
      </c>
      <c r="G9" s="39" t="n">
        <f aca="false">PR_PT(G$2,$A9)</f>
        <v>13.1419575545246</v>
      </c>
      <c r="H9" s="39" t="n">
        <f aca="false">PR_PT(H$2,$A9)</f>
        <v>13.1419105338711</v>
      </c>
      <c r="I9" s="39" t="n">
        <f aca="false">PR_PT(I$2,$A9)</f>
        <v>13.1418635137193</v>
      </c>
      <c r="J9" s="39" t="n">
        <f aca="false">PR_PT(J$2,$A9)</f>
        <v>13.1418164940696</v>
      </c>
      <c r="K9" s="39" t="n">
        <f aca="false">PR_PT(K$2,$A9)</f>
        <v>13.1417694749215</v>
      </c>
      <c r="L9" s="39" t="n">
        <f aca="false">PR_PT(L$2,$A9)</f>
        <v>13.141722456275</v>
      </c>
      <c r="M9" s="39" t="n">
        <f aca="false">PR_PT(M$2,$A9)</f>
        <v>13.1416754381305</v>
      </c>
      <c r="N9" s="39" t="n">
        <f aca="false">PR_PT(N$2,$A9)</f>
        <v>13.1416284204877</v>
      </c>
      <c r="O9" s="39" t="n">
        <f aca="false">PR_PT(O$2,$A9)</f>
        <v>13.1415814033467</v>
      </c>
      <c r="P9" s="39" t="n">
        <f aca="false">PR_PT(P$2,$A9)</f>
        <v>13.1411112595319</v>
      </c>
      <c r="Q9" s="39" t="n">
        <f aca="false">PR_PT(Q$2,$A9)</f>
        <v>13.1406411658867</v>
      </c>
      <c r="R9" s="39" t="n">
        <f aca="false">PR_PT(R$2,$A9)</f>
        <v>13.1401711224065</v>
      </c>
      <c r="S9" s="39" t="n">
        <f aca="false">PR_PT(S$2,$A9)</f>
        <v>13.1397011290859</v>
      </c>
      <c r="T9" s="39" t="n">
        <f aca="false">PR_PT(T$2,$A9)</f>
        <v>13.1392311859193</v>
      </c>
      <c r="U9" s="39" t="n">
        <f aca="false">PR_PT(U$2,$A9)</f>
        <v>13.1387612929022</v>
      </c>
      <c r="V9" s="39" t="n">
        <f aca="false">PR_PT(V$2,$A9)</f>
        <v>13.1382914500289</v>
      </c>
      <c r="W9" s="39" t="n">
        <f aca="false">PR_PT(W$2,$A9)</f>
        <v>13.1378216572945</v>
      </c>
      <c r="X9" s="39" t="n">
        <f aca="false">PR_PT(X$2,$A9)</f>
        <v>13.1373519146938</v>
      </c>
      <c r="Y9" s="39" t="n">
        <f aca="false">PR_PT(Y$2,$A9)</f>
        <v>13.1326572448899</v>
      </c>
      <c r="Z9" s="39" t="n">
        <f aca="false">PR_PT(Z$2,$A9)</f>
        <v>13.127967582734</v>
      </c>
      <c r="AA9" s="39" t="n">
        <f aca="false">PR_PT(AA$2,$A9)</f>
        <v>13.1232829230403</v>
      </c>
      <c r="AB9" s="39" t="n">
        <f aca="false">PR_PT(AB$2,$A9)</f>
        <v>13.1186032606289</v>
      </c>
      <c r="AC9" s="39" t="n">
        <f aca="false">PR_PT(AC$2,$A9)</f>
        <v>13.113928590325</v>
      </c>
      <c r="AD9" s="39" t="n">
        <f aca="false">PR_PT(AD$2,$A9)</f>
        <v>13.1092589069595</v>
      </c>
      <c r="AE9" s="39" t="n">
        <f aca="false">PR_PT(AE$2,$A9)</f>
        <v>13.1045942053685</v>
      </c>
      <c r="AF9" s="39" t="n">
        <f aca="false">PR_PT(AF$2,$A9)</f>
        <v>13.0999344803936</v>
      </c>
      <c r="AG9" s="39" t="n">
        <f aca="false">PR_PT(AG$2,$A9)</f>
        <v>13.095279726882</v>
      </c>
      <c r="AH9" s="39" t="n">
        <f aca="false">PR_PT(AH$2,$A9)</f>
        <v>13.0490044925192</v>
      </c>
      <c r="AI9" s="39" t="n">
        <f aca="false">PR_PT(AI$2,$A9)</f>
        <v>13.0032207767203</v>
      </c>
      <c r="AJ9" s="39" t="n">
        <f aca="false">PR_PT(AJ$2,$A9)</f>
        <v>12.957923516017</v>
      </c>
      <c r="AK9" s="39" t="n">
        <f aca="false">PR_PT(AK$2,$A9)</f>
        <v>12.9131077005718</v>
      </c>
      <c r="AL9" s="39" t="n">
        <f aca="false">PR_PT(AL$2,$A9)</f>
        <v>12.8687683737447</v>
      </c>
      <c r="AM9" s="39" t="n">
        <f aca="false">PR_PT(AM$2,$A9)</f>
        <v>12.8249006316598</v>
      </c>
      <c r="AN9" s="39" t="n">
        <f aca="false">PR_PT(AN$2,$A9)</f>
        <v>12.7814996227698</v>
      </c>
      <c r="AO9" s="39" t="n">
        <f aca="false">PR_PT(AO$2,$A9)</f>
        <v>12.7385605474199</v>
      </c>
      <c r="AP9" s="39" t="n">
        <f aca="false">PR_PT(AP$2,$A9)</f>
        <v>12.6960786574099</v>
      </c>
      <c r="AQ9" s="39" t="n">
        <f aca="false">PR_PT(AQ$2,$A9)</f>
        <v>12.2953962600481</v>
      </c>
      <c r="AR9" s="39" t="n">
        <f aca="false">PR_PT(AR$2,$A9)</f>
        <v>12.2179220958056</v>
      </c>
      <c r="AS9" s="39" t="n">
        <f aca="false">PR_PT(AS$2,$A9)</f>
        <v>12.1833488881377</v>
      </c>
    </row>
    <row r="10" customFormat="false" ht="13.8" hidden="false" customHeight="false" outlineLevel="0" collapsed="false">
      <c r="A10" s="0" t="n">
        <v>0.7</v>
      </c>
      <c r="B10" s="39" t="n">
        <f aca="false">PR_PT(B$2,$A10)</f>
        <v>1.05252728263367</v>
      </c>
      <c r="C10" s="39" t="n">
        <f aca="false">PR_PT(C$2,$A10)</f>
        <v>13.0909919918488</v>
      </c>
      <c r="D10" s="39" t="n">
        <f aca="false">PR_PT(D$2,$A10)</f>
        <v>13.0909873226694</v>
      </c>
      <c r="E10" s="39" t="n">
        <f aca="false">PR_PT(E$2,$A10)</f>
        <v>13.090982653495</v>
      </c>
      <c r="F10" s="39" t="n">
        <f aca="false">PR_PT(F$2,$A10)</f>
        <v>13.0909779843253</v>
      </c>
      <c r="G10" s="39" t="n">
        <f aca="false">PR_PT(G$2,$A10)</f>
        <v>13.090931292904</v>
      </c>
      <c r="H10" s="39" t="n">
        <f aca="false">PR_PT(H$2,$A10)</f>
        <v>13.0908846019803</v>
      </c>
      <c r="I10" s="39" t="n">
        <f aca="false">PR_PT(I$2,$A10)</f>
        <v>13.0908379115542</v>
      </c>
      <c r="J10" s="39" t="n">
        <f aca="false">PR_PT(J$2,$A10)</f>
        <v>13.0907912216259</v>
      </c>
      <c r="K10" s="39" t="n">
        <f aca="false">PR_PT(K$2,$A10)</f>
        <v>13.0907445321953</v>
      </c>
      <c r="L10" s="39" t="n">
        <f aca="false">PR_PT(L$2,$A10)</f>
        <v>13.0906978432623</v>
      </c>
      <c r="M10" s="39" t="n">
        <f aca="false">PR_PT(M$2,$A10)</f>
        <v>13.0906511548269</v>
      </c>
      <c r="N10" s="39" t="n">
        <f aca="false">PR_PT(N$2,$A10)</f>
        <v>13.0906044668893</v>
      </c>
      <c r="O10" s="39" t="n">
        <f aca="false">PR_PT(O$2,$A10)</f>
        <v>13.0905577794494</v>
      </c>
      <c r="P10" s="39" t="n">
        <f aca="false">PR_PT(P$2,$A10)</f>
        <v>13.0900909324195</v>
      </c>
      <c r="Q10" s="39" t="n">
        <f aca="false">PR_PT(Q$2,$A10)</f>
        <v>13.0896241351495</v>
      </c>
      <c r="R10" s="39" t="n">
        <f aca="false">PR_PT(R$2,$A10)</f>
        <v>13.0891573876345</v>
      </c>
      <c r="S10" s="39" t="n">
        <f aca="false">PR_PT(S$2,$A10)</f>
        <v>13.0886906898692</v>
      </c>
      <c r="T10" s="39" t="n">
        <f aca="false">PR_PT(T$2,$A10)</f>
        <v>13.0882240418487</v>
      </c>
      <c r="U10" s="39" t="n">
        <f aca="false">PR_PT(U$2,$A10)</f>
        <v>13.0877574435675</v>
      </c>
      <c r="V10" s="39" t="n">
        <f aca="false">PR_PT(V$2,$A10)</f>
        <v>13.0872908950205</v>
      </c>
      <c r="W10" s="39" t="n">
        <f aca="false">PR_PT(W$2,$A10)</f>
        <v>13.086824396203</v>
      </c>
      <c r="X10" s="39" t="n">
        <f aca="false">PR_PT(X$2,$A10)</f>
        <v>13.0863579471092</v>
      </c>
      <c r="Y10" s="39" t="n">
        <f aca="false">PR_PT(Y$2,$A10)</f>
        <v>13.0816961898619</v>
      </c>
      <c r="Z10" s="39" t="n">
        <f aca="false">PR_PT(Z$2,$A10)</f>
        <v>13.0770393993613</v>
      </c>
      <c r="AA10" s="39" t="n">
        <f aca="false">PR_PT(AA$2,$A10)</f>
        <v>13.0723875704716</v>
      </c>
      <c r="AB10" s="39" t="n">
        <f aca="false">PR_PT(AB$2,$A10)</f>
        <v>13.0677406980622</v>
      </c>
      <c r="AC10" s="39" t="n">
        <f aca="false">PR_PT(AC$2,$A10)</f>
        <v>13.0630987770082</v>
      </c>
      <c r="AD10" s="39" t="n">
        <f aca="false">PR_PT(AD$2,$A10)</f>
        <v>13.0584618021899</v>
      </c>
      <c r="AE10" s="39" t="n">
        <f aca="false">PR_PT(AE$2,$A10)</f>
        <v>13.0538297684933</v>
      </c>
      <c r="AF10" s="39" t="n">
        <f aca="false">PR_PT(AF$2,$A10)</f>
        <v>13.0492026708096</v>
      </c>
      <c r="AG10" s="39" t="n">
        <f aca="false">PR_PT(AG$2,$A10)</f>
        <v>13.0445805040351</v>
      </c>
      <c r="AH10" s="39" t="n">
        <f aca="false">PR_PT(AH$2,$A10)</f>
        <v>12.9986289174081</v>
      </c>
      <c r="AI10" s="39" t="n">
        <f aca="false">PR_PT(AI$2,$A10)</f>
        <v>12.9531648478886</v>
      </c>
      <c r="AJ10" s="39" t="n">
        <f aca="false">PR_PT(AJ$2,$A10)</f>
        <v>12.9081832804674</v>
      </c>
      <c r="AK10" s="39" t="n">
        <f aca="false">PR_PT(AK$2,$A10)</f>
        <v>12.8636792531782</v>
      </c>
      <c r="AL10" s="39" t="n">
        <f aca="false">PR_PT(AL$2,$A10)</f>
        <v>12.8196478566676</v>
      </c>
      <c r="AM10" s="39" t="n">
        <f aca="false">PR_PT(AM$2,$A10)</f>
        <v>12.7760842337684</v>
      </c>
      <c r="AN10" s="39" t="n">
        <f aca="false">PR_PT(AN$2,$A10)</f>
        <v>12.7329835790684</v>
      </c>
      <c r="AO10" s="39" t="n">
        <f aca="false">PR_PT(AO$2,$A10)</f>
        <v>12.6903411384798</v>
      </c>
      <c r="AP10" s="39" t="n">
        <f aca="false">PR_PT(AP$2,$A10)</f>
        <v>12.6481522088059</v>
      </c>
      <c r="AQ10" s="39" t="n">
        <f aca="false">PR_PT(AQ$2,$A10)</f>
        <v>12.2502068302955</v>
      </c>
      <c r="AR10" s="39" t="n">
        <f aca="false">PR_PT(AR$2,$A10)</f>
        <v>12.1732562188439</v>
      </c>
      <c r="AS10" s="39" t="n">
        <f aca="false">PR_PT(AS$2,$A10)</f>
        <v>12.1389160330667</v>
      </c>
    </row>
    <row r="11" customFormat="false" ht="13.8" hidden="false" customHeight="false" outlineLevel="0" collapsed="false">
      <c r="A11" s="0" t="n">
        <v>0.8</v>
      </c>
      <c r="B11" s="39" t="n">
        <f aca="false">PR_PT(B$2,$A11)</f>
        <v>1.05216877938008</v>
      </c>
      <c r="C11" s="39" t="n">
        <f aca="false">PR_PT(C$2,$A11)</f>
        <v>13.0402721384763</v>
      </c>
      <c r="D11" s="39" t="n">
        <f aca="false">PR_PT(D$2,$A11)</f>
        <v>13.040267501981</v>
      </c>
      <c r="E11" s="39" t="n">
        <f aca="false">PR_PT(E$2,$A11)</f>
        <v>13.0402628654903</v>
      </c>
      <c r="F11" s="39" t="n">
        <f aca="false">PR_PT(F$2,$A11)</f>
        <v>13.0402582290048</v>
      </c>
      <c r="G11" s="39" t="n">
        <f aca="false">PR_PT(G$2,$A11)</f>
        <v>13.0402118644199</v>
      </c>
      <c r="H11" s="39" t="n">
        <f aca="false">PR_PT(H$2,$A11)</f>
        <v>13.0401655003287</v>
      </c>
      <c r="I11" s="39" t="n">
        <f aca="false">PR_PT(I$2,$A11)</f>
        <v>13.0401191367312</v>
      </c>
      <c r="J11" s="39" t="n">
        <f aca="false">PR_PT(J$2,$A11)</f>
        <v>13.0400727736272</v>
      </c>
      <c r="K11" s="39" t="n">
        <f aca="false">PR_PT(K$2,$A11)</f>
        <v>13.0400264110168</v>
      </c>
      <c r="L11" s="39" t="n">
        <f aca="false">PR_PT(L$2,$A11)</f>
        <v>13.0399800489001</v>
      </c>
      <c r="M11" s="39" t="n">
        <f aca="false">PR_PT(M$2,$A11)</f>
        <v>13.0399336872772</v>
      </c>
      <c r="N11" s="39" t="n">
        <f aca="false">PR_PT(N$2,$A11)</f>
        <v>13.0398873261476</v>
      </c>
      <c r="O11" s="39" t="n">
        <f aca="false">PR_PT(O$2,$A11)</f>
        <v>13.0398409655116</v>
      </c>
      <c r="P11" s="39" t="n">
        <f aca="false">PR_PT(P$2,$A11)</f>
        <v>13.0393773862997</v>
      </c>
      <c r="Q11" s="39" t="n">
        <f aca="false">PR_PT(Q$2,$A11)</f>
        <v>13.0389138564418</v>
      </c>
      <c r="R11" s="39" t="n">
        <f aca="false">PR_PT(R$2,$A11)</f>
        <v>13.0384503759331</v>
      </c>
      <c r="S11" s="39" t="n">
        <f aca="false">PR_PT(S$2,$A11)</f>
        <v>13.0379869447685</v>
      </c>
      <c r="T11" s="39" t="n">
        <f aca="false">PR_PT(T$2,$A11)</f>
        <v>13.037523562943</v>
      </c>
      <c r="U11" s="39" t="n">
        <f aca="false">PR_PT(U$2,$A11)</f>
        <v>13.0370602304511</v>
      </c>
      <c r="V11" s="39" t="n">
        <f aca="false">PR_PT(V$2,$A11)</f>
        <v>13.0365969472882</v>
      </c>
      <c r="W11" s="39" t="n">
        <f aca="false">PR_PT(W$2,$A11)</f>
        <v>13.0361337134489</v>
      </c>
      <c r="X11" s="39" t="n">
        <f aca="false">PR_PT(X$2,$A11)</f>
        <v>13.0356705289281</v>
      </c>
      <c r="Y11" s="39" t="n">
        <f aca="false">PR_PT(Y$2,$A11)</f>
        <v>13.0310413951225</v>
      </c>
      <c r="Z11" s="39" t="n">
        <f aca="false">PR_PT(Z$2,$A11)</f>
        <v>13.026417187574</v>
      </c>
      <c r="AA11" s="39" t="n">
        <f aca="false">PR_PT(AA$2,$A11)</f>
        <v>13.0217979011963</v>
      </c>
      <c r="AB11" s="39" t="n">
        <f aca="false">PR_PT(AB$2,$A11)</f>
        <v>13.0171835309081</v>
      </c>
      <c r="AC11" s="39" t="n">
        <f aca="false">PR_PT(AC$2,$A11)</f>
        <v>13.0125740716332</v>
      </c>
      <c r="AD11" s="39" t="n">
        <f aca="false">PR_PT(AD$2,$A11)</f>
        <v>13.0079695183013</v>
      </c>
      <c r="AE11" s="39" t="n">
        <f aca="false">PR_PT(AE$2,$A11)</f>
        <v>13.0033698658473</v>
      </c>
      <c r="AF11" s="39" t="n">
        <f aca="false">PR_PT(AF$2,$A11)</f>
        <v>12.9987751092112</v>
      </c>
      <c r="AG11" s="39" t="n">
        <f aca="false">PR_PT(AG$2,$A11)</f>
        <v>12.9941852433383</v>
      </c>
      <c r="AH11" s="39" t="n">
        <f aca="false">PR_PT(AH$2,$A11)</f>
        <v>12.9485544684068</v>
      </c>
      <c r="AI11" s="39" t="n">
        <f aca="false">PR_PT(AI$2,$A11)</f>
        <v>12.9034072493049</v>
      </c>
      <c r="AJ11" s="39" t="n">
        <f aca="false">PR_PT(AJ$2,$A11)</f>
        <v>12.8587386189295</v>
      </c>
      <c r="AK11" s="39" t="n">
        <f aca="false">PR_PT(AK$2,$A11)</f>
        <v>12.8145436626379</v>
      </c>
      <c r="AL11" s="39" t="n">
        <f aca="false">PR_PT(AL$2,$A11)</f>
        <v>12.770817517825</v>
      </c>
      <c r="AM11" s="39" t="n">
        <f aca="false">PR_PT(AM$2,$A11)</f>
        <v>12.7275553735009</v>
      </c>
      <c r="AN11" s="39" t="n">
        <f aca="false">PR_PT(AN$2,$A11)</f>
        <v>12.6847524698637</v>
      </c>
      <c r="AO11" s="39" t="n">
        <f aca="false">PR_PT(AO$2,$A11)</f>
        <v>12.6424040978755</v>
      </c>
      <c r="AP11" s="39" t="n">
        <f aca="false">PR_PT(AP$2,$A11)</f>
        <v>12.600505598834</v>
      </c>
      <c r="AQ11" s="39" t="n">
        <f aca="false">PR_PT(AQ$2,$A11)</f>
        <v>12.2052738400254</v>
      </c>
      <c r="AR11" s="39" t="n">
        <f aca="false">PR_PT(AR$2,$A11)</f>
        <v>12.1288423563857</v>
      </c>
      <c r="AS11" s="39" t="n">
        <f aca="false">PR_PT(AS$2,$A11)</f>
        <v>12.0947332285882</v>
      </c>
    </row>
    <row r="12" customFormat="false" ht="13.8" hidden="false" customHeight="false" outlineLevel="0" collapsed="false">
      <c r="A12" s="0" t="n">
        <v>0.9</v>
      </c>
      <c r="B12" s="39" t="n">
        <f aca="false">PR_PT(B$2,$A12)</f>
        <v>1.05181375750226</v>
      </c>
      <c r="C12" s="39" t="n">
        <f aca="false">PR_PT(C$2,$A12)</f>
        <v>12.9898566372561</v>
      </c>
      <c r="D12" s="39" t="n">
        <f aca="false">PR_PT(D$2,$A12)</f>
        <v>12.9898520331578</v>
      </c>
      <c r="E12" s="39" t="n">
        <f aca="false">PR_PT(E$2,$A12)</f>
        <v>12.9898474290647</v>
      </c>
      <c r="F12" s="39" t="n">
        <f aca="false">PR_PT(F$2,$A12)</f>
        <v>12.9898428249762</v>
      </c>
      <c r="G12" s="39" t="n">
        <f aca="false">PR_PT(G$2,$A12)</f>
        <v>12.9897967843613</v>
      </c>
      <c r="H12" s="39" t="n">
        <f aca="false">PR_PT(H$2,$A12)</f>
        <v>12.9897507442362</v>
      </c>
      <c r="I12" s="39" t="n">
        <f aca="false">PR_PT(I$2,$A12)</f>
        <v>12.9897047046005</v>
      </c>
      <c r="J12" s="39" t="n">
        <f aca="false">PR_PT(J$2,$A12)</f>
        <v>12.9896586654546</v>
      </c>
      <c r="K12" s="39" t="n">
        <f aca="false">PR_PT(K$2,$A12)</f>
        <v>12.9896126267983</v>
      </c>
      <c r="L12" s="39" t="n">
        <f aca="false">PR_PT(L$2,$A12)</f>
        <v>12.9895665886312</v>
      </c>
      <c r="M12" s="39" t="n">
        <f aca="false">PR_PT(M$2,$A12)</f>
        <v>12.989520550954</v>
      </c>
      <c r="N12" s="39" t="n">
        <f aca="false">PR_PT(N$2,$A12)</f>
        <v>12.9894745137664</v>
      </c>
      <c r="O12" s="39" t="n">
        <f aca="false">PR_PT(O$2,$A12)</f>
        <v>12.9894284770684</v>
      </c>
      <c r="P12" s="39" t="n">
        <f aca="false">PR_PT(P$2,$A12)</f>
        <v>12.9889681370137</v>
      </c>
      <c r="Q12" s="39" t="n">
        <f aca="false">PR_PT(Q$2,$A12)</f>
        <v>12.9885078459114</v>
      </c>
      <c r="R12" s="39" t="n">
        <f aca="false">PR_PT(R$2,$A12)</f>
        <v>12.9880476037569</v>
      </c>
      <c r="S12" s="39" t="n">
        <f aca="false">PR_PT(S$2,$A12)</f>
        <v>12.9875874105445</v>
      </c>
      <c r="T12" s="39" t="n">
        <f aca="false">PR_PT(T$2,$A12)</f>
        <v>12.9871272662697</v>
      </c>
      <c r="U12" s="39" t="n">
        <f aca="false">PR_PT(U$2,$A12)</f>
        <v>12.9866671709274</v>
      </c>
      <c r="V12" s="39" t="n">
        <f aca="false">PR_PT(V$2,$A12)</f>
        <v>12.9862071245123</v>
      </c>
      <c r="W12" s="39" t="n">
        <f aca="false">PR_PT(W$2,$A12)</f>
        <v>12.9857471270195</v>
      </c>
      <c r="X12" s="39" t="n">
        <f aca="false">PR_PT(X$2,$A12)</f>
        <v>12.9852871784438</v>
      </c>
      <c r="Y12" s="39" t="n">
        <f aca="false">PR_PT(Y$2,$A12)</f>
        <v>12.9806903820253</v>
      </c>
      <c r="Z12" s="39" t="n">
        <f aca="false">PR_PT(Z$2,$A12)</f>
        <v>12.9760984717817</v>
      </c>
      <c r="AA12" s="39" t="n">
        <f aca="false">PR_PT(AA$2,$A12)</f>
        <v>12.971511442675</v>
      </c>
      <c r="AB12" s="39" t="n">
        <f aca="false">PR_PT(AB$2,$A12)</f>
        <v>12.9669292896728</v>
      </c>
      <c r="AC12" s="39" t="n">
        <f aca="false">PR_PT(AC$2,$A12)</f>
        <v>12.9623520077476</v>
      </c>
      <c r="AD12" s="39" t="n">
        <f aca="false">PR_PT(AD$2,$A12)</f>
        <v>12.9577795918773</v>
      </c>
      <c r="AE12" s="39" t="n">
        <f aca="false">PR_PT(AE$2,$A12)</f>
        <v>12.9532120370453</v>
      </c>
      <c r="AF12" s="39" t="n">
        <f aca="false">PR_PT(AF$2,$A12)</f>
        <v>12.94864933824</v>
      </c>
      <c r="AG12" s="39" t="n">
        <f aca="false">PR_PT(AG$2,$A12)</f>
        <v>12.944091490455</v>
      </c>
      <c r="AH12" s="39" t="n">
        <f aca="false">PR_PT(AH$2,$A12)</f>
        <v>12.8987787211322</v>
      </c>
      <c r="AI12" s="39" t="n">
        <f aca="false">PR_PT(AI$2,$A12)</f>
        <v>12.8539455860664</v>
      </c>
      <c r="AJ12" s="39" t="n">
        <f aca="false">PR_PT(AJ$2,$A12)</f>
        <v>12.8095871655131</v>
      </c>
      <c r="AK12" s="39" t="n">
        <f aca="false">PR_PT(AK$2,$A12)</f>
        <v>12.7656985916144</v>
      </c>
      <c r="AL12" s="39" t="n">
        <f aca="false">PR_PT(AL$2,$A12)</f>
        <v>12.7222750479817</v>
      </c>
      <c r="AM12" s="39" t="n">
        <f aca="false">PR_PT(AM$2,$A12)</f>
        <v>12.6793117692769</v>
      </c>
      <c r="AN12" s="39" t="n">
        <f aca="false">PR_PT(AN$2,$A12)</f>
        <v>12.6368040407917</v>
      </c>
      <c r="AO12" s="39" t="n">
        <f aca="false">PR_PT(AO$2,$A12)</f>
        <v>12.5947471980276</v>
      </c>
      <c r="AP12" s="39" t="n">
        <f aca="false">PR_PT(AP$2,$A12)</f>
        <v>12.5531366262729</v>
      </c>
      <c r="AQ12" s="39" t="n">
        <f aca="false">PR_PT(AQ$2,$A12)</f>
        <v>12.1605953295915</v>
      </c>
      <c r="AR12" s="39" t="n">
        <f aca="false">PR_PT(AR$2,$A12)</f>
        <v>12.0846785939856</v>
      </c>
      <c r="AS12" s="39" t="n">
        <f aca="false">PR_PT(AS$2,$A12)</f>
        <v>12.0507985802653</v>
      </c>
    </row>
    <row r="13" customFormat="false" ht="13.8" hidden="false" customHeight="false" outlineLevel="0" collapsed="false">
      <c r="A13" s="0" t="n">
        <v>1</v>
      </c>
      <c r="B13" s="39" t="n">
        <f aca="false">PR_PT(B$2,$A13)</f>
        <v>1.05146216127554</v>
      </c>
      <c r="C13" s="39" t="n">
        <f aca="false">PR_PT(C$2,$A13)</f>
        <v>12.9397430285981</v>
      </c>
      <c r="D13" s="39" t="n">
        <f aca="false">PR_PT(D$2,$A13)</f>
        <v>12.9397384566135</v>
      </c>
      <c r="E13" s="39" t="n">
        <f aca="false">PR_PT(E$2,$A13)</f>
        <v>12.9397338846338</v>
      </c>
      <c r="F13" s="39" t="n">
        <f aca="false">PR_PT(F$2,$A13)</f>
        <v>12.9397293126591</v>
      </c>
      <c r="G13" s="39" t="n">
        <f aca="false">PR_PT(G$2,$A13)</f>
        <v>12.9396835931779</v>
      </c>
      <c r="H13" s="39" t="n">
        <f aca="false">PR_PT(H$2,$A13)</f>
        <v>12.9396378741823</v>
      </c>
      <c r="I13" s="39" t="n">
        <f aca="false">PR_PT(I$2,$A13)</f>
        <v>12.9395921556724</v>
      </c>
      <c r="J13" s="39" t="n">
        <f aca="false">PR_PT(J$2,$A13)</f>
        <v>12.9395464376481</v>
      </c>
      <c r="K13" s="39" t="n">
        <f aca="false">PR_PT(K$2,$A13)</f>
        <v>12.9395007201094</v>
      </c>
      <c r="L13" s="39" t="n">
        <f aca="false">PR_PT(L$2,$A13)</f>
        <v>12.9394550030564</v>
      </c>
      <c r="M13" s="39" t="n">
        <f aca="false">PR_PT(M$2,$A13)</f>
        <v>12.939409286489</v>
      </c>
      <c r="N13" s="39" t="n">
        <f aca="false">PR_PT(N$2,$A13)</f>
        <v>12.9393635704073</v>
      </c>
      <c r="O13" s="39" t="n">
        <f aca="false">PR_PT(O$2,$A13)</f>
        <v>12.939317854811</v>
      </c>
      <c r="P13" s="39" t="n">
        <f aca="false">PR_PT(P$2,$A13)</f>
        <v>12.9388607255559</v>
      </c>
      <c r="Q13" s="39" t="n">
        <f aca="false">PR_PT(Q$2,$A13)</f>
        <v>12.938403644856</v>
      </c>
      <c r="R13" s="39" t="n">
        <f aca="false">PR_PT(R$2,$A13)</f>
        <v>12.9379466127058</v>
      </c>
      <c r="S13" s="39" t="n">
        <f aca="false">PR_PT(S$2,$A13)</f>
        <v>12.9374896291006</v>
      </c>
      <c r="T13" s="39" t="n">
        <f aca="false">PR_PT(T$2,$A13)</f>
        <v>12.9370326940352</v>
      </c>
      <c r="U13" s="39" t="n">
        <f aca="false">PR_PT(U$2,$A13)</f>
        <v>12.9365758075048</v>
      </c>
      <c r="V13" s="39" t="n">
        <f aca="false">PR_PT(V$2,$A13)</f>
        <v>12.9361189695041</v>
      </c>
      <c r="W13" s="39" t="n">
        <f aca="false">PR_PT(W$2,$A13)</f>
        <v>12.9356621800284</v>
      </c>
      <c r="X13" s="39" t="n">
        <f aca="false">PR_PT(X$2,$A13)</f>
        <v>12.9352054390726</v>
      </c>
      <c r="Y13" s="39" t="n">
        <f aca="false">PR_PT(Y$2,$A13)</f>
        <v>12.9306406970093</v>
      </c>
      <c r="Z13" s="39" t="n">
        <f aca="false">PR_PT(Z$2,$A13)</f>
        <v>12.9260808014411</v>
      </c>
      <c r="AA13" s="39" t="n">
        <f aca="false">PR_PT(AA$2,$A13)</f>
        <v>12.9215257473779</v>
      </c>
      <c r="AB13" s="39" t="n">
        <f aca="false">PR_PT(AB$2,$A13)</f>
        <v>12.9169755298351</v>
      </c>
      <c r="AC13" s="39" t="n">
        <f aca="false">PR_PT(AC$2,$A13)</f>
        <v>12.9124301438336</v>
      </c>
      <c r="AD13" s="39" t="n">
        <f aca="false">PR_PT(AD$2,$A13)</f>
        <v>12.907889584399</v>
      </c>
      <c r="AE13" s="39" t="n">
        <f aca="false">PR_PT(AE$2,$A13)</f>
        <v>12.9033538465623</v>
      </c>
      <c r="AF13" s="39" t="n">
        <f aca="false">PR_PT(AF$2,$A13)</f>
        <v>12.8988229253604</v>
      </c>
      <c r="AG13" s="39" t="n">
        <f aca="false">PR_PT(AG$2,$A13)</f>
        <v>12.8942968158342</v>
      </c>
      <c r="AH13" s="39" t="n">
        <f aca="false">PR_PT(AH$2,$A13)</f>
        <v>12.8492992756194</v>
      </c>
      <c r="AI13" s="39" t="n">
        <f aca="false">PR_PT(AI$2,$A13)</f>
        <v>12.8047774873255</v>
      </c>
      <c r="AJ13" s="39" t="n">
        <f aca="false">PR_PT(AJ$2,$A13)</f>
        <v>12.7607265780278</v>
      </c>
      <c r="AK13" s="39" t="n">
        <f aca="false">PR_PT(AK$2,$A13)</f>
        <v>12.7171417261212</v>
      </c>
      <c r="AL13" s="39" t="n">
        <f aca="false">PR_PT(AL$2,$A13)</f>
        <v>12.6740181609082</v>
      </c>
      <c r="AM13" s="39" t="n">
        <f aca="false">PR_PT(AM$2,$A13)</f>
        <v>12.6313511621846</v>
      </c>
      <c r="AN13" s="39" t="n">
        <f aca="false">PR_PT(AN$2,$A13)</f>
        <v>12.5891360598252</v>
      </c>
      <c r="AO13" s="39" t="n">
        <f aca="false">PR_PT(AO$2,$A13)</f>
        <v>12.5473682333671</v>
      </c>
      <c r="AP13" s="39" t="n">
        <f aca="false">PR_PT(AP$2,$A13)</f>
        <v>12.5060431115924</v>
      </c>
      <c r="AQ13" s="39" t="n">
        <f aca="false">PR_PT(AQ$2,$A13)</f>
        <v>12.1161693581271</v>
      </c>
      <c r="AR13" s="39" t="n">
        <f aca="false">PR_PT(AR$2,$A13)</f>
        <v>12.0407630354382</v>
      </c>
      <c r="AS13" s="39" t="n">
        <f aca="false">PR_PT(AS$2,$A13)</f>
        <v>12.0071102116633</v>
      </c>
    </row>
    <row r="14" customFormat="false" ht="13.8" hidden="false" customHeight="false" outlineLevel="0" collapsed="false">
      <c r="A14" s="0" t="n">
        <v>2</v>
      </c>
      <c r="B14" s="39" t="n">
        <f aca="false">PR_PT(B$2,$A14)</f>
        <v>1.04812303384142</v>
      </c>
      <c r="C14" s="39" t="n">
        <f aca="false">PR_PT(C$2,$A14)</f>
        <v>2015</v>
      </c>
      <c r="D14" s="39" t="n">
        <f aca="false">PR_PT(D$2,$A14)</f>
        <v>12.4546830535031</v>
      </c>
      <c r="E14" s="39" t="n">
        <f aca="false">PR_PT(E$2,$A14)</f>
        <v>12.4546787877003</v>
      </c>
      <c r="F14" s="39" t="n">
        <f aca="false">PR_PT(F$2,$A14)</f>
        <v>12.4546745219022</v>
      </c>
      <c r="G14" s="39" t="n">
        <f aca="false">PR_PT(G$2,$A14)</f>
        <v>12.4546318641669</v>
      </c>
      <c r="H14" s="39" t="n">
        <f aca="false">PR_PT(H$2,$A14)</f>
        <v>12.4545892068797</v>
      </c>
      <c r="I14" s="39" t="n">
        <f aca="false">PR_PT(I$2,$A14)</f>
        <v>12.4545465500404</v>
      </c>
      <c r="J14" s="39" t="n">
        <f aca="false">PR_PT(J$2,$A14)</f>
        <v>12.4545038936493</v>
      </c>
      <c r="K14" s="39" t="n">
        <f aca="false">PR_PT(K$2,$A14)</f>
        <v>12.4544612377057</v>
      </c>
      <c r="L14" s="39" t="n">
        <f aca="false">PR_PT(L$2,$A14)</f>
        <v>12.4544185822105</v>
      </c>
      <c r="M14" s="39" t="n">
        <f aca="false">PR_PT(M$2,$A14)</f>
        <v>12.4543759271629</v>
      </c>
      <c r="N14" s="39" t="n">
        <f aca="false">PR_PT(N$2,$A14)</f>
        <v>12.4543332725635</v>
      </c>
      <c r="O14" s="39" t="n">
        <f aca="false">PR_PT(O$2,$A14)</f>
        <v>12.454290618412</v>
      </c>
      <c r="P14" s="39" t="n">
        <f aca="false">PR_PT(P$2,$A14)</f>
        <v>12.4538641015331</v>
      </c>
      <c r="Q14" s="39" t="n">
        <f aca="false">PR_PT(Q$2,$A14)</f>
        <v>12.453437629444</v>
      </c>
      <c r="R14" s="39" t="n">
        <f aca="false">PR_PT(R$2,$A14)</f>
        <v>12.4530112021401</v>
      </c>
      <c r="S14" s="39" t="n">
        <f aca="false">PR_PT(S$2,$A14)</f>
        <v>12.4525848196171</v>
      </c>
      <c r="T14" s="39" t="n">
        <f aca="false">PR_PT(T$2,$A14)</f>
        <v>12.4521584818704</v>
      </c>
      <c r="U14" s="39" t="n">
        <f aca="false">PR_PT(U$2,$A14)</f>
        <v>12.4517321888952</v>
      </c>
      <c r="V14" s="39" t="n">
        <f aca="false">PR_PT(V$2,$A14)</f>
        <v>12.451305940687</v>
      </c>
      <c r="W14" s="39" t="n">
        <f aca="false">PR_PT(W$2,$A14)</f>
        <v>12.4508797372417</v>
      </c>
      <c r="X14" s="39" t="n">
        <f aca="false">PR_PT(X$2,$A14)</f>
        <v>12.4504535785542</v>
      </c>
      <c r="Y14" s="39" t="n">
        <f aca="false">PR_PT(Y$2,$A14)</f>
        <v>12.4461944523718</v>
      </c>
      <c r="Z14" s="39" t="n">
        <f aca="false">PR_PT(Z$2,$A14)</f>
        <v>12.4419397969955</v>
      </c>
      <c r="AA14" s="39" t="n">
        <f aca="false">PR_PT(AA$2,$A14)</f>
        <v>12.4376896078878</v>
      </c>
      <c r="AB14" s="39" t="n">
        <f aca="false">PR_PT(AB$2,$A14)</f>
        <v>12.4334438805154</v>
      </c>
      <c r="AC14" s="39" t="n">
        <f aca="false">PR_PT(AC$2,$A14)</f>
        <v>12.4292026103501</v>
      </c>
      <c r="AD14" s="39" t="n">
        <f aca="false">PR_PT(AD$2,$A14)</f>
        <v>12.4249657928678</v>
      </c>
      <c r="AE14" s="39" t="n">
        <f aca="false">PR_PT(AE$2,$A14)</f>
        <v>12.4207334235501</v>
      </c>
      <c r="AF14" s="39" t="n">
        <f aca="false">PR_PT(AF$2,$A14)</f>
        <v>12.4165054978826</v>
      </c>
      <c r="AG14" s="39" t="n">
        <f aca="false">PR_PT(AG$2,$A14)</f>
        <v>12.4122820113552</v>
      </c>
      <c r="AH14" s="39" t="n">
        <f aca="false">PR_PT(AH$2,$A14)</f>
        <v>12.3702903100333</v>
      </c>
      <c r="AI14" s="39" t="n">
        <f aca="false">PR_PT(AI$2,$A14)</f>
        <v>12.3287375968135</v>
      </c>
      <c r="AJ14" s="39" t="n">
        <f aca="false">PR_PT(AJ$2,$A14)</f>
        <v>12.28761943879</v>
      </c>
      <c r="AK14" s="39" t="n">
        <f aca="false">PR_PT(AK$2,$A14)</f>
        <v>12.2469314490903</v>
      </c>
      <c r="AL14" s="39" t="n">
        <f aca="false">PR_PT(AL$2,$A14)</f>
        <v>12.206669286509</v>
      </c>
      <c r="AM14" s="39" t="n">
        <f aca="false">PR_PT(AM$2,$A14)</f>
        <v>12.1668286551388</v>
      </c>
      <c r="AN14" s="39" t="n">
        <f aca="false">PR_PT(AN$2,$A14)</f>
        <v>12.1274053040016</v>
      </c>
      <c r="AO14" s="39" t="n">
        <f aca="false">PR_PT(AO$2,$A14)</f>
        <v>12.0883950266785</v>
      </c>
      <c r="AP14" s="39" t="n">
        <f aca="false">PR_PT(AP$2,$A14)</f>
        <v>12.0497936609387</v>
      </c>
      <c r="AQ14" s="39" t="n">
        <f aca="false">PR_PT(AQ$2,$A14)</f>
        <v>11.6853853023326</v>
      </c>
      <c r="AR14" s="39" t="n">
        <f aca="false">PR_PT(AR$2,$A14)</f>
        <v>11.6148541315157</v>
      </c>
      <c r="AS14" s="39" t="n">
        <f aca="false">PR_PT(AS$2,$A14)</f>
        <v>11.5833715654251</v>
      </c>
    </row>
    <row r="15" customFormat="false" ht="13.8" hidden="false" customHeight="false" outlineLevel="0" collapsed="false">
      <c r="A15" s="0" t="n">
        <v>3</v>
      </c>
      <c r="B15" s="39" t="n">
        <f aca="false">PR_PT(B$2,$A15)</f>
        <v>1.04507197826777</v>
      </c>
      <c r="C15" s="39" t="n">
        <f aca="false">PR_PT(C$2,$A15)</f>
        <v>1.04874289107732</v>
      </c>
      <c r="D15" s="39" t="n">
        <f aca="false">PR_PT(D$2,$A15)</f>
        <v>11.9972870090548</v>
      </c>
      <c r="E15" s="39" t="n">
        <f aca="false">PR_PT(E$2,$A15)</f>
        <v>11.9972830241373</v>
      </c>
      <c r="F15" s="39" t="n">
        <f aca="false">PR_PT(F$2,$A15)</f>
        <v>11.997279039224</v>
      </c>
      <c r="G15" s="39" t="n">
        <f aca="false">PR_PT(G$2,$A15)</f>
        <v>11.9972391903191</v>
      </c>
      <c r="H15" s="39" t="n">
        <f aca="false">PR_PT(H$2,$A15)</f>
        <v>11.9971993418281</v>
      </c>
      <c r="I15" s="39" t="n">
        <f aca="false">PR_PT(I$2,$A15)</f>
        <v>11.9971594937507</v>
      </c>
      <c r="J15" s="39" t="n">
        <f aca="false">PR_PT(J$2,$A15)</f>
        <v>11.9971196460873</v>
      </c>
      <c r="K15" s="39" t="n">
        <f aca="false">PR_PT(K$2,$A15)</f>
        <v>11.9970797988378</v>
      </c>
      <c r="L15" s="39" t="n">
        <f aca="false">PR_PT(L$2,$A15)</f>
        <v>11.9970399520021</v>
      </c>
      <c r="M15" s="39" t="n">
        <f aca="false">PR_PT(M$2,$A15)</f>
        <v>11.9970001055803</v>
      </c>
      <c r="N15" s="39" t="n">
        <f aca="false">PR_PT(N$2,$A15)</f>
        <v>11.9969602595723</v>
      </c>
      <c r="O15" s="39" t="n">
        <f aca="false">PR_PT(O$2,$A15)</f>
        <v>11.996920413978</v>
      </c>
      <c r="P15" s="39" t="n">
        <f aca="false">PR_PT(P$2,$A15)</f>
        <v>11.9965219807969</v>
      </c>
      <c r="Q15" s="39" t="n">
        <f aca="false">PR_PT(Q$2,$A15)</f>
        <v>11.9961235889953</v>
      </c>
      <c r="R15" s="39" t="n">
        <f aca="false">PR_PT(R$2,$A15)</f>
        <v>11.9957252385691</v>
      </c>
      <c r="S15" s="39" t="n">
        <f aca="false">PR_PT(S$2,$A15)</f>
        <v>11.9953269295143</v>
      </c>
      <c r="T15" s="39" t="n">
        <f aca="false">PR_PT(T$2,$A15)</f>
        <v>11.9949286618265</v>
      </c>
      <c r="U15" s="39" t="n">
        <f aca="false">PR_PT(U$2,$A15)</f>
        <v>11.9945304355019</v>
      </c>
      <c r="V15" s="39" t="n">
        <f aca="false">PR_PT(V$2,$A15)</f>
        <v>11.9941322505361</v>
      </c>
      <c r="W15" s="39" t="n">
        <f aca="false">PR_PT(W$2,$A15)</f>
        <v>11.993734106925</v>
      </c>
      <c r="X15" s="39" t="n">
        <f aca="false">PR_PT(X$2,$A15)</f>
        <v>11.9933360046647</v>
      </c>
      <c r="Y15" s="39" t="n">
        <f aca="false">PR_PT(Y$2,$A15)</f>
        <v>11.9893572554321</v>
      </c>
      <c r="Z15" s="39" t="n">
        <f aca="false">PR_PT(Z$2,$A15)</f>
        <v>11.9853826367074</v>
      </c>
      <c r="AA15" s="39" t="n">
        <f aca="false">PR_PT(AA$2,$A15)</f>
        <v>11.9814121443564</v>
      </c>
      <c r="AB15" s="39" t="n">
        <f aca="false">PR_PT(AB$2,$A15)</f>
        <v>11.9774457742498</v>
      </c>
      <c r="AC15" s="39" t="n">
        <f aca="false">PR_PT(AC$2,$A15)</f>
        <v>11.9734835222615</v>
      </c>
      <c r="AD15" s="39" t="n">
        <f aca="false">PR_PT(AD$2,$A15)</f>
        <v>11.9695253842708</v>
      </c>
      <c r="AE15" s="39" t="n">
        <f aca="false">PR_PT(AE$2,$A15)</f>
        <v>11.9655713561603</v>
      </c>
      <c r="AF15" s="39" t="n">
        <f aca="false">PR_PT(AF$2,$A15)</f>
        <v>11.9616214338173</v>
      </c>
      <c r="AG15" s="39" t="n">
        <f aca="false">PR_PT(AG$2,$A15)</f>
        <v>11.957675613133</v>
      </c>
      <c r="AH15" s="39" t="n">
        <f aca="false">PR_PT(AH$2,$A15)</f>
        <v>11.9184420966246</v>
      </c>
      <c r="AI15" s="39" t="n">
        <f aca="false">PR_PT(AI$2,$A15)</f>
        <v>11.8796142576133</v>
      </c>
      <c r="AJ15" s="39" t="n">
        <f aca="false">PR_PT(AJ$2,$A15)</f>
        <v>11.8411880563937</v>
      </c>
      <c r="AK15" s="39" t="n">
        <f aca="false">PR_PT(AK$2,$A15)</f>
        <v>11.8031594946333</v>
      </c>
      <c r="AL15" s="39" t="n">
        <f aca="false">PR_PT(AL$2,$A15)</f>
        <v>11.7655246150448</v>
      </c>
      <c r="AM15" s="39" t="n">
        <f aca="false">PR_PT(AM$2,$A15)</f>
        <v>11.7282795010574</v>
      </c>
      <c r="AN15" s="39" t="n">
        <f aca="false">PR_PT(AN$2,$A15)</f>
        <v>11.6914202764877</v>
      </c>
      <c r="AO15" s="39" t="n">
        <f aca="false">PR_PT(AO$2,$A15)</f>
        <v>11.65494310521</v>
      </c>
      <c r="AP15" s="39" t="n">
        <f aca="false">PR_PT(AP$2,$A15)</f>
        <v>11.6188441908253</v>
      </c>
      <c r="AQ15" s="39" t="n">
        <f aca="false">PR_PT(AQ$2,$A15)</f>
        <v>11.2778517128096</v>
      </c>
      <c r="AR15" s="39" t="n">
        <f aca="false">PR_PT(AR$2,$A15)</f>
        <v>11.2118075727864</v>
      </c>
      <c r="AS15" s="39" t="n">
        <f aca="false">PR_PT(AS$2,$A15)</f>
        <v>11.1823229482166</v>
      </c>
    </row>
    <row r="16" customFormat="false" ht="13.8" hidden="false" customHeight="false" outlineLevel="0" collapsed="false">
      <c r="A16" s="0" t="n">
        <v>4</v>
      </c>
      <c r="B16" s="39" t="n">
        <f aca="false">PR_PT(B$2,$A16)</f>
        <v>1.04226728875952</v>
      </c>
      <c r="C16" s="39" t="n">
        <f aca="false">PR_PT(C$2,$A16)</f>
        <v>1.04544520737875</v>
      </c>
      <c r="D16" s="39" t="n">
        <f aca="false">PR_PT(D$2,$A16)</f>
        <v>2015</v>
      </c>
      <c r="E16" s="39" t="n">
        <f aca="false">PR_PT(E$2,$A16)</f>
        <v>11.5654584003528</v>
      </c>
      <c r="F16" s="39" t="n">
        <f aca="false">PR_PT(F$2,$A16)</f>
        <v>11.5654546735141</v>
      </c>
      <c r="G16" s="39" t="n">
        <f aca="false">PR_PT(G$2,$A16)</f>
        <v>11.5654174053386</v>
      </c>
      <c r="H16" s="39" t="n">
        <f aca="false">PR_PT(H$2,$A16)</f>
        <v>11.565380137546</v>
      </c>
      <c r="I16" s="39" t="n">
        <f aca="false">PR_PT(I$2,$A16)</f>
        <v>11.5653428701362</v>
      </c>
      <c r="J16" s="39" t="n">
        <f aca="false">PR_PT(J$2,$A16)</f>
        <v>11.5653056031094</v>
      </c>
      <c r="K16" s="39" t="n">
        <f aca="false">PR_PT(K$2,$A16)</f>
        <v>11.5652683364654</v>
      </c>
      <c r="L16" s="39" t="n">
        <f aca="false">PR_PT(L$2,$A16)</f>
        <v>11.5652310702043</v>
      </c>
      <c r="M16" s="39" t="n">
        <f aca="false">PR_PT(M$2,$A16)</f>
        <v>11.5651938043264</v>
      </c>
      <c r="N16" s="39" t="n">
        <f aca="false">PR_PT(N$2,$A16)</f>
        <v>11.5651565388311</v>
      </c>
      <c r="O16" s="39" t="n">
        <f aca="false">PR_PT(O$2,$A16)</f>
        <v>11.5651192737187</v>
      </c>
      <c r="P16" s="39" t="n">
        <f aca="false">PR_PT(P$2,$A16)</f>
        <v>11.5647466436537</v>
      </c>
      <c r="Q16" s="39" t="n">
        <f aca="false">PR_PT(Q$2,$A16)</f>
        <v>11.5643740518743</v>
      </c>
      <c r="R16" s="39" t="n">
        <f aca="false">PR_PT(R$2,$A16)</f>
        <v>11.5640014983762</v>
      </c>
      <c r="S16" s="39" t="n">
        <f aca="false">PR_PT(S$2,$A16)</f>
        <v>11.5636289831561</v>
      </c>
      <c r="T16" s="39" t="n">
        <f aca="false">PR_PT(T$2,$A16)</f>
        <v>11.5632565062099</v>
      </c>
      <c r="U16" s="39" t="n">
        <f aca="false">PR_PT(U$2,$A16)</f>
        <v>11.5628840675341</v>
      </c>
      <c r="V16" s="39" t="n">
        <f aca="false">PR_PT(V$2,$A16)</f>
        <v>11.5625116671247</v>
      </c>
      <c r="W16" s="39" t="n">
        <f aca="false">PR_PT(W$2,$A16)</f>
        <v>11.5621393049781</v>
      </c>
      <c r="X16" s="39" t="n">
        <f aca="false">PR_PT(X$2,$A16)</f>
        <v>11.5617669810902</v>
      </c>
      <c r="Y16" s="39" t="n">
        <f aca="false">PR_PT(Y$2,$A16)</f>
        <v>11.5580458456205</v>
      </c>
      <c r="Z16" s="39" t="n">
        <f aca="false">PR_PT(Z$2,$A16)</f>
        <v>11.5543285318879</v>
      </c>
      <c r="AA16" s="39" t="n">
        <f aca="false">PR_PT(AA$2,$A16)</f>
        <v>11.5506150361191</v>
      </c>
      <c r="AB16" s="39" t="n">
        <f aca="false">PR_PT(AB$2,$A16)</f>
        <v>11.5469053545461</v>
      </c>
      <c r="AC16" s="39" t="n">
        <f aca="false">PR_PT(AC$2,$A16)</f>
        <v>11.5431994834033</v>
      </c>
      <c r="AD16" s="39" t="n">
        <f aca="false">PR_PT(AD$2,$A16)</f>
        <v>11.5394974189301</v>
      </c>
      <c r="AE16" s="39" t="n">
        <f aca="false">PR_PT(AE$2,$A16)</f>
        <v>11.5357991573688</v>
      </c>
      <c r="AF16" s="39" t="n">
        <f aca="false">PR_PT(AF$2,$A16)</f>
        <v>11.532104694966</v>
      </c>
      <c r="AG16" s="39" t="n">
        <f aca="false">PR_PT(AG$2,$A16)</f>
        <v>11.5284140279719</v>
      </c>
      <c r="AH16" s="39" t="n">
        <f aca="false">PR_PT(AH$2,$A16)</f>
        <v>11.4917152832651</v>
      </c>
      <c r="AI16" s="39" t="n">
        <f aca="false">PR_PT(AI$2,$A16)</f>
        <v>11.4553919827159</v>
      </c>
      <c r="AJ16" s="39" t="n">
        <f aca="false">PR_PT(AJ$2,$A16)</f>
        <v>11.4194404386351</v>
      </c>
      <c r="AK16" s="39" t="n">
        <f aca="false">PR_PT(AK$2,$A16)</f>
        <v>11.3838570005886</v>
      </c>
      <c r="AL16" s="39" t="n">
        <f aca="false">PR_PT(AL$2,$A16)</f>
        <v>11.3486380551042</v>
      </c>
      <c r="AM16" s="39" t="n">
        <f aca="false">PR_PT(AM$2,$A16)</f>
        <v>11.3137800253786</v>
      </c>
      <c r="AN16" s="39" t="n">
        <f aca="false">PR_PT(AN$2,$A16)</f>
        <v>11.279279370982</v>
      </c>
      <c r="AO16" s="39" t="n">
        <f aca="false">PR_PT(AO$2,$A16)</f>
        <v>11.2451325875637</v>
      </c>
      <c r="AP16" s="39" t="n">
        <f aca="false">PR_PT(AP$2,$A16)</f>
        <v>11.2113362065582</v>
      </c>
      <c r="AQ16" s="39" t="n">
        <f aca="false">PR_PT(AQ$2,$A16)</f>
        <v>10.8919064412631</v>
      </c>
      <c r="AR16" s="39" t="n">
        <f aca="false">PR_PT(AR$2,$A16)</f>
        <v>10.8299980220885</v>
      </c>
      <c r="AS16" s="39" t="n">
        <f aca="false">PR_PT(AS$2,$A16)</f>
        <v>10.8023553256982</v>
      </c>
    </row>
    <row r="17" customFormat="false" ht="13.8" hidden="false" customHeight="false" outlineLevel="0" collapsed="false">
      <c r="A17" s="0" t="n">
        <v>5</v>
      </c>
      <c r="B17" s="39" t="n">
        <f aca="false">PR_PT(B$2,$A17)</f>
        <v>1.03967401687723</v>
      </c>
      <c r="C17" s="39" t="n">
        <f aca="false">PR_PT(C$2,$A17)</f>
        <v>1.04243543958996</v>
      </c>
      <c r="D17" s="39" t="n">
        <f aca="false">PR_PT(D$2,$A17)</f>
        <v>1.04570192735153</v>
      </c>
      <c r="E17" s="39" t="n">
        <f aca="false">PR_PT(E$2,$A17)</f>
        <v>11.1573109481084</v>
      </c>
      <c r="F17" s="39" t="n">
        <f aca="false">PR_PT(F$2,$A17)</f>
        <v>11.1573074587358</v>
      </c>
      <c r="G17" s="39" t="n">
        <f aca="false">PR_PT(G$2,$A17)</f>
        <v>11.1572725652052</v>
      </c>
      <c r="H17" s="39" t="n">
        <f aca="false">PR_PT(H$2,$A17)</f>
        <v>11.1572376720294</v>
      </c>
      <c r="I17" s="39" t="n">
        <f aca="false">PR_PT(I$2,$A17)</f>
        <v>11.1572027792085</v>
      </c>
      <c r="J17" s="39" t="n">
        <f aca="false">PR_PT(J$2,$A17)</f>
        <v>11.1571678867422</v>
      </c>
      <c r="K17" s="39" t="n">
        <f aca="false">PR_PT(K$2,$A17)</f>
        <v>11.1571329946308</v>
      </c>
      <c r="L17" s="39" t="n">
        <f aca="false">PR_PT(L$2,$A17)</f>
        <v>11.1570981028741</v>
      </c>
      <c r="M17" s="39" t="n">
        <f aca="false">PR_PT(M$2,$A17)</f>
        <v>11.1570632114722</v>
      </c>
      <c r="N17" s="39" t="n">
        <f aca="false">PR_PT(N$2,$A17)</f>
        <v>11.1570283204251</v>
      </c>
      <c r="O17" s="39" t="n">
        <f aca="false">PR_PT(O$2,$A17)</f>
        <v>11.1569934297328</v>
      </c>
      <c r="P17" s="39" t="n">
        <f aca="false">PR_PT(P$2,$A17)</f>
        <v>11.1566445423212</v>
      </c>
      <c r="Q17" s="39" t="n">
        <f aca="false">PR_PT(Q$2,$A17)</f>
        <v>11.1562956903828</v>
      </c>
      <c r="R17" s="39" t="n">
        <f aca="false">PR_PT(R$2,$A17)</f>
        <v>11.1559468739141</v>
      </c>
      <c r="S17" s="39" t="n">
        <f aca="false">PR_PT(S$2,$A17)</f>
        <v>11.1555980929117</v>
      </c>
      <c r="T17" s="39" t="n">
        <f aca="false">PR_PT(T$2,$A17)</f>
        <v>11.1552493473722</v>
      </c>
      <c r="U17" s="39" t="n">
        <f aca="false">PR_PT(U$2,$A17)</f>
        <v>11.1549006372919</v>
      </c>
      <c r="V17" s="39" t="n">
        <f aca="false">PR_PT(V$2,$A17)</f>
        <v>11.1545519626677</v>
      </c>
      <c r="W17" s="39" t="n">
        <f aca="false">PR_PT(W$2,$A17)</f>
        <v>11.1542033234961</v>
      </c>
      <c r="X17" s="39" t="n">
        <f aca="false">PR_PT(X$2,$A17)</f>
        <v>11.1538547197733</v>
      </c>
      <c r="Y17" s="39" t="n">
        <f aca="false">PR_PT(Y$2,$A17)</f>
        <v>11.150370631483</v>
      </c>
      <c r="Z17" s="39" t="n">
        <f aca="false">PR_PT(Z$2,$A17)</f>
        <v>11.146890084298</v>
      </c>
      <c r="AA17" s="39" t="n">
        <f aca="false">PR_PT(AA$2,$A17)</f>
        <v>11.1434130747702</v>
      </c>
      <c r="AB17" s="39" t="n">
        <f aca="false">PR_PT(AB$2,$A17)</f>
        <v>11.1399395994543</v>
      </c>
      <c r="AC17" s="39" t="n">
        <f aca="false">PR_PT(AC$2,$A17)</f>
        <v>11.1364696549085</v>
      </c>
      <c r="AD17" s="39" t="n">
        <f aca="false">PR_PT(AD$2,$A17)</f>
        <v>11.1330032376947</v>
      </c>
      <c r="AE17" s="39" t="n">
        <f aca="false">PR_PT(AE$2,$A17)</f>
        <v>11.1295403443782</v>
      </c>
      <c r="AF17" s="39" t="n">
        <f aca="false">PR_PT(AF$2,$A17)</f>
        <v>11.1260809715274</v>
      </c>
      <c r="AG17" s="39" t="n">
        <f aca="false">PR_PT(AG$2,$A17)</f>
        <v>11.1226251157144</v>
      </c>
      <c r="AH17" s="39" t="n">
        <f aca="false">PR_PT(AH$2,$A17)</f>
        <v>11.0882592429484</v>
      </c>
      <c r="AI17" s="39" t="n">
        <f aca="false">PR_PT(AI$2,$A17)</f>
        <v>11.0542413284743</v>
      </c>
      <c r="AJ17" s="39" t="n">
        <f aca="false">PR_PT(AJ$2,$A17)</f>
        <v>11.0205680003163</v>
      </c>
      <c r="AK17" s="39" t="n">
        <f aca="false">PR_PT(AK$2,$A17)</f>
        <v>10.9872359201094</v>
      </c>
      <c r="AL17" s="39" t="n">
        <f aca="false">PR_PT(AL$2,$A17)</f>
        <v>10.9542417828367</v>
      </c>
      <c r="AM17" s="39" t="n">
        <f aca="false">PR_PT(AM$2,$A17)</f>
        <v>10.9215823165661</v>
      </c>
      <c r="AN17" s="39" t="n">
        <f aca="false">PR_PT(AN$2,$A17)</f>
        <v>10.8892542821868</v>
      </c>
      <c r="AO17" s="39" t="n">
        <f aca="false">PR_PT(AO$2,$A17)</f>
        <v>10.857254473145</v>
      </c>
      <c r="AP17" s="39" t="n">
        <f aca="false">PR_PT(AP$2,$A17)</f>
        <v>10.8255797151803</v>
      </c>
      <c r="AQ17" s="39" t="n">
        <f aca="false">PR_PT(AQ$2,$A17)</f>
        <v>10.5260341702019</v>
      </c>
      <c r="AR17" s="39" t="n">
        <f aca="false">PR_PT(AR$2,$A17)</f>
        <v>10.4679429469204</v>
      </c>
      <c r="AS17" s="39" t="n">
        <f aca="false">PR_PT(AS$2,$A17)</f>
        <v>10.4420006890797</v>
      </c>
    </row>
    <row r="18" customFormat="false" ht="13.8" hidden="false" customHeight="false" outlineLevel="0" collapsed="false">
      <c r="A18" s="0" t="n">
        <v>6</v>
      </c>
      <c r="B18" s="39" t="n">
        <f aca="false">PR_PT(B$2,$A18)</f>
        <v>1.0372628449022</v>
      </c>
      <c r="C18" s="39" t="n">
        <f aca="false">PR_PT(C$2,$A18)</f>
        <v>1.03967195894312</v>
      </c>
      <c r="D18" s="39" t="n">
        <f aca="false">PR_PT(D$2,$A18)</f>
        <v>1.04250691143763</v>
      </c>
      <c r="E18" s="39" t="n">
        <f aca="false">PR_PT(E$2,$A18)</f>
        <v>1.04580874901747</v>
      </c>
      <c r="F18" s="39" t="n">
        <f aca="false">PR_PT(F$2,$A18)</f>
        <v>10.7711164596836</v>
      </c>
      <c r="G18" s="39" t="n">
        <f aca="false">PR_PT(G$2,$A18)</f>
        <v>10.7710837542853</v>
      </c>
      <c r="H18" s="39" t="n">
        <f aca="false">PR_PT(H$2,$A18)</f>
        <v>10.7710510492163</v>
      </c>
      <c r="I18" s="39" t="n">
        <f aca="false">PR_PT(I$2,$A18)</f>
        <v>10.7710183444766</v>
      </c>
      <c r="J18" s="39" t="n">
        <f aca="false">PR_PT(J$2,$A18)</f>
        <v>10.7709856400658</v>
      </c>
      <c r="K18" s="39" t="n">
        <f aca="false">PR_PT(K$2,$A18)</f>
        <v>10.7709529359844</v>
      </c>
      <c r="L18" s="39" t="n">
        <f aca="false">PR_PT(L$2,$A18)</f>
        <v>10.770920232232</v>
      </c>
      <c r="M18" s="39" t="n">
        <f aca="false">PR_PT(M$2,$A18)</f>
        <v>10.770887528809</v>
      </c>
      <c r="N18" s="39" t="n">
        <f aca="false">PR_PT(N$2,$A18)</f>
        <v>10.770854825715</v>
      </c>
      <c r="O18" s="39" t="n">
        <f aca="false">PR_PT(O$2,$A18)</f>
        <v>10.7708221229502</v>
      </c>
      <c r="P18" s="39" t="n">
        <f aca="false">PR_PT(P$2,$A18)</f>
        <v>10.7704951134058</v>
      </c>
      <c r="Q18" s="39" t="n">
        <f aca="false">PR_PT(Q$2,$A18)</f>
        <v>10.7701681367747</v>
      </c>
      <c r="R18" s="39" t="n">
        <f aca="false">PR_PT(R$2,$A18)</f>
        <v>10.7698411930538</v>
      </c>
      <c r="S18" s="39" t="n">
        <f aca="false">PR_PT(S$2,$A18)</f>
        <v>10.7695142822397</v>
      </c>
      <c r="T18" s="39" t="n">
        <f aca="false">PR_PT(T$2,$A18)</f>
        <v>10.7691874043295</v>
      </c>
      <c r="U18" s="39" t="n">
        <f aca="false">PR_PT(U$2,$A18)</f>
        <v>10.7688605593199</v>
      </c>
      <c r="V18" s="39" t="n">
        <f aca="false">PR_PT(V$2,$A18)</f>
        <v>10.7685337472078</v>
      </c>
      <c r="W18" s="39" t="n">
        <f aca="false">PR_PT(W$2,$A18)</f>
        <v>10.76820696799</v>
      </c>
      <c r="X18" s="39" t="n">
        <f aca="false">PR_PT(X$2,$A18)</f>
        <v>10.7678802216632</v>
      </c>
      <c r="Y18" s="39" t="n">
        <f aca="false">PR_PT(Y$2,$A18)</f>
        <v>10.7646145667135</v>
      </c>
      <c r="Z18" s="39" t="n">
        <f aca="false">PR_PT(Z$2,$A18)</f>
        <v>10.761352197401</v>
      </c>
      <c r="AA18" s="39" t="n">
        <f aca="false">PR_PT(AA$2,$A18)</f>
        <v>10.7580931105682</v>
      </c>
      <c r="AB18" s="39" t="n">
        <f aca="false">PR_PT(AB$2,$A18)</f>
        <v>10.7548373030609</v>
      </c>
      <c r="AC18" s="39" t="n">
        <f aca="false">PR_PT(AC$2,$A18)</f>
        <v>10.7515847717276</v>
      </c>
      <c r="AD18" s="39" t="n">
        <f aca="false">PR_PT(AD$2,$A18)</f>
        <v>10.74833551342</v>
      </c>
      <c r="AE18" s="39" t="n">
        <f aca="false">PR_PT(AE$2,$A18)</f>
        <v>10.7450895249933</v>
      </c>
      <c r="AF18" s="39" t="n">
        <f aca="false">PR_PT(AF$2,$A18)</f>
        <v>10.7418468033054</v>
      </c>
      <c r="AG18" s="39" t="n">
        <f aca="false">PR_PT(AG$2,$A18)</f>
        <v>10.7386073452171</v>
      </c>
      <c r="AH18" s="39" t="n">
        <f aca="false">PR_PT(AH$2,$A18)</f>
        <v>10.7063915739589</v>
      </c>
      <c r="AI18" s="39" t="n">
        <f aca="false">PR_PT(AI$2,$A18)</f>
        <v>10.6744987326957</v>
      </c>
      <c r="AJ18" s="39" t="n">
        <f aca="false">PR_PT(AJ$2,$A18)</f>
        <v>10.6429257331022</v>
      </c>
      <c r="AK18" s="39" t="n">
        <f aca="false">PR_PT(AK$2,$A18)</f>
        <v>10.6116695172327</v>
      </c>
      <c r="AL18" s="39" t="n">
        <f aca="false">PR_PT(AL$2,$A18)</f>
        <v>10.5807270572861</v>
      </c>
      <c r="AM18" s="39" t="n">
        <f aca="false">PR_PT(AM$2,$A18)</f>
        <v>10.5500953553673</v>
      </c>
      <c r="AN18" s="39" t="n">
        <f aca="false">PR_PT(AN$2,$A18)</f>
        <v>10.5197714432523</v>
      </c>
      <c r="AO18" s="39" t="n">
        <f aca="false">PR_PT(AO$2,$A18)</f>
        <v>10.4897523821499</v>
      </c>
      <c r="AP18" s="39" t="n">
        <f aca="false">PR_PT(AP$2,$A18)</f>
        <v>10.460035262466</v>
      </c>
      <c r="AQ18" s="39" t="n">
        <f aca="false">PR_PT(AQ$2,$A18)</f>
        <v>10.1788511359425</v>
      </c>
      <c r="AR18" s="39" t="n">
        <f aca="false">PR_PT(AR$2,$A18)</f>
        <v>10.1242878373063</v>
      </c>
      <c r="AS18" s="39" t="n">
        <f aca="false">PR_PT(AS$2,$A18)</f>
        <v>10.0999174912147</v>
      </c>
    </row>
    <row r="19" customFormat="false" ht="13.8" hidden="false" customHeight="false" outlineLevel="0" collapsed="false">
      <c r="A19" s="0" t="n">
        <v>7</v>
      </c>
      <c r="B19" s="39" t="n">
        <f aca="false">PR_PT(B$2,$A19)</f>
        <v>1.03500914999175</v>
      </c>
      <c r="C19" s="39" t="n">
        <f aca="false">PR_PT(C$2,$A19)</f>
        <v>1.03711984686016</v>
      </c>
      <c r="D19" s="39" t="n">
        <f aca="false">PR_PT(D$2,$A19)</f>
        <v>1.03958970660485</v>
      </c>
      <c r="E19" s="39" t="n">
        <f aca="false">PR_PT(E$2,$A19)</f>
        <v>1.04245343970772</v>
      </c>
      <c r="F19" s="39" t="n">
        <f aca="false">PR_PT(F$2,$A19)</f>
        <v>2015</v>
      </c>
      <c r="G19" s="39" t="n">
        <f aca="false">PR_PT(G$2,$A19)</f>
        <v>10.4052845177274</v>
      </c>
      <c r="H19" s="39" t="n">
        <f aca="false">PR_PT(H$2,$A19)</f>
        <v>10.4052538316863</v>
      </c>
      <c r="I19" s="39" t="n">
        <f aca="false">PR_PT(I$2,$A19)</f>
        <v>10.4052231459511</v>
      </c>
      <c r="J19" s="39" t="n">
        <f aca="false">PR_PT(J$2,$A19)</f>
        <v>10.4051924605216</v>
      </c>
      <c r="K19" s="39" t="n">
        <f aca="false">PR_PT(K$2,$A19)</f>
        <v>10.4051617753981</v>
      </c>
      <c r="L19" s="39" t="n">
        <f aca="false">PR_PT(L$2,$A19)</f>
        <v>10.4051310905803</v>
      </c>
      <c r="M19" s="39" t="n">
        <f aca="false">PR_PT(M$2,$A19)</f>
        <v>10.4051004060685</v>
      </c>
      <c r="N19" s="39" t="n">
        <f aca="false">PR_PT(N$2,$A19)</f>
        <v>10.4050697218625</v>
      </c>
      <c r="O19" s="39" t="n">
        <f aca="false">PR_PT(O$2,$A19)</f>
        <v>10.4050390379623</v>
      </c>
      <c r="P19" s="39" t="n">
        <f aca="false">PR_PT(P$2,$A19)</f>
        <v>10.4047322157797</v>
      </c>
      <c r="Q19" s="39" t="n">
        <f aca="false">PR_PT(Q$2,$A19)</f>
        <v>10.4044254241765</v>
      </c>
      <c r="R19" s="39" t="n">
        <f aca="false">PR_PT(R$2,$A19)</f>
        <v>10.4041186631497</v>
      </c>
      <c r="S19" s="39" t="n">
        <f aca="false">PR_PT(S$2,$A19)</f>
        <v>10.4038119326964</v>
      </c>
      <c r="T19" s="39" t="n">
        <f aca="false">PR_PT(T$2,$A19)</f>
        <v>10.4035052328136</v>
      </c>
      <c r="U19" s="39" t="n">
        <f aca="false">PR_PT(U$2,$A19)</f>
        <v>10.4031985634986</v>
      </c>
      <c r="V19" s="39" t="n">
        <f aca="false">PR_PT(V$2,$A19)</f>
        <v>10.4028919247484</v>
      </c>
      <c r="W19" s="39" t="n">
        <f aca="false">PR_PT(W$2,$A19)</f>
        <v>10.4025853165599</v>
      </c>
      <c r="X19" s="39" t="n">
        <f aca="false">PR_PT(X$2,$A19)</f>
        <v>10.4022787389306</v>
      </c>
      <c r="Y19" s="39" t="n">
        <f aca="false">PR_PT(Y$2,$A19)</f>
        <v>10.3992146427435</v>
      </c>
      <c r="Z19" s="39" t="n">
        <f aca="false">PR_PT(Z$2,$A19)</f>
        <v>10.3961535992671</v>
      </c>
      <c r="AA19" s="39" t="n">
        <f aca="false">PR_PT(AA$2,$A19)</f>
        <v>10.3930956056059</v>
      </c>
      <c r="AB19" s="39" t="n">
        <f aca="false">PR_PT(AB$2,$A19)</f>
        <v>10.3900406588668</v>
      </c>
      <c r="AC19" s="39" t="n">
        <f aca="false">PR_PT(AC$2,$A19)</f>
        <v>10.3869887561599</v>
      </c>
      <c r="AD19" s="39" t="n">
        <f aca="false">PR_PT(AD$2,$A19)</f>
        <v>10.3839398945977</v>
      </c>
      <c r="AE19" s="39" t="n">
        <f aca="false">PR_PT(AE$2,$A19)</f>
        <v>10.3808940712959</v>
      </c>
      <c r="AF19" s="39" t="n">
        <f aca="false">PR_PT(AF$2,$A19)</f>
        <v>10.3778512833728</v>
      </c>
      <c r="AG19" s="39" t="n">
        <f aca="false">PR_PT(AG$2,$A19)</f>
        <v>10.3748115279495</v>
      </c>
      <c r="AH19" s="39" t="n">
        <f aca="false">PR_PT(AH$2,$A19)</f>
        <v>10.3445801298492</v>
      </c>
      <c r="AI19" s="39" t="n">
        <f aca="false">PR_PT(AI$2,$A19)</f>
        <v>10.3146488356564</v>
      </c>
      <c r="AJ19" s="39" t="n">
        <f aca="false">PR_PT(AJ$2,$A19)</f>
        <v>10.2850148123239</v>
      </c>
      <c r="AK19" s="39" t="n">
        <f aca="false">PR_PT(AK$2,$A19)</f>
        <v>10.2556752543154</v>
      </c>
      <c r="AL19" s="39" t="n">
        <f aca="false">PR_PT(AL$2,$A19)</f>
        <v>10.2266273833916</v>
      </c>
      <c r="AM19" s="39" t="n">
        <f aca="false">PR_PT(AM$2,$A19)</f>
        <v>10.1978684483976</v>
      </c>
      <c r="AN19" s="39" t="n">
        <f aca="false">PR_PT(AN$2,$A19)</f>
        <v>10.1693957250493</v>
      </c>
      <c r="AO19" s="39" t="n">
        <f aca="false">PR_PT(AO$2,$A19)</f>
        <v>10.1412065157206</v>
      </c>
      <c r="AP19" s="39" t="n">
        <f aca="false">PR_PT(AP$2,$A19)</f>
        <v>10.1132981492302</v>
      </c>
      <c r="AQ19" s="39" t="n">
        <f aca="false">PR_PT(AQ$2,$A19)</f>
        <v>9.8490916639886</v>
      </c>
      <c r="AR19" s="39" t="n">
        <f aca="false">PR_PT(AR$2,$A19)</f>
        <v>9.7977931689691</v>
      </c>
      <c r="AS19" s="39" t="n">
        <f aca="false">PR_PT(AS$2,$A19)</f>
        <v>9.77487779847831</v>
      </c>
    </row>
    <row r="20" customFormat="false" ht="13.8" hidden="false" customHeight="false" outlineLevel="0" collapsed="false">
      <c r="A20" s="0" t="n">
        <v>8</v>
      </c>
      <c r="B20" s="39" t="n">
        <f aca="false">PR_PT(B$2,$A20)</f>
        <v>1.03289222637939</v>
      </c>
      <c r="C20" s="39" t="n">
        <f aca="false">PR_PT(C$2,$A20)</f>
        <v>1.0347497827291</v>
      </c>
      <c r="D20" s="39" t="n">
        <f aca="false">PR_PT(D$2,$A20)</f>
        <v>1.0369103653959</v>
      </c>
      <c r="E20" s="39" t="n">
        <f aca="false">PR_PT(E$2,$A20)</f>
        <v>1.03940333986123</v>
      </c>
      <c r="F20" s="39" t="n">
        <f aca="false">PR_PT(F$2,$A20)</f>
        <v>1.04225805080331</v>
      </c>
      <c r="G20" s="39" t="n">
        <f aca="false">PR_PT(G$2,$A20)</f>
        <v>10.0584465587641</v>
      </c>
      <c r="H20" s="39" t="n">
        <f aca="false">PR_PT(H$2,$A20)</f>
        <v>10.0584177382261</v>
      </c>
      <c r="I20" s="39" t="n">
        <f aca="false">PR_PT(I$2,$A20)</f>
        <v>10.0583889179727</v>
      </c>
      <c r="J20" s="39" t="n">
        <f aca="false">PR_PT(J$2,$A20)</f>
        <v>10.0583600980039</v>
      </c>
      <c r="K20" s="39" t="n">
        <f aca="false">PR_PT(K$2,$A20)</f>
        <v>10.0583312783195</v>
      </c>
      <c r="L20" s="39" t="n">
        <f aca="false">PR_PT(L$2,$A20)</f>
        <v>10.0583024589198</v>
      </c>
      <c r="M20" s="39" t="n">
        <f aca="false">PR_PT(M$2,$A20)</f>
        <v>10.0582736398045</v>
      </c>
      <c r="N20" s="39" t="n">
        <f aca="false">PR_PT(N$2,$A20)</f>
        <v>10.0582448209737</v>
      </c>
      <c r="O20" s="39" t="n">
        <f aca="false">PR_PT(O$2,$A20)</f>
        <v>10.0582160024275</v>
      </c>
      <c r="P20" s="39" t="n">
        <f aca="false">PR_PT(P$2,$A20)</f>
        <v>10.0579278326122</v>
      </c>
      <c r="Q20" s="39" t="n">
        <f aca="false">PR_PT(Q$2,$A20)</f>
        <v>10.0576396912452</v>
      </c>
      <c r="R20" s="39" t="n">
        <f aca="false">PR_PT(R$2,$A20)</f>
        <v>10.0573515783233</v>
      </c>
      <c r="S20" s="39" t="n">
        <f aca="false">PR_PT(S$2,$A20)</f>
        <v>10.0570634938444</v>
      </c>
      <c r="T20" s="39" t="n">
        <f aca="false">PR_PT(T$2,$A20)</f>
        <v>10.0567754378056</v>
      </c>
      <c r="U20" s="39" t="n">
        <f aca="false">PR_PT(U$2,$A20)</f>
        <v>10.056487410204</v>
      </c>
      <c r="V20" s="39" t="n">
        <f aca="false">PR_PT(V$2,$A20)</f>
        <v>10.0561994110374</v>
      </c>
      <c r="W20" s="39" t="n">
        <f aca="false">PR_PT(W$2,$A20)</f>
        <v>10.0559114403026</v>
      </c>
      <c r="X20" s="39" t="n">
        <f aca="false">PR_PT(X$2,$A20)</f>
        <v>10.0556234979974</v>
      </c>
      <c r="Y20" s="39" t="n">
        <f aca="false">PR_PT(Y$2,$A20)</f>
        <v>10.0527456379769</v>
      </c>
      <c r="Z20" s="39" t="n">
        <f aca="false">PR_PT(Z$2,$A20)</f>
        <v>10.0498706179696</v>
      </c>
      <c r="AA20" s="39" t="n">
        <f aca="false">PR_PT(AA$2,$A20)</f>
        <v>10.0469984353157</v>
      </c>
      <c r="AB20" s="39" t="n">
        <f aca="false">PR_PT(AB$2,$A20)</f>
        <v>10.0441290873581</v>
      </c>
      <c r="AC20" s="39" t="n">
        <f aca="false">PR_PT(AC$2,$A20)</f>
        <v>10.041262571442</v>
      </c>
      <c r="AD20" s="39" t="n">
        <f aca="false">PR_PT(AD$2,$A20)</f>
        <v>10.0383988849155</v>
      </c>
      <c r="AE20" s="39" t="n">
        <f aca="false">PR_PT(AE$2,$A20)</f>
        <v>10.0355380251287</v>
      </c>
      <c r="AF20" s="39" t="n">
        <f aca="false">PR_PT(AF$2,$A20)</f>
        <v>10.0326799894349</v>
      </c>
      <c r="AG20" s="39" t="n">
        <f aca="false">PR_PT(AG$2,$A20)</f>
        <v>10.0298247751893</v>
      </c>
      <c r="AH20" s="39" t="n">
        <f aca="false">PR_PT(AH$2,$A20)</f>
        <v>10.0014272324136</v>
      </c>
      <c r="AI20" s="39" t="n">
        <f aca="false">PR_PT(AI$2,$A20)</f>
        <v>9.97330894429487</v>
      </c>
      <c r="AJ20" s="39" t="n">
        <f aca="false">PR_PT(AJ$2,$A20)</f>
        <v>9.94546730791084</v>
      </c>
      <c r="AK20" s="39" t="n">
        <f aca="false">PR_PT(AK$2,$A20)</f>
        <v>9.91789974529692</v>
      </c>
      <c r="AL20" s="39" t="n">
        <f aca="false">PR_PT(AL$2,$A20)</f>
        <v>9.89060370325291</v>
      </c>
      <c r="AM20" s="39" t="n">
        <f aca="false">PR_PT(AM$2,$A20)</f>
        <v>9.86357665315124</v>
      </c>
      <c r="AN20" s="39" t="n">
        <f aca="false">PR_PT(AN$2,$A20)</f>
        <v>9.83681609074443</v>
      </c>
      <c r="AO20" s="39" t="n">
        <f aca="false">PR_PT(AO$2,$A20)</f>
        <v>9.8103195359722</v>
      </c>
      <c r="AP20" s="39" t="n">
        <f aca="false">PR_PT(AP$2,$A20)</f>
        <v>9.78408453276998</v>
      </c>
      <c r="AQ20" s="39" t="n">
        <f aca="false">PR_PT(AQ$2,$A20)</f>
        <v>9.53559627710656</v>
      </c>
      <c r="AR20" s="39" t="n">
        <f aca="false">PR_PT(AR$2,$A20)</f>
        <v>9.48732288201504</v>
      </c>
      <c r="AS20" s="39" t="n">
        <f aca="false">PR_PT(AS$2,$A20)</f>
        <v>9.46575593298236</v>
      </c>
    </row>
    <row r="21" customFormat="false" ht="13.8" hidden="false" customHeight="false" outlineLevel="0" collapsed="false">
      <c r="A21" s="0" t="n">
        <v>9</v>
      </c>
      <c r="B21" s="39" t="n">
        <f aca="false">PR_PT(B$2,$A21)</f>
        <v>1.03089463856799</v>
      </c>
      <c r="C21" s="39" t="n">
        <f aca="false">PR_PT(C$2,$A21)</f>
        <v>1.03253711889165</v>
      </c>
      <c r="D21" s="39" t="n">
        <f aca="false">PR_PT(D$2,$A21)</f>
        <v>1.03443534256164</v>
      </c>
      <c r="E21" s="39" t="n">
        <f aca="false">PR_PT(E$2,$A21)</f>
        <v>1.03661416417841</v>
      </c>
      <c r="F21" s="39" t="n">
        <f aca="false">PR_PT(F$2,$A21)</f>
        <v>1.0390984201057</v>
      </c>
      <c r="G21" s="39" t="n">
        <f aca="false">PR_PT(G$2,$A21)</f>
        <v>9.72926539387915</v>
      </c>
      <c r="H21" s="39" t="n">
        <f aca="false">PR_PT(H$2,$A21)</f>
        <v>9.72923829922343</v>
      </c>
      <c r="I21" s="39" t="n">
        <f aca="false">PR_PT(I$2,$A21)</f>
        <v>9.72921120483283</v>
      </c>
      <c r="J21" s="39" t="n">
        <f aca="false">PR_PT(J$2,$A21)</f>
        <v>9.72918411070727</v>
      </c>
      <c r="K21" s="39" t="n">
        <f aca="false">PR_PT(K$2,$A21)</f>
        <v>9.72915701684664</v>
      </c>
      <c r="L21" s="39" t="n">
        <f aca="false">PR_PT(L$2,$A21)</f>
        <v>9.7291299232511</v>
      </c>
      <c r="M21" s="39" t="n">
        <f aca="false">PR_PT(M$2,$A21)</f>
        <v>9.72910282992055</v>
      </c>
      <c r="N21" s="39" t="n">
        <f aca="false">PR_PT(N$2,$A21)</f>
        <v>9.72907573685509</v>
      </c>
      <c r="O21" s="39" t="n">
        <f aca="false">PR_PT(O$2,$A21)</f>
        <v>9.72904864405452</v>
      </c>
      <c r="P21" s="39" t="n">
        <f aca="false">PR_PT(P$2,$A21)</f>
        <v>9.72877773062488</v>
      </c>
      <c r="Q21" s="39" t="n">
        <f aca="false">PR_PT(Q$2,$A21)</f>
        <v>9.7285068436944</v>
      </c>
      <c r="R21" s="39" t="n">
        <f aca="false">PR_PT(R$2,$A21)</f>
        <v>9.72823598326046</v>
      </c>
      <c r="S21" s="39" t="n">
        <f aca="false">PR_PT(S$2,$A21)</f>
        <v>9.72796514932085</v>
      </c>
      <c r="T21" s="39" t="n">
        <f aca="false">PR_PT(T$2,$A21)</f>
        <v>9.72769434187292</v>
      </c>
      <c r="U21" s="39" t="n">
        <f aca="false">PR_PT(U$2,$A21)</f>
        <v>9.72742356091424</v>
      </c>
      <c r="V21" s="39" t="n">
        <f aca="false">PR_PT(V$2,$A21)</f>
        <v>9.72715280644237</v>
      </c>
      <c r="W21" s="39" t="n">
        <f aca="false">PR_PT(W$2,$A21)</f>
        <v>9.72688207845502</v>
      </c>
      <c r="X21" s="39" t="n">
        <f aca="false">PR_PT(X$2,$A21)</f>
        <v>9.72661137694957</v>
      </c>
      <c r="Y21" s="39" t="n">
        <f aca="false">PR_PT(Y$2,$A21)</f>
        <v>9.72390581786245</v>
      </c>
      <c r="Z21" s="39" t="n">
        <f aca="false">PR_PT(Z$2,$A21)</f>
        <v>9.72120290427567</v>
      </c>
      <c r="AA21" s="39" t="n">
        <f aca="false">PR_PT(AA$2,$A21)</f>
        <v>9.71850263374201</v>
      </c>
      <c r="AB21" s="39" t="n">
        <f aca="false">PR_PT(AB$2,$A21)</f>
        <v>9.7158050038171</v>
      </c>
      <c r="AC21" s="39" t="n">
        <f aca="false">PR_PT(AC$2,$A21)</f>
        <v>9.71311001205895</v>
      </c>
      <c r="AD21" s="39" t="n">
        <f aca="false">PR_PT(AD$2,$A21)</f>
        <v>9.71041765602755</v>
      </c>
      <c r="AE21" s="39" t="n">
        <f aca="false">PR_PT(AE$2,$A21)</f>
        <v>9.70772793328537</v>
      </c>
      <c r="AF21" s="39" t="n">
        <f aca="false">PR_PT(AF$2,$A21)</f>
        <v>9.70504084139735</v>
      </c>
      <c r="AG21" s="39" t="n">
        <f aca="false">PR_PT(AG$2,$A21)</f>
        <v>9.70235637793034</v>
      </c>
      <c r="AH21" s="39" t="n">
        <f aca="false">PR_PT(AH$2,$A21)</f>
        <v>9.6756557728236</v>
      </c>
      <c r="AI21" s="39" t="n">
        <f aca="false">PR_PT(AI$2,$A21)</f>
        <v>9.64921535067133</v>
      </c>
      <c r="AJ21" s="39" t="n">
        <f aca="false">PR_PT(AJ$2,$A21)</f>
        <v>9.62303271633526</v>
      </c>
      <c r="AK21" s="39" t="n">
        <f aca="false">PR_PT(AK$2,$A21)</f>
        <v>9.59710549735965</v>
      </c>
      <c r="AL21" s="39" t="n">
        <f aca="false">PR_PT(AL$2,$A21)</f>
        <v>9.57143134379635</v>
      </c>
      <c r="AM21" s="39" t="n">
        <f aca="false">PR_PT(AM$2,$A21)</f>
        <v>9.54600792803085</v>
      </c>
      <c r="AN21" s="39" t="n">
        <f aca="false">PR_PT(AN$2,$A21)</f>
        <v>9.52083294460781</v>
      </c>
      <c r="AO21" s="39" t="n">
        <f aca="false">PR_PT(AO$2,$A21)</f>
        <v>9.49590411005754</v>
      </c>
      <c r="AP21" s="39" t="n">
        <f aca="false">PR_PT(AP$2,$A21)</f>
        <v>9.47121916272184</v>
      </c>
      <c r="AQ21" s="39" t="n">
        <f aca="false">PR_PT(AQ$2,$A21)</f>
        <v>9.23730117117306</v>
      </c>
      <c r="AR21" s="39" t="n">
        <f aca="false">PR_PT(AR$2,$A21)</f>
        <v>9.1918341785209</v>
      </c>
      <c r="AS21" s="39" t="n">
        <f aca="false">PR_PT(AS$2,$A21)</f>
        <v>9.17151841217114</v>
      </c>
    </row>
    <row r="22" customFormat="false" ht="13.8" hidden="false" customHeight="false" outlineLevel="0" collapsed="false">
      <c r="A22" s="0" t="n">
        <v>10</v>
      </c>
      <c r="B22" s="39" t="n">
        <f aca="false">PR_PT(B$2,$A22)</f>
        <v>1.02900168315469</v>
      </c>
      <c r="C22" s="39" t="n">
        <f aca="false">PR_PT(C$2,$A22)</f>
        <v>1.03046111090856</v>
      </c>
      <c r="D22" s="39" t="n">
        <f aca="false">PR_PT(D$2,$A22)</f>
        <v>1.03213644008688</v>
      </c>
      <c r="E22" s="39" t="n">
        <f aca="false">PR_PT(E$2,$A22)</f>
        <v>1.03404871669291</v>
      </c>
      <c r="F22" s="39" t="n">
        <f aca="false">PR_PT(F$2,$A22)</f>
        <v>1.03621897063912</v>
      </c>
      <c r="G22" s="39" t="n">
        <f aca="false">PR_PT(G$2,$A22)</f>
        <v>9.41654770431538</v>
      </c>
      <c r="H22" s="39" t="n">
        <f aca="false">PR_PT(H$2,$A22)</f>
        <v>9.41652220837152</v>
      </c>
      <c r="I22" s="39" t="n">
        <f aca="false">PR_PT(I$2,$A22)</f>
        <v>9.41649671267483</v>
      </c>
      <c r="J22" s="39" t="n">
        <f aca="false">PR_PT(J$2,$A22)</f>
        <v>9.41647121722526</v>
      </c>
      <c r="K22" s="39" t="n">
        <f aca="false">PR_PT(K$2,$A22)</f>
        <v>9.41644572202292</v>
      </c>
      <c r="L22" s="39" t="n">
        <f aca="false">PR_PT(L$2,$A22)</f>
        <v>9.4164202270677</v>
      </c>
      <c r="M22" s="39" t="n">
        <f aca="false">PR_PT(M$2,$A22)</f>
        <v>9.41639473235978</v>
      </c>
      <c r="N22" s="39" t="n">
        <f aca="false">PR_PT(N$2,$A22)</f>
        <v>9.4163692378989</v>
      </c>
      <c r="O22" s="39" t="n">
        <f aca="false">PR_PT(O$2,$A22)</f>
        <v>9.41634374368521</v>
      </c>
      <c r="P22" s="39" t="n">
        <f aca="false">PR_PT(P$2,$A22)</f>
        <v>9.41608881514216</v>
      </c>
      <c r="Q22" s="39" t="n">
        <f aca="false">PR_PT(Q$2,$A22)</f>
        <v>9.41583391131332</v>
      </c>
      <c r="R22" s="39" t="n">
        <f aca="false">PR_PT(R$2,$A22)</f>
        <v>9.41557903219657</v>
      </c>
      <c r="S22" s="39" t="n">
        <f aca="false">PR_PT(S$2,$A22)</f>
        <v>9.41532417778939</v>
      </c>
      <c r="T22" s="39" t="n">
        <f aca="false">PR_PT(T$2,$A22)</f>
        <v>9.41506934808976</v>
      </c>
      <c r="U22" s="39" t="n">
        <f aca="false">PR_PT(U$2,$A22)</f>
        <v>9.41481454309529</v>
      </c>
      <c r="V22" s="39" t="n">
        <f aca="false">PR_PT(V$2,$A22)</f>
        <v>9.41455976280385</v>
      </c>
      <c r="W22" s="39" t="n">
        <f aca="false">PR_PT(W$2,$A22)</f>
        <v>9.41430500721297</v>
      </c>
      <c r="X22" s="39" t="n">
        <f aca="false">PR_PT(X$2,$A22)</f>
        <v>9.41405027632066</v>
      </c>
      <c r="Y22" s="39" t="n">
        <f aca="false">PR_PT(Y$2,$A22)</f>
        <v>9.41150432531359</v>
      </c>
      <c r="Z22" s="39" t="n">
        <f aca="false">PR_PT(Z$2,$A22)</f>
        <v>9.40896084166733</v>
      </c>
      <c r="AA22" s="39" t="n">
        <f aca="false">PR_PT(AA$2,$A22)</f>
        <v>9.40641982312743</v>
      </c>
      <c r="AB22" s="39" t="n">
        <f aca="false">PR_PT(AB$2,$A22)</f>
        <v>9.40388126744189</v>
      </c>
      <c r="AC22" s="39" t="n">
        <f aca="false">PR_PT(AC$2,$A22)</f>
        <v>9.4013451723605</v>
      </c>
      <c r="AD22" s="39" t="n">
        <f aca="false">PR_PT(AD$2,$A22)</f>
        <v>9.39881153563554</v>
      </c>
      <c r="AE22" s="39" t="n">
        <f aca="false">PR_PT(AE$2,$A22)</f>
        <v>9.39628035502107</v>
      </c>
      <c r="AF22" s="39" t="n">
        <f aca="false">PR_PT(AF$2,$A22)</f>
        <v>9.39375162827326</v>
      </c>
      <c r="AG22" s="39" t="n">
        <f aca="false">PR_PT(AG$2,$A22)</f>
        <v>9.39122535315061</v>
      </c>
      <c r="AH22" s="39" t="n">
        <f aca="false">PR_PT(AH$2,$A22)</f>
        <v>9.36609694964442</v>
      </c>
      <c r="AI22" s="39" t="n">
        <f aca="false">PR_PT(AI$2,$A22)</f>
        <v>9.34121125838471</v>
      </c>
      <c r="AJ22" s="39" t="n">
        <f aca="false">PR_PT(AJ$2,$A22)</f>
        <v>9.31656607213995</v>
      </c>
      <c r="AK22" s="39" t="n">
        <f aca="false">PR_PT(AK$2,$A22)</f>
        <v>9.29215920433001</v>
      </c>
      <c r="AL22" s="39" t="n">
        <f aca="false">PR_PT(AL$2,$A22)</f>
        <v>9.26798848886745</v>
      </c>
      <c r="AM22" s="39" t="n">
        <f aca="false">PR_PT(AM$2,$A22)</f>
        <v>9.24405178000002</v>
      </c>
      <c r="AN22" s="39" t="n">
        <f aca="false">PR_PT(AN$2,$A22)</f>
        <v>9.22034695215182</v>
      </c>
      <c r="AO22" s="39" t="n">
        <f aca="false">PR_PT(AO$2,$A22)</f>
        <v>9.19687189976616</v>
      </c>
      <c r="AP22" s="39" t="n">
        <f aca="false">PR_PT(AP$2,$A22)</f>
        <v>9.17362453714761</v>
      </c>
      <c r="AQ22" s="39" t="n">
        <f aca="false">PR_PT(AQ$2,$A22)</f>
        <v>8.95322888316679</v>
      </c>
      <c r="AR22" s="39" t="n">
        <f aca="false">PR_PT(AR$2,$A22)</f>
        <v>8.91036847041678</v>
      </c>
      <c r="AS22" s="39" t="n">
        <f aca="false">PR_PT(AS$2,$A22)</f>
        <v>8.89121502027516</v>
      </c>
    </row>
    <row r="23" customFormat="false" ht="13.8" hidden="false" customHeight="false" outlineLevel="0" collapsed="false">
      <c r="A23" s="0" t="n">
        <v>20</v>
      </c>
      <c r="B23" s="39" t="n">
        <f aca="false">PR_PT(B$2,$A23)</f>
        <v>1.01383570326058</v>
      </c>
      <c r="C23" s="39" t="n">
        <f aca="false">PR_PT(C$2,$A23)</f>
        <v>1.01442860333622</v>
      </c>
      <c r="D23" s="39" t="n">
        <f aca="false">PR_PT(D$2,$A23)</f>
        <v>1.01506161960459</v>
      </c>
      <c r="E23" s="39" t="n">
        <f aca="false">PR_PT(E$2,$A23)</f>
        <v>1.01573884101562</v>
      </c>
      <c r="F23" s="39" t="n">
        <f aca="false">PR_PT(F$2,$A23)</f>
        <v>1.01646435021824</v>
      </c>
      <c r="G23" s="39" t="n">
        <f aca="false">PR_PT(G$2,$A23)</f>
        <v>1.02727049978398</v>
      </c>
      <c r="H23" s="39" t="n">
        <f aca="false">PR_PT(H$2,$A23)</f>
        <v>6.99277640026217</v>
      </c>
      <c r="I23" s="39" t="n">
        <f aca="false">PR_PT(I$2,$A23)</f>
        <v>6.99276188224694</v>
      </c>
      <c r="J23" s="39" t="n">
        <f aca="false">PR_PT(J$2,$A23)</f>
        <v>6.99274736436254</v>
      </c>
      <c r="K23" s="39" t="n">
        <f aca="false">PR_PT(K$2,$A23)</f>
        <v>6.99273284660909</v>
      </c>
      <c r="L23" s="39" t="n">
        <f aca="false">PR_PT(L$2,$A23)</f>
        <v>6.99271832898647</v>
      </c>
      <c r="M23" s="39" t="n">
        <f aca="false">PR_PT(M$2,$A23)</f>
        <v>6.99270381149458</v>
      </c>
      <c r="N23" s="39" t="n">
        <f aca="false">PR_PT(N$2,$A23)</f>
        <v>6.99268929413366</v>
      </c>
      <c r="O23" s="39" t="n">
        <f aca="false">PR_PT(O$2,$A23)</f>
        <v>6.99267477690355</v>
      </c>
      <c r="P23" s="39" t="n">
        <f aca="false">PR_PT(P$2,$A23)</f>
        <v>6.99252961179893</v>
      </c>
      <c r="Q23" s="39" t="n">
        <f aca="false">PR_PT(Q$2,$A23)</f>
        <v>6.99238445977823</v>
      </c>
      <c r="R23" s="39" t="n">
        <f aca="false">PR_PT(R$2,$A23)</f>
        <v>6.99223932084034</v>
      </c>
      <c r="S23" s="39" t="n">
        <f aca="false">PR_PT(S$2,$A23)</f>
        <v>6.99209419498416</v>
      </c>
      <c r="T23" s="39" t="n">
        <f aca="false">PR_PT(T$2,$A23)</f>
        <v>6.99194908220863</v>
      </c>
      <c r="U23" s="39" t="n">
        <f aca="false">PR_PT(U$2,$A23)</f>
        <v>6.99180398251277</v>
      </c>
      <c r="V23" s="39" t="n">
        <f aca="false">PR_PT(V$2,$A23)</f>
        <v>6.99165889589535</v>
      </c>
      <c r="W23" s="39" t="n">
        <f aca="false">PR_PT(W$2,$A23)</f>
        <v>6.9915138223553</v>
      </c>
      <c r="X23" s="39" t="n">
        <f aca="false">PR_PT(X$2,$A23)</f>
        <v>6.99136876189178</v>
      </c>
      <c r="Y23" s="39" t="n">
        <f aca="false">PR_PT(Y$2,$A23)</f>
        <v>6.98991887621949</v>
      </c>
      <c r="Z23" s="39" t="n">
        <f aca="false">PR_PT(Z$2,$A23)</f>
        <v>6.988470297003</v>
      </c>
      <c r="AA23" s="39" t="n">
        <f aca="false">PR_PT(AA$2,$A23)</f>
        <v>6.98702302317003</v>
      </c>
      <c r="AB23" s="39" t="n">
        <f aca="false">PR_PT(AB$2,$A23)</f>
        <v>6.98557705364905</v>
      </c>
      <c r="AC23" s="39" t="n">
        <f aca="false">PR_PT(AC$2,$A23)</f>
        <v>6.98413238736972</v>
      </c>
      <c r="AD23" s="39" t="n">
        <f aca="false">PR_PT(AD$2,$A23)</f>
        <v>6.98268902326231</v>
      </c>
      <c r="AE23" s="39" t="n">
        <f aca="false">PR_PT(AE$2,$A23)</f>
        <v>6.98124696025822</v>
      </c>
      <c r="AF23" s="39" t="n">
        <f aca="false">PR_PT(AF$2,$A23)</f>
        <v>6.97980619728968</v>
      </c>
      <c r="AG23" s="39" t="n">
        <f aca="false">PR_PT(AG$2,$A23)</f>
        <v>6.97836673328981</v>
      </c>
      <c r="AH23" s="39" t="n">
        <f aca="false">PR_PT(AH$2,$A23)</f>
        <v>6.9640433025025</v>
      </c>
      <c r="AI23" s="39" t="n">
        <f aca="false">PR_PT(AI$2,$A23)</f>
        <v>6.94984860172126</v>
      </c>
      <c r="AJ23" s="39" t="n">
        <f aca="false">PR_PT(AJ$2,$A23)</f>
        <v>6.93578157890379</v>
      </c>
      <c r="AK23" s="39" t="n">
        <f aca="false">PR_PT(AK$2,$A23)</f>
        <v>6.92184119090402</v>
      </c>
      <c r="AL23" s="39" t="n">
        <f aca="false">PR_PT(AL$2,$A23)</f>
        <v>6.90802640340111</v>
      </c>
      <c r="AM23" s="39" t="n">
        <f aca="false">PR_PT(AM$2,$A23)</f>
        <v>6.89433619082881</v>
      </c>
      <c r="AN23" s="39" t="n">
        <f aca="false">PR_PT(AN$2,$A23)</f>
        <v>6.88076953630585</v>
      </c>
      <c r="AO23" s="39" t="n">
        <f aca="false">PR_PT(AO$2,$A23)</f>
        <v>6.86732543156667</v>
      </c>
      <c r="AP23" s="39" t="n">
        <f aca="false">PR_PT(AP$2,$A23)</f>
        <v>6.85400287689185</v>
      </c>
      <c r="AQ23" s="39" t="n">
        <f aca="false">PR_PT(AQ$2,$A23)</f>
        <v>6.72724862144085</v>
      </c>
      <c r="AR23" s="39" t="n">
        <f aca="false">PR_PT(AR$2,$A23)</f>
        <v>6.70250097361483</v>
      </c>
      <c r="AS23" s="39" t="n">
        <f aca="false">PR_PT(AS$2,$A23)</f>
        <v>6.6914311267775</v>
      </c>
    </row>
    <row r="24" customFormat="false" ht="13.8" hidden="false" customHeight="false" outlineLevel="0" collapsed="false">
      <c r="A24" s="0" t="n">
        <v>30</v>
      </c>
      <c r="B24" s="39" t="n">
        <f aca="false">PR_PT(B$2,$A24)</f>
        <v>1.00251834105452</v>
      </c>
      <c r="C24" s="39" t="n">
        <f aca="false">PR_PT(C$2,$A24)</f>
        <v>1.00287920421056</v>
      </c>
      <c r="D24" s="39" t="n">
        <f aca="false">PR_PT(D$2,$A24)</f>
        <v>1.00324740273542</v>
      </c>
      <c r="E24" s="39" t="n">
        <f aca="false">PR_PT(E$2,$A24)</f>
        <v>1.00362377221341</v>
      </c>
      <c r="F24" s="39" t="n">
        <f aca="false">PR_PT(F$2,$A24)</f>
        <v>1.00400914472367</v>
      </c>
      <c r="G24" s="39" t="n">
        <f aca="false">PR_PT(G$2,$A24)</f>
        <v>1.00853962570696</v>
      </c>
      <c r="H24" s="39" t="n">
        <f aca="false">PR_PT(H$2,$A24)</f>
        <v>1.01487401606284</v>
      </c>
      <c r="I24" s="39" t="n">
        <f aca="false">PR_PT(I$2,$A24)</f>
        <v>1.02382637268191</v>
      </c>
      <c r="J24" s="39" t="n">
        <f aca="false">PR_PT(J$2,$A24)</f>
        <v>5.42020283954344</v>
      </c>
      <c r="K24" s="39" t="n">
        <f aca="false">PR_PT(K$2,$A24)</f>
        <v>5.4201940099047</v>
      </c>
      <c r="L24" s="39" t="n">
        <f aca="false">PR_PT(L$2,$A24)</f>
        <v>5.42018518034204</v>
      </c>
      <c r="M24" s="39" t="n">
        <f aca="false">PR_PT(M$2,$A24)</f>
        <v>5.42017635085551</v>
      </c>
      <c r="N24" s="39" t="n">
        <f aca="false">PR_PT(N$2,$A24)</f>
        <v>5.42016752144509</v>
      </c>
      <c r="O24" s="39" t="n">
        <f aca="false">PR_PT(O$2,$A24)</f>
        <v>5.42015869211074</v>
      </c>
      <c r="P24" s="39" t="n">
        <f aca="false">PR_PT(P$2,$A24)</f>
        <v>5.4200704029532</v>
      </c>
      <c r="Q24" s="39" t="n">
        <f aca="false">PR_PT(Q$2,$A24)</f>
        <v>5.41998212140551</v>
      </c>
      <c r="R24" s="39" t="n">
        <f aca="false">PR_PT(R$2,$A24)</f>
        <v>5.41989384746708</v>
      </c>
      <c r="S24" s="39" t="n">
        <f aca="false">PR_PT(S$2,$A24)</f>
        <v>5.41980558113746</v>
      </c>
      <c r="T24" s="39" t="n">
        <f aca="false">PR_PT(T$2,$A24)</f>
        <v>5.41971732241593</v>
      </c>
      <c r="U24" s="39" t="n">
        <f aca="false">PR_PT(U$2,$A24)</f>
        <v>5.41962907130198</v>
      </c>
      <c r="V24" s="39" t="n">
        <f aca="false">PR_PT(V$2,$A24)</f>
        <v>5.41954082779504</v>
      </c>
      <c r="W24" s="39" t="n">
        <f aca="false">PR_PT(W$2,$A24)</f>
        <v>5.41945259189447</v>
      </c>
      <c r="X24" s="39" t="n">
        <f aca="false">PR_PT(X$2,$A24)</f>
        <v>5.41936436359977</v>
      </c>
      <c r="Y24" s="39" t="n">
        <f aca="false">PR_PT(Y$2,$A24)</f>
        <v>5.41848249884629</v>
      </c>
      <c r="Z24" s="39" t="n">
        <f aca="false">PR_PT(Z$2,$A24)</f>
        <v>5.41760139404014</v>
      </c>
      <c r="AA24" s="39" t="n">
        <f aca="false">PR_PT(AA$2,$A24)</f>
        <v>5.41672104860375</v>
      </c>
      <c r="AB24" s="39" t="n">
        <f aca="false">PR_PT(AB$2,$A24)</f>
        <v>5.41584146195985</v>
      </c>
      <c r="AC24" s="39" t="n">
        <f aca="false">PR_PT(AC$2,$A24)</f>
        <v>5.4149626335319</v>
      </c>
      <c r="AD24" s="39" t="n">
        <f aca="false">PR_PT(AD$2,$A24)</f>
        <v>5.41408456274346</v>
      </c>
      <c r="AE24" s="39" t="n">
        <f aca="false">PR_PT(AE$2,$A24)</f>
        <v>5.41320724901883</v>
      </c>
      <c r="AF24" s="39" t="n">
        <f aca="false">PR_PT(AF$2,$A24)</f>
        <v>5.41233069178278</v>
      </c>
      <c r="AG24" s="39" t="n">
        <f aca="false">PR_PT(AG$2,$A24)</f>
        <v>5.41145489046028</v>
      </c>
      <c r="AH24" s="39" t="n">
        <f aca="false">PR_PT(AH$2,$A24)</f>
        <v>5.40273832634803</v>
      </c>
      <c r="AI24" s="39" t="n">
        <f aca="false">PR_PT(AI$2,$A24)</f>
        <v>5.39409672468256</v>
      </c>
      <c r="AJ24" s="39" t="n">
        <f aca="false">PR_PT(AJ$2,$A24)</f>
        <v>5.38552951818758</v>
      </c>
      <c r="AK24" s="39" t="n">
        <f aca="false">PR_PT(AK$2,$A24)</f>
        <v>5.37703614412672</v>
      </c>
      <c r="AL24" s="39" t="n">
        <f aca="false">PR_PT(AL$2,$A24)</f>
        <v>5.36861604426134</v>
      </c>
      <c r="AM24" s="39" t="n">
        <f aca="false">PR_PT(AM$2,$A24)</f>
        <v>5.36026866480915</v>
      </c>
      <c r="AN24" s="39" t="n">
        <f aca="false">PR_PT(AN$2,$A24)</f>
        <v>5.35199345640263</v>
      </c>
      <c r="AO24" s="39" t="n">
        <f aca="false">PR_PT(AO$2,$A24)</f>
        <v>5.34378987404911</v>
      </c>
      <c r="AP24" s="39" t="n">
        <f aca="false">PR_PT(AP$2,$A24)</f>
        <v>5.33565737709061</v>
      </c>
      <c r="AQ24" s="39" t="n">
        <f aca="false">PR_PT(AQ$2,$A24)</f>
        <v>5.25812618192065</v>
      </c>
      <c r="AR24" s="39" t="n">
        <f aca="false">PR_PT(AR$2,$A24)</f>
        <v>5.24295518546061</v>
      </c>
      <c r="AS24" s="39" t="n">
        <f aca="false">PR_PT(AS$2,$A24)</f>
        <v>5.23616542572233</v>
      </c>
    </row>
    <row r="25" customFormat="false" ht="13.8" hidden="false" customHeight="false" outlineLevel="0" collapsed="false">
      <c r="A25" s="0" t="n">
        <v>40</v>
      </c>
      <c r="B25" s="39" t="n">
        <f aca="false">PR_PT(B$2,$A25)</f>
        <v>0.993411321511509</v>
      </c>
      <c r="C25" s="39" t="n">
        <f aca="false">PR_PT(C$2,$A25)</f>
        <v>0.993674541445341</v>
      </c>
      <c r="D25" s="39" t="n">
        <f aca="false">PR_PT(D$2,$A25)</f>
        <v>0.99393888796068</v>
      </c>
      <c r="E25" s="39" t="n">
        <f aca="false">PR_PT(E$2,$A25)</f>
        <v>0.994204544770129</v>
      </c>
      <c r="F25" s="39" t="n">
        <f aca="false">PR_PT(F$2,$A25)</f>
        <v>0.994471693384737</v>
      </c>
      <c r="G25" s="39" t="n">
        <f aca="false">PR_PT(G$2,$A25)</f>
        <v>0.997264267741022</v>
      </c>
      <c r="H25" s="39" t="n">
        <f aca="false">PR_PT(H$2,$A25)</f>
        <v>1.00039877134468</v>
      </c>
      <c r="I25" s="39" t="n">
        <f aca="false">PR_PT(I$2,$A25)</f>
        <v>1.00404668092703</v>
      </c>
      <c r="J25" s="39" t="n">
        <f aca="false">PR_PT(J$2,$A25)</f>
        <v>1.00837774743436</v>
      </c>
      <c r="K25" s="39" t="n">
        <f aca="false">PR_PT(K$2,$A25)</f>
        <v>1.01356066570217</v>
      </c>
      <c r="L25" s="39" t="n">
        <f aca="false">PR_PT(L$2,$A25)</f>
        <v>1.01976334121609</v>
      </c>
      <c r="M25" s="39" t="n">
        <f aca="false">PR_PT(M$2,$A25)</f>
        <v>4.34105603311465</v>
      </c>
      <c r="N25" s="39" t="n">
        <f aca="false">PR_PT(N$2,$A25)</f>
        <v>4.34105039217121</v>
      </c>
      <c r="O25" s="39" t="n">
        <f aca="false">PR_PT(O$2,$A25)</f>
        <v>4.34104475127549</v>
      </c>
      <c r="P25" s="39" t="n">
        <f aca="false">PR_PT(P$2,$A25)</f>
        <v>4.34098834494407</v>
      </c>
      <c r="Q25" s="39" t="n">
        <f aca="false">PR_PT(Q$2,$A25)</f>
        <v>4.34093194338636</v>
      </c>
      <c r="R25" s="39" t="n">
        <f aca="false">PR_PT(R$2,$A25)</f>
        <v>4.34087554660201</v>
      </c>
      <c r="S25" s="39" t="n">
        <f aca="false">PR_PT(S$2,$A25)</f>
        <v>4.34081915459057</v>
      </c>
      <c r="T25" s="39" t="n">
        <f aca="false">PR_PT(T$2,$A25)</f>
        <v>4.34076276735178</v>
      </c>
      <c r="U25" s="39" t="n">
        <f aca="false">PR_PT(U$2,$A25)</f>
        <v>4.3407063848853</v>
      </c>
      <c r="V25" s="39" t="n">
        <f aca="false">PR_PT(V$2,$A25)</f>
        <v>4.34065000719079</v>
      </c>
      <c r="W25" s="39" t="n">
        <f aca="false">PR_PT(W$2,$A25)</f>
        <v>4.34059363426783</v>
      </c>
      <c r="X25" s="39" t="n">
        <f aca="false">PR_PT(X$2,$A25)</f>
        <v>4.34053726611616</v>
      </c>
      <c r="Y25" s="39" t="n">
        <f aca="false">PR_PT(Y$2,$A25)</f>
        <v>4.33997384694139</v>
      </c>
      <c r="Z25" s="39" t="n">
        <f aca="false">PR_PT(Z$2,$A25)</f>
        <v>4.33941090450921</v>
      </c>
      <c r="AA25" s="39" t="n">
        <f aca="false">PR_PT(AA$2,$A25)</f>
        <v>4.33884843847249</v>
      </c>
      <c r="AB25" s="39" t="n">
        <f aca="false">PR_PT(AB$2,$A25)</f>
        <v>4.33828644848435</v>
      </c>
      <c r="AC25" s="39" t="n">
        <f aca="false">PR_PT(AC$2,$A25)</f>
        <v>4.33772493419829</v>
      </c>
      <c r="AD25" s="39" t="n">
        <f aca="false">PR_PT(AD$2,$A25)</f>
        <v>4.33716389526808</v>
      </c>
      <c r="AE25" s="39" t="n">
        <f aca="false">PR_PT(AE$2,$A25)</f>
        <v>4.33660333134762</v>
      </c>
      <c r="AF25" s="39" t="n">
        <f aca="false">PR_PT(AF$2,$A25)</f>
        <v>4.33604324209125</v>
      </c>
      <c r="AG25" s="39" t="n">
        <f aca="false">PR_PT(AG$2,$A25)</f>
        <v>4.33548362715348</v>
      </c>
      <c r="AH25" s="39" t="n">
        <f aca="false">PR_PT(AH$2,$A25)</f>
        <v>4.32991348950663</v>
      </c>
      <c r="AI25" s="39" t="n">
        <f aca="false">PR_PT(AI$2,$A25)</f>
        <v>4.3243904058174</v>
      </c>
      <c r="AJ25" s="39" t="n">
        <f aca="false">PR_PT(AJ$2,$A25)</f>
        <v>4.31891403522688</v>
      </c>
      <c r="AK25" s="39" t="n">
        <f aca="false">PR_PT(AK$2,$A25)</f>
        <v>4.31348403960758</v>
      </c>
      <c r="AL25" s="39" t="n">
        <f aca="false">PR_PT(AL$2,$A25)</f>
        <v>4.30810008353174</v>
      </c>
      <c r="AM25" s="39" t="n">
        <f aca="false">PR_PT(AM$2,$A25)</f>
        <v>4.3027618342403</v>
      </c>
      <c r="AN25" s="39" t="n">
        <f aca="false">PR_PT(AN$2,$A25)</f>
        <v>4.29746896161241</v>
      </c>
      <c r="AO25" s="39" t="n">
        <f aca="false">PR_PT(AO$2,$A25)</f>
        <v>4.29222113813562</v>
      </c>
      <c r="AP25" s="39" t="n">
        <f aca="false">PR_PT(AP$2,$A25)</f>
        <v>4.28701803887664</v>
      </c>
      <c r="AQ25" s="39" t="n">
        <f aca="false">PR_PT(AQ$2,$A25)</f>
        <v>4.23737718138447</v>
      </c>
      <c r="AR25" s="39" t="n">
        <f aca="false">PR_PT(AR$2,$A25)</f>
        <v>4.22765592389192</v>
      </c>
      <c r="AS25" s="39" t="n">
        <f aca="false">PR_PT(AS$2,$A25)</f>
        <v>4.22330438544814</v>
      </c>
    </row>
    <row r="26" customFormat="false" ht="13.8" hidden="false" customHeight="false" outlineLevel="0" collapsed="false">
      <c r="A26" s="0" t="n">
        <v>50</v>
      </c>
      <c r="B26" s="39" t="n">
        <f aca="false">PR_PT(B$2,$A26)</f>
        <v>0.985916634991703</v>
      </c>
      <c r="C26" s="39" t="n">
        <f aca="false">PR_PT(C$2,$A26)</f>
        <v>0.986120450018525</v>
      </c>
      <c r="D26" s="39" t="n">
        <f aca="false">PR_PT(D$2,$A26)</f>
        <v>0.986324262885173</v>
      </c>
      <c r="E26" s="39" t="n">
        <f aca="false">PR_PT(E$2,$A26)</f>
        <v>0.986528119761167</v>
      </c>
      <c r="F26" s="39" t="n">
        <f aca="false">PR_PT(F$2,$A26)</f>
        <v>0.98673206537578</v>
      </c>
      <c r="G26" s="39" t="n">
        <f aca="false">PR_PT(G$2,$A26)</f>
        <v>0.988785662456613</v>
      </c>
      <c r="H26" s="39" t="n">
        <f aca="false">PR_PT(H$2,$A26)</f>
        <v>0.99089287742975</v>
      </c>
      <c r="I26" s="39" t="n">
        <f aca="false">PR_PT(I$2,$A26)</f>
        <v>0.993092069285773</v>
      </c>
      <c r="J26" s="39" t="n">
        <f aca="false">PR_PT(J$2,$A26)</f>
        <v>0.995420640731069</v>
      </c>
      <c r="K26" s="39" t="n">
        <f aca="false">PR_PT(K$2,$A26)</f>
        <v>0.997915495676705</v>
      </c>
      <c r="L26" s="39" t="n">
        <f aca="false">PR_PT(L$2,$A26)</f>
        <v>1.00061322378329</v>
      </c>
      <c r="M26" s="39" t="n">
        <f aca="false">PR_PT(M$2,$A26)</f>
        <v>1.00355019651802</v>
      </c>
      <c r="N26" s="39" t="n">
        <f aca="false">PR_PT(N$2,$A26)</f>
        <v>1.00676262683434</v>
      </c>
      <c r="O26" s="39" t="n">
        <f aca="false">PR_PT(O$2,$A26)</f>
        <v>1.01028661201541</v>
      </c>
      <c r="P26" s="39" t="n">
        <f aca="false">PR_PT(P$2,$A26)</f>
        <v>3.56873034656309</v>
      </c>
      <c r="Q26" s="39" t="n">
        <f aca="false">PR_PT(Q$2,$A26)</f>
        <v>3.56869290595646</v>
      </c>
      <c r="R26" s="39" t="n">
        <f aca="false">PR_PT(R$2,$A26)</f>
        <v>3.56865546853939</v>
      </c>
      <c r="S26" s="39" t="n">
        <f aca="false">PR_PT(S$2,$A26)</f>
        <v>3.56861803431166</v>
      </c>
      <c r="T26" s="39" t="n">
        <f aca="false">PR_PT(T$2,$A26)</f>
        <v>3.56858060327302</v>
      </c>
      <c r="U26" s="39" t="n">
        <f aca="false">PR_PT(U$2,$A26)</f>
        <v>3.56854317542321</v>
      </c>
      <c r="V26" s="39" t="n">
        <f aca="false">PR_PT(V$2,$A26)</f>
        <v>3.56850575076209</v>
      </c>
      <c r="W26" s="39" t="n">
        <f aca="false">PR_PT(W$2,$A26)</f>
        <v>3.56846832928933</v>
      </c>
      <c r="X26" s="39" t="n">
        <f aca="false">PR_PT(X$2,$A26)</f>
        <v>3.56843091100475</v>
      </c>
      <c r="Y26" s="39" t="n">
        <f aca="false">PR_PT(Y$2,$A26)</f>
        <v>3.56805690345769</v>
      </c>
      <c r="Z26" s="39" t="n">
        <f aca="false">PR_PT(Z$2,$A26)</f>
        <v>3.56768321447426</v>
      </c>
      <c r="AA26" s="39" t="n">
        <f aca="false">PR_PT(AA$2,$A26)</f>
        <v>3.56730984382432</v>
      </c>
      <c r="AB26" s="39" t="n">
        <f aca="false">PR_PT(AB$2,$A26)</f>
        <v>3.56693679127784</v>
      </c>
      <c r="AC26" s="39" t="n">
        <f aca="false">PR_PT(AC$2,$A26)</f>
        <v>3.566564056605</v>
      </c>
      <c r="AD26" s="39" t="n">
        <f aca="false">PR_PT(AD$2,$A26)</f>
        <v>3.56619163957616</v>
      </c>
      <c r="AE26" s="39" t="n">
        <f aca="false">PR_PT(AE$2,$A26)</f>
        <v>3.56581953996198</v>
      </c>
      <c r="AF26" s="39" t="n">
        <f aca="false">PR_PT(AF$2,$A26)</f>
        <v>3.56544775753323</v>
      </c>
      <c r="AG26" s="39" t="n">
        <f aca="false">PR_PT(AG$2,$A26)</f>
        <v>3.56507629206083</v>
      </c>
      <c r="AH26" s="39" t="n">
        <f aca="false">PR_PT(AH$2,$A26)</f>
        <v>3.56137901969571</v>
      </c>
      <c r="AI26" s="39" t="n">
        <f aca="false">PR_PT(AI$2,$A26)</f>
        <v>3.55771319250881</v>
      </c>
      <c r="AJ26" s="39" t="n">
        <f aca="false">PR_PT(AJ$2,$A26)</f>
        <v>3.55407858470128</v>
      </c>
      <c r="AK26" s="39" t="n">
        <f aca="false">PR_PT(AK$2,$A26)</f>
        <v>3.55047497238901</v>
      </c>
      <c r="AL26" s="39" t="n">
        <f aca="false">PR_PT(AL$2,$A26)</f>
        <v>3.5469021335749</v>
      </c>
      <c r="AM26" s="39" t="n">
        <f aca="false">PR_PT(AM$2,$A26)</f>
        <v>3.54335984812187</v>
      </c>
      <c r="AN26" s="39" t="n">
        <f aca="false">PR_PT(AN$2,$A26)</f>
        <v>3.53984789772652</v>
      </c>
      <c r="AO26" s="39" t="n">
        <f aca="false">PR_PT(AO$2,$A26)</f>
        <v>3.53636606589338</v>
      </c>
      <c r="AP26" s="39" t="n">
        <f aca="false">PR_PT(AP$2,$A26)</f>
        <v>3.53291413790972</v>
      </c>
      <c r="AQ26" s="39" t="n">
        <f aca="false">PR_PT(AQ$2,$A26)</f>
        <v>3.49999356031796</v>
      </c>
      <c r="AR26" s="39" t="n">
        <f aca="false">PR_PT(AR$2,$A26)</f>
        <v>3.49354980941937</v>
      </c>
      <c r="AS26" s="39" t="n">
        <f aca="false">PR_PT(AS$2,$A26)</f>
        <v>3.49066576588527</v>
      </c>
    </row>
    <row r="27" customFormat="false" ht="13.8" hidden="false" customHeight="false" outlineLevel="0" collapsed="false">
      <c r="A27" s="0" t="n">
        <v>60</v>
      </c>
      <c r="B27" s="39" t="n">
        <f aca="false">PR_PT(B$2,$A27)</f>
        <v>0.97969005937866</v>
      </c>
      <c r="C27" s="39" t="n">
        <f aca="false">PR_PT(C$2,$A27)</f>
        <v>0.979851217508191</v>
      </c>
      <c r="D27" s="39" t="n">
        <f aca="false">PR_PT(D$2,$A27)</f>
        <v>0.980012219139688</v>
      </c>
      <c r="E27" s="39" t="n">
        <f aca="false">PR_PT(E$2,$A27)</f>
        <v>0.980173079009149</v>
      </c>
      <c r="F27" s="39" t="n">
        <f aca="false">PR_PT(F$2,$A27)</f>
        <v>0.980333810891768</v>
      </c>
      <c r="G27" s="39" t="n">
        <f aca="false">PR_PT(G$2,$A27)</f>
        <v>0.981936734605843</v>
      </c>
      <c r="H27" s="39" t="n">
        <f aca="false">PR_PT(H$2,$A27)</f>
        <v>0.983539047666654</v>
      </c>
      <c r="I27" s="39" t="n">
        <f aca="false">PR_PT(I$2,$A27)</f>
        <v>0.985150304036478</v>
      </c>
      <c r="J27" s="39" t="n">
        <f aca="false">PR_PT(J$2,$A27)</f>
        <v>0.986779444688728</v>
      </c>
      <c r="K27" s="39" t="n">
        <f aca="false">PR_PT(K$2,$A27)</f>
        <v>0.98843510461933</v>
      </c>
      <c r="L27" s="39" t="n">
        <f aca="false">PR_PT(L$2,$A27)</f>
        <v>0.990125735898601</v>
      </c>
      <c r="M27" s="39" t="n">
        <f aca="false">PR_PT(M$2,$A27)</f>
        <v>0.991859670188774</v>
      </c>
      <c r="N27" s="39" t="n">
        <f aca="false">PR_PT(N$2,$A27)</f>
        <v>0.99364515563515</v>
      </c>
      <c r="O27" s="39" t="n">
        <f aca="false">PR_PT(O$2,$A27)</f>
        <v>0.995490381242668</v>
      </c>
      <c r="P27" s="39" t="n">
        <f aca="false">PR_PT(P$2,$A27)</f>
        <v>2.99780135315771</v>
      </c>
      <c r="Q27" s="39" t="n">
        <f aca="false">PR_PT(Q$2,$A27)</f>
        <v>2.99777570962213</v>
      </c>
      <c r="R27" s="39" t="n">
        <f aca="false">PR_PT(R$2,$A27)</f>
        <v>2.99775006833826</v>
      </c>
      <c r="S27" s="39" t="n">
        <f aca="false">PR_PT(S$2,$A27)</f>
        <v>2.99772442930592</v>
      </c>
      <c r="T27" s="39" t="n">
        <f aca="false">PR_PT(T$2,$A27)</f>
        <v>2.99769879252492</v>
      </c>
      <c r="U27" s="39" t="n">
        <f aca="false">PR_PT(U$2,$A27)</f>
        <v>2.99767315799513</v>
      </c>
      <c r="V27" s="39" t="n">
        <f aca="false">PR_PT(V$2,$A27)</f>
        <v>2.99764752571636</v>
      </c>
      <c r="W27" s="39" t="n">
        <f aca="false">PR_PT(W$2,$A27)</f>
        <v>2.99762189568842</v>
      </c>
      <c r="X27" s="39" t="n">
        <f aca="false">PR_PT(X$2,$A27)</f>
        <v>2.99759626791119</v>
      </c>
      <c r="Y27" s="39" t="n">
        <f aca="false">PR_PT(Y$2,$A27)</f>
        <v>2.99734011389002</v>
      </c>
      <c r="Z27" s="39" t="n">
        <f aca="false">PR_PT(Z$2,$A27)</f>
        <v>2.997084184754</v>
      </c>
      <c r="AA27" s="39" t="n">
        <f aca="false">PR_PT(AA$2,$A27)</f>
        <v>2.99682848033616</v>
      </c>
      <c r="AB27" s="39" t="n">
        <f aca="false">PR_PT(AB$2,$A27)</f>
        <v>2.99657300046968</v>
      </c>
      <c r="AC27" s="39" t="n">
        <f aca="false">PR_PT(AC$2,$A27)</f>
        <v>2.99631774498802</v>
      </c>
      <c r="AD27" s="39" t="n">
        <f aca="false">PR_PT(AD$2,$A27)</f>
        <v>2.99606271372467</v>
      </c>
      <c r="AE27" s="39" t="n">
        <f aca="false">PR_PT(AE$2,$A27)</f>
        <v>2.99580790651331</v>
      </c>
      <c r="AF27" s="39" t="n">
        <f aca="false">PR_PT(AF$2,$A27)</f>
        <v>2.99555332318782</v>
      </c>
      <c r="AG27" s="39" t="n">
        <f aca="false">PR_PT(AG$2,$A27)</f>
        <v>2.99529896358218</v>
      </c>
      <c r="AH27" s="39" t="n">
        <f aca="false">PR_PT(AH$2,$A27)</f>
        <v>2.9927676357151</v>
      </c>
      <c r="AI27" s="39" t="n">
        <f aca="false">PR_PT(AI$2,$A27)</f>
        <v>2.99025849841902</v>
      </c>
      <c r="AJ27" s="39" t="n">
        <f aca="false">PR_PT(AJ$2,$A27)</f>
        <v>2.98777138828519</v>
      </c>
      <c r="AK27" s="39" t="n">
        <f aca="false">PR_PT(AK$2,$A27)</f>
        <v>2.98530614343353</v>
      </c>
      <c r="AL27" s="39" t="n">
        <f aca="false">PR_PT(AL$2,$A27)</f>
        <v>2.98286260348614</v>
      </c>
      <c r="AM27" s="39" t="n">
        <f aca="false">PR_PT(AM$2,$A27)</f>
        <v>2.98044060954175</v>
      </c>
      <c r="AN27" s="39" t="n">
        <f aca="false">PR_PT(AN$2,$A27)</f>
        <v>2.97804000415048</v>
      </c>
      <c r="AO27" s="39" t="n">
        <f aca="false">PR_PT(AO$2,$A27)</f>
        <v>2.97566063128967</v>
      </c>
      <c r="AP27" s="39" t="n">
        <f aca="false">PR_PT(AP$2,$A27)</f>
        <v>2.97330233633998</v>
      </c>
      <c r="AQ27" s="39" t="n">
        <f aca="false">PR_PT(AQ$2,$A27)</f>
        <v>2.95084561451047</v>
      </c>
      <c r="AR27" s="39" t="n">
        <f aca="false">PR_PT(AR$2,$A27)</f>
        <v>2.94645771214645</v>
      </c>
      <c r="AS27" s="39" t="n">
        <f aca="false">PR_PT(AS$2,$A27)</f>
        <v>2.94449468251742</v>
      </c>
    </row>
    <row r="28" customFormat="false" ht="13.8" hidden="false" customHeight="false" outlineLevel="0" collapsed="false">
      <c r="A28" s="0" t="n">
        <v>70</v>
      </c>
      <c r="B28" s="39" t="n">
        <f aca="false">PR_PT(B$2,$A28)</f>
        <v>0.974483504573211</v>
      </c>
      <c r="C28" s="39" t="n">
        <f aca="false">PR_PT(C$2,$A28)</f>
        <v>0.974612243610563</v>
      </c>
      <c r="D28" s="39" t="n">
        <f aca="false">PR_PT(D$2,$A28)</f>
        <v>0.974740845125538</v>
      </c>
      <c r="E28" s="39" t="n">
        <f aca="false">PR_PT(E$2,$A28)</f>
        <v>0.974869315529529</v>
      </c>
      <c r="F28" s="39" t="n">
        <f aca="false">PR_PT(F$2,$A28)</f>
        <v>0.974997660584044</v>
      </c>
      <c r="G28" s="39" t="n">
        <f aca="false">PR_PT(G$2,$A28)</f>
        <v>0.976275223158723</v>
      </c>
      <c r="H28" s="39" t="n">
        <f aca="false">PR_PT(H$2,$A28)</f>
        <v>0.97754458420436</v>
      </c>
      <c r="I28" s="39" t="n">
        <f aca="false">PR_PT(I$2,$A28)</f>
        <v>0.978808653481415</v>
      </c>
      <c r="J28" s="39" t="n">
        <f aca="false">PR_PT(J$2,$A28)</f>
        <v>0.98006992939094</v>
      </c>
      <c r="K28" s="39" t="n">
        <f aca="false">PR_PT(K$2,$A28)</f>
        <v>0.981330706770222</v>
      </c>
      <c r="L28" s="39" t="n">
        <f aca="false">PR_PT(L$2,$A28)</f>
        <v>0.982593159843826</v>
      </c>
      <c r="M28" s="39" t="n">
        <f aca="false">PR_PT(M$2,$A28)</f>
        <v>0.983859383891844</v>
      </c>
      <c r="N28" s="39" t="n">
        <f aca="false">PR_PT(N$2,$A28)</f>
        <v>0.985131419281086</v>
      </c>
      <c r="O28" s="39" t="n">
        <f aca="false">PR_PT(O$2,$A28)</f>
        <v>0.986411266745914</v>
      </c>
      <c r="P28" s="39" t="n">
        <f aca="false">PR_PT(P$2,$A28)</f>
        <v>1.00006645536098</v>
      </c>
      <c r="Q28" s="39" t="n">
        <f aca="false">PR_PT(Q$2,$A28)</f>
        <v>1.01664034397887</v>
      </c>
      <c r="R28" s="39" t="n">
        <f aca="false">PR_PT(R$2,$A28)</f>
        <v>2.56462637243253</v>
      </c>
      <c r="S28" s="39" t="n">
        <f aca="false">PR_PT(S$2,$A28)</f>
        <v>2.56460832704012</v>
      </c>
      <c r="T28" s="39" t="n">
        <f aca="false">PR_PT(T$2,$A28)</f>
        <v>2.56459028331834</v>
      </c>
      <c r="U28" s="39" t="n">
        <f aca="false">PR_PT(U$2,$A28)</f>
        <v>2.56457224126703</v>
      </c>
      <c r="V28" s="39" t="n">
        <f aca="false">PR_PT(V$2,$A28)</f>
        <v>2.5645542008861</v>
      </c>
      <c r="W28" s="39" t="n">
        <f aca="false">PR_PT(W$2,$A28)</f>
        <v>2.56453616217538</v>
      </c>
      <c r="X28" s="39" t="n">
        <f aca="false">PR_PT(X$2,$A28)</f>
        <v>2.56451812513475</v>
      </c>
      <c r="Y28" s="39" t="n">
        <f aca="false">PR_PT(Y$2,$A28)</f>
        <v>2.56433784655469</v>
      </c>
      <c r="Z28" s="39" t="n">
        <f aca="false">PR_PT(Z$2,$A28)</f>
        <v>2.56415773483939</v>
      </c>
      <c r="AA28" s="39" t="n">
        <f aca="false">PR_PT(AA$2,$A28)</f>
        <v>2.56397778985764</v>
      </c>
      <c r="AB28" s="39" t="n">
        <f aca="false">PR_PT(AB$2,$A28)</f>
        <v>2.56379801147844</v>
      </c>
      <c r="AC28" s="39" t="n">
        <f aca="false">PR_PT(AC$2,$A28)</f>
        <v>2.56361839957086</v>
      </c>
      <c r="AD28" s="39" t="n">
        <f aca="false">PR_PT(AD$2,$A28)</f>
        <v>2.56343895400413</v>
      </c>
      <c r="AE28" s="39" t="n">
        <f aca="false">PR_PT(AE$2,$A28)</f>
        <v>2.56325967464762</v>
      </c>
      <c r="AF28" s="39" t="n">
        <f aca="false">PR_PT(AF$2,$A28)</f>
        <v>2.56308056137087</v>
      </c>
      <c r="AG28" s="39" t="n">
        <f aca="false">PR_PT(AG$2,$A28)</f>
        <v>2.56290161404352</v>
      </c>
      <c r="AH28" s="39" t="n">
        <f aca="false">PR_PT(AH$2,$A28)</f>
        <v>2.56112123941358</v>
      </c>
      <c r="AI28" s="39" t="n">
        <f aca="false">PR_PT(AI$2,$A28)</f>
        <v>2.55935731738931</v>
      </c>
      <c r="AJ28" s="39" t="n">
        <f aca="false">PR_PT(AJ$2,$A28)</f>
        <v>2.55760971991769</v>
      </c>
      <c r="AK28" s="39" t="n">
        <f aca="false">PR_PT(AK$2,$A28)</f>
        <v>2.55587832029715</v>
      </c>
      <c r="AL28" s="39" t="n">
        <f aca="false">PR_PT(AL$2,$A28)</f>
        <v>2.55416299315103</v>
      </c>
      <c r="AM28" s="39" t="n">
        <f aca="false">PR_PT(AM$2,$A28)</f>
        <v>2.55246361440168</v>
      </c>
      <c r="AN28" s="39" t="n">
        <f aca="false">PR_PT(AN$2,$A28)</f>
        <v>2.55078006124521</v>
      </c>
      <c r="AO28" s="39" t="n">
        <f aca="false">PR_PT(AO$2,$A28)</f>
        <v>2.54911221212704</v>
      </c>
      <c r="AP28" s="39" t="n">
        <f aca="false">PR_PT(AP$2,$A28)</f>
        <v>2.54745994671799</v>
      </c>
      <c r="AQ28" s="39" t="n">
        <f aca="false">PR_PT(AQ$2,$A28)</f>
        <v>2.53176875571338</v>
      </c>
      <c r="AR28" s="39" t="n">
        <f aca="false">PR_PT(AR$2,$A28)</f>
        <v>2.52871228900299</v>
      </c>
      <c r="AS28" s="39" t="n">
        <f aca="false">PR_PT(AS$2,$A28)</f>
        <v>2.52734597516277</v>
      </c>
    </row>
    <row r="29" customFormat="false" ht="13.8" hidden="false" customHeight="false" outlineLevel="0" collapsed="false">
      <c r="A29" s="0" t="n">
        <v>80</v>
      </c>
      <c r="B29" s="39" t="n">
        <f aca="false">PR_PT(B$2,$A29)</f>
        <v>0.970103914266136</v>
      </c>
      <c r="C29" s="39" t="n">
        <f aca="false">PR_PT(C$2,$A29)</f>
        <v>0.970207500562092</v>
      </c>
      <c r="D29" s="39" t="n">
        <f aca="false">PR_PT(D$2,$A29)</f>
        <v>0.970310987231958</v>
      </c>
      <c r="E29" s="39" t="n">
        <f aca="false">PR_PT(E$2,$A29)</f>
        <v>0.970414377860342</v>
      </c>
      <c r="F29" s="39" t="n">
        <f aca="false">PR_PT(F$2,$A29)</f>
        <v>0.970517675587013</v>
      </c>
      <c r="G29" s="39" t="n">
        <f aca="false">PR_PT(G$2,$A29)</f>
        <v>0.971546055161872</v>
      </c>
      <c r="H29" s="39" t="n">
        <f aca="false">PR_PT(H$2,$A29)</f>
        <v>0.97256722640288</v>
      </c>
      <c r="I29" s="39" t="n">
        <f aca="false">PR_PT(I$2,$A29)</f>
        <v>0.973582377126638</v>
      </c>
      <c r="J29" s="39" t="n">
        <f aca="false">PR_PT(J$2,$A29)</f>
        <v>0.974592413776101</v>
      </c>
      <c r="K29" s="39" t="n">
        <f aca="false">PR_PT(K$2,$A29)</f>
        <v>0.975598103679349</v>
      </c>
      <c r="L29" s="39" t="n">
        <f aca="false">PR_PT(L$2,$A29)</f>
        <v>0.976600131750327</v>
      </c>
      <c r="M29" s="39" t="n">
        <f aca="false">PR_PT(M$2,$A29)</f>
        <v>0.977599128847648</v>
      </c>
      <c r="N29" s="39" t="n">
        <f aca="false">PR_PT(N$2,$A29)</f>
        <v>0.978595687986879</v>
      </c>
      <c r="O29" s="39" t="n">
        <f aca="false">PR_PT(O$2,$A29)</f>
        <v>0.979590374495158</v>
      </c>
      <c r="P29" s="39" t="n">
        <f aca="false">PR_PT(P$2,$A29)</f>
        <v>0.989548318723322</v>
      </c>
      <c r="Q29" s="39" t="n">
        <f aca="false">PR_PT(Q$2,$A29)</f>
        <v>0.999871495760278</v>
      </c>
      <c r="R29" s="39" t="n">
        <f aca="false">PR_PT(R$2,$A29)</f>
        <v>1.01107506422696</v>
      </c>
      <c r="S29" s="39" t="n">
        <f aca="false">PR_PT(S$2,$A29)</f>
        <v>2.22904135905548</v>
      </c>
      <c r="T29" s="39" t="n">
        <f aca="false">PR_PT(T$2,$A29)</f>
        <v>2.22902832673406</v>
      </c>
      <c r="U29" s="39" t="n">
        <f aca="false">PR_PT(U$2,$A29)</f>
        <v>2.22901529571194</v>
      </c>
      <c r="V29" s="39" t="n">
        <f aca="false">PR_PT(V$2,$A29)</f>
        <v>2.22900226598898</v>
      </c>
      <c r="W29" s="39" t="n">
        <f aca="false">PR_PT(W$2,$A29)</f>
        <v>2.2289892375651</v>
      </c>
      <c r="X29" s="39" t="n">
        <f aca="false">PR_PT(X$2,$A29)</f>
        <v>2.22897621044015</v>
      </c>
      <c r="Y29" s="39" t="n">
        <f aca="false">PR_PT(Y$2,$A29)</f>
        <v>2.22884601060871</v>
      </c>
      <c r="Z29" s="39" t="n">
        <f aca="false">PR_PT(Z$2,$A29)</f>
        <v>2.22871594055047</v>
      </c>
      <c r="AA29" s="39" t="n">
        <f aca="false">PR_PT(AA$2,$A29)</f>
        <v>2.22858600015475</v>
      </c>
      <c r="AB29" s="39" t="n">
        <f aca="false">PR_PT(AB$2,$A29)</f>
        <v>2.22845618931098</v>
      </c>
      <c r="AC29" s="39" t="n">
        <f aca="false">PR_PT(AC$2,$A29)</f>
        <v>2.2283265079087</v>
      </c>
      <c r="AD29" s="39" t="n">
        <f aca="false">PR_PT(AD$2,$A29)</f>
        <v>2.22819695583763</v>
      </c>
      <c r="AE29" s="39" t="n">
        <f aca="false">PR_PT(AE$2,$A29)</f>
        <v>2.2280675329876</v>
      </c>
      <c r="AF29" s="39" t="n">
        <f aca="false">PR_PT(AF$2,$A29)</f>
        <v>2.22793823924858</v>
      </c>
      <c r="AG29" s="39" t="n">
        <f aca="false">PR_PT(AG$2,$A29)</f>
        <v>2.22780907451068</v>
      </c>
      <c r="AH29" s="39" t="n">
        <f aca="false">PR_PT(AH$2,$A29)</f>
        <v>2.22652449811331</v>
      </c>
      <c r="AI29" s="39" t="n">
        <f aca="false">PR_PT(AI$2,$A29)</f>
        <v>2.22525270194046</v>
      </c>
      <c r="AJ29" s="39" t="n">
        <f aca="false">PR_PT(AJ$2,$A29)</f>
        <v>2.22399357828781</v>
      </c>
      <c r="AK29" s="39" t="n">
        <f aca="false">PR_PT(AK$2,$A29)</f>
        <v>2.22274702074108</v>
      </c>
      <c r="AL29" s="39" t="n">
        <f aca="false">PR_PT(AL$2,$A29)</f>
        <v>2.22151292414806</v>
      </c>
      <c r="AM29" s="39" t="n">
        <f aca="false">PR_PT(AM$2,$A29)</f>
        <v>2.22029118459149</v>
      </c>
      <c r="AN29" s="39" t="n">
        <f aca="false">PR_PT(AN$2,$A29)</f>
        <v>2.21908169936255</v>
      </c>
      <c r="AO29" s="39" t="n">
        <f aca="false">PR_PT(AO$2,$A29)</f>
        <v>2.21788436693514</v>
      </c>
      <c r="AP29" s="39" t="n">
        <f aca="false">PR_PT(AP$2,$A29)</f>
        <v>2.21669908694083</v>
      </c>
      <c r="AQ29" s="39" t="n">
        <f aca="false">PR_PT(AQ$2,$A29)</f>
        <v>2.20548787082209</v>
      </c>
      <c r="AR29" s="39" t="n">
        <f aca="false">PR_PT(AR$2,$A29)</f>
        <v>2.20331411862168</v>
      </c>
      <c r="AS29" s="39" t="n">
        <f aca="false">PR_PT(AS$2,$A29)</f>
        <v>2.20234352748797</v>
      </c>
    </row>
    <row r="30" customFormat="false" ht="13.8" hidden="false" customHeight="false" outlineLevel="0" collapsed="false">
      <c r="A30" s="0" t="n">
        <v>90</v>
      </c>
      <c r="B30" s="39" t="n">
        <f aca="false">PR_PT(B$2,$A30)</f>
        <v>0.966396980685089</v>
      </c>
      <c r="C30" s="39" t="n">
        <f aca="false">PR_PT(C$2,$A30)</f>
        <v>0.966480851960185</v>
      </c>
      <c r="D30" s="39" t="n">
        <f aca="false">PR_PT(D$2,$A30)</f>
        <v>0.966564654183848</v>
      </c>
      <c r="E30" s="39" t="n">
        <f aca="false">PR_PT(E$2,$A30)</f>
        <v>0.966648389651905</v>
      </c>
      <c r="F30" s="39" t="n">
        <f aca="false">PR_PT(F$2,$A30)</f>
        <v>0.966732060352403</v>
      </c>
      <c r="G30" s="39" t="n">
        <f aca="false">PR_PT(G$2,$A30)</f>
        <v>0.96756551874396</v>
      </c>
      <c r="H30" s="39" t="n">
        <f aca="false">PR_PT(H$2,$A30)</f>
        <v>0.968393737781096</v>
      </c>
      <c r="I30" s="39" t="n">
        <f aca="false">PR_PT(I$2,$A30)</f>
        <v>0.969217354521911</v>
      </c>
      <c r="J30" s="39" t="n">
        <f aca="false">PR_PT(J$2,$A30)</f>
        <v>0.970036811181684</v>
      </c>
      <c r="K30" s="39" t="n">
        <f aca="false">PR_PT(K$2,$A30)</f>
        <v>0.970852453595241</v>
      </c>
      <c r="L30" s="39" t="n">
        <f aca="false">PR_PT(L$2,$A30)</f>
        <v>0.971664570445412</v>
      </c>
      <c r="M30" s="39" t="n">
        <f aca="false">PR_PT(M$2,$A30)</f>
        <v>0.972473412855005</v>
      </c>
      <c r="N30" s="39" t="n">
        <f aca="false">PR_PT(N$2,$A30)</f>
        <v>0.973279205553275</v>
      </c>
      <c r="O30" s="39" t="n">
        <f aca="false">PR_PT(O$2,$A30)</f>
        <v>0.974082153832461</v>
      </c>
      <c r="P30" s="39" t="n">
        <f aca="false">PR_PT(P$2,$A30)</f>
        <v>0.981992814746292</v>
      </c>
      <c r="Q30" s="39" t="n">
        <f aca="false">PR_PT(Q$2,$A30)</f>
        <v>0.989789589860385</v>
      </c>
      <c r="R30" s="39" t="n">
        <f aca="false">PR_PT(R$2,$A30)</f>
        <v>0.997611502831593</v>
      </c>
      <c r="S30" s="39" t="n">
        <f aca="false">PR_PT(S$2,$A30)</f>
        <v>1.00561625856733</v>
      </c>
      <c r="T30" s="39" t="n">
        <f aca="false">PR_PT(T$2,$A30)</f>
        <v>1.01400921542066</v>
      </c>
      <c r="U30" s="39" t="n">
        <f aca="false">PR_PT(U$2,$A30)</f>
        <v>1.02307482803581</v>
      </c>
      <c r="V30" s="39" t="n">
        <f aca="false">PR_PT(V$2,$A30)</f>
        <v>1.9644706743036</v>
      </c>
      <c r="W30" s="39" t="n">
        <f aca="false">PR_PT(W$2,$A30)</f>
        <v>1.96446100547636</v>
      </c>
      <c r="X30" s="39" t="n">
        <f aca="false">PR_PT(X$2,$A30)</f>
        <v>1.96445133770675</v>
      </c>
      <c r="Y30" s="39" t="n">
        <f aca="false">PR_PT(Y$2,$A30)</f>
        <v>1.96435471815855</v>
      </c>
      <c r="Z30" s="39" t="n">
        <f aca="false">PR_PT(Z$2,$A30)</f>
        <v>1.96425820426411</v>
      </c>
      <c r="AA30" s="39" t="n">
        <f aca="false">PR_PT(AA$2,$A30)</f>
        <v>1.96416179592398</v>
      </c>
      <c r="AB30" s="39" t="n">
        <f aca="false">PR_PT(AB$2,$A30)</f>
        <v>1.96406549303884</v>
      </c>
      <c r="AC30" s="39" t="n">
        <f aca="false">PR_PT(AC$2,$A30)</f>
        <v>1.96396929550948</v>
      </c>
      <c r="AD30" s="39" t="n">
        <f aca="false">PR_PT(AD$2,$A30)</f>
        <v>1.96387320323689</v>
      </c>
      <c r="AE30" s="39" t="n">
        <f aca="false">PR_PT(AE$2,$A30)</f>
        <v>1.96377721612216</v>
      </c>
      <c r="AF30" s="39" t="n">
        <f aca="false">PR_PT(AF$2,$A30)</f>
        <v>1.96368133406649</v>
      </c>
      <c r="AG30" s="39" t="n">
        <f aca="false">PR_PT(AG$2,$A30)</f>
        <v>1.96358555697128</v>
      </c>
      <c r="AH30" s="39" t="n">
        <f aca="false">PR_PT(AH$2,$A30)</f>
        <v>1.96263353724262</v>
      </c>
      <c r="AI30" s="39" t="n">
        <f aca="false">PR_PT(AI$2,$A30)</f>
        <v>1.9616919060724</v>
      </c>
      <c r="AJ30" s="39" t="n">
        <f aca="false">PR_PT(AJ$2,$A30)</f>
        <v>1.96076056704667</v>
      </c>
      <c r="AK30" s="39" t="n">
        <f aca="false">PR_PT(AK$2,$A30)</f>
        <v>1.95983942505621</v>
      </c>
      <c r="AL30" s="39" t="n">
        <f aca="false">PR_PT(AL$2,$A30)</f>
        <v>1.95892838626614</v>
      </c>
      <c r="AM30" s="39" t="n">
        <f aca="false">PR_PT(AM$2,$A30)</f>
        <v>1.95802735808641</v>
      </c>
      <c r="AN30" s="39" t="n">
        <f aca="false">PR_PT(AN$2,$A30)</f>
        <v>1.95713624914304</v>
      </c>
      <c r="AO30" s="39" t="n">
        <f aca="false">PR_PT(AO$2,$A30)</f>
        <v>1.95625496925015</v>
      </c>
      <c r="AP30" s="39" t="n">
        <f aca="false">PR_PT(AP$2,$A30)</f>
        <v>1.9553834293829</v>
      </c>
      <c r="AQ30" s="39" t="n">
        <f aca="false">PR_PT(AQ$2,$A30)</f>
        <v>1.94718492614556</v>
      </c>
      <c r="AR30" s="39" t="n">
        <f aca="false">PR_PT(AR$2,$A30)</f>
        <v>1.94560536842751</v>
      </c>
      <c r="AS30" s="39" t="n">
        <f aca="false">PR_PT(AS$2,$A30)</f>
        <v>1.94490121461733</v>
      </c>
    </row>
    <row r="31" customFormat="false" ht="13.8" hidden="false" customHeight="false" outlineLevel="0" collapsed="false">
      <c r="A31" s="0" t="n">
        <v>100</v>
      </c>
      <c r="B31" s="39" t="n">
        <f aca="false">PR_PT(B$2,$A31)</f>
        <v>0.963237833940748</v>
      </c>
      <c r="C31" s="39" t="n">
        <f aca="false">PR_PT(C$2,$A31)</f>
        <v>0.963306142541273</v>
      </c>
      <c r="D31" s="39" t="n">
        <f aca="false">PR_PT(D$2,$A31)</f>
        <v>0.963374403670448</v>
      </c>
      <c r="E31" s="39" t="n">
        <f aca="false">PR_PT(E$2,$A31)</f>
        <v>0.963442618890632</v>
      </c>
      <c r="F31" s="39" t="n">
        <f aca="false">PR_PT(F$2,$A31)</f>
        <v>0.963510789549019</v>
      </c>
      <c r="G31" s="39" t="n">
        <f aca="false">PR_PT(G$2,$A31)</f>
        <v>0.96419025509765</v>
      </c>
      <c r="H31" s="39" t="n">
        <f aca="false">PR_PT(H$2,$A31)</f>
        <v>0.964866082624273</v>
      </c>
      <c r="I31" s="39" t="n">
        <f aca="false">PR_PT(I$2,$A31)</f>
        <v>0.965538674750902</v>
      </c>
      <c r="J31" s="39" t="n">
        <f aca="false">PR_PT(J$2,$A31)</f>
        <v>0.966208297781559</v>
      </c>
      <c r="K31" s="39" t="n">
        <f aca="false">PR_PT(K$2,$A31)</f>
        <v>0.966875150549136</v>
      </c>
      <c r="L31" s="39" t="n">
        <f aca="false">PR_PT(L$2,$A31)</f>
        <v>0.967539391844945</v>
      </c>
      <c r="M31" s="39" t="n">
        <f aca="false">PR_PT(M$2,$A31)</f>
        <v>0.968201154113035</v>
      </c>
      <c r="N31" s="39" t="n">
        <f aca="false">PR_PT(N$2,$A31)</f>
        <v>0.968860551247988</v>
      </c>
      <c r="O31" s="39" t="n">
        <f aca="false">PR_PT(O$2,$A31)</f>
        <v>0.969517683444217</v>
      </c>
      <c r="P31" s="39" t="n">
        <f aca="false">PR_PT(P$2,$A31)</f>
        <v>0.975981073836485</v>
      </c>
      <c r="Q31" s="39" t="n">
        <f aca="false">PR_PT(Q$2,$A31)</f>
        <v>0.982287510498789</v>
      </c>
      <c r="R31" s="39" t="n">
        <f aca="false">PR_PT(R$2,$A31)</f>
        <v>0.988482641434027</v>
      </c>
      <c r="S31" s="39" t="n">
        <f aca="false">PR_PT(S$2,$A31)</f>
        <v>0.994611423676648</v>
      </c>
      <c r="T31" s="39" t="n">
        <f aca="false">PR_PT(T$2,$A31)</f>
        <v>1.00072799867401</v>
      </c>
      <c r="U31" s="39" t="n">
        <f aca="false">PR_PT(U$2,$A31)</f>
        <v>1.00690452528041</v>
      </c>
      <c r="V31" s="39" t="n">
        <f aca="false">PR_PT(V$2,$A31)</f>
        <v>1.01324064808362</v>
      </c>
      <c r="W31" s="39" t="n">
        <f aca="false">PR_PT(W$2,$A31)</f>
        <v>1.01987402375101</v>
      </c>
      <c r="X31" s="39" t="n">
        <f aca="false">PR_PT(X$2,$A31)</f>
        <v>1.02699201804419</v>
      </c>
      <c r="Y31" s="39" t="n">
        <f aca="false">PR_PT(Y$2,$A31)</f>
        <v>1.7527956704516</v>
      </c>
      <c r="Z31" s="39" t="n">
        <f aca="false">PR_PT(Z$2,$A31)</f>
        <v>1.75272178203731</v>
      </c>
      <c r="AA31" s="39" t="n">
        <f aca="false">PR_PT(AA$2,$A31)</f>
        <v>1.75264798354452</v>
      </c>
      <c r="AB31" s="39" t="n">
        <f aca="false">PR_PT(AB$2,$A31)</f>
        <v>1.75257427487897</v>
      </c>
      <c r="AC31" s="39" t="n">
        <f aca="false">PR_PT(AC$2,$A31)</f>
        <v>1.75250065594656</v>
      </c>
      <c r="AD31" s="39" t="n">
        <f aca="false">PR_PT(AD$2,$A31)</f>
        <v>1.75242712665337</v>
      </c>
      <c r="AE31" s="39" t="n">
        <f aca="false">PR_PT(AE$2,$A31)</f>
        <v>1.75235368690556</v>
      </c>
      <c r="AF31" s="39" t="n">
        <f aca="false">PR_PT(AF$2,$A31)</f>
        <v>1.7522803366095</v>
      </c>
      <c r="AG31" s="39" t="n">
        <f aca="false">PR_PT(AG$2,$A31)</f>
        <v>1.75220707567166</v>
      </c>
      <c r="AH31" s="39" t="n">
        <f aca="false">PR_PT(AH$2,$A31)</f>
        <v>1.75147936052624</v>
      </c>
      <c r="AI31" s="39" t="n">
        <f aca="false">PR_PT(AI$2,$A31)</f>
        <v>1.75076047940838</v>
      </c>
      <c r="AJ31" s="39" t="n">
        <f aca="false">PR_PT(AJ$2,$A31)</f>
        <v>1.75005034115643</v>
      </c>
      <c r="AK31" s="39" t="n">
        <f aca="false">PR_PT(AK$2,$A31)</f>
        <v>1.74934885598986</v>
      </c>
      <c r="AL31" s="39" t="n">
        <f aca="false">PR_PT(AL$2,$A31)</f>
        <v>1.74865593547524</v>
      </c>
      <c r="AM31" s="39" t="n">
        <f aca="false">PR_PT(AM$2,$A31)</f>
        <v>1.74797149249314</v>
      </c>
      <c r="AN31" s="39" t="n">
        <f aca="false">PR_PT(AN$2,$A31)</f>
        <v>1.74729544120593</v>
      </c>
      <c r="AO31" s="39" t="n">
        <f aca="false">PR_PT(AO$2,$A31)</f>
        <v>1.74662769702656</v>
      </c>
      <c r="AP31" s="39" t="n">
        <f aca="false">PR_PT(AP$2,$A31)</f>
        <v>1.74596817658813</v>
      </c>
      <c r="AQ31" s="39" t="n">
        <f aca="false">PR_PT(AQ$2,$A31)</f>
        <v>1.73980775307518</v>
      </c>
      <c r="AR31" s="39" t="n">
        <f aca="false">PR_PT(AR$2,$A31)</f>
        <v>1.73863057908971</v>
      </c>
      <c r="AS31" s="39" t="n">
        <f aca="false">PR_PT(AS$2,$A31)</f>
        <v>1.73810689416728</v>
      </c>
    </row>
    <row r="32" customFormat="false" ht="13.8" hidden="false" customHeight="false" outlineLevel="0" collapsed="false">
      <c r="A32" s="0" t="n">
        <v>200</v>
      </c>
      <c r="B32" s="39" t="n">
        <f aca="false">PR_PT(B$2,$A32)</f>
        <v>0.946213333684237</v>
      </c>
      <c r="C32" s="39" t="n">
        <f aca="false">PR_PT(C$2,$A32)</f>
        <v>0.946225123261112</v>
      </c>
      <c r="D32" s="39" t="n">
        <f aca="false">PR_PT(D$2,$A32)</f>
        <v>0.946236911327096</v>
      </c>
      <c r="E32" s="39" t="n">
        <f aca="false">PR_PT(E$2,$A32)</f>
        <v>0.946248697950094</v>
      </c>
      <c r="F32" s="39" t="n">
        <f aca="false">PR_PT(F$2,$A32)</f>
        <v>0.946260483188578</v>
      </c>
      <c r="G32" s="39" t="n">
        <f aca="false">PR_PT(G$2,$A32)</f>
        <v>0.946378268492511</v>
      </c>
      <c r="H32" s="39" t="n">
        <f aca="false">PR_PT(H$2,$A32)</f>
        <v>0.946495950534849</v>
      </c>
      <c r="I32" s="39" t="n">
        <f aca="false">PR_PT(I$2,$A32)</f>
        <v>0.946613546320985</v>
      </c>
      <c r="J32" s="39" t="n">
        <f aca="false">PR_PT(J$2,$A32)</f>
        <v>0.946731066857781</v>
      </c>
      <c r="K32" s="39" t="n">
        <f aca="false">PR_PT(K$2,$A32)</f>
        <v>0.946848520176987</v>
      </c>
      <c r="L32" s="39" t="n">
        <f aca="false">PR_PT(L$2,$A32)</f>
        <v>0.946965912540847</v>
      </c>
      <c r="M32" s="39" t="n">
        <f aca="false">PR_PT(M$2,$A32)</f>
        <v>0.947083249044424</v>
      </c>
      <c r="N32" s="39" t="n">
        <f aca="false">PR_PT(N$2,$A32)</f>
        <v>0.947200533958687</v>
      </c>
      <c r="O32" s="39" t="n">
        <f aca="false">PR_PT(O$2,$A32)</f>
        <v>0.947317770943847</v>
      </c>
      <c r="P32" s="39" t="n">
        <f aca="false">PR_PT(P$2,$A32)</f>
        <v>0.948488065941613</v>
      </c>
      <c r="Q32" s="39" t="n">
        <f aca="false">PR_PT(Q$2,$A32)</f>
        <v>0.949655726566244</v>
      </c>
      <c r="R32" s="39" t="n">
        <f aca="false">PR_PT(R$2,$A32)</f>
        <v>0.950821762799279</v>
      </c>
      <c r="S32" s="39" t="n">
        <f aca="false">PR_PT(S$2,$A32)</f>
        <v>0.951986806746426</v>
      </c>
      <c r="T32" s="39" t="n">
        <f aca="false">PR_PT(T$2,$A32)</f>
        <v>0.953151304229577</v>
      </c>
      <c r="U32" s="39" t="n">
        <f aca="false">PR_PT(U$2,$A32)</f>
        <v>0.954315590756602</v>
      </c>
      <c r="V32" s="39" t="n">
        <f aca="false">PR_PT(V$2,$A32)</f>
        <v>0.955479929329888</v>
      </c>
      <c r="W32" s="39" t="n">
        <f aca="false">PR_PT(W$2,$A32)</f>
        <v>0.956644531919901</v>
      </c>
      <c r="X32" s="39" t="n">
        <f aca="false">PR_PT(X$2,$A32)</f>
        <v>0.957809572787969</v>
      </c>
      <c r="Y32" s="39" t="n">
        <f aca="false">PR_PT(Y$2,$A32)</f>
        <v>0.969507475276959</v>
      </c>
      <c r="Z32" s="39" t="n">
        <f aca="false">PR_PT(Z$2,$A32)</f>
        <v>0.981327438772566</v>
      </c>
      <c r="AA32" s="39" t="n">
        <f aca="false">PR_PT(AA$2,$A32)</f>
        <v>0.99328752153161</v>
      </c>
      <c r="AB32" s="39" t="n">
        <f aca="false">PR_PT(AB$2,$A32)</f>
        <v>1.00539535460228</v>
      </c>
      <c r="AC32" s="39" t="n">
        <f aca="false">PR_PT(AC$2,$A32)</f>
        <v>1.0176714378183</v>
      </c>
      <c r="AD32" s="39" t="n">
        <f aca="false">PR_PT(AD$2,$A32)</f>
        <v>1.03017018554587</v>
      </c>
      <c r="AE32" s="39" t="n">
        <f aca="false">PR_PT(AE$2,$A32)</f>
        <v>1.04300427253283</v>
      </c>
      <c r="AF32" s="39" t="n">
        <f aca="false">PR_PT(AF$2,$A32)</f>
        <v>1.05637450488731</v>
      </c>
      <c r="AG32" s="39" t="n">
        <f aca="false">PR_PT(AG$2,$A32)</f>
        <v>1.07060661898578</v>
      </c>
      <c r="AH32" s="39" t="n">
        <f aca="false">PR_PT(AH$2,$A32)</f>
        <v>0.90963362477827</v>
      </c>
      <c r="AI32" s="39" t="n">
        <f aca="false">PR_PT(AI$2,$A32)</f>
        <v>0.908942777164295</v>
      </c>
      <c r="AJ32" s="39" t="n">
        <f aca="false">PR_PT(AJ$2,$A32)</f>
        <v>0.908267125105671</v>
      </c>
      <c r="AK32" s="39" t="n">
        <f aca="false">PR_PT(AK$2,$A32)</f>
        <v>0.907606278795104</v>
      </c>
      <c r="AL32" s="39" t="n">
        <f aca="false">PR_PT(AL$2,$A32)</f>
        <v>0.906959861690907</v>
      </c>
      <c r="AM32" s="39" t="n">
        <f aca="false">PR_PT(AM$2,$A32)</f>
        <v>0.906327509956735</v>
      </c>
      <c r="AN32" s="39" t="n">
        <f aca="false">PR_PT(AN$2,$A32)</f>
        <v>0.905708871928959</v>
      </c>
      <c r="AO32" s="39" t="n">
        <f aca="false">PR_PT(AO$2,$A32)</f>
        <v>0.905103607610142</v>
      </c>
      <c r="AP32" s="39" t="n">
        <f aca="false">PR_PT(AP$2,$A32)</f>
        <v>0.904511388187107</v>
      </c>
      <c r="AQ32" s="39" t="n">
        <f aca="false">PR_PT(AQ$2,$A32)</f>
        <v>0.899241464965502</v>
      </c>
      <c r="AR32" s="39" t="n">
        <f aca="false">PR_PT(AR$2,$A32)</f>
        <v>0.898287051969948</v>
      </c>
      <c r="AS32" s="39" t="n">
        <f aca="false">PR_PT(AS$2,$A32)</f>
        <v>0.897867784104554</v>
      </c>
    </row>
    <row r="33" customFormat="false" ht="13.8" hidden="false" customHeight="false" outlineLevel="0" collapsed="false">
      <c r="A33" s="0" t="n">
        <v>300</v>
      </c>
      <c r="B33" s="39" t="n">
        <f aca="false">PR_PT(B$2,$A33)</f>
        <v>0.935387210900844</v>
      </c>
      <c r="C33" s="39" t="n">
        <f aca="false">PR_PT(C$2,$A33)</f>
        <v>0.935390543667728</v>
      </c>
      <c r="D33" s="39" t="n">
        <f aca="false">PR_PT(D$2,$A33)</f>
        <v>0.935393876345074</v>
      </c>
      <c r="E33" s="39" t="n">
        <f aca="false">PR_PT(E$2,$A33)</f>
        <v>0.935397208938453</v>
      </c>
      <c r="F33" s="39" t="n">
        <f aca="false">PR_PT(F$2,$A33)</f>
        <v>0.935400541452665</v>
      </c>
      <c r="G33" s="39" t="n">
        <f aca="false">PR_PT(G$2,$A33)</f>
        <v>0.93543386298567</v>
      </c>
      <c r="H33" s="39" t="n">
        <f aca="false">PR_PT(H$2,$A33)</f>
        <v>0.935467179494002</v>
      </c>
      <c r="I33" s="39" t="n">
        <f aca="false">PR_PT(I$2,$A33)</f>
        <v>0.935500492376882</v>
      </c>
      <c r="J33" s="39" t="n">
        <f aca="false">PR_PT(J$2,$A33)</f>
        <v>0.935533802541447</v>
      </c>
      <c r="K33" s="39" t="n">
        <f aca="false">PR_PT(K$2,$A33)</f>
        <v>0.935567110650772</v>
      </c>
      <c r="L33" s="39" t="n">
        <f aca="false">PR_PT(L$2,$A33)</f>
        <v>0.935600417222799</v>
      </c>
      <c r="M33" s="39" t="n">
        <f aca="false">PR_PT(M$2,$A33)</f>
        <v>0.935633722679743</v>
      </c>
      <c r="N33" s="39" t="n">
        <f aca="false">PR_PT(N$2,$A33)</f>
        <v>0.935667027376216</v>
      </c>
      <c r="O33" s="39" t="n">
        <f aca="false">PR_PT(O$2,$A33)</f>
        <v>0.935700331616733</v>
      </c>
      <c r="P33" s="39" t="n">
        <f aca="false">PR_PT(P$2,$A33)</f>
        <v>0.936033395922314</v>
      </c>
      <c r="Q33" s="39" t="n">
        <f aca="false">PR_PT(Q$2,$A33)</f>
        <v>0.936366596376137</v>
      </c>
      <c r="R33" s="39" t="n">
        <f aca="false">PR_PT(R$2,$A33)</f>
        <v>0.936700020033185</v>
      </c>
      <c r="S33" s="39" t="n">
        <f aca="false">PR_PT(S$2,$A33)</f>
        <v>0.937033722902603</v>
      </c>
      <c r="T33" s="39" t="n">
        <f aca="false">PR_PT(T$2,$A33)</f>
        <v>0.937367745671486</v>
      </c>
      <c r="U33" s="39" t="n">
        <f aca="false">PR_PT(U$2,$A33)</f>
        <v>0.937702119943658</v>
      </c>
      <c r="V33" s="39" t="n">
        <f aca="false">PR_PT(V$2,$A33)</f>
        <v>0.938036871346449</v>
      </c>
      <c r="W33" s="39" t="n">
        <f aca="false">PR_PT(W$2,$A33)</f>
        <v>0.938372021295975</v>
      </c>
      <c r="X33" s="39" t="n">
        <f aca="false">PR_PT(X$2,$A33)</f>
        <v>0.938707588092601</v>
      </c>
      <c r="Y33" s="39" t="n">
        <f aca="false">PR_PT(Y$2,$A33)</f>
        <v>0.942088967313245</v>
      </c>
      <c r="Z33" s="39" t="n">
        <f aca="false">PR_PT(Z$2,$A33)</f>
        <v>0.945522666620064</v>
      </c>
      <c r="AA33" s="39" t="n">
        <f aca="false">PR_PT(AA$2,$A33)</f>
        <v>0.949013519072835</v>
      </c>
      <c r="AB33" s="39" t="n">
        <f aca="false">PR_PT(AB$2,$A33)</f>
        <v>0.952564425496933</v>
      </c>
      <c r="AC33" s="39" t="n">
        <f aca="false">PR_PT(AC$2,$A33)</f>
        <v>0.956177315570527</v>
      </c>
      <c r="AD33" s="39" t="n">
        <f aca="false">PR_PT(AD$2,$A33)</f>
        <v>0.959853527415514</v>
      </c>
      <c r="AE33" s="39" t="n">
        <f aca="false">PR_PT(AE$2,$A33)</f>
        <v>0.963593997169763</v>
      </c>
      <c r="AF33" s="39" t="n">
        <f aca="false">PR_PT(AF$2,$A33)</f>
        <v>0.967399368181168</v>
      </c>
      <c r="AG33" s="39" t="n">
        <f aca="false">PR_PT(AG$2,$A33)</f>
        <v>0.97127006072454</v>
      </c>
      <c r="AH33" s="39" t="n">
        <f aca="false">PR_PT(AH$2,$A33)</f>
        <v>1.01357435806546</v>
      </c>
      <c r="AI33" s="39" t="n">
        <f aca="false">PR_PT(AI$2,$A33)</f>
        <v>1.06233790906254</v>
      </c>
      <c r="AJ33" s="39" t="n">
        <f aca="false">PR_PT(AJ$2,$A33)</f>
        <v>1.11814387025857</v>
      </c>
      <c r="AK33" s="39" t="n">
        <f aca="false">PR_PT(AK$2,$A33)</f>
        <v>1.1840048873687</v>
      </c>
      <c r="AL33" s="39" t="n">
        <f aca="false">PR_PT(AL$2,$A33)</f>
        <v>1.26701241808339</v>
      </c>
      <c r="AM33" s="39" t="n">
        <f aca="false">PR_PT(AM$2,$A33)</f>
        <v>1.37916085575981</v>
      </c>
      <c r="AN33" s="39" t="n">
        <f aca="false">PR_PT(AN$2,$A33)</f>
        <v>1.54514204633335</v>
      </c>
      <c r="AO33" s="39" t="n">
        <f aca="false">PR_PT(AO$2,$A33)</f>
        <v>0.903433817351002</v>
      </c>
      <c r="AP33" s="39" t="n">
        <f aca="false">PR_PT(AP$2,$A33)</f>
        <v>0.896176063819238</v>
      </c>
      <c r="AQ33" s="39" t="n">
        <f aca="false">PR_PT(AQ$2,$A33)</f>
        <v>0.842417126157194</v>
      </c>
      <c r="AR33" s="39" t="n">
        <f aca="false">PR_PT(AR$2,$A33)</f>
        <v>0.834247919918576</v>
      </c>
      <c r="AS33" s="39" t="n">
        <f aca="false">PR_PT(AS$2,$A33)</f>
        <v>0.830773267815042</v>
      </c>
    </row>
    <row r="34" customFormat="false" ht="13.8" hidden="false" customHeight="false" outlineLevel="0" collapsed="false">
      <c r="A34" s="0" t="n">
        <v>400</v>
      </c>
      <c r="B34" s="39" t="n">
        <f aca="false">PR_PT(B$2,$A34)</f>
        <v>0.923550609984418</v>
      </c>
      <c r="C34" s="39" t="n">
        <f aca="false">PR_PT(C$2,$A34)</f>
        <v>0.923551990343141</v>
      </c>
      <c r="D34" s="39" t="n">
        <f aca="false">PR_PT(D$2,$A34)</f>
        <v>0.923553370688664</v>
      </c>
      <c r="E34" s="39" t="n">
        <f aca="false">PR_PT(E$2,$A34)</f>
        <v>0.923554751021772</v>
      </c>
      <c r="F34" s="39" t="n">
        <f aca="false">PR_PT(F$2,$A34)</f>
        <v>0.923556131343139</v>
      </c>
      <c r="G34" s="39" t="n">
        <f aca="false">PR_PT(G$2,$A34)</f>
        <v>0.923569934015645</v>
      </c>
      <c r="H34" s="39" t="n">
        <f aca="false">PR_PT(H$2,$A34)</f>
        <v>0.923583735920109</v>
      </c>
      <c r="I34" s="39" t="n">
        <f aca="false">PR_PT(I$2,$A34)</f>
        <v>0.923597537253221</v>
      </c>
      <c r="J34" s="39" t="n">
        <f aca="false">PR_PT(J$2,$A34)</f>
        <v>0.923611338142641</v>
      </c>
      <c r="K34" s="39" t="n">
        <f aca="false">PR_PT(K$2,$A34)</f>
        <v>0.923625138681776</v>
      </c>
      <c r="L34" s="39" t="n">
        <f aca="false">PR_PT(L$2,$A34)</f>
        <v>0.923638938943667</v>
      </c>
      <c r="M34" s="39" t="n">
        <f aca="false">PR_PT(M$2,$A34)</f>
        <v>0.923652738987904</v>
      </c>
      <c r="N34" s="39" t="n">
        <f aca="false">PR_PT(N$2,$A34)</f>
        <v>0.923666538864591</v>
      </c>
      <c r="O34" s="39" t="n">
        <f aca="false">PR_PT(O$2,$A34)</f>
        <v>0.923680338616794</v>
      </c>
      <c r="P34" s="39" t="n">
        <f aca="false">PR_PT(P$2,$A34)</f>
        <v>0.923818335953726</v>
      </c>
      <c r="Q34" s="39" t="n">
        <f aca="false">PR_PT(Q$2,$A34)</f>
        <v>0.923956346677121</v>
      </c>
      <c r="R34" s="39" t="n">
        <f aca="false">PR_PT(R$2,$A34)</f>
        <v>0.924094383277104</v>
      </c>
      <c r="S34" s="39" t="n">
        <f aca="false">PR_PT(S$2,$A34)</f>
        <v>0.924232453871438</v>
      </c>
      <c r="T34" s="39" t="n">
        <f aca="false">PR_PT(T$2,$A34)</f>
        <v>0.924370564417865</v>
      </c>
      <c r="U34" s="39" t="n">
        <f aca="false">PR_PT(U$2,$A34)</f>
        <v>0.924508719592623</v>
      </c>
      <c r="V34" s="39" t="n">
        <f aca="false">PR_PT(V$2,$A34)</f>
        <v>0.924646923228251</v>
      </c>
      <c r="W34" s="39" t="n">
        <f aca="false">PR_PT(W$2,$A34)</f>
        <v>0.924785178562488</v>
      </c>
      <c r="X34" s="39" t="n">
        <f aca="false">PR_PT(X$2,$A34)</f>
        <v>0.92492348839283</v>
      </c>
      <c r="Y34" s="39" t="n">
        <f aca="false">PR_PT(Y$2,$A34)</f>
        <v>0.926310023943494</v>
      </c>
      <c r="Z34" s="39" t="n">
        <f aca="false">PR_PT(Z$2,$A34)</f>
        <v>0.92770374424342</v>
      </c>
      <c r="AA34" s="39" t="n">
        <f aca="false">PR_PT(AA$2,$A34)</f>
        <v>0.929105544345088</v>
      </c>
      <c r="AB34" s="39" t="n">
        <f aca="false">PR_PT(AB$2,$A34)</f>
        <v>0.930516048678673</v>
      </c>
      <c r="AC34" s="39" t="n">
        <f aca="false">PR_PT(AC$2,$A34)</f>
        <v>0.931935747533884</v>
      </c>
      <c r="AD34" s="39" t="n">
        <f aca="false">PR_PT(AD$2,$A34)</f>
        <v>0.933365050842828</v>
      </c>
      <c r="AE34" s="39" t="n">
        <f aca="false">PR_PT(AE$2,$A34)</f>
        <v>0.934804314791443</v>
      </c>
      <c r="AF34" s="39" t="n">
        <f aca="false">PR_PT(AF$2,$A34)</f>
        <v>0.936253856845967</v>
      </c>
      <c r="AG34" s="39" t="n">
        <f aca="false">PR_PT(AG$2,$A34)</f>
        <v>0.937713965020098</v>
      </c>
      <c r="AH34" s="39" t="n">
        <f aca="false">PR_PT(AH$2,$A34)</f>
        <v>0.952946743780193</v>
      </c>
      <c r="AI34" s="39" t="n">
        <f aca="false">PR_PT(AI$2,$A34)</f>
        <v>0.969448185957956</v>
      </c>
      <c r="AJ34" s="39" t="n">
        <f aca="false">PR_PT(AJ$2,$A34)</f>
        <v>0.987337741239005</v>
      </c>
      <c r="AK34" s="39" t="n">
        <f aca="false">PR_PT(AK$2,$A34)</f>
        <v>1.00668982519721</v>
      </c>
      <c r="AL34" s="39" t="n">
        <f aca="false">PR_PT(AL$2,$A34)</f>
        <v>1.02755263603009</v>
      </c>
      <c r="AM34" s="39" t="n">
        <f aca="false">PR_PT(AM$2,$A34)</f>
        <v>1.0499672078009</v>
      </c>
      <c r="AN34" s="39" t="n">
        <f aca="false">PR_PT(AN$2,$A34)</f>
        <v>1.07398834484552</v>
      </c>
      <c r="AO34" s="39" t="n">
        <f aca="false">PR_PT(AO$2,$A34)</f>
        <v>1.09970605404308</v>
      </c>
      <c r="AP34" s="39" t="n">
        <f aca="false">PR_PT(AP$2,$A34)</f>
        <v>1.12726502438976</v>
      </c>
      <c r="AQ34" s="39" t="n">
        <f aca="false">PR_PT(AQ$2,$A34)</f>
        <v>1.6020711137769</v>
      </c>
      <c r="AR34" s="39" t="n">
        <f aca="false">PR_PT(AR$2,$A34)</f>
        <v>1.81859938278461</v>
      </c>
      <c r="AS34" s="39" t="n">
        <f aca="false">PR_PT(AS$2,$A34)</f>
        <v>1.95157557008585</v>
      </c>
    </row>
    <row r="35" customFormat="false" ht="13.8" hidden="false" customHeight="false" outlineLevel="0" collapsed="false">
      <c r="A35" s="0" t="n">
        <v>500</v>
      </c>
      <c r="B35" s="39" t="n">
        <f aca="false">PR_PT(B$2,$A35)</f>
        <v>2015</v>
      </c>
      <c r="C35" s="39" t="n">
        <f aca="false">PR_PT(C$2,$A35)</f>
        <v>2015</v>
      </c>
      <c r="D35" s="39" t="n">
        <f aca="false">PR_PT(D$2,$A35)</f>
        <v>2015</v>
      </c>
      <c r="E35" s="39" t="n">
        <f aca="false">PR_PT(E$2,$A35)</f>
        <v>2015</v>
      </c>
      <c r="F35" s="39" t="n">
        <f aca="false">PR_PT(F$2,$A35)</f>
        <v>2015</v>
      </c>
      <c r="G35" s="39" t="n">
        <f aca="false">PR_PT(G$2,$A35)</f>
        <v>2015</v>
      </c>
      <c r="H35" s="39" t="n">
        <f aca="false">PR_PT(H$2,$A35)</f>
        <v>2015</v>
      </c>
      <c r="I35" s="39" t="n">
        <f aca="false">PR_PT(I$2,$A35)</f>
        <v>2015</v>
      </c>
      <c r="J35" s="39" t="n">
        <f aca="false">PR_PT(J$2,$A35)</f>
        <v>2015</v>
      </c>
      <c r="K35" s="39" t="n">
        <f aca="false">PR_PT(K$2,$A35)</f>
        <v>2015</v>
      </c>
      <c r="L35" s="39" t="n">
        <f aca="false">PR_PT(L$2,$A35)</f>
        <v>2015</v>
      </c>
      <c r="M35" s="39" t="n">
        <f aca="false">PR_PT(M$2,$A35)</f>
        <v>2015</v>
      </c>
      <c r="N35" s="39" t="n">
        <f aca="false">PR_PT(N$2,$A35)</f>
        <v>2015</v>
      </c>
      <c r="O35" s="39" t="n">
        <f aca="false">PR_PT(O$2,$A35)</f>
        <v>2015</v>
      </c>
      <c r="P35" s="39" t="n">
        <f aca="false">PR_PT(P$2,$A35)</f>
        <v>2015</v>
      </c>
      <c r="Q35" s="39" t="n">
        <f aca="false">PR_PT(Q$2,$A35)</f>
        <v>2015</v>
      </c>
      <c r="R35" s="39" t="n">
        <f aca="false">PR_PT(R$2,$A35)</f>
        <v>2015</v>
      </c>
      <c r="S35" s="39" t="n">
        <f aca="false">PR_PT(S$2,$A35)</f>
        <v>2015</v>
      </c>
      <c r="T35" s="39" t="n">
        <f aca="false">PR_PT(T$2,$A35)</f>
        <v>2015</v>
      </c>
      <c r="U35" s="39" t="n">
        <f aca="false">PR_PT(U$2,$A35)</f>
        <v>2015</v>
      </c>
      <c r="V35" s="39" t="n">
        <f aca="false">PR_PT(V$2,$A35)</f>
        <v>2015</v>
      </c>
      <c r="W35" s="39" t="n">
        <f aca="false">PR_PT(W$2,$A35)</f>
        <v>2015</v>
      </c>
      <c r="X35" s="39" t="n">
        <f aca="false">PR_PT(X$2,$A35)</f>
        <v>2015</v>
      </c>
      <c r="Y35" s="39" t="n">
        <f aca="false">PR_PT(Y$2,$A35)</f>
        <v>2015</v>
      </c>
      <c r="Z35" s="39" t="n">
        <f aca="false">PR_PT(Z$2,$A35)</f>
        <v>2015</v>
      </c>
      <c r="AA35" s="39" t="n">
        <f aca="false">PR_PT(AA$2,$A35)</f>
        <v>2015</v>
      </c>
      <c r="AB35" s="39" t="n">
        <f aca="false">PR_PT(AB$2,$A35)</f>
        <v>2015</v>
      </c>
      <c r="AC35" s="39" t="n">
        <f aca="false">PR_PT(AC$2,$A35)</f>
        <v>2015</v>
      </c>
      <c r="AD35" s="39" t="n">
        <f aca="false">PR_PT(AD$2,$A35)</f>
        <v>2015</v>
      </c>
      <c r="AE35" s="39" t="n">
        <f aca="false">PR_PT(AE$2,$A35)</f>
        <v>2015</v>
      </c>
      <c r="AF35" s="39" t="n">
        <f aca="false">PR_PT(AF$2,$A35)</f>
        <v>2015</v>
      </c>
      <c r="AG35" s="39" t="n">
        <f aca="false">PR_PT(AG$2,$A35)</f>
        <v>2015</v>
      </c>
      <c r="AH35" s="39" t="n">
        <f aca="false">PR_PT(AH$2,$A35)</f>
        <v>2015</v>
      </c>
      <c r="AI35" s="39" t="n">
        <f aca="false">PR_PT(AI$2,$A35)</f>
        <v>2015</v>
      </c>
      <c r="AJ35" s="39" t="n">
        <f aca="false">PR_PT(AJ$2,$A35)</f>
        <v>2015</v>
      </c>
      <c r="AK35" s="39" t="n">
        <f aca="false">PR_PT(AK$2,$A35)</f>
        <v>2015</v>
      </c>
      <c r="AL35" s="39" t="n">
        <f aca="false">PR_PT(AL$2,$A35)</f>
        <v>2015</v>
      </c>
      <c r="AM35" s="39" t="n">
        <f aca="false">PR_PT(AM$2,$A35)</f>
        <v>2015</v>
      </c>
      <c r="AN35" s="39" t="n">
        <f aca="false">PR_PT(AN$2,$A35)</f>
        <v>2015</v>
      </c>
      <c r="AO35" s="39" t="n">
        <f aca="false">PR_PT(AO$2,$A35)</f>
        <v>2015</v>
      </c>
      <c r="AP35" s="39" t="n">
        <f aca="false">PR_PT(AP$2,$A35)</f>
        <v>2015</v>
      </c>
      <c r="AQ35" s="39" t="n">
        <f aca="false">PR_PT(AQ$2,$A35)</f>
        <v>2015</v>
      </c>
      <c r="AR35" s="39" t="n">
        <f aca="false">PR_PT(AR$2,$A35)</f>
        <v>2015</v>
      </c>
      <c r="AS35" s="39" t="n">
        <f aca="false">PR_PT(AS$2,$A35)</f>
        <v>2015</v>
      </c>
    </row>
    <row r="36" customFormat="false" ht="13.8" hidden="false" customHeight="false" outlineLevel="0" collapsed="false">
      <c r="A36" s="0" t="n">
        <v>600</v>
      </c>
      <c r="B36" s="39" t="n">
        <f aca="false">PR_PT(B$2,$A36)</f>
        <v>2015</v>
      </c>
      <c r="C36" s="39" t="n">
        <f aca="false">PR_PT(C$2,$A36)</f>
        <v>2015</v>
      </c>
      <c r="D36" s="39" t="n">
        <f aca="false">PR_PT(D$2,$A36)</f>
        <v>2015</v>
      </c>
      <c r="E36" s="39" t="n">
        <f aca="false">PR_PT(E$2,$A36)</f>
        <v>2015</v>
      </c>
      <c r="F36" s="39" t="n">
        <f aca="false">PR_PT(F$2,$A36)</f>
        <v>2015</v>
      </c>
      <c r="G36" s="39" t="n">
        <f aca="false">PR_PT(G$2,$A36)</f>
        <v>2015</v>
      </c>
      <c r="H36" s="39" t="n">
        <f aca="false">PR_PT(H$2,$A36)</f>
        <v>2015</v>
      </c>
      <c r="I36" s="39" t="n">
        <f aca="false">PR_PT(I$2,$A36)</f>
        <v>2015</v>
      </c>
      <c r="J36" s="39" t="n">
        <f aca="false">PR_PT(J$2,$A36)</f>
        <v>2015</v>
      </c>
      <c r="K36" s="39" t="n">
        <f aca="false">PR_PT(K$2,$A36)</f>
        <v>2015</v>
      </c>
      <c r="L36" s="39" t="n">
        <f aca="false">PR_PT(L$2,$A36)</f>
        <v>2015</v>
      </c>
      <c r="M36" s="39" t="n">
        <f aca="false">PR_PT(M$2,$A36)</f>
        <v>2015</v>
      </c>
      <c r="N36" s="39" t="n">
        <f aca="false">PR_PT(N$2,$A36)</f>
        <v>2015</v>
      </c>
      <c r="O36" s="39" t="n">
        <f aca="false">PR_PT(O$2,$A36)</f>
        <v>2015</v>
      </c>
      <c r="P36" s="39" t="n">
        <f aca="false">PR_PT(P$2,$A36)</f>
        <v>2015</v>
      </c>
      <c r="Q36" s="39" t="n">
        <f aca="false">PR_PT(Q$2,$A36)</f>
        <v>2015</v>
      </c>
      <c r="R36" s="39" t="n">
        <f aca="false">PR_PT(R$2,$A36)</f>
        <v>2015</v>
      </c>
      <c r="S36" s="39" t="n">
        <f aca="false">PR_PT(S$2,$A36)</f>
        <v>2015</v>
      </c>
      <c r="T36" s="39" t="n">
        <f aca="false">PR_PT(T$2,$A36)</f>
        <v>2015</v>
      </c>
      <c r="U36" s="39" t="n">
        <f aca="false">PR_PT(U$2,$A36)</f>
        <v>2015</v>
      </c>
      <c r="V36" s="39" t="n">
        <f aca="false">PR_PT(V$2,$A36)</f>
        <v>2015</v>
      </c>
      <c r="W36" s="39" t="n">
        <f aca="false">PR_PT(W$2,$A36)</f>
        <v>2015</v>
      </c>
      <c r="X36" s="39" t="n">
        <f aca="false">PR_PT(X$2,$A36)</f>
        <v>2015</v>
      </c>
      <c r="Y36" s="39" t="n">
        <f aca="false">PR_PT(Y$2,$A36)</f>
        <v>2015</v>
      </c>
      <c r="Z36" s="39" t="n">
        <f aca="false">PR_PT(Z$2,$A36)</f>
        <v>2015</v>
      </c>
      <c r="AA36" s="39" t="n">
        <f aca="false">PR_PT(AA$2,$A36)</f>
        <v>2015</v>
      </c>
      <c r="AB36" s="39" t="n">
        <f aca="false">PR_PT(AB$2,$A36)</f>
        <v>2015</v>
      </c>
      <c r="AC36" s="39" t="n">
        <f aca="false">PR_PT(AC$2,$A36)</f>
        <v>2015</v>
      </c>
      <c r="AD36" s="39" t="n">
        <f aca="false">PR_PT(AD$2,$A36)</f>
        <v>2015</v>
      </c>
      <c r="AE36" s="39" t="n">
        <f aca="false">PR_PT(AE$2,$A36)</f>
        <v>2015</v>
      </c>
      <c r="AF36" s="39" t="n">
        <f aca="false">PR_PT(AF$2,$A36)</f>
        <v>2015</v>
      </c>
      <c r="AG36" s="39" t="n">
        <f aca="false">PR_PT(AG$2,$A36)</f>
        <v>2015</v>
      </c>
      <c r="AH36" s="39" t="n">
        <f aca="false">PR_PT(AH$2,$A36)</f>
        <v>2015</v>
      </c>
      <c r="AI36" s="39" t="n">
        <f aca="false">PR_PT(AI$2,$A36)</f>
        <v>2015</v>
      </c>
      <c r="AJ36" s="39" t="n">
        <f aca="false">PR_PT(AJ$2,$A36)</f>
        <v>2015</v>
      </c>
      <c r="AK36" s="39" t="n">
        <f aca="false">PR_PT(AK$2,$A36)</f>
        <v>2015</v>
      </c>
      <c r="AL36" s="39" t="n">
        <f aca="false">PR_PT(AL$2,$A36)</f>
        <v>2015</v>
      </c>
      <c r="AM36" s="39" t="n">
        <f aca="false">PR_PT(AM$2,$A36)</f>
        <v>2015</v>
      </c>
      <c r="AN36" s="39" t="n">
        <f aca="false">PR_PT(AN$2,$A36)</f>
        <v>2015</v>
      </c>
      <c r="AO36" s="39" t="n">
        <f aca="false">PR_PT(AO$2,$A36)</f>
        <v>2015</v>
      </c>
      <c r="AP36" s="39" t="n">
        <f aca="false">PR_PT(AP$2,$A36)</f>
        <v>2015</v>
      </c>
      <c r="AQ36" s="39" t="n">
        <f aca="false">PR_PT(AQ$2,$A36)</f>
        <v>2015</v>
      </c>
      <c r="AR36" s="39" t="n">
        <f aca="false">PR_PT(AR$2,$A36)</f>
        <v>2015</v>
      </c>
      <c r="AS36" s="39" t="n">
        <f aca="false">PR_PT(AS$2,$A36)</f>
        <v>2015</v>
      </c>
    </row>
    <row r="37" customFormat="false" ht="13.8" hidden="false" customHeight="false" outlineLevel="0" collapsed="false">
      <c r="A37" s="0" t="n">
        <v>700</v>
      </c>
      <c r="B37" s="39" t="n">
        <f aca="false">PR_PT(B$2,$A37)</f>
        <v>2015</v>
      </c>
      <c r="C37" s="39" t="n">
        <f aca="false">PR_PT(C$2,$A37)</f>
        <v>2015</v>
      </c>
      <c r="D37" s="39" t="n">
        <f aca="false">PR_PT(D$2,$A37)</f>
        <v>2015</v>
      </c>
      <c r="E37" s="39" t="n">
        <f aca="false">PR_PT(E$2,$A37)</f>
        <v>2015</v>
      </c>
      <c r="F37" s="39" t="n">
        <f aca="false">PR_PT(F$2,$A37)</f>
        <v>2015</v>
      </c>
      <c r="G37" s="39" t="n">
        <f aca="false">PR_PT(G$2,$A37)</f>
        <v>2015</v>
      </c>
      <c r="H37" s="39" t="n">
        <f aca="false">PR_PT(H$2,$A37)</f>
        <v>2015</v>
      </c>
      <c r="I37" s="39" t="n">
        <f aca="false">PR_PT(I$2,$A37)</f>
        <v>2015</v>
      </c>
      <c r="J37" s="39" t="n">
        <f aca="false">PR_PT(J$2,$A37)</f>
        <v>2015</v>
      </c>
      <c r="K37" s="39" t="n">
        <f aca="false">PR_PT(K$2,$A37)</f>
        <v>2015</v>
      </c>
      <c r="L37" s="39" t="n">
        <f aca="false">PR_PT(L$2,$A37)</f>
        <v>2015</v>
      </c>
      <c r="M37" s="39" t="n">
        <f aca="false">PR_PT(M$2,$A37)</f>
        <v>2015</v>
      </c>
      <c r="N37" s="39" t="n">
        <f aca="false">PR_PT(N$2,$A37)</f>
        <v>2015</v>
      </c>
      <c r="O37" s="39" t="n">
        <f aca="false">PR_PT(O$2,$A37)</f>
        <v>2015</v>
      </c>
      <c r="P37" s="39" t="n">
        <f aca="false">PR_PT(P$2,$A37)</f>
        <v>2015</v>
      </c>
      <c r="Q37" s="39" t="n">
        <f aca="false">PR_PT(Q$2,$A37)</f>
        <v>2015</v>
      </c>
      <c r="R37" s="39" t="n">
        <f aca="false">PR_PT(R$2,$A37)</f>
        <v>2015</v>
      </c>
      <c r="S37" s="39" t="n">
        <f aca="false">PR_PT(S$2,$A37)</f>
        <v>2015</v>
      </c>
      <c r="T37" s="39" t="n">
        <f aca="false">PR_PT(T$2,$A37)</f>
        <v>2015</v>
      </c>
      <c r="U37" s="39" t="n">
        <f aca="false">PR_PT(U$2,$A37)</f>
        <v>2015</v>
      </c>
      <c r="V37" s="39" t="n">
        <f aca="false">PR_PT(V$2,$A37)</f>
        <v>2015</v>
      </c>
      <c r="W37" s="39" t="n">
        <f aca="false">PR_PT(W$2,$A37)</f>
        <v>2015</v>
      </c>
      <c r="X37" s="39" t="n">
        <f aca="false">PR_PT(X$2,$A37)</f>
        <v>2015</v>
      </c>
      <c r="Y37" s="39" t="n">
        <f aca="false">PR_PT(Y$2,$A37)</f>
        <v>2015</v>
      </c>
      <c r="Z37" s="39" t="n">
        <f aca="false">PR_PT(Z$2,$A37)</f>
        <v>2015</v>
      </c>
      <c r="AA37" s="39" t="n">
        <f aca="false">PR_PT(AA$2,$A37)</f>
        <v>2015</v>
      </c>
      <c r="AB37" s="39" t="n">
        <f aca="false">PR_PT(AB$2,$A37)</f>
        <v>2015</v>
      </c>
      <c r="AC37" s="39" t="n">
        <f aca="false">PR_PT(AC$2,$A37)</f>
        <v>2015</v>
      </c>
      <c r="AD37" s="39" t="n">
        <f aca="false">PR_PT(AD$2,$A37)</f>
        <v>2015</v>
      </c>
      <c r="AE37" s="39" t="n">
        <f aca="false">PR_PT(AE$2,$A37)</f>
        <v>2015</v>
      </c>
      <c r="AF37" s="39" t="n">
        <f aca="false">PR_PT(AF$2,$A37)</f>
        <v>2015</v>
      </c>
      <c r="AG37" s="39" t="n">
        <f aca="false">PR_PT(AG$2,$A37)</f>
        <v>2015</v>
      </c>
      <c r="AH37" s="39" t="n">
        <f aca="false">PR_PT(AH$2,$A37)</f>
        <v>2015</v>
      </c>
      <c r="AI37" s="39" t="n">
        <f aca="false">PR_PT(AI$2,$A37)</f>
        <v>2015</v>
      </c>
      <c r="AJ37" s="39" t="n">
        <f aca="false">PR_PT(AJ$2,$A37)</f>
        <v>2015</v>
      </c>
      <c r="AK37" s="39" t="n">
        <f aca="false">PR_PT(AK$2,$A37)</f>
        <v>2015</v>
      </c>
      <c r="AL37" s="39" t="n">
        <f aca="false">PR_PT(AL$2,$A37)</f>
        <v>2015</v>
      </c>
      <c r="AM37" s="39" t="n">
        <f aca="false">PR_PT(AM$2,$A37)</f>
        <v>2015</v>
      </c>
      <c r="AN37" s="39" t="n">
        <f aca="false">PR_PT(AN$2,$A37)</f>
        <v>2015</v>
      </c>
      <c r="AO37" s="39" t="n">
        <f aca="false">PR_PT(AO$2,$A37)</f>
        <v>2015</v>
      </c>
      <c r="AP37" s="39" t="n">
        <f aca="false">PR_PT(AP$2,$A37)</f>
        <v>2015</v>
      </c>
      <c r="AQ37" s="39" t="n">
        <f aca="false">PR_PT(AQ$2,$A37)</f>
        <v>2015</v>
      </c>
      <c r="AR37" s="39" t="n">
        <f aca="false">PR_PT(AR$2,$A37)</f>
        <v>2015</v>
      </c>
      <c r="AS37" s="39" t="n">
        <f aca="false">PR_PT(AS$2,$A37)</f>
        <v>2015</v>
      </c>
    </row>
    <row r="38" customFormat="false" ht="13.8" hidden="false" customHeight="false" outlineLevel="0" collapsed="false">
      <c r="A38" s="0" t="n">
        <v>800</v>
      </c>
      <c r="B38" s="39" t="n">
        <f aca="false">PR_PT(B$2,$A38)</f>
        <v>2015</v>
      </c>
      <c r="C38" s="39" t="n">
        <f aca="false">PR_PT(C$2,$A38)</f>
        <v>2015</v>
      </c>
      <c r="D38" s="39" t="n">
        <f aca="false">PR_PT(D$2,$A38)</f>
        <v>2015</v>
      </c>
      <c r="E38" s="39" t="n">
        <f aca="false">PR_PT(E$2,$A38)</f>
        <v>2015</v>
      </c>
      <c r="F38" s="39" t="n">
        <f aca="false">PR_PT(F$2,$A38)</f>
        <v>2015</v>
      </c>
      <c r="G38" s="39" t="n">
        <f aca="false">PR_PT(G$2,$A38)</f>
        <v>2015</v>
      </c>
      <c r="H38" s="39" t="n">
        <f aca="false">PR_PT(H$2,$A38)</f>
        <v>2015</v>
      </c>
      <c r="I38" s="39" t="n">
        <f aca="false">PR_PT(I$2,$A38)</f>
        <v>2015</v>
      </c>
      <c r="J38" s="39" t="n">
        <f aca="false">PR_PT(J$2,$A38)</f>
        <v>2015</v>
      </c>
      <c r="K38" s="39" t="n">
        <f aca="false">PR_PT(K$2,$A38)</f>
        <v>2015</v>
      </c>
      <c r="L38" s="39" t="n">
        <f aca="false">PR_PT(L$2,$A38)</f>
        <v>2015</v>
      </c>
      <c r="M38" s="39" t="n">
        <f aca="false">PR_PT(M$2,$A38)</f>
        <v>2015</v>
      </c>
      <c r="N38" s="39" t="n">
        <f aca="false">PR_PT(N$2,$A38)</f>
        <v>2015</v>
      </c>
      <c r="O38" s="39" t="n">
        <f aca="false">PR_PT(O$2,$A38)</f>
        <v>2015</v>
      </c>
      <c r="P38" s="39" t="n">
        <f aca="false">PR_PT(P$2,$A38)</f>
        <v>2015</v>
      </c>
      <c r="Q38" s="39" t="n">
        <f aca="false">PR_PT(Q$2,$A38)</f>
        <v>2015</v>
      </c>
      <c r="R38" s="39" t="n">
        <f aca="false">PR_PT(R$2,$A38)</f>
        <v>2015</v>
      </c>
      <c r="S38" s="39" t="n">
        <f aca="false">PR_PT(S$2,$A38)</f>
        <v>2015</v>
      </c>
      <c r="T38" s="39" t="n">
        <f aca="false">PR_PT(T$2,$A38)</f>
        <v>2015</v>
      </c>
      <c r="U38" s="39" t="n">
        <f aca="false">PR_PT(U$2,$A38)</f>
        <v>2015</v>
      </c>
      <c r="V38" s="39" t="n">
        <f aca="false">PR_PT(V$2,$A38)</f>
        <v>2015</v>
      </c>
      <c r="W38" s="39" t="n">
        <f aca="false">PR_PT(W$2,$A38)</f>
        <v>2015</v>
      </c>
      <c r="X38" s="39" t="n">
        <f aca="false">PR_PT(X$2,$A38)</f>
        <v>2015</v>
      </c>
      <c r="Y38" s="39" t="n">
        <f aca="false">PR_PT(Y$2,$A38)</f>
        <v>2015</v>
      </c>
      <c r="Z38" s="39" t="n">
        <f aca="false">PR_PT(Z$2,$A38)</f>
        <v>2015</v>
      </c>
      <c r="AA38" s="39" t="n">
        <f aca="false">PR_PT(AA$2,$A38)</f>
        <v>2015</v>
      </c>
      <c r="AB38" s="39" t="n">
        <f aca="false">PR_PT(AB$2,$A38)</f>
        <v>2015</v>
      </c>
      <c r="AC38" s="39" t="n">
        <f aca="false">PR_PT(AC$2,$A38)</f>
        <v>2015</v>
      </c>
      <c r="AD38" s="39" t="n">
        <f aca="false">PR_PT(AD$2,$A38)</f>
        <v>2015</v>
      </c>
      <c r="AE38" s="39" t="n">
        <f aca="false">PR_PT(AE$2,$A38)</f>
        <v>2015</v>
      </c>
      <c r="AF38" s="39" t="n">
        <f aca="false">PR_PT(AF$2,$A38)</f>
        <v>2015</v>
      </c>
      <c r="AG38" s="39" t="n">
        <f aca="false">PR_PT(AG$2,$A38)</f>
        <v>2015</v>
      </c>
      <c r="AH38" s="39" t="n">
        <f aca="false">PR_PT(AH$2,$A38)</f>
        <v>2015</v>
      </c>
      <c r="AI38" s="39" t="n">
        <f aca="false">PR_PT(AI$2,$A38)</f>
        <v>2015</v>
      </c>
      <c r="AJ38" s="39" t="n">
        <f aca="false">PR_PT(AJ$2,$A38)</f>
        <v>2015</v>
      </c>
      <c r="AK38" s="39" t="n">
        <f aca="false">PR_PT(AK$2,$A38)</f>
        <v>2015</v>
      </c>
      <c r="AL38" s="39" t="n">
        <f aca="false">PR_PT(AL$2,$A38)</f>
        <v>2015</v>
      </c>
      <c r="AM38" s="39" t="n">
        <f aca="false">PR_PT(AM$2,$A38)</f>
        <v>2015</v>
      </c>
      <c r="AN38" s="39" t="n">
        <f aca="false">PR_PT(AN$2,$A38)</f>
        <v>2015</v>
      </c>
      <c r="AO38" s="39" t="n">
        <f aca="false">PR_PT(AO$2,$A38)</f>
        <v>2015</v>
      </c>
      <c r="AP38" s="39" t="n">
        <f aca="false">PR_PT(AP$2,$A38)</f>
        <v>2015</v>
      </c>
      <c r="AQ38" s="39" t="n">
        <f aca="false">PR_PT(AQ$2,$A38)</f>
        <v>2015</v>
      </c>
      <c r="AR38" s="39" t="n">
        <f aca="false">PR_PT(AR$2,$A38)</f>
        <v>2015</v>
      </c>
      <c r="AS38" s="39" t="n">
        <f aca="false">PR_PT(AS$2,$A38)</f>
        <v>2015</v>
      </c>
    </row>
    <row r="39" customFormat="false" ht="13.8" hidden="false" customHeight="false" outlineLevel="0" collapsed="false">
      <c r="A39" s="0" t="n">
        <v>900</v>
      </c>
      <c r="B39" s="39" t="n">
        <f aca="false">PR_PT(B$2,$A39)</f>
        <v>2015</v>
      </c>
      <c r="C39" s="39" t="n">
        <f aca="false">PR_PT(C$2,$A39)</f>
        <v>2015</v>
      </c>
      <c r="D39" s="39" t="n">
        <f aca="false">PR_PT(D$2,$A39)</f>
        <v>2015</v>
      </c>
      <c r="E39" s="39" t="n">
        <f aca="false">PR_PT(E$2,$A39)</f>
        <v>2015</v>
      </c>
      <c r="F39" s="39" t="n">
        <f aca="false">PR_PT(F$2,$A39)</f>
        <v>2015</v>
      </c>
      <c r="G39" s="39" t="n">
        <f aca="false">PR_PT(G$2,$A39)</f>
        <v>2015</v>
      </c>
      <c r="H39" s="39" t="n">
        <f aca="false">PR_PT(H$2,$A39)</f>
        <v>2015</v>
      </c>
      <c r="I39" s="39" t="n">
        <f aca="false">PR_PT(I$2,$A39)</f>
        <v>2015</v>
      </c>
      <c r="J39" s="39" t="n">
        <f aca="false">PR_PT(J$2,$A39)</f>
        <v>2015</v>
      </c>
      <c r="K39" s="39" t="n">
        <f aca="false">PR_PT(K$2,$A39)</f>
        <v>2015</v>
      </c>
      <c r="L39" s="39" t="n">
        <f aca="false">PR_PT(L$2,$A39)</f>
        <v>2015</v>
      </c>
      <c r="M39" s="39" t="n">
        <f aca="false">PR_PT(M$2,$A39)</f>
        <v>2015</v>
      </c>
      <c r="N39" s="39" t="n">
        <f aca="false">PR_PT(N$2,$A39)</f>
        <v>2015</v>
      </c>
      <c r="O39" s="39" t="n">
        <f aca="false">PR_PT(O$2,$A39)</f>
        <v>2015</v>
      </c>
      <c r="P39" s="39" t="n">
        <f aca="false">PR_PT(P$2,$A39)</f>
        <v>2015</v>
      </c>
      <c r="Q39" s="39" t="n">
        <f aca="false">PR_PT(Q$2,$A39)</f>
        <v>2015</v>
      </c>
      <c r="R39" s="39" t="n">
        <f aca="false">PR_PT(R$2,$A39)</f>
        <v>2015</v>
      </c>
      <c r="S39" s="39" t="n">
        <f aca="false">PR_PT(S$2,$A39)</f>
        <v>2015</v>
      </c>
      <c r="T39" s="39" t="n">
        <f aca="false">PR_PT(T$2,$A39)</f>
        <v>2015</v>
      </c>
      <c r="U39" s="39" t="n">
        <f aca="false">PR_PT(U$2,$A39)</f>
        <v>2015</v>
      </c>
      <c r="V39" s="39" t="n">
        <f aca="false">PR_PT(V$2,$A39)</f>
        <v>2015</v>
      </c>
      <c r="W39" s="39" t="n">
        <f aca="false">PR_PT(W$2,$A39)</f>
        <v>2015</v>
      </c>
      <c r="X39" s="39" t="n">
        <f aca="false">PR_PT(X$2,$A39)</f>
        <v>2015</v>
      </c>
      <c r="Y39" s="39" t="n">
        <f aca="false">PR_PT(Y$2,$A39)</f>
        <v>2015</v>
      </c>
      <c r="Z39" s="39" t="n">
        <f aca="false">PR_PT(Z$2,$A39)</f>
        <v>2015</v>
      </c>
      <c r="AA39" s="39" t="n">
        <f aca="false">PR_PT(AA$2,$A39)</f>
        <v>2015</v>
      </c>
      <c r="AB39" s="39" t="n">
        <f aca="false">PR_PT(AB$2,$A39)</f>
        <v>2015</v>
      </c>
      <c r="AC39" s="39" t="n">
        <f aca="false">PR_PT(AC$2,$A39)</f>
        <v>2015</v>
      </c>
      <c r="AD39" s="39" t="n">
        <f aca="false">PR_PT(AD$2,$A39)</f>
        <v>2015</v>
      </c>
      <c r="AE39" s="39" t="n">
        <f aca="false">PR_PT(AE$2,$A39)</f>
        <v>2015</v>
      </c>
      <c r="AF39" s="39" t="n">
        <f aca="false">PR_PT(AF$2,$A39)</f>
        <v>2015</v>
      </c>
      <c r="AG39" s="39" t="n">
        <f aca="false">PR_PT(AG$2,$A39)</f>
        <v>2015</v>
      </c>
      <c r="AH39" s="39" t="n">
        <f aca="false">PR_PT(AH$2,$A39)</f>
        <v>2015</v>
      </c>
      <c r="AI39" s="39" t="n">
        <f aca="false">PR_PT(AI$2,$A39)</f>
        <v>2015</v>
      </c>
      <c r="AJ39" s="39" t="n">
        <f aca="false">PR_PT(AJ$2,$A39)</f>
        <v>2015</v>
      </c>
      <c r="AK39" s="39" t="n">
        <f aca="false">PR_PT(AK$2,$A39)</f>
        <v>2015</v>
      </c>
      <c r="AL39" s="39" t="n">
        <f aca="false">PR_PT(AL$2,$A39)</f>
        <v>2015</v>
      </c>
      <c r="AM39" s="39" t="n">
        <f aca="false">PR_PT(AM$2,$A39)</f>
        <v>2015</v>
      </c>
      <c r="AN39" s="39" t="n">
        <f aca="false">PR_PT(AN$2,$A39)</f>
        <v>2015</v>
      </c>
      <c r="AO39" s="39" t="n">
        <f aca="false">PR_PT(AO$2,$A39)</f>
        <v>2015</v>
      </c>
      <c r="AP39" s="39" t="n">
        <f aca="false">PR_PT(AP$2,$A39)</f>
        <v>2015</v>
      </c>
      <c r="AQ39" s="39" t="n">
        <f aca="false">PR_PT(AQ$2,$A39)</f>
        <v>2015</v>
      </c>
      <c r="AR39" s="39" t="n">
        <f aca="false">PR_PT(AR$2,$A39)</f>
        <v>2015</v>
      </c>
      <c r="AS39" s="39" t="n">
        <f aca="false">PR_PT(AS$2,$A39)</f>
        <v>2015</v>
      </c>
    </row>
    <row r="40" customFormat="false" ht="13.8" hidden="false" customHeight="false" outlineLevel="0" collapsed="false">
      <c r="A40" s="0" t="n">
        <v>1000</v>
      </c>
      <c r="B40" s="39" t="n">
        <f aca="false">PR_PT(B$2,$A40)</f>
        <v>2015</v>
      </c>
      <c r="C40" s="39" t="n">
        <f aca="false">PR_PT(C$2,$A40)</f>
        <v>2015</v>
      </c>
      <c r="D40" s="39" t="n">
        <f aca="false">PR_PT(D$2,$A40)</f>
        <v>2015</v>
      </c>
      <c r="E40" s="39" t="n">
        <f aca="false">PR_PT(E$2,$A40)</f>
        <v>2015</v>
      </c>
      <c r="F40" s="39" t="n">
        <f aca="false">PR_PT(F$2,$A40)</f>
        <v>2015</v>
      </c>
      <c r="G40" s="39" t="n">
        <f aca="false">PR_PT(G$2,$A40)</f>
        <v>2015</v>
      </c>
      <c r="H40" s="39" t="n">
        <f aca="false">PR_PT(H$2,$A40)</f>
        <v>2015</v>
      </c>
      <c r="I40" s="39" t="n">
        <f aca="false">PR_PT(I$2,$A40)</f>
        <v>2015</v>
      </c>
      <c r="J40" s="39" t="n">
        <f aca="false">PR_PT(J$2,$A40)</f>
        <v>2015</v>
      </c>
      <c r="K40" s="39" t="n">
        <f aca="false">PR_PT(K$2,$A40)</f>
        <v>2015</v>
      </c>
      <c r="L40" s="39" t="n">
        <f aca="false">PR_PT(L$2,$A40)</f>
        <v>2015</v>
      </c>
      <c r="M40" s="39" t="n">
        <f aca="false">PR_PT(M$2,$A40)</f>
        <v>2015</v>
      </c>
      <c r="N40" s="39" t="n">
        <f aca="false">PR_PT(N$2,$A40)</f>
        <v>2015</v>
      </c>
      <c r="O40" s="39" t="n">
        <f aca="false">PR_PT(O$2,$A40)</f>
        <v>2015</v>
      </c>
      <c r="P40" s="39" t="n">
        <f aca="false">PR_PT(P$2,$A40)</f>
        <v>2015</v>
      </c>
      <c r="Q40" s="39" t="n">
        <f aca="false">PR_PT(Q$2,$A40)</f>
        <v>2015</v>
      </c>
      <c r="R40" s="39" t="n">
        <f aca="false">PR_PT(R$2,$A40)</f>
        <v>2015</v>
      </c>
      <c r="S40" s="39" t="n">
        <f aca="false">PR_PT(S$2,$A40)</f>
        <v>2015</v>
      </c>
      <c r="T40" s="39" t="n">
        <f aca="false">PR_PT(T$2,$A40)</f>
        <v>2015</v>
      </c>
      <c r="U40" s="39" t="n">
        <f aca="false">PR_PT(U$2,$A40)</f>
        <v>2015</v>
      </c>
      <c r="V40" s="39" t="n">
        <f aca="false">PR_PT(V$2,$A40)</f>
        <v>2015</v>
      </c>
      <c r="W40" s="39" t="n">
        <f aca="false">PR_PT(W$2,$A40)</f>
        <v>2015</v>
      </c>
      <c r="X40" s="39" t="n">
        <f aca="false">PR_PT(X$2,$A40)</f>
        <v>2015</v>
      </c>
      <c r="Y40" s="39" t="n">
        <f aca="false">PR_PT(Y$2,$A40)</f>
        <v>2015</v>
      </c>
      <c r="Z40" s="39" t="n">
        <f aca="false">PR_PT(Z$2,$A40)</f>
        <v>2015</v>
      </c>
      <c r="AA40" s="39" t="n">
        <f aca="false">PR_PT(AA$2,$A40)</f>
        <v>2015</v>
      </c>
      <c r="AB40" s="39" t="n">
        <f aca="false">PR_PT(AB$2,$A40)</f>
        <v>2015</v>
      </c>
      <c r="AC40" s="39" t="n">
        <f aca="false">PR_PT(AC$2,$A40)</f>
        <v>2015</v>
      </c>
      <c r="AD40" s="39" t="n">
        <f aca="false">PR_PT(AD$2,$A40)</f>
        <v>2015</v>
      </c>
      <c r="AE40" s="39" t="n">
        <f aca="false">PR_PT(AE$2,$A40)</f>
        <v>2015</v>
      </c>
      <c r="AF40" s="39" t="n">
        <f aca="false">PR_PT(AF$2,$A40)</f>
        <v>2015</v>
      </c>
      <c r="AG40" s="39" t="n">
        <f aca="false">PR_PT(AG$2,$A40)</f>
        <v>2015</v>
      </c>
      <c r="AH40" s="39" t="n">
        <f aca="false">PR_PT(AH$2,$A40)</f>
        <v>2015</v>
      </c>
      <c r="AI40" s="39" t="n">
        <f aca="false">PR_PT(AI$2,$A40)</f>
        <v>2015</v>
      </c>
      <c r="AJ40" s="39" t="n">
        <f aca="false">PR_PT(AJ$2,$A40)</f>
        <v>2015</v>
      </c>
      <c r="AK40" s="39" t="n">
        <f aca="false">PR_PT(AK$2,$A40)</f>
        <v>2015</v>
      </c>
      <c r="AL40" s="39" t="n">
        <f aca="false">PR_PT(AL$2,$A40)</f>
        <v>2015</v>
      </c>
      <c r="AM40" s="39" t="n">
        <f aca="false">PR_PT(AM$2,$A40)</f>
        <v>2015</v>
      </c>
      <c r="AN40" s="39" t="n">
        <f aca="false">PR_PT(AN$2,$A40)</f>
        <v>2015</v>
      </c>
      <c r="AO40" s="39" t="n">
        <f aca="false">PR_PT(AO$2,$A40)</f>
        <v>2015</v>
      </c>
      <c r="AP40" s="39" t="n">
        <f aca="false">PR_PT(AP$2,$A40)</f>
        <v>2015</v>
      </c>
      <c r="AQ40" s="39" t="n">
        <f aca="false">PR_PT(AQ$2,$A40)</f>
        <v>2015</v>
      </c>
      <c r="AR40" s="39" t="n">
        <f aca="false">PR_PT(AR$2,$A40)</f>
        <v>2015</v>
      </c>
      <c r="AS40" s="39" t="n">
        <f aca="false">PR_PT(AS$2,$A40)</f>
        <v>2015</v>
      </c>
    </row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/>
    <row r="385" customFormat="false" ht="13.8" hidden="false" customHeight="false" outlineLevel="0" collapsed="false"/>
    <row r="386" customFormat="false" ht="13.8" hidden="false" customHeight="false" outlineLevel="0" collapsed="false"/>
    <row r="387" customFormat="false" ht="13.8" hidden="false" customHeight="false" outlineLevel="0" collapsed="false"/>
    <row r="388" customFormat="false" ht="13.8" hidden="false" customHeight="false" outlineLevel="0" collapsed="false"/>
    <row r="389" customFormat="false" ht="13.8" hidden="false" customHeight="false" outlineLevel="0" collapsed="false"/>
    <row r="390" customFormat="false" ht="13.8" hidden="false" customHeight="false" outlineLevel="0" collapsed="false"/>
    <row r="391" customFormat="false" ht="13.8" hidden="false" customHeight="false" outlineLevel="0" collapsed="false"/>
    <row r="392" customFormat="false" ht="13.8" hidden="false" customHeight="false" outlineLevel="0" collapsed="false"/>
    <row r="393" customFormat="false" ht="13.8" hidden="false" customHeight="false" outlineLevel="0" collapsed="false"/>
    <row r="394" customFormat="false" ht="13.8" hidden="false" customHeight="false" outlineLevel="0" collapsed="false"/>
    <row r="395" customFormat="false" ht="13.8" hidden="false" customHeight="false" outlineLevel="0" collapsed="false"/>
    <row r="396" customFormat="false" ht="13.8" hidden="false" customHeight="false" outlineLevel="0" collapsed="false"/>
    <row r="397" customFormat="false" ht="13.8" hidden="false" customHeight="false" outlineLevel="0" collapsed="false"/>
    <row r="398" customFormat="false" ht="13.8" hidden="false" customHeight="false" outlineLevel="0" collapsed="false"/>
    <row r="399" customFormat="false" ht="13.8" hidden="false" customHeight="false" outlineLevel="0" collapsed="false"/>
    <row r="400" customFormat="false" ht="13.8" hidden="false" customHeight="false" outlineLevel="0" collapsed="false"/>
    <row r="401" customFormat="false" ht="13.8" hidden="false" customHeight="false" outlineLevel="0" collapsed="false"/>
    <row r="402" customFormat="false" ht="13.8" hidden="false" customHeight="false" outlineLevel="0" collapsed="false"/>
    <row r="403" customFormat="false" ht="13.8" hidden="false" customHeight="false" outlineLevel="0" collapsed="false"/>
    <row r="404" customFormat="false" ht="13.8" hidden="false" customHeight="false" outlineLevel="0" collapsed="false"/>
    <row r="405" customFormat="false" ht="13.8" hidden="false" customHeight="false" outlineLevel="0" collapsed="false"/>
    <row r="406" customFormat="false" ht="13.8" hidden="false" customHeight="false" outlineLevel="0" collapsed="false"/>
    <row r="407" customFormat="false" ht="13.8" hidden="false" customHeight="false" outlineLevel="0" collapsed="false"/>
    <row r="408" customFormat="false" ht="13.8" hidden="false" customHeight="false" outlineLevel="0" collapsed="false"/>
    <row r="409" customFormat="false" ht="13.8" hidden="false" customHeight="false" outlineLevel="0" collapsed="false"/>
    <row r="410" customFormat="false" ht="13.8" hidden="false" customHeight="false" outlineLevel="0" collapsed="false"/>
    <row r="411" customFormat="false" ht="13.8" hidden="false" customHeight="false" outlineLevel="0" collapsed="false"/>
    <row r="412" customFormat="false" ht="13.8" hidden="false" customHeight="false" outlineLevel="0" collapsed="false"/>
    <row r="413" customFormat="false" ht="13.8" hidden="false" customHeight="false" outlineLevel="0" collapsed="false"/>
    <row r="414" customFormat="false" ht="13.8" hidden="false" customHeight="false" outlineLevel="0" collapsed="false"/>
    <row r="415" customFormat="false" ht="13.8" hidden="false" customHeight="false" outlineLevel="0" collapsed="false"/>
    <row r="416" customFormat="false" ht="13.8" hidden="false" customHeight="false" outlineLevel="0" collapsed="false"/>
    <row r="417" customFormat="false" ht="13.8" hidden="false" customHeight="false" outlineLevel="0" collapsed="false"/>
    <row r="418" customFormat="false" ht="13.8" hidden="false" customHeight="false" outlineLevel="0" collapsed="false"/>
    <row r="419" customFormat="false" ht="13.8" hidden="false" customHeight="false" outlineLevel="0" collapsed="false"/>
    <row r="420" customFormat="false" ht="13.8" hidden="false" customHeight="false" outlineLevel="0" collapsed="false"/>
    <row r="421" customFormat="false" ht="13.8" hidden="false" customHeight="false" outlineLevel="0" collapsed="false"/>
    <row r="422" customFormat="false" ht="13.8" hidden="false" customHeight="false" outlineLevel="0" collapsed="false"/>
    <row r="423" customFormat="false" ht="13.8" hidden="false" customHeight="false" outlineLevel="0" collapsed="false"/>
    <row r="424" customFormat="false" ht="13.8" hidden="false" customHeight="false" outlineLevel="0" collapsed="false"/>
    <row r="425" customFormat="false" ht="13.8" hidden="false" customHeight="false" outlineLevel="0" collapsed="false"/>
    <row r="426" customFormat="false" ht="13.8" hidden="false" customHeight="false" outlineLevel="0" collapsed="false"/>
    <row r="427" customFormat="false" ht="13.8" hidden="false" customHeight="false" outlineLevel="0" collapsed="false"/>
    <row r="428" customFormat="false" ht="13.8" hidden="false" customHeight="false" outlineLevel="0" collapsed="false"/>
    <row r="429" customFormat="false" ht="13.8" hidden="false" customHeight="false" outlineLevel="0" collapsed="false"/>
    <row r="430" customFormat="false" ht="13.8" hidden="false" customHeight="false" outlineLevel="0" collapsed="false"/>
    <row r="431" customFormat="false" ht="13.8" hidden="false" customHeight="false" outlineLevel="0" collapsed="false"/>
    <row r="432" customFormat="false" ht="13.8" hidden="false" customHeight="false" outlineLevel="0" collapsed="false"/>
    <row r="433" customFormat="false" ht="13.8" hidden="false" customHeight="false" outlineLevel="0" collapsed="false"/>
    <row r="434" customFormat="false" ht="13.8" hidden="false" customHeight="false" outlineLevel="0" collapsed="false"/>
    <row r="435" customFormat="false" ht="13.8" hidden="false" customHeight="false" outlineLevel="0" collapsed="false"/>
    <row r="436" customFormat="false" ht="13.8" hidden="false" customHeight="false" outlineLevel="0" collapsed="false"/>
    <row r="437" customFormat="false" ht="13.8" hidden="false" customHeight="false" outlineLevel="0" collapsed="false"/>
    <row r="438" customFormat="false" ht="13.8" hidden="false" customHeight="false" outlineLevel="0" collapsed="false"/>
    <row r="439" customFormat="false" ht="13.8" hidden="false" customHeight="false" outlineLevel="0" collapsed="false"/>
    <row r="440" customFormat="false" ht="13.8" hidden="false" customHeight="false" outlineLevel="0" collapsed="false"/>
    <row r="441" customFormat="false" ht="13.8" hidden="false" customHeight="false" outlineLevel="0" collapsed="false"/>
    <row r="442" customFormat="false" ht="13.8" hidden="false" customHeight="false" outlineLevel="0" collapsed="false"/>
    <row r="443" customFormat="false" ht="13.8" hidden="false" customHeight="false" outlineLevel="0" collapsed="false"/>
    <row r="444" customFormat="false" ht="13.8" hidden="false" customHeight="false" outlineLevel="0" collapsed="false"/>
    <row r="445" customFormat="false" ht="13.8" hidden="false" customHeight="false" outlineLevel="0" collapsed="false"/>
    <row r="446" customFormat="false" ht="13.8" hidden="false" customHeight="false" outlineLevel="0" collapsed="false"/>
    <row r="447" customFormat="false" ht="13.8" hidden="false" customHeight="false" outlineLevel="0" collapsed="false"/>
    <row r="448" customFormat="false" ht="13.8" hidden="false" customHeight="false" outlineLevel="0" collapsed="false"/>
    <row r="449" customFormat="false" ht="13.8" hidden="false" customHeight="false" outlineLevel="0" collapsed="false"/>
    <row r="450" customFormat="false" ht="13.8" hidden="false" customHeight="false" outlineLevel="0" collapsed="false"/>
    <row r="451" customFormat="false" ht="13.8" hidden="false" customHeight="false" outlineLevel="0" collapsed="false"/>
    <row r="452" customFormat="false" ht="13.8" hidden="false" customHeight="false" outlineLevel="0" collapsed="false"/>
    <row r="453" customFormat="false" ht="13.8" hidden="false" customHeight="false" outlineLevel="0" collapsed="false"/>
    <row r="454" customFormat="false" ht="13.8" hidden="false" customHeight="false" outlineLevel="0" collapsed="false"/>
    <row r="455" customFormat="false" ht="13.8" hidden="false" customHeight="false" outlineLevel="0" collapsed="false"/>
    <row r="456" customFormat="false" ht="13.8" hidden="false" customHeight="false" outlineLevel="0" collapsed="false"/>
    <row r="457" customFormat="false" ht="13.8" hidden="false" customHeight="false" outlineLevel="0" collapsed="false"/>
    <row r="458" customFormat="false" ht="13.8" hidden="false" customHeight="false" outlineLevel="0" collapsed="false"/>
    <row r="459" customFormat="false" ht="13.8" hidden="false" customHeight="false" outlineLevel="0" collapsed="false"/>
    <row r="460" customFormat="false" ht="13.8" hidden="false" customHeight="false" outlineLevel="0" collapsed="false"/>
    <row r="461" customFormat="false" ht="13.8" hidden="false" customHeight="false" outlineLevel="0" collapsed="false"/>
    <row r="462" customFormat="false" ht="13.8" hidden="false" customHeight="false" outlineLevel="0" collapsed="false"/>
    <row r="463" customFormat="false" ht="13.8" hidden="false" customHeight="false" outlineLevel="0" collapsed="false"/>
    <row r="464" customFormat="false" ht="13.8" hidden="false" customHeight="false" outlineLevel="0" collapsed="false"/>
    <row r="465" customFormat="false" ht="13.8" hidden="false" customHeight="false" outlineLevel="0" collapsed="false"/>
    <row r="466" customFormat="false" ht="13.8" hidden="false" customHeight="false" outlineLevel="0" collapsed="false"/>
    <row r="467" customFormat="false" ht="13.8" hidden="false" customHeight="false" outlineLevel="0" collapsed="false"/>
    <row r="468" customFormat="false" ht="13.8" hidden="false" customHeight="false" outlineLevel="0" collapsed="false"/>
    <row r="469" customFormat="false" ht="13.8" hidden="false" customHeight="false" outlineLevel="0" collapsed="false"/>
    <row r="470" customFormat="false" ht="13.8" hidden="false" customHeight="false" outlineLevel="0" collapsed="false"/>
    <row r="471" customFormat="false" ht="13.8" hidden="false" customHeight="false" outlineLevel="0" collapsed="false"/>
    <row r="472" customFormat="false" ht="13.8" hidden="false" customHeight="false" outlineLevel="0" collapsed="false"/>
    <row r="473" customFormat="false" ht="13.8" hidden="false" customHeight="false" outlineLevel="0" collapsed="false"/>
    <row r="474" customFormat="false" ht="13.8" hidden="false" customHeight="false" outlineLevel="0" collapsed="false"/>
    <row r="475" customFormat="false" ht="13.8" hidden="false" customHeight="false" outlineLevel="0" collapsed="false"/>
    <row r="476" customFormat="false" ht="13.8" hidden="false" customHeight="false" outlineLevel="0" collapsed="false"/>
    <row r="477" customFormat="false" ht="13.8" hidden="false" customHeight="false" outlineLevel="0" collapsed="false"/>
    <row r="478" customFormat="false" ht="13.8" hidden="false" customHeight="false" outlineLevel="0" collapsed="false"/>
    <row r="479" customFormat="false" ht="13.8" hidden="false" customHeight="false" outlineLevel="0" collapsed="false"/>
    <row r="480" customFormat="false" ht="13.8" hidden="false" customHeight="false" outlineLevel="0" collapsed="false"/>
    <row r="481" customFormat="false" ht="13.8" hidden="false" customHeight="false" outlineLevel="0" collapsed="false"/>
    <row r="482" customFormat="false" ht="13.8" hidden="false" customHeight="false" outlineLevel="0" collapsed="false"/>
    <row r="483" customFormat="false" ht="13.8" hidden="false" customHeight="false" outlineLevel="0" collapsed="false"/>
    <row r="484" customFormat="false" ht="13.8" hidden="false" customHeight="false" outlineLevel="0" collapsed="false"/>
    <row r="485" customFormat="false" ht="13.8" hidden="false" customHeight="false" outlineLevel="0" collapsed="false"/>
    <row r="486" customFormat="false" ht="13.8" hidden="false" customHeight="false" outlineLevel="0" collapsed="false"/>
    <row r="487" customFormat="false" ht="13.8" hidden="false" customHeight="false" outlineLevel="0" collapsed="false"/>
    <row r="488" customFormat="false" ht="13.8" hidden="false" customHeight="false" outlineLevel="0" collapsed="false"/>
    <row r="489" customFormat="false" ht="13.8" hidden="false" customHeight="false" outlineLevel="0" collapsed="false"/>
    <row r="490" customFormat="false" ht="13.8" hidden="false" customHeight="false" outlineLevel="0" collapsed="false"/>
    <row r="491" customFormat="false" ht="13.8" hidden="false" customHeight="false" outlineLevel="0" collapsed="false"/>
    <row r="492" customFormat="false" ht="13.8" hidden="false" customHeight="false" outlineLevel="0" collapsed="false"/>
    <row r="493" customFormat="false" ht="13.8" hidden="false" customHeight="false" outlineLevel="0" collapsed="false"/>
    <row r="494" customFormat="false" ht="13.8" hidden="false" customHeight="false" outlineLevel="0" collapsed="false"/>
    <row r="495" customFormat="false" ht="13.8" hidden="false" customHeight="false" outlineLevel="0" collapsed="false"/>
    <row r="496" customFormat="false" ht="13.8" hidden="false" customHeight="false" outlineLevel="0" collapsed="false"/>
    <row r="497" customFormat="false" ht="13.8" hidden="false" customHeight="false" outlineLevel="0" collapsed="false"/>
    <row r="498" customFormat="false" ht="13.8" hidden="false" customHeight="false" outlineLevel="0" collapsed="false"/>
    <row r="499" customFormat="false" ht="13.8" hidden="false" customHeight="false" outlineLevel="0" collapsed="false"/>
    <row r="500" customFormat="false" ht="13.8" hidden="false" customHeight="false" outlineLevel="0" collapsed="false"/>
    <row r="501" customFormat="false" ht="13.8" hidden="false" customHeight="false" outlineLevel="0" collapsed="false"/>
    <row r="502" customFormat="false" ht="13.8" hidden="false" customHeight="false" outlineLevel="0" collapsed="false"/>
    <row r="503" customFormat="false" ht="13.8" hidden="false" customHeight="false" outlineLevel="0" collapsed="false"/>
    <row r="504" customFormat="false" ht="13.8" hidden="false" customHeight="false" outlineLevel="0" collapsed="false"/>
    <row r="505" customFormat="false" ht="13.8" hidden="false" customHeight="false" outlineLevel="0" collapsed="false"/>
    <row r="506" customFormat="false" ht="13.8" hidden="false" customHeight="false" outlineLevel="0" collapsed="false"/>
    <row r="507" customFormat="false" ht="13.8" hidden="false" customHeight="false" outlineLevel="0" collapsed="false"/>
    <row r="508" customFormat="false" ht="13.8" hidden="false" customHeight="false" outlineLevel="0" collapsed="false"/>
    <row r="509" customFormat="false" ht="13.8" hidden="false" customHeight="false" outlineLevel="0" collapsed="false"/>
    <row r="510" customFormat="false" ht="13.8" hidden="false" customHeight="false" outlineLevel="0" collapsed="false"/>
    <row r="511" customFormat="false" ht="13.8" hidden="false" customHeight="false" outlineLevel="0" collapsed="false"/>
    <row r="512" customFormat="false" ht="13.8" hidden="false" customHeight="false" outlineLevel="0" collapsed="false"/>
    <row r="513" customFormat="false" ht="13.8" hidden="false" customHeight="false" outlineLevel="0" collapsed="false"/>
    <row r="514" customFormat="false" ht="13.8" hidden="false" customHeight="false" outlineLevel="0" collapsed="false"/>
    <row r="515" customFormat="false" ht="13.8" hidden="false" customHeight="false" outlineLevel="0" collapsed="false"/>
    <row r="516" customFormat="false" ht="13.8" hidden="false" customHeight="false" outlineLevel="0" collapsed="false"/>
    <row r="517" customFormat="false" ht="13.8" hidden="false" customHeight="false" outlineLevel="0" collapsed="false"/>
    <row r="518" customFormat="false" ht="13.8" hidden="false" customHeight="false" outlineLevel="0" collapsed="false"/>
    <row r="519" customFormat="false" ht="13.8" hidden="false" customHeight="false" outlineLevel="0" collapsed="false"/>
    <row r="520" customFormat="false" ht="13.8" hidden="false" customHeight="false" outlineLevel="0" collapsed="false"/>
    <row r="521" customFormat="false" ht="13.8" hidden="false" customHeight="false" outlineLevel="0" collapsed="false"/>
    <row r="522" customFormat="false" ht="13.8" hidden="false" customHeight="false" outlineLevel="0" collapsed="false"/>
    <row r="523" customFormat="false" ht="13.8" hidden="false" customHeight="false" outlineLevel="0" collapsed="false"/>
    <row r="524" customFormat="false" ht="13.8" hidden="false" customHeight="false" outlineLevel="0" collapsed="false"/>
    <row r="525" customFormat="false" ht="13.8" hidden="false" customHeight="false" outlineLevel="0" collapsed="false"/>
    <row r="526" customFormat="false" ht="13.8" hidden="false" customHeight="false" outlineLevel="0" collapsed="false"/>
    <row r="527" customFormat="false" ht="13.8" hidden="false" customHeight="false" outlineLevel="0" collapsed="false"/>
    <row r="528" customFormat="false" ht="13.8" hidden="false" customHeight="false" outlineLevel="0" collapsed="false"/>
    <row r="529" customFormat="false" ht="13.8" hidden="false" customHeight="false" outlineLevel="0" collapsed="false"/>
    <row r="530" customFormat="false" ht="13.8" hidden="false" customHeight="false" outlineLevel="0" collapsed="false"/>
    <row r="531" customFormat="false" ht="13.8" hidden="false" customHeight="false" outlineLevel="0" collapsed="false"/>
    <row r="532" customFormat="false" ht="13.8" hidden="false" customHeight="false" outlineLevel="0" collapsed="false"/>
    <row r="533" customFormat="false" ht="13.8" hidden="false" customHeight="false" outlineLevel="0" collapsed="false"/>
    <row r="534" customFormat="false" ht="13.8" hidden="false" customHeight="false" outlineLevel="0" collapsed="false"/>
    <row r="535" customFormat="false" ht="13.8" hidden="false" customHeight="false" outlineLevel="0" collapsed="false"/>
    <row r="536" customFormat="false" ht="13.8" hidden="false" customHeight="false" outlineLevel="0" collapsed="false"/>
    <row r="537" customFormat="false" ht="13.8" hidden="false" customHeight="false" outlineLevel="0" collapsed="false"/>
    <row r="538" customFormat="false" ht="13.8" hidden="false" customHeight="false" outlineLevel="0" collapsed="false"/>
    <row r="539" customFormat="false" ht="13.8" hidden="false" customHeight="false" outlineLevel="0" collapsed="false"/>
    <row r="540" customFormat="false" ht="13.8" hidden="false" customHeight="false" outlineLevel="0" collapsed="false"/>
    <row r="541" customFormat="false" ht="13.8" hidden="false" customHeight="false" outlineLevel="0" collapsed="false"/>
    <row r="542" customFormat="false" ht="13.8" hidden="false" customHeight="false" outlineLevel="0" collapsed="false"/>
    <row r="543" customFormat="false" ht="13.8" hidden="false" customHeight="false" outlineLevel="0" collapsed="false"/>
    <row r="544" customFormat="false" ht="13.8" hidden="false" customHeight="false" outlineLevel="0" collapsed="false"/>
    <row r="545" customFormat="false" ht="13.8" hidden="false" customHeight="false" outlineLevel="0" collapsed="false"/>
    <row r="546" customFormat="false" ht="13.8" hidden="false" customHeight="false" outlineLevel="0" collapsed="false"/>
    <row r="547" customFormat="false" ht="13.8" hidden="false" customHeight="false" outlineLevel="0" collapsed="false"/>
    <row r="548" customFormat="false" ht="13.8" hidden="false" customHeight="false" outlineLevel="0" collapsed="false"/>
    <row r="549" customFormat="false" ht="13.8" hidden="false" customHeight="false" outlineLevel="0" collapsed="false"/>
    <row r="550" customFormat="false" ht="13.8" hidden="false" customHeight="false" outlineLevel="0" collapsed="false"/>
    <row r="551" customFormat="false" ht="13.8" hidden="false" customHeight="false" outlineLevel="0" collapsed="false"/>
    <row r="552" customFormat="false" ht="13.8" hidden="false" customHeight="false" outlineLevel="0" collapsed="false"/>
    <row r="553" customFormat="false" ht="13.8" hidden="false" customHeight="false" outlineLevel="0" collapsed="false"/>
    <row r="554" customFormat="false" ht="13.8" hidden="false" customHeight="false" outlineLevel="0" collapsed="false"/>
    <row r="555" customFormat="false" ht="13.8" hidden="false" customHeight="false" outlineLevel="0" collapsed="false"/>
    <row r="556" customFormat="false" ht="13.8" hidden="false" customHeight="false" outlineLevel="0" collapsed="false"/>
    <row r="557" customFormat="false" ht="13.8" hidden="false" customHeight="false" outlineLevel="0" collapsed="false"/>
    <row r="558" customFormat="false" ht="13.8" hidden="false" customHeight="false" outlineLevel="0" collapsed="false"/>
    <row r="559" customFormat="false" ht="13.8" hidden="false" customHeight="false" outlineLevel="0" collapsed="false"/>
    <row r="560" customFormat="false" ht="13.8" hidden="false" customHeight="false" outlineLevel="0" collapsed="false"/>
    <row r="561" customFormat="false" ht="13.8" hidden="false" customHeight="false" outlineLevel="0" collapsed="false"/>
    <row r="562" customFormat="false" ht="13.8" hidden="false" customHeight="false" outlineLevel="0" collapsed="false"/>
    <row r="563" customFormat="false" ht="13.8" hidden="false" customHeight="false" outlineLevel="0" collapsed="false"/>
    <row r="564" customFormat="false" ht="13.8" hidden="false" customHeight="false" outlineLevel="0" collapsed="false"/>
    <row r="565" customFormat="false" ht="13.8" hidden="false" customHeight="false" outlineLevel="0" collapsed="false"/>
    <row r="566" customFormat="false" ht="13.8" hidden="false" customHeight="false" outlineLevel="0" collapsed="false"/>
    <row r="567" customFormat="false" ht="13.8" hidden="false" customHeight="false" outlineLevel="0" collapsed="false"/>
    <row r="568" customFormat="false" ht="13.8" hidden="false" customHeight="false" outlineLevel="0" collapsed="false"/>
    <row r="569" customFormat="false" ht="13.8" hidden="false" customHeight="false" outlineLevel="0" collapsed="false"/>
    <row r="570" customFormat="false" ht="13.8" hidden="false" customHeight="false" outlineLevel="0" collapsed="false"/>
    <row r="571" customFormat="false" ht="13.8" hidden="false" customHeight="false" outlineLevel="0" collapsed="false"/>
    <row r="572" customFormat="false" ht="13.8" hidden="false" customHeight="false" outlineLevel="0" collapsed="false"/>
    <row r="573" customFormat="false" ht="13.8" hidden="false" customHeight="false" outlineLevel="0" collapsed="false"/>
    <row r="574" customFormat="false" ht="13.8" hidden="false" customHeight="false" outlineLevel="0" collapsed="false"/>
    <row r="575" customFormat="false" ht="13.8" hidden="false" customHeight="false" outlineLevel="0" collapsed="false"/>
    <row r="576" customFormat="false" ht="13.8" hidden="false" customHeight="false" outlineLevel="0" collapsed="false"/>
    <row r="577" customFormat="false" ht="13.8" hidden="false" customHeight="false" outlineLevel="0" collapsed="false"/>
    <row r="578" customFormat="false" ht="13.8" hidden="false" customHeight="false" outlineLevel="0" collapsed="false"/>
    <row r="579" customFormat="false" ht="13.8" hidden="false" customHeight="false" outlineLevel="0" collapsed="false"/>
    <row r="580" customFormat="false" ht="13.8" hidden="false" customHeight="false" outlineLevel="0" collapsed="false"/>
    <row r="581" customFormat="false" ht="13.8" hidden="false" customHeight="false" outlineLevel="0" collapsed="false"/>
    <row r="582" customFormat="false" ht="13.8" hidden="false" customHeight="false" outlineLevel="0" collapsed="false"/>
    <row r="583" customFormat="false" ht="13.8" hidden="false" customHeight="false" outlineLevel="0" collapsed="false"/>
    <row r="584" customFormat="false" ht="13.8" hidden="false" customHeight="false" outlineLevel="0" collapsed="false"/>
    <row r="585" customFormat="false" ht="13.8" hidden="false" customHeight="false" outlineLevel="0" collapsed="false"/>
    <row r="586" customFormat="false" ht="13.8" hidden="false" customHeight="false" outlineLevel="0" collapsed="false"/>
    <row r="587" customFormat="false" ht="13.8" hidden="false" customHeight="false" outlineLevel="0" collapsed="false"/>
    <row r="588" customFormat="false" ht="13.8" hidden="false" customHeight="false" outlineLevel="0" collapsed="false"/>
    <row r="589" customFormat="false" ht="13.8" hidden="false" customHeight="false" outlineLevel="0" collapsed="false"/>
    <row r="590" customFormat="false" ht="13.8" hidden="false" customHeight="false" outlineLevel="0" collapsed="false"/>
    <row r="591" customFormat="false" ht="13.8" hidden="false" customHeight="false" outlineLevel="0" collapsed="false"/>
    <row r="592" customFormat="false" ht="13.8" hidden="false" customHeight="false" outlineLevel="0" collapsed="false"/>
    <row r="593" customFormat="false" ht="13.8" hidden="false" customHeight="false" outlineLevel="0" collapsed="false"/>
    <row r="594" customFormat="false" ht="13.8" hidden="false" customHeight="false" outlineLevel="0" collapsed="false"/>
    <row r="595" customFormat="false" ht="13.8" hidden="false" customHeight="false" outlineLevel="0" collapsed="false"/>
    <row r="596" customFormat="false" ht="13.8" hidden="false" customHeight="false" outlineLevel="0" collapsed="false"/>
    <row r="597" customFormat="false" ht="13.8" hidden="false" customHeight="false" outlineLevel="0" collapsed="false"/>
    <row r="598" customFormat="false" ht="13.8" hidden="false" customHeight="false" outlineLevel="0" collapsed="false"/>
    <row r="599" customFormat="false" ht="13.8" hidden="false" customHeight="false" outlineLevel="0" collapsed="false"/>
    <row r="600" customFormat="false" ht="13.8" hidden="false" customHeight="false" outlineLevel="0" collapsed="false"/>
    <row r="601" customFormat="false" ht="13.8" hidden="false" customHeight="false" outlineLevel="0" collapsed="false"/>
    <row r="602" customFormat="false" ht="13.8" hidden="false" customHeight="false" outlineLevel="0" collapsed="false"/>
    <row r="603" customFormat="false" ht="13.8" hidden="false" customHeight="false" outlineLevel="0" collapsed="false"/>
    <row r="604" customFormat="false" ht="13.8" hidden="false" customHeight="false" outlineLevel="0" collapsed="false"/>
    <row r="605" customFormat="false" ht="13.8" hidden="false" customHeight="false" outlineLevel="0" collapsed="false"/>
    <row r="606" customFormat="false" ht="13.8" hidden="false" customHeight="false" outlineLevel="0" collapsed="false"/>
    <row r="607" customFormat="false" ht="13.8" hidden="false" customHeight="false" outlineLevel="0" collapsed="false"/>
    <row r="608" customFormat="false" ht="13.8" hidden="false" customHeight="false" outlineLevel="0" collapsed="false"/>
    <row r="609" customFormat="false" ht="13.8" hidden="false" customHeight="false" outlineLevel="0" collapsed="false"/>
    <row r="610" customFormat="false" ht="13.8" hidden="false" customHeight="false" outlineLevel="0" collapsed="false"/>
    <row r="611" customFormat="false" ht="13.8" hidden="false" customHeight="false" outlineLevel="0" collapsed="false"/>
    <row r="612" customFormat="false" ht="13.8" hidden="false" customHeight="false" outlineLevel="0" collapsed="false"/>
    <row r="613" customFormat="false" ht="13.8" hidden="false" customHeight="false" outlineLevel="0" collapsed="false"/>
    <row r="614" customFormat="false" ht="13.8" hidden="false" customHeight="false" outlineLevel="0" collapsed="false"/>
    <row r="615" customFormat="false" ht="13.8" hidden="false" customHeight="false" outlineLevel="0" collapsed="false"/>
    <row r="616" customFormat="false" ht="13.8" hidden="false" customHeight="false" outlineLevel="0" collapsed="false"/>
    <row r="617" customFormat="false" ht="13.8" hidden="false" customHeight="false" outlineLevel="0" collapsed="false"/>
    <row r="618" customFormat="false" ht="13.8" hidden="false" customHeight="false" outlineLevel="0" collapsed="false"/>
    <row r="619" customFormat="false" ht="13.8" hidden="false" customHeight="false" outlineLevel="0" collapsed="false"/>
    <row r="620" customFormat="false" ht="13.8" hidden="false" customHeight="false" outlineLevel="0" collapsed="false"/>
    <row r="621" customFormat="false" ht="13.8" hidden="false" customHeight="false" outlineLevel="0" collapsed="false"/>
    <row r="622" customFormat="false" ht="13.8" hidden="false" customHeight="false" outlineLevel="0" collapsed="false"/>
    <row r="623" customFormat="false" ht="13.8" hidden="false" customHeight="false" outlineLevel="0" collapsed="false"/>
    <row r="624" customFormat="false" ht="13.8" hidden="false" customHeight="false" outlineLevel="0" collapsed="false"/>
    <row r="625" customFormat="false" ht="13.8" hidden="false" customHeight="false" outlineLevel="0" collapsed="false"/>
    <row r="626" customFormat="false" ht="13.8" hidden="false" customHeight="false" outlineLevel="0" collapsed="false"/>
    <row r="627" customFormat="false" ht="13.8" hidden="false" customHeight="false" outlineLevel="0" collapsed="false"/>
    <row r="628" customFormat="false" ht="13.8" hidden="false" customHeight="false" outlineLevel="0" collapsed="false"/>
    <row r="629" customFormat="false" ht="13.8" hidden="false" customHeight="false" outlineLevel="0" collapsed="false"/>
    <row r="630" customFormat="false" ht="13.8" hidden="false" customHeight="false" outlineLevel="0" collapsed="false"/>
    <row r="631" customFormat="false" ht="13.8" hidden="false" customHeight="false" outlineLevel="0" collapsed="false"/>
    <row r="632" customFormat="false" ht="13.8" hidden="false" customHeight="false" outlineLevel="0" collapsed="false"/>
    <row r="633" customFormat="false" ht="13.8" hidden="false" customHeight="false" outlineLevel="0" collapsed="false"/>
    <row r="634" customFormat="false" ht="13.8" hidden="false" customHeight="false" outlineLevel="0" collapsed="false"/>
    <row r="635" customFormat="false" ht="13.8" hidden="false" customHeight="false" outlineLevel="0" collapsed="false"/>
    <row r="636" customFormat="false" ht="13.8" hidden="false" customHeight="false" outlineLevel="0" collapsed="false"/>
    <row r="637" customFormat="false" ht="13.8" hidden="false" customHeight="false" outlineLevel="0" collapsed="false"/>
    <row r="638" customFormat="false" ht="13.8" hidden="false" customHeight="false" outlineLevel="0" collapsed="false"/>
    <row r="639" customFormat="false" ht="13.8" hidden="false" customHeight="false" outlineLevel="0" collapsed="false"/>
    <row r="640" customFormat="false" ht="13.8" hidden="false" customHeight="false" outlineLevel="0" collapsed="false"/>
    <row r="641" customFormat="false" ht="13.8" hidden="false" customHeight="false" outlineLevel="0" collapsed="false"/>
    <row r="642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826</TotalTime>
  <Application>LibreOffice/6.0.7.3$Linux_X86_64 LibreOffice_project/00m0$Build-3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2019-02-24T20:00:43Z</dcterms:modified>
  <cp:revision>84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