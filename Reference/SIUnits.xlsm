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"/>
  </bookViews>
  <sheets>
    <sheet name="Properties" sheetId="1" state="visible" r:id="rId3"/>
    <sheet name="Functions" sheetId="2" state="visible" r:id="rId4"/>
    <sheet name="Variables" sheetId="3" state="visible" r:id="rId5"/>
    <sheet name="my_ph" sheetId="4" state="visible" r:id="rId6"/>
  </sheets>
  <definedNames>
    <definedName function="true" hidden="false" name="PSAT_T" vbProcedure="true"/>
    <definedName function="true" hidden="false" name="TSAT_P" vbProcedure="true"/>
    <definedName function="true" hidden="false" name="HL_T" vbProcedure="true"/>
    <definedName function="true" hidden="false" name="HL_P" vbProcedure="true"/>
    <definedName function="true" hidden="false" name="RHOL_T" vbProcedure="true"/>
    <definedName function="true" hidden="false" name="RHOL_P" vbProcedure="true"/>
    <definedName function="true" hidden="false" name="SL_T" vbProcedure="true"/>
    <definedName function="true" hidden="false" name="SL_P" vbProcedure="true"/>
    <definedName function="true" hidden="false" name="HV_T" vbProcedure="true"/>
    <definedName function="true" hidden="false" name="HV_P" vbProcedure="true"/>
    <definedName function="true" hidden="false" name="RHOV_T" vbProcedure="true"/>
    <definedName function="true" hidden="false" name="RHOV_P" vbProcedure="true"/>
    <definedName function="true" hidden="false" name="SV_T" vbProcedure="true"/>
    <definedName function="true" hidden="false" name="SV_P" vbProcedure="true"/>
    <definedName function="true" hidden="false" name="H_PT" vbProcedure="true"/>
    <definedName function="true" hidden="false" name="T_PH" vbProcedure="true"/>
    <definedName function="true" hidden="false" name="RHO_PT" vbProcedure="true"/>
    <definedName function="true" hidden="false" name="RHO_PH" vbProcedure="true"/>
    <definedName function="true" hidden="false" name="S_PT" vbProcedure="true"/>
    <definedName function="true" hidden="false" name="S_PH" vbProcedure="true"/>
    <definedName function="true" hidden="false" name="X_PH" vbProcedure="true"/>
    <definedName function="true" hidden="false" name="REGION_PT" vbProcedure="true"/>
    <definedName function="true" hidden="false" name="REGION_PH" vbProcedure="true"/>
    <definedName function="true" hidden="false" name="CP_PT" vbProcedure="true"/>
    <definedName function="true" hidden="false" name="CP_PH" vbProcedure="true"/>
    <definedName function="true" hidden="false" name="W_PT" vbProcedure="true"/>
    <definedName function="true" hidden="false" name="W_PH" vbProcedure="true"/>
    <definedName function="true" hidden="false" name="MY_ALLREGIONS_PH" vbProcedure="true"/>
    <definedName function="true" hidden="false" name="T_PS" vbProcedure="true"/>
    <definedName function="true" hidden="false" name="T_HS" vbProcedure="true"/>
    <definedName function="true" hidden="false" name="P_HS" vbProcedure="true"/>
    <definedName function="true" hidden="false" name="P_HRHO" vbProcedure="true"/>
    <definedName function="true" hidden="false" name="H_PS" vbProcedure="true"/>
    <definedName function="true" hidden="false" name="H_PX" vbProcedure="true"/>
    <definedName function="true" hidden="false" name="H_TX" vbProcedure="true"/>
    <definedName function="true" hidden="false" name="H_PRHO" vbProcedure="true"/>
    <definedName function="true" hidden="false" name="VV_P" vbProcedure="true"/>
    <definedName function="true" hidden="false" name="VL_P" vbProcedure="true"/>
    <definedName function="true" hidden="false" name="VV_T" vbProcedure="true"/>
    <definedName function="true" hidden="false" name="VL_T" vbProcedure="true"/>
    <definedName function="true" hidden="false" name="V_PT" vbProcedure="true"/>
    <definedName function="true" hidden="false" name="V_PH" vbProcedure="true"/>
    <definedName function="true" hidden="false" name="V_PS" vbProcedure="true"/>
    <definedName function="true" hidden="false" name="RHO_PS" vbProcedure="true"/>
    <definedName function="true" hidden="false" name="UV_P" vbProcedure="true"/>
    <definedName function="true" hidden="false" name="UL_P" vbProcedure="true"/>
    <definedName function="true" hidden="false" name="UV_T" vbProcedure="true"/>
    <definedName function="true" hidden="false" name="UL_T" vbProcedure="true"/>
    <definedName function="true" hidden="false" name="U_PT" vbProcedure="true"/>
    <definedName function="true" hidden="false" name="U_PH" vbProcedure="true"/>
    <definedName function="true" hidden="false" name="U_PS" vbProcedure="true"/>
    <definedName function="true" hidden="false" name="CPV_P" vbProcedure="true"/>
    <definedName function="true" hidden="false" name="CPL_P" vbProcedure="true"/>
    <definedName function="true" hidden="false" name="CPV_T" vbProcedure="true"/>
    <definedName function="true" hidden="false" name="CPL_T" vbProcedure="true"/>
    <definedName function="true" hidden="false" name="CP_PS" vbProcedure="true"/>
    <definedName function="true" hidden="false" name="CVV_P" vbProcedure="true"/>
    <definedName function="true" hidden="false" name="CVL_P" vbProcedure="true"/>
    <definedName function="true" hidden="false" name="CVV_T" vbProcedure="true"/>
    <definedName function="true" hidden="false" name="CVL_T" vbProcedure="true"/>
    <definedName function="true" hidden="false" name="CV_PT" vbProcedure="true"/>
    <definedName function="true" hidden="false" name="CV_PH" vbProcedure="true"/>
    <definedName function="true" hidden="false" name="CV_PS" vbProcedure="true"/>
    <definedName function="true" hidden="false" name="WV_P" vbProcedure="true"/>
    <definedName function="true" hidden="false" name="WL_P" vbProcedure="true"/>
    <definedName function="true" hidden="false" name="WV_T" vbProcedure="true"/>
    <definedName function="true" hidden="false" name="WL_T" vbProcedure="true"/>
    <definedName function="true" hidden="false" name="W_PS" vbProcedure="true"/>
    <definedName function="true" hidden="false" name="MY_PT" vbProcedure="true"/>
    <definedName function="true" hidden="false" name="MY_PH" vbProcedure="true"/>
    <definedName function="true" hidden="false" name="MY_PS" vbProcedure="true"/>
    <definedName function="true" hidden="false" name="PR_PT" vbProcedure="true"/>
    <definedName function="true" hidden="false" name="PR_PH" vbProcedure="true"/>
    <definedName function="true" hidden="false" name="TCL_P" vbProcedure="true"/>
    <definedName function="true" hidden="false" name="TCV_P" vbProcedure="true"/>
    <definedName function="true" hidden="false" name="TCL_T" vbProcedure="true"/>
    <definedName function="true" hidden="false" name="TCV_T" vbProcedure="true"/>
    <definedName function="true" hidden="false" name="TC_PT" vbProcedure="true"/>
    <definedName function="true" hidden="false" name="TC_PH" vbProcedure="true"/>
    <definedName function="true" hidden="false" name="TC_HS" vbProcedure="true"/>
    <definedName function="true" hidden="false" name="ST_T" vbProcedure="true"/>
    <definedName function="true" hidden="false" name="ST_P" vbProcedure="true"/>
    <definedName function="true" hidden="false" name="X_PS" vbProcedure="true"/>
    <definedName function="true" hidden="false" name="VX_PH" vbProcedure="true"/>
    <definedName function="true" hidden="false" name="VX_PS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<sst xmlns="http://schemas.openxmlformats.org/spreadsheetml/2006/main" count="525" uniqueCount="252">
  <si>
    <t xml:space="preserve">X Steam Tables</t>
  </si>
  <si>
    <t xml:space="preserve">Excel macros, IF-97 Steam tables. </t>
  </si>
  <si>
    <t xml:space="preserve">The excel scripts are stored inside this workbook. A complete list of functions for use is available on the "Calling functions" worksheet</t>
  </si>
  <si>
    <t xml:space="preserve">By: Magnus Holmgren</t>
  </si>
  <si>
    <t xml:space="preserve">The steam tables are free and provided as is. We take no responsibilities for any errors in the code or damage thereby.</t>
  </si>
  <si>
    <t xml:space="preserve">www.x-eng.com</t>
  </si>
  <si>
    <t xml:space="preserve">OBS: This workbook uses macros. Set security options in Tools:Macro:Security… to enable macros.</t>
  </si>
  <si>
    <t xml:space="preserve">Saturation properties given temperature</t>
  </si>
  <si>
    <t xml:space="preserve">Saturation properties given pressure</t>
  </si>
  <si>
    <t xml:space="preserve">Temperature</t>
  </si>
  <si>
    <t xml:space="preserve">°C</t>
  </si>
  <si>
    <t xml:space="preserve">Pressure</t>
  </si>
  <si>
    <t xml:space="preserve">kPa</t>
  </si>
  <si>
    <t xml:space="preserve">Saturation pressure</t>
  </si>
  <si>
    <t xml:space="preserve">Saturation temperature</t>
  </si>
  <si>
    <t xml:space="preserve">Liquid</t>
  </si>
  <si>
    <t xml:space="preserve">Enthalpy</t>
  </si>
  <si>
    <t xml:space="preserve">kJ/kg</t>
  </si>
  <si>
    <t xml:space="preserve">Density</t>
  </si>
  <si>
    <t xml:space="preserve">kg/m3</t>
  </si>
  <si>
    <t xml:space="preserve">Entropy</t>
  </si>
  <si>
    <t xml:space="preserve">kJ/kgK</t>
  </si>
  <si>
    <t xml:space="preserve">Vapour</t>
  </si>
  <si>
    <t xml:space="preserve">Vapour enthalpy</t>
  </si>
  <si>
    <t xml:space="preserve">Vapour density</t>
  </si>
  <si>
    <t xml:space="preserve">Vapour Entropy</t>
  </si>
  <si>
    <t xml:space="preserve">vapour Entropy</t>
  </si>
  <si>
    <t xml:space="preserve">Evaporation energy</t>
  </si>
  <si>
    <t xml:space="preserve">Properties given pressure and temperature</t>
  </si>
  <si>
    <t xml:space="preserve">Properties given pressure and enthalpy</t>
  </si>
  <si>
    <t xml:space="preserve">Vapour fraction</t>
  </si>
  <si>
    <t xml:space="preserve">%</t>
  </si>
  <si>
    <t xml:space="preserve">IF97 Region</t>
  </si>
  <si>
    <t xml:space="preserve">Phase</t>
  </si>
  <si>
    <t xml:space="preserve">Isobaric heat capacity </t>
  </si>
  <si>
    <t xml:space="preserve">Speed of sound</t>
  </si>
  <si>
    <t xml:space="preserve">m/s</t>
  </si>
  <si>
    <t xml:space="preserve">v2.5</t>
  </si>
  <si>
    <t xml:space="preserve">http://www.x-eng.com</t>
  </si>
  <si>
    <t xml:space="preserve">Steam tables by Magnus Holmgren according to IAPWS IF-97 </t>
  </si>
  <si>
    <t xml:space="preserve">The excel scripts are stored inside this workbook. (No extra files are needed. Start from a copy of this workbook. This page can be removed)</t>
  </si>
  <si>
    <t xml:space="preserve">For error-reporting, feedback, other units etc. contact:</t>
  </si>
  <si>
    <t xml:space="preserve">magnus@x-eng.com</t>
  </si>
  <si>
    <t xml:space="preserve">2.63890, 500.0</t>
  </si>
  <si>
    <t xml:space="preserve"> Tsat_p</t>
  </si>
  <si>
    <t xml:space="preserve"> T_ph</t>
  </si>
  <si>
    <t xml:space="preserve">Temperture as a function of pressure and enthalpy</t>
  </si>
  <si>
    <t xml:space="preserve"> T_ps</t>
  </si>
  <si>
    <t xml:space="preserve">kJ/(kg K)</t>
  </si>
  <si>
    <t xml:space="preserve">Temperture as a function of pressure and entropy</t>
  </si>
  <si>
    <t xml:space="preserve"> T_hs</t>
  </si>
  <si>
    <t xml:space="preserve">Temperture as a function of enthalpy and entropy</t>
  </si>
  <si>
    <t xml:space="preserve"> psat_T</t>
  </si>
  <si>
    <t xml:space="preserve">bar</t>
  </si>
  <si>
    <t xml:space="preserve"> p_hs</t>
  </si>
  <si>
    <t xml:space="preserve">Pressure as a function of h and s. </t>
  </si>
  <si>
    <t xml:space="preserve"> p_hrho</t>
  </si>
  <si>
    <t xml:space="preserve">Pressure as a function of h and rho (density). Very unaccurate for solid water region since it's almost incompressible!</t>
  </si>
  <si>
    <t xml:space="preserve"> hV_p</t>
  </si>
  <si>
    <t xml:space="preserve">Saturated vapour enthalpy</t>
  </si>
  <si>
    <t xml:space="preserve"> hL_p</t>
  </si>
  <si>
    <t xml:space="preserve">Saturated liquid enthalpy</t>
  </si>
  <si>
    <t xml:space="preserve"> hV_T</t>
  </si>
  <si>
    <t xml:space="preserve"> hL_T</t>
  </si>
  <si>
    <t xml:space="preserve"> h_pT</t>
  </si>
  <si>
    <t xml:space="preserve">Entalpy as a function of pressure and temperature.</t>
  </si>
  <si>
    <t xml:space="preserve"> h_ps</t>
  </si>
  <si>
    <t xml:space="preserve">Entalpy as a function of pressure and entropy.</t>
  </si>
  <si>
    <t xml:space="preserve"> h_px</t>
  </si>
  <si>
    <t xml:space="preserve">Entalpy as a function of pressure and vapour fraction</t>
  </si>
  <si>
    <t xml:space="preserve"> h_Tx</t>
  </si>
  <si>
    <t xml:space="preserve">Entalpy as a function of temperature and vapour fraction</t>
  </si>
  <si>
    <t xml:space="preserve"> h_prho</t>
  </si>
  <si>
    <t xml:space="preserve">Entalpy as a function of pressure and density. Observe for low temperatures (liquid) this equation has 2 solutions. (Not valid!!)</t>
  </si>
  <si>
    <t xml:space="preserve">Specific volume</t>
  </si>
  <si>
    <t xml:space="preserve"> vV_p</t>
  </si>
  <si>
    <t xml:space="preserve">m3/kg</t>
  </si>
  <si>
    <t xml:space="preserve">Saturated vapour volume</t>
  </si>
  <si>
    <t xml:space="preserve"> vL_p</t>
  </si>
  <si>
    <t xml:space="preserve">Saturated liquid volume</t>
  </si>
  <si>
    <t xml:space="preserve"> vV_T</t>
  </si>
  <si>
    <t xml:space="preserve"> vL_T</t>
  </si>
  <si>
    <t xml:space="preserve"> v_pT</t>
  </si>
  <si>
    <t xml:space="preserve">Specific volume as a function of pressure and temperature.</t>
  </si>
  <si>
    <t xml:space="preserve"> v_ph</t>
  </si>
  <si>
    <t xml:space="preserve">Specific volume as a function of pressure and enthalpy</t>
  </si>
  <si>
    <t xml:space="preserve"> v_ps</t>
  </si>
  <si>
    <t xml:space="preserve">Specific volume as a function of pressure and entropy.</t>
  </si>
  <si>
    <t xml:space="preserve"> rhoV_p</t>
  </si>
  <si>
    <t xml:space="preserve">Saturated vapour density</t>
  </si>
  <si>
    <t xml:space="preserve"> rhoL_p</t>
  </si>
  <si>
    <t xml:space="preserve">Saturated liquid density</t>
  </si>
  <si>
    <t xml:space="preserve"> rhoV_T</t>
  </si>
  <si>
    <t xml:space="preserve"> rhoL_T</t>
  </si>
  <si>
    <t xml:space="preserve"> rho_pT</t>
  </si>
  <si>
    <t xml:space="preserve">Density as a function of pressure and temperature.</t>
  </si>
  <si>
    <t xml:space="preserve"> rho_ph</t>
  </si>
  <si>
    <t xml:space="preserve">Density as a function of pressure and enthalpy</t>
  </si>
  <si>
    <t xml:space="preserve"> rho_ps</t>
  </si>
  <si>
    <t xml:space="preserve">Density as a function of pressure and entropy.</t>
  </si>
  <si>
    <t xml:space="preserve">Specific entropy </t>
  </si>
  <si>
    <t xml:space="preserve"> sV_p</t>
  </si>
  <si>
    <t xml:space="preserve">Saturated vapour entropy</t>
  </si>
  <si>
    <t xml:space="preserve"> sL_p</t>
  </si>
  <si>
    <t xml:space="preserve">Saturated liquid entropy</t>
  </si>
  <si>
    <t xml:space="preserve"> sV_T</t>
  </si>
  <si>
    <t xml:space="preserve"> sL_T</t>
  </si>
  <si>
    <t xml:space="preserve"> s_pT</t>
  </si>
  <si>
    <t xml:space="preserve">Specific entropy as a function of pressure and temperature (Returns saturated vapour entalpy if mixture.)</t>
  </si>
  <si>
    <t xml:space="preserve"> s_ph</t>
  </si>
  <si>
    <t xml:space="preserve">Specific entropy as a function of pressure and enthalpy</t>
  </si>
  <si>
    <t xml:space="preserve">Specific internal energy </t>
  </si>
  <si>
    <t xml:space="preserve"> uV_p</t>
  </si>
  <si>
    <t xml:space="preserve">Saturated vapour internal energy</t>
  </si>
  <si>
    <t xml:space="preserve"> uL_p</t>
  </si>
  <si>
    <t xml:space="preserve">Saturated liquid internal energy</t>
  </si>
  <si>
    <t xml:space="preserve"> uV_T</t>
  </si>
  <si>
    <t xml:space="preserve"> uL_T</t>
  </si>
  <si>
    <t xml:space="preserve"> u_pT</t>
  </si>
  <si>
    <t xml:space="preserve">Specific internal energy as a function of pressure and temperature.</t>
  </si>
  <si>
    <t xml:space="preserve"> u_ph</t>
  </si>
  <si>
    <t xml:space="preserve">Specific internal energy as a function of pressure and enthalpy</t>
  </si>
  <si>
    <t xml:space="preserve"> u_ps</t>
  </si>
  <si>
    <t xml:space="preserve">Specific internal energy as a function of pressure and entropy.</t>
  </si>
  <si>
    <t xml:space="preserve">Specific isobaric heat capacity </t>
  </si>
  <si>
    <t xml:space="preserve"> CpV_p</t>
  </si>
  <si>
    <t xml:space="preserve">kJ/(kg°C)</t>
  </si>
  <si>
    <t xml:space="preserve">Saturated vapour heat capacity </t>
  </si>
  <si>
    <t xml:space="preserve"> CpL_p</t>
  </si>
  <si>
    <t xml:space="preserve">Saturated liquid heat capacity </t>
  </si>
  <si>
    <t xml:space="preserve"> CpV_T</t>
  </si>
  <si>
    <t xml:space="preserve"> CpL_T</t>
  </si>
  <si>
    <t xml:space="preserve"> Cp_pT</t>
  </si>
  <si>
    <t xml:space="preserve">Specific isobaric heat capacity as a function of pressure and temperature.</t>
  </si>
  <si>
    <t xml:space="preserve"> Cp_ph</t>
  </si>
  <si>
    <t xml:space="preserve">Specific isobaric heat capacity as a function of pressure and enthalpy</t>
  </si>
  <si>
    <t xml:space="preserve"> Cp_ps</t>
  </si>
  <si>
    <t xml:space="preserve">Specific isobaric heat capacity as a function of pressure and entropy.</t>
  </si>
  <si>
    <t xml:space="preserve">Specific isochoric heat capacity </t>
  </si>
  <si>
    <t xml:space="preserve"> CvV_p</t>
  </si>
  <si>
    <t xml:space="preserve">Saturated vapour isochoric heat capacity</t>
  </si>
  <si>
    <t xml:space="preserve"> CvL_p</t>
  </si>
  <si>
    <t xml:space="preserve">Saturated liquid isochoric heat capacity</t>
  </si>
  <si>
    <t xml:space="preserve"> CvV_T</t>
  </si>
  <si>
    <t xml:space="preserve"> CvL_T</t>
  </si>
  <si>
    <t xml:space="preserve"> Cv_pT</t>
  </si>
  <si>
    <t xml:space="preserve">Specific isochoric heat capacity as a function of pressure and temperature.</t>
  </si>
  <si>
    <t xml:space="preserve"> Cv_ph</t>
  </si>
  <si>
    <t xml:space="preserve">Specific isochoric heat capacity as a function of pressure and enthalpy</t>
  </si>
  <si>
    <t xml:space="preserve"> Cv_ps</t>
  </si>
  <si>
    <t xml:space="preserve">Specific isochoric heat capacity as a function of pressure and entropy.</t>
  </si>
  <si>
    <t xml:space="preserve">Speed of sound </t>
  </si>
  <si>
    <t xml:space="preserve"> wV_p</t>
  </si>
  <si>
    <t xml:space="preserve">Saturated vapour speed of sound</t>
  </si>
  <si>
    <t xml:space="preserve"> wL_p</t>
  </si>
  <si>
    <t xml:space="preserve">Saturated liquid speed of sound</t>
  </si>
  <si>
    <t xml:space="preserve"> wV_T</t>
  </si>
  <si>
    <t xml:space="preserve"> wL_T</t>
  </si>
  <si>
    <t xml:space="preserve"> w_pT</t>
  </si>
  <si>
    <t xml:space="preserve">Speed of sound as a function of pressure and temperature.</t>
  </si>
  <si>
    <t xml:space="preserve"> w_ph</t>
  </si>
  <si>
    <t xml:space="preserve">Speed of sound as a function of pressure and enthalpy</t>
  </si>
  <si>
    <t xml:space="preserve"> w_ps</t>
  </si>
  <si>
    <t xml:space="preserve">Speed of sound as a function of pressure and entropy.</t>
  </si>
  <si>
    <t xml:space="preserve">Dynamic Viscosity</t>
  </si>
  <si>
    <t xml:space="preserve">Viscosity is not part of IAPWS Steam IF97. Equations from "Revised Release on the IAPWS Formulation 1985 for the Viscosity of Ordinary Water Substance", 2003 are used.</t>
  </si>
  <si>
    <t xml:space="preserve">Viscosity in the mixed region (4) is interpolated according to the density. This is not true since it will be two fases.</t>
  </si>
  <si>
    <t xml:space="preserve"> my_pT</t>
  </si>
  <si>
    <t xml:space="preserve">Pa s</t>
  </si>
  <si>
    <t xml:space="preserve">Viscosity as a function of pressure and temperature.</t>
  </si>
  <si>
    <t xml:space="preserve"> my_ph</t>
  </si>
  <si>
    <t xml:space="preserve">Viscosity as a function of pressure and enthalpy</t>
  </si>
  <si>
    <t xml:space="preserve"> my_ps</t>
  </si>
  <si>
    <t xml:space="preserve">Viscosity as a function of pressure and entropy.</t>
  </si>
  <si>
    <t xml:space="preserve">Prandtl</t>
  </si>
  <si>
    <t xml:space="preserve">Calcualted as Cp*my/tc</t>
  </si>
  <si>
    <t xml:space="preserve"> pr_pT</t>
  </si>
  <si>
    <t xml:space="preserve">-</t>
  </si>
  <si>
    <t xml:space="preserve"> pr_ph</t>
  </si>
  <si>
    <t xml:space="preserve">Thermal Conductivity</t>
  </si>
  <si>
    <t xml:space="preserve">Revised release on the IAPS Formulation 1985 for the Thermal Conductivity of ordinary water substance (IAPWS 1998)</t>
  </si>
  <si>
    <t xml:space="preserve"> tcL_p</t>
  </si>
  <si>
    <t xml:space="preserve">W/(m K)</t>
  </si>
  <si>
    <t xml:space="preserve">Saturated vapour thermal conductivity</t>
  </si>
  <si>
    <t xml:space="preserve"> tcV_p</t>
  </si>
  <si>
    <t xml:space="preserve">Saturated liquid thermal conductivity</t>
  </si>
  <si>
    <t xml:space="preserve"> tcL_T</t>
  </si>
  <si>
    <t xml:space="preserve"> tcV_T</t>
  </si>
  <si>
    <t xml:space="preserve"> tc_pT</t>
  </si>
  <si>
    <t xml:space="preserve">Thermal conductivity as a function of pressure and temperature.</t>
  </si>
  <si>
    <t xml:space="preserve"> tc_ph</t>
  </si>
  <si>
    <t xml:space="preserve">Thermal conductivity as a function of pressure and enthalpy</t>
  </si>
  <si>
    <t xml:space="preserve"> tc_hs</t>
  </si>
  <si>
    <t xml:space="preserve">Thermal conductivity as a function of enthalpy and entropy</t>
  </si>
  <si>
    <t xml:space="preserve">Surface Tension</t>
  </si>
  <si>
    <t xml:space="preserve">IAPWS Release on Surface Tension of Ordinary Water Substance, September 1994</t>
  </si>
  <si>
    <t xml:space="preserve"> st_T</t>
  </si>
  <si>
    <t xml:space="preserve">N/m</t>
  </si>
  <si>
    <t xml:space="preserve">Surface tension for two phase water/steam as a function of T</t>
  </si>
  <si>
    <t xml:space="preserve"> st_p</t>
  </si>
  <si>
    <t xml:space="preserve"> x_ph</t>
  </si>
  <si>
    <t xml:space="preserve">Vapour fraction as a function of pressure and enthalpy</t>
  </si>
  <si>
    <t xml:space="preserve"> x_ps</t>
  </si>
  <si>
    <t xml:space="preserve">Vapour fraction as a function of pressure and entropy.</t>
  </si>
  <si>
    <t xml:space="preserve">Vapour Volume Fraction</t>
  </si>
  <si>
    <t xml:space="preserve">Observe that vapour volume fraction is very sensitive. Vapour volume is about 1000 times greater than liquid volume and therfore vapour volume fraction</t>
  </si>
  <si>
    <t xml:space="preserve">gets close to the accurancy of steam IF-97</t>
  </si>
  <si>
    <t xml:space="preserve"> vx_ph</t>
  </si>
  <si>
    <t xml:space="preserve">Vapour volume fraction as a function of pressure and enthalpy</t>
  </si>
  <si>
    <t xml:space="preserve"> vx_ps</t>
  </si>
  <si>
    <t xml:space="preserve">Vapour volume fraction as a function of pressure and entropy.</t>
  </si>
  <si>
    <t xml:space="preserve">Version history</t>
  </si>
  <si>
    <t xml:space="preserve">News in V2.5</t>
  </si>
  <si>
    <t xml:space="preserve">* DLL distrubution for use in other applications</t>
  </si>
  <si>
    <t xml:space="preserve">* Freebasic translation</t>
  </si>
  <si>
    <t xml:space="preserve">* Fixed small error in Cv Region 5 p&gt;1000bar</t>
  </si>
  <si>
    <t xml:space="preserve">News in V2.4a</t>
  </si>
  <si>
    <t xml:space="preserve">* ToSIUnit for h_ps region 4. (No effect in SI unit version).</t>
  </si>
  <si>
    <t xml:space="preserve">News in V2.4</t>
  </si>
  <si>
    <t xml:space="preserve">* Functions by p,rho inplemented in matlab also.</t>
  </si>
  <si>
    <t xml:space="preserve">* Many missing ; in matlab causing printouts detected.</t>
  </si>
  <si>
    <t xml:space="preserve">* OpenOffice version introduced. (Fixed calculation differences in open office and excel)</t>
  </si>
  <si>
    <t xml:space="preserve">* Matlab error giving varaible undefined in some backwards solutions fixed.</t>
  </si>
  <si>
    <t xml:space="preserve">News in V2.3</t>
  </si>
  <si>
    <t xml:space="preserve">* Option Explicit, gives more efficient calculations.</t>
  </si>
  <si>
    <t xml:space="preserve">* Extensive testing</t>
  </si>
  <si>
    <t xml:space="preserve">* my_ph not defined in region 4.</t>
  </si>
  <si>
    <t xml:space="preserve">* Problems at region border for h4V_p to adress solver problems at the exact border.</t>
  </si>
  <si>
    <t xml:space="preserve">* Problem at fast border check in region_ph fixed.</t>
  </si>
  <si>
    <t xml:space="preserve">News in V2.2</t>
  </si>
  <si>
    <t xml:space="preserve">* Fixed error in Cp_ph</t>
  </si>
  <si>
    <t xml:space="preserve">* Function p_hrho added. (Very good for calcualting pressure when heating a volume with water/steam mixture.)</t>
  </si>
  <si>
    <t xml:space="preserve">* Fixed error in T_hs return no value for vet region bellow the water saturation line.</t>
  </si>
  <si>
    <t xml:space="preserve">* Prandtl number added</t>
  </si>
  <si>
    <t xml:space="preserve">News in V2.1</t>
  </si>
  <si>
    <t xml:space="preserve">* Calling function h_prho</t>
  </si>
  <si>
    <t xml:space="preserve">* Fixed problem with Cv reporting NaN in region 5.</t>
  </si>
  <si>
    <t xml:space="preserve">* Equivivalent to the Matlab version. (Downloadable from www.x-eng.com)</t>
  </si>
  <si>
    <t xml:space="preserve">News in V2</t>
  </si>
  <si>
    <t xml:space="preserve">* Calling functions of h and s added.</t>
  </si>
  <si>
    <t xml:space="preserve">* Thermal conductivity, Surface tension added</t>
  </si>
  <si>
    <t xml:space="preserve">* Calling functions h_px and h_tx added.</t>
  </si>
  <si>
    <t xml:space="preserve">* Cp, Cv and w undefined in the mixed region. (Before interpolation with the vapor fraction was used.)</t>
  </si>
  <si>
    <t xml:space="preserve">* A work sheet "Properties" for simple lookups added.</t>
  </si>
  <si>
    <t xml:space="preserve">p</t>
  </si>
  <si>
    <t xml:space="preserve">s</t>
  </si>
  <si>
    <t xml:space="preserve">T</t>
  </si>
  <si>
    <t xml:space="preserve">T2</t>
  </si>
  <si>
    <t xml:space="preserve">h</t>
  </si>
  <si>
    <t xml:space="preserve">rho</t>
  </si>
  <si>
    <t xml:space="preserve">x</t>
  </si>
  <si>
    <t xml:space="preserve">my(p,t)</t>
  </si>
</sst>
</file>

<file path=xl/styles.xml><?xml version="1.0" encoding="utf-8"?>
<styleSheet xmlns="http://schemas.openxmlformats.org/spreadsheetml/2006/main">
  <numFmts count="6">
    <numFmt numFmtId="164" formatCode="General"/>
    <numFmt numFmtId="165" formatCode="0.00"/>
    <numFmt numFmtId="166" formatCode="0.000"/>
    <numFmt numFmtId="167" formatCode="0.0"/>
    <numFmt numFmtId="168" formatCode="0.0000E+00"/>
    <numFmt numFmtId="169" formatCode="0.0000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b val="true"/>
      <sz val="14"/>
      <name val="Arial"/>
      <family val="2"/>
      <charset val="1"/>
    </font>
    <font>
      <sz val="8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8"/>
      <color rgb="FF0000FF"/>
      <name val="Arial"/>
      <family val="2"/>
      <charset val="1"/>
    </font>
    <font>
      <u val="single"/>
      <sz val="10"/>
      <color rgb="FF0000FF"/>
      <name val="Arial"/>
      <family val="2"/>
      <charset val="1"/>
    </font>
    <font>
      <sz val="14"/>
      <name val="Arial"/>
      <family val="2"/>
      <charset val="1"/>
    </font>
    <font>
      <b val="true"/>
      <u val="single"/>
      <sz val="8"/>
      <color rgb="FF0000FF"/>
      <name val="Arial"/>
      <family val="2"/>
      <charset val="1"/>
    </font>
    <font>
      <b val="true"/>
      <sz val="8"/>
      <name val="Arial"/>
      <family val="2"/>
      <charset val="1"/>
    </font>
    <font>
      <sz val="10"/>
      <name val="Arial"/>
      <family val="2"/>
    </font>
    <font>
      <b val="true"/>
      <i val="true"/>
      <sz val="12"/>
      <name val="Arial"/>
      <family val="2"/>
      <charset val="1"/>
    </font>
    <font>
      <i val="true"/>
      <sz val="10"/>
      <name val="Arial"/>
      <family val="2"/>
      <charset val="1"/>
    </font>
    <font>
      <b val="true"/>
      <i val="true"/>
      <sz val="10"/>
      <name val="Arial"/>
      <family val="2"/>
      <charset val="1"/>
    </font>
    <font>
      <sz val="10"/>
      <color rgb="FF000000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CCFFFF"/>
        <bgColor rgb="FFD8FFFF"/>
      </patternFill>
    </fill>
    <fill>
      <patternFill patternType="solid">
        <fgColor rgb="FFD8FFFF"/>
        <bgColor rgb="FFCCFFFF"/>
      </patternFill>
    </fill>
  </fills>
  <borders count="9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/>
      <bottom style="thin"/>
      <diagonal/>
    </border>
  </borders>
  <cellStyleXfs count="22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9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4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1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3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7" fillId="3" borderId="2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6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8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4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7" fillId="3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5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2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4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0" borderId="0" xfId="2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7" fillId="0" borderId="0" xfId="21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8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Excel Built-in Explanatory Text" xfId="21" builtinId="53" customBuiltin="tru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8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www.x-eng.com/" TargetMode="External"/><Relationship Id="rId2" Type="http://schemas.openxmlformats.org/officeDocument/2006/relationships/hyperlink" Target="mailto:magnus@x-eng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40" activeCellId="0" sqref="H40"/>
    </sheetView>
  </sheetViews>
  <sheetFormatPr defaultRowHeight="12.75" zeroHeight="false" outlineLevelRow="0" outlineLevelCol="0"/>
  <cols>
    <col collapsed="false" customWidth="true" hidden="false" outlineLevel="0" max="1" min="1" style="1" width="2.57"/>
    <col collapsed="false" customWidth="true" hidden="false" outlineLevel="0" max="2" min="2" style="1" width="20.98"/>
    <col collapsed="false" customWidth="true" hidden="false" outlineLevel="0" max="4" min="3" style="1" width="9.13"/>
    <col collapsed="false" customWidth="true" hidden="false" outlineLevel="0" max="5" min="5" style="1" width="4.7"/>
    <col collapsed="false" customWidth="true" hidden="false" outlineLevel="0" max="6" min="6" style="1" width="20.71"/>
    <col collapsed="false" customWidth="true" hidden="false" outlineLevel="0" max="256" min="7" style="1" width="9.13"/>
    <col collapsed="false" customWidth="true" hidden="false" outlineLevel="0" max="257" min="257" style="1" width="2.57"/>
    <col collapsed="false" customWidth="true" hidden="false" outlineLevel="0" max="258" min="258" style="1" width="20.98"/>
    <col collapsed="false" customWidth="true" hidden="false" outlineLevel="0" max="260" min="259" style="1" width="9.13"/>
    <col collapsed="false" customWidth="true" hidden="false" outlineLevel="0" max="261" min="261" style="1" width="4.7"/>
    <col collapsed="false" customWidth="true" hidden="false" outlineLevel="0" max="262" min="262" style="1" width="20.71"/>
    <col collapsed="false" customWidth="true" hidden="false" outlineLevel="0" max="512" min="263" style="1" width="9.13"/>
    <col collapsed="false" customWidth="true" hidden="false" outlineLevel="0" max="513" min="513" style="1" width="2.57"/>
    <col collapsed="false" customWidth="true" hidden="false" outlineLevel="0" max="514" min="514" style="1" width="20.98"/>
    <col collapsed="false" customWidth="true" hidden="false" outlineLevel="0" max="516" min="515" style="1" width="9.13"/>
    <col collapsed="false" customWidth="true" hidden="false" outlineLevel="0" max="517" min="517" style="1" width="4.7"/>
    <col collapsed="false" customWidth="true" hidden="false" outlineLevel="0" max="518" min="518" style="1" width="20.71"/>
    <col collapsed="false" customWidth="true" hidden="false" outlineLevel="0" max="768" min="519" style="1" width="9.13"/>
    <col collapsed="false" customWidth="true" hidden="false" outlineLevel="0" max="769" min="769" style="1" width="2.57"/>
    <col collapsed="false" customWidth="true" hidden="false" outlineLevel="0" max="770" min="770" style="1" width="20.98"/>
    <col collapsed="false" customWidth="true" hidden="false" outlineLevel="0" max="772" min="771" style="1" width="9.13"/>
    <col collapsed="false" customWidth="true" hidden="false" outlineLevel="0" max="773" min="773" style="1" width="4.7"/>
    <col collapsed="false" customWidth="true" hidden="false" outlineLevel="0" max="774" min="774" style="1" width="20.71"/>
    <col collapsed="false" customWidth="true" hidden="false" outlineLevel="0" max="1025" min="775" style="1" width="9.13"/>
  </cols>
  <sheetData>
    <row r="1" customFormat="false" ht="18" hidden="false" customHeight="false" outlineLevel="0" collapsed="false">
      <c r="B1" s="2" t="s">
        <v>0</v>
      </c>
    </row>
    <row r="2" s="3" customFormat="true" ht="12.75" hidden="false" customHeight="false" outlineLevel="0" collapsed="false">
      <c r="B2" s="4" t="s">
        <v>1</v>
      </c>
      <c r="D2" s="4" t="s">
        <v>2</v>
      </c>
    </row>
    <row r="3" s="3" customFormat="true" ht="12.75" hidden="false" customHeight="false" outlineLevel="0" collapsed="false">
      <c r="B3" s="4" t="s">
        <v>3</v>
      </c>
      <c r="D3" s="4" t="s">
        <v>4</v>
      </c>
      <c r="H3" s="5"/>
      <c r="I3" s="5"/>
    </row>
    <row r="4" customFormat="false" ht="12.75" hidden="false" customHeight="false" outlineLevel="0" collapsed="false">
      <c r="B4" s="6" t="s">
        <v>5</v>
      </c>
      <c r="D4" s="4" t="s">
        <v>6</v>
      </c>
      <c r="H4" s="5"/>
      <c r="I4" s="5"/>
      <c r="J4" s="3"/>
    </row>
    <row r="5" customFormat="false" ht="12.75" hidden="false" customHeight="false" outlineLevel="0" collapsed="false">
      <c r="B5" s="7"/>
      <c r="H5" s="5"/>
      <c r="I5" s="5"/>
      <c r="J5" s="3"/>
    </row>
    <row r="6" customFormat="false" ht="12.75" hidden="false" customHeight="false" outlineLevel="0" collapsed="false">
      <c r="B6" s="8" t="s">
        <v>7</v>
      </c>
      <c r="C6" s="9"/>
      <c r="D6" s="9"/>
      <c r="E6" s="9"/>
      <c r="F6" s="8" t="s">
        <v>8</v>
      </c>
      <c r="G6" s="9"/>
      <c r="H6" s="9"/>
    </row>
    <row r="7" customFormat="false" ht="12.75" hidden="false" customHeight="false" outlineLevel="0" collapsed="false">
      <c r="A7" s="9"/>
      <c r="B7" s="10" t="s">
        <v>9</v>
      </c>
      <c r="C7" s="11" t="n">
        <v>100</v>
      </c>
      <c r="D7" s="12" t="s">
        <v>10</v>
      </c>
      <c r="E7" s="9"/>
      <c r="F7" s="10" t="s">
        <v>11</v>
      </c>
      <c r="G7" s="13" t="n">
        <v>12.57</v>
      </c>
      <c r="H7" s="12" t="s">
        <v>12</v>
      </c>
      <c r="I7" s="9"/>
    </row>
    <row r="8" customFormat="false" ht="12.75" hidden="false" customHeight="false" outlineLevel="0" collapsed="false">
      <c r="A8" s="9"/>
      <c r="B8" s="14" t="s">
        <v>13</v>
      </c>
      <c r="C8" s="15" t="n">
        <f aca="false">PSAT_T(C7)</f>
        <v>101.41797792131</v>
      </c>
      <c r="D8" s="16" t="s">
        <v>12</v>
      </c>
      <c r="E8" s="9"/>
      <c r="F8" s="14" t="s">
        <v>14</v>
      </c>
      <c r="G8" s="17" t="n">
        <f aca="false">TSAT_P(G7)</f>
        <v>50.3541843032366</v>
      </c>
      <c r="H8" s="16" t="s">
        <v>10</v>
      </c>
      <c r="I8" s="9"/>
    </row>
    <row r="9" customFormat="false" ht="12.75" hidden="false" customHeight="false" outlineLevel="0" collapsed="false">
      <c r="A9" s="9"/>
      <c r="B9" s="18" t="s">
        <v>15</v>
      </c>
      <c r="C9" s="9"/>
      <c r="D9" s="16"/>
      <c r="F9" s="18" t="s">
        <v>15</v>
      </c>
      <c r="G9" s="9"/>
      <c r="H9" s="16"/>
      <c r="I9" s="9"/>
    </row>
    <row r="10" customFormat="false" ht="12.75" hidden="false" customHeight="false" outlineLevel="0" collapsed="false">
      <c r="A10" s="9"/>
      <c r="B10" s="14" t="s">
        <v>16</v>
      </c>
      <c r="C10" s="19" t="n">
        <f aca="false">HL_T(C7)</f>
        <v>419.099154997703</v>
      </c>
      <c r="D10" s="16" t="s">
        <v>17</v>
      </c>
      <c r="E10" s="9"/>
      <c r="F10" s="14" t="s">
        <v>16</v>
      </c>
      <c r="G10" s="19" t="n">
        <f aca="false">HL_P(G7)</f>
        <v>210.816807734016</v>
      </c>
      <c r="H10" s="16" t="s">
        <v>17</v>
      </c>
      <c r="I10" s="9"/>
    </row>
    <row r="11" customFormat="false" ht="12.75" hidden="false" customHeight="false" outlineLevel="0" collapsed="false">
      <c r="A11" s="9"/>
      <c r="B11" s="14" t="s">
        <v>18</v>
      </c>
      <c r="C11" s="17" t="n">
        <f aca="false">RHOL_T(C7)</f>
        <v>958.35427728589</v>
      </c>
      <c r="D11" s="16" t="s">
        <v>19</v>
      </c>
      <c r="E11" s="9"/>
      <c r="F11" s="14" t="s">
        <v>18</v>
      </c>
      <c r="G11" s="17" t="n">
        <f aca="false">RHOL_P(G7)</f>
        <v>987.848390443843</v>
      </c>
      <c r="H11" s="16" t="s">
        <v>19</v>
      </c>
      <c r="I11" s="9"/>
    </row>
    <row r="12" customFormat="false" ht="12.75" hidden="false" customHeight="false" outlineLevel="0" collapsed="false">
      <c r="A12" s="9"/>
      <c r="B12" s="14" t="s">
        <v>20</v>
      </c>
      <c r="C12" s="17" t="n">
        <f aca="false">SL_T(C7)</f>
        <v>1.30701432784134</v>
      </c>
      <c r="D12" s="16" t="s">
        <v>21</v>
      </c>
      <c r="E12" s="9"/>
      <c r="F12" s="14" t="s">
        <v>20</v>
      </c>
      <c r="G12" s="17" t="n">
        <f aca="false">SL_P(G7)</f>
        <v>0.708372506696844</v>
      </c>
      <c r="H12" s="16" t="s">
        <v>21</v>
      </c>
      <c r="I12" s="9"/>
    </row>
    <row r="13" customFormat="false" ht="12.75" hidden="false" customHeight="false" outlineLevel="0" collapsed="false">
      <c r="A13" s="9"/>
      <c r="B13" s="18" t="s">
        <v>22</v>
      </c>
      <c r="C13" s="9"/>
      <c r="D13" s="16"/>
      <c r="F13" s="18" t="s">
        <v>22</v>
      </c>
      <c r="G13" s="9"/>
      <c r="H13" s="16"/>
      <c r="I13" s="9"/>
    </row>
    <row r="14" customFormat="false" ht="12.75" hidden="false" customHeight="false" outlineLevel="0" collapsed="false">
      <c r="A14" s="9"/>
      <c r="B14" s="14" t="s">
        <v>23</v>
      </c>
      <c r="C14" s="19" t="n">
        <f aca="false">HV_T(C7)</f>
        <v>2675.57202922083</v>
      </c>
      <c r="D14" s="16" t="s">
        <v>17</v>
      </c>
      <c r="E14" s="9"/>
      <c r="F14" s="14" t="s">
        <v>23</v>
      </c>
      <c r="G14" s="19" t="n">
        <f aca="false">HV_P(G7)</f>
        <v>2591.93557418644</v>
      </c>
      <c r="H14" s="16" t="s">
        <v>17</v>
      </c>
      <c r="I14" s="9"/>
    </row>
    <row r="15" customFormat="false" ht="12.75" hidden="false" customHeight="false" outlineLevel="0" collapsed="false">
      <c r="A15" s="9"/>
      <c r="B15" s="14" t="s">
        <v>24</v>
      </c>
      <c r="C15" s="17" t="n">
        <f aca="false">RHOV_T(C7)</f>
        <v>0.598135992525703</v>
      </c>
      <c r="D15" s="16" t="s">
        <v>19</v>
      </c>
      <c r="E15" s="9"/>
      <c r="F15" s="14" t="s">
        <v>24</v>
      </c>
      <c r="G15" s="17" t="n">
        <f aca="false">RHOV_P(G7)</f>
        <v>0.0845237743927298</v>
      </c>
      <c r="H15" s="16" t="s">
        <v>19</v>
      </c>
      <c r="I15" s="9"/>
    </row>
    <row r="16" customFormat="false" ht="12.75" hidden="false" customHeight="false" outlineLevel="0" collapsed="false">
      <c r="A16" s="9"/>
      <c r="B16" s="14" t="s">
        <v>25</v>
      </c>
      <c r="C16" s="17" t="n">
        <f aca="false">SV_T(C7)</f>
        <v>7.35407705095841</v>
      </c>
      <c r="D16" s="16" t="s">
        <v>21</v>
      </c>
      <c r="E16" s="9"/>
      <c r="F16" s="14" t="s">
        <v>26</v>
      </c>
      <c r="G16" s="17" t="n">
        <f aca="false">SV_P(G7)</f>
        <v>8.06877333231276</v>
      </c>
      <c r="H16" s="16" t="s">
        <v>21</v>
      </c>
      <c r="I16" s="9"/>
    </row>
    <row r="17" customFormat="false" ht="12.75" hidden="false" customHeight="false" outlineLevel="0" collapsed="false">
      <c r="A17" s="9"/>
      <c r="B17" s="20" t="s">
        <v>27</v>
      </c>
      <c r="C17" s="21" t="n">
        <f aca="false">C14-C10</f>
        <v>2256.47287422313</v>
      </c>
      <c r="D17" s="22" t="s">
        <v>17</v>
      </c>
      <c r="E17" s="9"/>
      <c r="F17" s="20" t="s">
        <v>27</v>
      </c>
      <c r="G17" s="21" t="n">
        <f aca="false">G14-G10</f>
        <v>2381.11876645242</v>
      </c>
      <c r="H17" s="22" t="s">
        <v>17</v>
      </c>
      <c r="I17" s="9"/>
    </row>
    <row r="18" customFormat="false" ht="12.75" hidden="false" customHeight="false" outlineLevel="0" collapsed="false">
      <c r="A18" s="9"/>
      <c r="I18" s="9"/>
    </row>
    <row r="19" customFormat="false" ht="12.75" hidden="false" customHeight="false" outlineLevel="0" collapsed="false">
      <c r="A19" s="9"/>
      <c r="B19" s="8" t="s">
        <v>28</v>
      </c>
      <c r="C19" s="9"/>
      <c r="D19" s="9"/>
      <c r="E19" s="9"/>
      <c r="F19" s="8" t="s">
        <v>29</v>
      </c>
      <c r="G19" s="9"/>
      <c r="H19" s="9"/>
      <c r="I19" s="9"/>
    </row>
    <row r="20" customFormat="false" ht="12.75" hidden="false" customHeight="false" outlineLevel="0" collapsed="false">
      <c r="A20" s="9"/>
      <c r="B20" s="10" t="s">
        <v>11</v>
      </c>
      <c r="C20" s="11" t="n">
        <v>1</v>
      </c>
      <c r="D20" s="12" t="s">
        <v>12</v>
      </c>
      <c r="E20" s="9"/>
      <c r="F20" s="10" t="s">
        <v>11</v>
      </c>
      <c r="G20" s="11" t="n">
        <v>12.57</v>
      </c>
      <c r="H20" s="12" t="s">
        <v>12</v>
      </c>
      <c r="I20" s="9"/>
    </row>
    <row r="21" customFormat="false" ht="12.75" hidden="false" customHeight="false" outlineLevel="0" collapsed="false">
      <c r="A21" s="9"/>
      <c r="B21" s="23" t="s">
        <v>9</v>
      </c>
      <c r="C21" s="24" t="n">
        <v>20</v>
      </c>
      <c r="D21" s="25" t="s">
        <v>10</v>
      </c>
      <c r="E21" s="9"/>
      <c r="F21" s="23" t="s">
        <v>16</v>
      </c>
      <c r="G21" s="24" t="n">
        <v>2788</v>
      </c>
      <c r="H21" s="25" t="s">
        <v>17</v>
      </c>
      <c r="I21" s="9"/>
    </row>
    <row r="22" customFormat="false" ht="12.75" hidden="false" customHeight="false" outlineLevel="0" collapsed="false">
      <c r="A22" s="9"/>
      <c r="B22" s="14" t="s">
        <v>16</v>
      </c>
      <c r="C22" s="19" t="n">
        <f aca="false">H_PT(C20,C21)</f>
        <v>2538.18548379391</v>
      </c>
      <c r="D22" s="16" t="s">
        <v>17</v>
      </c>
      <c r="E22" s="9"/>
      <c r="F22" s="14" t="s">
        <v>9</v>
      </c>
      <c r="G22" s="19" t="n">
        <f aca="false">T_PH(G20,G21)</f>
        <v>152.685665598747</v>
      </c>
      <c r="H22" s="16" t="s">
        <v>10</v>
      </c>
      <c r="I22" s="9"/>
    </row>
    <row r="23" customFormat="false" ht="12.75" hidden="false" customHeight="false" outlineLevel="0" collapsed="false">
      <c r="A23" s="9"/>
      <c r="B23" s="14" t="s">
        <v>18</v>
      </c>
      <c r="C23" s="17" t="n">
        <f aca="false">RHO_PT(C20,C21)</f>
        <v>0.00739523693872489</v>
      </c>
      <c r="D23" s="16" t="s">
        <v>19</v>
      </c>
      <c r="E23" s="9"/>
      <c r="F23" s="14" t="s">
        <v>18</v>
      </c>
      <c r="G23" s="17" t="n">
        <f aca="false">RHO_PH(G20,G21)</f>
        <v>0.0640220986240443</v>
      </c>
      <c r="H23" s="16" t="s">
        <v>19</v>
      </c>
      <c r="I23" s="9"/>
    </row>
    <row r="24" customFormat="false" ht="12.75" hidden="false" customHeight="false" outlineLevel="0" collapsed="false">
      <c r="A24" s="9"/>
      <c r="B24" s="14" t="s">
        <v>20</v>
      </c>
      <c r="C24" s="17" t="n">
        <f aca="false">S_PT(C20,C21)</f>
        <v>9.0604341729713</v>
      </c>
      <c r="D24" s="16" t="s">
        <v>21</v>
      </c>
      <c r="E24" s="9"/>
      <c r="F24" s="14" t="s">
        <v>20</v>
      </c>
      <c r="G24" s="17" t="n">
        <f aca="false">S_PH(G20,G21)</f>
        <v>8.59542341318828</v>
      </c>
      <c r="H24" s="16" t="s">
        <v>21</v>
      </c>
      <c r="I24" s="9"/>
    </row>
    <row r="25" customFormat="false" ht="12.75" hidden="false" customHeight="false" outlineLevel="0" collapsed="false">
      <c r="A25" s="9"/>
      <c r="B25" s="14" t="s">
        <v>30</v>
      </c>
      <c r="C25" s="1" t="n">
        <f aca="false">X_PH(C20,C22)*100</f>
        <v>100</v>
      </c>
      <c r="D25" s="16" t="s">
        <v>31</v>
      </c>
      <c r="F25" s="14" t="s">
        <v>30</v>
      </c>
      <c r="G25" s="1" t="n">
        <f aca="false">X_PH(G20,G21)*100</f>
        <v>100</v>
      </c>
      <c r="H25" s="16" t="s">
        <v>31</v>
      </c>
      <c r="I25" s="9"/>
    </row>
    <row r="26" customFormat="false" ht="12.75" hidden="false" customHeight="false" outlineLevel="0" collapsed="false">
      <c r="A26" s="9"/>
      <c r="B26" s="14" t="s">
        <v>32</v>
      </c>
      <c r="C26" s="9" t="n">
        <f aca="false">REGION_PT(C20/10,C21+273.15)</f>
        <v>1</v>
      </c>
      <c r="D26" s="16"/>
      <c r="E26" s="9"/>
      <c r="F26" s="14" t="s">
        <v>32</v>
      </c>
      <c r="G26" s="9" t="n">
        <f aca="false">REGION_PH(G20/10,G21)</f>
        <v>2</v>
      </c>
      <c r="H26" s="16"/>
      <c r="I26" s="9"/>
    </row>
    <row r="27" customFormat="false" ht="12.75" hidden="false" customHeight="false" outlineLevel="0" collapsed="false">
      <c r="A27" s="9"/>
      <c r="B27" s="14" t="s">
        <v>33</v>
      </c>
      <c r="C27" s="26" t="str">
        <f aca="false">IF(C26=2,"Steam",IF(C26=1,"Liquid",IF(C26=4,"Mixture","")))</f>
        <v>Liquid</v>
      </c>
      <c r="D27" s="16"/>
      <c r="E27" s="9"/>
      <c r="F27" s="14" t="s">
        <v>33</v>
      </c>
      <c r="G27" s="26" t="str">
        <f aca="false">IF(G26=2,"Steam",IF(G26=1,"Liquid",IF(G26=4,"Mixture","")))</f>
        <v>Steam</v>
      </c>
      <c r="H27" s="16"/>
      <c r="I27" s="9"/>
    </row>
    <row r="28" customFormat="false" ht="12.75" hidden="false" customHeight="false" outlineLevel="0" collapsed="false">
      <c r="B28" s="14" t="s">
        <v>34</v>
      </c>
      <c r="C28" s="9" t="n">
        <f aca="false">CP_PT(C20,C21)</f>
        <v>1.87432544104745</v>
      </c>
      <c r="D28" s="16" t="s">
        <v>17</v>
      </c>
      <c r="F28" s="14" t="s">
        <v>34</v>
      </c>
      <c r="G28" s="9" t="n">
        <f aca="false">CP_PH(G20,G21)</f>
        <v>1.92294619184134</v>
      </c>
      <c r="H28" s="16" t="s">
        <v>17</v>
      </c>
    </row>
    <row r="29" customFormat="false" ht="12.75" hidden="false" customHeight="false" outlineLevel="0" collapsed="false">
      <c r="B29" s="20" t="s">
        <v>35</v>
      </c>
      <c r="C29" s="27" t="n">
        <f aca="false">W_PT(C20,C21)</f>
        <v>423.847638254217</v>
      </c>
      <c r="D29" s="22" t="s">
        <v>36</v>
      </c>
      <c r="F29" s="20" t="s">
        <v>35</v>
      </c>
      <c r="G29" s="27" t="n">
        <f aca="false">W_PH(G20,G21)</f>
        <v>508.560687210867</v>
      </c>
      <c r="H29" s="22" t="s">
        <v>36</v>
      </c>
    </row>
  </sheetData>
  <hyperlinks>
    <hyperlink ref="B4" r:id="rId1" display="www.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14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5" activeCellId="0" sqref="L5"/>
    </sheetView>
  </sheetViews>
  <sheetFormatPr defaultRowHeight="12.75" zeroHeight="false" outlineLevelRow="1" outlineLevelCol="0"/>
  <cols>
    <col collapsed="false" customWidth="true" hidden="false" outlineLevel="0" max="1" min="1" style="1" width="24.15"/>
    <col collapsed="false" customWidth="true" hidden="false" outlineLevel="0" max="2" min="2" style="1" width="4.7"/>
    <col collapsed="false" customWidth="true" hidden="false" outlineLevel="0" max="3" min="3" style="1" width="7.7"/>
    <col collapsed="false" customWidth="true" hidden="false" outlineLevel="0" max="4" min="4" style="1" width="4.7"/>
    <col collapsed="false" customWidth="true" hidden="false" outlineLevel="0" max="5" min="5" style="1" width="8.29"/>
    <col collapsed="false" customWidth="true" hidden="false" outlineLevel="0" max="6" min="6" style="5" width="10.42"/>
    <col collapsed="false" customWidth="true" hidden="false" outlineLevel="0" max="7" min="7" style="5" width="9.13"/>
    <col collapsed="false" customWidth="true" hidden="false" outlineLevel="0" max="8" min="8" style="3" width="7.57"/>
    <col collapsed="false" customWidth="true" hidden="false" outlineLevel="0" max="256" min="9" style="1" width="9.13"/>
    <col collapsed="false" customWidth="true" hidden="false" outlineLevel="0" max="257" min="257" style="1" width="24.15"/>
    <col collapsed="false" customWidth="true" hidden="false" outlineLevel="0" max="258" min="258" style="1" width="4.7"/>
    <col collapsed="false" customWidth="true" hidden="false" outlineLevel="0" max="259" min="259" style="1" width="7.7"/>
    <col collapsed="false" customWidth="true" hidden="false" outlineLevel="0" max="260" min="260" style="1" width="4.7"/>
    <col collapsed="false" customWidth="true" hidden="false" outlineLevel="0" max="261" min="261" style="1" width="8.29"/>
    <col collapsed="false" customWidth="true" hidden="false" outlineLevel="0" max="262" min="262" style="1" width="10.42"/>
    <col collapsed="false" customWidth="true" hidden="false" outlineLevel="0" max="263" min="263" style="1" width="9.13"/>
    <col collapsed="false" customWidth="true" hidden="false" outlineLevel="0" max="264" min="264" style="1" width="7.57"/>
    <col collapsed="false" customWidth="true" hidden="false" outlineLevel="0" max="512" min="265" style="1" width="9.13"/>
    <col collapsed="false" customWidth="true" hidden="false" outlineLevel="0" max="513" min="513" style="1" width="24.15"/>
    <col collapsed="false" customWidth="true" hidden="false" outlineLevel="0" max="514" min="514" style="1" width="4.7"/>
    <col collapsed="false" customWidth="true" hidden="false" outlineLevel="0" max="515" min="515" style="1" width="7.7"/>
    <col collapsed="false" customWidth="true" hidden="false" outlineLevel="0" max="516" min="516" style="1" width="4.7"/>
    <col collapsed="false" customWidth="true" hidden="false" outlineLevel="0" max="517" min="517" style="1" width="8.29"/>
    <col collapsed="false" customWidth="true" hidden="false" outlineLevel="0" max="518" min="518" style="1" width="10.42"/>
    <col collapsed="false" customWidth="true" hidden="false" outlineLevel="0" max="519" min="519" style="1" width="9.13"/>
    <col collapsed="false" customWidth="true" hidden="false" outlineLevel="0" max="520" min="520" style="1" width="7.57"/>
    <col collapsed="false" customWidth="true" hidden="false" outlineLevel="0" max="768" min="521" style="1" width="9.13"/>
    <col collapsed="false" customWidth="true" hidden="false" outlineLevel="0" max="769" min="769" style="1" width="24.15"/>
    <col collapsed="false" customWidth="true" hidden="false" outlineLevel="0" max="770" min="770" style="1" width="4.7"/>
    <col collapsed="false" customWidth="true" hidden="false" outlineLevel="0" max="771" min="771" style="1" width="7.7"/>
    <col collapsed="false" customWidth="true" hidden="false" outlineLevel="0" max="772" min="772" style="1" width="4.7"/>
    <col collapsed="false" customWidth="true" hidden="false" outlineLevel="0" max="773" min="773" style="1" width="8.29"/>
    <col collapsed="false" customWidth="true" hidden="false" outlineLevel="0" max="774" min="774" style="1" width="10.42"/>
    <col collapsed="false" customWidth="true" hidden="false" outlineLevel="0" max="775" min="775" style="1" width="9.13"/>
    <col collapsed="false" customWidth="true" hidden="false" outlineLevel="0" max="776" min="776" style="1" width="7.57"/>
    <col collapsed="false" customWidth="true" hidden="false" outlineLevel="0" max="1025" min="777" style="1" width="9.13"/>
  </cols>
  <sheetData>
    <row r="1" s="28" customFormat="true" ht="18" hidden="false" customHeight="false" outlineLevel="0" collapsed="false">
      <c r="A1" s="2" t="s">
        <v>0</v>
      </c>
      <c r="D1" s="3" t="s">
        <v>37</v>
      </c>
      <c r="E1" s="29" t="s">
        <v>38</v>
      </c>
      <c r="F1" s="2"/>
      <c r="G1" s="2"/>
    </row>
    <row r="2" s="30" customFormat="true" ht="11.25" hidden="false" customHeight="false" outlineLevel="0" collapsed="false">
      <c r="A2" s="30" t="s">
        <v>39</v>
      </c>
    </row>
    <row r="3" s="4" customFormat="true" ht="12.8" hidden="false" customHeight="false" outlineLevel="0" collapsed="false">
      <c r="A3" s="4" t="s">
        <v>40</v>
      </c>
      <c r="L3" s="31" t="n">
        <v>1</v>
      </c>
      <c r="M3" s="4" t="n">
        <f aca="false">REGION_PH(L3,L4)</f>
        <v>4</v>
      </c>
      <c r="N3" s="4" t="n">
        <v>60000</v>
      </c>
      <c r="O3" s="4" t="n">
        <f aca="false">H_PT(N3,N5)</f>
        <v>166.614936306524</v>
      </c>
    </row>
    <row r="4" s="4" customFormat="true" ht="12.8" hidden="false" customHeight="false" outlineLevel="0" collapsed="false">
      <c r="A4" s="4" t="s">
        <v>41</v>
      </c>
      <c r="F4" s="6" t="s">
        <v>42</v>
      </c>
      <c r="L4" s="4" t="n">
        <v>1000</v>
      </c>
      <c r="M4" s="4" t="n">
        <f aca="false">MY_ALLREGIONS_PH(L3,L4)</f>
        <v>1.32809175893687E-005</v>
      </c>
      <c r="N4" s="4" t="n">
        <v>300</v>
      </c>
    </row>
    <row r="5" s="4" customFormat="true" ht="12.8" hidden="false" customHeight="false" outlineLevel="0" collapsed="false">
      <c r="A5" s="4" t="s">
        <v>4</v>
      </c>
      <c r="N5" s="4" t="n">
        <f aca="false">N4-273.15</f>
        <v>26.85</v>
      </c>
    </row>
    <row r="6" customFormat="false" ht="12.8" hidden="false" customHeight="false" outlineLevel="0" collapsed="false">
      <c r="A6" s="30" t="s">
        <v>6</v>
      </c>
      <c r="B6" s="3"/>
      <c r="C6" s="3"/>
      <c r="D6" s="3"/>
      <c r="E6" s="3"/>
      <c r="F6" s="3"/>
      <c r="G6" s="3"/>
      <c r="L6" s="3" t="s">
        <v>43</v>
      </c>
    </row>
    <row r="7" customFormat="false" ht="12.75" hidden="false" customHeight="false" outlineLevel="0" collapsed="false">
      <c r="A7" s="30"/>
      <c r="B7" s="3"/>
      <c r="C7" s="3"/>
      <c r="D7" s="3"/>
      <c r="E7" s="3"/>
      <c r="F7" s="3"/>
      <c r="G7" s="3"/>
    </row>
    <row r="8" s="33" customFormat="true" ht="15" hidden="false" customHeight="false" outlineLevel="0" collapsed="false">
      <c r="A8" s="32" t="s">
        <v>9</v>
      </c>
      <c r="F8" s="34"/>
      <c r="G8" s="34"/>
    </row>
    <row r="9" s="4" customFormat="true" ht="12.75" hidden="false" customHeight="false" outlineLevel="1" collapsed="false">
      <c r="A9" s="5" t="s">
        <v>44</v>
      </c>
      <c r="B9" s="3" t="n">
        <v>100</v>
      </c>
      <c r="C9" s="3" t="s">
        <v>12</v>
      </c>
      <c r="D9" s="3"/>
      <c r="E9" s="3"/>
      <c r="F9" s="5" t="n">
        <f aca="false">TSAT_P(B9)</f>
        <v>99.6059186113376</v>
      </c>
      <c r="G9" s="5" t="s">
        <v>10</v>
      </c>
      <c r="H9" s="3" t="s">
        <v>14</v>
      </c>
    </row>
    <row r="10" s="4" customFormat="true" ht="12.75" hidden="false" customHeight="false" outlineLevel="1" collapsed="false">
      <c r="A10" s="5" t="s">
        <v>45</v>
      </c>
      <c r="B10" s="3" t="n">
        <v>100</v>
      </c>
      <c r="C10" s="3" t="s">
        <v>12</v>
      </c>
      <c r="D10" s="3" t="n">
        <v>100</v>
      </c>
      <c r="E10" s="3" t="s">
        <v>17</v>
      </c>
      <c r="F10" s="5" t="n">
        <f aca="false">T_PH(B10,D10)</f>
        <v>23.8448190753248</v>
      </c>
      <c r="G10" s="5" t="s">
        <v>10</v>
      </c>
      <c r="H10" s="3" t="s">
        <v>46</v>
      </c>
    </row>
    <row r="11" s="4" customFormat="true" ht="12.75" hidden="false" customHeight="false" outlineLevel="1" collapsed="false">
      <c r="A11" s="5" t="s">
        <v>47</v>
      </c>
      <c r="B11" s="3" t="n">
        <v>100</v>
      </c>
      <c r="C11" s="3" t="s">
        <v>12</v>
      </c>
      <c r="D11" s="3" t="n">
        <v>1</v>
      </c>
      <c r="E11" s="3" t="s">
        <v>48</v>
      </c>
      <c r="F11" s="5" t="n">
        <f aca="false">T_PS(B11,D11)</f>
        <v>73.7085942144087</v>
      </c>
      <c r="G11" s="5" t="s">
        <v>10</v>
      </c>
      <c r="H11" s="3" t="s">
        <v>49</v>
      </c>
    </row>
    <row r="12" s="4" customFormat="true" ht="12.75" hidden="false" customHeight="false" outlineLevel="1" collapsed="false">
      <c r="A12" s="5" t="s">
        <v>50</v>
      </c>
      <c r="B12" s="3" t="n">
        <v>100</v>
      </c>
      <c r="C12" s="3" t="s">
        <v>17</v>
      </c>
      <c r="D12" s="3" t="n">
        <v>0.2</v>
      </c>
      <c r="E12" s="3" t="s">
        <v>48</v>
      </c>
      <c r="F12" s="5" t="n">
        <f aca="false">T_HS(B12,D12)</f>
        <v>13.8493351118726</v>
      </c>
      <c r="G12" s="5" t="s">
        <v>10</v>
      </c>
      <c r="H12" s="3" t="s">
        <v>51</v>
      </c>
    </row>
    <row r="13" s="33" customFormat="true" ht="15" hidden="false" customHeight="false" outlineLevel="0" collapsed="false">
      <c r="A13" s="32" t="s">
        <v>11</v>
      </c>
      <c r="F13" s="34"/>
      <c r="G13" s="34"/>
    </row>
    <row r="14" s="4" customFormat="true" ht="12.75" hidden="false" customHeight="false" outlineLevel="1" collapsed="false">
      <c r="A14" s="5" t="s">
        <v>52</v>
      </c>
      <c r="B14" s="3" t="n">
        <v>100</v>
      </c>
      <c r="C14" s="3" t="s">
        <v>10</v>
      </c>
      <c r="D14" s="3"/>
      <c r="E14" s="3"/>
      <c r="F14" s="5" t="n">
        <f aca="false">PSAT_T(B14)</f>
        <v>101.41797792131</v>
      </c>
      <c r="G14" s="5" t="s">
        <v>53</v>
      </c>
      <c r="H14" s="3" t="s">
        <v>13</v>
      </c>
    </row>
    <row r="15" s="4" customFormat="true" ht="12.75" hidden="false" customHeight="false" outlineLevel="1" collapsed="false">
      <c r="A15" s="5" t="s">
        <v>54</v>
      </c>
      <c r="B15" s="3" t="n">
        <v>84</v>
      </c>
      <c r="C15" s="3" t="s">
        <v>17</v>
      </c>
      <c r="D15" s="3" t="n">
        <v>0.296</v>
      </c>
      <c r="E15" s="3" t="s">
        <v>48</v>
      </c>
      <c r="F15" s="5" t="n">
        <f aca="false">P_HS(B15,D15)</f>
        <v>229.549826928091</v>
      </c>
      <c r="G15" s="5" t="s">
        <v>53</v>
      </c>
      <c r="H15" s="3" t="s">
        <v>55</v>
      </c>
    </row>
    <row r="16" s="4" customFormat="true" ht="12.75" hidden="false" customHeight="false" outlineLevel="1" collapsed="false">
      <c r="A16" s="5" t="s">
        <v>56</v>
      </c>
      <c r="B16" s="3" t="n">
        <v>2000</v>
      </c>
      <c r="C16" s="3" t="s">
        <v>17</v>
      </c>
      <c r="D16" s="3" t="n">
        <v>5</v>
      </c>
      <c r="E16" s="3" t="s">
        <v>19</v>
      </c>
      <c r="F16" s="5" t="n">
        <f aca="false">P_HRHO(B16,D16)</f>
        <v>604.646887793206</v>
      </c>
      <c r="G16" s="5" t="s">
        <v>53</v>
      </c>
      <c r="H16" s="3" t="s">
        <v>57</v>
      </c>
    </row>
    <row r="17" s="33" customFormat="true" ht="15" hidden="false" customHeight="false" outlineLevel="0" collapsed="false">
      <c r="A17" s="32" t="s">
        <v>16</v>
      </c>
      <c r="F17" s="34"/>
      <c r="G17" s="34"/>
    </row>
    <row r="18" s="4" customFormat="true" ht="12.75" hidden="false" customHeight="false" outlineLevel="1" collapsed="false">
      <c r="A18" s="5" t="s">
        <v>58</v>
      </c>
      <c r="B18" s="3" t="n">
        <v>100</v>
      </c>
      <c r="C18" s="3" t="s">
        <v>12</v>
      </c>
      <c r="D18" s="3"/>
      <c r="E18" s="3"/>
      <c r="F18" s="5" t="n">
        <f aca="false">HV_P(B18)</f>
        <v>2674.94964083215</v>
      </c>
      <c r="G18" s="5" t="s">
        <v>17</v>
      </c>
      <c r="H18" s="3" t="s">
        <v>59</v>
      </c>
    </row>
    <row r="19" s="4" customFormat="true" ht="12.75" hidden="false" customHeight="false" outlineLevel="1" collapsed="false">
      <c r="A19" s="5" t="s">
        <v>60</v>
      </c>
      <c r="B19" s="3" t="n">
        <v>100</v>
      </c>
      <c r="C19" s="3" t="s">
        <v>12</v>
      </c>
      <c r="D19" s="3"/>
      <c r="E19" s="3"/>
      <c r="F19" s="5" t="n">
        <f aca="false">HL_P(B19)</f>
        <v>417.436485816232</v>
      </c>
      <c r="G19" s="5" t="s">
        <v>17</v>
      </c>
      <c r="H19" s="3" t="s">
        <v>61</v>
      </c>
    </row>
    <row r="20" s="4" customFormat="true" ht="12.75" hidden="false" customHeight="false" outlineLevel="1" collapsed="false">
      <c r="A20" s="5" t="s">
        <v>62</v>
      </c>
      <c r="B20" s="3" t="n">
        <v>100</v>
      </c>
      <c r="C20" s="3" t="s">
        <v>10</v>
      </c>
      <c r="D20" s="3"/>
      <c r="E20" s="3"/>
      <c r="F20" s="5" t="n">
        <f aca="false">HV_T(B20)</f>
        <v>2675.57202922083</v>
      </c>
      <c r="G20" s="5" t="s">
        <v>17</v>
      </c>
      <c r="H20" s="3" t="s">
        <v>59</v>
      </c>
    </row>
    <row r="21" s="4" customFormat="true" ht="12.75" hidden="false" customHeight="false" outlineLevel="1" collapsed="false">
      <c r="A21" s="5" t="s">
        <v>63</v>
      </c>
      <c r="B21" s="3" t="n">
        <v>100</v>
      </c>
      <c r="C21" s="3" t="s">
        <v>10</v>
      </c>
      <c r="D21" s="3"/>
      <c r="E21" s="3"/>
      <c r="F21" s="5" t="n">
        <f aca="false">HL_T(B21)</f>
        <v>419.099154997703</v>
      </c>
      <c r="G21" s="5" t="s">
        <v>17</v>
      </c>
      <c r="H21" s="3" t="s">
        <v>61</v>
      </c>
    </row>
    <row r="22" s="4" customFormat="true" ht="12.75" hidden="false" customHeight="false" outlineLevel="1" collapsed="false">
      <c r="A22" s="5" t="s">
        <v>64</v>
      </c>
      <c r="B22" s="3" t="n">
        <v>100</v>
      </c>
      <c r="C22" s="3" t="s">
        <v>12</v>
      </c>
      <c r="D22" s="3" t="n">
        <v>20</v>
      </c>
      <c r="E22" s="3" t="s">
        <v>10</v>
      </c>
      <c r="F22" s="5" t="n">
        <f aca="false">H_PT(B22,D22)</f>
        <v>84.0118111671364</v>
      </c>
      <c r="G22" s="5" t="s">
        <v>17</v>
      </c>
      <c r="H22" s="3" t="s">
        <v>65</v>
      </c>
    </row>
    <row r="23" s="4" customFormat="true" ht="12.75" hidden="false" customHeight="false" outlineLevel="1" collapsed="false">
      <c r="A23" s="5" t="s">
        <v>66</v>
      </c>
      <c r="B23" s="3" t="n">
        <v>100</v>
      </c>
      <c r="C23" s="3" t="s">
        <v>12</v>
      </c>
      <c r="D23" s="3" t="n">
        <v>1</v>
      </c>
      <c r="E23" s="3" t="s">
        <v>48</v>
      </c>
      <c r="F23" s="5" t="n">
        <f aca="false">H_PS(B23,D23)</f>
        <v>308.610717082946</v>
      </c>
      <c r="G23" s="5" t="s">
        <v>17</v>
      </c>
      <c r="H23" s="3" t="s">
        <v>67</v>
      </c>
    </row>
    <row r="24" s="4" customFormat="true" ht="12.75" hidden="false" customHeight="false" outlineLevel="1" collapsed="false">
      <c r="A24" s="5" t="s">
        <v>68</v>
      </c>
      <c r="B24" s="3" t="n">
        <v>100</v>
      </c>
      <c r="C24" s="3" t="s">
        <v>12</v>
      </c>
      <c r="D24" s="3" t="n">
        <v>0.5</v>
      </c>
      <c r="E24" s="3"/>
      <c r="F24" s="5" t="n">
        <f aca="false">H_PX(B24,D24)</f>
        <v>1546.19306332419</v>
      </c>
      <c r="G24" s="5" t="s">
        <v>17</v>
      </c>
      <c r="H24" s="3" t="s">
        <v>69</v>
      </c>
    </row>
    <row r="25" s="4" customFormat="true" ht="12.75" hidden="false" customHeight="false" outlineLevel="1" collapsed="false">
      <c r="A25" s="5" t="s">
        <v>70</v>
      </c>
      <c r="B25" s="3" t="n">
        <v>100</v>
      </c>
      <c r="C25" s="3" t="s">
        <v>10</v>
      </c>
      <c r="D25" s="3" t="n">
        <v>0.5</v>
      </c>
      <c r="E25" s="3"/>
      <c r="F25" s="5" t="n">
        <f aca="false">H_TX(B25,D25)</f>
        <v>1547.33559210927</v>
      </c>
      <c r="G25" s="5" t="s">
        <v>17</v>
      </c>
      <c r="H25" s="3" t="s">
        <v>71</v>
      </c>
    </row>
    <row r="26" s="4" customFormat="true" ht="12.75" hidden="false" customHeight="false" outlineLevel="1" collapsed="false">
      <c r="A26" s="5" t="s">
        <v>72</v>
      </c>
      <c r="B26" s="3" t="n">
        <v>100</v>
      </c>
      <c r="C26" s="3" t="s">
        <v>12</v>
      </c>
      <c r="D26" s="3" t="n">
        <v>2</v>
      </c>
      <c r="E26" s="3" t="s">
        <v>19</v>
      </c>
      <c r="F26" s="5" t="n">
        <f aca="false">H_PRHO(B26,D26)</f>
        <v>1082.77339076002</v>
      </c>
      <c r="G26" s="5" t="s">
        <v>17</v>
      </c>
      <c r="H26" s="3" t="s">
        <v>73</v>
      </c>
    </row>
    <row r="27" s="33" customFormat="true" ht="15" hidden="false" customHeight="false" outlineLevel="0" collapsed="false">
      <c r="A27" s="32" t="s">
        <v>74</v>
      </c>
      <c r="F27" s="34"/>
      <c r="G27" s="34"/>
    </row>
    <row r="28" s="4" customFormat="true" ht="12.75" hidden="false" customHeight="false" outlineLevel="1" collapsed="false">
      <c r="A28" s="5" t="s">
        <v>75</v>
      </c>
      <c r="B28" s="3" t="n">
        <v>100</v>
      </c>
      <c r="C28" s="3" t="s">
        <v>12</v>
      </c>
      <c r="D28" s="3"/>
      <c r="E28" s="3"/>
      <c r="F28" s="5" t="n">
        <f aca="false">VV_P(B28)</f>
        <v>1.69402252290268</v>
      </c>
      <c r="G28" s="5" t="s">
        <v>76</v>
      </c>
      <c r="H28" s="3" t="s">
        <v>77</v>
      </c>
    </row>
    <row r="29" s="4" customFormat="true" ht="12.75" hidden="false" customHeight="false" outlineLevel="1" collapsed="false">
      <c r="A29" s="5" t="s">
        <v>78</v>
      </c>
      <c r="B29" s="3" t="n">
        <v>100</v>
      </c>
      <c r="C29" s="3" t="s">
        <v>12</v>
      </c>
      <c r="D29" s="3"/>
      <c r="E29" s="3"/>
      <c r="F29" s="5" t="n">
        <f aca="false">VL_P(B29)</f>
        <v>0.00104314783915518</v>
      </c>
      <c r="G29" s="5" t="s">
        <v>76</v>
      </c>
      <c r="H29" s="3" t="s">
        <v>79</v>
      </c>
    </row>
    <row r="30" s="4" customFormat="true" ht="12.75" hidden="false" customHeight="false" outlineLevel="1" collapsed="false">
      <c r="A30" s="5" t="s">
        <v>80</v>
      </c>
      <c r="B30" s="3" t="n">
        <v>100</v>
      </c>
      <c r="C30" s="3" t="s">
        <v>10</v>
      </c>
      <c r="D30" s="3"/>
      <c r="E30" s="3"/>
      <c r="F30" s="5" t="n">
        <f aca="false">VV_T(B30)</f>
        <v>1.67186060109404</v>
      </c>
      <c r="G30" s="5" t="s">
        <v>76</v>
      </c>
      <c r="H30" s="3" t="s">
        <v>77</v>
      </c>
    </row>
    <row r="31" s="4" customFormat="true" ht="12.75" hidden="false" customHeight="false" outlineLevel="1" collapsed="false">
      <c r="A31" s="5" t="s">
        <v>81</v>
      </c>
      <c r="B31" s="3" t="n">
        <v>100</v>
      </c>
      <c r="C31" s="3" t="s">
        <v>10</v>
      </c>
      <c r="D31" s="3"/>
      <c r="E31" s="3"/>
      <c r="F31" s="5" t="n">
        <f aca="false">VL_T(B31)</f>
        <v>0.00104345545661053</v>
      </c>
      <c r="G31" s="5" t="s">
        <v>76</v>
      </c>
      <c r="H31" s="3" t="s">
        <v>79</v>
      </c>
    </row>
    <row r="32" s="4" customFormat="true" ht="12.75" hidden="false" customHeight="false" outlineLevel="1" collapsed="false">
      <c r="A32" s="5" t="s">
        <v>82</v>
      </c>
      <c r="B32" s="3" t="n">
        <v>100</v>
      </c>
      <c r="C32" s="3" t="s">
        <v>12</v>
      </c>
      <c r="D32" s="3" t="n">
        <v>100</v>
      </c>
      <c r="E32" s="3" t="s">
        <v>10</v>
      </c>
      <c r="F32" s="5" t="n">
        <f aca="false">V_PT(B32,D32)</f>
        <v>1.69595940739822</v>
      </c>
      <c r="G32" s="5" t="s">
        <v>76</v>
      </c>
      <c r="H32" s="3" t="s">
        <v>83</v>
      </c>
    </row>
    <row r="33" s="4" customFormat="true" ht="12.75" hidden="false" customHeight="false" outlineLevel="1" collapsed="false">
      <c r="A33" s="5" t="s">
        <v>84</v>
      </c>
      <c r="B33" s="3" t="n">
        <v>100</v>
      </c>
      <c r="C33" s="3" t="s">
        <v>12</v>
      </c>
      <c r="D33" s="3" t="n">
        <v>1000</v>
      </c>
      <c r="E33" s="3" t="s">
        <v>17</v>
      </c>
      <c r="F33" s="5" t="n">
        <f aca="false">V_PH(B33,D33)</f>
        <v>0.437925658129864</v>
      </c>
      <c r="G33" s="5" t="s">
        <v>76</v>
      </c>
      <c r="H33" s="3" t="s">
        <v>85</v>
      </c>
    </row>
    <row r="34" s="4" customFormat="true" ht="12.75" hidden="false" customHeight="false" outlineLevel="1" collapsed="false">
      <c r="A34" s="5" t="s">
        <v>86</v>
      </c>
      <c r="B34" s="3" t="n">
        <v>100</v>
      </c>
      <c r="C34" s="3" t="s">
        <v>12</v>
      </c>
      <c r="D34" s="3" t="n">
        <v>5</v>
      </c>
      <c r="E34" s="3" t="s">
        <v>48</v>
      </c>
      <c r="F34" s="5" t="n">
        <f aca="false">V_PS(B34,D34)</f>
        <v>1.03463539018629</v>
      </c>
      <c r="G34" s="5" t="s">
        <v>76</v>
      </c>
      <c r="H34" s="3" t="s">
        <v>87</v>
      </c>
    </row>
    <row r="35" s="33" customFormat="true" ht="15" hidden="false" customHeight="false" outlineLevel="0" collapsed="false">
      <c r="A35" s="32" t="s">
        <v>18</v>
      </c>
      <c r="F35" s="34"/>
      <c r="G35" s="34"/>
    </row>
    <row r="36" s="4" customFormat="true" ht="12.75" hidden="false" customHeight="false" outlineLevel="1" collapsed="false">
      <c r="A36" s="5" t="s">
        <v>88</v>
      </c>
      <c r="B36" s="3" t="n">
        <v>100</v>
      </c>
      <c r="C36" s="3" t="s">
        <v>12</v>
      </c>
      <c r="D36" s="3"/>
      <c r="E36" s="3"/>
      <c r="F36" s="5" t="n">
        <f aca="false">RHOV_P(B36)</f>
        <v>0.590310923544578</v>
      </c>
      <c r="G36" s="5" t="s">
        <v>19</v>
      </c>
      <c r="H36" s="3" t="s">
        <v>89</v>
      </c>
    </row>
    <row r="37" s="4" customFormat="true" ht="12.75" hidden="false" customHeight="false" outlineLevel="1" collapsed="false">
      <c r="A37" s="5" t="s">
        <v>90</v>
      </c>
      <c r="B37" s="3" t="n">
        <v>100</v>
      </c>
      <c r="C37" s="3" t="s">
        <v>12</v>
      </c>
      <c r="D37" s="3"/>
      <c r="E37" s="3"/>
      <c r="F37" s="5" t="n">
        <f aca="false">RHOL_P(B37)</f>
        <v>958.636889676033</v>
      </c>
      <c r="G37" s="5" t="s">
        <v>19</v>
      </c>
      <c r="H37" s="3" t="s">
        <v>91</v>
      </c>
    </row>
    <row r="38" s="4" customFormat="true" ht="12.75" hidden="false" customHeight="false" outlineLevel="1" collapsed="false">
      <c r="A38" s="5" t="s">
        <v>92</v>
      </c>
      <c r="B38" s="3" t="n">
        <v>100</v>
      </c>
      <c r="C38" s="3" t="s">
        <v>10</v>
      </c>
      <c r="D38" s="3"/>
      <c r="E38" s="3"/>
      <c r="F38" s="5" t="n">
        <f aca="false">RHOV_T(B38)</f>
        <v>0.598135992525703</v>
      </c>
      <c r="G38" s="5" t="s">
        <v>19</v>
      </c>
      <c r="H38" s="3" t="s">
        <v>89</v>
      </c>
    </row>
    <row r="39" s="4" customFormat="true" ht="12.75" hidden="false" customHeight="false" outlineLevel="1" collapsed="false">
      <c r="A39" s="5" t="s">
        <v>93</v>
      </c>
      <c r="B39" s="3" t="n">
        <v>100</v>
      </c>
      <c r="C39" s="3" t="s">
        <v>10</v>
      </c>
      <c r="D39" s="3"/>
      <c r="E39" s="3"/>
      <c r="F39" s="5" t="n">
        <f aca="false">RHOL_T(B39)</f>
        <v>958.35427728589</v>
      </c>
      <c r="G39" s="5" t="s">
        <v>19</v>
      </c>
      <c r="H39" s="3" t="s">
        <v>91</v>
      </c>
    </row>
    <row r="40" s="4" customFormat="true" ht="12.75" hidden="false" customHeight="false" outlineLevel="1" collapsed="false">
      <c r="A40" s="5" t="s">
        <v>94</v>
      </c>
      <c r="B40" s="3" t="n">
        <v>101</v>
      </c>
      <c r="C40" s="3" t="s">
        <v>12</v>
      </c>
      <c r="D40" s="3" t="n">
        <v>20</v>
      </c>
      <c r="E40" s="3" t="s">
        <v>10</v>
      </c>
      <c r="F40" s="5" t="n">
        <f aca="false">RHO_PT(B40,D40)</f>
        <v>998.205943804451</v>
      </c>
      <c r="G40" s="5" t="s">
        <v>19</v>
      </c>
      <c r="H40" s="3" t="s">
        <v>95</v>
      </c>
    </row>
    <row r="41" s="4" customFormat="true" ht="12.75" hidden="false" customHeight="false" outlineLevel="1" collapsed="false">
      <c r="A41" s="5" t="s">
        <v>96</v>
      </c>
      <c r="B41" s="3" t="n">
        <v>100</v>
      </c>
      <c r="C41" s="3" t="s">
        <v>12</v>
      </c>
      <c r="D41" s="3" t="n">
        <v>1000</v>
      </c>
      <c r="E41" s="3" t="s">
        <v>17</v>
      </c>
      <c r="F41" s="5" t="n">
        <f aca="false">RHO_PH(B41,D41)</f>
        <v>2.28349260070863</v>
      </c>
      <c r="G41" s="5" t="s">
        <v>19</v>
      </c>
      <c r="H41" s="3" t="s">
        <v>97</v>
      </c>
    </row>
    <row r="42" s="4" customFormat="true" ht="12.75" hidden="false" customHeight="false" outlineLevel="1" collapsed="false">
      <c r="A42" s="5" t="s">
        <v>98</v>
      </c>
      <c r="B42" s="3" t="n">
        <v>100</v>
      </c>
      <c r="C42" s="3" t="s">
        <v>12</v>
      </c>
      <c r="D42" s="3" t="n">
        <v>1</v>
      </c>
      <c r="E42" s="3" t="s">
        <v>48</v>
      </c>
      <c r="F42" s="5" t="n">
        <f aca="false">RHO_PS(B42,D42)</f>
        <v>975.623678848232</v>
      </c>
      <c r="G42" s="5" t="s">
        <v>19</v>
      </c>
      <c r="H42" s="3" t="s">
        <v>99</v>
      </c>
    </row>
    <row r="43" s="33" customFormat="true" ht="15" hidden="false" customHeight="false" outlineLevel="0" collapsed="false">
      <c r="A43" s="32" t="s">
        <v>100</v>
      </c>
      <c r="F43" s="34"/>
      <c r="G43" s="34"/>
    </row>
    <row r="44" s="4" customFormat="true" ht="12.75" hidden="false" customHeight="false" outlineLevel="1" collapsed="false">
      <c r="A44" s="5" t="s">
        <v>101</v>
      </c>
      <c r="B44" s="3" t="n">
        <v>1</v>
      </c>
      <c r="C44" s="3" t="s">
        <v>12</v>
      </c>
      <c r="D44" s="3"/>
      <c r="E44" s="3"/>
      <c r="F44" s="5" t="n">
        <f aca="false">SV_P(B44)</f>
        <v>8.97492979038626</v>
      </c>
      <c r="G44" s="5" t="s">
        <v>48</v>
      </c>
      <c r="H44" s="3" t="s">
        <v>102</v>
      </c>
    </row>
    <row r="45" s="4" customFormat="true" ht="12.75" hidden="false" customHeight="false" outlineLevel="1" collapsed="false">
      <c r="A45" s="5" t="s">
        <v>103</v>
      </c>
      <c r="B45" s="3" t="n">
        <v>1</v>
      </c>
      <c r="C45" s="3" t="s">
        <v>12</v>
      </c>
      <c r="D45" s="3"/>
      <c r="E45" s="3"/>
      <c r="F45" s="5" t="n">
        <f aca="false">SL_P(B45)</f>
        <v>0.105910447662535</v>
      </c>
      <c r="G45" s="5" t="s">
        <v>48</v>
      </c>
      <c r="H45" s="3" t="s">
        <v>104</v>
      </c>
    </row>
    <row r="46" s="4" customFormat="true" ht="12.75" hidden="false" customHeight="false" outlineLevel="1" collapsed="false">
      <c r="A46" s="5" t="s">
        <v>105</v>
      </c>
      <c r="B46" s="3" t="n">
        <v>0.0001</v>
      </c>
      <c r="C46" s="3" t="s">
        <v>10</v>
      </c>
      <c r="D46" s="3"/>
      <c r="E46" s="3"/>
      <c r="F46" s="5" t="n">
        <f aca="false">SV_T(B46)</f>
        <v>9.15575671588559</v>
      </c>
      <c r="G46" s="5" t="s">
        <v>48</v>
      </c>
      <c r="H46" s="3" t="s">
        <v>102</v>
      </c>
    </row>
    <row r="47" s="4" customFormat="true" ht="12.75" hidden="false" customHeight="false" outlineLevel="1" collapsed="false">
      <c r="A47" s="5" t="s">
        <v>106</v>
      </c>
      <c r="B47" s="3" t="n">
        <v>100</v>
      </c>
      <c r="C47" s="3" t="s">
        <v>10</v>
      </c>
      <c r="D47" s="3"/>
      <c r="E47" s="3"/>
      <c r="F47" s="5" t="n">
        <f aca="false">SL_T(B47)</f>
        <v>1.30701432784134</v>
      </c>
      <c r="G47" s="5" t="s">
        <v>48</v>
      </c>
      <c r="H47" s="3" t="s">
        <v>104</v>
      </c>
    </row>
    <row r="48" s="4" customFormat="true" ht="12.75" hidden="false" customHeight="false" outlineLevel="1" collapsed="false">
      <c r="A48" s="5" t="s">
        <v>107</v>
      </c>
      <c r="B48" s="3" t="n">
        <v>100</v>
      </c>
      <c r="C48" s="3" t="s">
        <v>12</v>
      </c>
      <c r="D48" s="3" t="n">
        <v>20</v>
      </c>
      <c r="E48" s="3" t="s">
        <v>10</v>
      </c>
      <c r="F48" s="5" t="n">
        <f aca="false">S_PT(B48,D48)</f>
        <v>0.29648292080641</v>
      </c>
      <c r="G48" s="5" t="s">
        <v>48</v>
      </c>
      <c r="H48" s="3" t="s">
        <v>108</v>
      </c>
    </row>
    <row r="49" s="4" customFormat="true" ht="12.75" hidden="false" customHeight="false" outlineLevel="1" collapsed="false">
      <c r="A49" s="5" t="s">
        <v>109</v>
      </c>
      <c r="B49" s="3" t="n">
        <v>100</v>
      </c>
      <c r="C49" s="3" t="s">
        <v>12</v>
      </c>
      <c r="D49" s="3" t="n">
        <f aca="false">F22</f>
        <v>84.0118111671364</v>
      </c>
      <c r="E49" s="3" t="s">
        <v>17</v>
      </c>
      <c r="F49" s="5" t="n">
        <f aca="false">S_PH(B49,D49)</f>
        <v>0.29681384467643</v>
      </c>
      <c r="G49" s="5" t="s">
        <v>48</v>
      </c>
      <c r="H49" s="3" t="s">
        <v>110</v>
      </c>
    </row>
    <row r="50" s="33" customFormat="true" ht="15" hidden="false" customHeight="false" outlineLevel="0" collapsed="false">
      <c r="A50" s="32" t="s">
        <v>111</v>
      </c>
      <c r="F50" s="34"/>
      <c r="G50" s="34"/>
    </row>
    <row r="51" s="4" customFormat="true" ht="12.75" hidden="false" customHeight="false" outlineLevel="1" collapsed="false">
      <c r="A51" s="5" t="s">
        <v>112</v>
      </c>
      <c r="B51" s="3" t="n">
        <v>100</v>
      </c>
      <c r="C51" s="3" t="s">
        <v>12</v>
      </c>
      <c r="D51" s="3"/>
      <c r="E51" s="3"/>
      <c r="F51" s="5" t="n">
        <f aca="false">UV_P(B51)</f>
        <v>2505.54738854188</v>
      </c>
      <c r="G51" s="5" t="s">
        <v>17</v>
      </c>
      <c r="H51" s="3" t="s">
        <v>113</v>
      </c>
    </row>
    <row r="52" s="4" customFormat="true" ht="12.75" hidden="false" customHeight="false" outlineLevel="1" collapsed="false">
      <c r="A52" s="5" t="s">
        <v>114</v>
      </c>
      <c r="B52" s="3" t="n">
        <v>100</v>
      </c>
      <c r="C52" s="3" t="s">
        <v>12</v>
      </c>
      <c r="D52" s="3"/>
      <c r="E52" s="3"/>
      <c r="F52" s="5" t="n">
        <f aca="false">UL_P(B52)</f>
        <v>417.332171032316</v>
      </c>
      <c r="G52" s="5" t="s">
        <v>17</v>
      </c>
      <c r="H52" s="3" t="s">
        <v>115</v>
      </c>
    </row>
    <row r="53" s="4" customFormat="true" ht="12.75" hidden="false" customHeight="false" outlineLevel="1" collapsed="false">
      <c r="A53" s="5" t="s">
        <v>116</v>
      </c>
      <c r="B53" s="3" t="n">
        <v>100</v>
      </c>
      <c r="C53" s="3" t="s">
        <v>10</v>
      </c>
      <c r="D53" s="3"/>
      <c r="E53" s="3"/>
      <c r="F53" s="5" t="n">
        <f aca="false">UV_T(B53)</f>
        <v>2506.01530769157</v>
      </c>
      <c r="G53" s="5" t="s">
        <v>17</v>
      </c>
      <c r="H53" s="3" t="s">
        <v>113</v>
      </c>
    </row>
    <row r="54" s="4" customFormat="true" ht="12.75" hidden="false" customHeight="false" outlineLevel="1" collapsed="false">
      <c r="A54" s="5" t="s">
        <v>117</v>
      </c>
      <c r="B54" s="3" t="n">
        <v>100</v>
      </c>
      <c r="C54" s="3" t="s">
        <v>10</v>
      </c>
      <c r="D54" s="3"/>
      <c r="E54" s="3"/>
      <c r="F54" s="5" t="n">
        <f aca="false">UL_T(B54)</f>
        <v>418.993329855243</v>
      </c>
      <c r="G54" s="5" t="s">
        <v>17</v>
      </c>
      <c r="H54" s="3" t="s">
        <v>115</v>
      </c>
    </row>
    <row r="55" s="4" customFormat="true" ht="12.75" hidden="false" customHeight="false" outlineLevel="1" collapsed="false">
      <c r="A55" s="5" t="s">
        <v>118</v>
      </c>
      <c r="B55" s="3" t="n">
        <v>100</v>
      </c>
      <c r="C55" s="3" t="s">
        <v>12</v>
      </c>
      <c r="D55" s="3" t="n">
        <v>100</v>
      </c>
      <c r="E55" s="3" t="s">
        <v>10</v>
      </c>
      <c r="F55" s="5" t="n">
        <f aca="false">U_PT(B55,D55)</f>
        <v>2506.17142646601</v>
      </c>
      <c r="G55" s="5" t="s">
        <v>17</v>
      </c>
      <c r="H55" s="3" t="s">
        <v>119</v>
      </c>
    </row>
    <row r="56" s="4" customFormat="true" ht="12.75" hidden="false" customHeight="false" outlineLevel="1" collapsed="false">
      <c r="A56" s="5" t="s">
        <v>120</v>
      </c>
      <c r="B56" s="3" t="n">
        <v>100</v>
      </c>
      <c r="C56" s="3" t="s">
        <v>12</v>
      </c>
      <c r="D56" s="3" t="n">
        <v>1000</v>
      </c>
      <c r="E56" s="3" t="s">
        <v>17</v>
      </c>
      <c r="F56" s="5" t="n">
        <f aca="false">U_PH(B56,D56)</f>
        <v>956.207434187014</v>
      </c>
      <c r="G56" s="5" t="s">
        <v>17</v>
      </c>
      <c r="H56" s="3" t="s">
        <v>121</v>
      </c>
    </row>
    <row r="57" s="4" customFormat="true" ht="12.75" hidden="false" customHeight="false" outlineLevel="1" collapsed="false">
      <c r="A57" s="5" t="s">
        <v>122</v>
      </c>
      <c r="B57" s="3" t="n">
        <v>100</v>
      </c>
      <c r="C57" s="3" t="s">
        <v>12</v>
      </c>
      <c r="D57" s="3" t="n">
        <v>1</v>
      </c>
      <c r="E57" s="3" t="s">
        <v>48</v>
      </c>
      <c r="F57" s="5" t="n">
        <f aca="false">U_PS(B57,D57)</f>
        <v>308.508218545684</v>
      </c>
      <c r="G57" s="5" t="s">
        <v>17</v>
      </c>
      <c r="H57" s="3" t="s">
        <v>123</v>
      </c>
    </row>
    <row r="58" s="33" customFormat="true" ht="15" hidden="false" customHeight="false" outlineLevel="0" collapsed="false">
      <c r="A58" s="32" t="s">
        <v>124</v>
      </c>
      <c r="F58" s="34"/>
      <c r="G58" s="34"/>
    </row>
    <row r="59" s="4" customFormat="true" ht="12.75" hidden="false" customHeight="false" outlineLevel="1" collapsed="false">
      <c r="A59" s="5" t="s">
        <v>125</v>
      </c>
      <c r="B59" s="3" t="n">
        <v>100</v>
      </c>
      <c r="C59" s="3" t="s">
        <v>12</v>
      </c>
      <c r="D59" s="3"/>
      <c r="E59" s="3"/>
      <c r="F59" s="5" t="n">
        <f aca="false">CPV_P(B59)</f>
        <v>2.07593802520444</v>
      </c>
      <c r="G59" s="5" t="s">
        <v>126</v>
      </c>
      <c r="H59" s="3" t="s">
        <v>127</v>
      </c>
    </row>
    <row r="60" s="4" customFormat="true" ht="12.75" hidden="false" customHeight="false" outlineLevel="1" collapsed="false">
      <c r="A60" s="5" t="s">
        <v>128</v>
      </c>
      <c r="B60" s="3" t="n">
        <v>100</v>
      </c>
      <c r="C60" s="3" t="s">
        <v>12</v>
      </c>
      <c r="D60" s="3"/>
      <c r="E60" s="3"/>
      <c r="F60" s="5" t="n">
        <f aca="false">CPL_P(B60)</f>
        <v>4.21614943083875</v>
      </c>
      <c r="G60" s="5" t="s">
        <v>126</v>
      </c>
      <c r="H60" s="3" t="s">
        <v>129</v>
      </c>
    </row>
    <row r="61" s="4" customFormat="true" ht="12.75" hidden="false" customHeight="false" outlineLevel="1" collapsed="false">
      <c r="A61" s="5" t="s">
        <v>130</v>
      </c>
      <c r="B61" s="3" t="n">
        <v>100</v>
      </c>
      <c r="C61" s="3" t="s">
        <v>10</v>
      </c>
      <c r="D61" s="3"/>
      <c r="E61" s="3"/>
      <c r="F61" s="5" t="n">
        <f aca="false">CPV_T(B61)</f>
        <v>2.07749186848227</v>
      </c>
      <c r="G61" s="5" t="s">
        <v>126</v>
      </c>
      <c r="H61" s="3" t="s">
        <v>127</v>
      </c>
    </row>
    <row r="62" s="4" customFormat="true" ht="12.75" hidden="false" customHeight="false" outlineLevel="1" collapsed="false">
      <c r="A62" s="5" t="s">
        <v>131</v>
      </c>
      <c r="B62" s="3" t="n">
        <v>100</v>
      </c>
      <c r="C62" s="3" t="s">
        <v>10</v>
      </c>
      <c r="D62" s="3"/>
      <c r="E62" s="3"/>
      <c r="F62" s="5" t="n">
        <f aca="false">CPL_T(B62)</f>
        <v>4.21664511892358</v>
      </c>
      <c r="G62" s="5" t="s">
        <v>126</v>
      </c>
      <c r="H62" s="3" t="s">
        <v>129</v>
      </c>
    </row>
    <row r="63" s="4" customFormat="true" ht="12.75" hidden="false" customHeight="false" outlineLevel="1" collapsed="false">
      <c r="A63" s="5" t="s">
        <v>132</v>
      </c>
      <c r="B63" s="3" t="n">
        <v>100</v>
      </c>
      <c r="C63" s="3" t="s">
        <v>12</v>
      </c>
      <c r="D63" s="3" t="n">
        <v>100</v>
      </c>
      <c r="E63" s="3" t="s">
        <v>10</v>
      </c>
      <c r="F63" s="5" t="n">
        <f aca="false">CP_PT(B63,D63)</f>
        <v>2.07410855458011</v>
      </c>
      <c r="G63" s="5" t="s">
        <v>126</v>
      </c>
      <c r="H63" s="3" t="s">
        <v>133</v>
      </c>
    </row>
    <row r="64" s="4" customFormat="true" ht="12.75" hidden="false" customHeight="false" outlineLevel="1" collapsed="false">
      <c r="A64" s="5" t="s">
        <v>134</v>
      </c>
      <c r="B64" s="3" t="n">
        <v>100</v>
      </c>
      <c r="C64" s="3" t="s">
        <v>12</v>
      </c>
      <c r="D64" s="3" t="n">
        <v>200</v>
      </c>
      <c r="E64" s="3" t="s">
        <v>17</v>
      </c>
      <c r="F64" s="5" t="n">
        <f aca="false">CP_PH(B64,D64)</f>
        <v>4.17913573168802</v>
      </c>
      <c r="G64" s="5" t="s">
        <v>126</v>
      </c>
      <c r="H64" s="3" t="s">
        <v>135</v>
      </c>
    </row>
    <row r="65" s="4" customFormat="true" ht="12.75" hidden="false" customHeight="false" outlineLevel="1" collapsed="false">
      <c r="A65" s="5" t="s">
        <v>136</v>
      </c>
      <c r="B65" s="3" t="n">
        <v>100</v>
      </c>
      <c r="C65" s="3" t="s">
        <v>12</v>
      </c>
      <c r="D65" s="3" t="n">
        <v>1</v>
      </c>
      <c r="E65" s="3" t="s">
        <v>48</v>
      </c>
      <c r="F65" s="5" t="n">
        <f aca="false">CP_PS(B65,D65)</f>
        <v>4.19060703790129</v>
      </c>
      <c r="G65" s="5" t="s">
        <v>126</v>
      </c>
      <c r="H65" s="3" t="s">
        <v>137</v>
      </c>
    </row>
    <row r="66" s="33" customFormat="true" ht="15" hidden="false" customHeight="false" outlineLevel="0" collapsed="false">
      <c r="A66" s="32" t="s">
        <v>138</v>
      </c>
      <c r="F66" s="34"/>
      <c r="G66" s="34"/>
    </row>
    <row r="67" s="4" customFormat="true" ht="12.75" hidden="false" customHeight="false" outlineLevel="1" collapsed="false">
      <c r="A67" s="5" t="s">
        <v>139</v>
      </c>
      <c r="B67" s="3" t="n">
        <v>100</v>
      </c>
      <c r="C67" s="3" t="s">
        <v>12</v>
      </c>
      <c r="D67" s="3"/>
      <c r="E67" s="3"/>
      <c r="F67" s="5" t="n">
        <f aca="false">CVV_P(B67)</f>
        <v>1.5526969793308</v>
      </c>
      <c r="G67" s="5" t="s">
        <v>126</v>
      </c>
      <c r="H67" s="3" t="s">
        <v>140</v>
      </c>
    </row>
    <row r="68" s="4" customFormat="true" ht="12.75" hidden="false" customHeight="false" outlineLevel="1" collapsed="false">
      <c r="A68" s="5" t="s">
        <v>141</v>
      </c>
      <c r="B68" s="3" t="n">
        <v>100</v>
      </c>
      <c r="C68" s="3" t="s">
        <v>12</v>
      </c>
      <c r="D68" s="3"/>
      <c r="E68" s="3"/>
      <c r="F68" s="5" t="n">
        <f aca="false">CVL_P(B68)</f>
        <v>3.7696996827335</v>
      </c>
      <c r="G68" s="5" t="s">
        <v>126</v>
      </c>
      <c r="H68" s="3" t="s">
        <v>142</v>
      </c>
    </row>
    <row r="69" s="4" customFormat="true" ht="12.75" hidden="false" customHeight="false" outlineLevel="1" collapsed="false">
      <c r="A69" s="5" t="s">
        <v>143</v>
      </c>
      <c r="B69" s="3" t="n">
        <v>100</v>
      </c>
      <c r="C69" s="3" t="s">
        <v>10</v>
      </c>
      <c r="D69" s="3"/>
      <c r="E69" s="3"/>
      <c r="F69" s="5" t="n">
        <f aca="false">CVV_T(B69)</f>
        <v>1.55369869603451</v>
      </c>
      <c r="G69" s="5" t="s">
        <v>126</v>
      </c>
      <c r="H69" s="3" t="s">
        <v>140</v>
      </c>
    </row>
    <row r="70" s="4" customFormat="true" ht="12.75" hidden="false" customHeight="false" outlineLevel="1" collapsed="false">
      <c r="A70" s="5" t="s">
        <v>144</v>
      </c>
      <c r="B70" s="3" t="n">
        <v>100</v>
      </c>
      <c r="C70" s="3" t="s">
        <v>10</v>
      </c>
      <c r="D70" s="3"/>
      <c r="E70" s="3"/>
      <c r="F70" s="5" t="n">
        <f aca="false">CVL_T(B70)</f>
        <v>3.76770022014275</v>
      </c>
      <c r="G70" s="5" t="s">
        <v>126</v>
      </c>
      <c r="H70" s="3" t="s">
        <v>142</v>
      </c>
    </row>
    <row r="71" s="4" customFormat="true" ht="12.75" hidden="false" customHeight="false" outlineLevel="1" collapsed="false">
      <c r="A71" s="5" t="s">
        <v>145</v>
      </c>
      <c r="B71" s="3" t="n">
        <v>100</v>
      </c>
      <c r="C71" s="3" t="s">
        <v>12</v>
      </c>
      <c r="D71" s="3" t="n">
        <v>100</v>
      </c>
      <c r="E71" s="3" t="s">
        <v>10</v>
      </c>
      <c r="F71" s="5" t="n">
        <f aca="false">CV_PT(B71,D71)</f>
        <v>1.55139724946449</v>
      </c>
      <c r="G71" s="5" t="s">
        <v>126</v>
      </c>
      <c r="H71" s="3" t="s">
        <v>146</v>
      </c>
    </row>
    <row r="72" s="4" customFormat="true" ht="12.75" hidden="false" customHeight="false" outlineLevel="1" collapsed="false">
      <c r="A72" s="5" t="s">
        <v>147</v>
      </c>
      <c r="B72" s="3" t="n">
        <v>1E-010</v>
      </c>
      <c r="C72" s="3" t="s">
        <v>12</v>
      </c>
      <c r="D72" s="3" t="n">
        <v>200</v>
      </c>
      <c r="E72" s="3" t="s">
        <v>17</v>
      </c>
      <c r="F72" s="5" t="n">
        <f aca="false">CV_PH(B72,D72)</f>
        <v>2015</v>
      </c>
      <c r="G72" s="5" t="s">
        <v>126</v>
      </c>
      <c r="H72" s="3" t="s">
        <v>148</v>
      </c>
    </row>
    <row r="73" s="4" customFormat="true" ht="12.75" hidden="false" customHeight="false" outlineLevel="1" collapsed="false">
      <c r="A73" s="5" t="s">
        <v>149</v>
      </c>
      <c r="B73" s="3" t="n">
        <v>100</v>
      </c>
      <c r="C73" s="3" t="s">
        <v>12</v>
      </c>
      <c r="D73" s="3" t="n">
        <v>1</v>
      </c>
      <c r="E73" s="3" t="s">
        <v>48</v>
      </c>
      <c r="F73" s="5" t="n">
        <f aca="false">CV_PS(B73,D73)</f>
        <v>3.90291946811366</v>
      </c>
      <c r="G73" s="5" t="s">
        <v>126</v>
      </c>
      <c r="H73" s="3" t="s">
        <v>150</v>
      </c>
    </row>
    <row r="74" s="33" customFormat="true" ht="15" hidden="false" customHeight="false" outlineLevel="0" collapsed="false">
      <c r="A74" s="32" t="s">
        <v>151</v>
      </c>
      <c r="F74" s="34"/>
      <c r="G74" s="34"/>
    </row>
    <row r="75" s="4" customFormat="true" ht="12.75" hidden="false" customHeight="false" outlineLevel="1" collapsed="false">
      <c r="A75" s="5" t="s">
        <v>152</v>
      </c>
      <c r="B75" s="3" t="n">
        <v>100</v>
      </c>
      <c r="C75" s="3" t="s">
        <v>12</v>
      </c>
      <c r="D75" s="3"/>
      <c r="E75" s="3"/>
      <c r="F75" s="5" t="n">
        <f aca="false">WV_P(B75)</f>
        <v>472.054157106048</v>
      </c>
      <c r="G75" s="5" t="s">
        <v>36</v>
      </c>
      <c r="H75" s="3" t="s">
        <v>153</v>
      </c>
    </row>
    <row r="76" s="4" customFormat="true" ht="12.75" hidden="false" customHeight="false" outlineLevel="1" collapsed="false">
      <c r="A76" s="5" t="s">
        <v>154</v>
      </c>
      <c r="B76" s="3" t="n">
        <v>100</v>
      </c>
      <c r="C76" s="3" t="s">
        <v>12</v>
      </c>
      <c r="D76" s="3"/>
      <c r="E76" s="3"/>
      <c r="F76" s="5" t="n">
        <f aca="false">WL_P(B76)</f>
        <v>1545.45194753397</v>
      </c>
      <c r="G76" s="5" t="s">
        <v>36</v>
      </c>
      <c r="H76" s="3" t="s">
        <v>155</v>
      </c>
    </row>
    <row r="77" s="4" customFormat="true" ht="12.75" hidden="false" customHeight="false" outlineLevel="1" collapsed="false">
      <c r="A77" s="5" t="s">
        <v>156</v>
      </c>
      <c r="B77" s="3" t="n">
        <v>100</v>
      </c>
      <c r="C77" s="3" t="s">
        <v>10</v>
      </c>
      <c r="D77" s="3"/>
      <c r="E77" s="3"/>
      <c r="F77" s="5" t="n">
        <f aca="false">WV_T(B77)</f>
        <v>472.255949238944</v>
      </c>
      <c r="G77" s="5" t="s">
        <v>36</v>
      </c>
      <c r="H77" s="3" t="s">
        <v>153</v>
      </c>
    </row>
    <row r="78" s="4" customFormat="true" ht="12.75" hidden="false" customHeight="false" outlineLevel="1" collapsed="false">
      <c r="A78" s="5" t="s">
        <v>157</v>
      </c>
      <c r="B78" s="3" t="n">
        <v>100</v>
      </c>
      <c r="C78" s="3" t="s">
        <v>10</v>
      </c>
      <c r="D78" s="3"/>
      <c r="E78" s="3"/>
      <c r="F78" s="5" t="n">
        <f aca="false">WL_T(B78)</f>
        <v>1545.09224919387</v>
      </c>
      <c r="G78" s="5" t="s">
        <v>36</v>
      </c>
      <c r="H78" s="3" t="s">
        <v>155</v>
      </c>
    </row>
    <row r="79" s="4" customFormat="true" ht="12.75" hidden="false" customHeight="false" outlineLevel="1" collapsed="false">
      <c r="A79" s="5" t="s">
        <v>158</v>
      </c>
      <c r="B79" s="3" t="n">
        <v>100</v>
      </c>
      <c r="C79" s="3" t="s">
        <v>12</v>
      </c>
      <c r="D79" s="3" t="n">
        <v>100</v>
      </c>
      <c r="E79" s="3" t="s">
        <v>10</v>
      </c>
      <c r="F79" s="5" t="n">
        <f aca="false">W_PT(B79,D79)</f>
        <v>472.337523524855</v>
      </c>
      <c r="G79" s="5" t="s">
        <v>36</v>
      </c>
      <c r="H79" s="3" t="s">
        <v>159</v>
      </c>
    </row>
    <row r="80" s="4" customFormat="true" ht="12.75" hidden="false" customHeight="false" outlineLevel="1" collapsed="false">
      <c r="A80" s="5" t="s">
        <v>160</v>
      </c>
      <c r="B80" s="3" t="n">
        <v>100</v>
      </c>
      <c r="C80" s="3" t="s">
        <v>12</v>
      </c>
      <c r="D80" s="3" t="n">
        <v>200</v>
      </c>
      <c r="E80" s="3" t="s">
        <v>17</v>
      </c>
      <c r="F80" s="5" t="n">
        <f aca="false">W_PH(B80,D80)</f>
        <v>1542.68247501147</v>
      </c>
      <c r="G80" s="5" t="s">
        <v>36</v>
      </c>
      <c r="H80" s="3" t="s">
        <v>161</v>
      </c>
    </row>
    <row r="81" s="4" customFormat="true" ht="12.75" hidden="false" customHeight="false" outlineLevel="1" collapsed="false">
      <c r="A81" s="5" t="s">
        <v>162</v>
      </c>
      <c r="B81" s="3" t="n">
        <v>100</v>
      </c>
      <c r="C81" s="3" t="s">
        <v>12</v>
      </c>
      <c r="D81" s="3" t="n">
        <v>1</v>
      </c>
      <c r="E81" s="3" t="s">
        <v>48</v>
      </c>
      <c r="F81" s="5" t="n">
        <f aca="false">W_PS(B81,D81)</f>
        <v>1557.85853553222</v>
      </c>
      <c r="G81" s="5" t="s">
        <v>36</v>
      </c>
      <c r="H81" s="3" t="s">
        <v>163</v>
      </c>
    </row>
    <row r="82" s="33" customFormat="true" ht="15" hidden="false" customHeight="false" outlineLevel="0" collapsed="false">
      <c r="A82" s="32" t="s">
        <v>164</v>
      </c>
      <c r="F82" s="34"/>
      <c r="G82" s="34"/>
    </row>
    <row r="83" s="4" customFormat="true" ht="11.25" hidden="false" customHeight="false" outlineLevel="1" collapsed="false">
      <c r="A83" s="4" t="s">
        <v>165</v>
      </c>
      <c r="F83" s="30"/>
      <c r="G83" s="30"/>
    </row>
    <row r="84" s="4" customFormat="true" ht="11.25" hidden="false" customHeight="false" outlineLevel="1" collapsed="false">
      <c r="A84" s="4" t="s">
        <v>166</v>
      </c>
      <c r="F84" s="30"/>
      <c r="G84" s="30"/>
    </row>
    <row r="85" s="4" customFormat="true" ht="12.75" hidden="false" customHeight="false" outlineLevel="1" collapsed="false">
      <c r="A85" s="5" t="s">
        <v>167</v>
      </c>
      <c r="B85" s="3" t="n">
        <v>100</v>
      </c>
      <c r="C85" s="3" t="s">
        <v>12</v>
      </c>
      <c r="D85" s="3" t="n">
        <v>100</v>
      </c>
      <c r="E85" s="3" t="s">
        <v>10</v>
      </c>
      <c r="F85" s="5" t="n">
        <f aca="false">MY_PT(B85,D85)</f>
        <v>1.22704057071965E-005</v>
      </c>
      <c r="G85" s="5" t="s">
        <v>168</v>
      </c>
      <c r="H85" s="3" t="s">
        <v>169</v>
      </c>
    </row>
    <row r="86" s="4" customFormat="true" ht="12.75" hidden="false" customHeight="false" outlineLevel="1" collapsed="false">
      <c r="A86" s="5" t="s">
        <v>170</v>
      </c>
      <c r="B86" s="3" t="n">
        <v>100</v>
      </c>
      <c r="C86" s="3" t="s">
        <v>12</v>
      </c>
      <c r="D86" s="3" t="n">
        <v>100</v>
      </c>
      <c r="E86" s="3" t="s">
        <v>17</v>
      </c>
      <c r="F86" s="35" t="n">
        <f aca="false">MY_PH(B86,D86)</f>
        <v>0.000914003770302112</v>
      </c>
      <c r="G86" s="5" t="s">
        <v>168</v>
      </c>
      <c r="H86" s="3" t="s">
        <v>171</v>
      </c>
    </row>
    <row r="87" s="4" customFormat="true" ht="12.75" hidden="false" customHeight="false" outlineLevel="1" collapsed="false">
      <c r="A87" s="5" t="s">
        <v>172</v>
      </c>
      <c r="B87" s="3" t="n">
        <v>100</v>
      </c>
      <c r="C87" s="3" t="s">
        <v>12</v>
      </c>
      <c r="D87" s="3" t="n">
        <v>1</v>
      </c>
      <c r="E87" s="3" t="s">
        <v>48</v>
      </c>
      <c r="F87" s="35" t="n">
        <f aca="false">MY_PS(B87,D87)</f>
        <v>0.000384221865647568</v>
      </c>
      <c r="G87" s="5" t="s">
        <v>168</v>
      </c>
      <c r="H87" s="3" t="s">
        <v>173</v>
      </c>
    </row>
    <row r="88" customFormat="false" ht="18" hidden="false" customHeight="false" outlineLevel="0" collapsed="false">
      <c r="A88" s="2" t="s">
        <v>174</v>
      </c>
      <c r="F88" s="35"/>
      <c r="H88" s="36"/>
      <c r="I88" s="9"/>
      <c r="J88" s="9"/>
      <c r="K88" s="9"/>
      <c r="L88" s="9"/>
      <c r="M88" s="9"/>
    </row>
    <row r="89" customFormat="false" ht="12.75" hidden="false" customHeight="false" outlineLevel="1" collapsed="false">
      <c r="A89" s="4" t="s">
        <v>175</v>
      </c>
      <c r="F89" s="35"/>
      <c r="H89" s="36"/>
      <c r="I89" s="9"/>
      <c r="J89" s="9"/>
      <c r="K89" s="9"/>
      <c r="L89" s="9"/>
      <c r="M89" s="9"/>
    </row>
    <row r="90" customFormat="false" ht="12.75" hidden="false" customHeight="false" outlineLevel="1" collapsed="false">
      <c r="A90" s="5" t="s">
        <v>176</v>
      </c>
      <c r="B90" s="3" t="n">
        <v>100</v>
      </c>
      <c r="C90" s="3" t="s">
        <v>12</v>
      </c>
      <c r="D90" s="1" t="n">
        <v>200</v>
      </c>
      <c r="E90" s="1" t="s">
        <v>10</v>
      </c>
      <c r="F90" s="35" t="n">
        <f aca="false">PR_PT(B90,D90)</f>
        <v>0.957808214385887</v>
      </c>
      <c r="G90" s="5" t="s">
        <v>177</v>
      </c>
      <c r="H90" s="36"/>
      <c r="I90" s="9"/>
      <c r="J90" s="9"/>
      <c r="K90" s="9"/>
      <c r="L90" s="9"/>
      <c r="M90" s="9"/>
    </row>
    <row r="91" customFormat="false" ht="12.75" hidden="false" customHeight="false" outlineLevel="1" collapsed="false">
      <c r="A91" s="5" t="s">
        <v>178</v>
      </c>
      <c r="B91" s="3" t="n">
        <v>100</v>
      </c>
      <c r="C91" s="3" t="s">
        <v>12</v>
      </c>
      <c r="D91" s="1" t="n">
        <v>2875.4750649489</v>
      </c>
      <c r="E91" s="1" t="s">
        <v>17</v>
      </c>
      <c r="F91" s="35" t="n">
        <f aca="false">PR_PH(B91,D91)</f>
        <v>0.957808261483562</v>
      </c>
      <c r="G91" s="5" t="s">
        <v>177</v>
      </c>
      <c r="H91" s="36"/>
      <c r="I91" s="9"/>
      <c r="J91" s="9"/>
      <c r="K91" s="9"/>
      <c r="L91" s="9"/>
      <c r="M91" s="9"/>
    </row>
    <row r="92" s="33" customFormat="true" ht="15" hidden="false" customHeight="false" outlineLevel="0" collapsed="false">
      <c r="A92" s="32" t="s">
        <v>179</v>
      </c>
      <c r="F92" s="34"/>
      <c r="G92" s="34"/>
      <c r="H92" s="37"/>
      <c r="I92" s="37"/>
      <c r="J92" s="37"/>
      <c r="K92" s="37"/>
      <c r="L92" s="37"/>
      <c r="M92" s="37"/>
    </row>
    <row r="93" s="4" customFormat="true" ht="11.25" hidden="false" customHeight="false" outlineLevel="1" collapsed="false">
      <c r="A93" s="4" t="s">
        <v>180</v>
      </c>
      <c r="F93" s="30"/>
      <c r="G93" s="30"/>
    </row>
    <row r="94" s="4" customFormat="true" ht="12.75" hidden="false" customHeight="false" outlineLevel="1" collapsed="false">
      <c r="A94" s="5" t="s">
        <v>181</v>
      </c>
      <c r="B94" s="3" t="n">
        <v>100</v>
      </c>
      <c r="C94" s="3" t="s">
        <v>12</v>
      </c>
      <c r="D94" s="3"/>
      <c r="E94" s="3"/>
      <c r="F94" s="5" t="n">
        <f aca="false">TCL_P(B94)</f>
        <v>0.677593821766432</v>
      </c>
      <c r="G94" s="5" t="s">
        <v>182</v>
      </c>
      <c r="H94" s="3" t="s">
        <v>183</v>
      </c>
    </row>
    <row r="95" s="4" customFormat="true" ht="12.75" hidden="false" customHeight="false" outlineLevel="1" collapsed="false">
      <c r="A95" s="5" t="s">
        <v>184</v>
      </c>
      <c r="B95" s="3" t="n">
        <v>100</v>
      </c>
      <c r="C95" s="3" t="s">
        <v>12</v>
      </c>
      <c r="D95" s="3"/>
      <c r="E95" s="3"/>
      <c r="F95" s="5" t="n">
        <f aca="false">TCV_P(B95)</f>
        <v>0.0247536675923502</v>
      </c>
      <c r="G95" s="5" t="s">
        <v>182</v>
      </c>
      <c r="H95" s="3" t="s">
        <v>185</v>
      </c>
    </row>
    <row r="96" s="4" customFormat="true" ht="12.75" hidden="false" customHeight="false" outlineLevel="1" collapsed="false">
      <c r="A96" s="5" t="s">
        <v>186</v>
      </c>
      <c r="B96" s="3" t="n">
        <v>25</v>
      </c>
      <c r="C96" s="3" t="s">
        <v>10</v>
      </c>
      <c r="D96" s="3"/>
      <c r="E96" s="3"/>
      <c r="F96" s="5" t="n">
        <f aca="false">TCL_T(B96)</f>
        <v>0.607458161578871</v>
      </c>
      <c r="G96" s="5" t="s">
        <v>182</v>
      </c>
      <c r="H96" s="3" t="s">
        <v>183</v>
      </c>
    </row>
    <row r="97" s="4" customFormat="true" ht="12.75" hidden="false" customHeight="false" outlineLevel="1" collapsed="false">
      <c r="A97" s="5" t="s">
        <v>187</v>
      </c>
      <c r="B97" s="3" t="n">
        <v>25</v>
      </c>
      <c r="C97" s="3" t="s">
        <v>10</v>
      </c>
      <c r="D97" s="3"/>
      <c r="E97" s="3"/>
      <c r="F97" s="5" t="n">
        <f aca="false">TCV_T(B97)</f>
        <v>0.0183267228768631</v>
      </c>
      <c r="G97" s="5" t="s">
        <v>182</v>
      </c>
      <c r="H97" s="3" t="s">
        <v>185</v>
      </c>
    </row>
    <row r="98" s="4" customFormat="true" ht="12.75" hidden="false" customHeight="false" outlineLevel="1" collapsed="false">
      <c r="A98" s="5" t="s">
        <v>188</v>
      </c>
      <c r="B98" s="3" t="n">
        <v>100</v>
      </c>
      <c r="C98" s="3" t="s">
        <v>12</v>
      </c>
      <c r="D98" s="3" t="n">
        <v>25</v>
      </c>
      <c r="E98" s="3" t="s">
        <v>10</v>
      </c>
      <c r="F98" s="5" t="n">
        <f aca="false">TC_PT(B98,D98)</f>
        <v>0.607509806390758</v>
      </c>
      <c r="G98" s="5" t="s">
        <v>182</v>
      </c>
      <c r="H98" s="3" t="s">
        <v>189</v>
      </c>
    </row>
    <row r="99" s="4" customFormat="true" ht="12.75" hidden="false" customHeight="false" outlineLevel="1" collapsed="false">
      <c r="A99" s="5" t="s">
        <v>190</v>
      </c>
      <c r="B99" s="3" t="n">
        <v>100</v>
      </c>
      <c r="C99" s="3" t="s">
        <v>12</v>
      </c>
      <c r="D99" s="3" t="n">
        <v>100</v>
      </c>
      <c r="E99" s="3" t="s">
        <v>48</v>
      </c>
      <c r="F99" s="5" t="n">
        <f aca="false">TC_PH(B99,D99)</f>
        <v>0.605710062456013</v>
      </c>
      <c r="G99" s="5" t="s">
        <v>182</v>
      </c>
      <c r="H99" s="3" t="s">
        <v>191</v>
      </c>
    </row>
    <row r="100" s="4" customFormat="true" ht="12.75" hidden="false" customHeight="false" outlineLevel="1" collapsed="false">
      <c r="A100" s="5" t="s">
        <v>192</v>
      </c>
      <c r="B100" s="3" t="n">
        <v>100</v>
      </c>
      <c r="C100" s="3" t="s">
        <v>48</v>
      </c>
      <c r="D100" s="3" t="n">
        <v>0.34</v>
      </c>
      <c r="E100" s="3" t="s">
        <v>48</v>
      </c>
      <c r="F100" s="5" t="n">
        <f aca="false">TC_HS(B100,D100)</f>
        <v>0.606283123848912</v>
      </c>
      <c r="G100" s="5" t="s">
        <v>182</v>
      </c>
      <c r="H100" s="3" t="s">
        <v>193</v>
      </c>
    </row>
    <row r="101" s="4" customFormat="true" ht="15" hidden="false" customHeight="false" outlineLevel="0" collapsed="false">
      <c r="A101" s="32" t="s">
        <v>194</v>
      </c>
      <c r="B101" s="3"/>
      <c r="C101" s="3"/>
      <c r="D101" s="3"/>
      <c r="E101" s="3"/>
      <c r="F101" s="5"/>
      <c r="G101" s="5"/>
      <c r="H101" s="3"/>
    </row>
    <row r="102" s="4" customFormat="true" ht="11.25" hidden="false" customHeight="false" outlineLevel="1" collapsed="false">
      <c r="A102" s="4" t="s">
        <v>195</v>
      </c>
      <c r="F102" s="30"/>
      <c r="G102" s="30"/>
    </row>
    <row r="103" s="4" customFormat="true" ht="12.75" hidden="false" customHeight="false" outlineLevel="1" collapsed="false">
      <c r="A103" s="5" t="s">
        <v>196</v>
      </c>
      <c r="B103" s="3" t="n">
        <v>100</v>
      </c>
      <c r="C103" s="3" t="s">
        <v>10</v>
      </c>
      <c r="D103" s="3"/>
      <c r="E103" s="3"/>
      <c r="F103" s="5" t="n">
        <f aca="false">ST_T(B104)</f>
        <v>0.0589118685876641</v>
      </c>
      <c r="G103" s="5" t="s">
        <v>197</v>
      </c>
      <c r="H103" s="3" t="s">
        <v>198</v>
      </c>
    </row>
    <row r="104" s="4" customFormat="true" ht="12.75" hidden="false" customHeight="false" outlineLevel="1" collapsed="false">
      <c r="A104" s="5" t="s">
        <v>199</v>
      </c>
      <c r="B104" s="3" t="n">
        <v>100</v>
      </c>
      <c r="C104" s="3" t="s">
        <v>12</v>
      </c>
      <c r="D104" s="3"/>
      <c r="E104" s="3"/>
      <c r="F104" s="5" t="n">
        <f aca="false">ST_P(B104)</f>
        <v>0.0589877841808599</v>
      </c>
      <c r="G104" s="5" t="s">
        <v>197</v>
      </c>
      <c r="H104" s="3" t="s">
        <v>198</v>
      </c>
    </row>
    <row r="105" s="33" customFormat="true" ht="15" hidden="false" customHeight="false" outlineLevel="0" collapsed="false">
      <c r="A105" s="32" t="s">
        <v>30</v>
      </c>
      <c r="F105" s="34"/>
      <c r="G105" s="34"/>
    </row>
    <row r="106" s="4" customFormat="true" ht="12.75" hidden="false" customHeight="false" outlineLevel="1" collapsed="false">
      <c r="A106" s="5" t="s">
        <v>200</v>
      </c>
      <c r="B106" s="3" t="n">
        <v>100</v>
      </c>
      <c r="C106" s="3" t="s">
        <v>12</v>
      </c>
      <c r="D106" s="3" t="n">
        <v>1000</v>
      </c>
      <c r="E106" s="3" t="s">
        <v>17</v>
      </c>
      <c r="F106" s="5" t="n">
        <f aca="false">X_PH(B106,D106)</f>
        <v>0.258055423902795</v>
      </c>
      <c r="G106" s="5"/>
      <c r="H106" s="3" t="s">
        <v>201</v>
      </c>
    </row>
    <row r="107" s="4" customFormat="true" ht="12.75" hidden="false" customHeight="false" outlineLevel="1" collapsed="false">
      <c r="A107" s="5" t="s">
        <v>202</v>
      </c>
      <c r="B107" s="3" t="n">
        <v>100</v>
      </c>
      <c r="C107" s="3" t="s">
        <v>12</v>
      </c>
      <c r="D107" s="3" t="n">
        <v>4</v>
      </c>
      <c r="E107" s="3" t="s">
        <v>48</v>
      </c>
      <c r="F107" s="5" t="n">
        <f aca="false">X_PS(B107,D107)</f>
        <v>0.44539796073232</v>
      </c>
      <c r="G107" s="5"/>
      <c r="H107" s="3" t="s">
        <v>203</v>
      </c>
    </row>
    <row r="108" s="33" customFormat="true" ht="15" hidden="false" customHeight="false" outlineLevel="0" collapsed="false">
      <c r="A108" s="32" t="s">
        <v>204</v>
      </c>
      <c r="F108" s="34"/>
      <c r="G108" s="34"/>
    </row>
    <row r="109" s="4" customFormat="true" ht="11.25" hidden="false" customHeight="false" outlineLevel="1" collapsed="false">
      <c r="A109" s="4" t="s">
        <v>205</v>
      </c>
      <c r="F109" s="30"/>
      <c r="G109" s="30"/>
    </row>
    <row r="110" s="4" customFormat="true" ht="11.25" hidden="false" customHeight="false" outlineLevel="1" collapsed="false">
      <c r="A110" s="4" t="s">
        <v>206</v>
      </c>
      <c r="F110" s="30"/>
      <c r="G110" s="30"/>
    </row>
    <row r="111" s="4" customFormat="true" ht="12.75" hidden="false" customHeight="false" outlineLevel="1" collapsed="false">
      <c r="A111" s="5" t="s">
        <v>207</v>
      </c>
      <c r="B111" s="3" t="n">
        <v>100</v>
      </c>
      <c r="C111" s="3" t="s">
        <v>12</v>
      </c>
      <c r="D111" s="3" t="n">
        <v>418</v>
      </c>
      <c r="E111" s="3" t="s">
        <v>17</v>
      </c>
      <c r="F111" s="38" t="n">
        <f aca="false">VX_PH(B111,D111)</f>
        <v>0.288493093437067</v>
      </c>
      <c r="G111" s="5"/>
      <c r="H111" s="3" t="s">
        <v>208</v>
      </c>
    </row>
    <row r="112" s="4" customFormat="true" ht="12.75" hidden="false" customHeight="false" outlineLevel="1" collapsed="false">
      <c r="A112" s="5" t="s">
        <v>209</v>
      </c>
      <c r="B112" s="3" t="n">
        <v>100</v>
      </c>
      <c r="C112" s="3" t="s">
        <v>12</v>
      </c>
      <c r="D112" s="3" t="n">
        <v>4</v>
      </c>
      <c r="E112" s="3" t="s">
        <v>48</v>
      </c>
      <c r="F112" s="38" t="n">
        <f aca="false">VX_PS(B112,D112)</f>
        <v>0.99923382663888</v>
      </c>
      <c r="G112" s="5"/>
      <c r="H112" s="3" t="s">
        <v>210</v>
      </c>
    </row>
    <row r="113" s="4" customFormat="true" ht="11.25" hidden="false" customHeight="false" outlineLevel="0" collapsed="false">
      <c r="F113" s="30"/>
      <c r="G113" s="30"/>
    </row>
    <row r="114" customFormat="false" ht="15" hidden="false" customHeight="false" outlineLevel="0" collapsed="false">
      <c r="A114" s="32" t="s">
        <v>211</v>
      </c>
    </row>
    <row r="115" customFormat="false" ht="12.75" hidden="false" customHeight="false" outlineLevel="0" collapsed="false">
      <c r="A115" s="30" t="s">
        <v>212</v>
      </c>
    </row>
    <row r="116" customFormat="false" ht="12.75" hidden="false" customHeight="false" outlineLevel="0" collapsed="false">
      <c r="A116" s="4" t="s">
        <v>213</v>
      </c>
    </row>
    <row r="117" customFormat="false" ht="12.75" hidden="false" customHeight="false" outlineLevel="0" collapsed="false">
      <c r="A117" s="4" t="s">
        <v>214</v>
      </c>
    </row>
    <row r="118" customFormat="false" ht="12.75" hidden="false" customHeight="false" outlineLevel="0" collapsed="false">
      <c r="A118" s="4" t="s">
        <v>215</v>
      </c>
    </row>
    <row r="119" customFormat="false" ht="12.75" hidden="false" customHeight="false" outlineLevel="0" collapsed="false">
      <c r="A119" s="30" t="s">
        <v>216</v>
      </c>
    </row>
    <row r="120" customFormat="false" ht="12.75" hidden="false" customHeight="false" outlineLevel="0" collapsed="false">
      <c r="A120" s="4" t="s">
        <v>217</v>
      </c>
    </row>
    <row r="121" customFormat="false" ht="12.75" hidden="false" customHeight="false" outlineLevel="0" collapsed="false">
      <c r="A121" s="30" t="s">
        <v>218</v>
      </c>
    </row>
    <row r="122" customFormat="false" ht="12.75" hidden="false" customHeight="false" outlineLevel="0" collapsed="false">
      <c r="A122" s="4" t="s">
        <v>219</v>
      </c>
    </row>
    <row r="123" customFormat="false" ht="12.75" hidden="false" customHeight="false" outlineLevel="0" collapsed="false">
      <c r="A123" s="4" t="s">
        <v>220</v>
      </c>
    </row>
    <row r="124" customFormat="false" ht="10.9" hidden="false" customHeight="true" outlineLevel="0" collapsed="false">
      <c r="A124" s="4" t="s">
        <v>221</v>
      </c>
    </row>
    <row r="125" customFormat="false" ht="11.45" hidden="false" customHeight="true" outlineLevel="0" collapsed="false">
      <c r="A125" s="4" t="s">
        <v>222</v>
      </c>
    </row>
    <row r="126" customFormat="false" ht="11.45" hidden="false" customHeight="true" outlineLevel="0" collapsed="false">
      <c r="A126" s="30" t="s">
        <v>223</v>
      </c>
    </row>
    <row r="127" customFormat="false" ht="12.75" hidden="false" customHeight="false" outlineLevel="0" collapsed="false">
      <c r="A127" s="4" t="s">
        <v>224</v>
      </c>
    </row>
    <row r="128" customFormat="false" ht="12.75" hidden="false" customHeight="false" outlineLevel="0" collapsed="false">
      <c r="A128" s="4" t="s">
        <v>225</v>
      </c>
    </row>
    <row r="129" customFormat="false" ht="12.75" hidden="false" customHeight="false" outlineLevel="0" collapsed="false">
      <c r="A129" s="4" t="s">
        <v>226</v>
      </c>
    </row>
    <row r="130" customFormat="false" ht="12.75" hidden="false" customHeight="false" outlineLevel="0" collapsed="false">
      <c r="A130" s="4" t="s">
        <v>227</v>
      </c>
    </row>
    <row r="131" customFormat="false" ht="12.75" hidden="false" customHeight="false" outlineLevel="0" collapsed="false">
      <c r="A131" s="4" t="s">
        <v>228</v>
      </c>
    </row>
    <row r="132" customFormat="false" ht="12.75" hidden="false" customHeight="false" outlineLevel="0" collapsed="false">
      <c r="A132" s="30" t="s">
        <v>229</v>
      </c>
    </row>
    <row r="133" customFormat="false" ht="12.75" hidden="false" customHeight="false" outlineLevel="0" collapsed="false">
      <c r="A133" s="4" t="s">
        <v>225</v>
      </c>
    </row>
    <row r="134" customFormat="false" ht="12.75" hidden="false" customHeight="false" outlineLevel="0" collapsed="false">
      <c r="A134" s="4" t="s">
        <v>230</v>
      </c>
    </row>
    <row r="135" customFormat="false" ht="12.75" hidden="false" customHeight="false" outlineLevel="0" collapsed="false">
      <c r="A135" s="4" t="s">
        <v>231</v>
      </c>
    </row>
    <row r="136" customFormat="false" ht="12.75" hidden="false" customHeight="false" outlineLevel="0" collapsed="false">
      <c r="A136" s="4" t="s">
        <v>232</v>
      </c>
    </row>
    <row r="137" customFormat="false" ht="12.75" hidden="false" customHeight="false" outlineLevel="0" collapsed="false">
      <c r="A137" s="4" t="s">
        <v>233</v>
      </c>
    </row>
    <row r="138" customFormat="false" ht="12.75" hidden="false" customHeight="false" outlineLevel="0" collapsed="false">
      <c r="A138" s="30" t="s">
        <v>234</v>
      </c>
    </row>
    <row r="139" customFormat="false" ht="12.75" hidden="false" customHeight="false" outlineLevel="0" collapsed="false">
      <c r="A139" s="4" t="s">
        <v>235</v>
      </c>
    </row>
    <row r="140" customFormat="false" ht="12.75" hidden="false" customHeight="false" outlineLevel="0" collapsed="false">
      <c r="A140" s="4" t="s">
        <v>236</v>
      </c>
    </row>
    <row r="141" customFormat="false" ht="12.75" hidden="false" customHeight="false" outlineLevel="0" collapsed="false">
      <c r="A141" s="4" t="s">
        <v>237</v>
      </c>
    </row>
    <row r="142" customFormat="false" ht="12.75" hidden="false" customHeight="false" outlineLevel="0" collapsed="false">
      <c r="A142" s="30" t="s">
        <v>238</v>
      </c>
    </row>
    <row r="143" customFormat="false" ht="12.75" hidden="false" customHeight="false" outlineLevel="0" collapsed="false">
      <c r="A143" s="4" t="s">
        <v>239</v>
      </c>
    </row>
    <row r="144" customFormat="false" ht="12.75" hidden="false" customHeight="false" outlineLevel="0" collapsed="false">
      <c r="A144" s="4" t="s">
        <v>240</v>
      </c>
    </row>
    <row r="145" customFormat="false" ht="12.75" hidden="false" customHeight="false" outlineLevel="0" collapsed="false">
      <c r="A145" s="4" t="s">
        <v>241</v>
      </c>
    </row>
    <row r="146" customFormat="false" ht="12.75" hidden="false" customHeight="false" outlineLevel="0" collapsed="false">
      <c r="A146" s="4" t="s">
        <v>242</v>
      </c>
    </row>
    <row r="147" customFormat="false" ht="12.75" hidden="false" customHeight="false" outlineLevel="0" collapsed="false">
      <c r="A147" s="4" t="s">
        <v>243</v>
      </c>
    </row>
  </sheetData>
  <hyperlinks>
    <hyperlink ref="E1" r:id="rId1" display="http://www.x-eng.com"/>
    <hyperlink ref="F4" r:id="rId2" display="magnus@x-eng.com"/>
  </hyperlinks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649"/>
  <sheetViews>
    <sheetView showFormulas="false" showGridLines="true" showRowColHeaders="true" showZeros="true" rightToLeft="false" tabSelected="false" showOutlineSymbols="true" defaultGridColor="true" view="normal" topLeftCell="A616" colorId="64" zoomScale="100" zoomScaleNormal="100" zoomScalePageLayoutView="100" workbookViewId="0">
      <selection pane="topLeft" activeCell="A10" activeCellId="0" sqref="A10"/>
    </sheetView>
  </sheetViews>
  <sheetFormatPr defaultRowHeight="12.8" zeroHeight="false" outlineLevelRow="0" outlineLevelCol="0"/>
  <cols>
    <col collapsed="false" customWidth="true" hidden="false" outlineLevel="0" max="1025" min="1" style="0" width="8.67"/>
  </cols>
  <sheetData>
    <row r="1" customFormat="false" ht="13.8" hidden="false" customHeight="false" outlineLevel="0" collapsed="false">
      <c r="B1" s="0" t="n">
        <v>1</v>
      </c>
      <c r="C1" s="0" t="n">
        <v>2</v>
      </c>
      <c r="D1" s="0" t="n">
        <v>3</v>
      </c>
      <c r="E1" s="0" t="n">
        <v>4</v>
      </c>
      <c r="F1" s="0" t="n">
        <v>5</v>
      </c>
      <c r="G1" s="0" t="n">
        <v>6</v>
      </c>
      <c r="H1" s="0" t="n">
        <v>7</v>
      </c>
      <c r="I1" s="0" t="n">
        <v>8</v>
      </c>
      <c r="J1" s="0" t="n">
        <v>9</v>
      </c>
      <c r="K1" s="0" t="n">
        <v>10</v>
      </c>
      <c r="L1" s="0" t="n">
        <v>11</v>
      </c>
      <c r="M1" s="0" t="n">
        <v>12</v>
      </c>
      <c r="N1" s="0" t="n">
        <v>13</v>
      </c>
      <c r="O1" s="0" t="n">
        <v>14</v>
      </c>
      <c r="P1" s="0" t="n">
        <v>15</v>
      </c>
      <c r="Q1" s="0" t="n">
        <v>16</v>
      </c>
      <c r="R1" s="0" t="n">
        <v>17</v>
      </c>
      <c r="S1" s="0" t="n">
        <v>18</v>
      </c>
      <c r="T1" s="0" t="n">
        <v>19</v>
      </c>
      <c r="U1" s="0" t="n">
        <v>20</v>
      </c>
      <c r="V1" s="0" t="n">
        <v>21</v>
      </c>
      <c r="W1" s="0" t="n">
        <v>22</v>
      </c>
      <c r="X1" s="0" t="n">
        <v>23</v>
      </c>
      <c r="Y1" s="0" t="n">
        <v>24</v>
      </c>
      <c r="Z1" s="0" t="n">
        <v>25</v>
      </c>
      <c r="AA1" s="0" t="n">
        <v>26</v>
      </c>
      <c r="AB1" s="0" t="n">
        <v>27</v>
      </c>
      <c r="AC1" s="0" t="n">
        <v>28</v>
      </c>
      <c r="AD1" s="0" t="n">
        <v>29</v>
      </c>
      <c r="AE1" s="0" t="n">
        <v>30</v>
      </c>
      <c r="AF1" s="0" t="n">
        <v>31</v>
      </c>
      <c r="AG1" s="0" t="n">
        <v>32</v>
      </c>
      <c r="AH1" s="0" t="n">
        <v>33</v>
      </c>
      <c r="AI1" s="0" t="n">
        <v>34</v>
      </c>
      <c r="AJ1" s="0" t="n">
        <v>35</v>
      </c>
      <c r="AK1" s="0" t="n">
        <v>36</v>
      </c>
      <c r="AL1" s="0" t="n">
        <v>37</v>
      </c>
      <c r="AM1" s="0" t="n">
        <v>38</v>
      </c>
      <c r="AN1" s="0" t="n">
        <v>39</v>
      </c>
      <c r="AO1" s="0" t="n">
        <v>40</v>
      </c>
      <c r="AP1" s="0" t="n">
        <v>41</v>
      </c>
      <c r="AQ1" s="0" t="n">
        <v>42</v>
      </c>
      <c r="AR1" s="0" t="n">
        <v>43</v>
      </c>
      <c r="AS1" s="0" t="n">
        <v>44</v>
      </c>
    </row>
    <row r="2" customFormat="false" ht="13.8" hidden="false" customHeight="false" outlineLevel="0" collapsed="false">
      <c r="A2" s="0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s">
        <v>245</v>
      </c>
      <c r="B3" s="0" t="n">
        <v>-0.00015</v>
      </c>
      <c r="C3" s="0" t="n">
        <v>0</v>
      </c>
      <c r="D3" s="0" t="n">
        <v>0.001</v>
      </c>
      <c r="E3" s="0" t="n">
        <v>0.002</v>
      </c>
      <c r="F3" s="0" t="n">
        <v>0.003</v>
      </c>
      <c r="G3" s="0" t="n">
        <v>0.004</v>
      </c>
      <c r="H3" s="0" t="n">
        <v>0.005</v>
      </c>
      <c r="I3" s="0" t="n">
        <v>0.006</v>
      </c>
      <c r="J3" s="0" t="n">
        <v>0.007</v>
      </c>
      <c r="K3" s="0" t="n">
        <v>0.008</v>
      </c>
      <c r="L3" s="0" t="n">
        <v>0.009</v>
      </c>
      <c r="M3" s="0" t="n">
        <v>0.01</v>
      </c>
      <c r="N3" s="0" t="n">
        <v>0.02</v>
      </c>
      <c r="O3" s="0" t="n">
        <v>0.03</v>
      </c>
      <c r="P3" s="0" t="n">
        <v>0.04</v>
      </c>
      <c r="Q3" s="0" t="n">
        <v>0.05</v>
      </c>
      <c r="R3" s="0" t="n">
        <v>0.06</v>
      </c>
      <c r="S3" s="0" t="n">
        <v>0.07</v>
      </c>
      <c r="T3" s="0" t="n">
        <v>0.08</v>
      </c>
      <c r="U3" s="0" t="n">
        <v>0.09</v>
      </c>
      <c r="V3" s="0" t="n">
        <v>0.1</v>
      </c>
      <c r="W3" s="0" t="n">
        <v>0.2</v>
      </c>
      <c r="X3" s="0" t="n">
        <v>0.3</v>
      </c>
      <c r="Y3" s="0" t="n">
        <v>0.4</v>
      </c>
      <c r="Z3" s="0" t="n">
        <v>0.5</v>
      </c>
      <c r="AA3" s="0" t="n">
        <v>0.6</v>
      </c>
      <c r="AB3" s="0" t="n">
        <v>0.7</v>
      </c>
      <c r="AC3" s="0" t="n">
        <v>0.8</v>
      </c>
      <c r="AD3" s="0" t="n">
        <v>0.9</v>
      </c>
      <c r="AE3" s="0" t="n">
        <v>1</v>
      </c>
      <c r="AF3" s="0" t="n">
        <v>2</v>
      </c>
      <c r="AG3" s="0" t="n">
        <v>3</v>
      </c>
      <c r="AH3" s="0" t="n">
        <v>4</v>
      </c>
      <c r="AI3" s="0" t="n">
        <v>5</v>
      </c>
      <c r="AJ3" s="0" t="n">
        <v>6</v>
      </c>
      <c r="AK3" s="0" t="n">
        <v>7</v>
      </c>
      <c r="AL3" s="0" t="n">
        <v>8</v>
      </c>
      <c r="AM3" s="0" t="n">
        <v>9</v>
      </c>
      <c r="AN3" s="0" t="n">
        <v>9.15574</v>
      </c>
      <c r="AO3" s="0" t="n">
        <v>9.2</v>
      </c>
    </row>
    <row r="4" customFormat="false" ht="13.8" hidden="false" customHeight="false" outlineLevel="0" collapsed="false">
      <c r="A4" s="0" t="s">
        <v>246</v>
      </c>
      <c r="B4" s="0" t="n">
        <v>0</v>
      </c>
      <c r="C4" s="0" t="n">
        <v>0.1</v>
      </c>
      <c r="D4" s="0" t="n">
        <v>0.2</v>
      </c>
      <c r="E4" s="0" t="n">
        <v>0.3</v>
      </c>
      <c r="F4" s="0" t="n">
        <v>0.4</v>
      </c>
      <c r="G4" s="0" t="n">
        <v>0.5</v>
      </c>
      <c r="H4" s="0" t="n">
        <v>0.6</v>
      </c>
      <c r="I4" s="0" t="n">
        <v>0.7</v>
      </c>
      <c r="J4" s="0" t="n">
        <v>0.8</v>
      </c>
      <c r="K4" s="0" t="n">
        <v>0.9</v>
      </c>
      <c r="L4" s="0" t="n">
        <v>1</v>
      </c>
      <c r="M4" s="0" t="n">
        <v>2</v>
      </c>
      <c r="N4" s="0" t="n">
        <v>3</v>
      </c>
      <c r="O4" s="0" t="n">
        <v>4</v>
      </c>
      <c r="P4" s="0" t="n">
        <v>5</v>
      </c>
      <c r="Q4" s="0" t="n">
        <v>6</v>
      </c>
      <c r="R4" s="0" t="n">
        <v>7</v>
      </c>
      <c r="S4" s="0" t="n">
        <v>8</v>
      </c>
      <c r="T4" s="0" t="n">
        <v>9</v>
      </c>
      <c r="U4" s="0" t="n">
        <v>10</v>
      </c>
      <c r="V4" s="0" t="n">
        <v>20</v>
      </c>
      <c r="W4" s="0" t="n">
        <v>30</v>
      </c>
      <c r="X4" s="0" t="n">
        <v>40</v>
      </c>
      <c r="Y4" s="0" t="n">
        <v>50</v>
      </c>
      <c r="Z4" s="0" t="n">
        <v>60</v>
      </c>
      <c r="AA4" s="0" t="n">
        <v>70</v>
      </c>
      <c r="AB4" s="0" t="n">
        <v>80</v>
      </c>
      <c r="AC4" s="0" t="n">
        <v>90</v>
      </c>
      <c r="AD4" s="0" t="n">
        <v>100</v>
      </c>
      <c r="AE4" s="0" t="n">
        <v>200</v>
      </c>
      <c r="AF4" s="0" t="n">
        <v>300</v>
      </c>
      <c r="AG4" s="0" t="n">
        <v>400</v>
      </c>
    </row>
    <row r="5" customFormat="false" ht="13.8" hidden="false" customHeight="false" outlineLevel="0" collapsed="false">
      <c r="A5" s="0" t="s">
        <v>247</v>
      </c>
      <c r="B5" s="0" t="n">
        <f aca="false">B4</f>
        <v>0</v>
      </c>
      <c r="C5" s="0" t="n">
        <f aca="false">C4</f>
        <v>0.1</v>
      </c>
      <c r="D5" s="0" t="n">
        <f aca="false">D4</f>
        <v>0.2</v>
      </c>
      <c r="E5" s="0" t="n">
        <f aca="false">E4</f>
        <v>0.3</v>
      </c>
      <c r="F5" s="0" t="n">
        <f aca="false">F4</f>
        <v>0.4</v>
      </c>
      <c r="G5" s="0" t="n">
        <f aca="false">G4</f>
        <v>0.5</v>
      </c>
      <c r="H5" s="0" t="n">
        <f aca="false">H4</f>
        <v>0.6</v>
      </c>
      <c r="I5" s="0" t="n">
        <f aca="false">I4</f>
        <v>0.7</v>
      </c>
      <c r="J5" s="0" t="n">
        <f aca="false">J4</f>
        <v>0.8</v>
      </c>
      <c r="K5" s="0" t="n">
        <f aca="false">K4</f>
        <v>0.9</v>
      </c>
      <c r="L5" s="0" t="n">
        <f aca="false">L4</f>
        <v>1</v>
      </c>
      <c r="M5" s="0" t="n">
        <f aca="false">M4</f>
        <v>2</v>
      </c>
      <c r="N5" s="0" t="n">
        <f aca="false">N4</f>
        <v>3</v>
      </c>
      <c r="O5" s="0" t="n">
        <f aca="false">O4</f>
        <v>4</v>
      </c>
      <c r="P5" s="0" t="n">
        <f aca="false">P4</f>
        <v>5</v>
      </c>
      <c r="Q5" s="0" t="n">
        <f aca="false">Q4</f>
        <v>6</v>
      </c>
      <c r="R5" s="0" t="n">
        <f aca="false">R4</f>
        <v>7</v>
      </c>
      <c r="S5" s="0" t="n">
        <f aca="false">S4</f>
        <v>8</v>
      </c>
      <c r="T5" s="0" t="n">
        <f aca="false">T4</f>
        <v>9</v>
      </c>
      <c r="U5" s="0" t="n">
        <f aca="false">U4</f>
        <v>10</v>
      </c>
      <c r="V5" s="0" t="n">
        <f aca="false">V4</f>
        <v>20</v>
      </c>
      <c r="W5" s="0" t="n">
        <f aca="false">W4</f>
        <v>30</v>
      </c>
      <c r="X5" s="0" t="n">
        <f aca="false">X4</f>
        <v>40</v>
      </c>
      <c r="Y5" s="0" t="n">
        <f aca="false">Y4</f>
        <v>50</v>
      </c>
      <c r="Z5" s="0" t="n">
        <f aca="false">Z4</f>
        <v>60</v>
      </c>
      <c r="AA5" s="0" t="n">
        <f aca="false">AA4</f>
        <v>70</v>
      </c>
      <c r="AB5" s="0" t="n">
        <f aca="false">AB4</f>
        <v>80</v>
      </c>
      <c r="AC5" s="0" t="n">
        <f aca="false">AC4</f>
        <v>90</v>
      </c>
      <c r="AD5" s="0" t="n">
        <f aca="false">AD4</f>
        <v>100</v>
      </c>
      <c r="AE5" s="0" t="n">
        <f aca="false">AE4</f>
        <v>200</v>
      </c>
      <c r="AF5" s="0" t="n">
        <f aca="false">AF4</f>
        <v>300</v>
      </c>
      <c r="AG5" s="0" t="n">
        <f aca="false">AG4</f>
        <v>400</v>
      </c>
      <c r="AH5" s="0" t="n">
        <f aca="false">AG5+100</f>
        <v>500</v>
      </c>
      <c r="AI5" s="0" t="n">
        <f aca="false">AH5+100</f>
        <v>600</v>
      </c>
      <c r="AJ5" s="0" t="n">
        <f aca="false">AI5+100</f>
        <v>700</v>
      </c>
      <c r="AK5" s="0" t="n">
        <f aca="false">AJ5+100</f>
        <v>800</v>
      </c>
      <c r="AL5" s="0" t="n">
        <f aca="false">AK5+100</f>
        <v>900</v>
      </c>
      <c r="AM5" s="0" t="n">
        <f aca="false">AL5+100</f>
        <v>1000</v>
      </c>
    </row>
    <row r="9" customFormat="false" ht="12.8" hidden="false" customHeight="false" outlineLevel="0" collapsed="false">
      <c r="A9" s="0" t="s">
        <v>248</v>
      </c>
      <c r="B9" s="0" t="s">
        <v>249</v>
      </c>
      <c r="C9" s="0" t="s">
        <v>250</v>
      </c>
    </row>
    <row r="10" customFormat="false" ht="12.8" hidden="false" customHeight="false" outlineLevel="0" collapsed="false">
      <c r="A10" s="0" t="n">
        <v>0.1</v>
      </c>
      <c r="B10" s="0" t="n">
        <v>0.01</v>
      </c>
      <c r="C10" s="0" t="n">
        <v>0</v>
      </c>
    </row>
    <row r="11" customFormat="false" ht="13.8" hidden="false" customHeight="false" outlineLevel="0" collapsed="false">
      <c r="A11" s="0" t="n">
        <v>0.2</v>
      </c>
      <c r="B11" s="0" t="n">
        <f aca="false">B10+0.01</f>
        <v>0.02</v>
      </c>
      <c r="C11" s="0" t="n">
        <v>0.001</v>
      </c>
    </row>
    <row r="12" customFormat="false" ht="13.8" hidden="false" customHeight="false" outlineLevel="0" collapsed="false">
      <c r="A12" s="0" t="n">
        <v>0.3</v>
      </c>
      <c r="B12" s="0" t="n">
        <f aca="false">B11+0.01</f>
        <v>0.03</v>
      </c>
      <c r="C12" s="0" t="n">
        <f aca="false">C11+0.001</f>
        <v>0.002</v>
      </c>
    </row>
    <row r="13" customFormat="false" ht="13.8" hidden="false" customHeight="false" outlineLevel="0" collapsed="false">
      <c r="A13" s="0" t="n">
        <v>0.4</v>
      </c>
      <c r="B13" s="0" t="n">
        <f aca="false">B12+0.01</f>
        <v>0.04</v>
      </c>
      <c r="C13" s="0" t="n">
        <f aca="false">C12+0.001</f>
        <v>0.003</v>
      </c>
    </row>
    <row r="14" customFormat="false" ht="13.8" hidden="false" customHeight="false" outlineLevel="0" collapsed="false">
      <c r="A14" s="0" t="n">
        <v>0.5</v>
      </c>
      <c r="B14" s="0" t="n">
        <f aca="false">B13+0.01</f>
        <v>0.05</v>
      </c>
      <c r="C14" s="0" t="n">
        <f aca="false">C13+0.001</f>
        <v>0.004</v>
      </c>
    </row>
    <row r="15" customFormat="false" ht="13.8" hidden="false" customHeight="false" outlineLevel="0" collapsed="false">
      <c r="A15" s="0" t="n">
        <v>0.6</v>
      </c>
      <c r="B15" s="0" t="n">
        <f aca="false">B14+0.01</f>
        <v>0.06</v>
      </c>
      <c r="C15" s="0" t="n">
        <f aca="false">C14+0.001</f>
        <v>0.005</v>
      </c>
    </row>
    <row r="16" customFormat="false" ht="13.8" hidden="false" customHeight="false" outlineLevel="0" collapsed="false">
      <c r="A16" s="0" t="n">
        <v>0.7</v>
      </c>
      <c r="B16" s="0" t="n">
        <f aca="false">B15+0.01</f>
        <v>0.07</v>
      </c>
      <c r="C16" s="0" t="n">
        <f aca="false">C15+0.001</f>
        <v>0.006</v>
      </c>
    </row>
    <row r="17" customFormat="false" ht="13.8" hidden="false" customHeight="false" outlineLevel="0" collapsed="false">
      <c r="A17" s="0" t="n">
        <v>0.8</v>
      </c>
      <c r="B17" s="0" t="n">
        <f aca="false">B16+0.01</f>
        <v>0.08</v>
      </c>
      <c r="C17" s="0" t="n">
        <f aca="false">C16+0.001</f>
        <v>0.007</v>
      </c>
    </row>
    <row r="18" customFormat="false" ht="13.8" hidden="false" customHeight="false" outlineLevel="0" collapsed="false">
      <c r="A18" s="0" t="n">
        <v>0.9</v>
      </c>
      <c r="B18" s="0" t="n">
        <f aca="false">B17+0.01</f>
        <v>0.09</v>
      </c>
      <c r="C18" s="0" t="n">
        <f aca="false">C17+0.001</f>
        <v>0.008</v>
      </c>
    </row>
    <row r="19" customFormat="false" ht="13.8" hidden="false" customHeight="false" outlineLevel="0" collapsed="false">
      <c r="A19" s="0" t="n">
        <v>1</v>
      </c>
      <c r="B19" s="0" t="n">
        <f aca="false">B18+0.01</f>
        <v>0.1</v>
      </c>
      <c r="C19" s="0" t="n">
        <f aca="false">C18+0.001</f>
        <v>0.009</v>
      </c>
    </row>
    <row r="20" customFormat="false" ht="13.8" hidden="false" customHeight="false" outlineLevel="0" collapsed="false">
      <c r="A20" s="0" t="n">
        <v>2</v>
      </c>
      <c r="B20" s="0" t="n">
        <f aca="false">B19+0.1</f>
        <v>0.2</v>
      </c>
      <c r="C20" s="0" t="n">
        <f aca="false">C19+0.001</f>
        <v>0.01</v>
      </c>
    </row>
    <row r="21" customFormat="false" ht="13.8" hidden="false" customHeight="false" outlineLevel="0" collapsed="false">
      <c r="A21" s="0" t="n">
        <v>3</v>
      </c>
      <c r="B21" s="0" t="n">
        <f aca="false">B20+0.1</f>
        <v>0.3</v>
      </c>
      <c r="C21" s="0" t="n">
        <f aca="false">C20+0.01</f>
        <v>0.02</v>
      </c>
    </row>
    <row r="22" customFormat="false" ht="13.8" hidden="false" customHeight="false" outlineLevel="0" collapsed="false">
      <c r="A22" s="0" t="n">
        <v>4</v>
      </c>
      <c r="B22" s="0" t="n">
        <f aca="false">B21+0.1</f>
        <v>0.4</v>
      </c>
      <c r="C22" s="0" t="n">
        <f aca="false">C21+0.01</f>
        <v>0.03</v>
      </c>
    </row>
    <row r="23" customFormat="false" ht="13.8" hidden="false" customHeight="false" outlineLevel="0" collapsed="false">
      <c r="A23" s="0" t="n">
        <v>5</v>
      </c>
      <c r="B23" s="0" t="n">
        <f aca="false">B22+0.1</f>
        <v>0.5</v>
      </c>
      <c r="C23" s="0" t="n">
        <f aca="false">C22+0.01</f>
        <v>0.04</v>
      </c>
    </row>
    <row r="24" customFormat="false" ht="13.8" hidden="false" customHeight="false" outlineLevel="0" collapsed="false">
      <c r="A24" s="0" t="n">
        <v>6</v>
      </c>
      <c r="B24" s="0" t="n">
        <f aca="false">B23+0.1</f>
        <v>0.6</v>
      </c>
      <c r="C24" s="0" t="n">
        <f aca="false">C23+0.01</f>
        <v>0.05</v>
      </c>
    </row>
    <row r="25" customFormat="false" ht="13.8" hidden="false" customHeight="false" outlineLevel="0" collapsed="false">
      <c r="A25" s="0" t="n">
        <v>7</v>
      </c>
      <c r="B25" s="0" t="n">
        <f aca="false">B24+0.1</f>
        <v>0.7</v>
      </c>
      <c r="C25" s="0" t="n">
        <f aca="false">C24+0.01</f>
        <v>0.06</v>
      </c>
    </row>
    <row r="26" customFormat="false" ht="13.8" hidden="false" customHeight="false" outlineLevel="0" collapsed="false">
      <c r="A26" s="0" t="n">
        <v>8</v>
      </c>
      <c r="B26" s="0" t="n">
        <f aca="false">B25+0.1</f>
        <v>0.8</v>
      </c>
      <c r="C26" s="0" t="n">
        <f aca="false">C25+0.01</f>
        <v>0.07</v>
      </c>
    </row>
    <row r="27" customFormat="false" ht="13.8" hidden="false" customHeight="false" outlineLevel="0" collapsed="false">
      <c r="A27" s="0" t="n">
        <v>9</v>
      </c>
      <c r="B27" s="0" t="n">
        <f aca="false">B26+0.1</f>
        <v>0.9</v>
      </c>
      <c r="C27" s="0" t="n">
        <f aca="false">C26+0.01</f>
        <v>0.08</v>
      </c>
    </row>
    <row r="28" customFormat="false" ht="13.8" hidden="false" customHeight="false" outlineLevel="0" collapsed="false">
      <c r="A28" s="0" t="n">
        <v>10</v>
      </c>
      <c r="B28" s="0" t="n">
        <f aca="false">B27+0.1</f>
        <v>1</v>
      </c>
      <c r="C28" s="0" t="n">
        <f aca="false">C27+0.01</f>
        <v>0.09</v>
      </c>
    </row>
    <row r="29" customFormat="false" ht="13.8" hidden="false" customHeight="false" outlineLevel="0" collapsed="false">
      <c r="A29" s="0" t="n">
        <v>20</v>
      </c>
      <c r="B29" s="0" t="n">
        <f aca="false">B28+1</f>
        <v>2</v>
      </c>
      <c r="C29" s="0" t="n">
        <f aca="false">C28+0.01</f>
        <v>0.1</v>
      </c>
    </row>
    <row r="30" customFormat="false" ht="13.8" hidden="false" customHeight="false" outlineLevel="0" collapsed="false">
      <c r="A30" s="0" t="n">
        <v>30</v>
      </c>
      <c r="B30" s="0" t="n">
        <f aca="false">B29+1</f>
        <v>3</v>
      </c>
      <c r="C30" s="0" t="n">
        <f aca="false">C29+0.1</f>
        <v>0.2</v>
      </c>
    </row>
    <row r="31" customFormat="false" ht="13.8" hidden="false" customHeight="false" outlineLevel="0" collapsed="false">
      <c r="A31" s="0" t="n">
        <v>40</v>
      </c>
      <c r="B31" s="0" t="n">
        <f aca="false">B30+1</f>
        <v>4</v>
      </c>
      <c r="C31" s="0" t="n">
        <f aca="false">C30+0.1</f>
        <v>0.3</v>
      </c>
    </row>
    <row r="32" customFormat="false" ht="13.8" hidden="false" customHeight="false" outlineLevel="0" collapsed="false">
      <c r="A32" s="0" t="n">
        <v>50</v>
      </c>
      <c r="B32" s="0" t="n">
        <f aca="false">B31+1</f>
        <v>5</v>
      </c>
      <c r="C32" s="0" t="n">
        <f aca="false">C31+0.1</f>
        <v>0.4</v>
      </c>
    </row>
    <row r="33" customFormat="false" ht="13.8" hidden="false" customHeight="false" outlineLevel="0" collapsed="false">
      <c r="A33" s="0" t="n">
        <v>60</v>
      </c>
      <c r="B33" s="0" t="n">
        <f aca="false">B32+1</f>
        <v>6</v>
      </c>
      <c r="C33" s="0" t="n">
        <f aca="false">C32+0.1</f>
        <v>0.5</v>
      </c>
    </row>
    <row r="34" customFormat="false" ht="13.8" hidden="false" customHeight="false" outlineLevel="0" collapsed="false">
      <c r="A34" s="0" t="n">
        <v>70</v>
      </c>
      <c r="B34" s="0" t="n">
        <f aca="false">B33+1</f>
        <v>7</v>
      </c>
      <c r="C34" s="0" t="n">
        <f aca="false">C33+0.1</f>
        <v>0.6</v>
      </c>
    </row>
    <row r="35" customFormat="false" ht="13.8" hidden="false" customHeight="false" outlineLevel="0" collapsed="false">
      <c r="A35" s="0" t="n">
        <v>80</v>
      </c>
      <c r="B35" s="0" t="n">
        <f aca="false">B34+1</f>
        <v>8</v>
      </c>
      <c r="C35" s="0" t="n">
        <f aca="false">C34+0.1</f>
        <v>0.7</v>
      </c>
    </row>
    <row r="36" customFormat="false" ht="13.8" hidden="false" customHeight="false" outlineLevel="0" collapsed="false">
      <c r="A36" s="0" t="n">
        <v>90</v>
      </c>
      <c r="B36" s="0" t="n">
        <f aca="false">B35+1</f>
        <v>9</v>
      </c>
      <c r="C36" s="0" t="n">
        <f aca="false">C35+0.1</f>
        <v>0.8</v>
      </c>
    </row>
    <row r="37" customFormat="false" ht="13.8" hidden="false" customHeight="false" outlineLevel="0" collapsed="false">
      <c r="A37" s="0" t="n">
        <v>100</v>
      </c>
      <c r="B37" s="0" t="n">
        <f aca="false">B36+1</f>
        <v>10</v>
      </c>
      <c r="C37" s="0" t="n">
        <f aca="false">C36+0.1</f>
        <v>0.9</v>
      </c>
    </row>
    <row r="38" customFormat="false" ht="13.8" hidden="false" customHeight="false" outlineLevel="0" collapsed="false">
      <c r="A38" s="0" t="n">
        <v>200</v>
      </c>
      <c r="B38" s="0" t="n">
        <f aca="false">B37+10</f>
        <v>20</v>
      </c>
      <c r="C38" s="0" t="n">
        <f aca="false">C37+0.1</f>
        <v>1</v>
      </c>
    </row>
    <row r="39" customFormat="false" ht="13.8" hidden="false" customHeight="false" outlineLevel="0" collapsed="false">
      <c r="A39" s="0" t="n">
        <v>300</v>
      </c>
      <c r="B39" s="0" t="n">
        <f aca="false">B38+10</f>
        <v>30</v>
      </c>
    </row>
    <row r="40" customFormat="false" ht="13.8" hidden="false" customHeight="false" outlineLevel="0" collapsed="false">
      <c r="A40" s="0" t="n">
        <v>400</v>
      </c>
      <c r="B40" s="0" t="n">
        <f aca="false">B39+10</f>
        <v>40</v>
      </c>
    </row>
    <row r="41" customFormat="false" ht="13.8" hidden="false" customHeight="false" outlineLevel="0" collapsed="false">
      <c r="A41" s="0" t="n">
        <v>500</v>
      </c>
      <c r="B41" s="0" t="n">
        <f aca="false">B40+10</f>
        <v>50</v>
      </c>
    </row>
    <row r="42" customFormat="false" ht="13.8" hidden="false" customHeight="false" outlineLevel="0" collapsed="false">
      <c r="A42" s="0" t="n">
        <v>600</v>
      </c>
      <c r="B42" s="0" t="n">
        <f aca="false">B41+10</f>
        <v>60</v>
      </c>
    </row>
    <row r="43" customFormat="false" ht="13.8" hidden="false" customHeight="false" outlineLevel="0" collapsed="false">
      <c r="A43" s="0" t="n">
        <v>700</v>
      </c>
      <c r="B43" s="0" t="n">
        <f aca="false">B42+10</f>
        <v>70</v>
      </c>
    </row>
    <row r="44" customFormat="false" ht="13.8" hidden="false" customHeight="false" outlineLevel="0" collapsed="false">
      <c r="A44" s="0" t="n">
        <v>800</v>
      </c>
      <c r="B44" s="0" t="n">
        <f aca="false">B43+10</f>
        <v>80</v>
      </c>
    </row>
    <row r="45" customFormat="false" ht="13.8" hidden="false" customHeight="false" outlineLevel="0" collapsed="false">
      <c r="A45" s="0" t="n">
        <v>900</v>
      </c>
      <c r="B45" s="0" t="n">
        <f aca="false">B44+10</f>
        <v>90</v>
      </c>
    </row>
    <row r="46" customFormat="false" ht="13.8" hidden="false" customHeight="false" outlineLevel="0" collapsed="false">
      <c r="A46" s="0" t="n">
        <v>1000</v>
      </c>
      <c r="B46" s="0" t="n">
        <f aca="false">B45+10</f>
        <v>100</v>
      </c>
    </row>
    <row r="47" customFormat="false" ht="13.8" hidden="false" customHeight="false" outlineLevel="0" collapsed="false">
      <c r="A47" s="0" t="n">
        <v>2000</v>
      </c>
      <c r="B47" s="0" t="n">
        <f aca="false">B46+100</f>
        <v>200</v>
      </c>
    </row>
    <row r="48" customFormat="false" ht="13.8" hidden="false" customHeight="false" outlineLevel="0" collapsed="false">
      <c r="A48" s="0" t="n">
        <v>2010</v>
      </c>
      <c r="B48" s="0" t="n">
        <f aca="false">B47+100</f>
        <v>300</v>
      </c>
    </row>
    <row r="49" customFormat="false" ht="13.8" hidden="false" customHeight="false" outlineLevel="0" collapsed="false">
      <c r="A49" s="0" t="n">
        <v>2020</v>
      </c>
      <c r="B49" s="0" t="n">
        <f aca="false">B48+100</f>
        <v>400</v>
      </c>
    </row>
    <row r="50" customFormat="false" ht="13.8" hidden="false" customHeight="false" outlineLevel="0" collapsed="false">
      <c r="A50" s="0" t="n">
        <v>2030</v>
      </c>
      <c r="B50" s="0" t="n">
        <f aca="false">B49+100</f>
        <v>500</v>
      </c>
    </row>
    <row r="51" customFormat="false" ht="13.8" hidden="false" customHeight="false" outlineLevel="0" collapsed="false">
      <c r="A51" s="0" t="n">
        <v>2040</v>
      </c>
      <c r="B51" s="0" t="n">
        <f aca="false">B50+100</f>
        <v>600</v>
      </c>
    </row>
    <row r="52" customFormat="false" ht="13.8" hidden="false" customHeight="false" outlineLevel="0" collapsed="false">
      <c r="A52" s="0" t="n">
        <v>2050</v>
      </c>
      <c r="B52" s="0" t="n">
        <f aca="false">B51+100</f>
        <v>700</v>
      </c>
    </row>
    <row r="53" customFormat="false" ht="13.8" hidden="false" customHeight="false" outlineLevel="0" collapsed="false">
      <c r="A53" s="0" t="n">
        <v>2060</v>
      </c>
      <c r="B53" s="0" t="n">
        <f aca="false">B52+100</f>
        <v>800</v>
      </c>
    </row>
    <row r="54" customFormat="false" ht="13.8" hidden="false" customHeight="false" outlineLevel="0" collapsed="false">
      <c r="A54" s="0" t="n">
        <v>2070</v>
      </c>
      <c r="B54" s="0" t="n">
        <f aca="false">B53+100</f>
        <v>900</v>
      </c>
    </row>
    <row r="55" customFormat="false" ht="13.8" hidden="false" customHeight="false" outlineLevel="0" collapsed="false">
      <c r="A55" s="0" t="n">
        <v>2080</v>
      </c>
      <c r="B55" s="0" t="n">
        <f aca="false">B54+100</f>
        <v>1000</v>
      </c>
    </row>
    <row r="56" customFormat="false" ht="13.8" hidden="false" customHeight="false" outlineLevel="0" collapsed="false">
      <c r="A56" s="0" t="n">
        <v>2090</v>
      </c>
    </row>
    <row r="57" customFormat="false" ht="13.8" hidden="false" customHeight="false" outlineLevel="0" collapsed="false">
      <c r="A57" s="0" t="n">
        <v>2100</v>
      </c>
    </row>
    <row r="58" customFormat="false" ht="12.8" hidden="false" customHeight="false" outlineLevel="0" collapsed="false">
      <c r="A58" s="0" t="n">
        <v>2110</v>
      </c>
    </row>
    <row r="59" customFormat="false" ht="12.8" hidden="false" customHeight="false" outlineLevel="0" collapsed="false">
      <c r="A59" s="0" t="n">
        <v>2120</v>
      </c>
    </row>
    <row r="60" customFormat="false" ht="12.8" hidden="false" customHeight="false" outlineLevel="0" collapsed="false">
      <c r="A60" s="0" t="n">
        <v>2130</v>
      </c>
    </row>
    <row r="61" customFormat="false" ht="12.8" hidden="false" customHeight="false" outlineLevel="0" collapsed="false">
      <c r="A61" s="0" t="n">
        <v>2140</v>
      </c>
    </row>
    <row r="62" customFormat="false" ht="12.8" hidden="false" customHeight="false" outlineLevel="0" collapsed="false">
      <c r="A62" s="0" t="n">
        <v>2150</v>
      </c>
    </row>
    <row r="63" customFormat="false" ht="12.8" hidden="false" customHeight="false" outlineLevel="0" collapsed="false">
      <c r="A63" s="0" t="n">
        <v>2160</v>
      </c>
    </row>
    <row r="64" customFormat="false" ht="12.8" hidden="false" customHeight="false" outlineLevel="0" collapsed="false">
      <c r="A64" s="0" t="n">
        <v>2170</v>
      </c>
    </row>
    <row r="65" customFormat="false" ht="12.8" hidden="false" customHeight="false" outlineLevel="0" collapsed="false">
      <c r="A65" s="0" t="n">
        <v>2180</v>
      </c>
    </row>
    <row r="66" customFormat="false" ht="12.8" hidden="false" customHeight="false" outlineLevel="0" collapsed="false">
      <c r="A66" s="0" t="n">
        <v>2190</v>
      </c>
    </row>
    <row r="67" customFormat="false" ht="12.8" hidden="false" customHeight="false" outlineLevel="0" collapsed="false">
      <c r="A67" s="0" t="n">
        <v>2200</v>
      </c>
    </row>
    <row r="68" customFormat="false" ht="12.8" hidden="false" customHeight="false" outlineLevel="0" collapsed="false">
      <c r="A68" s="0" t="n">
        <v>2210</v>
      </c>
    </row>
    <row r="69" customFormat="false" ht="12.8" hidden="false" customHeight="false" outlineLevel="0" collapsed="false">
      <c r="A69" s="0" t="n">
        <v>2220</v>
      </c>
    </row>
    <row r="70" customFormat="false" ht="12.8" hidden="false" customHeight="false" outlineLevel="0" collapsed="false">
      <c r="A70" s="0" t="n">
        <v>2230</v>
      </c>
    </row>
    <row r="71" customFormat="false" ht="12.8" hidden="false" customHeight="false" outlineLevel="0" collapsed="false">
      <c r="A71" s="0" t="n">
        <v>2240</v>
      </c>
    </row>
    <row r="72" customFormat="false" ht="12.8" hidden="false" customHeight="false" outlineLevel="0" collapsed="false">
      <c r="A72" s="0" t="n">
        <v>2250</v>
      </c>
    </row>
    <row r="73" customFormat="false" ht="12.8" hidden="false" customHeight="false" outlineLevel="0" collapsed="false">
      <c r="A73" s="0" t="n">
        <v>2260</v>
      </c>
    </row>
    <row r="74" customFormat="false" ht="12.8" hidden="false" customHeight="false" outlineLevel="0" collapsed="false">
      <c r="A74" s="0" t="n">
        <v>2270</v>
      </c>
    </row>
    <row r="75" customFormat="false" ht="12.8" hidden="false" customHeight="false" outlineLevel="0" collapsed="false">
      <c r="A75" s="0" t="n">
        <v>2280</v>
      </c>
    </row>
    <row r="76" customFormat="false" ht="12.8" hidden="false" customHeight="false" outlineLevel="0" collapsed="false">
      <c r="A76" s="0" t="n">
        <v>2290</v>
      </c>
    </row>
    <row r="77" customFormat="false" ht="12.8" hidden="false" customHeight="false" outlineLevel="0" collapsed="false">
      <c r="A77" s="0" t="n">
        <v>2300</v>
      </c>
    </row>
    <row r="78" customFormat="false" ht="12.8" hidden="false" customHeight="false" outlineLevel="0" collapsed="false">
      <c r="A78" s="0" t="n">
        <v>2310</v>
      </c>
    </row>
    <row r="79" customFormat="false" ht="12.8" hidden="false" customHeight="false" outlineLevel="0" collapsed="false">
      <c r="A79" s="0" t="n">
        <v>2320</v>
      </c>
    </row>
    <row r="80" customFormat="false" ht="12.8" hidden="false" customHeight="false" outlineLevel="0" collapsed="false">
      <c r="A80" s="0" t="n">
        <v>2330</v>
      </c>
    </row>
    <row r="81" customFormat="false" ht="12.8" hidden="false" customHeight="false" outlineLevel="0" collapsed="false">
      <c r="A81" s="0" t="n">
        <v>2340</v>
      </c>
    </row>
    <row r="82" customFormat="false" ht="12.8" hidden="false" customHeight="false" outlineLevel="0" collapsed="false">
      <c r="A82" s="0" t="n">
        <v>2350</v>
      </c>
    </row>
    <row r="83" customFormat="false" ht="12.8" hidden="false" customHeight="false" outlineLevel="0" collapsed="false">
      <c r="A83" s="0" t="n">
        <v>2360</v>
      </c>
    </row>
    <row r="84" customFormat="false" ht="12.8" hidden="false" customHeight="false" outlineLevel="0" collapsed="false">
      <c r="A84" s="0" t="n">
        <v>2370</v>
      </c>
    </row>
    <row r="85" customFormat="false" ht="12.8" hidden="false" customHeight="false" outlineLevel="0" collapsed="false">
      <c r="A85" s="0" t="n">
        <v>2380</v>
      </c>
    </row>
    <row r="86" customFormat="false" ht="12.8" hidden="false" customHeight="false" outlineLevel="0" collapsed="false">
      <c r="A86" s="0" t="n">
        <v>2390</v>
      </c>
    </row>
    <row r="87" customFormat="false" ht="12.8" hidden="false" customHeight="false" outlineLevel="0" collapsed="false">
      <c r="A87" s="0" t="n">
        <v>2400</v>
      </c>
    </row>
    <row r="88" customFormat="false" ht="12.8" hidden="false" customHeight="false" outlineLevel="0" collapsed="false">
      <c r="A88" s="0" t="n">
        <v>2410</v>
      </c>
    </row>
    <row r="89" customFormat="false" ht="12.8" hidden="false" customHeight="false" outlineLevel="0" collapsed="false">
      <c r="A89" s="0" t="n">
        <v>2420</v>
      </c>
    </row>
    <row r="90" customFormat="false" ht="12.8" hidden="false" customHeight="false" outlineLevel="0" collapsed="false">
      <c r="A90" s="0" t="n">
        <v>2430</v>
      </c>
    </row>
    <row r="91" customFormat="false" ht="12.8" hidden="false" customHeight="false" outlineLevel="0" collapsed="false">
      <c r="A91" s="0" t="n">
        <v>2440</v>
      </c>
    </row>
    <row r="92" customFormat="false" ht="12.8" hidden="false" customHeight="false" outlineLevel="0" collapsed="false">
      <c r="A92" s="0" t="n">
        <v>2450</v>
      </c>
    </row>
    <row r="93" customFormat="false" ht="12.8" hidden="false" customHeight="false" outlineLevel="0" collapsed="false">
      <c r="A93" s="0" t="n">
        <v>2460</v>
      </c>
    </row>
    <row r="94" customFormat="false" ht="12.8" hidden="false" customHeight="false" outlineLevel="0" collapsed="false">
      <c r="A94" s="0" t="n">
        <v>2470</v>
      </c>
    </row>
    <row r="95" customFormat="false" ht="12.8" hidden="false" customHeight="false" outlineLevel="0" collapsed="false">
      <c r="A95" s="0" t="n">
        <v>2480</v>
      </c>
    </row>
    <row r="96" customFormat="false" ht="12.8" hidden="false" customHeight="false" outlineLevel="0" collapsed="false">
      <c r="A96" s="0" t="n">
        <v>2490</v>
      </c>
    </row>
    <row r="97" customFormat="false" ht="12.8" hidden="false" customHeight="false" outlineLevel="0" collapsed="false">
      <c r="A97" s="0" t="n">
        <v>2500</v>
      </c>
    </row>
    <row r="98" customFormat="false" ht="12.8" hidden="false" customHeight="false" outlineLevel="0" collapsed="false">
      <c r="A98" s="0" t="n">
        <v>2510</v>
      </c>
    </row>
    <row r="99" customFormat="false" ht="12.8" hidden="false" customHeight="false" outlineLevel="0" collapsed="false">
      <c r="A99" s="0" t="n">
        <v>2520</v>
      </c>
    </row>
    <row r="100" customFormat="false" ht="12.8" hidden="false" customHeight="false" outlineLevel="0" collapsed="false">
      <c r="A100" s="0" t="n">
        <v>2530</v>
      </c>
    </row>
    <row r="101" customFormat="false" ht="12.8" hidden="false" customHeight="false" outlineLevel="0" collapsed="false">
      <c r="A101" s="0" t="n">
        <v>2540</v>
      </c>
    </row>
    <row r="102" customFormat="false" ht="12.8" hidden="false" customHeight="false" outlineLevel="0" collapsed="false">
      <c r="A102" s="0" t="n">
        <v>2550</v>
      </c>
    </row>
    <row r="103" customFormat="false" ht="12.8" hidden="false" customHeight="false" outlineLevel="0" collapsed="false">
      <c r="A103" s="0" t="n">
        <v>2560</v>
      </c>
    </row>
    <row r="104" customFormat="false" ht="12.8" hidden="false" customHeight="false" outlineLevel="0" collapsed="false">
      <c r="A104" s="0" t="n">
        <v>2570</v>
      </c>
    </row>
    <row r="105" customFormat="false" ht="12.8" hidden="false" customHeight="false" outlineLevel="0" collapsed="false">
      <c r="A105" s="0" t="n">
        <v>2580</v>
      </c>
    </row>
    <row r="106" customFormat="false" ht="12.8" hidden="false" customHeight="false" outlineLevel="0" collapsed="false">
      <c r="A106" s="0" t="n">
        <v>2590</v>
      </c>
    </row>
    <row r="107" customFormat="false" ht="12.8" hidden="false" customHeight="false" outlineLevel="0" collapsed="false">
      <c r="A107" s="0" t="n">
        <v>2600</v>
      </c>
    </row>
    <row r="108" customFormat="false" ht="12.8" hidden="false" customHeight="false" outlineLevel="0" collapsed="false">
      <c r="A108" s="0" t="n">
        <v>2610</v>
      </c>
    </row>
    <row r="109" customFormat="false" ht="12.8" hidden="false" customHeight="false" outlineLevel="0" collapsed="false">
      <c r="A109" s="0" t="n">
        <v>2620</v>
      </c>
    </row>
    <row r="110" customFormat="false" ht="12.8" hidden="false" customHeight="false" outlineLevel="0" collapsed="false">
      <c r="A110" s="0" t="n">
        <v>2630</v>
      </c>
    </row>
    <row r="111" customFormat="false" ht="12.8" hidden="false" customHeight="false" outlineLevel="0" collapsed="false">
      <c r="A111" s="0" t="n">
        <v>2640</v>
      </c>
    </row>
    <row r="112" customFormat="false" ht="12.8" hidden="false" customHeight="false" outlineLevel="0" collapsed="false">
      <c r="A112" s="0" t="n">
        <v>2650</v>
      </c>
    </row>
    <row r="113" customFormat="false" ht="12.8" hidden="false" customHeight="false" outlineLevel="0" collapsed="false">
      <c r="A113" s="0" t="n">
        <v>2660</v>
      </c>
    </row>
    <row r="114" customFormat="false" ht="12.8" hidden="false" customHeight="false" outlineLevel="0" collapsed="false">
      <c r="A114" s="0" t="n">
        <v>2670</v>
      </c>
    </row>
    <row r="115" customFormat="false" ht="12.8" hidden="false" customHeight="false" outlineLevel="0" collapsed="false">
      <c r="A115" s="0" t="n">
        <v>2680</v>
      </c>
    </row>
    <row r="116" customFormat="false" ht="12.8" hidden="false" customHeight="false" outlineLevel="0" collapsed="false">
      <c r="A116" s="0" t="n">
        <v>2690</v>
      </c>
    </row>
    <row r="117" customFormat="false" ht="12.8" hidden="false" customHeight="false" outlineLevel="0" collapsed="false">
      <c r="A117" s="0" t="n">
        <v>2700</v>
      </c>
    </row>
    <row r="118" customFormat="false" ht="12.8" hidden="false" customHeight="false" outlineLevel="0" collapsed="false">
      <c r="A118" s="0" t="n">
        <v>2710</v>
      </c>
    </row>
    <row r="119" customFormat="false" ht="12.8" hidden="false" customHeight="false" outlineLevel="0" collapsed="false">
      <c r="A119" s="0" t="n">
        <v>2720</v>
      </c>
    </row>
    <row r="120" customFormat="false" ht="12.8" hidden="false" customHeight="false" outlineLevel="0" collapsed="false">
      <c r="A120" s="0" t="n">
        <v>2730</v>
      </c>
    </row>
    <row r="121" customFormat="false" ht="12.8" hidden="false" customHeight="false" outlineLevel="0" collapsed="false">
      <c r="A121" s="0" t="n">
        <v>2740</v>
      </c>
    </row>
    <row r="122" customFormat="false" ht="12.8" hidden="false" customHeight="false" outlineLevel="0" collapsed="false">
      <c r="A122" s="0" t="n">
        <v>2750</v>
      </c>
    </row>
    <row r="123" customFormat="false" ht="12.8" hidden="false" customHeight="false" outlineLevel="0" collapsed="false">
      <c r="A123" s="0" t="n">
        <v>2760</v>
      </c>
    </row>
    <row r="124" customFormat="false" ht="12.8" hidden="false" customHeight="false" outlineLevel="0" collapsed="false">
      <c r="A124" s="0" t="n">
        <v>2770</v>
      </c>
    </row>
    <row r="125" customFormat="false" ht="12.8" hidden="false" customHeight="false" outlineLevel="0" collapsed="false">
      <c r="A125" s="0" t="n">
        <v>2780</v>
      </c>
    </row>
    <row r="126" customFormat="false" ht="12.8" hidden="false" customHeight="false" outlineLevel="0" collapsed="false">
      <c r="A126" s="0" t="n">
        <v>2790</v>
      </c>
    </row>
    <row r="127" customFormat="false" ht="12.8" hidden="false" customHeight="false" outlineLevel="0" collapsed="false">
      <c r="A127" s="0" t="n">
        <v>2800</v>
      </c>
    </row>
    <row r="128" customFormat="false" ht="12.8" hidden="false" customHeight="false" outlineLevel="0" collapsed="false">
      <c r="A128" s="0" t="n">
        <v>2810</v>
      </c>
    </row>
    <row r="129" customFormat="false" ht="12.8" hidden="false" customHeight="false" outlineLevel="0" collapsed="false">
      <c r="A129" s="0" t="n">
        <v>2820</v>
      </c>
    </row>
    <row r="130" customFormat="false" ht="12.8" hidden="false" customHeight="false" outlineLevel="0" collapsed="false">
      <c r="A130" s="0" t="n">
        <v>2830</v>
      </c>
    </row>
    <row r="131" customFormat="false" ht="12.8" hidden="false" customHeight="false" outlineLevel="0" collapsed="false">
      <c r="A131" s="0" t="n">
        <v>2840</v>
      </c>
    </row>
    <row r="132" customFormat="false" ht="12.8" hidden="false" customHeight="false" outlineLevel="0" collapsed="false">
      <c r="A132" s="0" t="n">
        <v>2850</v>
      </c>
    </row>
    <row r="133" customFormat="false" ht="12.8" hidden="false" customHeight="false" outlineLevel="0" collapsed="false">
      <c r="A133" s="0" t="n">
        <v>2860</v>
      </c>
    </row>
    <row r="134" customFormat="false" ht="12.8" hidden="false" customHeight="false" outlineLevel="0" collapsed="false">
      <c r="A134" s="0" t="n">
        <v>2870</v>
      </c>
    </row>
    <row r="135" customFormat="false" ht="12.8" hidden="false" customHeight="false" outlineLevel="0" collapsed="false">
      <c r="A135" s="0" t="n">
        <v>2880</v>
      </c>
    </row>
    <row r="136" customFormat="false" ht="12.8" hidden="false" customHeight="false" outlineLevel="0" collapsed="false">
      <c r="A136" s="0" t="n">
        <v>2890</v>
      </c>
    </row>
    <row r="137" customFormat="false" ht="12.8" hidden="false" customHeight="false" outlineLevel="0" collapsed="false">
      <c r="A137" s="0" t="n">
        <v>2900</v>
      </c>
    </row>
    <row r="138" customFormat="false" ht="12.8" hidden="false" customHeight="false" outlineLevel="0" collapsed="false">
      <c r="A138" s="0" t="n">
        <v>2910</v>
      </c>
    </row>
    <row r="139" customFormat="false" ht="12.8" hidden="false" customHeight="false" outlineLevel="0" collapsed="false">
      <c r="A139" s="0" t="n">
        <v>2920</v>
      </c>
    </row>
    <row r="140" customFormat="false" ht="12.8" hidden="false" customHeight="false" outlineLevel="0" collapsed="false">
      <c r="A140" s="0" t="n">
        <v>2930</v>
      </c>
    </row>
    <row r="141" customFormat="false" ht="12.8" hidden="false" customHeight="false" outlineLevel="0" collapsed="false">
      <c r="A141" s="0" t="n">
        <v>2940</v>
      </c>
    </row>
    <row r="142" customFormat="false" ht="12.8" hidden="false" customHeight="false" outlineLevel="0" collapsed="false">
      <c r="A142" s="0" t="n">
        <v>2950</v>
      </c>
    </row>
    <row r="143" customFormat="false" ht="12.8" hidden="false" customHeight="false" outlineLevel="0" collapsed="false">
      <c r="A143" s="0" t="n">
        <v>2960</v>
      </c>
    </row>
    <row r="144" customFormat="false" ht="12.8" hidden="false" customHeight="false" outlineLevel="0" collapsed="false">
      <c r="A144" s="0" t="n">
        <v>2970</v>
      </c>
    </row>
    <row r="145" customFormat="false" ht="12.8" hidden="false" customHeight="false" outlineLevel="0" collapsed="false">
      <c r="A145" s="0" t="n">
        <v>2980</v>
      </c>
    </row>
    <row r="146" customFormat="false" ht="12.8" hidden="false" customHeight="false" outlineLevel="0" collapsed="false">
      <c r="A146" s="0" t="n">
        <v>2990</v>
      </c>
    </row>
    <row r="147" customFormat="false" ht="12.8" hidden="false" customHeight="false" outlineLevel="0" collapsed="false">
      <c r="A147" s="0" t="n">
        <v>3000</v>
      </c>
    </row>
    <row r="148" customFormat="false" ht="12.8" hidden="false" customHeight="false" outlineLevel="0" collapsed="false">
      <c r="A148" s="0" t="n">
        <v>3010</v>
      </c>
    </row>
    <row r="149" customFormat="false" ht="12.8" hidden="false" customHeight="false" outlineLevel="0" collapsed="false">
      <c r="A149" s="0" t="n">
        <v>3020</v>
      </c>
    </row>
    <row r="150" customFormat="false" ht="12.8" hidden="false" customHeight="false" outlineLevel="0" collapsed="false">
      <c r="A150" s="0" t="n">
        <v>3030</v>
      </c>
    </row>
    <row r="151" customFormat="false" ht="12.8" hidden="false" customHeight="false" outlineLevel="0" collapsed="false">
      <c r="A151" s="0" t="n">
        <v>3040</v>
      </c>
    </row>
    <row r="152" customFormat="false" ht="12.8" hidden="false" customHeight="false" outlineLevel="0" collapsed="false">
      <c r="A152" s="0" t="n">
        <v>3050</v>
      </c>
    </row>
    <row r="153" customFormat="false" ht="12.8" hidden="false" customHeight="false" outlineLevel="0" collapsed="false">
      <c r="A153" s="0" t="n">
        <v>3060</v>
      </c>
    </row>
    <row r="154" customFormat="false" ht="12.8" hidden="false" customHeight="false" outlineLevel="0" collapsed="false">
      <c r="A154" s="0" t="n">
        <v>3070</v>
      </c>
    </row>
    <row r="155" customFormat="false" ht="12.8" hidden="false" customHeight="false" outlineLevel="0" collapsed="false">
      <c r="A155" s="0" t="n">
        <v>3080</v>
      </c>
    </row>
    <row r="156" customFormat="false" ht="12.8" hidden="false" customHeight="false" outlineLevel="0" collapsed="false">
      <c r="A156" s="0" t="n">
        <v>3090</v>
      </c>
    </row>
    <row r="157" customFormat="false" ht="12.8" hidden="false" customHeight="false" outlineLevel="0" collapsed="false">
      <c r="A157" s="0" t="n">
        <v>3100</v>
      </c>
    </row>
    <row r="158" customFormat="false" ht="12.8" hidden="false" customHeight="false" outlineLevel="0" collapsed="false">
      <c r="A158" s="0" t="n">
        <v>3110</v>
      </c>
    </row>
    <row r="159" customFormat="false" ht="12.8" hidden="false" customHeight="false" outlineLevel="0" collapsed="false">
      <c r="A159" s="0" t="n">
        <v>3120</v>
      </c>
    </row>
    <row r="160" customFormat="false" ht="12.8" hidden="false" customHeight="false" outlineLevel="0" collapsed="false">
      <c r="A160" s="0" t="n">
        <v>3130</v>
      </c>
    </row>
    <row r="161" customFormat="false" ht="12.8" hidden="false" customHeight="false" outlineLevel="0" collapsed="false">
      <c r="A161" s="0" t="n">
        <v>3140</v>
      </c>
    </row>
    <row r="162" customFormat="false" ht="12.8" hidden="false" customHeight="false" outlineLevel="0" collapsed="false">
      <c r="A162" s="0" t="n">
        <v>3150</v>
      </c>
    </row>
    <row r="163" customFormat="false" ht="12.8" hidden="false" customHeight="false" outlineLevel="0" collapsed="false">
      <c r="A163" s="0" t="n">
        <v>3160</v>
      </c>
    </row>
    <row r="164" customFormat="false" ht="12.8" hidden="false" customHeight="false" outlineLevel="0" collapsed="false">
      <c r="A164" s="0" t="n">
        <v>3170</v>
      </c>
    </row>
    <row r="165" customFormat="false" ht="12.8" hidden="false" customHeight="false" outlineLevel="0" collapsed="false">
      <c r="A165" s="0" t="n">
        <v>3180</v>
      </c>
    </row>
    <row r="166" customFormat="false" ht="12.8" hidden="false" customHeight="false" outlineLevel="0" collapsed="false">
      <c r="A166" s="0" t="n">
        <v>3190</v>
      </c>
    </row>
    <row r="167" customFormat="false" ht="12.8" hidden="false" customHeight="false" outlineLevel="0" collapsed="false">
      <c r="A167" s="0" t="n">
        <v>3200</v>
      </c>
    </row>
    <row r="168" customFormat="false" ht="12.8" hidden="false" customHeight="false" outlineLevel="0" collapsed="false">
      <c r="A168" s="0" t="n">
        <v>3210</v>
      </c>
    </row>
    <row r="169" customFormat="false" ht="12.8" hidden="false" customHeight="false" outlineLevel="0" collapsed="false">
      <c r="A169" s="0" t="n">
        <v>3220</v>
      </c>
    </row>
    <row r="170" customFormat="false" ht="12.8" hidden="false" customHeight="false" outlineLevel="0" collapsed="false">
      <c r="A170" s="0" t="n">
        <v>3230</v>
      </c>
    </row>
    <row r="171" customFormat="false" ht="12.8" hidden="false" customHeight="false" outlineLevel="0" collapsed="false">
      <c r="A171" s="0" t="n">
        <v>3240</v>
      </c>
    </row>
    <row r="172" customFormat="false" ht="12.8" hidden="false" customHeight="false" outlineLevel="0" collapsed="false">
      <c r="A172" s="0" t="n">
        <v>3250</v>
      </c>
    </row>
    <row r="173" customFormat="false" ht="12.8" hidden="false" customHeight="false" outlineLevel="0" collapsed="false">
      <c r="A173" s="0" t="n">
        <v>3260</v>
      </c>
    </row>
    <row r="174" customFormat="false" ht="12.8" hidden="false" customHeight="false" outlineLevel="0" collapsed="false">
      <c r="A174" s="0" t="n">
        <v>3270</v>
      </c>
    </row>
    <row r="175" customFormat="false" ht="12.8" hidden="false" customHeight="false" outlineLevel="0" collapsed="false">
      <c r="A175" s="0" t="n">
        <v>3280</v>
      </c>
    </row>
    <row r="176" customFormat="false" ht="12.8" hidden="false" customHeight="false" outlineLevel="0" collapsed="false">
      <c r="A176" s="0" t="n">
        <v>3290</v>
      </c>
    </row>
    <row r="177" customFormat="false" ht="12.8" hidden="false" customHeight="false" outlineLevel="0" collapsed="false">
      <c r="A177" s="0" t="n">
        <v>3300</v>
      </c>
    </row>
    <row r="178" customFormat="false" ht="12.8" hidden="false" customHeight="false" outlineLevel="0" collapsed="false">
      <c r="A178" s="0" t="n">
        <v>3310</v>
      </c>
    </row>
    <row r="179" customFormat="false" ht="12.8" hidden="false" customHeight="false" outlineLevel="0" collapsed="false">
      <c r="A179" s="0" t="n">
        <v>3320</v>
      </c>
    </row>
    <row r="180" customFormat="false" ht="12.8" hidden="false" customHeight="false" outlineLevel="0" collapsed="false">
      <c r="A180" s="0" t="n">
        <v>3330</v>
      </c>
    </row>
    <row r="181" customFormat="false" ht="12.8" hidden="false" customHeight="false" outlineLevel="0" collapsed="false">
      <c r="A181" s="0" t="n">
        <v>3340</v>
      </c>
    </row>
    <row r="182" customFormat="false" ht="12.8" hidden="false" customHeight="false" outlineLevel="0" collapsed="false">
      <c r="A182" s="0" t="n">
        <v>3350</v>
      </c>
    </row>
    <row r="183" customFormat="false" ht="12.8" hidden="false" customHeight="false" outlineLevel="0" collapsed="false">
      <c r="A183" s="0" t="n">
        <v>3360</v>
      </c>
    </row>
    <row r="184" customFormat="false" ht="12.8" hidden="false" customHeight="false" outlineLevel="0" collapsed="false">
      <c r="A184" s="0" t="n">
        <v>3370</v>
      </c>
    </row>
    <row r="185" customFormat="false" ht="12.8" hidden="false" customHeight="false" outlineLevel="0" collapsed="false">
      <c r="A185" s="0" t="n">
        <v>3380</v>
      </c>
    </row>
    <row r="186" customFormat="false" ht="12.8" hidden="false" customHeight="false" outlineLevel="0" collapsed="false">
      <c r="A186" s="0" t="n">
        <v>3390</v>
      </c>
    </row>
    <row r="187" customFormat="false" ht="12.8" hidden="false" customHeight="false" outlineLevel="0" collapsed="false">
      <c r="A187" s="0" t="n">
        <v>3400</v>
      </c>
    </row>
    <row r="188" customFormat="false" ht="12.8" hidden="false" customHeight="false" outlineLevel="0" collapsed="false">
      <c r="A188" s="0" t="n">
        <v>3410</v>
      </c>
    </row>
    <row r="189" customFormat="false" ht="12.8" hidden="false" customHeight="false" outlineLevel="0" collapsed="false">
      <c r="A189" s="0" t="n">
        <v>3420</v>
      </c>
    </row>
    <row r="190" customFormat="false" ht="12.8" hidden="false" customHeight="false" outlineLevel="0" collapsed="false">
      <c r="A190" s="0" t="n">
        <v>3430</v>
      </c>
    </row>
    <row r="191" customFormat="false" ht="12.8" hidden="false" customHeight="false" outlineLevel="0" collapsed="false">
      <c r="A191" s="0" t="n">
        <v>3440</v>
      </c>
    </row>
    <row r="192" customFormat="false" ht="12.8" hidden="false" customHeight="false" outlineLevel="0" collapsed="false">
      <c r="A192" s="0" t="n">
        <v>3450</v>
      </c>
    </row>
    <row r="193" customFormat="false" ht="12.8" hidden="false" customHeight="false" outlineLevel="0" collapsed="false">
      <c r="A193" s="0" t="n">
        <v>3460</v>
      </c>
    </row>
    <row r="194" customFormat="false" ht="12.8" hidden="false" customHeight="false" outlineLevel="0" collapsed="false">
      <c r="A194" s="0" t="n">
        <v>3470</v>
      </c>
    </row>
    <row r="195" customFormat="false" ht="12.8" hidden="false" customHeight="false" outlineLevel="0" collapsed="false">
      <c r="A195" s="0" t="n">
        <v>3480</v>
      </c>
    </row>
    <row r="196" customFormat="false" ht="12.8" hidden="false" customHeight="false" outlineLevel="0" collapsed="false">
      <c r="A196" s="0" t="n">
        <v>3490</v>
      </c>
    </row>
    <row r="197" customFormat="false" ht="12.8" hidden="false" customHeight="false" outlineLevel="0" collapsed="false">
      <c r="A197" s="0" t="n">
        <v>3500</v>
      </c>
    </row>
    <row r="198" customFormat="false" ht="12.8" hidden="false" customHeight="false" outlineLevel="0" collapsed="false">
      <c r="A198" s="0" t="n">
        <v>3510</v>
      </c>
    </row>
    <row r="199" customFormat="false" ht="12.8" hidden="false" customHeight="false" outlineLevel="0" collapsed="false">
      <c r="A199" s="0" t="n">
        <v>3520</v>
      </c>
    </row>
    <row r="200" customFormat="false" ht="12.8" hidden="false" customHeight="false" outlineLevel="0" collapsed="false">
      <c r="A200" s="0" t="n">
        <v>3530</v>
      </c>
    </row>
    <row r="201" customFormat="false" ht="12.8" hidden="false" customHeight="false" outlineLevel="0" collapsed="false">
      <c r="A201" s="0" t="n">
        <v>3540</v>
      </c>
    </row>
    <row r="202" customFormat="false" ht="12.8" hidden="false" customHeight="false" outlineLevel="0" collapsed="false">
      <c r="A202" s="0" t="n">
        <v>3550</v>
      </c>
    </row>
    <row r="203" customFormat="false" ht="12.8" hidden="false" customHeight="false" outlineLevel="0" collapsed="false">
      <c r="A203" s="0" t="n">
        <v>3560</v>
      </c>
    </row>
    <row r="204" customFormat="false" ht="12.8" hidden="false" customHeight="false" outlineLevel="0" collapsed="false">
      <c r="A204" s="0" t="n">
        <v>3570</v>
      </c>
    </row>
    <row r="205" customFormat="false" ht="12.8" hidden="false" customHeight="false" outlineLevel="0" collapsed="false">
      <c r="A205" s="0" t="n">
        <v>3580</v>
      </c>
    </row>
    <row r="206" customFormat="false" ht="12.8" hidden="false" customHeight="false" outlineLevel="0" collapsed="false">
      <c r="A206" s="0" t="n">
        <v>3590</v>
      </c>
    </row>
    <row r="207" customFormat="false" ht="12.8" hidden="false" customHeight="false" outlineLevel="0" collapsed="false">
      <c r="A207" s="0" t="n">
        <v>3600</v>
      </c>
    </row>
    <row r="208" customFormat="false" ht="12.8" hidden="false" customHeight="false" outlineLevel="0" collapsed="false">
      <c r="A208" s="0" t="n">
        <v>3610</v>
      </c>
    </row>
    <row r="209" customFormat="false" ht="12.8" hidden="false" customHeight="false" outlineLevel="0" collapsed="false">
      <c r="A209" s="0" t="n">
        <v>3620</v>
      </c>
    </row>
    <row r="210" customFormat="false" ht="12.8" hidden="false" customHeight="false" outlineLevel="0" collapsed="false">
      <c r="A210" s="0" t="n">
        <v>3630</v>
      </c>
    </row>
    <row r="211" customFormat="false" ht="12.8" hidden="false" customHeight="false" outlineLevel="0" collapsed="false">
      <c r="A211" s="0" t="n">
        <v>3640</v>
      </c>
    </row>
    <row r="212" customFormat="false" ht="12.8" hidden="false" customHeight="false" outlineLevel="0" collapsed="false">
      <c r="A212" s="0" t="n">
        <v>3650</v>
      </c>
    </row>
    <row r="213" customFormat="false" ht="12.8" hidden="false" customHeight="false" outlineLevel="0" collapsed="false">
      <c r="A213" s="0" t="n">
        <v>3660</v>
      </c>
    </row>
    <row r="214" customFormat="false" ht="12.8" hidden="false" customHeight="false" outlineLevel="0" collapsed="false">
      <c r="A214" s="0" t="n">
        <v>3670</v>
      </c>
    </row>
    <row r="215" customFormat="false" ht="12.8" hidden="false" customHeight="false" outlineLevel="0" collapsed="false">
      <c r="A215" s="0" t="n">
        <v>3680</v>
      </c>
    </row>
    <row r="216" customFormat="false" ht="12.8" hidden="false" customHeight="false" outlineLevel="0" collapsed="false">
      <c r="A216" s="0" t="n">
        <v>3690</v>
      </c>
    </row>
    <row r="217" customFormat="false" ht="12.8" hidden="false" customHeight="false" outlineLevel="0" collapsed="false">
      <c r="A217" s="0" t="n">
        <v>3700</v>
      </c>
    </row>
    <row r="218" customFormat="false" ht="12.8" hidden="false" customHeight="false" outlineLevel="0" collapsed="false">
      <c r="A218" s="0" t="n">
        <v>3710</v>
      </c>
    </row>
    <row r="219" customFormat="false" ht="12.8" hidden="false" customHeight="false" outlineLevel="0" collapsed="false">
      <c r="A219" s="0" t="n">
        <v>3720</v>
      </c>
    </row>
    <row r="220" customFormat="false" ht="12.8" hidden="false" customHeight="false" outlineLevel="0" collapsed="false">
      <c r="A220" s="0" t="n">
        <v>3730</v>
      </c>
    </row>
    <row r="221" customFormat="false" ht="12.8" hidden="false" customHeight="false" outlineLevel="0" collapsed="false">
      <c r="A221" s="0" t="n">
        <v>3740</v>
      </c>
    </row>
    <row r="222" customFormat="false" ht="12.8" hidden="false" customHeight="false" outlineLevel="0" collapsed="false">
      <c r="A222" s="0" t="n">
        <v>3750</v>
      </c>
    </row>
    <row r="223" customFormat="false" ht="12.8" hidden="false" customHeight="false" outlineLevel="0" collapsed="false">
      <c r="A223" s="0" t="n">
        <v>3760</v>
      </c>
    </row>
    <row r="224" customFormat="false" ht="12.8" hidden="false" customHeight="false" outlineLevel="0" collapsed="false">
      <c r="A224" s="0" t="n">
        <v>3770</v>
      </c>
    </row>
    <row r="225" customFormat="false" ht="12.8" hidden="false" customHeight="false" outlineLevel="0" collapsed="false">
      <c r="A225" s="0" t="n">
        <v>3780</v>
      </c>
    </row>
    <row r="226" customFormat="false" ht="12.8" hidden="false" customHeight="false" outlineLevel="0" collapsed="false">
      <c r="A226" s="0" t="n">
        <v>3790</v>
      </c>
    </row>
    <row r="227" customFormat="false" ht="12.8" hidden="false" customHeight="false" outlineLevel="0" collapsed="false">
      <c r="A227" s="0" t="n">
        <v>3800</v>
      </c>
    </row>
    <row r="228" customFormat="false" ht="12.8" hidden="false" customHeight="false" outlineLevel="0" collapsed="false">
      <c r="A228" s="0" t="n">
        <v>3810</v>
      </c>
    </row>
    <row r="229" customFormat="false" ht="12.8" hidden="false" customHeight="false" outlineLevel="0" collapsed="false">
      <c r="A229" s="0" t="n">
        <v>3820</v>
      </c>
    </row>
    <row r="230" customFormat="false" ht="12.8" hidden="false" customHeight="false" outlineLevel="0" collapsed="false">
      <c r="A230" s="0" t="n">
        <v>3830</v>
      </c>
    </row>
    <row r="231" customFormat="false" ht="12.8" hidden="false" customHeight="false" outlineLevel="0" collapsed="false">
      <c r="A231" s="0" t="n">
        <v>3840</v>
      </c>
    </row>
    <row r="232" customFormat="false" ht="12.8" hidden="false" customHeight="false" outlineLevel="0" collapsed="false">
      <c r="A232" s="0" t="n">
        <v>3850</v>
      </c>
    </row>
    <row r="233" customFormat="false" ht="12.8" hidden="false" customHeight="false" outlineLevel="0" collapsed="false">
      <c r="A233" s="0" t="n">
        <v>3860</v>
      </c>
    </row>
    <row r="234" customFormat="false" ht="12.8" hidden="false" customHeight="false" outlineLevel="0" collapsed="false">
      <c r="A234" s="0" t="n">
        <v>3870</v>
      </c>
    </row>
    <row r="235" customFormat="false" ht="12.8" hidden="false" customHeight="false" outlineLevel="0" collapsed="false">
      <c r="A235" s="0" t="n">
        <v>3880</v>
      </c>
    </row>
    <row r="236" customFormat="false" ht="12.8" hidden="false" customHeight="false" outlineLevel="0" collapsed="false">
      <c r="A236" s="0" t="n">
        <v>3890</v>
      </c>
    </row>
    <row r="237" customFormat="false" ht="12.8" hidden="false" customHeight="false" outlineLevel="0" collapsed="false">
      <c r="A237" s="0" t="n">
        <v>3900</v>
      </c>
    </row>
    <row r="238" customFormat="false" ht="12.8" hidden="false" customHeight="false" outlineLevel="0" collapsed="false">
      <c r="A238" s="0" t="n">
        <v>3910</v>
      </c>
    </row>
    <row r="239" customFormat="false" ht="12.8" hidden="false" customHeight="false" outlineLevel="0" collapsed="false">
      <c r="A239" s="0" t="n">
        <v>3920</v>
      </c>
    </row>
    <row r="240" customFormat="false" ht="12.8" hidden="false" customHeight="false" outlineLevel="0" collapsed="false">
      <c r="A240" s="0" t="n">
        <v>3930</v>
      </c>
    </row>
    <row r="241" customFormat="false" ht="12.8" hidden="false" customHeight="false" outlineLevel="0" collapsed="false">
      <c r="A241" s="0" t="n">
        <v>3940</v>
      </c>
    </row>
    <row r="242" customFormat="false" ht="12.8" hidden="false" customHeight="false" outlineLevel="0" collapsed="false">
      <c r="A242" s="0" t="n">
        <v>3950</v>
      </c>
    </row>
    <row r="243" customFormat="false" ht="12.8" hidden="false" customHeight="false" outlineLevel="0" collapsed="false">
      <c r="A243" s="0" t="n">
        <v>3960</v>
      </c>
    </row>
    <row r="244" customFormat="false" ht="12.8" hidden="false" customHeight="false" outlineLevel="0" collapsed="false">
      <c r="A244" s="0" t="n">
        <v>3970</v>
      </c>
    </row>
    <row r="245" customFormat="false" ht="12.8" hidden="false" customHeight="false" outlineLevel="0" collapsed="false">
      <c r="A245" s="0" t="n">
        <v>3980</v>
      </c>
    </row>
    <row r="246" customFormat="false" ht="12.8" hidden="false" customHeight="false" outlineLevel="0" collapsed="false">
      <c r="A246" s="0" t="n">
        <v>3990</v>
      </c>
    </row>
    <row r="247" customFormat="false" ht="12.8" hidden="false" customHeight="false" outlineLevel="0" collapsed="false">
      <c r="A247" s="0" t="n">
        <v>4000</v>
      </c>
    </row>
    <row r="248" customFormat="false" ht="12.8" hidden="false" customHeight="false" outlineLevel="0" collapsed="false">
      <c r="A248" s="0" t="n">
        <v>4010</v>
      </c>
    </row>
    <row r="249" customFormat="false" ht="12.8" hidden="false" customHeight="false" outlineLevel="0" collapsed="false">
      <c r="A249" s="0" t="n">
        <v>4020</v>
      </c>
    </row>
    <row r="250" customFormat="false" ht="12.8" hidden="false" customHeight="false" outlineLevel="0" collapsed="false">
      <c r="A250" s="0" t="n">
        <v>4030</v>
      </c>
    </row>
    <row r="251" customFormat="false" ht="12.8" hidden="false" customHeight="false" outlineLevel="0" collapsed="false">
      <c r="A251" s="0" t="n">
        <v>4040</v>
      </c>
    </row>
    <row r="252" customFormat="false" ht="12.8" hidden="false" customHeight="false" outlineLevel="0" collapsed="false">
      <c r="A252" s="0" t="n">
        <v>4050</v>
      </c>
    </row>
    <row r="253" customFormat="false" ht="12.8" hidden="false" customHeight="false" outlineLevel="0" collapsed="false">
      <c r="A253" s="0" t="n">
        <v>4060</v>
      </c>
    </row>
    <row r="254" customFormat="false" ht="12.8" hidden="false" customHeight="false" outlineLevel="0" collapsed="false">
      <c r="A254" s="0" t="n">
        <v>4070</v>
      </c>
    </row>
    <row r="255" customFormat="false" ht="12.8" hidden="false" customHeight="false" outlineLevel="0" collapsed="false">
      <c r="A255" s="0" t="n">
        <v>4080</v>
      </c>
    </row>
    <row r="256" customFormat="false" ht="12.8" hidden="false" customHeight="false" outlineLevel="0" collapsed="false">
      <c r="A256" s="0" t="n">
        <v>4090</v>
      </c>
    </row>
    <row r="257" customFormat="false" ht="12.8" hidden="false" customHeight="false" outlineLevel="0" collapsed="false">
      <c r="A257" s="0" t="n">
        <v>4100</v>
      </c>
    </row>
    <row r="258" customFormat="false" ht="12.8" hidden="false" customHeight="false" outlineLevel="0" collapsed="false">
      <c r="A258" s="0" t="n">
        <v>4110</v>
      </c>
    </row>
    <row r="259" customFormat="false" ht="12.8" hidden="false" customHeight="false" outlineLevel="0" collapsed="false">
      <c r="A259" s="0" t="n">
        <v>4120</v>
      </c>
    </row>
    <row r="260" customFormat="false" ht="12.8" hidden="false" customHeight="false" outlineLevel="0" collapsed="false">
      <c r="A260" s="0" t="n">
        <v>4130</v>
      </c>
    </row>
    <row r="261" customFormat="false" ht="12.8" hidden="false" customHeight="false" outlineLevel="0" collapsed="false">
      <c r="A261" s="0" t="n">
        <v>4140</v>
      </c>
    </row>
    <row r="262" customFormat="false" ht="12.8" hidden="false" customHeight="false" outlineLevel="0" collapsed="false">
      <c r="A262" s="0" t="n">
        <v>4150</v>
      </c>
    </row>
    <row r="263" customFormat="false" ht="12.8" hidden="false" customHeight="false" outlineLevel="0" collapsed="false">
      <c r="A263" s="0" t="n">
        <v>4160</v>
      </c>
    </row>
    <row r="264" customFormat="false" ht="12.8" hidden="false" customHeight="false" outlineLevel="0" collapsed="false">
      <c r="A264" s="0" t="n">
        <v>4170</v>
      </c>
    </row>
    <row r="265" customFormat="false" ht="12.8" hidden="false" customHeight="false" outlineLevel="0" collapsed="false">
      <c r="A265" s="0" t="n">
        <v>4180</v>
      </c>
    </row>
    <row r="266" customFormat="false" ht="12.8" hidden="false" customHeight="false" outlineLevel="0" collapsed="false">
      <c r="A266" s="0" t="n">
        <v>4190</v>
      </c>
    </row>
    <row r="267" customFormat="false" ht="12.8" hidden="false" customHeight="false" outlineLevel="0" collapsed="false">
      <c r="A267" s="0" t="n">
        <v>4200</v>
      </c>
    </row>
    <row r="268" customFormat="false" ht="12.8" hidden="false" customHeight="false" outlineLevel="0" collapsed="false">
      <c r="A268" s="0" t="n">
        <v>4210</v>
      </c>
    </row>
    <row r="269" customFormat="false" ht="12.8" hidden="false" customHeight="false" outlineLevel="0" collapsed="false">
      <c r="A269" s="0" t="n">
        <v>4220</v>
      </c>
    </row>
    <row r="270" customFormat="false" ht="12.8" hidden="false" customHeight="false" outlineLevel="0" collapsed="false">
      <c r="A270" s="0" t="n">
        <v>4230</v>
      </c>
    </row>
    <row r="271" customFormat="false" ht="12.8" hidden="false" customHeight="false" outlineLevel="0" collapsed="false">
      <c r="A271" s="0" t="n">
        <v>4240</v>
      </c>
    </row>
    <row r="272" customFormat="false" ht="12.8" hidden="false" customHeight="false" outlineLevel="0" collapsed="false">
      <c r="A272" s="0" t="n">
        <v>4250</v>
      </c>
    </row>
    <row r="273" customFormat="false" ht="12.8" hidden="false" customHeight="false" outlineLevel="0" collapsed="false">
      <c r="A273" s="0" t="n">
        <v>4260</v>
      </c>
    </row>
    <row r="274" customFormat="false" ht="12.8" hidden="false" customHeight="false" outlineLevel="0" collapsed="false">
      <c r="A274" s="0" t="n">
        <v>4270</v>
      </c>
    </row>
    <row r="275" customFormat="false" ht="12.8" hidden="false" customHeight="false" outlineLevel="0" collapsed="false">
      <c r="A275" s="0" t="n">
        <v>4280</v>
      </c>
    </row>
    <row r="276" customFormat="false" ht="12.8" hidden="false" customHeight="false" outlineLevel="0" collapsed="false">
      <c r="A276" s="0" t="n">
        <v>4290</v>
      </c>
    </row>
    <row r="277" customFormat="false" ht="12.8" hidden="false" customHeight="false" outlineLevel="0" collapsed="false">
      <c r="A277" s="0" t="n">
        <v>4300</v>
      </c>
    </row>
    <row r="278" customFormat="false" ht="12.8" hidden="false" customHeight="false" outlineLevel="0" collapsed="false">
      <c r="A278" s="0" t="n">
        <v>4310</v>
      </c>
    </row>
    <row r="279" customFormat="false" ht="12.8" hidden="false" customHeight="false" outlineLevel="0" collapsed="false">
      <c r="A279" s="0" t="n">
        <v>4320</v>
      </c>
    </row>
    <row r="280" customFormat="false" ht="12.8" hidden="false" customHeight="false" outlineLevel="0" collapsed="false">
      <c r="A280" s="0" t="n">
        <v>4330</v>
      </c>
    </row>
    <row r="281" customFormat="false" ht="12.8" hidden="false" customHeight="false" outlineLevel="0" collapsed="false">
      <c r="A281" s="0" t="n">
        <v>4340</v>
      </c>
    </row>
    <row r="282" customFormat="false" ht="12.8" hidden="false" customHeight="false" outlineLevel="0" collapsed="false">
      <c r="A282" s="0" t="n">
        <v>4350</v>
      </c>
    </row>
    <row r="283" customFormat="false" ht="12.8" hidden="false" customHeight="false" outlineLevel="0" collapsed="false">
      <c r="A283" s="0" t="n">
        <v>4360</v>
      </c>
    </row>
    <row r="284" customFormat="false" ht="12.8" hidden="false" customHeight="false" outlineLevel="0" collapsed="false">
      <c r="A284" s="0" t="n">
        <v>4370</v>
      </c>
    </row>
    <row r="285" customFormat="false" ht="12.8" hidden="false" customHeight="false" outlineLevel="0" collapsed="false">
      <c r="A285" s="0" t="n">
        <v>4380</v>
      </c>
    </row>
    <row r="286" customFormat="false" ht="12.8" hidden="false" customHeight="false" outlineLevel="0" collapsed="false">
      <c r="A286" s="0" t="n">
        <v>4390</v>
      </c>
    </row>
    <row r="287" customFormat="false" ht="12.8" hidden="false" customHeight="false" outlineLevel="0" collapsed="false">
      <c r="A287" s="0" t="n">
        <v>4400</v>
      </c>
    </row>
    <row r="288" customFormat="false" ht="12.8" hidden="false" customHeight="false" outlineLevel="0" collapsed="false">
      <c r="A288" s="0" t="n">
        <v>4410</v>
      </c>
    </row>
    <row r="289" customFormat="false" ht="12.8" hidden="false" customHeight="false" outlineLevel="0" collapsed="false">
      <c r="A289" s="0" t="n">
        <v>4420</v>
      </c>
    </row>
    <row r="290" customFormat="false" ht="12.8" hidden="false" customHeight="false" outlineLevel="0" collapsed="false">
      <c r="A290" s="0" t="n">
        <v>4430</v>
      </c>
    </row>
    <row r="291" customFormat="false" ht="12.8" hidden="false" customHeight="false" outlineLevel="0" collapsed="false">
      <c r="A291" s="0" t="n">
        <v>4440</v>
      </c>
    </row>
    <row r="292" customFormat="false" ht="12.8" hidden="false" customHeight="false" outlineLevel="0" collapsed="false">
      <c r="A292" s="0" t="n">
        <v>4450</v>
      </c>
    </row>
    <row r="293" customFormat="false" ht="12.8" hidden="false" customHeight="false" outlineLevel="0" collapsed="false">
      <c r="A293" s="0" t="n">
        <v>4460</v>
      </c>
    </row>
    <row r="294" customFormat="false" ht="12.8" hidden="false" customHeight="false" outlineLevel="0" collapsed="false">
      <c r="A294" s="0" t="n">
        <v>4470</v>
      </c>
    </row>
    <row r="295" customFormat="false" ht="12.8" hidden="false" customHeight="false" outlineLevel="0" collapsed="false">
      <c r="A295" s="0" t="n">
        <v>4480</v>
      </c>
    </row>
    <row r="296" customFormat="false" ht="12.8" hidden="false" customHeight="false" outlineLevel="0" collapsed="false">
      <c r="A296" s="0" t="n">
        <v>4490</v>
      </c>
    </row>
    <row r="297" customFormat="false" ht="12.8" hidden="false" customHeight="false" outlineLevel="0" collapsed="false">
      <c r="A297" s="0" t="n">
        <v>4500</v>
      </c>
    </row>
    <row r="298" customFormat="false" ht="12.8" hidden="false" customHeight="false" outlineLevel="0" collapsed="false">
      <c r="A298" s="0" t="n">
        <v>4510</v>
      </c>
    </row>
    <row r="299" customFormat="false" ht="12.8" hidden="false" customHeight="false" outlineLevel="0" collapsed="false">
      <c r="A299" s="0" t="n">
        <v>4520</v>
      </c>
    </row>
    <row r="300" customFormat="false" ht="12.8" hidden="false" customHeight="false" outlineLevel="0" collapsed="false">
      <c r="A300" s="0" t="n">
        <v>4530</v>
      </c>
    </row>
    <row r="301" customFormat="false" ht="12.8" hidden="false" customHeight="false" outlineLevel="0" collapsed="false">
      <c r="A301" s="0" t="n">
        <v>4540</v>
      </c>
    </row>
    <row r="302" customFormat="false" ht="12.8" hidden="false" customHeight="false" outlineLevel="0" collapsed="false">
      <c r="A302" s="0" t="n">
        <v>4550</v>
      </c>
    </row>
    <row r="303" customFormat="false" ht="12.8" hidden="false" customHeight="false" outlineLevel="0" collapsed="false">
      <c r="A303" s="0" t="n">
        <v>4560</v>
      </c>
    </row>
    <row r="304" customFormat="false" ht="12.8" hidden="false" customHeight="false" outlineLevel="0" collapsed="false">
      <c r="A304" s="0" t="n">
        <v>4570</v>
      </c>
    </row>
    <row r="305" customFormat="false" ht="12.8" hidden="false" customHeight="false" outlineLevel="0" collapsed="false">
      <c r="A305" s="0" t="n">
        <v>4580</v>
      </c>
    </row>
    <row r="306" customFormat="false" ht="12.8" hidden="false" customHeight="false" outlineLevel="0" collapsed="false">
      <c r="A306" s="0" t="n">
        <v>4590</v>
      </c>
    </row>
    <row r="307" customFormat="false" ht="12.8" hidden="false" customHeight="false" outlineLevel="0" collapsed="false">
      <c r="A307" s="0" t="n">
        <v>4600</v>
      </c>
    </row>
    <row r="308" customFormat="false" ht="12.8" hidden="false" customHeight="false" outlineLevel="0" collapsed="false">
      <c r="A308" s="0" t="n">
        <v>4610</v>
      </c>
    </row>
    <row r="309" customFormat="false" ht="12.8" hidden="false" customHeight="false" outlineLevel="0" collapsed="false">
      <c r="A309" s="0" t="n">
        <v>4620</v>
      </c>
    </row>
    <row r="310" customFormat="false" ht="12.8" hidden="false" customHeight="false" outlineLevel="0" collapsed="false">
      <c r="A310" s="0" t="n">
        <v>4630</v>
      </c>
    </row>
    <row r="311" customFormat="false" ht="12.8" hidden="false" customHeight="false" outlineLevel="0" collapsed="false">
      <c r="A311" s="0" t="n">
        <v>4640</v>
      </c>
    </row>
    <row r="312" customFormat="false" ht="12.8" hidden="false" customHeight="false" outlineLevel="0" collapsed="false">
      <c r="A312" s="0" t="n">
        <v>4650</v>
      </c>
    </row>
    <row r="313" customFormat="false" ht="12.8" hidden="false" customHeight="false" outlineLevel="0" collapsed="false">
      <c r="A313" s="0" t="n">
        <v>4660</v>
      </c>
    </row>
    <row r="314" customFormat="false" ht="12.8" hidden="false" customHeight="false" outlineLevel="0" collapsed="false">
      <c r="A314" s="0" t="n">
        <v>4670</v>
      </c>
    </row>
    <row r="315" customFormat="false" ht="12.8" hidden="false" customHeight="false" outlineLevel="0" collapsed="false">
      <c r="A315" s="0" t="n">
        <v>4680</v>
      </c>
    </row>
    <row r="316" customFormat="false" ht="12.8" hidden="false" customHeight="false" outlineLevel="0" collapsed="false">
      <c r="A316" s="0" t="n">
        <v>4690</v>
      </c>
    </row>
    <row r="317" customFormat="false" ht="12.8" hidden="false" customHeight="false" outlineLevel="0" collapsed="false">
      <c r="A317" s="0" t="n">
        <v>4700</v>
      </c>
    </row>
    <row r="318" customFormat="false" ht="12.8" hidden="false" customHeight="false" outlineLevel="0" collapsed="false">
      <c r="A318" s="0" t="n">
        <v>4710</v>
      </c>
    </row>
    <row r="319" customFormat="false" ht="12.8" hidden="false" customHeight="false" outlineLevel="0" collapsed="false">
      <c r="A319" s="0" t="n">
        <v>4720</v>
      </c>
    </row>
    <row r="320" customFormat="false" ht="12.8" hidden="false" customHeight="false" outlineLevel="0" collapsed="false">
      <c r="A320" s="0" t="n">
        <v>4730</v>
      </c>
    </row>
    <row r="321" customFormat="false" ht="12.8" hidden="false" customHeight="false" outlineLevel="0" collapsed="false">
      <c r="A321" s="0" t="n">
        <v>4740</v>
      </c>
    </row>
    <row r="322" customFormat="false" ht="12.8" hidden="false" customHeight="false" outlineLevel="0" collapsed="false">
      <c r="A322" s="0" t="n">
        <v>4750</v>
      </c>
    </row>
    <row r="323" customFormat="false" ht="12.8" hidden="false" customHeight="false" outlineLevel="0" collapsed="false">
      <c r="A323" s="0" t="n">
        <v>4760</v>
      </c>
    </row>
    <row r="324" customFormat="false" ht="12.8" hidden="false" customHeight="false" outlineLevel="0" collapsed="false">
      <c r="A324" s="0" t="n">
        <v>4770</v>
      </c>
    </row>
    <row r="325" customFormat="false" ht="12.8" hidden="false" customHeight="false" outlineLevel="0" collapsed="false">
      <c r="A325" s="0" t="n">
        <v>4780</v>
      </c>
    </row>
    <row r="326" customFormat="false" ht="12.8" hidden="false" customHeight="false" outlineLevel="0" collapsed="false">
      <c r="A326" s="0" t="n">
        <v>4790</v>
      </c>
    </row>
    <row r="327" customFormat="false" ht="12.8" hidden="false" customHeight="false" outlineLevel="0" collapsed="false">
      <c r="A327" s="0" t="n">
        <v>4800</v>
      </c>
    </row>
    <row r="328" customFormat="false" ht="12.8" hidden="false" customHeight="false" outlineLevel="0" collapsed="false">
      <c r="A328" s="0" t="n">
        <v>4810</v>
      </c>
    </row>
    <row r="329" customFormat="false" ht="12.8" hidden="false" customHeight="false" outlineLevel="0" collapsed="false">
      <c r="A329" s="0" t="n">
        <v>4820</v>
      </c>
    </row>
    <row r="330" customFormat="false" ht="12.8" hidden="false" customHeight="false" outlineLevel="0" collapsed="false">
      <c r="A330" s="0" t="n">
        <v>4830</v>
      </c>
    </row>
    <row r="331" customFormat="false" ht="12.8" hidden="false" customHeight="false" outlineLevel="0" collapsed="false">
      <c r="A331" s="0" t="n">
        <v>4840</v>
      </c>
    </row>
    <row r="332" customFormat="false" ht="12.8" hidden="false" customHeight="false" outlineLevel="0" collapsed="false">
      <c r="A332" s="0" t="n">
        <v>4850</v>
      </c>
    </row>
    <row r="333" customFormat="false" ht="12.8" hidden="false" customHeight="false" outlineLevel="0" collapsed="false">
      <c r="A333" s="0" t="n">
        <v>4860</v>
      </c>
    </row>
    <row r="334" customFormat="false" ht="12.8" hidden="false" customHeight="false" outlineLevel="0" collapsed="false">
      <c r="A334" s="0" t="n">
        <v>4870</v>
      </c>
    </row>
    <row r="335" customFormat="false" ht="12.8" hidden="false" customHeight="false" outlineLevel="0" collapsed="false">
      <c r="A335" s="0" t="n">
        <v>4880</v>
      </c>
    </row>
    <row r="336" customFormat="false" ht="12.8" hidden="false" customHeight="false" outlineLevel="0" collapsed="false">
      <c r="A336" s="0" t="n">
        <v>4890</v>
      </c>
    </row>
    <row r="337" customFormat="false" ht="12.8" hidden="false" customHeight="false" outlineLevel="0" collapsed="false">
      <c r="A337" s="0" t="n">
        <v>4900</v>
      </c>
    </row>
    <row r="338" customFormat="false" ht="12.8" hidden="false" customHeight="false" outlineLevel="0" collapsed="false">
      <c r="A338" s="0" t="n">
        <v>4910</v>
      </c>
    </row>
    <row r="339" customFormat="false" ht="12.8" hidden="false" customHeight="false" outlineLevel="0" collapsed="false">
      <c r="A339" s="0" t="n">
        <v>4920</v>
      </c>
    </row>
    <row r="340" customFormat="false" ht="12.8" hidden="false" customHeight="false" outlineLevel="0" collapsed="false">
      <c r="A340" s="0" t="n">
        <v>4930</v>
      </c>
    </row>
    <row r="341" customFormat="false" ht="12.8" hidden="false" customHeight="false" outlineLevel="0" collapsed="false">
      <c r="A341" s="0" t="n">
        <v>4940</v>
      </c>
    </row>
    <row r="342" customFormat="false" ht="12.8" hidden="false" customHeight="false" outlineLevel="0" collapsed="false">
      <c r="A342" s="0" t="n">
        <v>4950</v>
      </c>
    </row>
    <row r="343" customFormat="false" ht="12.8" hidden="false" customHeight="false" outlineLevel="0" collapsed="false">
      <c r="A343" s="0" t="n">
        <v>4960</v>
      </c>
    </row>
    <row r="344" customFormat="false" ht="12.8" hidden="false" customHeight="false" outlineLevel="0" collapsed="false">
      <c r="A344" s="0" t="n">
        <v>4970</v>
      </c>
    </row>
    <row r="345" customFormat="false" ht="12.8" hidden="false" customHeight="false" outlineLevel="0" collapsed="false">
      <c r="A345" s="0" t="n">
        <v>4980</v>
      </c>
    </row>
    <row r="346" customFormat="false" ht="12.8" hidden="false" customHeight="false" outlineLevel="0" collapsed="false">
      <c r="A346" s="0" t="n">
        <v>4990</v>
      </c>
    </row>
    <row r="347" customFormat="false" ht="12.8" hidden="false" customHeight="false" outlineLevel="0" collapsed="false">
      <c r="A347" s="0" t="n">
        <v>5000</v>
      </c>
    </row>
    <row r="348" customFormat="false" ht="12.8" hidden="false" customHeight="false" outlineLevel="0" collapsed="false">
      <c r="A348" s="0" t="n">
        <v>5010</v>
      </c>
    </row>
    <row r="349" customFormat="false" ht="12.8" hidden="false" customHeight="false" outlineLevel="0" collapsed="false">
      <c r="A349" s="0" t="n">
        <v>5020</v>
      </c>
    </row>
    <row r="350" customFormat="false" ht="12.8" hidden="false" customHeight="false" outlineLevel="0" collapsed="false">
      <c r="A350" s="0" t="n">
        <v>5030</v>
      </c>
    </row>
    <row r="351" customFormat="false" ht="12.8" hidden="false" customHeight="false" outlineLevel="0" collapsed="false">
      <c r="A351" s="0" t="n">
        <v>5040</v>
      </c>
    </row>
    <row r="352" customFormat="false" ht="12.8" hidden="false" customHeight="false" outlineLevel="0" collapsed="false">
      <c r="A352" s="0" t="n">
        <v>5050</v>
      </c>
    </row>
    <row r="353" customFormat="false" ht="12.8" hidden="false" customHeight="false" outlineLevel="0" collapsed="false">
      <c r="A353" s="0" t="n">
        <v>5060</v>
      </c>
    </row>
    <row r="354" customFormat="false" ht="12.8" hidden="false" customHeight="false" outlineLevel="0" collapsed="false">
      <c r="A354" s="0" t="n">
        <v>5070</v>
      </c>
    </row>
    <row r="355" customFormat="false" ht="12.8" hidden="false" customHeight="false" outlineLevel="0" collapsed="false">
      <c r="A355" s="0" t="n">
        <v>5080</v>
      </c>
    </row>
    <row r="356" customFormat="false" ht="12.8" hidden="false" customHeight="false" outlineLevel="0" collapsed="false">
      <c r="A356" s="0" t="n">
        <v>5090</v>
      </c>
    </row>
    <row r="357" customFormat="false" ht="12.8" hidden="false" customHeight="false" outlineLevel="0" collapsed="false">
      <c r="A357" s="0" t="n">
        <v>5100</v>
      </c>
    </row>
    <row r="358" customFormat="false" ht="12.8" hidden="false" customHeight="false" outlineLevel="0" collapsed="false">
      <c r="A358" s="0" t="n">
        <v>5110</v>
      </c>
    </row>
    <row r="359" customFormat="false" ht="12.8" hidden="false" customHeight="false" outlineLevel="0" collapsed="false">
      <c r="A359" s="0" t="n">
        <v>5120</v>
      </c>
    </row>
    <row r="360" customFormat="false" ht="12.8" hidden="false" customHeight="false" outlineLevel="0" collapsed="false">
      <c r="A360" s="0" t="n">
        <v>5130</v>
      </c>
    </row>
    <row r="361" customFormat="false" ht="12.8" hidden="false" customHeight="false" outlineLevel="0" collapsed="false">
      <c r="A361" s="0" t="n">
        <v>5140</v>
      </c>
    </row>
    <row r="362" customFormat="false" ht="12.8" hidden="false" customHeight="false" outlineLevel="0" collapsed="false">
      <c r="A362" s="0" t="n">
        <v>5150</v>
      </c>
    </row>
    <row r="363" customFormat="false" ht="12.8" hidden="false" customHeight="false" outlineLevel="0" collapsed="false">
      <c r="A363" s="0" t="n">
        <v>5160</v>
      </c>
    </row>
    <row r="364" customFormat="false" ht="12.8" hidden="false" customHeight="false" outlineLevel="0" collapsed="false">
      <c r="A364" s="0" t="n">
        <v>5170</v>
      </c>
    </row>
    <row r="365" customFormat="false" ht="12.8" hidden="false" customHeight="false" outlineLevel="0" collapsed="false">
      <c r="A365" s="0" t="n">
        <v>5180</v>
      </c>
    </row>
    <row r="366" customFormat="false" ht="12.8" hidden="false" customHeight="false" outlineLevel="0" collapsed="false">
      <c r="A366" s="0" t="n">
        <v>5190</v>
      </c>
    </row>
    <row r="367" customFormat="false" ht="12.8" hidden="false" customHeight="false" outlineLevel="0" collapsed="false">
      <c r="A367" s="0" t="n">
        <v>5200</v>
      </c>
    </row>
    <row r="368" customFormat="false" ht="12.8" hidden="false" customHeight="false" outlineLevel="0" collapsed="false">
      <c r="A368" s="0" t="n">
        <v>5210</v>
      </c>
    </row>
    <row r="369" customFormat="false" ht="12.8" hidden="false" customHeight="false" outlineLevel="0" collapsed="false">
      <c r="A369" s="0" t="n">
        <v>5220</v>
      </c>
    </row>
    <row r="370" customFormat="false" ht="12.8" hidden="false" customHeight="false" outlineLevel="0" collapsed="false">
      <c r="A370" s="0" t="n">
        <v>5230</v>
      </c>
    </row>
    <row r="371" customFormat="false" ht="12.8" hidden="false" customHeight="false" outlineLevel="0" collapsed="false">
      <c r="A371" s="0" t="n">
        <v>5240</v>
      </c>
    </row>
    <row r="372" customFormat="false" ht="12.8" hidden="false" customHeight="false" outlineLevel="0" collapsed="false">
      <c r="A372" s="0" t="n">
        <v>5250</v>
      </c>
    </row>
    <row r="373" customFormat="false" ht="12.8" hidden="false" customHeight="false" outlineLevel="0" collapsed="false">
      <c r="A373" s="0" t="n">
        <v>5260</v>
      </c>
    </row>
    <row r="374" customFormat="false" ht="12.8" hidden="false" customHeight="false" outlineLevel="0" collapsed="false">
      <c r="A374" s="0" t="n">
        <v>5270</v>
      </c>
    </row>
    <row r="375" customFormat="false" ht="12.8" hidden="false" customHeight="false" outlineLevel="0" collapsed="false">
      <c r="A375" s="0" t="n">
        <v>5280</v>
      </c>
    </row>
    <row r="376" customFormat="false" ht="12.8" hidden="false" customHeight="false" outlineLevel="0" collapsed="false">
      <c r="A376" s="0" t="n">
        <v>5290</v>
      </c>
    </row>
    <row r="377" customFormat="false" ht="12.8" hidden="false" customHeight="false" outlineLevel="0" collapsed="false">
      <c r="A377" s="0" t="n">
        <v>5300</v>
      </c>
    </row>
    <row r="378" customFormat="false" ht="12.8" hidden="false" customHeight="false" outlineLevel="0" collapsed="false">
      <c r="A378" s="0" t="n">
        <v>5310</v>
      </c>
    </row>
    <row r="379" customFormat="false" ht="12.8" hidden="false" customHeight="false" outlineLevel="0" collapsed="false">
      <c r="A379" s="0" t="n">
        <v>5320</v>
      </c>
    </row>
    <row r="380" customFormat="false" ht="12.8" hidden="false" customHeight="false" outlineLevel="0" collapsed="false">
      <c r="A380" s="0" t="n">
        <v>5330</v>
      </c>
    </row>
    <row r="381" customFormat="false" ht="12.8" hidden="false" customHeight="false" outlineLevel="0" collapsed="false">
      <c r="A381" s="0" t="n">
        <v>5340</v>
      </c>
    </row>
    <row r="382" customFormat="false" ht="12.8" hidden="false" customHeight="false" outlineLevel="0" collapsed="false">
      <c r="A382" s="0" t="n">
        <v>5350</v>
      </c>
    </row>
    <row r="383" customFormat="false" ht="12.8" hidden="false" customHeight="false" outlineLevel="0" collapsed="false">
      <c r="A383" s="0" t="n">
        <v>5360</v>
      </c>
    </row>
    <row r="384" customFormat="false" ht="12.8" hidden="false" customHeight="false" outlineLevel="0" collapsed="false">
      <c r="A384" s="0" t="n">
        <v>5370</v>
      </c>
    </row>
    <row r="385" customFormat="false" ht="12.8" hidden="false" customHeight="false" outlineLevel="0" collapsed="false">
      <c r="A385" s="0" t="n">
        <v>5380</v>
      </c>
    </row>
    <row r="386" customFormat="false" ht="12.8" hidden="false" customHeight="false" outlineLevel="0" collapsed="false">
      <c r="A386" s="0" t="n">
        <v>5390</v>
      </c>
    </row>
    <row r="387" customFormat="false" ht="12.8" hidden="false" customHeight="false" outlineLevel="0" collapsed="false">
      <c r="A387" s="0" t="n">
        <v>5400</v>
      </c>
    </row>
    <row r="388" customFormat="false" ht="12.8" hidden="false" customHeight="false" outlineLevel="0" collapsed="false">
      <c r="A388" s="0" t="n">
        <v>5410</v>
      </c>
    </row>
    <row r="389" customFormat="false" ht="12.8" hidden="false" customHeight="false" outlineLevel="0" collapsed="false">
      <c r="A389" s="0" t="n">
        <v>5420</v>
      </c>
    </row>
    <row r="390" customFormat="false" ht="12.8" hidden="false" customHeight="false" outlineLevel="0" collapsed="false">
      <c r="A390" s="0" t="n">
        <v>5430</v>
      </c>
    </row>
    <row r="391" customFormat="false" ht="12.8" hidden="false" customHeight="false" outlineLevel="0" collapsed="false">
      <c r="A391" s="0" t="n">
        <v>5440</v>
      </c>
    </row>
    <row r="392" customFormat="false" ht="12.8" hidden="false" customHeight="false" outlineLevel="0" collapsed="false">
      <c r="A392" s="0" t="n">
        <v>5450</v>
      </c>
    </row>
    <row r="393" customFormat="false" ht="12.8" hidden="false" customHeight="false" outlineLevel="0" collapsed="false">
      <c r="A393" s="0" t="n">
        <v>5460</v>
      </c>
    </row>
    <row r="394" customFormat="false" ht="12.8" hidden="false" customHeight="false" outlineLevel="0" collapsed="false">
      <c r="A394" s="0" t="n">
        <v>5470</v>
      </c>
    </row>
    <row r="395" customFormat="false" ht="12.8" hidden="false" customHeight="false" outlineLevel="0" collapsed="false">
      <c r="A395" s="0" t="n">
        <v>5480</v>
      </c>
    </row>
    <row r="396" customFormat="false" ht="12.8" hidden="false" customHeight="false" outlineLevel="0" collapsed="false">
      <c r="A396" s="0" t="n">
        <v>5490</v>
      </c>
    </row>
    <row r="397" customFormat="false" ht="12.8" hidden="false" customHeight="false" outlineLevel="0" collapsed="false">
      <c r="A397" s="0" t="n">
        <v>5500</v>
      </c>
    </row>
    <row r="398" customFormat="false" ht="12.8" hidden="false" customHeight="false" outlineLevel="0" collapsed="false">
      <c r="A398" s="0" t="n">
        <v>5510</v>
      </c>
    </row>
    <row r="399" customFormat="false" ht="12.8" hidden="false" customHeight="false" outlineLevel="0" collapsed="false">
      <c r="A399" s="0" t="n">
        <v>5520</v>
      </c>
    </row>
    <row r="400" customFormat="false" ht="12.8" hidden="false" customHeight="false" outlineLevel="0" collapsed="false">
      <c r="A400" s="0" t="n">
        <v>5530</v>
      </c>
    </row>
    <row r="401" customFormat="false" ht="12.8" hidden="false" customHeight="false" outlineLevel="0" collapsed="false">
      <c r="A401" s="0" t="n">
        <v>5540</v>
      </c>
    </row>
    <row r="402" customFormat="false" ht="12.8" hidden="false" customHeight="false" outlineLevel="0" collapsed="false">
      <c r="A402" s="0" t="n">
        <v>5550</v>
      </c>
    </row>
    <row r="403" customFormat="false" ht="12.8" hidden="false" customHeight="false" outlineLevel="0" collapsed="false">
      <c r="A403" s="0" t="n">
        <v>5560</v>
      </c>
    </row>
    <row r="404" customFormat="false" ht="12.8" hidden="false" customHeight="false" outlineLevel="0" collapsed="false">
      <c r="A404" s="0" t="n">
        <v>5570</v>
      </c>
    </row>
    <row r="405" customFormat="false" ht="12.8" hidden="false" customHeight="false" outlineLevel="0" collapsed="false">
      <c r="A405" s="0" t="n">
        <v>5580</v>
      </c>
    </row>
    <row r="406" customFormat="false" ht="12.8" hidden="false" customHeight="false" outlineLevel="0" collapsed="false">
      <c r="A406" s="0" t="n">
        <v>5590</v>
      </c>
    </row>
    <row r="407" customFormat="false" ht="12.8" hidden="false" customHeight="false" outlineLevel="0" collapsed="false">
      <c r="A407" s="0" t="n">
        <v>5600</v>
      </c>
    </row>
    <row r="408" customFormat="false" ht="12.8" hidden="false" customHeight="false" outlineLevel="0" collapsed="false">
      <c r="A408" s="0" t="n">
        <v>5610</v>
      </c>
    </row>
    <row r="409" customFormat="false" ht="12.8" hidden="false" customHeight="false" outlineLevel="0" collapsed="false">
      <c r="A409" s="0" t="n">
        <v>5620</v>
      </c>
    </row>
    <row r="410" customFormat="false" ht="12.8" hidden="false" customHeight="false" outlineLevel="0" collapsed="false">
      <c r="A410" s="0" t="n">
        <v>5630</v>
      </c>
    </row>
    <row r="411" customFormat="false" ht="12.8" hidden="false" customHeight="false" outlineLevel="0" collapsed="false">
      <c r="A411" s="0" t="n">
        <v>5640</v>
      </c>
    </row>
    <row r="412" customFormat="false" ht="12.8" hidden="false" customHeight="false" outlineLevel="0" collapsed="false">
      <c r="A412" s="0" t="n">
        <v>5650</v>
      </c>
    </row>
    <row r="413" customFormat="false" ht="12.8" hidden="false" customHeight="false" outlineLevel="0" collapsed="false">
      <c r="A413" s="0" t="n">
        <v>5660</v>
      </c>
    </row>
    <row r="414" customFormat="false" ht="12.8" hidden="false" customHeight="false" outlineLevel="0" collapsed="false">
      <c r="A414" s="0" t="n">
        <v>5670</v>
      </c>
    </row>
    <row r="415" customFormat="false" ht="12.8" hidden="false" customHeight="false" outlineLevel="0" collapsed="false">
      <c r="A415" s="0" t="n">
        <v>5680</v>
      </c>
    </row>
    <row r="416" customFormat="false" ht="12.8" hidden="false" customHeight="false" outlineLevel="0" collapsed="false">
      <c r="A416" s="0" t="n">
        <v>5690</v>
      </c>
    </row>
    <row r="417" customFormat="false" ht="12.8" hidden="false" customHeight="false" outlineLevel="0" collapsed="false">
      <c r="A417" s="0" t="n">
        <v>5700</v>
      </c>
    </row>
    <row r="418" customFormat="false" ht="12.8" hidden="false" customHeight="false" outlineLevel="0" collapsed="false">
      <c r="A418" s="0" t="n">
        <v>5710</v>
      </c>
    </row>
    <row r="419" customFormat="false" ht="12.8" hidden="false" customHeight="false" outlineLevel="0" collapsed="false">
      <c r="A419" s="0" t="n">
        <v>5720</v>
      </c>
    </row>
    <row r="420" customFormat="false" ht="12.8" hidden="false" customHeight="false" outlineLevel="0" collapsed="false">
      <c r="A420" s="0" t="n">
        <v>5730</v>
      </c>
    </row>
    <row r="421" customFormat="false" ht="12.8" hidden="false" customHeight="false" outlineLevel="0" collapsed="false">
      <c r="A421" s="0" t="n">
        <v>5740</v>
      </c>
    </row>
    <row r="422" customFormat="false" ht="12.8" hidden="false" customHeight="false" outlineLevel="0" collapsed="false">
      <c r="A422" s="0" t="n">
        <v>5750</v>
      </c>
    </row>
    <row r="423" customFormat="false" ht="12.8" hidden="false" customHeight="false" outlineLevel="0" collapsed="false">
      <c r="A423" s="0" t="n">
        <v>5760</v>
      </c>
    </row>
    <row r="424" customFormat="false" ht="12.8" hidden="false" customHeight="false" outlineLevel="0" collapsed="false">
      <c r="A424" s="0" t="n">
        <v>5770</v>
      </c>
    </row>
    <row r="425" customFormat="false" ht="12.8" hidden="false" customHeight="false" outlineLevel="0" collapsed="false">
      <c r="A425" s="0" t="n">
        <v>5780</v>
      </c>
    </row>
    <row r="426" customFormat="false" ht="12.8" hidden="false" customHeight="false" outlineLevel="0" collapsed="false">
      <c r="A426" s="0" t="n">
        <v>5790</v>
      </c>
    </row>
    <row r="427" customFormat="false" ht="12.8" hidden="false" customHeight="false" outlineLevel="0" collapsed="false">
      <c r="A427" s="0" t="n">
        <v>5800</v>
      </c>
    </row>
    <row r="428" customFormat="false" ht="12.8" hidden="false" customHeight="false" outlineLevel="0" collapsed="false">
      <c r="A428" s="0" t="n">
        <v>5810</v>
      </c>
    </row>
    <row r="429" customFormat="false" ht="12.8" hidden="false" customHeight="false" outlineLevel="0" collapsed="false">
      <c r="A429" s="0" t="n">
        <v>5820</v>
      </c>
    </row>
    <row r="430" customFormat="false" ht="12.8" hidden="false" customHeight="false" outlineLevel="0" collapsed="false">
      <c r="A430" s="0" t="n">
        <v>5830</v>
      </c>
    </row>
    <row r="431" customFormat="false" ht="12.8" hidden="false" customHeight="false" outlineLevel="0" collapsed="false">
      <c r="A431" s="0" t="n">
        <v>5840</v>
      </c>
    </row>
    <row r="432" customFormat="false" ht="12.8" hidden="false" customHeight="false" outlineLevel="0" collapsed="false">
      <c r="A432" s="0" t="n">
        <v>5850</v>
      </c>
    </row>
    <row r="433" customFormat="false" ht="12.8" hidden="false" customHeight="false" outlineLevel="0" collapsed="false">
      <c r="A433" s="0" t="n">
        <v>5860</v>
      </c>
    </row>
    <row r="434" customFormat="false" ht="12.8" hidden="false" customHeight="false" outlineLevel="0" collapsed="false">
      <c r="A434" s="0" t="n">
        <v>5870</v>
      </c>
    </row>
    <row r="435" customFormat="false" ht="12.8" hidden="false" customHeight="false" outlineLevel="0" collapsed="false">
      <c r="A435" s="0" t="n">
        <v>5880</v>
      </c>
    </row>
    <row r="436" customFormat="false" ht="12.8" hidden="false" customHeight="false" outlineLevel="0" collapsed="false">
      <c r="A436" s="0" t="n">
        <v>5890</v>
      </c>
    </row>
    <row r="437" customFormat="false" ht="12.8" hidden="false" customHeight="false" outlineLevel="0" collapsed="false">
      <c r="A437" s="0" t="n">
        <v>5900</v>
      </c>
    </row>
    <row r="438" customFormat="false" ht="12.8" hidden="false" customHeight="false" outlineLevel="0" collapsed="false">
      <c r="A438" s="0" t="n">
        <v>5910</v>
      </c>
    </row>
    <row r="439" customFormat="false" ht="12.8" hidden="false" customHeight="false" outlineLevel="0" collapsed="false">
      <c r="A439" s="0" t="n">
        <v>5920</v>
      </c>
    </row>
    <row r="440" customFormat="false" ht="12.8" hidden="false" customHeight="false" outlineLevel="0" collapsed="false">
      <c r="A440" s="0" t="n">
        <v>5930</v>
      </c>
    </row>
    <row r="441" customFormat="false" ht="12.8" hidden="false" customHeight="false" outlineLevel="0" collapsed="false">
      <c r="A441" s="0" t="n">
        <v>5940</v>
      </c>
    </row>
    <row r="442" customFormat="false" ht="12.8" hidden="false" customHeight="false" outlineLevel="0" collapsed="false">
      <c r="A442" s="0" t="n">
        <v>5950</v>
      </c>
    </row>
    <row r="443" customFormat="false" ht="12.8" hidden="false" customHeight="false" outlineLevel="0" collapsed="false">
      <c r="A443" s="0" t="n">
        <v>5960</v>
      </c>
    </row>
    <row r="444" customFormat="false" ht="12.8" hidden="false" customHeight="false" outlineLevel="0" collapsed="false">
      <c r="A444" s="0" t="n">
        <v>5970</v>
      </c>
    </row>
    <row r="445" customFormat="false" ht="12.8" hidden="false" customHeight="false" outlineLevel="0" collapsed="false">
      <c r="A445" s="0" t="n">
        <v>5980</v>
      </c>
    </row>
    <row r="446" customFormat="false" ht="12.8" hidden="false" customHeight="false" outlineLevel="0" collapsed="false">
      <c r="A446" s="0" t="n">
        <v>5990</v>
      </c>
    </row>
    <row r="447" customFormat="false" ht="12.8" hidden="false" customHeight="false" outlineLevel="0" collapsed="false">
      <c r="A447" s="0" t="n">
        <v>6000</v>
      </c>
    </row>
    <row r="448" customFormat="false" ht="12.8" hidden="false" customHeight="false" outlineLevel="0" collapsed="false">
      <c r="A448" s="0" t="n">
        <v>6010</v>
      </c>
    </row>
    <row r="449" customFormat="false" ht="12.8" hidden="false" customHeight="false" outlineLevel="0" collapsed="false">
      <c r="A449" s="0" t="n">
        <v>6020</v>
      </c>
    </row>
    <row r="450" customFormat="false" ht="12.8" hidden="false" customHeight="false" outlineLevel="0" collapsed="false">
      <c r="A450" s="0" t="n">
        <v>6030</v>
      </c>
    </row>
    <row r="451" customFormat="false" ht="12.8" hidden="false" customHeight="false" outlineLevel="0" collapsed="false">
      <c r="A451" s="0" t="n">
        <v>6040</v>
      </c>
    </row>
    <row r="452" customFormat="false" ht="12.8" hidden="false" customHeight="false" outlineLevel="0" collapsed="false">
      <c r="A452" s="0" t="n">
        <v>6050</v>
      </c>
    </row>
    <row r="453" customFormat="false" ht="12.8" hidden="false" customHeight="false" outlineLevel="0" collapsed="false">
      <c r="A453" s="0" t="n">
        <v>6060</v>
      </c>
    </row>
    <row r="454" customFormat="false" ht="12.8" hidden="false" customHeight="false" outlineLevel="0" collapsed="false">
      <c r="A454" s="0" t="n">
        <v>6070</v>
      </c>
    </row>
    <row r="455" customFormat="false" ht="12.8" hidden="false" customHeight="false" outlineLevel="0" collapsed="false">
      <c r="A455" s="0" t="n">
        <v>6080</v>
      </c>
    </row>
    <row r="456" customFormat="false" ht="12.8" hidden="false" customHeight="false" outlineLevel="0" collapsed="false">
      <c r="A456" s="0" t="n">
        <v>6090</v>
      </c>
    </row>
    <row r="457" customFormat="false" ht="12.8" hidden="false" customHeight="false" outlineLevel="0" collapsed="false">
      <c r="A457" s="0" t="n">
        <v>6100</v>
      </c>
    </row>
    <row r="458" customFormat="false" ht="12.8" hidden="false" customHeight="false" outlineLevel="0" collapsed="false">
      <c r="A458" s="0" t="n">
        <v>6110</v>
      </c>
    </row>
    <row r="459" customFormat="false" ht="12.8" hidden="false" customHeight="false" outlineLevel="0" collapsed="false">
      <c r="A459" s="0" t="n">
        <v>6120</v>
      </c>
    </row>
    <row r="460" customFormat="false" ht="12.8" hidden="false" customHeight="false" outlineLevel="0" collapsed="false">
      <c r="A460" s="0" t="n">
        <v>6130</v>
      </c>
    </row>
    <row r="461" customFormat="false" ht="12.8" hidden="false" customHeight="false" outlineLevel="0" collapsed="false">
      <c r="A461" s="0" t="n">
        <v>6140</v>
      </c>
    </row>
    <row r="462" customFormat="false" ht="12.8" hidden="false" customHeight="false" outlineLevel="0" collapsed="false">
      <c r="A462" s="0" t="n">
        <v>6150</v>
      </c>
    </row>
    <row r="463" customFormat="false" ht="12.8" hidden="false" customHeight="false" outlineLevel="0" collapsed="false">
      <c r="A463" s="0" t="n">
        <v>6160</v>
      </c>
    </row>
    <row r="464" customFormat="false" ht="12.8" hidden="false" customHeight="false" outlineLevel="0" collapsed="false">
      <c r="A464" s="0" t="n">
        <v>6170</v>
      </c>
    </row>
    <row r="465" customFormat="false" ht="12.8" hidden="false" customHeight="false" outlineLevel="0" collapsed="false">
      <c r="A465" s="0" t="n">
        <v>6180</v>
      </c>
    </row>
    <row r="466" customFormat="false" ht="12.8" hidden="false" customHeight="false" outlineLevel="0" collapsed="false">
      <c r="A466" s="0" t="n">
        <v>6190</v>
      </c>
    </row>
    <row r="467" customFormat="false" ht="12.8" hidden="false" customHeight="false" outlineLevel="0" collapsed="false">
      <c r="A467" s="0" t="n">
        <v>6200</v>
      </c>
    </row>
    <row r="468" customFormat="false" ht="12.8" hidden="false" customHeight="false" outlineLevel="0" collapsed="false">
      <c r="A468" s="0" t="n">
        <v>6210</v>
      </c>
    </row>
    <row r="469" customFormat="false" ht="12.8" hidden="false" customHeight="false" outlineLevel="0" collapsed="false">
      <c r="A469" s="0" t="n">
        <v>6220</v>
      </c>
    </row>
    <row r="470" customFormat="false" ht="12.8" hidden="false" customHeight="false" outlineLevel="0" collapsed="false">
      <c r="A470" s="0" t="n">
        <v>6230</v>
      </c>
    </row>
    <row r="471" customFormat="false" ht="12.8" hidden="false" customHeight="false" outlineLevel="0" collapsed="false">
      <c r="A471" s="0" t="n">
        <v>6240</v>
      </c>
    </row>
    <row r="472" customFormat="false" ht="12.8" hidden="false" customHeight="false" outlineLevel="0" collapsed="false">
      <c r="A472" s="0" t="n">
        <v>6250</v>
      </c>
    </row>
    <row r="473" customFormat="false" ht="12.8" hidden="false" customHeight="false" outlineLevel="0" collapsed="false">
      <c r="A473" s="0" t="n">
        <v>6260</v>
      </c>
    </row>
    <row r="474" customFormat="false" ht="12.8" hidden="false" customHeight="false" outlineLevel="0" collapsed="false">
      <c r="A474" s="0" t="n">
        <v>6270</v>
      </c>
    </row>
    <row r="475" customFormat="false" ht="12.8" hidden="false" customHeight="false" outlineLevel="0" collapsed="false">
      <c r="A475" s="0" t="n">
        <v>6280</v>
      </c>
    </row>
    <row r="476" customFormat="false" ht="12.8" hidden="false" customHeight="false" outlineLevel="0" collapsed="false">
      <c r="A476" s="0" t="n">
        <v>6290</v>
      </c>
    </row>
    <row r="477" customFormat="false" ht="12.8" hidden="false" customHeight="false" outlineLevel="0" collapsed="false">
      <c r="A477" s="0" t="n">
        <v>6300</v>
      </c>
    </row>
    <row r="478" customFormat="false" ht="12.8" hidden="false" customHeight="false" outlineLevel="0" collapsed="false">
      <c r="A478" s="0" t="n">
        <v>6310</v>
      </c>
    </row>
    <row r="479" customFormat="false" ht="12.8" hidden="false" customHeight="false" outlineLevel="0" collapsed="false">
      <c r="A479" s="0" t="n">
        <v>6320</v>
      </c>
    </row>
    <row r="480" customFormat="false" ht="12.8" hidden="false" customHeight="false" outlineLevel="0" collapsed="false">
      <c r="A480" s="0" t="n">
        <v>6330</v>
      </c>
    </row>
    <row r="481" customFormat="false" ht="12.8" hidden="false" customHeight="false" outlineLevel="0" collapsed="false">
      <c r="A481" s="0" t="n">
        <v>6340</v>
      </c>
    </row>
    <row r="482" customFormat="false" ht="12.8" hidden="false" customHeight="false" outlineLevel="0" collapsed="false">
      <c r="A482" s="0" t="n">
        <v>6350</v>
      </c>
    </row>
    <row r="483" customFormat="false" ht="12.8" hidden="false" customHeight="false" outlineLevel="0" collapsed="false">
      <c r="A483" s="0" t="n">
        <v>6360</v>
      </c>
    </row>
    <row r="484" customFormat="false" ht="12.8" hidden="false" customHeight="false" outlineLevel="0" collapsed="false">
      <c r="A484" s="0" t="n">
        <v>6370</v>
      </c>
    </row>
    <row r="485" customFormat="false" ht="12.8" hidden="false" customHeight="false" outlineLevel="0" collapsed="false">
      <c r="A485" s="0" t="n">
        <v>6380</v>
      </c>
    </row>
    <row r="486" customFormat="false" ht="12.8" hidden="false" customHeight="false" outlineLevel="0" collapsed="false">
      <c r="A486" s="0" t="n">
        <v>6390</v>
      </c>
    </row>
    <row r="487" customFormat="false" ht="12.8" hidden="false" customHeight="false" outlineLevel="0" collapsed="false">
      <c r="A487" s="0" t="n">
        <v>6400</v>
      </c>
    </row>
    <row r="488" customFormat="false" ht="12.8" hidden="false" customHeight="false" outlineLevel="0" collapsed="false">
      <c r="A488" s="0" t="n">
        <v>6410</v>
      </c>
    </row>
    <row r="489" customFormat="false" ht="12.8" hidden="false" customHeight="false" outlineLevel="0" collapsed="false">
      <c r="A489" s="0" t="n">
        <v>6420</v>
      </c>
    </row>
    <row r="490" customFormat="false" ht="12.8" hidden="false" customHeight="false" outlineLevel="0" collapsed="false">
      <c r="A490" s="0" t="n">
        <v>6430</v>
      </c>
    </row>
    <row r="491" customFormat="false" ht="12.8" hidden="false" customHeight="false" outlineLevel="0" collapsed="false">
      <c r="A491" s="0" t="n">
        <v>6440</v>
      </c>
    </row>
    <row r="492" customFormat="false" ht="12.8" hidden="false" customHeight="false" outlineLevel="0" collapsed="false">
      <c r="A492" s="0" t="n">
        <v>6450</v>
      </c>
    </row>
    <row r="493" customFormat="false" ht="12.8" hidden="false" customHeight="false" outlineLevel="0" collapsed="false">
      <c r="A493" s="0" t="n">
        <v>6460</v>
      </c>
    </row>
    <row r="494" customFormat="false" ht="12.8" hidden="false" customHeight="false" outlineLevel="0" collapsed="false">
      <c r="A494" s="0" t="n">
        <v>6470</v>
      </c>
    </row>
    <row r="495" customFormat="false" ht="12.8" hidden="false" customHeight="false" outlineLevel="0" collapsed="false">
      <c r="A495" s="0" t="n">
        <v>6480</v>
      </c>
    </row>
    <row r="496" customFormat="false" ht="12.8" hidden="false" customHeight="false" outlineLevel="0" collapsed="false">
      <c r="A496" s="0" t="n">
        <v>6490</v>
      </c>
    </row>
    <row r="497" customFormat="false" ht="12.8" hidden="false" customHeight="false" outlineLevel="0" collapsed="false">
      <c r="A497" s="0" t="n">
        <v>6500</v>
      </c>
    </row>
    <row r="498" customFormat="false" ht="12.8" hidden="false" customHeight="false" outlineLevel="0" collapsed="false">
      <c r="A498" s="0" t="n">
        <v>6510</v>
      </c>
    </row>
    <row r="499" customFormat="false" ht="12.8" hidden="false" customHeight="false" outlineLevel="0" collapsed="false">
      <c r="A499" s="0" t="n">
        <v>6520</v>
      </c>
    </row>
    <row r="500" customFormat="false" ht="12.8" hidden="false" customHeight="false" outlineLevel="0" collapsed="false">
      <c r="A500" s="0" t="n">
        <v>6530</v>
      </c>
    </row>
    <row r="501" customFormat="false" ht="12.8" hidden="false" customHeight="false" outlineLevel="0" collapsed="false">
      <c r="A501" s="0" t="n">
        <v>6540</v>
      </c>
    </row>
    <row r="502" customFormat="false" ht="12.8" hidden="false" customHeight="false" outlineLevel="0" collapsed="false">
      <c r="A502" s="0" t="n">
        <v>6550</v>
      </c>
    </row>
    <row r="503" customFormat="false" ht="12.8" hidden="false" customHeight="false" outlineLevel="0" collapsed="false">
      <c r="A503" s="0" t="n">
        <v>6560</v>
      </c>
    </row>
    <row r="504" customFormat="false" ht="12.8" hidden="false" customHeight="false" outlineLevel="0" collapsed="false">
      <c r="A504" s="0" t="n">
        <v>6570</v>
      </c>
    </row>
    <row r="505" customFormat="false" ht="12.8" hidden="false" customHeight="false" outlineLevel="0" collapsed="false">
      <c r="A505" s="0" t="n">
        <v>6580</v>
      </c>
    </row>
    <row r="506" customFormat="false" ht="12.8" hidden="false" customHeight="false" outlineLevel="0" collapsed="false">
      <c r="A506" s="0" t="n">
        <v>6590</v>
      </c>
    </row>
    <row r="507" customFormat="false" ht="12.8" hidden="false" customHeight="false" outlineLevel="0" collapsed="false">
      <c r="A507" s="0" t="n">
        <v>6600</v>
      </c>
    </row>
    <row r="508" customFormat="false" ht="12.8" hidden="false" customHeight="false" outlineLevel="0" collapsed="false">
      <c r="A508" s="0" t="n">
        <v>6610</v>
      </c>
    </row>
    <row r="509" customFormat="false" ht="12.8" hidden="false" customHeight="false" outlineLevel="0" collapsed="false">
      <c r="A509" s="0" t="n">
        <v>6620</v>
      </c>
    </row>
    <row r="510" customFormat="false" ht="12.8" hidden="false" customHeight="false" outlineLevel="0" collapsed="false">
      <c r="A510" s="0" t="n">
        <v>6630</v>
      </c>
    </row>
    <row r="511" customFormat="false" ht="12.8" hidden="false" customHeight="false" outlineLevel="0" collapsed="false">
      <c r="A511" s="0" t="n">
        <v>6640</v>
      </c>
    </row>
    <row r="512" customFormat="false" ht="12.8" hidden="false" customHeight="false" outlineLevel="0" collapsed="false">
      <c r="A512" s="0" t="n">
        <v>6650</v>
      </c>
    </row>
    <row r="513" customFormat="false" ht="12.8" hidden="false" customHeight="false" outlineLevel="0" collapsed="false">
      <c r="A513" s="0" t="n">
        <v>6660</v>
      </c>
    </row>
    <row r="514" customFormat="false" ht="12.8" hidden="false" customHeight="false" outlineLevel="0" collapsed="false">
      <c r="A514" s="0" t="n">
        <v>6670</v>
      </c>
    </row>
    <row r="515" customFormat="false" ht="12.8" hidden="false" customHeight="false" outlineLevel="0" collapsed="false">
      <c r="A515" s="0" t="n">
        <v>6680</v>
      </c>
    </row>
    <row r="516" customFormat="false" ht="12.8" hidden="false" customHeight="false" outlineLevel="0" collapsed="false">
      <c r="A516" s="0" t="n">
        <v>6690</v>
      </c>
    </row>
    <row r="517" customFormat="false" ht="12.8" hidden="false" customHeight="false" outlineLevel="0" collapsed="false">
      <c r="A517" s="0" t="n">
        <v>6700</v>
      </c>
    </row>
    <row r="518" customFormat="false" ht="12.8" hidden="false" customHeight="false" outlineLevel="0" collapsed="false">
      <c r="A518" s="0" t="n">
        <v>6710</v>
      </c>
    </row>
    <row r="519" customFormat="false" ht="12.8" hidden="false" customHeight="false" outlineLevel="0" collapsed="false">
      <c r="A519" s="0" t="n">
        <v>6720</v>
      </c>
    </row>
    <row r="520" customFormat="false" ht="12.8" hidden="false" customHeight="false" outlineLevel="0" collapsed="false">
      <c r="A520" s="0" t="n">
        <v>6730</v>
      </c>
    </row>
    <row r="521" customFormat="false" ht="12.8" hidden="false" customHeight="false" outlineLevel="0" collapsed="false">
      <c r="A521" s="0" t="n">
        <v>6740</v>
      </c>
    </row>
    <row r="522" customFormat="false" ht="12.8" hidden="false" customHeight="false" outlineLevel="0" collapsed="false">
      <c r="A522" s="0" t="n">
        <v>6750</v>
      </c>
    </row>
    <row r="523" customFormat="false" ht="12.8" hidden="false" customHeight="false" outlineLevel="0" collapsed="false">
      <c r="A523" s="0" t="n">
        <v>6760</v>
      </c>
    </row>
    <row r="524" customFormat="false" ht="12.8" hidden="false" customHeight="false" outlineLevel="0" collapsed="false">
      <c r="A524" s="0" t="n">
        <v>6770</v>
      </c>
    </row>
    <row r="525" customFormat="false" ht="12.8" hidden="false" customHeight="false" outlineLevel="0" collapsed="false">
      <c r="A525" s="0" t="n">
        <v>6780</v>
      </c>
    </row>
    <row r="526" customFormat="false" ht="12.8" hidden="false" customHeight="false" outlineLevel="0" collapsed="false">
      <c r="A526" s="0" t="n">
        <v>6790</v>
      </c>
    </row>
    <row r="527" customFormat="false" ht="12.8" hidden="false" customHeight="false" outlineLevel="0" collapsed="false">
      <c r="A527" s="0" t="n">
        <v>6800</v>
      </c>
    </row>
    <row r="528" customFormat="false" ht="12.8" hidden="false" customHeight="false" outlineLevel="0" collapsed="false">
      <c r="A528" s="0" t="n">
        <v>6810</v>
      </c>
    </row>
    <row r="529" customFormat="false" ht="12.8" hidden="false" customHeight="false" outlineLevel="0" collapsed="false">
      <c r="A529" s="0" t="n">
        <v>6820</v>
      </c>
    </row>
    <row r="530" customFormat="false" ht="12.8" hidden="false" customHeight="false" outlineLevel="0" collapsed="false">
      <c r="A530" s="0" t="n">
        <v>6830</v>
      </c>
    </row>
    <row r="531" customFormat="false" ht="12.8" hidden="false" customHeight="false" outlineLevel="0" collapsed="false">
      <c r="A531" s="0" t="n">
        <v>6840</v>
      </c>
    </row>
    <row r="532" customFormat="false" ht="12.8" hidden="false" customHeight="false" outlineLevel="0" collapsed="false">
      <c r="A532" s="0" t="n">
        <v>6850</v>
      </c>
    </row>
    <row r="533" customFormat="false" ht="12.8" hidden="false" customHeight="false" outlineLevel="0" collapsed="false">
      <c r="A533" s="0" t="n">
        <v>6860</v>
      </c>
    </row>
    <row r="534" customFormat="false" ht="12.8" hidden="false" customHeight="false" outlineLevel="0" collapsed="false">
      <c r="A534" s="0" t="n">
        <v>6870</v>
      </c>
    </row>
    <row r="535" customFormat="false" ht="12.8" hidden="false" customHeight="false" outlineLevel="0" collapsed="false">
      <c r="A535" s="0" t="n">
        <v>6880</v>
      </c>
    </row>
    <row r="536" customFormat="false" ht="12.8" hidden="false" customHeight="false" outlineLevel="0" collapsed="false">
      <c r="A536" s="0" t="n">
        <v>6890</v>
      </c>
    </row>
    <row r="537" customFormat="false" ht="12.8" hidden="false" customHeight="false" outlineLevel="0" collapsed="false">
      <c r="A537" s="0" t="n">
        <v>6900</v>
      </c>
    </row>
    <row r="538" customFormat="false" ht="12.8" hidden="false" customHeight="false" outlineLevel="0" collapsed="false">
      <c r="A538" s="0" t="n">
        <v>6910</v>
      </c>
    </row>
    <row r="539" customFormat="false" ht="12.8" hidden="false" customHeight="false" outlineLevel="0" collapsed="false">
      <c r="A539" s="0" t="n">
        <v>6920</v>
      </c>
    </row>
    <row r="540" customFormat="false" ht="12.8" hidden="false" customHeight="false" outlineLevel="0" collapsed="false">
      <c r="A540" s="0" t="n">
        <v>6930</v>
      </c>
    </row>
    <row r="541" customFormat="false" ht="12.8" hidden="false" customHeight="false" outlineLevel="0" collapsed="false">
      <c r="A541" s="0" t="n">
        <v>6940</v>
      </c>
    </row>
    <row r="542" customFormat="false" ht="12.8" hidden="false" customHeight="false" outlineLevel="0" collapsed="false">
      <c r="A542" s="0" t="n">
        <v>6950</v>
      </c>
    </row>
    <row r="543" customFormat="false" ht="12.8" hidden="false" customHeight="false" outlineLevel="0" collapsed="false">
      <c r="A543" s="0" t="n">
        <v>6960</v>
      </c>
    </row>
    <row r="544" customFormat="false" ht="12.8" hidden="false" customHeight="false" outlineLevel="0" collapsed="false">
      <c r="A544" s="0" t="n">
        <v>6970</v>
      </c>
    </row>
    <row r="545" customFormat="false" ht="12.8" hidden="false" customHeight="false" outlineLevel="0" collapsed="false">
      <c r="A545" s="0" t="n">
        <v>6980</v>
      </c>
    </row>
    <row r="546" customFormat="false" ht="12.8" hidden="false" customHeight="false" outlineLevel="0" collapsed="false">
      <c r="A546" s="0" t="n">
        <v>6990</v>
      </c>
    </row>
    <row r="547" customFormat="false" ht="12.8" hidden="false" customHeight="false" outlineLevel="0" collapsed="false">
      <c r="A547" s="0" t="n">
        <v>7000</v>
      </c>
    </row>
    <row r="548" customFormat="false" ht="12.8" hidden="false" customHeight="false" outlineLevel="0" collapsed="false">
      <c r="A548" s="0" t="n">
        <v>7010</v>
      </c>
    </row>
    <row r="549" customFormat="false" ht="12.8" hidden="false" customHeight="false" outlineLevel="0" collapsed="false">
      <c r="A549" s="0" t="n">
        <v>7020</v>
      </c>
    </row>
    <row r="550" customFormat="false" ht="12.8" hidden="false" customHeight="false" outlineLevel="0" collapsed="false">
      <c r="A550" s="0" t="n">
        <v>7030</v>
      </c>
    </row>
    <row r="551" customFormat="false" ht="12.8" hidden="false" customHeight="false" outlineLevel="0" collapsed="false">
      <c r="A551" s="0" t="n">
        <v>7040</v>
      </c>
    </row>
    <row r="552" customFormat="false" ht="12.8" hidden="false" customHeight="false" outlineLevel="0" collapsed="false">
      <c r="A552" s="0" t="n">
        <v>7050</v>
      </c>
    </row>
    <row r="553" customFormat="false" ht="12.8" hidden="false" customHeight="false" outlineLevel="0" collapsed="false">
      <c r="A553" s="0" t="n">
        <v>7060</v>
      </c>
    </row>
    <row r="554" customFormat="false" ht="12.8" hidden="false" customHeight="false" outlineLevel="0" collapsed="false">
      <c r="A554" s="0" t="n">
        <v>7070</v>
      </c>
    </row>
    <row r="555" customFormat="false" ht="12.8" hidden="false" customHeight="false" outlineLevel="0" collapsed="false">
      <c r="A555" s="0" t="n">
        <v>7080</v>
      </c>
    </row>
    <row r="556" customFormat="false" ht="12.8" hidden="false" customHeight="false" outlineLevel="0" collapsed="false">
      <c r="A556" s="0" t="n">
        <v>7090</v>
      </c>
    </row>
    <row r="557" customFormat="false" ht="12.8" hidden="false" customHeight="false" outlineLevel="0" collapsed="false">
      <c r="A557" s="0" t="n">
        <v>7100</v>
      </c>
    </row>
    <row r="558" customFormat="false" ht="12.8" hidden="false" customHeight="false" outlineLevel="0" collapsed="false">
      <c r="A558" s="0" t="n">
        <v>7110</v>
      </c>
    </row>
    <row r="559" customFormat="false" ht="12.8" hidden="false" customHeight="false" outlineLevel="0" collapsed="false">
      <c r="A559" s="0" t="n">
        <v>7120</v>
      </c>
    </row>
    <row r="560" customFormat="false" ht="12.8" hidden="false" customHeight="false" outlineLevel="0" collapsed="false">
      <c r="A560" s="0" t="n">
        <v>7130</v>
      </c>
    </row>
    <row r="561" customFormat="false" ht="12.8" hidden="false" customHeight="false" outlineLevel="0" collapsed="false">
      <c r="A561" s="0" t="n">
        <v>7140</v>
      </c>
    </row>
    <row r="562" customFormat="false" ht="12.8" hidden="false" customHeight="false" outlineLevel="0" collapsed="false">
      <c r="A562" s="0" t="n">
        <v>7150</v>
      </c>
    </row>
    <row r="563" customFormat="false" ht="12.8" hidden="false" customHeight="false" outlineLevel="0" collapsed="false">
      <c r="A563" s="0" t="n">
        <v>7160</v>
      </c>
    </row>
    <row r="564" customFormat="false" ht="12.8" hidden="false" customHeight="false" outlineLevel="0" collapsed="false">
      <c r="A564" s="0" t="n">
        <v>7170</v>
      </c>
    </row>
    <row r="565" customFormat="false" ht="12.8" hidden="false" customHeight="false" outlineLevel="0" collapsed="false">
      <c r="A565" s="0" t="n">
        <v>7180</v>
      </c>
    </row>
    <row r="566" customFormat="false" ht="12.8" hidden="false" customHeight="false" outlineLevel="0" collapsed="false">
      <c r="A566" s="0" t="n">
        <v>7190</v>
      </c>
    </row>
    <row r="567" customFormat="false" ht="12.8" hidden="false" customHeight="false" outlineLevel="0" collapsed="false">
      <c r="A567" s="0" t="n">
        <v>7200</v>
      </c>
    </row>
    <row r="568" customFormat="false" ht="12.8" hidden="false" customHeight="false" outlineLevel="0" collapsed="false">
      <c r="A568" s="0" t="n">
        <v>7210</v>
      </c>
    </row>
    <row r="569" customFormat="false" ht="12.8" hidden="false" customHeight="false" outlineLevel="0" collapsed="false">
      <c r="A569" s="0" t="n">
        <v>7220</v>
      </c>
    </row>
    <row r="570" customFormat="false" ht="12.8" hidden="false" customHeight="false" outlineLevel="0" collapsed="false">
      <c r="A570" s="0" t="n">
        <v>7230</v>
      </c>
    </row>
    <row r="571" customFormat="false" ht="12.8" hidden="false" customHeight="false" outlineLevel="0" collapsed="false">
      <c r="A571" s="0" t="n">
        <v>7240</v>
      </c>
    </row>
    <row r="572" customFormat="false" ht="12.8" hidden="false" customHeight="false" outlineLevel="0" collapsed="false">
      <c r="A572" s="0" t="n">
        <v>7250</v>
      </c>
    </row>
    <row r="573" customFormat="false" ht="12.8" hidden="false" customHeight="false" outlineLevel="0" collapsed="false">
      <c r="A573" s="0" t="n">
        <v>7260</v>
      </c>
    </row>
    <row r="574" customFormat="false" ht="12.8" hidden="false" customHeight="false" outlineLevel="0" collapsed="false">
      <c r="A574" s="0" t="n">
        <v>7270</v>
      </c>
    </row>
    <row r="575" customFormat="false" ht="12.8" hidden="false" customHeight="false" outlineLevel="0" collapsed="false">
      <c r="A575" s="0" t="n">
        <v>7280</v>
      </c>
    </row>
    <row r="576" customFormat="false" ht="12.8" hidden="false" customHeight="false" outlineLevel="0" collapsed="false">
      <c r="A576" s="0" t="n">
        <v>7290</v>
      </c>
    </row>
    <row r="577" customFormat="false" ht="12.8" hidden="false" customHeight="false" outlineLevel="0" collapsed="false">
      <c r="A577" s="0" t="n">
        <v>7300</v>
      </c>
    </row>
    <row r="578" customFormat="false" ht="12.8" hidden="false" customHeight="false" outlineLevel="0" collapsed="false">
      <c r="A578" s="0" t="n">
        <v>7310</v>
      </c>
    </row>
    <row r="579" customFormat="false" ht="12.8" hidden="false" customHeight="false" outlineLevel="0" collapsed="false">
      <c r="A579" s="0" t="n">
        <v>7320</v>
      </c>
    </row>
    <row r="580" customFormat="false" ht="12.8" hidden="false" customHeight="false" outlineLevel="0" collapsed="false">
      <c r="A580" s="0" t="n">
        <v>7330</v>
      </c>
    </row>
    <row r="581" customFormat="false" ht="12.8" hidden="false" customHeight="false" outlineLevel="0" collapsed="false">
      <c r="A581" s="0" t="n">
        <v>7340</v>
      </c>
    </row>
    <row r="582" customFormat="false" ht="12.8" hidden="false" customHeight="false" outlineLevel="0" collapsed="false">
      <c r="A582" s="0" t="n">
        <v>7350</v>
      </c>
    </row>
    <row r="583" customFormat="false" ht="12.8" hidden="false" customHeight="false" outlineLevel="0" collapsed="false">
      <c r="A583" s="0" t="n">
        <v>7360</v>
      </c>
    </row>
    <row r="584" customFormat="false" ht="12.8" hidden="false" customHeight="false" outlineLevel="0" collapsed="false">
      <c r="A584" s="0" t="n">
        <v>7370</v>
      </c>
    </row>
    <row r="585" customFormat="false" ht="12.8" hidden="false" customHeight="false" outlineLevel="0" collapsed="false">
      <c r="A585" s="0" t="n">
        <v>7380</v>
      </c>
    </row>
    <row r="586" customFormat="false" ht="12.8" hidden="false" customHeight="false" outlineLevel="0" collapsed="false">
      <c r="A586" s="0" t="n">
        <v>7390</v>
      </c>
    </row>
    <row r="587" customFormat="false" ht="12.8" hidden="false" customHeight="false" outlineLevel="0" collapsed="false">
      <c r="A587" s="0" t="n">
        <v>7400</v>
      </c>
    </row>
    <row r="588" customFormat="false" ht="12.8" hidden="false" customHeight="false" outlineLevel="0" collapsed="false">
      <c r="A588" s="0" t="n">
        <v>7410</v>
      </c>
    </row>
    <row r="589" customFormat="false" ht="12.8" hidden="false" customHeight="false" outlineLevel="0" collapsed="false">
      <c r="A589" s="0" t="n">
        <v>7420</v>
      </c>
    </row>
    <row r="590" customFormat="false" ht="12.8" hidden="false" customHeight="false" outlineLevel="0" collapsed="false">
      <c r="A590" s="0" t="n">
        <v>7430</v>
      </c>
    </row>
    <row r="591" customFormat="false" ht="12.8" hidden="false" customHeight="false" outlineLevel="0" collapsed="false">
      <c r="A591" s="0" t="n">
        <v>7440</v>
      </c>
    </row>
    <row r="592" customFormat="false" ht="12.8" hidden="false" customHeight="false" outlineLevel="0" collapsed="false">
      <c r="A592" s="0" t="n">
        <v>7450</v>
      </c>
    </row>
    <row r="593" customFormat="false" ht="12.8" hidden="false" customHeight="false" outlineLevel="0" collapsed="false">
      <c r="A593" s="0" t="n">
        <v>7460</v>
      </c>
    </row>
    <row r="594" customFormat="false" ht="12.8" hidden="false" customHeight="false" outlineLevel="0" collapsed="false">
      <c r="A594" s="0" t="n">
        <v>7470</v>
      </c>
    </row>
    <row r="595" customFormat="false" ht="12.8" hidden="false" customHeight="false" outlineLevel="0" collapsed="false">
      <c r="A595" s="0" t="n">
        <v>7480</v>
      </c>
    </row>
    <row r="596" customFormat="false" ht="12.8" hidden="false" customHeight="false" outlineLevel="0" collapsed="false">
      <c r="A596" s="0" t="n">
        <v>7490</v>
      </c>
    </row>
    <row r="597" customFormat="false" ht="12.8" hidden="false" customHeight="false" outlineLevel="0" collapsed="false">
      <c r="A597" s="0" t="n">
        <v>7500</v>
      </c>
    </row>
    <row r="598" customFormat="false" ht="12.8" hidden="false" customHeight="false" outlineLevel="0" collapsed="false">
      <c r="A598" s="0" t="n">
        <v>7510</v>
      </c>
    </row>
    <row r="599" customFormat="false" ht="12.8" hidden="false" customHeight="false" outlineLevel="0" collapsed="false">
      <c r="A599" s="0" t="n">
        <v>7520</v>
      </c>
    </row>
    <row r="600" customFormat="false" ht="12.8" hidden="false" customHeight="false" outlineLevel="0" collapsed="false">
      <c r="A600" s="0" t="n">
        <v>7530</v>
      </c>
    </row>
    <row r="601" customFormat="false" ht="12.8" hidden="false" customHeight="false" outlineLevel="0" collapsed="false">
      <c r="A601" s="0" t="n">
        <v>7540</v>
      </c>
    </row>
    <row r="602" customFormat="false" ht="12.8" hidden="false" customHeight="false" outlineLevel="0" collapsed="false">
      <c r="A602" s="0" t="n">
        <v>7550</v>
      </c>
    </row>
    <row r="603" customFormat="false" ht="12.8" hidden="false" customHeight="false" outlineLevel="0" collapsed="false">
      <c r="A603" s="0" t="n">
        <v>7560</v>
      </c>
    </row>
    <row r="604" customFormat="false" ht="12.8" hidden="false" customHeight="false" outlineLevel="0" collapsed="false">
      <c r="A604" s="0" t="n">
        <v>7570</v>
      </c>
    </row>
    <row r="605" customFormat="false" ht="12.8" hidden="false" customHeight="false" outlineLevel="0" collapsed="false">
      <c r="A605" s="0" t="n">
        <v>7580</v>
      </c>
    </row>
    <row r="606" customFormat="false" ht="12.8" hidden="false" customHeight="false" outlineLevel="0" collapsed="false">
      <c r="A606" s="0" t="n">
        <v>7590</v>
      </c>
    </row>
    <row r="607" customFormat="false" ht="12.8" hidden="false" customHeight="false" outlineLevel="0" collapsed="false">
      <c r="A607" s="0" t="n">
        <v>7600</v>
      </c>
    </row>
    <row r="608" customFormat="false" ht="12.8" hidden="false" customHeight="false" outlineLevel="0" collapsed="false">
      <c r="A608" s="0" t="n">
        <v>7610</v>
      </c>
    </row>
    <row r="609" customFormat="false" ht="12.8" hidden="false" customHeight="false" outlineLevel="0" collapsed="false">
      <c r="A609" s="0" t="n">
        <v>7620</v>
      </c>
    </row>
    <row r="610" customFormat="false" ht="12.8" hidden="false" customHeight="false" outlineLevel="0" collapsed="false">
      <c r="A610" s="0" t="n">
        <v>7630</v>
      </c>
    </row>
    <row r="611" customFormat="false" ht="12.8" hidden="false" customHeight="false" outlineLevel="0" collapsed="false">
      <c r="A611" s="0" t="n">
        <v>7640</v>
      </c>
    </row>
    <row r="612" customFormat="false" ht="12.8" hidden="false" customHeight="false" outlineLevel="0" collapsed="false">
      <c r="A612" s="0" t="n">
        <v>7650</v>
      </c>
    </row>
    <row r="613" customFormat="false" ht="12.8" hidden="false" customHeight="false" outlineLevel="0" collapsed="false">
      <c r="A613" s="0" t="n">
        <v>7660</v>
      </c>
    </row>
    <row r="614" customFormat="false" ht="12.8" hidden="false" customHeight="false" outlineLevel="0" collapsed="false">
      <c r="A614" s="0" t="n">
        <v>7670</v>
      </c>
    </row>
    <row r="615" customFormat="false" ht="12.8" hidden="false" customHeight="false" outlineLevel="0" collapsed="false">
      <c r="A615" s="0" t="n">
        <v>7680</v>
      </c>
    </row>
    <row r="616" customFormat="false" ht="12.8" hidden="false" customHeight="false" outlineLevel="0" collapsed="false">
      <c r="A616" s="0" t="n">
        <v>7690</v>
      </c>
    </row>
    <row r="617" customFormat="false" ht="12.8" hidden="false" customHeight="false" outlineLevel="0" collapsed="false">
      <c r="A617" s="0" t="n">
        <v>7700</v>
      </c>
    </row>
    <row r="618" customFormat="false" ht="12.8" hidden="false" customHeight="false" outlineLevel="0" collapsed="false">
      <c r="A618" s="0" t="n">
        <v>7710</v>
      </c>
    </row>
    <row r="619" customFormat="false" ht="12.8" hidden="false" customHeight="false" outlineLevel="0" collapsed="false">
      <c r="A619" s="0" t="n">
        <v>7720</v>
      </c>
    </row>
    <row r="620" customFormat="false" ht="12.8" hidden="false" customHeight="false" outlineLevel="0" collapsed="false">
      <c r="A620" s="0" t="n">
        <v>7730</v>
      </c>
    </row>
    <row r="621" customFormat="false" ht="12.8" hidden="false" customHeight="false" outlineLevel="0" collapsed="false">
      <c r="A621" s="0" t="n">
        <v>7740</v>
      </c>
    </row>
    <row r="622" customFormat="false" ht="12.8" hidden="false" customHeight="false" outlineLevel="0" collapsed="false">
      <c r="A622" s="0" t="n">
        <v>7750</v>
      </c>
    </row>
    <row r="623" customFormat="false" ht="12.8" hidden="false" customHeight="false" outlineLevel="0" collapsed="false">
      <c r="A623" s="0" t="n">
        <v>7760</v>
      </c>
    </row>
    <row r="624" customFormat="false" ht="12.8" hidden="false" customHeight="false" outlineLevel="0" collapsed="false">
      <c r="A624" s="0" t="n">
        <v>7770</v>
      </c>
    </row>
    <row r="625" customFormat="false" ht="12.8" hidden="false" customHeight="false" outlineLevel="0" collapsed="false">
      <c r="A625" s="0" t="n">
        <v>7780</v>
      </c>
    </row>
    <row r="626" customFormat="false" ht="12.8" hidden="false" customHeight="false" outlineLevel="0" collapsed="false">
      <c r="A626" s="0" t="n">
        <v>7790</v>
      </c>
    </row>
    <row r="627" customFormat="false" ht="12.8" hidden="false" customHeight="false" outlineLevel="0" collapsed="false">
      <c r="A627" s="0" t="n">
        <v>7800</v>
      </c>
    </row>
    <row r="628" customFormat="false" ht="12.8" hidden="false" customHeight="false" outlineLevel="0" collapsed="false">
      <c r="A628" s="0" t="n">
        <v>7810</v>
      </c>
    </row>
    <row r="629" customFormat="false" ht="12.8" hidden="false" customHeight="false" outlineLevel="0" collapsed="false">
      <c r="A629" s="0" t="n">
        <v>7820</v>
      </c>
    </row>
    <row r="630" customFormat="false" ht="12.8" hidden="false" customHeight="false" outlineLevel="0" collapsed="false">
      <c r="A630" s="0" t="n">
        <v>7830</v>
      </c>
    </row>
    <row r="631" customFormat="false" ht="12.8" hidden="false" customHeight="false" outlineLevel="0" collapsed="false">
      <c r="A631" s="0" t="n">
        <v>7840</v>
      </c>
    </row>
    <row r="632" customFormat="false" ht="12.8" hidden="false" customHeight="false" outlineLevel="0" collapsed="false">
      <c r="A632" s="0" t="n">
        <v>7850</v>
      </c>
    </row>
    <row r="633" customFormat="false" ht="12.8" hidden="false" customHeight="false" outlineLevel="0" collapsed="false">
      <c r="A633" s="0" t="n">
        <v>7860</v>
      </c>
    </row>
    <row r="634" customFormat="false" ht="12.8" hidden="false" customHeight="false" outlineLevel="0" collapsed="false">
      <c r="A634" s="0" t="n">
        <v>7870</v>
      </c>
    </row>
    <row r="635" customFormat="false" ht="12.8" hidden="false" customHeight="false" outlineLevel="0" collapsed="false">
      <c r="A635" s="0" t="n">
        <v>7880</v>
      </c>
    </row>
    <row r="636" customFormat="false" ht="12.8" hidden="false" customHeight="false" outlineLevel="0" collapsed="false">
      <c r="A636" s="0" t="n">
        <v>7890</v>
      </c>
    </row>
    <row r="637" customFormat="false" ht="12.8" hidden="false" customHeight="false" outlineLevel="0" collapsed="false">
      <c r="A637" s="0" t="n">
        <v>7900</v>
      </c>
    </row>
    <row r="638" customFormat="false" ht="12.8" hidden="false" customHeight="false" outlineLevel="0" collapsed="false">
      <c r="A638" s="0" t="n">
        <v>7910</v>
      </c>
    </row>
    <row r="639" customFormat="false" ht="12.8" hidden="false" customHeight="false" outlineLevel="0" collapsed="false">
      <c r="A639" s="0" t="n">
        <v>7920</v>
      </c>
    </row>
    <row r="640" customFormat="false" ht="12.8" hidden="false" customHeight="false" outlineLevel="0" collapsed="false">
      <c r="A640" s="0" t="n">
        <v>7930</v>
      </c>
    </row>
    <row r="641" customFormat="false" ht="12.8" hidden="false" customHeight="false" outlineLevel="0" collapsed="false">
      <c r="A641" s="0" t="n">
        <v>7940</v>
      </c>
    </row>
    <row r="642" customFormat="false" ht="12.8" hidden="false" customHeight="false" outlineLevel="0" collapsed="false">
      <c r="A642" s="0" t="n">
        <v>7950</v>
      </c>
    </row>
    <row r="643" customFormat="false" ht="12.8" hidden="false" customHeight="false" outlineLevel="0" collapsed="false">
      <c r="A643" s="0" t="n">
        <v>7960</v>
      </c>
    </row>
    <row r="644" customFormat="false" ht="12.8" hidden="false" customHeight="false" outlineLevel="0" collapsed="false">
      <c r="A644" s="0" t="n">
        <v>7970</v>
      </c>
    </row>
    <row r="645" customFormat="false" ht="12.8" hidden="false" customHeight="false" outlineLevel="0" collapsed="false">
      <c r="A645" s="0" t="n">
        <v>7980</v>
      </c>
    </row>
    <row r="646" customFormat="false" ht="12.8" hidden="false" customHeight="false" outlineLevel="0" collapsed="false">
      <c r="A646" s="0" t="n">
        <v>7990</v>
      </c>
    </row>
    <row r="647" customFormat="false" ht="12.8" hidden="false" customHeight="false" outlineLevel="0" collapsed="false">
      <c r="A647" s="0" t="n">
        <v>8000</v>
      </c>
    </row>
    <row r="648" customFormat="false" ht="12.8" hidden="false" customHeight="false" outlineLevel="0" collapsed="false">
      <c r="A648" s="0" t="n">
        <v>9000</v>
      </c>
    </row>
    <row r="649" customFormat="false" ht="12.8" hidden="false" customHeight="false" outlineLevel="0" collapsed="false">
      <c r="A649" s="0" t="n">
        <v>10000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S281"/>
  <sheetViews>
    <sheetView showFormulas="false" showGridLines="true" showRowColHeaders="true" showZeros="true" rightToLeft="false" tabSelected="true" showOutlineSymbols="true" defaultGridColor="true" view="normal" topLeftCell="A280" colorId="64" zoomScale="100" zoomScaleNormal="100" zoomScalePageLayoutView="100" workbookViewId="0">
      <selection pane="topLeft" activeCell="A280" activeCellId="0" sqref="A280"/>
    </sheetView>
  </sheetViews>
  <sheetFormatPr defaultRowHeight="12.8" zeroHeight="false" outlineLevelRow="0" outlineLevelCol="0"/>
  <cols>
    <col collapsed="false" customWidth="true" hidden="false" outlineLevel="0" max="1025" min="1" style="39" width="8.67"/>
  </cols>
  <sheetData>
    <row r="1" customFormat="false" ht="12.8" hidden="false" customHeight="false" outlineLevel="0" collapsed="false">
      <c r="A1" s="39" t="s">
        <v>251</v>
      </c>
      <c r="B1" s="39" t="n">
        <v>1</v>
      </c>
      <c r="C1" s="39" t="n">
        <v>2</v>
      </c>
      <c r="D1" s="39" t="n">
        <v>3</v>
      </c>
      <c r="E1" s="39" t="n">
        <v>4</v>
      </c>
      <c r="F1" s="39" t="n">
        <v>5</v>
      </c>
      <c r="G1" s="39" t="n">
        <v>6</v>
      </c>
      <c r="H1" s="39" t="n">
        <v>7</v>
      </c>
      <c r="I1" s="39" t="n">
        <v>8</v>
      </c>
      <c r="J1" s="39" t="n">
        <v>9</v>
      </c>
      <c r="K1" s="39" t="n">
        <v>10</v>
      </c>
      <c r="L1" s="39" t="n">
        <v>11</v>
      </c>
      <c r="M1" s="39" t="n">
        <v>12</v>
      </c>
      <c r="N1" s="39" t="n">
        <v>13</v>
      </c>
      <c r="O1" s="39" t="n">
        <v>14</v>
      </c>
      <c r="P1" s="39" t="n">
        <v>15</v>
      </c>
      <c r="Q1" s="39" t="n">
        <v>16</v>
      </c>
      <c r="R1" s="39" t="n">
        <v>17</v>
      </c>
      <c r="S1" s="39" t="n">
        <v>18</v>
      </c>
      <c r="T1" s="39" t="n">
        <v>19</v>
      </c>
      <c r="U1" s="39" t="n">
        <v>20</v>
      </c>
      <c r="V1" s="39" t="n">
        <v>21</v>
      </c>
      <c r="W1" s="39" t="n">
        <v>22</v>
      </c>
      <c r="X1" s="39" t="n">
        <v>23</v>
      </c>
      <c r="Y1" s="39" t="n">
        <v>24</v>
      </c>
      <c r="Z1" s="39" t="n">
        <v>25</v>
      </c>
      <c r="AA1" s="39" t="n">
        <v>26</v>
      </c>
      <c r="AB1" s="39" t="n">
        <v>27</v>
      </c>
      <c r="AC1" s="39" t="n">
        <v>28</v>
      </c>
      <c r="AD1" s="39" t="n">
        <v>29</v>
      </c>
      <c r="AE1" s="39" t="n">
        <v>30</v>
      </c>
      <c r="AF1" s="39" t="n">
        <v>31</v>
      </c>
      <c r="AG1" s="39" t="n">
        <v>32</v>
      </c>
      <c r="AH1" s="39" t="n">
        <v>33</v>
      </c>
      <c r="AI1" s="39" t="n">
        <v>34</v>
      </c>
      <c r="AJ1" s="39" t="n">
        <v>35</v>
      </c>
      <c r="AK1" s="39" t="n">
        <v>36</v>
      </c>
      <c r="AL1" s="39" t="n">
        <v>37</v>
      </c>
      <c r="AM1" s="39" t="n">
        <v>38</v>
      </c>
      <c r="AN1" s="39" t="n">
        <v>39</v>
      </c>
      <c r="AO1" s="39" t="n">
        <v>40</v>
      </c>
      <c r="AP1" s="39" t="n">
        <v>41</v>
      </c>
      <c r="AQ1" s="39" t="n">
        <v>42</v>
      </c>
      <c r="AR1" s="39" t="n">
        <v>43</v>
      </c>
      <c r="AS1" s="39" t="n">
        <v>44</v>
      </c>
    </row>
    <row r="2" customFormat="false" ht="13.8" hidden="false" customHeight="false" outlineLevel="0" collapsed="false">
      <c r="A2" s="39" t="s">
        <v>244</v>
      </c>
      <c r="B2" s="0" t="n">
        <v>0.611657</v>
      </c>
      <c r="C2" s="0" t="n">
        <v>0.711657</v>
      </c>
      <c r="D2" s="0" t="n">
        <v>0.811657</v>
      </c>
      <c r="E2" s="0" t="n">
        <v>0.911657</v>
      </c>
      <c r="F2" s="0" t="n">
        <v>1.011657</v>
      </c>
      <c r="G2" s="0" t="n">
        <v>2.011657</v>
      </c>
      <c r="H2" s="0" t="n">
        <v>3.011657</v>
      </c>
      <c r="I2" s="0" t="n">
        <v>4.011657</v>
      </c>
      <c r="J2" s="0" t="n">
        <v>5.011657</v>
      </c>
      <c r="K2" s="0" t="n">
        <v>6.011657</v>
      </c>
      <c r="L2" s="0" t="n">
        <v>7.011657</v>
      </c>
      <c r="M2" s="0" t="n">
        <v>8.011657</v>
      </c>
      <c r="N2" s="0" t="n">
        <v>9.011657</v>
      </c>
      <c r="O2" s="0" t="n">
        <v>10.011657</v>
      </c>
      <c r="P2" s="0" t="n">
        <v>20.011657</v>
      </c>
      <c r="Q2" s="0" t="n">
        <v>30.011657</v>
      </c>
      <c r="R2" s="0" t="n">
        <v>40.011657</v>
      </c>
      <c r="S2" s="0" t="n">
        <v>50.011657</v>
      </c>
      <c r="T2" s="0" t="n">
        <v>60.011657</v>
      </c>
      <c r="U2" s="0" t="n">
        <v>70.011657</v>
      </c>
      <c r="V2" s="0" t="n">
        <v>80.011657</v>
      </c>
      <c r="W2" s="0" t="n">
        <v>90.011657</v>
      </c>
      <c r="X2" s="0" t="n">
        <v>100.011657</v>
      </c>
      <c r="Y2" s="0" t="n">
        <v>200.011657</v>
      </c>
      <c r="Z2" s="0" t="n">
        <v>300.011657</v>
      </c>
      <c r="AA2" s="0" t="n">
        <v>400.011657</v>
      </c>
      <c r="AB2" s="0" t="n">
        <v>500.011657</v>
      </c>
      <c r="AC2" s="0" t="n">
        <v>600.011657</v>
      </c>
      <c r="AD2" s="0" t="n">
        <v>700.011657</v>
      </c>
      <c r="AE2" s="0" t="n">
        <v>800.011657</v>
      </c>
      <c r="AF2" s="0" t="n">
        <v>900.011657</v>
      </c>
      <c r="AG2" s="0" t="n">
        <v>1000.011657</v>
      </c>
      <c r="AH2" s="0" t="n">
        <v>2000.011657</v>
      </c>
      <c r="AI2" s="0" t="n">
        <v>3000.011657</v>
      </c>
      <c r="AJ2" s="0" t="n">
        <v>4000.011657</v>
      </c>
      <c r="AK2" s="0" t="n">
        <v>5000.011657</v>
      </c>
      <c r="AL2" s="0" t="n">
        <v>6000.011657</v>
      </c>
      <c r="AM2" s="0" t="n">
        <v>7000.011657</v>
      </c>
      <c r="AN2" s="0" t="n">
        <v>8000.011657</v>
      </c>
      <c r="AO2" s="0" t="n">
        <v>9000.011657</v>
      </c>
      <c r="AP2" s="0" t="n">
        <v>10000.011657</v>
      </c>
      <c r="AQ2" s="0" t="n">
        <v>20000.011657</v>
      </c>
      <c r="AR2" s="0" t="n">
        <v>22063.95</v>
      </c>
      <c r="AS2" s="0" t="n">
        <v>23000</v>
      </c>
    </row>
    <row r="3" customFormat="false" ht="13.8" hidden="false" customHeight="false" outlineLevel="0" collapsed="false">
      <c r="A3" s="0" t="n">
        <v>0.1</v>
      </c>
      <c r="B3" s="39" t="n">
        <f aca="false">MY_PH(B$2,$A3)</f>
        <v>2015</v>
      </c>
      <c r="C3" s="39" t="n">
        <f aca="false">MY_PH(C$2,$A3)</f>
        <v>0.001791019582131</v>
      </c>
      <c r="D3" s="39" t="n">
        <f aca="false">MY_PH(D$2,$A3)</f>
        <v>0.00179102083841072</v>
      </c>
      <c r="E3" s="39" t="n">
        <f aca="false">MY_PH(E$2,$A3)</f>
        <v>0.00179102209469174</v>
      </c>
      <c r="F3" s="39" t="n">
        <f aca="false">MY_PH(F$2,$A3)</f>
        <v>0.00179102335097405</v>
      </c>
      <c r="G3" s="39" t="n">
        <f aca="false">MY_PH(G$2,$A3)</f>
        <v>0.00179103591386964</v>
      </c>
      <c r="H3" s="39" t="n">
        <f aca="false">MY_PH(H$2,$A3)</f>
        <v>0.00179104847689676</v>
      </c>
      <c r="I3" s="39" t="n">
        <f aca="false">MY_PH(I$2,$A3)</f>
        <v>0.00179106104005528</v>
      </c>
      <c r="J3" s="39" t="n">
        <f aca="false">MY_PH(J$2,$A3)</f>
        <v>0.00179107360334533</v>
      </c>
      <c r="K3" s="39" t="n">
        <f aca="false">MY_PH(K$2,$A3)</f>
        <v>0.0017910861667668</v>
      </c>
      <c r="L3" s="39" t="n">
        <f aca="false">MY_PH(L$2,$A3)</f>
        <v>0.00179109873031982</v>
      </c>
      <c r="M3" s="39" t="n">
        <f aca="false">MY_PH(M$2,$A3)</f>
        <v>0.00179111129400428</v>
      </c>
      <c r="N3" s="39" t="n">
        <f aca="false">MY_PH(N$2,$A3)</f>
        <v>0.00179112385782024</v>
      </c>
      <c r="O3" s="39" t="n">
        <f aca="false">MY_PH(O$2,$A3)</f>
        <v>0.00179113642176766</v>
      </c>
      <c r="P3" s="39" t="n">
        <f aca="false">MY_PH(P$2,$A3)</f>
        <v>0.00179126206847417</v>
      </c>
      <c r="Q3" s="39" t="n">
        <f aca="false">MY_PH(Q$2,$A3)</f>
        <v>0.00179138772833142</v>
      </c>
      <c r="R3" s="39" t="n">
        <f aca="false">MY_PH(R$2,$A3)</f>
        <v>0.00179151340134142</v>
      </c>
      <c r="S3" s="39" t="n">
        <f aca="false">MY_PH(S$2,$A3)</f>
        <v>0.0017916390875061</v>
      </c>
      <c r="T3" s="39" t="n">
        <f aca="false">MY_PH(T$2,$A3)</f>
        <v>0.00179176478682747</v>
      </c>
      <c r="U3" s="39" t="n">
        <f aca="false">MY_PH(U$2,$A3)</f>
        <v>0.00179189049930751</v>
      </c>
      <c r="V3" s="39" t="n">
        <f aca="false">MY_PH(V$2,$A3)</f>
        <v>0.0017920162249482</v>
      </c>
      <c r="W3" s="39" t="n">
        <f aca="false">MY_PH(W$2,$A3)</f>
        <v>0.00179214196375147</v>
      </c>
      <c r="X3" s="39" t="n">
        <f aca="false">MY_PH(X$2,$A3)</f>
        <v>0.00179226771571939</v>
      </c>
      <c r="Y3" s="39" t="n">
        <f aca="false">MY_PH(Y$2,$A3)</f>
        <v>2015</v>
      </c>
      <c r="Z3" s="39" t="n">
        <f aca="false">MY_PH(Z$2,$A3)</f>
        <v>2015</v>
      </c>
      <c r="AA3" s="39" t="n">
        <f aca="false">MY_PH(AA$2,$A3)</f>
        <v>2015</v>
      </c>
      <c r="AB3" s="39" t="n">
        <f aca="false">MY_PH(AB$2,$A3)</f>
        <v>2015</v>
      </c>
      <c r="AC3" s="39" t="n">
        <f aca="false">MY_PH(AC$2,$A3)</f>
        <v>2015</v>
      </c>
      <c r="AD3" s="39" t="n">
        <f aca="false">MY_PH(AD$2,$A3)</f>
        <v>2015</v>
      </c>
      <c r="AE3" s="39" t="n">
        <f aca="false">MY_PH(AE$2,$A3)</f>
        <v>2015</v>
      </c>
      <c r="AF3" s="39" t="n">
        <f aca="false">MY_PH(AF$2,$A3)</f>
        <v>2015</v>
      </c>
      <c r="AG3" s="39" t="n">
        <f aca="false">MY_PH(AG$2,$A3)</f>
        <v>2015</v>
      </c>
      <c r="AH3" s="39" t="n">
        <f aca="false">MY_PH(AH$2,$A3)</f>
        <v>2015</v>
      </c>
      <c r="AI3" s="39" t="n">
        <f aca="false">MY_PH(AI$2,$A3)</f>
        <v>2015</v>
      </c>
      <c r="AJ3" s="39" t="n">
        <f aca="false">MY_PH(AJ$2,$A3)</f>
        <v>2015</v>
      </c>
      <c r="AK3" s="39" t="n">
        <f aca="false">MY_PH(AK$2,$A3)</f>
        <v>2015</v>
      </c>
      <c r="AL3" s="39" t="n">
        <f aca="false">MY_PH(AL$2,$A3)</f>
        <v>2015</v>
      </c>
      <c r="AM3" s="39" t="n">
        <f aca="false">MY_PH(AM$2,$A3)</f>
        <v>2015</v>
      </c>
      <c r="AN3" s="39" t="n">
        <f aca="false">MY_PH(AN$2,$A3)</f>
        <v>2015</v>
      </c>
      <c r="AO3" s="39" t="n">
        <f aca="false">MY_PH(AO$2,$A3)</f>
        <v>2015</v>
      </c>
      <c r="AP3" s="39" t="n">
        <f aca="false">MY_PH(AP$2,$A3)</f>
        <v>2015</v>
      </c>
      <c r="AQ3" s="39" t="n">
        <f aca="false">MY_PH(AQ$2,$A3)</f>
        <v>2015</v>
      </c>
      <c r="AR3" s="39" t="n">
        <f aca="false">MY_PH(AR$2,$A3)</f>
        <v>2015</v>
      </c>
      <c r="AS3" s="39" t="n">
        <f aca="false">MY_PH(AS$2,$A3)</f>
        <v>2015</v>
      </c>
    </row>
    <row r="4" customFormat="false" ht="13.8" hidden="false" customHeight="false" outlineLevel="0" collapsed="false">
      <c r="A4" s="0" t="n">
        <v>0.2</v>
      </c>
      <c r="B4" s="39" t="n">
        <f aca="false">MY_PH(B$2,$A4)</f>
        <v>2015</v>
      </c>
      <c r="C4" s="39" t="n">
        <f aca="false">MY_PH(C$2,$A4)</f>
        <v>0.00178953409114132</v>
      </c>
      <c r="D4" s="39" t="n">
        <f aca="false">MY_PH(D$2,$A4)</f>
        <v>0.00178953534580052</v>
      </c>
      <c r="E4" s="39" t="n">
        <f aca="false">MY_PH(E$2,$A4)</f>
        <v>0.001789536600461</v>
      </c>
      <c r="F4" s="39" t="n">
        <f aca="false">MY_PH(F$2,$A4)</f>
        <v>0.00178953785512285</v>
      </c>
      <c r="G4" s="39" t="n">
        <f aca="false">MY_PH(G$2,$A4)</f>
        <v>0.00178955040181328</v>
      </c>
      <c r="H4" s="39" t="n">
        <f aca="false">MY_PH(H$2,$A4)</f>
        <v>0.00178956294863493</v>
      </c>
      <c r="I4" s="39" t="n">
        <f aca="false">MY_PH(I$2,$A4)</f>
        <v>0.00178957549558786</v>
      </c>
      <c r="J4" s="39" t="n">
        <f aca="false">MY_PH(J$2,$A4)</f>
        <v>0.00178958804267202</v>
      </c>
      <c r="K4" s="39" t="n">
        <f aca="false">MY_PH(K$2,$A4)</f>
        <v>0.00178960058988742</v>
      </c>
      <c r="L4" s="39" t="n">
        <f aca="false">MY_PH(L$2,$A4)</f>
        <v>0.00178961313723405</v>
      </c>
      <c r="M4" s="39" t="n">
        <f aca="false">MY_PH(M$2,$A4)</f>
        <v>0.00178962568471191</v>
      </c>
      <c r="N4" s="39" t="n">
        <f aca="false">MY_PH(N$2,$A4)</f>
        <v>0.0017896382323211</v>
      </c>
      <c r="O4" s="39" t="n">
        <f aca="false">MY_PH(O$2,$A4)</f>
        <v>0.00178965078006148</v>
      </c>
      <c r="P4" s="39" t="n">
        <f aca="false">MY_PH(P$2,$A4)</f>
        <v>0.00178977626468468</v>
      </c>
      <c r="Q4" s="39" t="n">
        <f aca="false">MY_PH(Q$2,$A4)</f>
        <v>0.0017899017624353</v>
      </c>
      <c r="R4" s="39" t="n">
        <f aca="false">MY_PH(R$2,$A4)</f>
        <v>0.00179002727331526</v>
      </c>
      <c r="S4" s="39" t="n">
        <f aca="false">MY_PH(S$2,$A4)</f>
        <v>0.00179015279732653</v>
      </c>
      <c r="T4" s="39" t="n">
        <f aca="false">MY_PH(T$2,$A4)</f>
        <v>0.00179027833447114</v>
      </c>
      <c r="U4" s="39" t="n">
        <f aca="false">MY_PH(U$2,$A4)</f>
        <v>0.00179040388475104</v>
      </c>
      <c r="V4" s="39" t="n">
        <f aca="false">MY_PH(V$2,$A4)</f>
        <v>0.00179052944816822</v>
      </c>
      <c r="W4" s="39" t="n">
        <f aca="false">MY_PH(W$2,$A4)</f>
        <v>0.00179065502472457</v>
      </c>
      <c r="X4" s="39" t="n">
        <f aca="false">MY_PH(X$2,$A4)</f>
        <v>0.00179078061442217</v>
      </c>
      <c r="Y4" s="39" t="n">
        <f aca="false">MY_PH(Y$2,$A4)</f>
        <v>0.00179203723460016</v>
      </c>
      <c r="Z4" s="39" t="n">
        <f aca="false">MY_PH(Z$2,$A4)</f>
        <v>2015</v>
      </c>
      <c r="AA4" s="39" t="n">
        <f aca="false">MY_PH(AA$2,$A4)</f>
        <v>2015</v>
      </c>
      <c r="AB4" s="39" t="n">
        <f aca="false">MY_PH(AB$2,$A4)</f>
        <v>2015</v>
      </c>
      <c r="AC4" s="39" t="n">
        <f aca="false">MY_PH(AC$2,$A4)</f>
        <v>2015</v>
      </c>
      <c r="AD4" s="39" t="n">
        <f aca="false">MY_PH(AD$2,$A4)</f>
        <v>2015</v>
      </c>
      <c r="AE4" s="39" t="n">
        <f aca="false">MY_PH(AE$2,$A4)</f>
        <v>2015</v>
      </c>
      <c r="AF4" s="39" t="n">
        <f aca="false">MY_PH(AF$2,$A4)</f>
        <v>2015</v>
      </c>
      <c r="AG4" s="39" t="n">
        <f aca="false">MY_PH(AG$2,$A4)</f>
        <v>2015</v>
      </c>
      <c r="AH4" s="39" t="n">
        <f aca="false">MY_PH(AH$2,$A4)</f>
        <v>2015</v>
      </c>
      <c r="AI4" s="39" t="n">
        <f aca="false">MY_PH(AI$2,$A4)</f>
        <v>2015</v>
      </c>
      <c r="AJ4" s="39" t="n">
        <f aca="false">MY_PH(AJ$2,$A4)</f>
        <v>2015</v>
      </c>
      <c r="AK4" s="39" t="n">
        <f aca="false">MY_PH(AK$2,$A4)</f>
        <v>2015</v>
      </c>
      <c r="AL4" s="39" t="n">
        <f aca="false">MY_PH(AL$2,$A4)</f>
        <v>2015</v>
      </c>
      <c r="AM4" s="39" t="n">
        <f aca="false">MY_PH(AM$2,$A4)</f>
        <v>2015</v>
      </c>
      <c r="AN4" s="39" t="n">
        <f aca="false">MY_PH(AN$2,$A4)</f>
        <v>2015</v>
      </c>
      <c r="AO4" s="39" t="n">
        <f aca="false">MY_PH(AO$2,$A4)</f>
        <v>2015</v>
      </c>
      <c r="AP4" s="39" t="n">
        <f aca="false">MY_PH(AP$2,$A4)</f>
        <v>2015</v>
      </c>
      <c r="AQ4" s="39" t="n">
        <f aca="false">MY_PH(AQ$2,$A4)</f>
        <v>2015</v>
      </c>
      <c r="AR4" s="39" t="n">
        <f aca="false">MY_PH(AR$2,$A4)</f>
        <v>2015</v>
      </c>
      <c r="AS4" s="39" t="n">
        <f aca="false">MY_PH(AS$2,$A4)</f>
        <v>2015</v>
      </c>
    </row>
    <row r="5" customFormat="false" ht="13.8" hidden="false" customHeight="false" outlineLevel="0" collapsed="false">
      <c r="A5" s="0" t="n">
        <v>0.3</v>
      </c>
      <c r="B5" s="39" t="n">
        <f aca="false">MY_PH(B$2,$A5)</f>
        <v>2015</v>
      </c>
      <c r="C5" s="39" t="n">
        <f aca="false">MY_PH(C$2,$A5)</f>
        <v>0.00178805055731117</v>
      </c>
      <c r="D5" s="39" t="n">
        <f aca="false">MY_PH(D$2,$A5)</f>
        <v>0.00178805181035277</v>
      </c>
      <c r="E5" s="39" t="n">
        <f aca="false">MY_PH(E$2,$A5)</f>
        <v>0.00178805306339568</v>
      </c>
      <c r="F5" s="39" t="n">
        <f aca="false">MY_PH(F$2,$A5)</f>
        <v>0.00178805431643992</v>
      </c>
      <c r="G5" s="39" t="n">
        <f aca="false">MY_PH(G$2,$A5)</f>
        <v>0.00178806684695415</v>
      </c>
      <c r="H5" s="39" t="n">
        <f aca="false">MY_PH(H$2,$A5)</f>
        <v>0.00178807937759942</v>
      </c>
      <c r="I5" s="39" t="n">
        <f aca="false">MY_PH(I$2,$A5)</f>
        <v>0.00178809190837569</v>
      </c>
      <c r="J5" s="39" t="n">
        <f aca="false">MY_PH(J$2,$A5)</f>
        <v>0.00178810443928295</v>
      </c>
      <c r="K5" s="39" t="n">
        <f aca="false">MY_PH(K$2,$A5)</f>
        <v>0.00178811697032124</v>
      </c>
      <c r="L5" s="39" t="n">
        <f aca="false">MY_PH(L$2,$A5)</f>
        <v>0.00178812950149055</v>
      </c>
      <c r="M5" s="39" t="n">
        <f aca="false">MY_PH(M$2,$A5)</f>
        <v>0.00178814203279087</v>
      </c>
      <c r="N5" s="39" t="n">
        <f aca="false">MY_PH(N$2,$A5)</f>
        <v>0.00178815456422222</v>
      </c>
      <c r="O5" s="39" t="n">
        <f aca="false">MY_PH(O$2,$A5)</f>
        <v>0.00178816709578456</v>
      </c>
      <c r="P5" s="39" t="n">
        <f aca="false">MY_PH(P$2,$A5)</f>
        <v>0.00178829241861455</v>
      </c>
      <c r="Q5" s="39" t="n">
        <f aca="false">MY_PH(Q$2,$A5)</f>
        <v>0.00178841775454863</v>
      </c>
      <c r="R5" s="39" t="n">
        <f aca="false">MY_PH(R$2,$A5)</f>
        <v>0.00178854310358877</v>
      </c>
      <c r="S5" s="39" t="n">
        <f aca="false">MY_PH(S$2,$A5)</f>
        <v>0.00178866846573689</v>
      </c>
      <c r="T5" s="39" t="n">
        <f aca="false">MY_PH(T$2,$A5)</f>
        <v>0.00178879384099503</v>
      </c>
      <c r="U5" s="39" t="n">
        <f aca="false">MY_PH(U$2,$A5)</f>
        <v>0.00178891922936512</v>
      </c>
      <c r="V5" s="39" t="n">
        <f aca="false">MY_PH(V$2,$A5)</f>
        <v>0.00178904463084911</v>
      </c>
      <c r="W5" s="39" t="n">
        <f aca="false">MY_PH(W$2,$A5)</f>
        <v>0.00178917004544899</v>
      </c>
      <c r="X5" s="39" t="n">
        <f aca="false">MY_PH(X$2,$A5)</f>
        <v>0.00178929547316678</v>
      </c>
      <c r="Y5" s="39" t="n">
        <f aca="false">MY_PH(Y$2,$A5)</f>
        <v>0.00179055047226199</v>
      </c>
      <c r="Z5" s="39" t="n">
        <f aca="false">MY_PH(Z$2,$A5)</f>
        <v>0.00179180678531719</v>
      </c>
      <c r="AA5" s="39" t="n">
        <f aca="false">MY_PH(AA$2,$A5)</f>
        <v>2015</v>
      </c>
      <c r="AB5" s="39" t="n">
        <f aca="false">MY_PH(AB$2,$A5)</f>
        <v>2015</v>
      </c>
      <c r="AC5" s="39" t="n">
        <f aca="false">MY_PH(AC$2,$A5)</f>
        <v>2015</v>
      </c>
      <c r="AD5" s="39" t="n">
        <f aca="false">MY_PH(AD$2,$A5)</f>
        <v>2015</v>
      </c>
      <c r="AE5" s="39" t="n">
        <f aca="false">MY_PH(AE$2,$A5)</f>
        <v>2015</v>
      </c>
      <c r="AF5" s="39" t="n">
        <f aca="false">MY_PH(AF$2,$A5)</f>
        <v>2015</v>
      </c>
      <c r="AG5" s="39" t="n">
        <f aca="false">MY_PH(AG$2,$A5)</f>
        <v>2015</v>
      </c>
      <c r="AH5" s="39" t="n">
        <f aca="false">MY_PH(AH$2,$A5)</f>
        <v>2015</v>
      </c>
      <c r="AI5" s="39" t="n">
        <f aca="false">MY_PH(AI$2,$A5)</f>
        <v>2015</v>
      </c>
      <c r="AJ5" s="39" t="n">
        <f aca="false">MY_PH(AJ$2,$A5)</f>
        <v>2015</v>
      </c>
      <c r="AK5" s="39" t="n">
        <f aca="false">MY_PH(AK$2,$A5)</f>
        <v>2015</v>
      </c>
      <c r="AL5" s="39" t="n">
        <f aca="false">MY_PH(AL$2,$A5)</f>
        <v>2015</v>
      </c>
      <c r="AM5" s="39" t="n">
        <f aca="false">MY_PH(AM$2,$A5)</f>
        <v>2015</v>
      </c>
      <c r="AN5" s="39" t="n">
        <f aca="false">MY_PH(AN$2,$A5)</f>
        <v>2015</v>
      </c>
      <c r="AO5" s="39" t="n">
        <f aca="false">MY_PH(AO$2,$A5)</f>
        <v>2015</v>
      </c>
      <c r="AP5" s="39" t="n">
        <f aca="false">MY_PH(AP$2,$A5)</f>
        <v>2015</v>
      </c>
      <c r="AQ5" s="39" t="n">
        <f aca="false">MY_PH(AQ$2,$A5)</f>
        <v>2015</v>
      </c>
      <c r="AR5" s="39" t="n">
        <f aca="false">MY_PH(AR$2,$A5)</f>
        <v>2015</v>
      </c>
      <c r="AS5" s="39" t="n">
        <f aca="false">MY_PH(AS$2,$A5)</f>
        <v>2015</v>
      </c>
    </row>
    <row r="6" customFormat="false" ht="13.8" hidden="false" customHeight="false" outlineLevel="0" collapsed="false">
      <c r="A6" s="0" t="n">
        <v>0.4</v>
      </c>
      <c r="B6" s="39" t="n">
        <f aca="false">MY_PH(B$2,$A6)</f>
        <v>2015</v>
      </c>
      <c r="C6" s="39" t="n">
        <f aca="false">MY_PH(C$2,$A6)</f>
        <v>0.00178656897715876</v>
      </c>
      <c r="D6" s="39" t="n">
        <f aca="false">MY_PH(D$2,$A6)</f>
        <v>0.00178657022858562</v>
      </c>
      <c r="E6" s="39" t="n">
        <f aca="false">MY_PH(E$2,$A6)</f>
        <v>0.00178657148001384</v>
      </c>
      <c r="F6" s="39" t="n">
        <f aca="false">MY_PH(F$2,$A6)</f>
        <v>0.00178657273144334</v>
      </c>
      <c r="G6" s="39" t="n">
        <f aca="false">MY_PH(G$2,$A6)</f>
        <v>0.00178658524581036</v>
      </c>
      <c r="H6" s="39" t="n">
        <f aca="false">MY_PH(H$2,$A6)</f>
        <v>0.00178659776030816</v>
      </c>
      <c r="I6" s="39" t="n">
        <f aca="false">MY_PH(I$2,$A6)</f>
        <v>0.00178661027493673</v>
      </c>
      <c r="J6" s="39" t="n">
        <f aca="false">MY_PH(J$2,$A6)</f>
        <v>0.00178662278969602</v>
      </c>
      <c r="K6" s="39" t="n">
        <f aca="false">MY_PH(K$2,$A6)</f>
        <v>0.00178663530458616</v>
      </c>
      <c r="L6" s="39" t="n">
        <f aca="false">MY_PH(L$2,$A6)</f>
        <v>0.00178664781960709</v>
      </c>
      <c r="M6" s="39" t="n">
        <f aca="false">MY_PH(M$2,$A6)</f>
        <v>0.00178666033475875</v>
      </c>
      <c r="N6" s="39" t="n">
        <f aca="false">MY_PH(N$2,$A6)</f>
        <v>0.00178667285004119</v>
      </c>
      <c r="O6" s="39" t="n">
        <f aca="false">MY_PH(O$2,$A6)</f>
        <v>0.00178668536545444</v>
      </c>
      <c r="P6" s="39" t="n">
        <f aca="false">MY_PH(P$2,$A6)</f>
        <v>0.00178681052678067</v>
      </c>
      <c r="Q6" s="39" t="n">
        <f aca="false">MY_PH(Q$2,$A6)</f>
        <v>0.00178693570118769</v>
      </c>
      <c r="R6" s="39" t="n">
        <f aca="false">MY_PH(R$2,$A6)</f>
        <v>0.0017870608886775</v>
      </c>
      <c r="S6" s="39" t="n">
        <f aca="false">MY_PH(S$2,$A6)</f>
        <v>0.00178718608925203</v>
      </c>
      <c r="T6" s="39" t="n">
        <f aca="false">MY_PH(T$2,$A6)</f>
        <v>0.00178731130291331</v>
      </c>
      <c r="U6" s="39" t="n">
        <f aca="false">MY_PH(U$2,$A6)</f>
        <v>0.00178743652966325</v>
      </c>
      <c r="V6" s="39" t="n">
        <f aca="false">MY_PH(V$2,$A6)</f>
        <v>0.00178756176950387</v>
      </c>
      <c r="W6" s="39" t="n">
        <f aca="false">MY_PH(W$2,$A6)</f>
        <v>0.00178768702243708</v>
      </c>
      <c r="X6" s="39" t="n">
        <f aca="false">MY_PH(X$2,$A6)</f>
        <v>0.00178781228846489</v>
      </c>
      <c r="Y6" s="39" t="n">
        <f aca="false">MY_PH(Y$2,$A6)</f>
        <v>0.00178906566937861</v>
      </c>
      <c r="Z6" s="39" t="n">
        <f aca="false">MY_PH(Z$2,$A6)</f>
        <v>0.00179032036191876</v>
      </c>
      <c r="AA6" s="39" t="n">
        <f aca="false">MY_PH(AA$2,$A6)</f>
        <v>0.00179157636805989</v>
      </c>
      <c r="AB6" s="39" t="n">
        <f aca="false">MY_PH(AB$2,$A6)</f>
        <v>2015</v>
      </c>
      <c r="AC6" s="39" t="n">
        <f aca="false">MY_PH(AC$2,$A6)</f>
        <v>2015</v>
      </c>
      <c r="AD6" s="39" t="n">
        <f aca="false">MY_PH(AD$2,$A6)</f>
        <v>2015</v>
      </c>
      <c r="AE6" s="39" t="n">
        <f aca="false">MY_PH(AE$2,$A6)</f>
        <v>2015</v>
      </c>
      <c r="AF6" s="39" t="n">
        <f aca="false">MY_PH(AF$2,$A6)</f>
        <v>2015</v>
      </c>
      <c r="AG6" s="39" t="n">
        <f aca="false">MY_PH(AG$2,$A6)</f>
        <v>2015</v>
      </c>
      <c r="AH6" s="39" t="n">
        <f aca="false">MY_PH(AH$2,$A6)</f>
        <v>2015</v>
      </c>
      <c r="AI6" s="39" t="n">
        <f aca="false">MY_PH(AI$2,$A6)</f>
        <v>2015</v>
      </c>
      <c r="AJ6" s="39" t="n">
        <f aca="false">MY_PH(AJ$2,$A6)</f>
        <v>2015</v>
      </c>
      <c r="AK6" s="39" t="n">
        <f aca="false">MY_PH(AK$2,$A6)</f>
        <v>2015</v>
      </c>
      <c r="AL6" s="39" t="n">
        <f aca="false">MY_PH(AL$2,$A6)</f>
        <v>2015</v>
      </c>
      <c r="AM6" s="39" t="n">
        <f aca="false">MY_PH(AM$2,$A6)</f>
        <v>2015</v>
      </c>
      <c r="AN6" s="39" t="n">
        <f aca="false">MY_PH(AN$2,$A6)</f>
        <v>2015</v>
      </c>
      <c r="AO6" s="39" t="n">
        <f aca="false">MY_PH(AO$2,$A6)</f>
        <v>2015</v>
      </c>
      <c r="AP6" s="39" t="n">
        <f aca="false">MY_PH(AP$2,$A6)</f>
        <v>2015</v>
      </c>
      <c r="AQ6" s="39" t="n">
        <f aca="false">MY_PH(AQ$2,$A6)</f>
        <v>2015</v>
      </c>
      <c r="AR6" s="39" t="n">
        <f aca="false">MY_PH(AR$2,$A6)</f>
        <v>2015</v>
      </c>
      <c r="AS6" s="39" t="n">
        <f aca="false">MY_PH(AS$2,$A6)</f>
        <v>2015</v>
      </c>
    </row>
    <row r="7" customFormat="false" ht="13.8" hidden="false" customHeight="false" outlineLevel="0" collapsed="false">
      <c r="A7" s="0" t="n">
        <v>0.5</v>
      </c>
      <c r="B7" s="39" t="n">
        <f aca="false">MY_PH(B$2,$A7)</f>
        <v>2015</v>
      </c>
      <c r="C7" s="39" t="n">
        <f aca="false">MY_PH(C$2,$A7)</f>
        <v>0.00178508934720991</v>
      </c>
      <c r="D7" s="39" t="n">
        <f aca="false">MY_PH(D$2,$A7)</f>
        <v>0.00178509059702498</v>
      </c>
      <c r="E7" s="39" t="n">
        <f aca="false">MY_PH(E$2,$A7)</f>
        <v>0.00178509184684139</v>
      </c>
      <c r="F7" s="39" t="n">
        <f aca="false">MY_PH(F$2,$A7)</f>
        <v>0.00178509309665906</v>
      </c>
      <c r="G7" s="39" t="n">
        <f aca="false">MY_PH(G$2,$A7)</f>
        <v>0.0017851055949077</v>
      </c>
      <c r="H7" s="39" t="n">
        <f aca="false">MY_PH(H$2,$A7)</f>
        <v>0.00178511809328687</v>
      </c>
      <c r="I7" s="39" t="n">
        <f aca="false">MY_PH(I$2,$A7)</f>
        <v>0.00178513059179659</v>
      </c>
      <c r="J7" s="39" t="n">
        <f aca="false">MY_PH(J$2,$A7)</f>
        <v>0.00178514309043686</v>
      </c>
      <c r="K7" s="39" t="n">
        <f aca="false">MY_PH(K$2,$A7)</f>
        <v>0.00178515558920768</v>
      </c>
      <c r="L7" s="39" t="n">
        <f aca="false">MY_PH(L$2,$A7)</f>
        <v>0.00178516808810906</v>
      </c>
      <c r="M7" s="39" t="n">
        <f aca="false">MY_PH(M$2,$A7)</f>
        <v>0.00178518058714094</v>
      </c>
      <c r="N7" s="39" t="n">
        <f aca="false">MY_PH(N$2,$A7)</f>
        <v>0.00178519308630343</v>
      </c>
      <c r="O7" s="39" t="n">
        <f aca="false">MY_PH(O$2,$A7)</f>
        <v>0.00178520558559645</v>
      </c>
      <c r="P7" s="39" t="n">
        <f aca="false">MY_PH(P$2,$A7)</f>
        <v>0.00178533058570767</v>
      </c>
      <c r="Q7" s="39" t="n">
        <f aca="false">MY_PH(Q$2,$A7)</f>
        <v>0.00178545559887643</v>
      </c>
      <c r="R7" s="39" t="n">
        <f aca="false">MY_PH(R$2,$A7)</f>
        <v>0.00178558062510479</v>
      </c>
      <c r="S7" s="39" t="n">
        <f aca="false">MY_PH(S$2,$A7)</f>
        <v>0.00178570566439471</v>
      </c>
      <c r="T7" s="39" t="n">
        <f aca="false">MY_PH(T$2,$A7)</f>
        <v>0.00178583071674812</v>
      </c>
      <c r="U7" s="39" t="n">
        <f aca="false">MY_PH(U$2,$A7)</f>
        <v>0.00178595578216699</v>
      </c>
      <c r="V7" s="39" t="n">
        <f aca="false">MY_PH(V$2,$A7)</f>
        <v>0.00178608086065328</v>
      </c>
      <c r="W7" s="39" t="n">
        <f aca="false">MY_PH(W$2,$A7)</f>
        <v>0.00178620595220896</v>
      </c>
      <c r="X7" s="39" t="n">
        <f aca="false">MY_PH(X$2,$A7)</f>
        <v>0.00178633105683595</v>
      </c>
      <c r="Y7" s="39" t="n">
        <f aca="false">MY_PH(Y$2,$A7)</f>
        <v>0.00178758282246299</v>
      </c>
      <c r="Z7" s="39" t="n">
        <f aca="false">MY_PH(Z$2,$A7)</f>
        <v>0.00178883589738813</v>
      </c>
      <c r="AA7" s="39" t="n">
        <f aca="false">MY_PH(AA$2,$A7)</f>
        <v>0.00179009028358157</v>
      </c>
      <c r="AB7" s="39" t="n">
        <f aca="false">MY_PH(AB$2,$A7)</f>
        <v>0.00179134598301725</v>
      </c>
      <c r="AC7" s="39" t="n">
        <f aca="false">MY_PH(AC$2,$A7)</f>
        <v>2015</v>
      </c>
      <c r="AD7" s="39" t="n">
        <f aca="false">MY_PH(AD$2,$A7)</f>
        <v>2015</v>
      </c>
      <c r="AE7" s="39" t="n">
        <f aca="false">MY_PH(AE$2,$A7)</f>
        <v>2015</v>
      </c>
      <c r="AF7" s="39" t="n">
        <f aca="false">MY_PH(AF$2,$A7)</f>
        <v>2015</v>
      </c>
      <c r="AG7" s="39" t="n">
        <f aca="false">MY_PH(AG$2,$A7)</f>
        <v>2015</v>
      </c>
      <c r="AH7" s="39" t="n">
        <f aca="false">MY_PH(AH$2,$A7)</f>
        <v>2015</v>
      </c>
      <c r="AI7" s="39" t="n">
        <f aca="false">MY_PH(AI$2,$A7)</f>
        <v>2015</v>
      </c>
      <c r="AJ7" s="39" t="n">
        <f aca="false">MY_PH(AJ$2,$A7)</f>
        <v>2015</v>
      </c>
      <c r="AK7" s="39" t="n">
        <f aca="false">MY_PH(AK$2,$A7)</f>
        <v>2015</v>
      </c>
      <c r="AL7" s="39" t="n">
        <f aca="false">MY_PH(AL$2,$A7)</f>
        <v>2015</v>
      </c>
      <c r="AM7" s="39" t="n">
        <f aca="false">MY_PH(AM$2,$A7)</f>
        <v>2015</v>
      </c>
      <c r="AN7" s="39" t="n">
        <f aca="false">MY_PH(AN$2,$A7)</f>
        <v>2015</v>
      </c>
      <c r="AO7" s="39" t="n">
        <f aca="false">MY_PH(AO$2,$A7)</f>
        <v>2015</v>
      </c>
      <c r="AP7" s="39" t="n">
        <f aca="false">MY_PH(AP$2,$A7)</f>
        <v>2015</v>
      </c>
      <c r="AQ7" s="39" t="n">
        <f aca="false">MY_PH(AQ$2,$A7)</f>
        <v>2015</v>
      </c>
      <c r="AR7" s="39" t="n">
        <f aca="false">MY_PH(AR$2,$A7)</f>
        <v>2015</v>
      </c>
      <c r="AS7" s="39" t="n">
        <f aca="false">MY_PH(AS$2,$A7)</f>
        <v>2015</v>
      </c>
    </row>
    <row r="8" customFormat="false" ht="13.8" hidden="false" customHeight="false" outlineLevel="0" collapsed="false">
      <c r="A8" s="0" t="n">
        <v>0.6</v>
      </c>
      <c r="B8" s="39" t="n">
        <f aca="false">MY_PH(B$2,$A8)</f>
        <v>2015</v>
      </c>
      <c r="C8" s="39" t="n">
        <f aca="false">MY_PH(C$2,$A8)</f>
        <v>0.00178361166399821</v>
      </c>
      <c r="D8" s="39" t="n">
        <f aca="false">MY_PH(D$2,$A8)</f>
        <v>0.00178361291220434</v>
      </c>
      <c r="E8" s="39" t="n">
        <f aca="false">MY_PH(E$2,$A8)</f>
        <v>0.00178361416041178</v>
      </c>
      <c r="F8" s="39" t="n">
        <f aca="false">MY_PH(F$2,$A8)</f>
        <v>0.0017836154086205</v>
      </c>
      <c r="G8" s="39" t="n">
        <f aca="false">MY_PH(G$2,$A8)</f>
        <v>0.00178362789077959</v>
      </c>
      <c r="H8" s="39" t="n">
        <f aca="false">MY_PH(H$2,$A8)</f>
        <v>0.00178364037306899</v>
      </c>
      <c r="I8" s="39" t="n">
        <f aca="false">MY_PH(I$2,$A8)</f>
        <v>0.0017836528554887</v>
      </c>
      <c r="J8" s="39" t="n">
        <f aca="false">MY_PH(J$2,$A8)</f>
        <v>0.00178366533803869</v>
      </c>
      <c r="K8" s="39" t="n">
        <f aca="false">MY_PH(K$2,$A8)</f>
        <v>0.00178367782071901</v>
      </c>
      <c r="L8" s="39" t="n">
        <f aca="false">MY_PH(L$2,$A8)</f>
        <v>0.0017836903035297</v>
      </c>
      <c r="M8" s="39" t="n">
        <f aca="false">MY_PH(M$2,$A8)</f>
        <v>0.00178370278647065</v>
      </c>
      <c r="N8" s="39" t="n">
        <f aca="false">MY_PH(N$2,$A8)</f>
        <v>0.00178371526954193</v>
      </c>
      <c r="O8" s="39" t="n">
        <f aca="false">MY_PH(O$2,$A8)</f>
        <v>0.00178372775274353</v>
      </c>
      <c r="P8" s="39" t="n">
        <f aca="false">MY_PH(P$2,$A8)</f>
        <v>0.00178385259192782</v>
      </c>
      <c r="Q8" s="39" t="n">
        <f aca="false">MY_PH(Q$2,$A8)</f>
        <v>0.00178397744414657</v>
      </c>
      <c r="R8" s="39" t="n">
        <f aca="false">MY_PH(R$2,$A8)</f>
        <v>0.00178410230940178</v>
      </c>
      <c r="S8" s="39" t="n">
        <f aca="false">MY_PH(S$2,$A8)</f>
        <v>0.00178422718769526</v>
      </c>
      <c r="T8" s="39" t="n">
        <f aca="false">MY_PH(T$2,$A8)</f>
        <v>0.00178435207902915</v>
      </c>
      <c r="U8" s="39" t="n">
        <f aca="false">MY_PH(U$2,$A8)</f>
        <v>0.00178447698340535</v>
      </c>
      <c r="V8" s="39" t="n">
        <f aca="false">MY_PH(V$2,$A8)</f>
        <v>0.00178460190082576</v>
      </c>
      <c r="W8" s="39" t="n">
        <f aca="false">MY_PH(W$2,$A8)</f>
        <v>0.0017847268312924</v>
      </c>
      <c r="X8" s="39" t="n">
        <f aca="false">MY_PH(X$2,$A8)</f>
        <v>0.00178485177480717</v>
      </c>
      <c r="Y8" s="39" t="n">
        <f aca="false">MY_PH(Y$2,$A8)</f>
        <v>0.00178610192803584</v>
      </c>
      <c r="Z8" s="39" t="n">
        <f aca="false">MY_PH(Z$2,$A8)</f>
        <v>0.00178735338823955</v>
      </c>
      <c r="AA8" s="39" t="n">
        <f aca="false">MY_PH(AA$2,$A8)</f>
        <v>0.00178860615738406</v>
      </c>
      <c r="AB8" s="39" t="n">
        <f aca="false">MY_PH(AB$2,$A8)</f>
        <v>0.00178986023743901</v>
      </c>
      <c r="AC8" s="39" t="n">
        <f aca="false">MY_PH(AC$2,$A8)</f>
        <v>0.0017911156303778</v>
      </c>
      <c r="AD8" s="39" t="n">
        <f aca="false">MY_PH(AD$2,$A8)</f>
        <v>2015</v>
      </c>
      <c r="AE8" s="39" t="n">
        <f aca="false">MY_PH(AE$2,$A8)</f>
        <v>2015</v>
      </c>
      <c r="AF8" s="39" t="n">
        <f aca="false">MY_PH(AF$2,$A8)</f>
        <v>2015</v>
      </c>
      <c r="AG8" s="39" t="n">
        <f aca="false">MY_PH(AG$2,$A8)</f>
        <v>2015</v>
      </c>
      <c r="AH8" s="39" t="n">
        <f aca="false">MY_PH(AH$2,$A8)</f>
        <v>2015</v>
      </c>
      <c r="AI8" s="39" t="n">
        <f aca="false">MY_PH(AI$2,$A8)</f>
        <v>2015</v>
      </c>
      <c r="AJ8" s="39" t="n">
        <f aca="false">MY_PH(AJ$2,$A8)</f>
        <v>2015</v>
      </c>
      <c r="AK8" s="39" t="n">
        <f aca="false">MY_PH(AK$2,$A8)</f>
        <v>2015</v>
      </c>
      <c r="AL8" s="39" t="n">
        <f aca="false">MY_PH(AL$2,$A8)</f>
        <v>2015</v>
      </c>
      <c r="AM8" s="39" t="n">
        <f aca="false">MY_PH(AM$2,$A8)</f>
        <v>2015</v>
      </c>
      <c r="AN8" s="39" t="n">
        <f aca="false">MY_PH(AN$2,$A8)</f>
        <v>2015</v>
      </c>
      <c r="AO8" s="39" t="n">
        <f aca="false">MY_PH(AO$2,$A8)</f>
        <v>2015</v>
      </c>
      <c r="AP8" s="39" t="n">
        <f aca="false">MY_PH(AP$2,$A8)</f>
        <v>2015</v>
      </c>
      <c r="AQ8" s="39" t="n">
        <f aca="false">MY_PH(AQ$2,$A8)</f>
        <v>2015</v>
      </c>
      <c r="AR8" s="39" t="n">
        <f aca="false">MY_PH(AR$2,$A8)</f>
        <v>2015</v>
      </c>
      <c r="AS8" s="39" t="n">
        <f aca="false">MY_PH(AS$2,$A8)</f>
        <v>2015</v>
      </c>
    </row>
    <row r="9" customFormat="false" ht="13.8" hidden="false" customHeight="false" outlineLevel="0" collapsed="false">
      <c r="A9" s="0" t="n">
        <v>0.7</v>
      </c>
      <c r="B9" s="39" t="n">
        <f aca="false">MY_PH(B$2,$A9)</f>
        <v>2015</v>
      </c>
      <c r="C9" s="39" t="n">
        <f aca="false">MY_PH(C$2,$A9)</f>
        <v>0.00178213592406488</v>
      </c>
      <c r="D9" s="39" t="n">
        <f aca="false">MY_PH(D$2,$A9)</f>
        <v>0.00178213717066498</v>
      </c>
      <c r="E9" s="39" t="n">
        <f aca="false">MY_PH(E$2,$A9)</f>
        <v>0.00178213841726633</v>
      </c>
      <c r="F9" s="39" t="n">
        <f aca="false">MY_PH(F$2,$A9)</f>
        <v>0.00178213966386901</v>
      </c>
      <c r="G9" s="39" t="n">
        <f aca="false">MY_PH(G$2,$A9)</f>
        <v>0.00178215212996727</v>
      </c>
      <c r="H9" s="39" t="n">
        <f aca="false">MY_PH(H$2,$A9)</f>
        <v>0.00178216459619561</v>
      </c>
      <c r="I9" s="39" t="n">
        <f aca="false">MY_PH(I$2,$A9)</f>
        <v>0.00178217706255403</v>
      </c>
      <c r="J9" s="39" t="n">
        <f aca="false">MY_PH(J$2,$A9)</f>
        <v>0.00178218952904252</v>
      </c>
      <c r="K9" s="39" t="n">
        <f aca="false">MY_PH(K$2,$A9)</f>
        <v>0.0017822019956611</v>
      </c>
      <c r="L9" s="39" t="n">
        <f aca="false">MY_PH(L$2,$A9)</f>
        <v>0.00178221446240977</v>
      </c>
      <c r="M9" s="39" t="n">
        <f aca="false">MY_PH(M$2,$A9)</f>
        <v>0.00178222692928853</v>
      </c>
      <c r="N9" s="39" t="n">
        <f aca="false">MY_PH(N$2,$A9)</f>
        <v>0.00178223939629736</v>
      </c>
      <c r="O9" s="39" t="n">
        <f aca="false">MY_PH(O$2,$A9)</f>
        <v>0.00178225186343631</v>
      </c>
      <c r="P9" s="39" t="n">
        <f aca="false">MY_PH(P$2,$A9)</f>
        <v>0.0017823765419812</v>
      </c>
      <c r="Q9" s="39" t="n">
        <f aca="false">MY_PH(Q$2,$A9)</f>
        <v>0.00178250123353743</v>
      </c>
      <c r="R9" s="39" t="n">
        <f aca="false">MY_PH(R$2,$A9)</f>
        <v>0.00178262593810701</v>
      </c>
      <c r="S9" s="39" t="n">
        <f aca="false">MY_PH(S$2,$A9)</f>
        <v>0.0017827506556918</v>
      </c>
      <c r="T9" s="39" t="n">
        <f aca="false">MY_PH(T$2,$A9)</f>
        <v>0.00178287538629389</v>
      </c>
      <c r="U9" s="39" t="n">
        <f aca="false">MY_PH(U$2,$A9)</f>
        <v>0.00178300012991509</v>
      </c>
      <c r="V9" s="39" t="n">
        <f aca="false">MY_PH(V$2,$A9)</f>
        <v>0.00178312488655746</v>
      </c>
      <c r="W9" s="39" t="n">
        <f aca="false">MY_PH(W$2,$A9)</f>
        <v>0.00178324965622286</v>
      </c>
      <c r="X9" s="39" t="n">
        <f aca="false">MY_PH(X$2,$A9)</f>
        <v>0.00178337443891334</v>
      </c>
      <c r="Y9" s="39" t="n">
        <f aca="false">MY_PH(Y$2,$A9)</f>
        <v>0.00178462298262551</v>
      </c>
      <c r="Z9" s="39" t="n">
        <f aca="false">MY_PH(Z$2,$A9)</f>
        <v>0.0017858728309949</v>
      </c>
      <c r="AA9" s="39" t="n">
        <f aca="false">MY_PH(AA$2,$A9)</f>
        <v>0.00178712398598279</v>
      </c>
      <c r="AB9" s="39" t="n">
        <f aca="false">MY_PH(AB$2,$A9)</f>
        <v>0.00178837644955452</v>
      </c>
      <c r="AC9" s="39" t="n">
        <f aca="false">MY_PH(AC$2,$A9)</f>
        <v>0.0017896302236791</v>
      </c>
      <c r="AD9" s="39" t="n">
        <f aca="false">MY_PH(AD$2,$A9)</f>
        <v>0.00179088531032958</v>
      </c>
      <c r="AE9" s="39" t="n">
        <f aca="false">MY_PH(AE$2,$A9)</f>
        <v>2015</v>
      </c>
      <c r="AF9" s="39" t="n">
        <f aca="false">MY_PH(AF$2,$A9)</f>
        <v>2015</v>
      </c>
      <c r="AG9" s="39" t="n">
        <f aca="false">MY_PH(AG$2,$A9)</f>
        <v>2015</v>
      </c>
      <c r="AH9" s="39" t="n">
        <f aca="false">MY_PH(AH$2,$A9)</f>
        <v>2015</v>
      </c>
      <c r="AI9" s="39" t="n">
        <f aca="false">MY_PH(AI$2,$A9)</f>
        <v>2015</v>
      </c>
      <c r="AJ9" s="39" t="n">
        <f aca="false">MY_PH(AJ$2,$A9)</f>
        <v>2015</v>
      </c>
      <c r="AK9" s="39" t="n">
        <f aca="false">MY_PH(AK$2,$A9)</f>
        <v>2015</v>
      </c>
      <c r="AL9" s="39" t="n">
        <f aca="false">MY_PH(AL$2,$A9)</f>
        <v>2015</v>
      </c>
      <c r="AM9" s="39" t="n">
        <f aca="false">MY_PH(AM$2,$A9)</f>
        <v>2015</v>
      </c>
      <c r="AN9" s="39" t="n">
        <f aca="false">MY_PH(AN$2,$A9)</f>
        <v>2015</v>
      </c>
      <c r="AO9" s="39" t="n">
        <f aca="false">MY_PH(AO$2,$A9)</f>
        <v>2015</v>
      </c>
      <c r="AP9" s="39" t="n">
        <f aca="false">MY_PH(AP$2,$A9)</f>
        <v>2015</v>
      </c>
      <c r="AQ9" s="39" t="n">
        <f aca="false">MY_PH(AQ$2,$A9)</f>
        <v>2015</v>
      </c>
      <c r="AR9" s="39" t="n">
        <f aca="false">MY_PH(AR$2,$A9)</f>
        <v>2015</v>
      </c>
      <c r="AS9" s="39" t="n">
        <f aca="false">MY_PH(AS$2,$A9)</f>
        <v>2015</v>
      </c>
    </row>
    <row r="10" customFormat="false" ht="13.8" hidden="false" customHeight="false" outlineLevel="0" collapsed="false">
      <c r="A10" s="0" t="n">
        <v>0.8</v>
      </c>
      <c r="B10" s="39" t="n">
        <f aca="false">MY_PH(B$2,$A10)</f>
        <v>2015</v>
      </c>
      <c r="C10" s="39" t="n">
        <f aca="false">MY_PH(C$2,$A10)</f>
        <v>0.00178066212395885</v>
      </c>
      <c r="D10" s="39" t="n">
        <f aca="false">MY_PH(D$2,$A10)</f>
        <v>0.00178066336895572</v>
      </c>
      <c r="E10" s="39" t="n">
        <f aca="false">MY_PH(E$2,$A10)</f>
        <v>0.00178066461395391</v>
      </c>
      <c r="F10" s="39" t="n">
        <f aca="false">MY_PH(F$2,$A10)</f>
        <v>0.00178066585895336</v>
      </c>
      <c r="G10" s="39" t="n">
        <f aca="false">MY_PH(G$2,$A10)</f>
        <v>0.00178067830901948</v>
      </c>
      <c r="H10" s="39" t="n">
        <f aca="false">MY_PH(H$2,$A10)</f>
        <v>0.00178069075921544</v>
      </c>
      <c r="I10" s="39" t="n">
        <f aca="false">MY_PH(I$2,$A10)</f>
        <v>0.00178070320954124</v>
      </c>
      <c r="J10" s="39" t="n">
        <f aca="false">MY_PH(J$2,$A10)</f>
        <v>0.00178071565999692</v>
      </c>
      <c r="K10" s="39" t="n">
        <f aca="false">MY_PH(K$2,$A10)</f>
        <v>0.00178072811058243</v>
      </c>
      <c r="L10" s="39" t="n">
        <f aca="false">MY_PH(L$2,$A10)</f>
        <v>0.0017807405612978</v>
      </c>
      <c r="M10" s="39" t="n">
        <f aca="false">MY_PH(M$2,$A10)</f>
        <v>0.00178075301214303</v>
      </c>
      <c r="N10" s="39" t="n">
        <f aca="false">MY_PH(N$2,$A10)</f>
        <v>0.0017807654631181</v>
      </c>
      <c r="O10" s="39" t="n">
        <f aca="false">MY_PH(O$2,$A10)</f>
        <v>0.00178077791422307</v>
      </c>
      <c r="P10" s="39" t="n">
        <f aca="false">MY_PH(P$2,$A10)</f>
        <v>0.00178090243241542</v>
      </c>
      <c r="Q10" s="39" t="n">
        <f aca="false">MY_PH(Q$2,$A10)</f>
        <v>0.00178102696359604</v>
      </c>
      <c r="R10" s="39" t="n">
        <f aca="false">MY_PH(R$2,$A10)</f>
        <v>0.00178115150776695</v>
      </c>
      <c r="S10" s="39" t="n">
        <f aca="false">MY_PH(S$2,$A10)</f>
        <v>0.00178127606493006</v>
      </c>
      <c r="T10" s="39" t="n">
        <f aca="false">MY_PH(T$2,$A10)</f>
        <v>0.00178140063508734</v>
      </c>
      <c r="U10" s="39" t="n">
        <f aca="false">MY_PH(U$2,$A10)</f>
        <v>0.00178152521824068</v>
      </c>
      <c r="V10" s="39" t="n">
        <f aca="false">MY_PH(V$2,$A10)</f>
        <v>0.00178164981439213</v>
      </c>
      <c r="W10" s="39" t="n">
        <f aca="false">MY_PH(W$2,$A10)</f>
        <v>0.00178177442354359</v>
      </c>
      <c r="X10" s="39" t="n">
        <f aca="false">MY_PH(X$2,$A10)</f>
        <v>0.00178189904569698</v>
      </c>
      <c r="Y10" s="39" t="n">
        <f aca="false">MY_PH(Y$2,$A10)</f>
        <v>0.00178314598276814</v>
      </c>
      <c r="Z10" s="39" t="n">
        <f aca="false">MY_PH(Z$2,$A10)</f>
        <v>0.00178439422218381</v>
      </c>
      <c r="AA10" s="39" t="n">
        <f aca="false">MY_PH(AA$2,$A10)</f>
        <v>0.00178564376590097</v>
      </c>
      <c r="AB10" s="39" t="n">
        <f aca="false">MY_PH(AB$2,$A10)</f>
        <v>0.00178689461588053</v>
      </c>
      <c r="AC10" s="39" t="n">
        <f aca="false">MY_PH(AC$2,$A10)</f>
        <v>0.00178814677408721</v>
      </c>
      <c r="AD10" s="39" t="n">
        <f aca="false">MY_PH(AD$2,$A10)</f>
        <v>0.00178940024248957</v>
      </c>
      <c r="AE10" s="39" t="n">
        <f aca="false">MY_PH(AE$2,$A10)</f>
        <v>0.00179065502306011</v>
      </c>
      <c r="AF10" s="39" t="n">
        <f aca="false">MY_PH(AF$2,$A10)</f>
        <v>2015</v>
      </c>
      <c r="AG10" s="39" t="n">
        <f aca="false">MY_PH(AG$2,$A10)</f>
        <v>2015</v>
      </c>
      <c r="AH10" s="39" t="n">
        <f aca="false">MY_PH(AH$2,$A10)</f>
        <v>2015</v>
      </c>
      <c r="AI10" s="39" t="n">
        <f aca="false">MY_PH(AI$2,$A10)</f>
        <v>2015</v>
      </c>
      <c r="AJ10" s="39" t="n">
        <f aca="false">MY_PH(AJ$2,$A10)</f>
        <v>2015</v>
      </c>
      <c r="AK10" s="39" t="n">
        <f aca="false">MY_PH(AK$2,$A10)</f>
        <v>2015</v>
      </c>
      <c r="AL10" s="39" t="n">
        <f aca="false">MY_PH(AL$2,$A10)</f>
        <v>2015</v>
      </c>
      <c r="AM10" s="39" t="n">
        <f aca="false">MY_PH(AM$2,$A10)</f>
        <v>2015</v>
      </c>
      <c r="AN10" s="39" t="n">
        <f aca="false">MY_PH(AN$2,$A10)</f>
        <v>2015</v>
      </c>
      <c r="AO10" s="39" t="n">
        <f aca="false">MY_PH(AO$2,$A10)</f>
        <v>2015</v>
      </c>
      <c r="AP10" s="39" t="n">
        <f aca="false">MY_PH(AP$2,$A10)</f>
        <v>2015</v>
      </c>
      <c r="AQ10" s="39" t="n">
        <f aca="false">MY_PH(AQ$2,$A10)</f>
        <v>2015</v>
      </c>
      <c r="AR10" s="39" t="n">
        <f aca="false">MY_PH(AR$2,$A10)</f>
        <v>2015</v>
      </c>
      <c r="AS10" s="39" t="n">
        <f aca="false">MY_PH(AS$2,$A10)</f>
        <v>2015</v>
      </c>
    </row>
    <row r="11" customFormat="false" ht="13.8" hidden="false" customHeight="false" outlineLevel="0" collapsed="false">
      <c r="A11" s="0" t="n">
        <v>0.9</v>
      </c>
      <c r="B11" s="39" t="n">
        <f aca="false">MY_PH(B$2,$A11)</f>
        <v>2015</v>
      </c>
      <c r="C11" s="39" t="n">
        <f aca="false">MY_PH(C$2,$A11)</f>
        <v>0.00177919026023657</v>
      </c>
      <c r="D11" s="39" t="n">
        <f aca="false">MY_PH(D$2,$A11)</f>
        <v>0.00177919150363312</v>
      </c>
      <c r="E11" s="39" t="n">
        <f aca="false">MY_PH(E$2,$A11)</f>
        <v>0.00177919274703095</v>
      </c>
      <c r="F11" s="39" t="n">
        <f aca="false">MY_PH(F$2,$A11)</f>
        <v>0.00177919399043007</v>
      </c>
      <c r="G11" s="39" t="n">
        <f aca="false">MY_PH(G$2,$A11)</f>
        <v>0.00177920642449266</v>
      </c>
      <c r="H11" s="39" t="n">
        <f aca="false">MY_PH(H$2,$A11)</f>
        <v>0.00177921885868484</v>
      </c>
      <c r="I11" s="39" t="n">
        <f aca="false">MY_PH(I$2,$A11)</f>
        <v>0.00177923129300667</v>
      </c>
      <c r="J11" s="39" t="n">
        <f aca="false">MY_PH(J$2,$A11)</f>
        <v>0.00177924372745814</v>
      </c>
      <c r="K11" s="39" t="n">
        <f aca="false">MY_PH(K$2,$A11)</f>
        <v>0.0017792561620392</v>
      </c>
      <c r="L11" s="39" t="n">
        <f aca="false">MY_PH(L$2,$A11)</f>
        <v>0.00177926859674989</v>
      </c>
      <c r="M11" s="39" t="n">
        <f aca="false">MY_PH(M$2,$A11)</f>
        <v>0.0017792810315902</v>
      </c>
      <c r="N11" s="39" t="n">
        <f aca="false">MY_PH(N$2,$A11)</f>
        <v>0.00177929346656016</v>
      </c>
      <c r="O11" s="39" t="n">
        <f aca="false">MY_PH(O$2,$A11)</f>
        <v>0.00177930590165972</v>
      </c>
      <c r="P11" s="39" t="n">
        <f aca="false">MY_PH(P$2,$A11)</f>
        <v>0.00177943025978569</v>
      </c>
      <c r="Q11" s="39" t="n">
        <f aca="false">MY_PH(Q$2,$A11)</f>
        <v>0.00177955463087701</v>
      </c>
      <c r="R11" s="39" t="n">
        <f aca="false">MY_PH(R$2,$A11)</f>
        <v>0.00177967901493556</v>
      </c>
      <c r="S11" s="39" t="n">
        <f aca="false">MY_PH(S$2,$A11)</f>
        <v>0.00177980341196332</v>
      </c>
      <c r="T11" s="39" t="n">
        <f aca="false">MY_PH(T$2,$A11)</f>
        <v>0.00177992782196221</v>
      </c>
      <c r="U11" s="39" t="n">
        <f aca="false">MY_PH(U$2,$A11)</f>
        <v>0.00178005224493421</v>
      </c>
      <c r="V11" s="39" t="n">
        <f aca="false">MY_PH(V$2,$A11)</f>
        <v>0.00178017668088125</v>
      </c>
      <c r="W11" s="39" t="n">
        <f aca="false">MY_PH(W$2,$A11)</f>
        <v>0.00178030112980528</v>
      </c>
      <c r="X11" s="39" t="n">
        <f aca="false">MY_PH(X$2,$A11)</f>
        <v>0.00178042559170824</v>
      </c>
      <c r="Y11" s="39" t="n">
        <f aca="false">MY_PH(Y$2,$A11)</f>
        <v>0.00178167092500745</v>
      </c>
      <c r="Z11" s="39" t="n">
        <f aca="false">MY_PH(Z$2,$A11)</f>
        <v>0.00178291755834359</v>
      </c>
      <c r="AA11" s="39" t="n">
        <f aca="false">MY_PH(AA$2,$A11)</f>
        <v>0.00178416549366939</v>
      </c>
      <c r="AB11" s="39" t="n">
        <f aca="false">MY_PH(AB$2,$A11)</f>
        <v>0.00178541473294142</v>
      </c>
      <c r="AC11" s="39" t="n">
        <f aca="false">MY_PH(AC$2,$A11)</f>
        <v>0.00178666527811996</v>
      </c>
      <c r="AD11" s="39" t="n">
        <f aca="false">MY_PH(AD$2,$A11)</f>
        <v>0.00178791713116931</v>
      </c>
      <c r="AE11" s="39" t="n">
        <f aca="false">MY_PH(AE$2,$A11)</f>
        <v>0.00178917029405751</v>
      </c>
      <c r="AF11" s="39" t="n">
        <f aca="false">MY_PH(AF$2,$A11)</f>
        <v>0.00179042476875655</v>
      </c>
      <c r="AG11" s="39" t="n">
        <f aca="false">MY_PH(AG$2,$A11)</f>
        <v>2015</v>
      </c>
      <c r="AH11" s="39" t="n">
        <f aca="false">MY_PH(AH$2,$A11)</f>
        <v>2015</v>
      </c>
      <c r="AI11" s="39" t="n">
        <f aca="false">MY_PH(AI$2,$A11)</f>
        <v>2015</v>
      </c>
      <c r="AJ11" s="39" t="n">
        <f aca="false">MY_PH(AJ$2,$A11)</f>
        <v>2015</v>
      </c>
      <c r="AK11" s="39" t="n">
        <f aca="false">MY_PH(AK$2,$A11)</f>
        <v>2015</v>
      </c>
      <c r="AL11" s="39" t="n">
        <f aca="false">MY_PH(AL$2,$A11)</f>
        <v>2015</v>
      </c>
      <c r="AM11" s="39" t="n">
        <f aca="false">MY_PH(AM$2,$A11)</f>
        <v>2015</v>
      </c>
      <c r="AN11" s="39" t="n">
        <f aca="false">MY_PH(AN$2,$A11)</f>
        <v>2015</v>
      </c>
      <c r="AO11" s="39" t="n">
        <f aca="false">MY_PH(AO$2,$A11)</f>
        <v>2015</v>
      </c>
      <c r="AP11" s="39" t="n">
        <f aca="false">MY_PH(AP$2,$A11)</f>
        <v>2015</v>
      </c>
      <c r="AQ11" s="39" t="n">
        <f aca="false">MY_PH(AQ$2,$A11)</f>
        <v>2015</v>
      </c>
      <c r="AR11" s="39" t="n">
        <f aca="false">MY_PH(AR$2,$A11)</f>
        <v>2015</v>
      </c>
      <c r="AS11" s="39" t="n">
        <f aca="false">MY_PH(AS$2,$A11)</f>
        <v>2015</v>
      </c>
    </row>
    <row r="12" customFormat="false" ht="13.8" hidden="false" customHeight="false" outlineLevel="0" collapsed="false">
      <c r="A12" s="0" t="n">
        <v>1</v>
      </c>
      <c r="B12" s="39" t="n">
        <f aca="false">MY_PH(B$2,$A12)</f>
        <v>2015</v>
      </c>
      <c r="C12" s="39" t="n">
        <f aca="false">MY_PH(C$2,$A12)</f>
        <v>0.00177772032946217</v>
      </c>
      <c r="D12" s="39" t="n">
        <f aca="false">MY_PH(D$2,$A12)</f>
        <v>0.00177772157126124</v>
      </c>
      <c r="E12" s="39" t="n">
        <f aca="false">MY_PH(E$2,$A12)</f>
        <v>0.00177772281306158</v>
      </c>
      <c r="F12" s="39" t="n">
        <f aca="false">MY_PH(F$2,$A12)</f>
        <v>0.00177772405486322</v>
      </c>
      <c r="G12" s="39" t="n">
        <f aca="false">MY_PH(G$2,$A12)</f>
        <v>0.00177773647295085</v>
      </c>
      <c r="H12" s="39" t="n">
        <f aca="false">MY_PH(H$2,$A12)</f>
        <v>0.00177774889116782</v>
      </c>
      <c r="I12" s="39" t="n">
        <f aca="false">MY_PH(I$2,$A12)</f>
        <v>0.00177776130951419</v>
      </c>
      <c r="J12" s="39" t="n">
        <f aca="false">MY_PH(J$2,$A12)</f>
        <v>0.00177777372798995</v>
      </c>
      <c r="K12" s="39" t="n">
        <f aca="false">MY_PH(K$2,$A12)</f>
        <v>0.00177778614659512</v>
      </c>
      <c r="L12" s="39" t="n">
        <f aca="false">MY_PH(L$2,$A12)</f>
        <v>0.0017777985653297</v>
      </c>
      <c r="M12" s="39" t="n">
        <f aca="false">MY_PH(M$2,$A12)</f>
        <v>0.00177781098419366</v>
      </c>
      <c r="N12" s="39" t="n">
        <f aca="false">MY_PH(N$2,$A12)</f>
        <v>0.00177782340318705</v>
      </c>
      <c r="O12" s="39" t="n">
        <f aca="false">MY_PH(O$2,$A12)</f>
        <v>0.00177783582230979</v>
      </c>
      <c r="P12" s="39" t="n">
        <f aca="false">MY_PH(P$2,$A12)</f>
        <v>0.00177796002065499</v>
      </c>
      <c r="Q12" s="39" t="n">
        <f aca="false">MY_PH(Q$2,$A12)</f>
        <v>0.00177808423194255</v>
      </c>
      <c r="R12" s="39" t="n">
        <f aca="false">MY_PH(R$2,$A12)</f>
        <v>0.00177820845617444</v>
      </c>
      <c r="S12" s="39" t="n">
        <f aca="false">MY_PH(S$2,$A12)</f>
        <v>0.00177833269335257</v>
      </c>
      <c r="T12" s="39" t="n">
        <f aca="false">MY_PH(T$2,$A12)</f>
        <v>0.00177845694347889</v>
      </c>
      <c r="U12" s="39" t="n">
        <f aca="false">MY_PH(U$2,$A12)</f>
        <v>0.00177858120655534</v>
      </c>
      <c r="V12" s="39" t="n">
        <f aca="false">MY_PH(V$2,$A12)</f>
        <v>0.00177870548258383</v>
      </c>
      <c r="W12" s="39" t="n">
        <f aca="false">MY_PH(W$2,$A12)</f>
        <v>0.00177882977156638</v>
      </c>
      <c r="X12" s="39" t="n">
        <f aca="false">MY_PH(X$2,$A12)</f>
        <v>0.00177895407350487</v>
      </c>
      <c r="Y12" s="39" t="n">
        <f aca="false">MY_PH(Y$2,$A12)</f>
        <v>0.00178019780589474</v>
      </c>
      <c r="Z12" s="39" t="n">
        <f aca="false">MY_PH(Z$2,$A12)</f>
        <v>0.00178144283601921</v>
      </c>
      <c r="AA12" s="39" t="n">
        <f aca="false">MY_PH(AA$2,$A12)</f>
        <v>0.00178268916582668</v>
      </c>
      <c r="AB12" s="39" t="n">
        <f aca="false">MY_PH(AB$2,$A12)</f>
        <v>0.0017839367972693</v>
      </c>
      <c r="AC12" s="39" t="n">
        <f aca="false">MY_PH(AC$2,$A12)</f>
        <v>0.00178518573230309</v>
      </c>
      <c r="AD12" s="39" t="n">
        <f aca="false">MY_PH(AD$2,$A12)</f>
        <v>0.00178643597288794</v>
      </c>
      <c r="AE12" s="39" t="n">
        <f aca="false">MY_PH(AE$2,$A12)</f>
        <v>0.00178768752098758</v>
      </c>
      <c r="AF12" s="39" t="n">
        <f aca="false">MY_PH(AF$2,$A12)</f>
        <v>0.00178894037856963</v>
      </c>
      <c r="AG12" s="39" t="n">
        <f aca="false">MY_PH(AG$2,$A12)</f>
        <v>0.00179019454760552</v>
      </c>
      <c r="AH12" s="39" t="n">
        <f aca="false">MY_PH(AH$2,$A12)</f>
        <v>2015</v>
      </c>
      <c r="AI12" s="39" t="n">
        <f aca="false">MY_PH(AI$2,$A12)</f>
        <v>2015</v>
      </c>
      <c r="AJ12" s="39" t="n">
        <f aca="false">MY_PH(AJ$2,$A12)</f>
        <v>2015</v>
      </c>
      <c r="AK12" s="39" t="n">
        <f aca="false">MY_PH(AK$2,$A12)</f>
        <v>2015</v>
      </c>
      <c r="AL12" s="39" t="n">
        <f aca="false">MY_PH(AL$2,$A12)</f>
        <v>2015</v>
      </c>
      <c r="AM12" s="39" t="n">
        <f aca="false">MY_PH(AM$2,$A12)</f>
        <v>2015</v>
      </c>
      <c r="AN12" s="39" t="n">
        <f aca="false">MY_PH(AN$2,$A12)</f>
        <v>2015</v>
      </c>
      <c r="AO12" s="39" t="n">
        <f aca="false">MY_PH(AO$2,$A12)</f>
        <v>2015</v>
      </c>
      <c r="AP12" s="39" t="n">
        <f aca="false">MY_PH(AP$2,$A12)</f>
        <v>2015</v>
      </c>
      <c r="AQ12" s="39" t="n">
        <f aca="false">MY_PH(AQ$2,$A12)</f>
        <v>2015</v>
      </c>
      <c r="AR12" s="39" t="n">
        <f aca="false">MY_PH(AR$2,$A12)</f>
        <v>2015</v>
      </c>
      <c r="AS12" s="39" t="n">
        <f aca="false">MY_PH(AS$2,$A12)</f>
        <v>2015</v>
      </c>
    </row>
    <row r="13" customFormat="false" ht="13.8" hidden="false" customHeight="false" outlineLevel="0" collapsed="false">
      <c r="A13" s="0" t="n">
        <v>2</v>
      </c>
      <c r="B13" s="39" t="n">
        <f aca="false">MY_PH(B$2,$A13)</f>
        <v>2015</v>
      </c>
      <c r="C13" s="39" t="n">
        <f aca="false">MY_PH(C$2,$A13)</f>
        <v>0.00176312658335636</v>
      </c>
      <c r="D13" s="39" t="n">
        <f aca="false">MY_PH(D$2,$A13)</f>
        <v>0.00176312780933625</v>
      </c>
      <c r="E13" s="39" t="n">
        <f aca="false">MY_PH(E$2,$A13)</f>
        <v>0.00176312903531742</v>
      </c>
      <c r="F13" s="39" t="n">
        <f aca="false">MY_PH(F$2,$A13)</f>
        <v>0.00176313026129983</v>
      </c>
      <c r="G13" s="39" t="n">
        <f aca="false">MY_PH(G$2,$A13)</f>
        <v>0.00176314252119393</v>
      </c>
      <c r="H13" s="39" t="n">
        <f aca="false">MY_PH(H$2,$A13)</f>
        <v>0.00176315478121519</v>
      </c>
      <c r="I13" s="39" t="n">
        <f aca="false">MY_PH(I$2,$A13)</f>
        <v>0.00176316704136356</v>
      </c>
      <c r="J13" s="39" t="n">
        <f aca="false">MY_PH(J$2,$A13)</f>
        <v>0.00176317930163907</v>
      </c>
      <c r="K13" s="39" t="n">
        <f aca="false">MY_PH(K$2,$A13)</f>
        <v>0.00176319156204168</v>
      </c>
      <c r="L13" s="39" t="n">
        <f aca="false">MY_PH(L$2,$A13)</f>
        <v>0.00176320382257143</v>
      </c>
      <c r="M13" s="39" t="n">
        <f aca="false">MY_PH(M$2,$A13)</f>
        <v>0.00176321608322833</v>
      </c>
      <c r="N13" s="39" t="n">
        <f aca="false">MY_PH(N$2,$A13)</f>
        <v>0.00176322834401236</v>
      </c>
      <c r="O13" s="39" t="n">
        <f aca="false">MY_PH(O$2,$A13)</f>
        <v>0.00176324060492353</v>
      </c>
      <c r="P13" s="39" t="n">
        <f aca="false">MY_PH(P$2,$A13)</f>
        <v>0.00176336322102802</v>
      </c>
      <c r="Q13" s="39" t="n">
        <f aca="false">MY_PH(Q$2,$A13)</f>
        <v>0.00176348584984826</v>
      </c>
      <c r="R13" s="39" t="n">
        <f aca="false">MY_PH(R$2,$A13)</f>
        <v>0.00176360849138606</v>
      </c>
      <c r="S13" s="39" t="n">
        <f aca="false">MY_PH(S$2,$A13)</f>
        <v>0.00176373114564342</v>
      </c>
      <c r="T13" s="39" t="n">
        <f aca="false">MY_PH(T$2,$A13)</f>
        <v>0.0017638538126221</v>
      </c>
      <c r="U13" s="39" t="n">
        <f aca="false">MY_PH(U$2,$A13)</f>
        <v>0.00176397649232415</v>
      </c>
      <c r="V13" s="39" t="n">
        <f aca="false">MY_PH(V$2,$A13)</f>
        <v>0.00176409918475134</v>
      </c>
      <c r="W13" s="39" t="n">
        <f aca="false">MY_PH(W$2,$A13)</f>
        <v>0.00176422188990569</v>
      </c>
      <c r="X13" s="39" t="n">
        <f aca="false">MY_PH(X$2,$A13)</f>
        <v>0.00176434460778903</v>
      </c>
      <c r="Y13" s="39" t="n">
        <f aca="false">MY_PH(Y$2,$A13)</f>
        <v>0.00176557248713507</v>
      </c>
      <c r="Z13" s="39" t="n">
        <f aca="false">MY_PH(Z$2,$A13)</f>
        <v>0.00176680164147308</v>
      </c>
      <c r="AA13" s="39" t="n">
        <f aca="false">MY_PH(AA$2,$A13)</f>
        <v>0.00176803207270873</v>
      </c>
      <c r="AB13" s="39" t="n">
        <f aca="false">MY_PH(AB$2,$A13)</f>
        <v>0.00176926378275151</v>
      </c>
      <c r="AC13" s="39" t="n">
        <f aca="false">MY_PH(AC$2,$A13)</f>
        <v>0.00177049677351475</v>
      </c>
      <c r="AD13" s="39" t="n">
        <f aca="false">MY_PH(AD$2,$A13)</f>
        <v>0.00177173104691528</v>
      </c>
      <c r="AE13" s="39" t="n">
        <f aca="false">MY_PH(AE$2,$A13)</f>
        <v>0.0017729666048739</v>
      </c>
      <c r="AF13" s="39" t="n">
        <f aca="false">MY_PH(AF$2,$A13)</f>
        <v>0.00177420344931507</v>
      </c>
      <c r="AG13" s="39" t="n">
        <f aca="false">MY_PH(AG$2,$A13)</f>
        <v>0.00177544158216701</v>
      </c>
      <c r="AH13" s="39" t="n">
        <f aca="false">MY_PH(AH$2,$A13)</f>
        <v>0.00178789420021133</v>
      </c>
      <c r="AI13" s="39" t="n">
        <f aca="false">MY_PH(AI$2,$A13)</f>
        <v>2015</v>
      </c>
      <c r="AJ13" s="39" t="n">
        <f aca="false">MY_PH(AJ$2,$A13)</f>
        <v>2015</v>
      </c>
      <c r="AK13" s="39" t="n">
        <f aca="false">MY_PH(AK$2,$A13)</f>
        <v>2015</v>
      </c>
      <c r="AL13" s="39" t="n">
        <f aca="false">MY_PH(AL$2,$A13)</f>
        <v>2015</v>
      </c>
      <c r="AM13" s="39" t="n">
        <f aca="false">MY_PH(AM$2,$A13)</f>
        <v>2015</v>
      </c>
      <c r="AN13" s="39" t="n">
        <f aca="false">MY_PH(AN$2,$A13)</f>
        <v>2015</v>
      </c>
      <c r="AO13" s="39" t="n">
        <f aca="false">MY_PH(AO$2,$A13)</f>
        <v>2015</v>
      </c>
      <c r="AP13" s="39" t="n">
        <f aca="false">MY_PH(AP$2,$A13)</f>
        <v>2015</v>
      </c>
      <c r="AQ13" s="39" t="n">
        <f aca="false">MY_PH(AQ$2,$A13)</f>
        <v>2015</v>
      </c>
      <c r="AR13" s="39" t="n">
        <f aca="false">MY_PH(AR$2,$A13)</f>
        <v>2015</v>
      </c>
      <c r="AS13" s="39" t="n">
        <f aca="false">MY_PH(AS$2,$A13)</f>
        <v>2015</v>
      </c>
    </row>
    <row r="14" customFormat="false" ht="13.8" hidden="false" customHeight="false" outlineLevel="0" collapsed="false">
      <c r="A14" s="0" t="n">
        <v>3</v>
      </c>
      <c r="B14" s="39" t="n">
        <f aca="false">MY_PH(B$2,$A14)</f>
        <v>2015</v>
      </c>
      <c r="C14" s="39" t="n">
        <f aca="false">MY_PH(C$2,$A14)</f>
        <v>0.00174872240829015</v>
      </c>
      <c r="D14" s="39" t="n">
        <f aca="false">MY_PH(D$2,$A14)</f>
        <v>0.00174872361872948</v>
      </c>
      <c r="E14" s="39" t="n">
        <f aca="false">MY_PH(E$2,$A14)</f>
        <v>0.00174872482917</v>
      </c>
      <c r="F14" s="39" t="n">
        <f aca="false">MY_PH(F$2,$A14)</f>
        <v>0.00174872603961184</v>
      </c>
      <c r="G14" s="39" t="n">
        <f aca="false">MY_PH(G$2,$A14)</f>
        <v>0.00174873814409851</v>
      </c>
      <c r="H14" s="39" t="n">
        <f aca="false">MY_PH(H$2,$A14)</f>
        <v>0.00174875024871014</v>
      </c>
      <c r="I14" s="39" t="n">
        <f aca="false">MY_PH(I$2,$A14)</f>
        <v>0.00174876235344667</v>
      </c>
      <c r="J14" s="39" t="n">
        <f aca="false">MY_PH(J$2,$A14)</f>
        <v>0.0017487744583081</v>
      </c>
      <c r="K14" s="39" t="n">
        <f aca="false">MY_PH(K$2,$A14)</f>
        <v>0.00174878656329443</v>
      </c>
      <c r="L14" s="39" t="n">
        <f aca="false">MY_PH(L$2,$A14)</f>
        <v>0.00174879866840571</v>
      </c>
      <c r="M14" s="39" t="n">
        <f aca="false">MY_PH(M$2,$A14)</f>
        <v>0.00174881077364187</v>
      </c>
      <c r="N14" s="39" t="n">
        <f aca="false">MY_PH(N$2,$A14)</f>
        <v>0.00174882287900298</v>
      </c>
      <c r="O14" s="39" t="n">
        <f aca="false">MY_PH(O$2,$A14)</f>
        <v>0.001748834984489</v>
      </c>
      <c r="P14" s="39" t="n">
        <f aca="false">MY_PH(P$2,$A14)</f>
        <v>0.0017489560462202</v>
      </c>
      <c r="Q14" s="39" t="n">
        <f aca="false">MY_PH(Q$2,$A14)</f>
        <v>0.00174907712044541</v>
      </c>
      <c r="R14" s="39" t="n">
        <f aca="false">MY_PH(R$2,$A14)</f>
        <v>0.00174919820716654</v>
      </c>
      <c r="S14" s="39" t="n">
        <f aca="false">MY_PH(S$2,$A14)</f>
        <v>0.00174931930638542</v>
      </c>
      <c r="T14" s="39" t="n">
        <f aca="false">MY_PH(T$2,$A14)</f>
        <v>0.00174944041810389</v>
      </c>
      <c r="U14" s="39" t="n">
        <f aca="false">MY_PH(U$2,$A14)</f>
        <v>0.00174956154232382</v>
      </c>
      <c r="V14" s="39" t="n">
        <f aca="false">MY_PH(V$2,$A14)</f>
        <v>0.0017496826790471</v>
      </c>
      <c r="W14" s="39" t="n">
        <f aca="false">MY_PH(W$2,$A14)</f>
        <v>0.00174980382827555</v>
      </c>
      <c r="X14" s="39" t="n">
        <f aca="false">MY_PH(X$2,$A14)</f>
        <v>0.00174992499001103</v>
      </c>
      <c r="Y14" s="39" t="n">
        <f aca="false">MY_PH(Y$2,$A14)</f>
        <v>0.00175113729566215</v>
      </c>
      <c r="Z14" s="39" t="n">
        <f aca="false">MY_PH(Z$2,$A14)</f>
        <v>0.0017523508540639</v>
      </c>
      <c r="AA14" s="39" t="n">
        <f aca="false">MY_PH(AA$2,$A14)</f>
        <v>0.00175356566708065</v>
      </c>
      <c r="AB14" s="39" t="n">
        <f aca="false">MY_PH(AB$2,$A14)</f>
        <v>0.00175478173658019</v>
      </c>
      <c r="AC14" s="39" t="n">
        <f aca="false">MY_PH(AC$2,$A14)</f>
        <v>0.00175599906443402</v>
      </c>
      <c r="AD14" s="39" t="n">
        <f aca="false">MY_PH(AD$2,$A14)</f>
        <v>0.00175721765251743</v>
      </c>
      <c r="AE14" s="39" t="n">
        <f aca="false">MY_PH(AE$2,$A14)</f>
        <v>0.00175843750270911</v>
      </c>
      <c r="AF14" s="39" t="n">
        <f aca="false">MY_PH(AF$2,$A14)</f>
        <v>0.00175965861689161</v>
      </c>
      <c r="AG14" s="39" t="n">
        <f aca="false">MY_PH(AG$2,$A14)</f>
        <v>0.0017608809969511</v>
      </c>
      <c r="AH14" s="39" t="n">
        <f aca="false">MY_PH(AH$2,$A14)</f>
        <v>0.00177317483838331</v>
      </c>
      <c r="AI14" s="39" t="n">
        <f aca="false">MY_PH(AI$2,$A14)</f>
        <v>2015</v>
      </c>
      <c r="AJ14" s="39" t="n">
        <f aca="false">MY_PH(AJ$2,$A14)</f>
        <v>2015</v>
      </c>
      <c r="AK14" s="39" t="n">
        <f aca="false">MY_PH(AK$2,$A14)</f>
        <v>2015</v>
      </c>
      <c r="AL14" s="39" t="n">
        <f aca="false">MY_PH(AL$2,$A14)</f>
        <v>2015</v>
      </c>
      <c r="AM14" s="39" t="n">
        <f aca="false">MY_PH(AM$2,$A14)</f>
        <v>2015</v>
      </c>
      <c r="AN14" s="39" t="n">
        <f aca="false">MY_PH(AN$2,$A14)</f>
        <v>2015</v>
      </c>
      <c r="AO14" s="39" t="n">
        <f aca="false">MY_PH(AO$2,$A14)</f>
        <v>2015</v>
      </c>
      <c r="AP14" s="39" t="n">
        <f aca="false">MY_PH(AP$2,$A14)</f>
        <v>2015</v>
      </c>
      <c r="AQ14" s="39" t="n">
        <f aca="false">MY_PH(AQ$2,$A14)</f>
        <v>2015</v>
      </c>
      <c r="AR14" s="39" t="n">
        <f aca="false">MY_PH(AR$2,$A14)</f>
        <v>2015</v>
      </c>
      <c r="AS14" s="39" t="n">
        <f aca="false">MY_PH(AS$2,$A14)</f>
        <v>2015</v>
      </c>
    </row>
    <row r="15" customFormat="false" ht="13.8" hidden="false" customHeight="false" outlineLevel="0" collapsed="false">
      <c r="A15" s="0" t="n">
        <v>4</v>
      </c>
      <c r="B15" s="39" t="n">
        <f aca="false">MY_PH(B$2,$A15)</f>
        <v>2015</v>
      </c>
      <c r="C15" s="39" t="n">
        <f aca="false">MY_PH(C$2,$A15)</f>
        <v>0.0017345044908335</v>
      </c>
      <c r="D15" s="39" t="n">
        <f aca="false">MY_PH(D$2,$A15)</f>
        <v>0.00173450568600475</v>
      </c>
      <c r="E15" s="39" t="n">
        <f aca="false">MY_PH(E$2,$A15)</f>
        <v>0.00173450688117719</v>
      </c>
      <c r="F15" s="39" t="n">
        <f aca="false">MY_PH(F$2,$A15)</f>
        <v>0.00173450807635087</v>
      </c>
      <c r="G15" s="39" t="n">
        <f aca="false">MY_PH(G$2,$A15)</f>
        <v>0.00173452002815517</v>
      </c>
      <c r="H15" s="39" t="n">
        <f aca="false">MY_PH(H$2,$A15)</f>
        <v>0.00173453198008217</v>
      </c>
      <c r="I15" s="39" t="n">
        <f aca="false">MY_PH(I$2,$A15)</f>
        <v>0.00173454393213191</v>
      </c>
      <c r="J15" s="39" t="n">
        <f aca="false">MY_PH(J$2,$A15)</f>
        <v>0.00173455588430443</v>
      </c>
      <c r="K15" s="39" t="n">
        <f aca="false">MY_PH(K$2,$A15)</f>
        <v>0.00173456783659967</v>
      </c>
      <c r="L15" s="39" t="n">
        <f aca="false">MY_PH(L$2,$A15)</f>
        <v>0.00173457978901766</v>
      </c>
      <c r="M15" s="39" t="n">
        <f aca="false">MY_PH(M$2,$A15)</f>
        <v>0.00173459174155841</v>
      </c>
      <c r="N15" s="39" t="n">
        <f aca="false">MY_PH(N$2,$A15)</f>
        <v>0.0017346036942219</v>
      </c>
      <c r="O15" s="39" t="n">
        <f aca="false">MY_PH(O$2,$A15)</f>
        <v>0.00173461564700816</v>
      </c>
      <c r="P15" s="39" t="n">
        <f aca="false">MY_PH(P$2,$A15)</f>
        <v>0.00173473518162241</v>
      </c>
      <c r="Q15" s="39" t="n">
        <f aca="false">MY_PH(Q$2,$A15)</f>
        <v>0.00173485472851392</v>
      </c>
      <c r="R15" s="39" t="n">
        <f aca="false">MY_PH(R$2,$A15)</f>
        <v>0.00173497428768445</v>
      </c>
      <c r="S15" s="39" t="n">
        <f aca="false">MY_PH(S$2,$A15)</f>
        <v>0.00173509385913588</v>
      </c>
      <c r="T15" s="39" t="n">
        <f aca="false">MY_PH(T$2,$A15)</f>
        <v>0.00173521344286998</v>
      </c>
      <c r="U15" s="39" t="n">
        <f aca="false">MY_PH(U$2,$A15)</f>
        <v>0.00173533303888856</v>
      </c>
      <c r="V15" s="39" t="n">
        <f aca="false">MY_PH(V$2,$A15)</f>
        <v>0.00173545264719348</v>
      </c>
      <c r="W15" s="39" t="n">
        <f aca="false">MY_PH(W$2,$A15)</f>
        <v>0.00173557226778654</v>
      </c>
      <c r="X15" s="39" t="n">
        <f aca="false">MY_PH(X$2,$A15)</f>
        <v>0.00173569190066956</v>
      </c>
      <c r="Y15" s="39" t="n">
        <f aca="false">MY_PH(Y$2,$A15)</f>
        <v>0.00173688890584733</v>
      </c>
      <c r="Z15" s="39" t="n">
        <f aca="false">MY_PH(Z$2,$A15)</f>
        <v>0.00173808714202293</v>
      </c>
      <c r="AA15" s="39" t="n">
        <f aca="false">MY_PH(AA$2,$A15)</f>
        <v>0.00173928661102016</v>
      </c>
      <c r="AB15" s="39" t="n">
        <f aca="false">MY_PH(AB$2,$A15)</f>
        <v>0.00174048731466639</v>
      </c>
      <c r="AC15" s="39" t="n">
        <f aca="false">MY_PH(AC$2,$A15)</f>
        <v>0.00174168925479241</v>
      </c>
      <c r="AD15" s="39" t="n">
        <f aca="false">MY_PH(AD$2,$A15)</f>
        <v>0.00174289243323279</v>
      </c>
      <c r="AE15" s="39" t="n">
        <f aca="false">MY_PH(AE$2,$A15)</f>
        <v>0.0017440968518255</v>
      </c>
      <c r="AF15" s="39" t="n">
        <f aca="false">MY_PH(AF$2,$A15)</f>
        <v>0.00174530251241211</v>
      </c>
      <c r="AG15" s="39" t="n">
        <f aca="false">MY_PH(AG$2,$A15)</f>
        <v>0.00174650941683782</v>
      </c>
      <c r="AH15" s="39" t="n">
        <f aca="false">MY_PH(AH$2,$A15)</f>
        <v>0.00175864728076058</v>
      </c>
      <c r="AI15" s="39" t="n">
        <f aca="false">MY_PH(AI$2,$A15)</f>
        <v>0.0017709115851999</v>
      </c>
      <c r="AJ15" s="39" t="n">
        <f aca="false">MY_PH(AJ$2,$A15)</f>
        <v>2015</v>
      </c>
      <c r="AK15" s="39" t="n">
        <f aca="false">MY_PH(AK$2,$A15)</f>
        <v>2015</v>
      </c>
      <c r="AL15" s="39" t="n">
        <f aca="false">MY_PH(AL$2,$A15)</f>
        <v>2015</v>
      </c>
      <c r="AM15" s="39" t="n">
        <f aca="false">MY_PH(AM$2,$A15)</f>
        <v>2015</v>
      </c>
      <c r="AN15" s="39" t="n">
        <f aca="false">MY_PH(AN$2,$A15)</f>
        <v>2015</v>
      </c>
      <c r="AO15" s="39" t="n">
        <f aca="false">MY_PH(AO$2,$A15)</f>
        <v>2015</v>
      </c>
      <c r="AP15" s="39" t="n">
        <f aca="false">MY_PH(AP$2,$A15)</f>
        <v>2015</v>
      </c>
      <c r="AQ15" s="39" t="n">
        <f aca="false">MY_PH(AQ$2,$A15)</f>
        <v>2015</v>
      </c>
      <c r="AR15" s="39" t="n">
        <f aca="false">MY_PH(AR$2,$A15)</f>
        <v>2015</v>
      </c>
      <c r="AS15" s="39" t="n">
        <f aca="false">MY_PH(AS$2,$A15)</f>
        <v>2015</v>
      </c>
    </row>
    <row r="16" customFormat="false" ht="13.8" hidden="false" customHeight="false" outlineLevel="0" collapsed="false">
      <c r="A16" s="0" t="n">
        <v>5</v>
      </c>
      <c r="B16" s="39" t="n">
        <f aca="false">MY_PH(B$2,$A16)</f>
        <v>2015</v>
      </c>
      <c r="C16" s="39" t="n">
        <f aca="false">MY_PH(C$2,$A16)</f>
        <v>0.0017204695893912</v>
      </c>
      <c r="D16" s="39" t="n">
        <f aca="false">MY_PH(D$2,$A16)</f>
        <v>0.00172047076956088</v>
      </c>
      <c r="E16" s="39" t="n">
        <f aca="false">MY_PH(E$2,$A16)</f>
        <v>0.00172047194973179</v>
      </c>
      <c r="F16" s="39" t="n">
        <f aca="false">MY_PH(F$2,$A16)</f>
        <v>0.00172047312990389</v>
      </c>
      <c r="G16" s="39" t="n">
        <f aca="false">MY_PH(G$2,$A16)</f>
        <v>0.00172048493169124</v>
      </c>
      <c r="H16" s="39" t="n">
        <f aca="false">MY_PH(H$2,$A16)</f>
        <v>0.00172049673359919</v>
      </c>
      <c r="I16" s="39" t="n">
        <f aca="false">MY_PH(I$2,$A16)</f>
        <v>0.00172050853562777</v>
      </c>
      <c r="J16" s="39" t="n">
        <f aca="false">MY_PH(J$2,$A16)</f>
        <v>0.00172052033777695</v>
      </c>
      <c r="K16" s="39" t="n">
        <f aca="false">MY_PH(K$2,$A16)</f>
        <v>0.00172053214004677</v>
      </c>
      <c r="L16" s="39" t="n">
        <f aca="false">MY_PH(L$2,$A16)</f>
        <v>0.00172054394243724</v>
      </c>
      <c r="M16" s="39" t="n">
        <f aca="false">MY_PH(M$2,$A16)</f>
        <v>0.00172055574494833</v>
      </c>
      <c r="N16" s="39" t="n">
        <f aca="false">MY_PH(N$2,$A16)</f>
        <v>0.00172056754758006</v>
      </c>
      <c r="O16" s="39" t="n">
        <f aca="false">MY_PH(O$2,$A16)</f>
        <v>0.00172057935033239</v>
      </c>
      <c r="P16" s="39" t="n">
        <f aca="false">MY_PH(P$2,$A16)</f>
        <v>0.00172069738449098</v>
      </c>
      <c r="Q16" s="39" t="n">
        <f aca="false">MY_PH(Q$2,$A16)</f>
        <v>0.00172081543071475</v>
      </c>
      <c r="R16" s="39" t="n">
        <f aca="false">MY_PH(R$2,$A16)</f>
        <v>0.00172093348900546</v>
      </c>
      <c r="S16" s="39" t="n">
        <f aca="false">MY_PH(S$2,$A16)</f>
        <v>0.00172105155936489</v>
      </c>
      <c r="T16" s="39" t="n">
        <f aca="false">MY_PH(T$2,$A16)</f>
        <v>0.00172116964179485</v>
      </c>
      <c r="U16" s="39" t="n">
        <f aca="false">MY_PH(U$2,$A16)</f>
        <v>0.00172128773629709</v>
      </c>
      <c r="V16" s="39" t="n">
        <f aca="false">MY_PH(V$2,$A16)</f>
        <v>0.00172140584287336</v>
      </c>
      <c r="W16" s="39" t="n">
        <f aca="false">MY_PH(W$2,$A16)</f>
        <v>0.00172152396152547</v>
      </c>
      <c r="X16" s="39" t="n">
        <f aca="false">MY_PH(X$2,$A16)</f>
        <v>0.00172164209225522</v>
      </c>
      <c r="Y16" s="39" t="n">
        <f aca="false">MY_PH(Y$2,$A16)</f>
        <v>0.00172282406421293</v>
      </c>
      <c r="Z16" s="39" t="n">
        <f aca="false">MY_PH(Z$2,$A16)</f>
        <v>0.00172400724589129</v>
      </c>
      <c r="AA16" s="39" t="n">
        <f aca="false">MY_PH(AA$2,$A16)</f>
        <v>0.00172519163907467</v>
      </c>
      <c r="AB16" s="39" t="n">
        <f aca="false">MY_PH(AB$2,$A16)</f>
        <v>0.00172637724555093</v>
      </c>
      <c r="AC16" s="39" t="n">
        <f aca="false">MY_PH(AC$2,$A16)</f>
        <v>0.00172756406711139</v>
      </c>
      <c r="AD16" s="39" t="n">
        <f aca="false">MY_PH(AD$2,$A16)</f>
        <v>0.00172875210555082</v>
      </c>
      <c r="AE16" s="39" t="n">
        <f aca="false">MY_PH(AE$2,$A16)</f>
        <v>0.00172994136266743</v>
      </c>
      <c r="AF16" s="39" t="n">
        <f aca="false">MY_PH(AF$2,$A16)</f>
        <v>0.00173113184026303</v>
      </c>
      <c r="AG16" s="39" t="n">
        <f aca="false">MY_PH(AG$2,$A16)</f>
        <v>0.00173232354014284</v>
      </c>
      <c r="AH16" s="39" t="n">
        <f aca="false">MY_PH(AH$2,$A16)</f>
        <v>0.00174430816423349</v>
      </c>
      <c r="AI16" s="39" t="n">
        <f aca="false">MY_PH(AI$2,$A16)</f>
        <v>0.00175641702872977</v>
      </c>
      <c r="AJ16" s="39" t="n">
        <f aca="false">MY_PH(AJ$2,$A16)</f>
        <v>0.00176865199774699</v>
      </c>
      <c r="AK16" s="39" t="n">
        <f aca="false">MY_PH(AK$2,$A16)</f>
        <v>2015</v>
      </c>
      <c r="AL16" s="39" t="n">
        <f aca="false">MY_PH(AL$2,$A16)</f>
        <v>2015</v>
      </c>
      <c r="AM16" s="39" t="n">
        <f aca="false">MY_PH(AM$2,$A16)</f>
        <v>2015</v>
      </c>
      <c r="AN16" s="39" t="n">
        <f aca="false">MY_PH(AN$2,$A16)</f>
        <v>2015</v>
      </c>
      <c r="AO16" s="39" t="n">
        <f aca="false">MY_PH(AO$2,$A16)</f>
        <v>2015</v>
      </c>
      <c r="AP16" s="39" t="n">
        <f aca="false">MY_PH(AP$2,$A16)</f>
        <v>2015</v>
      </c>
      <c r="AQ16" s="39" t="n">
        <f aca="false">MY_PH(AQ$2,$A16)</f>
        <v>2015</v>
      </c>
      <c r="AR16" s="39" t="n">
        <f aca="false">MY_PH(AR$2,$A16)</f>
        <v>2015</v>
      </c>
      <c r="AS16" s="39" t="n">
        <f aca="false">MY_PH(AS$2,$A16)</f>
        <v>2015</v>
      </c>
    </row>
    <row r="17" customFormat="false" ht="13.8" hidden="false" customHeight="false" outlineLevel="0" collapsed="false">
      <c r="A17" s="0" t="n">
        <v>6</v>
      </c>
      <c r="B17" s="39" t="n">
        <f aca="false">MY_PH(B$2,$A17)</f>
        <v>2015</v>
      </c>
      <c r="C17" s="39" t="n">
        <f aca="false">MY_PH(C$2,$A17)</f>
        <v>0.00170661453236133</v>
      </c>
      <c r="D17" s="39" t="n">
        <f aca="false">MY_PH(D$2,$A17)</f>
        <v>0.00170661569779023</v>
      </c>
      <c r="E17" s="39" t="n">
        <f aca="false">MY_PH(E$2,$A17)</f>
        <v>0.00170661686322035</v>
      </c>
      <c r="F17" s="39" t="n">
        <f aca="false">MY_PH(F$2,$A17)</f>
        <v>0.0017066180286516</v>
      </c>
      <c r="G17" s="39" t="n">
        <f aca="false">MY_PH(G$2,$A17)</f>
        <v>0.00170662968302953</v>
      </c>
      <c r="H17" s="39" t="n">
        <f aca="false">MY_PH(H$2,$A17)</f>
        <v>0.00170664133752599</v>
      </c>
      <c r="I17" s="39" t="n">
        <f aca="false">MY_PH(I$2,$A17)</f>
        <v>0.00170665299214099</v>
      </c>
      <c r="J17" s="39" t="n">
        <f aca="false">MY_PH(J$2,$A17)</f>
        <v>0.00170666464687456</v>
      </c>
      <c r="K17" s="39" t="n">
        <f aca="false">MY_PH(K$2,$A17)</f>
        <v>0.00170667630172671</v>
      </c>
      <c r="L17" s="39" t="n">
        <f aca="false">MY_PH(L$2,$A17)</f>
        <v>0.00170668795669735</v>
      </c>
      <c r="M17" s="39" t="n">
        <f aca="false">MY_PH(M$2,$A17)</f>
        <v>0.00170669961178656</v>
      </c>
      <c r="N17" s="39" t="n">
        <f aca="false">MY_PH(N$2,$A17)</f>
        <v>0.00170671126699436</v>
      </c>
      <c r="O17" s="39" t="n">
        <f aca="false">MY_PH(O$2,$A17)</f>
        <v>0.00170672292232067</v>
      </c>
      <c r="P17" s="39" t="n">
        <f aca="false">MY_PH(P$2,$A17)</f>
        <v>0.00170683948210512</v>
      </c>
      <c r="Q17" s="39" t="n">
        <f aca="false">MY_PH(Q$2,$A17)</f>
        <v>0.0017069560537473</v>
      </c>
      <c r="R17" s="39" t="n">
        <f aca="false">MY_PH(R$2,$A17)</f>
        <v>0.00170707263724891</v>
      </c>
      <c r="S17" s="39" t="n">
        <f aca="false">MY_PH(S$2,$A17)</f>
        <v>0.00170718923261173</v>
      </c>
      <c r="T17" s="39" t="n">
        <f aca="false">MY_PH(T$2,$A17)</f>
        <v>0.00170730583983747</v>
      </c>
      <c r="U17" s="39" t="n">
        <f aca="false">MY_PH(U$2,$A17)</f>
        <v>0.00170742245892791</v>
      </c>
      <c r="V17" s="39" t="n">
        <f aca="false">MY_PH(V$2,$A17)</f>
        <v>0.00170753908988477</v>
      </c>
      <c r="W17" s="39" t="n">
        <f aca="false">MY_PH(W$2,$A17)</f>
        <v>0.00170765573270981</v>
      </c>
      <c r="X17" s="39" t="n">
        <f aca="false">MY_PH(X$2,$A17)</f>
        <v>0.00170777238740469</v>
      </c>
      <c r="Y17" s="39" t="n">
        <f aca="false">MY_PH(Y$2,$A17)</f>
        <v>0.00170893958758133</v>
      </c>
      <c r="Z17" s="39" t="n">
        <f aca="false">MY_PH(Z$2,$A17)</f>
        <v>0.00171010797666476</v>
      </c>
      <c r="AA17" s="39" t="n">
        <f aca="false">MY_PH(AA$2,$A17)</f>
        <v>0.001711277556401</v>
      </c>
      <c r="AB17" s="39" t="n">
        <f aca="false">MY_PH(AB$2,$A17)</f>
        <v>0.00171244832853942</v>
      </c>
      <c r="AC17" s="39" t="n">
        <f aca="false">MY_PH(AC$2,$A17)</f>
        <v>0.00171362029483276</v>
      </c>
      <c r="AD17" s="39" t="n">
        <f aca="false">MY_PH(AD$2,$A17)</f>
        <v>0.0017147934570371</v>
      </c>
      <c r="AE17" s="39" t="n">
        <f aca="false">MY_PH(AE$2,$A17)</f>
        <v>0.00171596781691199</v>
      </c>
      <c r="AF17" s="39" t="n">
        <f aca="false">MY_PH(AF$2,$A17)</f>
        <v>0.00171714337622032</v>
      </c>
      <c r="AG17" s="39" t="n">
        <f aca="false">MY_PH(AG$2,$A17)</f>
        <v>0.00171832013672841</v>
      </c>
      <c r="AH17" s="39" t="n">
        <f aca="false">MY_PH(AH$2,$A17)</f>
        <v>0.00173015419883184</v>
      </c>
      <c r="AI17" s="39" t="n">
        <f aca="false">MY_PH(AI$2,$A17)</f>
        <v>0.00174211034942178</v>
      </c>
      <c r="AJ17" s="39" t="n">
        <f aca="false">MY_PH(AJ$2,$A17)</f>
        <v>0.00175419041220473</v>
      </c>
      <c r="AK17" s="39" t="n">
        <f aca="false">MY_PH(AK$2,$A17)</f>
        <v>0.00176639624668669</v>
      </c>
      <c r="AL17" s="39" t="n">
        <f aca="false">MY_PH(AL$2,$A17)</f>
        <v>2015</v>
      </c>
      <c r="AM17" s="39" t="n">
        <f aca="false">MY_PH(AM$2,$A17)</f>
        <v>2015</v>
      </c>
      <c r="AN17" s="39" t="n">
        <f aca="false">MY_PH(AN$2,$A17)</f>
        <v>2015</v>
      </c>
      <c r="AO17" s="39" t="n">
        <f aca="false">MY_PH(AO$2,$A17)</f>
        <v>2015</v>
      </c>
      <c r="AP17" s="39" t="n">
        <f aca="false">MY_PH(AP$2,$A17)</f>
        <v>2015</v>
      </c>
      <c r="AQ17" s="39" t="n">
        <f aca="false">MY_PH(AQ$2,$A17)</f>
        <v>2015</v>
      </c>
      <c r="AR17" s="39" t="n">
        <f aca="false">MY_PH(AR$2,$A17)</f>
        <v>2015</v>
      </c>
      <c r="AS17" s="39" t="n">
        <f aca="false">MY_PH(AS$2,$A17)</f>
        <v>2015</v>
      </c>
    </row>
    <row r="18" customFormat="false" ht="13.8" hidden="false" customHeight="false" outlineLevel="0" collapsed="false">
      <c r="A18" s="0" t="n">
        <v>7</v>
      </c>
      <c r="B18" s="39" t="n">
        <f aca="false">MY_PH(B$2,$A18)</f>
        <v>2015</v>
      </c>
      <c r="C18" s="39" t="n">
        <f aca="false">MY_PH(C$2,$A18)</f>
        <v>0.00169293621634838</v>
      </c>
      <c r="D18" s="39" t="n">
        <f aca="false">MY_PH(D$2,$A18)</f>
        <v>0.00169293736729159</v>
      </c>
      <c r="E18" s="39" t="n">
        <f aca="false">MY_PH(E$2,$A18)</f>
        <v>0.00169293851823598</v>
      </c>
      <c r="F18" s="39" t="n">
        <f aca="false">MY_PH(F$2,$A18)</f>
        <v>0.00169293966918153</v>
      </c>
      <c r="G18" s="39" t="n">
        <f aca="false">MY_PH(G$2,$A18)</f>
        <v>0.0016929511787011</v>
      </c>
      <c r="H18" s="39" t="n">
        <f aca="false">MY_PH(H$2,$A18)</f>
        <v>0.0016929626883372</v>
      </c>
      <c r="I18" s="39" t="n">
        <f aca="false">MY_PH(I$2,$A18)</f>
        <v>0.00169297419808976</v>
      </c>
      <c r="J18" s="39" t="n">
        <f aca="false">MY_PH(J$2,$A18)</f>
        <v>0.00169298570795891</v>
      </c>
      <c r="K18" s="39" t="n">
        <f aca="false">MY_PH(K$2,$A18)</f>
        <v>0.00169299721794452</v>
      </c>
      <c r="L18" s="39" t="n">
        <f aca="false">MY_PH(L$2,$A18)</f>
        <v>0.00169300872804667</v>
      </c>
      <c r="M18" s="39" t="n">
        <f aca="false">MY_PH(M$2,$A18)</f>
        <v>0.00169302023826537</v>
      </c>
      <c r="N18" s="39" t="n">
        <f aca="false">MY_PH(N$2,$A18)</f>
        <v>0.00169303174860057</v>
      </c>
      <c r="O18" s="39" t="n">
        <f aca="false">MY_PH(O$2,$A18)</f>
        <v>0.00169304325905233</v>
      </c>
      <c r="P18" s="39" t="n">
        <f aca="false">MY_PH(P$2,$A18)</f>
        <v>0.00169315836997924</v>
      </c>
      <c r="Q18" s="39" t="n">
        <f aca="false">MY_PH(Q$2,$A18)</f>
        <v>0.00169327349256092</v>
      </c>
      <c r="R18" s="39" t="n">
        <f aca="false">MY_PH(R$2,$A18)</f>
        <v>0.0016933886267991</v>
      </c>
      <c r="S18" s="39" t="n">
        <f aca="false">MY_PH(S$2,$A18)</f>
        <v>0.00169350377269538</v>
      </c>
      <c r="T18" s="39" t="n">
        <f aca="false">MY_PH(T$2,$A18)</f>
        <v>0.00169361893025161</v>
      </c>
      <c r="U18" s="39" t="n">
        <f aca="false">MY_PH(U$2,$A18)</f>
        <v>0.00169373409946937</v>
      </c>
      <c r="V18" s="39" t="n">
        <f aca="false">MY_PH(V$2,$A18)</f>
        <v>0.00169384928035039</v>
      </c>
      <c r="W18" s="39" t="n">
        <f aca="false">MY_PH(W$2,$A18)</f>
        <v>0.00169396447289645</v>
      </c>
      <c r="X18" s="39" t="n">
        <f aca="false">MY_PH(X$2,$A18)</f>
        <v>0.00169407967710916</v>
      </c>
      <c r="Y18" s="39" t="n">
        <f aca="false">MY_PH(Y$2,$A18)</f>
        <v>0.00169523236127891</v>
      </c>
      <c r="Z18" s="39" t="n">
        <f aca="false">MY_PH(Z$2,$A18)</f>
        <v>0.00169638621399303</v>
      </c>
      <c r="AA18" s="39" t="n">
        <f aca="false">MY_PH(AA$2,$A18)</f>
        <v>0.00169754123696016</v>
      </c>
      <c r="AB18" s="39" t="n">
        <f aca="false">MY_PH(AB$2,$A18)</f>
        <v>0.00169869743189212</v>
      </c>
      <c r="AC18" s="39" t="n">
        <f aca="false">MY_PH(AC$2,$A18)</f>
        <v>0.00169985480050407</v>
      </c>
      <c r="AD18" s="39" t="n">
        <f aca="false">MY_PH(AD$2,$A18)</f>
        <v>0.00170101334451446</v>
      </c>
      <c r="AE18" s="39" t="n">
        <f aca="false">MY_PH(AE$2,$A18)</f>
        <v>0.00170217306564499</v>
      </c>
      <c r="AF18" s="39" t="n">
        <f aca="false">MY_PH(AF$2,$A18)</f>
        <v>0.00170333396562081</v>
      </c>
      <c r="AG18" s="39" t="n">
        <f aca="false">MY_PH(AG$2,$A18)</f>
        <v>0.00170449604617022</v>
      </c>
      <c r="AH18" s="39" t="n">
        <f aca="false">MY_PH(AH$2,$A18)</f>
        <v>0.00171618216584446</v>
      </c>
      <c r="AI18" s="39" t="n">
        <f aca="false">MY_PH(AI$2,$A18)</f>
        <v>0.00172798826902865</v>
      </c>
      <c r="AJ18" s="39" t="n">
        <f aca="false">MY_PH(AJ$2,$A18)</f>
        <v>0.00173991614005626</v>
      </c>
      <c r="AK18" s="39" t="n">
        <f aca="false">MY_PH(AK$2,$A18)</f>
        <v>0.00175196759815606</v>
      </c>
      <c r="AL18" s="39" t="n">
        <f aca="false">MY_PH(AL$2,$A18)</f>
        <v>0.00176414449826089</v>
      </c>
      <c r="AM18" s="39" t="n">
        <f aca="false">MY_PH(AM$2,$A18)</f>
        <v>2015</v>
      </c>
      <c r="AN18" s="39" t="n">
        <f aca="false">MY_PH(AN$2,$A18)</f>
        <v>2015</v>
      </c>
      <c r="AO18" s="39" t="n">
        <f aca="false">MY_PH(AO$2,$A18)</f>
        <v>2015</v>
      </c>
      <c r="AP18" s="39" t="n">
        <f aca="false">MY_PH(AP$2,$A18)</f>
        <v>2015</v>
      </c>
      <c r="AQ18" s="39" t="n">
        <f aca="false">MY_PH(AQ$2,$A18)</f>
        <v>2015</v>
      </c>
      <c r="AR18" s="39" t="n">
        <f aca="false">MY_PH(AR$2,$A18)</f>
        <v>2015</v>
      </c>
      <c r="AS18" s="39" t="n">
        <f aca="false">MY_PH(AS$2,$A18)</f>
        <v>2015</v>
      </c>
    </row>
    <row r="19" customFormat="false" ht="13.8" hidden="false" customHeight="false" outlineLevel="0" collapsed="false">
      <c r="A19" s="0" t="n">
        <v>8</v>
      </c>
      <c r="B19" s="39" t="n">
        <f aca="false">MY_PH(B$2,$A19)</f>
        <v>2015</v>
      </c>
      <c r="C19" s="39" t="n">
        <f aca="false">MY_PH(C$2,$A19)</f>
        <v>0.00167943160442832</v>
      </c>
      <c r="D19" s="39" t="n">
        <f aca="false">MY_PH(D$2,$A19)</f>
        <v>0.00167943274113546</v>
      </c>
      <c r="E19" s="39" t="n">
        <f aca="false">MY_PH(E$2,$A19)</f>
        <v>0.00167943387784373</v>
      </c>
      <c r="F19" s="39" t="n">
        <f aca="false">MY_PH(F$2,$A19)</f>
        <v>0.00167943501455317</v>
      </c>
      <c r="G19" s="39" t="n">
        <f aca="false">MY_PH(G$2,$A19)</f>
        <v>0.00167944638171039</v>
      </c>
      <c r="H19" s="39" t="n">
        <f aca="false">MY_PH(H$2,$A19)</f>
        <v>0.00167945774898216</v>
      </c>
      <c r="I19" s="39" t="n">
        <f aca="false">MY_PH(I$2,$A19)</f>
        <v>0.00167946911636847</v>
      </c>
      <c r="J19" s="39" t="n">
        <f aca="false">MY_PH(J$2,$A19)</f>
        <v>0.00167948048386927</v>
      </c>
      <c r="K19" s="39" t="n">
        <f aca="false">MY_PH(K$2,$A19)</f>
        <v>0.00167949185148465</v>
      </c>
      <c r="L19" s="39" t="n">
        <f aca="false">MY_PH(L$2,$A19)</f>
        <v>0.00167950321921456</v>
      </c>
      <c r="M19" s="39" t="n">
        <f aca="false">MY_PH(M$2,$A19)</f>
        <v>0.001679514587059</v>
      </c>
      <c r="N19" s="39" t="n">
        <f aca="false">MY_PH(N$2,$A19)</f>
        <v>0.00167952595501798</v>
      </c>
      <c r="O19" s="39" t="n">
        <f aca="false">MY_PH(O$2,$A19)</f>
        <v>0.00167953732309153</v>
      </c>
      <c r="P19" s="39" t="n">
        <f aca="false">MY_PH(P$2,$A19)</f>
        <v>0.00167965101012714</v>
      </c>
      <c r="Q19" s="39" t="n">
        <f aca="false">MY_PH(Q$2,$A19)</f>
        <v>0.00167976470861894</v>
      </c>
      <c r="R19" s="39" t="n">
        <f aca="false">MY_PH(R$2,$A19)</f>
        <v>0.00167987841856862</v>
      </c>
      <c r="S19" s="39" t="n">
        <f aca="false">MY_PH(S$2,$A19)</f>
        <v>0.00167999213997781</v>
      </c>
      <c r="T19" s="39" t="n">
        <f aca="false">MY_PH(T$2,$A19)</f>
        <v>0.00168010587284821</v>
      </c>
      <c r="U19" s="39" t="n">
        <f aca="false">MY_PH(U$2,$A19)</f>
        <v>0.00168021961718145</v>
      </c>
      <c r="V19" s="39" t="n">
        <f aca="false">MY_PH(V$2,$A19)</f>
        <v>0.00168033337297921</v>
      </c>
      <c r="W19" s="39" t="n">
        <f aca="false">MY_PH(W$2,$A19)</f>
        <v>0.00168044714024319</v>
      </c>
      <c r="X19" s="39" t="n">
        <f aca="false">MY_PH(X$2,$A19)</f>
        <v>0.00168056091897502</v>
      </c>
      <c r="Y19" s="39" t="n">
        <f aca="false">MY_PH(Y$2,$A19)</f>
        <v>0.00168169933739247</v>
      </c>
      <c r="Z19" s="39" t="n">
        <f aca="false">MY_PH(Z$2,$A19)</f>
        <v>0.00168283890443174</v>
      </c>
      <c r="AA19" s="39" t="n">
        <f aca="false">MY_PH(AA$2,$A19)</f>
        <v>0.00168397962176487</v>
      </c>
      <c r="AB19" s="39" t="n">
        <f aca="false">MY_PH(AB$2,$A19)</f>
        <v>0.00168512149106725</v>
      </c>
      <c r="AC19" s="39" t="n">
        <f aca="false">MY_PH(AC$2,$A19)</f>
        <v>0.00168626451401737</v>
      </c>
      <c r="AD19" s="39" t="n">
        <f aca="false">MY_PH(AD$2,$A19)</f>
        <v>0.00168740869229695</v>
      </c>
      <c r="AE19" s="39" t="n">
        <f aca="false">MY_PH(AE$2,$A19)</f>
        <v>0.00168855402759096</v>
      </c>
      <c r="AF19" s="39" t="n">
        <f aca="false">MY_PH(AF$2,$A19)</f>
        <v>0.00168970052158754</v>
      </c>
      <c r="AG19" s="39" t="n">
        <f aca="false">MY_PH(AG$2,$A19)</f>
        <v>0.00169084817597815</v>
      </c>
      <c r="AH19" s="39" t="n">
        <f aca="false">MY_PH(AH$2,$A19)</f>
        <v>0.001702388915994</v>
      </c>
      <c r="AI19" s="39" t="n">
        <f aca="false">MY_PH(AI$2,$A19)</f>
        <v>0.00171404758027365</v>
      </c>
      <c r="AJ19" s="39" t="n">
        <f aca="false">MY_PH(AJ$2,$A19)</f>
        <v>0.0017258259147831</v>
      </c>
      <c r="AK19" s="39" t="n">
        <f aca="false">MY_PH(AK$2,$A19)</f>
        <v>0.00173772569950515</v>
      </c>
      <c r="AL19" s="39" t="n">
        <f aca="false">MY_PH(AL$2,$A19)</f>
        <v>0.00174974874922558</v>
      </c>
      <c r="AM19" s="39" t="n">
        <f aca="false">MY_PH(AM$2,$A19)</f>
        <v>0.00176189691433996</v>
      </c>
      <c r="AN19" s="39" t="n">
        <f aca="false">MY_PH(AN$2,$A19)</f>
        <v>2015</v>
      </c>
      <c r="AO19" s="39" t="n">
        <f aca="false">MY_PH(AO$2,$A19)</f>
        <v>2015</v>
      </c>
      <c r="AP19" s="39" t="n">
        <f aca="false">MY_PH(AP$2,$A19)</f>
        <v>2015</v>
      </c>
      <c r="AQ19" s="39" t="n">
        <f aca="false">MY_PH(AQ$2,$A19)</f>
        <v>2015</v>
      </c>
      <c r="AR19" s="39" t="n">
        <f aca="false">MY_PH(AR$2,$A19)</f>
        <v>2015</v>
      </c>
      <c r="AS19" s="39" t="n">
        <f aca="false">MY_PH(AS$2,$A19)</f>
        <v>2015</v>
      </c>
    </row>
    <row r="20" customFormat="false" ht="13.8" hidden="false" customHeight="false" outlineLevel="0" collapsed="false">
      <c r="A20" s="0" t="n">
        <v>9</v>
      </c>
      <c r="B20" s="39" t="n">
        <f aca="false">MY_PH(B$2,$A20)</f>
        <v>2015</v>
      </c>
      <c r="C20" s="39" t="n">
        <f aca="false">MY_PH(C$2,$A20)</f>
        <v>2015</v>
      </c>
      <c r="D20" s="39" t="n">
        <f aca="false">MY_PH(D$2,$A20)</f>
        <v>0.00166609884718005</v>
      </c>
      <c r="E20" s="39" t="n">
        <f aca="false">MY_PH(E$2,$A20)</f>
        <v>0.00166609996989646</v>
      </c>
      <c r="F20" s="39" t="n">
        <f aca="false">MY_PH(F$2,$A20)</f>
        <v>0.00166610109261402</v>
      </c>
      <c r="G20" s="39" t="n">
        <f aca="false">MY_PH(G$2,$A20)</f>
        <v>0.0016661123198513</v>
      </c>
      <c r="H20" s="39" t="n">
        <f aca="false">MY_PH(H$2,$A20)</f>
        <v>0.00166612354720121</v>
      </c>
      <c r="I20" s="39" t="n">
        <f aca="false">MY_PH(I$2,$A20)</f>
        <v>0.0016661347746637</v>
      </c>
      <c r="J20" s="39" t="n">
        <f aca="false">MY_PH(J$2,$A20)</f>
        <v>0.0016661460022388</v>
      </c>
      <c r="K20" s="39" t="n">
        <f aca="false">MY_PH(K$2,$A20)</f>
        <v>0.00166615722992647</v>
      </c>
      <c r="L20" s="39" t="n">
        <f aca="false">MY_PH(L$2,$A20)</f>
        <v>0.00166616845772675</v>
      </c>
      <c r="M20" s="39" t="n">
        <f aca="false">MY_PH(M$2,$A20)</f>
        <v>0.00166617968563964</v>
      </c>
      <c r="N20" s="39" t="n">
        <f aca="false">MY_PH(N$2,$A20)</f>
        <v>0.00166619091366511</v>
      </c>
      <c r="O20" s="39" t="n">
        <f aca="false">MY_PH(O$2,$A20)</f>
        <v>0.00166620214180318</v>
      </c>
      <c r="P20" s="39" t="n">
        <f aca="false">MY_PH(P$2,$A20)</f>
        <v>0.00166631442937735</v>
      </c>
      <c r="Q20" s="39" t="n">
        <f aca="false">MY_PH(Q$2,$A20)</f>
        <v>0.00166642672821341</v>
      </c>
      <c r="R20" s="39" t="n">
        <f aca="false">MY_PH(R$2,$A20)</f>
        <v>0.001666539038313</v>
      </c>
      <c r="S20" s="39" t="n">
        <f aca="false">MY_PH(S$2,$A20)</f>
        <v>0.00166665135967774</v>
      </c>
      <c r="T20" s="39" t="n">
        <f aca="false">MY_PH(T$2,$A20)</f>
        <v>0.0016667636923093</v>
      </c>
      <c r="U20" s="39" t="n">
        <f aca="false">MY_PH(U$2,$A20)</f>
        <v>0.00166687603620923</v>
      </c>
      <c r="V20" s="39" t="n">
        <f aca="false">MY_PH(V$2,$A20)</f>
        <v>0.00166698839137923</v>
      </c>
      <c r="W20" s="39" t="n">
        <f aca="false">MY_PH(W$2,$A20)</f>
        <v>0.00166710075782089</v>
      </c>
      <c r="X20" s="39" t="n">
        <f aca="false">MY_PH(X$2,$A20)</f>
        <v>0.00166721313553588</v>
      </c>
      <c r="Y20" s="39" t="n">
        <f aca="false">MY_PH(Y$2,$A20)</f>
        <v>0.00166833753307678</v>
      </c>
      <c r="Z20" s="39" t="n">
        <f aca="false">MY_PH(Z$2,$A20)</f>
        <v>0.00166946305974545</v>
      </c>
      <c r="AA20" s="39" t="n">
        <f aca="false">MY_PH(AA$2,$A20)</f>
        <v>0.00167058971717846</v>
      </c>
      <c r="AB20" s="39" t="n">
        <f aca="false">MY_PH(AB$2,$A20)</f>
        <v>0.00167171750701554</v>
      </c>
      <c r="AC20" s="39" t="n">
        <f aca="false">MY_PH(AC$2,$A20)</f>
        <v>0.00167284643089939</v>
      </c>
      <c r="AD20" s="39" t="n">
        <f aca="false">MY_PH(AD$2,$A20)</f>
        <v>0.00167397649047605</v>
      </c>
      <c r="AE20" s="39" t="n">
        <f aca="false">MY_PH(AE$2,$A20)</f>
        <v>0.00167510768739457</v>
      </c>
      <c r="AF20" s="39" t="n">
        <f aca="false">MY_PH(AF$2,$A20)</f>
        <v>0.00167624002330716</v>
      </c>
      <c r="AG20" s="39" t="n">
        <f aca="false">MY_PH(AG$2,$A20)</f>
        <v>0.00167737349986924</v>
      </c>
      <c r="AH20" s="39" t="n">
        <f aca="false">MY_PH(AH$2,$A20)</f>
        <v>0.00168877136766567</v>
      </c>
      <c r="AI20" s="39" t="n">
        <f aca="false">MY_PH(AI$2,$A20)</f>
        <v>0.00170028514503409</v>
      </c>
      <c r="AJ20" s="39" t="n">
        <f aca="false">MY_PH(AJ$2,$A20)</f>
        <v>0.00171191654054889</v>
      </c>
      <c r="AK20" s="39" t="n">
        <f aca="false">MY_PH(AK$2,$A20)</f>
        <v>0.0017236672959481</v>
      </c>
      <c r="AL20" s="39" t="n">
        <f aca="false">MY_PH(AL$2,$A20)</f>
        <v>0.00173553918689751</v>
      </c>
      <c r="AM20" s="39" t="n">
        <f aca="false">MY_PH(AM$2,$A20)</f>
        <v>0.00174753402377439</v>
      </c>
      <c r="AN20" s="39" t="n">
        <f aca="false">MY_PH(AN$2,$A20)</f>
        <v>0.00175965365247167</v>
      </c>
      <c r="AO20" s="39" t="n">
        <f aca="false">MY_PH(AO$2,$A20)</f>
        <v>2015</v>
      </c>
      <c r="AP20" s="39" t="n">
        <f aca="false">MY_PH(AP$2,$A20)</f>
        <v>2015</v>
      </c>
      <c r="AQ20" s="39" t="n">
        <f aca="false">MY_PH(AQ$2,$A20)</f>
        <v>2015</v>
      </c>
      <c r="AR20" s="39" t="n">
        <f aca="false">MY_PH(AR$2,$A20)</f>
        <v>2015</v>
      </c>
      <c r="AS20" s="39" t="n">
        <f aca="false">MY_PH(AS$2,$A20)</f>
        <v>2015</v>
      </c>
    </row>
    <row r="21" customFormat="false" ht="13.8" hidden="false" customHeight="false" outlineLevel="0" collapsed="false">
      <c r="A21" s="0" t="n">
        <v>10</v>
      </c>
      <c r="B21" s="39" t="n">
        <f aca="false">MY_PH(B$2,$A21)</f>
        <v>2015</v>
      </c>
      <c r="C21" s="39" t="n">
        <f aca="false">MY_PH(C$2,$A21)</f>
        <v>2015</v>
      </c>
      <c r="D21" s="39" t="n">
        <f aca="false">MY_PH(D$2,$A21)</f>
        <v>0.00165293277643625</v>
      </c>
      <c r="E21" s="39" t="n">
        <f aca="false">MY_PH(E$2,$A21)</f>
        <v>0.00165293388539981</v>
      </c>
      <c r="F21" s="39" t="n">
        <f aca="false">MY_PH(F$2,$A21)</f>
        <v>0.00165293499436448</v>
      </c>
      <c r="G21" s="39" t="n">
        <f aca="false">MY_PH(G$2,$A21)</f>
        <v>0.00165294608407202</v>
      </c>
      <c r="H21" s="39" t="n">
        <f aca="false">MY_PH(H$2,$A21)</f>
        <v>0.00165295717389027</v>
      </c>
      <c r="I21" s="39" t="n">
        <f aca="false">MY_PH(I$2,$A21)</f>
        <v>0.00165296826381919</v>
      </c>
      <c r="J21" s="39" t="n">
        <f aca="false">MY_PH(J$2,$A21)</f>
        <v>0.00165297935385881</v>
      </c>
      <c r="K21" s="39" t="n">
        <f aca="false">MY_PH(K$2,$A21)</f>
        <v>0.00165299044400912</v>
      </c>
      <c r="L21" s="39" t="n">
        <f aca="false">MY_PH(L$2,$A21)</f>
        <v>0.00165300153427012</v>
      </c>
      <c r="M21" s="39" t="n">
        <f aca="false">MY_PH(M$2,$A21)</f>
        <v>0.0016530126246418</v>
      </c>
      <c r="N21" s="39" t="n">
        <f aca="false">MY_PH(N$2,$A21)</f>
        <v>0.00165302371512421</v>
      </c>
      <c r="O21" s="39" t="n">
        <f aca="false">MY_PH(O$2,$A21)</f>
        <v>0.00165303480571734</v>
      </c>
      <c r="P21" s="39" t="n">
        <f aca="false">MY_PH(P$2,$A21)</f>
        <v>0.00165314571773718</v>
      </c>
      <c r="Q21" s="39" t="n">
        <f aca="false">MY_PH(Q$2,$A21)</f>
        <v>0.00165325664082879</v>
      </c>
      <c r="R21" s="39" t="n">
        <f aca="false">MY_PH(R$2,$A21)</f>
        <v>0.00165336757499376</v>
      </c>
      <c r="S21" s="39" t="n">
        <f aca="false">MY_PH(S$2,$A21)</f>
        <v>0.00165347852023367</v>
      </c>
      <c r="T21" s="39" t="n">
        <f aca="false">MY_PH(T$2,$A21)</f>
        <v>0.00165358947655007</v>
      </c>
      <c r="U21" s="39" t="n">
        <f aca="false">MY_PH(U$2,$A21)</f>
        <v>0.00165370044394468</v>
      </c>
      <c r="V21" s="39" t="n">
        <f aca="false">MY_PH(V$2,$A21)</f>
        <v>0.00165381142241898</v>
      </c>
      <c r="W21" s="39" t="n">
        <f aca="false">MY_PH(W$2,$A21)</f>
        <v>0.00165392241197464</v>
      </c>
      <c r="X21" s="39" t="n">
        <f aca="false">MY_PH(X$2,$A21)</f>
        <v>0.00165403341261319</v>
      </c>
      <c r="Y21" s="39" t="n">
        <f aca="false">MY_PH(Y$2,$A21)</f>
        <v>0.00165514402891126</v>
      </c>
      <c r="Z21" s="39" t="n">
        <f aca="false">MY_PH(Z$2,$A21)</f>
        <v>0.00165625575526076</v>
      </c>
      <c r="AA21" s="39" t="n">
        <f aca="false">MY_PH(AA$2,$A21)</f>
        <v>0.00165736859326351</v>
      </c>
      <c r="AB21" s="39" t="n">
        <f aca="false">MY_PH(AB$2,$A21)</f>
        <v>0.00165848254452454</v>
      </c>
      <c r="AC21" s="39" t="n">
        <f aca="false">MY_PH(AC$2,$A21)</f>
        <v>0.00165959761065187</v>
      </c>
      <c r="AD21" s="39" t="n">
        <f aca="false">MY_PH(AD$2,$A21)</f>
        <v>0.00166071379325647</v>
      </c>
      <c r="AE21" s="39" t="n">
        <f aca="false">MY_PH(AE$2,$A21)</f>
        <v>0.00166183109395256</v>
      </c>
      <c r="AF21" s="39" t="n">
        <f aca="false">MY_PH(AF$2,$A21)</f>
        <v>0.00166294951435722</v>
      </c>
      <c r="AG21" s="39" t="n">
        <f aca="false">MY_PH(AG$2,$A21)</f>
        <v>0.00166406905609077</v>
      </c>
      <c r="AH21" s="39" t="n">
        <f aca="false">MY_PH(AH$2,$A21)</f>
        <v>0.00167532650518767</v>
      </c>
      <c r="AI21" s="39" t="n">
        <f aca="false">MY_PH(AI$2,$A21)</f>
        <v>0.00168669789257746</v>
      </c>
      <c r="AJ21" s="39" t="n">
        <f aca="false">MY_PH(AJ$2,$A21)</f>
        <v>0.00169818489039041</v>
      </c>
      <c r="AK21" s="39" t="n">
        <f aca="false">MY_PH(AK$2,$A21)</f>
        <v>0.0017097892030918</v>
      </c>
      <c r="AL21" s="39" t="n">
        <f aca="false">MY_PH(AL$2,$A21)</f>
        <v>0.00172151256822432</v>
      </c>
      <c r="AM21" s="39" t="n">
        <f aca="false">MY_PH(AM$2,$A21)</f>
        <v>0.00173335675716983</v>
      </c>
      <c r="AN21" s="39" t="n">
        <f aca="false">MY_PH(AN$2,$A21)</f>
        <v>0.0017453235759305</v>
      </c>
      <c r="AO21" s="39" t="n">
        <f aca="false">MY_PH(AO$2,$A21)</f>
        <v>0.00175741486593038</v>
      </c>
      <c r="AP21" s="39" t="n">
        <f aca="false">MY_PH(AP$2,$A21)</f>
        <v>2015</v>
      </c>
      <c r="AQ21" s="39" t="n">
        <f aca="false">MY_PH(AQ$2,$A21)</f>
        <v>2015</v>
      </c>
      <c r="AR21" s="39" t="n">
        <f aca="false">MY_PH(AR$2,$A21)</f>
        <v>2015</v>
      </c>
      <c r="AS21" s="39" t="n">
        <f aca="false">MY_PH(AS$2,$A21)</f>
        <v>2015</v>
      </c>
    </row>
    <row r="22" customFormat="false" ht="13.8" hidden="false" customHeight="false" outlineLevel="0" collapsed="false">
      <c r="A22" s="0" t="n">
        <v>20</v>
      </c>
      <c r="B22" s="39" t="n">
        <f aca="false">MY_PH(B$2,$A22)</f>
        <v>2015</v>
      </c>
      <c r="C22" s="39" t="n">
        <f aca="false">MY_PH(C$2,$A22)</f>
        <v>2015</v>
      </c>
      <c r="D22" s="39" t="n">
        <f aca="false">MY_PH(D$2,$A22)</f>
        <v>2015</v>
      </c>
      <c r="E22" s="39" t="n">
        <f aca="false">MY_PH(E$2,$A22)</f>
        <v>0.00152990546010451</v>
      </c>
      <c r="F22" s="39" t="n">
        <f aca="false">MY_PH(F$2,$A22)</f>
        <v>0.00152990644362628</v>
      </c>
      <c r="G22" s="39" t="n">
        <f aca="false">MY_PH(G$2,$A22)</f>
        <v>0.0015299162788958</v>
      </c>
      <c r="H22" s="39" t="n">
        <f aca="false">MY_PH(H$2,$A22)</f>
        <v>0.00152992611425904</v>
      </c>
      <c r="I22" s="39" t="n">
        <f aca="false">MY_PH(I$2,$A22)</f>
        <v>0.00152993594971604</v>
      </c>
      <c r="J22" s="39" t="n">
        <f aca="false">MY_PH(J$2,$A22)</f>
        <v>0.0015299457852668</v>
      </c>
      <c r="K22" s="39" t="n">
        <f aca="false">MY_PH(K$2,$A22)</f>
        <v>0.0015299556209113</v>
      </c>
      <c r="L22" s="39" t="n">
        <f aca="false">MY_PH(L$2,$A22)</f>
        <v>0.00152996545664957</v>
      </c>
      <c r="M22" s="39" t="n">
        <f aca="false">MY_PH(M$2,$A22)</f>
        <v>0.00152997529248159</v>
      </c>
      <c r="N22" s="39" t="n">
        <f aca="false">MY_PH(N$2,$A22)</f>
        <v>0.00152998512840737</v>
      </c>
      <c r="O22" s="39" t="n">
        <f aca="false">MY_PH(O$2,$A22)</f>
        <v>0.0015299949644269</v>
      </c>
      <c r="P22" s="39" t="n">
        <f aca="false">MY_PH(P$2,$A22)</f>
        <v>0.00153009332977935</v>
      </c>
      <c r="Q22" s="39" t="n">
        <f aca="false">MY_PH(Q$2,$A22)</f>
        <v>0.00153019170450916</v>
      </c>
      <c r="R22" s="39" t="n">
        <f aca="false">MY_PH(R$2,$A22)</f>
        <v>0.00153029008861766</v>
      </c>
      <c r="S22" s="39" t="n">
        <f aca="false">MY_PH(S$2,$A22)</f>
        <v>0.00153038848210611</v>
      </c>
      <c r="T22" s="39" t="n">
        <f aca="false">MY_PH(T$2,$A22)</f>
        <v>0.00153048688497582</v>
      </c>
      <c r="U22" s="39" t="n">
        <f aca="false">MY_PH(U$2,$A22)</f>
        <v>0.00153058529722809</v>
      </c>
      <c r="V22" s="39" t="n">
        <f aca="false">MY_PH(V$2,$A22)</f>
        <v>0.00153068371886419</v>
      </c>
      <c r="W22" s="39" t="n">
        <f aca="false">MY_PH(W$2,$A22)</f>
        <v>0.00153078214988544</v>
      </c>
      <c r="X22" s="39" t="n">
        <f aca="false">MY_PH(X$2,$A22)</f>
        <v>0.00153088059029312</v>
      </c>
      <c r="Y22" s="39" t="n">
        <f aca="false">MY_PH(Y$2,$A22)</f>
        <v>0.00153186551090918</v>
      </c>
      <c r="Z22" s="39" t="n">
        <f aca="false">MY_PH(Z$2,$A22)</f>
        <v>0.00153285137159573</v>
      </c>
      <c r="AA22" s="39" t="n">
        <f aca="false">MY_PH(AA$2,$A22)</f>
        <v>0.00153383817365206</v>
      </c>
      <c r="AB22" s="39" t="n">
        <f aca="false">MY_PH(AB$2,$A22)</f>
        <v>0.00153482591837989</v>
      </c>
      <c r="AC22" s="39" t="n">
        <f aca="false">MY_PH(AC$2,$A22)</f>
        <v>0.00153581460708328</v>
      </c>
      <c r="AD22" s="39" t="n">
        <f aca="false">MY_PH(AD$2,$A22)</f>
        <v>0.00153680424106873</v>
      </c>
      <c r="AE22" s="39" t="n">
        <f aca="false">MY_PH(AE$2,$A22)</f>
        <v>0.00153779482164511</v>
      </c>
      <c r="AF22" s="39" t="n">
        <f aca="false">MY_PH(AF$2,$A22)</f>
        <v>0.00153878635012367</v>
      </c>
      <c r="AG22" s="39" t="n">
        <f aca="false">MY_PH(AG$2,$A22)</f>
        <v>0.0015397788278181</v>
      </c>
      <c r="AH22" s="39" t="n">
        <f aca="false">MY_PH(AH$2,$A22)</f>
        <v>0.00154975610237157</v>
      </c>
      <c r="AI22" s="39" t="n">
        <f aca="false">MY_PH(AI$2,$A22)</f>
        <v>0.00155982976160292</v>
      </c>
      <c r="AJ22" s="39" t="n">
        <f aca="false">MY_PH(AJ$2,$A22)</f>
        <v>0.00157000115968568</v>
      </c>
      <c r="AK22" s="39" t="n">
        <f aca="false">MY_PH(AK$2,$A22)</f>
        <v>0.00158027167602213</v>
      </c>
      <c r="AL22" s="39" t="n">
        <f aca="false">MY_PH(AL$2,$A22)</f>
        <v>0.00159064271580426</v>
      </c>
      <c r="AM22" s="39" t="n">
        <f aca="false">MY_PH(AM$2,$A22)</f>
        <v>0.00160111571058835</v>
      </c>
      <c r="AN22" s="39" t="n">
        <f aca="false">MY_PH(AN$2,$A22)</f>
        <v>0.0016116921188842</v>
      </c>
      <c r="AO22" s="39" t="n">
        <f aca="false">MY_PH(AO$2,$A22)</f>
        <v>0.00162237342675912</v>
      </c>
      <c r="AP22" s="39" t="n">
        <f aca="false">MY_PH(AP$2,$A22)</f>
        <v>0.00163316114845692</v>
      </c>
      <c r="AQ22" s="39" t="n">
        <f aca="false">MY_PH(AQ$2,$A22)</f>
        <v>2015</v>
      </c>
      <c r="AR22" s="39" t="n">
        <f aca="false">MY_PH(AR$2,$A22)</f>
        <v>2015</v>
      </c>
      <c r="AS22" s="39" t="n">
        <f aca="false">MY_PH(AS$2,$A22)</f>
        <v>2015</v>
      </c>
    </row>
    <row r="23" customFormat="false" ht="13.8" hidden="false" customHeight="false" outlineLevel="0" collapsed="false">
      <c r="A23" s="0" t="n">
        <v>30</v>
      </c>
      <c r="B23" s="39" t="n">
        <f aca="false">MY_PH(B$2,$A23)</f>
        <v>2015</v>
      </c>
      <c r="C23" s="39" t="n">
        <f aca="false">MY_PH(C$2,$A23)</f>
        <v>2015</v>
      </c>
      <c r="D23" s="39" t="n">
        <f aca="false">MY_PH(D$2,$A23)</f>
        <v>2015</v>
      </c>
      <c r="E23" s="39" t="n">
        <f aca="false">MY_PH(E$2,$A23)</f>
        <v>2015</v>
      </c>
      <c r="F23" s="39" t="n">
        <f aca="false">MY_PH(F$2,$A23)</f>
        <v>0.00142087357789801</v>
      </c>
      <c r="G23" s="39" t="n">
        <f aca="false">MY_PH(G$2,$A23)</f>
        <v>0.00142088234899834</v>
      </c>
      <c r="H23" s="39" t="n">
        <f aca="false">MY_PH(H$2,$A23)</f>
        <v>0.00142089112017865</v>
      </c>
      <c r="I23" s="39" t="n">
        <f aca="false">MY_PH(I$2,$A23)</f>
        <v>0.00142089989143894</v>
      </c>
      <c r="J23" s="39" t="n">
        <f aca="false">MY_PH(J$2,$A23)</f>
        <v>0.0014209086627792</v>
      </c>
      <c r="K23" s="39" t="n">
        <f aca="false">MY_PH(K$2,$A23)</f>
        <v>0.00142091743419946</v>
      </c>
      <c r="L23" s="39" t="n">
        <f aca="false">MY_PH(L$2,$A23)</f>
        <v>0.00142092620569971</v>
      </c>
      <c r="M23" s="39" t="n">
        <f aca="false">MY_PH(M$2,$A23)</f>
        <v>0.00142093497727995</v>
      </c>
      <c r="N23" s="39" t="n">
        <f aca="false">MY_PH(N$2,$A23)</f>
        <v>0.00142094374894016</v>
      </c>
      <c r="O23" s="39" t="n">
        <f aca="false">MY_PH(O$2,$A23)</f>
        <v>0.00142095252068037</v>
      </c>
      <c r="P23" s="39" t="n">
        <f aca="false">MY_PH(P$2,$A23)</f>
        <v>0.00142104024248207</v>
      </c>
      <c r="Q23" s="39" t="n">
        <f aca="false">MY_PH(Q$2,$A23)</f>
        <v>0.00142112797228392</v>
      </c>
      <c r="R23" s="39" t="n">
        <f aca="false">MY_PH(R$2,$A23)</f>
        <v>0.00142121571008689</v>
      </c>
      <c r="S23" s="39" t="n">
        <f aca="false">MY_PH(S$2,$A23)</f>
        <v>0.00142130345589205</v>
      </c>
      <c r="T23" s="39" t="n">
        <f aca="false">MY_PH(T$2,$A23)</f>
        <v>0.0014213912097005</v>
      </c>
      <c r="U23" s="39" t="n">
        <f aca="false">MY_PH(U$2,$A23)</f>
        <v>0.00142147897151327</v>
      </c>
      <c r="V23" s="39" t="n">
        <f aca="false">MY_PH(V$2,$A23)</f>
        <v>0.00142156674133142</v>
      </c>
      <c r="W23" s="39" t="n">
        <f aca="false">MY_PH(W$2,$A23)</f>
        <v>0.00142165451915603</v>
      </c>
      <c r="X23" s="39" t="n">
        <f aca="false">MY_PH(X$2,$A23)</f>
        <v>0.00142174230498811</v>
      </c>
      <c r="Y23" s="39" t="n">
        <f aca="false">MY_PH(Y$2,$A23)</f>
        <v>0.00142262060395503</v>
      </c>
      <c r="Z23" s="39" t="n">
        <f aca="false">MY_PH(Z$2,$A23)</f>
        <v>0.001423499704839</v>
      </c>
      <c r="AA23" s="39" t="n">
        <f aca="false">MY_PH(AA$2,$A23)</f>
        <v>0.00142437960870254</v>
      </c>
      <c r="AB23" s="39" t="n">
        <f aca="false">MY_PH(AB$2,$A23)</f>
        <v>0.00142526031660995</v>
      </c>
      <c r="AC23" s="39" t="n">
        <f aca="false">MY_PH(AC$2,$A23)</f>
        <v>0.00142614182962748</v>
      </c>
      <c r="AD23" s="39" t="n">
        <f aca="false">MY_PH(AD$2,$A23)</f>
        <v>0.00142702414882323</v>
      </c>
      <c r="AE23" s="39" t="n">
        <f aca="false">MY_PH(AE$2,$A23)</f>
        <v>0.0014279072752672</v>
      </c>
      <c r="AF23" s="39" t="n">
        <f aca="false">MY_PH(AF$2,$A23)</f>
        <v>0.00142879121003128</v>
      </c>
      <c r="AG23" s="39" t="n">
        <f aca="false">MY_PH(AG$2,$A23)</f>
        <v>0.00142967595418924</v>
      </c>
      <c r="AH23" s="39" t="n">
        <f aca="false">MY_PH(AH$2,$A23)</f>
        <v>0.00143856815002664</v>
      </c>
      <c r="AI23" s="39" t="n">
        <f aca="false">MY_PH(AI$2,$A23)</f>
        <v>0.00144754248063264</v>
      </c>
      <c r="AJ23" s="39" t="n">
        <f aca="false">MY_PH(AJ$2,$A23)</f>
        <v>0.00145660005168445</v>
      </c>
      <c r="AK23" s="39" t="n">
        <f aca="false">MY_PH(AK$2,$A23)</f>
        <v>0.00146574198871107</v>
      </c>
      <c r="AL23" s="39" t="n">
        <f aca="false">MY_PH(AL$2,$A23)</f>
        <v>0.00147496943752068</v>
      </c>
      <c r="AM23" s="39" t="n">
        <f aca="false">MY_PH(AM$2,$A23)</f>
        <v>0.00148428356463829</v>
      </c>
      <c r="AN23" s="39" t="n">
        <f aca="false">MY_PH(AN$2,$A23)</f>
        <v>0.00149368555775412</v>
      </c>
      <c r="AO23" s="39" t="n">
        <f aca="false">MY_PH(AO$2,$A23)</f>
        <v>0.00150317662618279</v>
      </c>
      <c r="AP23" s="39" t="n">
        <f aca="false">MY_PH(AP$2,$A23)</f>
        <v>0.00151275800133363</v>
      </c>
      <c r="AQ23" s="39" t="n">
        <f aca="false">MY_PH(AQ$2,$A23)</f>
        <v>0.00161382633176668</v>
      </c>
      <c r="AR23" s="39" t="n">
        <f aca="false">MY_PH(AR$2,$A23)</f>
        <v>0.00163595130486717</v>
      </c>
      <c r="AS23" s="39" t="n">
        <f aca="false">MY_PH(AS$2,$A23)</f>
        <v>0.00164613730098287</v>
      </c>
    </row>
    <row r="24" customFormat="false" ht="13.8" hidden="false" customHeight="false" outlineLevel="0" collapsed="false">
      <c r="A24" s="0" t="n">
        <v>40</v>
      </c>
      <c r="B24" s="39" t="n">
        <f aca="false">MY_PH(B$2,$A24)</f>
        <v>2015</v>
      </c>
      <c r="C24" s="39" t="n">
        <f aca="false">MY_PH(C$2,$A24)</f>
        <v>2015</v>
      </c>
      <c r="D24" s="39" t="n">
        <f aca="false">MY_PH(D$2,$A24)</f>
        <v>2015</v>
      </c>
      <c r="E24" s="39" t="n">
        <f aca="false">MY_PH(E$2,$A24)</f>
        <v>2015</v>
      </c>
      <c r="F24" s="39" t="n">
        <f aca="false">MY_PH(F$2,$A24)</f>
        <v>2015</v>
      </c>
      <c r="G24" s="39" t="n">
        <f aca="false">MY_PH(G$2,$A24)</f>
        <v>0.00132376627297544</v>
      </c>
      <c r="H24" s="39" t="n">
        <f aca="false">MY_PH(H$2,$A24)</f>
        <v>0.00132377413529531</v>
      </c>
      <c r="I24" s="39" t="n">
        <f aca="false">MY_PH(I$2,$A24)</f>
        <v>0.00132378199768385</v>
      </c>
      <c r="J24" s="39" t="n">
        <f aca="false">MY_PH(J$2,$A24)</f>
        <v>0.00132378986014112</v>
      </c>
      <c r="K24" s="39" t="n">
        <f aca="false">MY_PH(K$2,$A24)</f>
        <v>0.00132379772266707</v>
      </c>
      <c r="L24" s="39" t="n">
        <f aca="false">MY_PH(L$2,$A24)</f>
        <v>0.00132380558526176</v>
      </c>
      <c r="M24" s="39" t="n">
        <f aca="false">MY_PH(M$2,$A24)</f>
        <v>0.00132381344792511</v>
      </c>
      <c r="N24" s="39" t="n">
        <f aca="false">MY_PH(N$2,$A24)</f>
        <v>0.0013238213106572</v>
      </c>
      <c r="O24" s="39" t="n">
        <f aca="false">MY_PH(O$2,$A24)</f>
        <v>0.001323829173458</v>
      </c>
      <c r="P24" s="39" t="n">
        <f aca="false">MY_PH(P$2,$A24)</f>
        <v>0.00132390780524482</v>
      </c>
      <c r="Q24" s="39" t="n">
        <f aca="false">MY_PH(Q$2,$A24)</f>
        <v>0.00132398644390321</v>
      </c>
      <c r="R24" s="39" t="n">
        <f aca="false">MY_PH(R$2,$A24)</f>
        <v>0.00132406508943401</v>
      </c>
      <c r="S24" s="39" t="n">
        <f aca="false">MY_PH(S$2,$A24)</f>
        <v>0.00132414374183808</v>
      </c>
      <c r="T24" s="39" t="n">
        <f aca="false">MY_PH(T$2,$A24)</f>
        <v>0.00132422240111634</v>
      </c>
      <c r="U24" s="39" t="n">
        <f aca="false">MY_PH(U$2,$A24)</f>
        <v>0.00132430106726962</v>
      </c>
      <c r="V24" s="39" t="n">
        <f aca="false">MY_PH(V$2,$A24)</f>
        <v>0.00132437974029879</v>
      </c>
      <c r="W24" s="39" t="n">
        <f aca="false">MY_PH(W$2,$A24)</f>
        <v>0.00132445842020477</v>
      </c>
      <c r="X24" s="39" t="n">
        <f aca="false">MY_PH(X$2,$A24)</f>
        <v>0.00132453710698839</v>
      </c>
      <c r="Y24" s="39" t="n">
        <f aca="false">MY_PH(Y$2,$A24)</f>
        <v>0.00132532435328754</v>
      </c>
      <c r="Z24" s="39" t="n">
        <f aca="false">MY_PH(Z$2,$A24)</f>
        <v>0.00132611228831326</v>
      </c>
      <c r="AA24" s="39" t="n">
        <f aca="false">MY_PH(AA$2,$A24)</f>
        <v>0.00132690091294098</v>
      </c>
      <c r="AB24" s="39" t="n">
        <f aca="false">MY_PH(AB$2,$A24)</f>
        <v>0.00132769022804766</v>
      </c>
      <c r="AC24" s="39" t="n">
        <f aca="false">MY_PH(AC$2,$A24)</f>
        <v>0.00132848023451166</v>
      </c>
      <c r="AD24" s="39" t="n">
        <f aca="false">MY_PH(AD$2,$A24)</f>
        <v>0.00132927093321296</v>
      </c>
      <c r="AE24" s="39" t="n">
        <f aca="false">MY_PH(AE$2,$A24)</f>
        <v>0.00133006232503295</v>
      </c>
      <c r="AF24" s="39" t="n">
        <f aca="false">MY_PH(AF$2,$A24)</f>
        <v>0.00133085441085457</v>
      </c>
      <c r="AG24" s="39" t="n">
        <f aca="false">MY_PH(AG$2,$A24)</f>
        <v>0.00133164719156225</v>
      </c>
      <c r="AH24" s="39" t="n">
        <f aca="false">MY_PH(AH$2,$A24)</f>
        <v>0.00133961341302726</v>
      </c>
      <c r="AI24" s="39" t="n">
        <f aca="false">MY_PH(AI$2,$A24)</f>
        <v>0.00134765010725786</v>
      </c>
      <c r="AJ24" s="39" t="n">
        <f aca="false">MY_PH(AJ$2,$A24)</f>
        <v>0.00135575818399872</v>
      </c>
      <c r="AK24" s="39" t="n">
        <f aca="false">MY_PH(AK$2,$A24)</f>
        <v>0.00136393856873922</v>
      </c>
      <c r="AL24" s="39" t="n">
        <f aca="false">MY_PH(AL$2,$A24)</f>
        <v>0.00137219220304177</v>
      </c>
      <c r="AM24" s="39" t="n">
        <f aca="false">MY_PH(AM$2,$A24)</f>
        <v>0.00138052004487805</v>
      </c>
      <c r="AN24" s="39" t="n">
        <f aca="false">MY_PH(AN$2,$A24)</f>
        <v>0.00138892306897294</v>
      </c>
      <c r="AO24" s="39" t="n">
        <f aca="false">MY_PH(AO$2,$A24)</f>
        <v>0.0013974022671568</v>
      </c>
      <c r="AP24" s="39" t="n">
        <f aca="false">MY_PH(AP$2,$A24)</f>
        <v>0.00140595864872576</v>
      </c>
      <c r="AQ24" s="39" t="n">
        <f aca="false">MY_PH(AQ$2,$A24)</f>
        <v>0.00149600284977983</v>
      </c>
      <c r="AR24" s="39" t="n">
        <f aca="false">MY_PH(AR$2,$A24)</f>
        <v>0.00151566333384687</v>
      </c>
      <c r="AS24" s="39" t="n">
        <f aca="false">MY_PH(AS$2,$A24)</f>
        <v>0.00152470859833115</v>
      </c>
    </row>
    <row r="25" customFormat="false" ht="13.8" hidden="false" customHeight="false" outlineLevel="0" collapsed="false">
      <c r="A25" s="0" t="n">
        <v>50</v>
      </c>
      <c r="B25" s="39" t="n">
        <f aca="false">MY_PH(B$2,$A25)</f>
        <v>2015</v>
      </c>
      <c r="C25" s="39" t="n">
        <f aca="false">MY_PH(C$2,$A25)</f>
        <v>2015</v>
      </c>
      <c r="D25" s="39" t="n">
        <f aca="false">MY_PH(D$2,$A25)</f>
        <v>2015</v>
      </c>
      <c r="E25" s="39" t="n">
        <f aca="false">MY_PH(E$2,$A25)</f>
        <v>2015</v>
      </c>
      <c r="F25" s="39" t="n">
        <f aca="false">MY_PH(F$2,$A25)</f>
        <v>2015</v>
      </c>
      <c r="G25" s="39" t="n">
        <f aca="false">MY_PH(G$2,$A25)</f>
        <v>0.00123686259503753</v>
      </c>
      <c r="H25" s="39" t="n">
        <f aca="false">MY_PH(H$2,$A25)</f>
        <v>0.00123686967625645</v>
      </c>
      <c r="I25" s="39" t="n">
        <f aca="false">MY_PH(I$2,$A25)</f>
        <v>0.00123687675753474</v>
      </c>
      <c r="J25" s="39" t="n">
        <f aca="false">MY_PH(J$2,$A25)</f>
        <v>0.00123688383887242</v>
      </c>
      <c r="K25" s="39" t="n">
        <f aca="false">MY_PH(K$2,$A25)</f>
        <v>0.0012368909202695</v>
      </c>
      <c r="L25" s="39" t="n">
        <f aca="false">MY_PH(L$2,$A25)</f>
        <v>0.00123689800172596</v>
      </c>
      <c r="M25" s="39" t="n">
        <f aca="false">MY_PH(M$2,$A25)</f>
        <v>0.0012369050832418</v>
      </c>
      <c r="N25" s="39" t="n">
        <f aca="false">MY_PH(N$2,$A25)</f>
        <v>0.00123691216481705</v>
      </c>
      <c r="O25" s="39" t="n">
        <f aca="false">MY_PH(O$2,$A25)</f>
        <v>0.00123691924645169</v>
      </c>
      <c r="P25" s="39" t="n">
        <f aca="false">MY_PH(P$2,$A25)</f>
        <v>0.00123699006606458</v>
      </c>
      <c r="Q25" s="39" t="n">
        <f aca="false">MY_PH(Q$2,$A25)</f>
        <v>0.0012370608916173</v>
      </c>
      <c r="R25" s="39" t="n">
        <f aca="false">MY_PH(R$2,$A25)</f>
        <v>0.00123713172311055</v>
      </c>
      <c r="S25" s="39" t="n">
        <f aca="false">MY_PH(S$2,$A25)</f>
        <v>0.00123720256054506</v>
      </c>
      <c r="T25" s="39" t="n">
        <f aca="false">MY_PH(T$2,$A25)</f>
        <v>0.00123727340392154</v>
      </c>
      <c r="U25" s="39" t="n">
        <f aca="false">MY_PH(U$2,$A25)</f>
        <v>0.00123734425324074</v>
      </c>
      <c r="V25" s="39" t="n">
        <f aca="false">MY_PH(V$2,$A25)</f>
        <v>0.00123741510850337</v>
      </c>
      <c r="W25" s="39" t="n">
        <f aca="false">MY_PH(W$2,$A25)</f>
        <v>0.00123748596971015</v>
      </c>
      <c r="X25" s="39" t="n">
        <f aca="false">MY_PH(X$2,$A25)</f>
        <v>0.0012375568368618</v>
      </c>
      <c r="Y25" s="39" t="n">
        <f aca="false">MY_PH(Y$2,$A25)</f>
        <v>0.00123826583550627</v>
      </c>
      <c r="Z25" s="39" t="n">
        <f aca="false">MY_PH(Z$2,$A25)</f>
        <v>0.00123897542943662</v>
      </c>
      <c r="AA25" s="39" t="n">
        <f aca="false">MY_PH(AA$2,$A25)</f>
        <v>0.00123968561937938</v>
      </c>
      <c r="AB25" s="39" t="n">
        <f aca="false">MY_PH(AB$2,$A25)</f>
        <v>0.00124039640606228</v>
      </c>
      <c r="AC25" s="39" t="n">
        <f aca="false">MY_PH(AC$2,$A25)</f>
        <v>0.00124110779021425</v>
      </c>
      <c r="AD25" s="39" t="n">
        <f aca="false">MY_PH(AD$2,$A25)</f>
        <v>0.00124181977256542</v>
      </c>
      <c r="AE25" s="39" t="n">
        <f aca="false">MY_PH(AE$2,$A25)</f>
        <v>0.00124253235384713</v>
      </c>
      <c r="AF25" s="39" t="n">
        <f aca="false">MY_PH(AF$2,$A25)</f>
        <v>0.00124324553479187</v>
      </c>
      <c r="AG25" s="39" t="n">
        <f aca="false">MY_PH(AG$2,$A25)</f>
        <v>0.00124395931613339</v>
      </c>
      <c r="AH25" s="39" t="n">
        <f aca="false">MY_PH(AH$2,$A25)</f>
        <v>0.00125113031365798</v>
      </c>
      <c r="AI25" s="39" t="n">
        <f aca="false">MY_PH(AI$2,$A25)</f>
        <v>0.00125836216699593</v>
      </c>
      <c r="AJ25" s="39" t="n">
        <f aca="false">MY_PH(AJ$2,$A25)</f>
        <v>0.00126565563012279</v>
      </c>
      <c r="AK25" s="39" t="n">
        <f aca="false">MY_PH(AK$2,$A25)</f>
        <v>0.00127301146959399</v>
      </c>
      <c r="AL25" s="39" t="n">
        <f aca="false">MY_PH(AL$2,$A25)</f>
        <v>0.00128043046479916</v>
      </c>
      <c r="AM25" s="39" t="n">
        <f aca="false">MY_PH(AM$2,$A25)</f>
        <v>0.00128791340822243</v>
      </c>
      <c r="AN25" s="39" t="n">
        <f aca="false">MY_PH(AN$2,$A25)</f>
        <v>0.0012954611057084</v>
      </c>
      <c r="AO25" s="39" t="n">
        <f aca="false">MY_PH(AO$2,$A25)</f>
        <v>0.00130307437673445</v>
      </c>
      <c r="AP25" s="39" t="n">
        <f aca="false">MY_PH(AP$2,$A25)</f>
        <v>0.0013107540546891</v>
      </c>
      <c r="AQ25" s="39" t="n">
        <f aca="false">MY_PH(AQ$2,$A25)</f>
        <v>0.00139139709781609</v>
      </c>
      <c r="AR25" s="39" t="n">
        <f aca="false">MY_PH(AR$2,$A25)</f>
        <v>0.00140896271877795</v>
      </c>
      <c r="AS25" s="39" t="n">
        <f aca="false">MY_PH(AS$2,$A25)</f>
        <v>0.00141703915489686</v>
      </c>
    </row>
    <row r="26" customFormat="false" ht="13.8" hidden="false" customHeight="false" outlineLevel="0" collapsed="false">
      <c r="A26" s="0" t="n">
        <v>60</v>
      </c>
      <c r="B26" s="39" t="n">
        <f aca="false">MY_PH(B$2,$A26)</f>
        <v>2015</v>
      </c>
      <c r="C26" s="39" t="n">
        <f aca="false">MY_PH(C$2,$A26)</f>
        <v>2015</v>
      </c>
      <c r="D26" s="39" t="n">
        <f aca="false">MY_PH(D$2,$A26)</f>
        <v>2015</v>
      </c>
      <c r="E26" s="39" t="n">
        <f aca="false">MY_PH(E$2,$A26)</f>
        <v>2015</v>
      </c>
      <c r="F26" s="39" t="n">
        <f aca="false">MY_PH(F$2,$A26)</f>
        <v>2015</v>
      </c>
      <c r="G26" s="39" t="n">
        <f aca="false">MY_PH(G$2,$A26)</f>
        <v>0.00115876148503678</v>
      </c>
      <c r="H26" s="39" t="n">
        <f aca="false">MY_PH(H$2,$A26)</f>
        <v>0.00115876789099328</v>
      </c>
      <c r="I26" s="39" t="n">
        <f aca="false">MY_PH(I$2,$A26)</f>
        <v>0.0011587742970014</v>
      </c>
      <c r="J26" s="39" t="n">
        <f aca="false">MY_PH(J$2,$A26)</f>
        <v>0.00115878070306116</v>
      </c>
      <c r="K26" s="39" t="n">
        <f aca="false">MY_PH(K$2,$A26)</f>
        <v>0.00115878710917257</v>
      </c>
      <c r="L26" s="39" t="n">
        <f aca="false">MY_PH(L$2,$A26)</f>
        <v>0.00115879351533564</v>
      </c>
      <c r="M26" s="39" t="n">
        <f aca="false">MY_PH(M$2,$A26)</f>
        <v>0.00115879992155032</v>
      </c>
      <c r="N26" s="39" t="n">
        <f aca="false">MY_PH(N$2,$A26)</f>
        <v>0.00115880632781666</v>
      </c>
      <c r="O26" s="39" t="n">
        <f aca="false">MY_PH(O$2,$A26)</f>
        <v>0.00115881273413464</v>
      </c>
      <c r="P26" s="39" t="n">
        <f aca="false">MY_PH(P$2,$A26)</f>
        <v>0.00115887680015502</v>
      </c>
      <c r="Q26" s="39" t="n">
        <f aca="false">MY_PH(Q$2,$A26)</f>
        <v>0.0011589408713405</v>
      </c>
      <c r="R26" s="39" t="n">
        <f aca="false">MY_PH(R$2,$A26)</f>
        <v>0.00115900494769166</v>
      </c>
      <c r="S26" s="39" t="n">
        <f aca="false">MY_PH(S$2,$A26)</f>
        <v>0.0011590690292091</v>
      </c>
      <c r="T26" s="39" t="n">
        <f aca="false">MY_PH(T$2,$A26)</f>
        <v>0.00115913311589343</v>
      </c>
      <c r="U26" s="39" t="n">
        <f aca="false">MY_PH(U$2,$A26)</f>
        <v>0.00115919720774527</v>
      </c>
      <c r="V26" s="39" t="n">
        <f aca="false">MY_PH(V$2,$A26)</f>
        <v>0.00115926130476521</v>
      </c>
      <c r="W26" s="39" t="n">
        <f aca="false">MY_PH(W$2,$A26)</f>
        <v>0.00115932540695386</v>
      </c>
      <c r="X26" s="39" t="n">
        <f aca="false">MY_PH(X$2,$A26)</f>
        <v>0.00115938951431184</v>
      </c>
      <c r="Y26" s="39" t="n">
        <f aca="false">MY_PH(Y$2,$A26)</f>
        <v>0.00116003087233716</v>
      </c>
      <c r="Z26" s="39" t="n">
        <f aca="false">MY_PH(Z$2,$A26)</f>
        <v>0.00116067274796084</v>
      </c>
      <c r="AA26" s="39" t="n">
        <f aca="false">MY_PH(AA$2,$A26)</f>
        <v>0.00116131514178993</v>
      </c>
      <c r="AB26" s="39" t="n">
        <f aca="false">MY_PH(AB$2,$A26)</f>
        <v>0.00116195805443249</v>
      </c>
      <c r="AC26" s="39" t="n">
        <f aca="false">MY_PH(AC$2,$A26)</f>
        <v>0.00116260148649753</v>
      </c>
      <c r="AD26" s="39" t="n">
        <f aca="false">MY_PH(AD$2,$A26)</f>
        <v>0.00116324543859499</v>
      </c>
      <c r="AE26" s="39" t="n">
        <f aca="false">MY_PH(AE$2,$A26)</f>
        <v>0.00116388991133582</v>
      </c>
      <c r="AF26" s="39" t="n">
        <f aca="false">MY_PH(AF$2,$A26)</f>
        <v>0.00116453490533193</v>
      </c>
      <c r="AG26" s="39" t="n">
        <f aca="false">MY_PH(AG$2,$A26)</f>
        <v>0.00116518042119618</v>
      </c>
      <c r="AH26" s="39" t="n">
        <f aca="false">MY_PH(AH$2,$A26)</f>
        <v>0.00117166441811526</v>
      </c>
      <c r="AI26" s="39" t="n">
        <f aca="false">MY_PH(AI$2,$A26)</f>
        <v>0.00117820128328081</v>
      </c>
      <c r="AJ26" s="39" t="n">
        <f aca="false">MY_PH(AJ$2,$A26)</f>
        <v>0.00118479164586472</v>
      </c>
      <c r="AK26" s="39" t="n">
        <f aca="false">MY_PH(AK$2,$A26)</f>
        <v>0.00119143614516001</v>
      </c>
      <c r="AL26" s="39" t="n">
        <f aca="false">MY_PH(AL$2,$A26)</f>
        <v>0.00119813543077943</v>
      </c>
      <c r="AM26" s="39" t="n">
        <f aca="false">MY_PH(AM$2,$A26)</f>
        <v>0.00120489016285827</v>
      </c>
      <c r="AN26" s="39" t="n">
        <f aca="false">MY_PH(AN$2,$A26)</f>
        <v>0.00121170101226172</v>
      </c>
      <c r="AO26" s="39" t="n">
        <f aca="false">MY_PH(AO$2,$A26)</f>
        <v>0.00121856866079675</v>
      </c>
      <c r="AP26" s="39" t="n">
        <f aca="false">MY_PH(AP$2,$A26)</f>
        <v>0.00122549380142892</v>
      </c>
      <c r="AQ26" s="39" t="n">
        <f aca="false">MY_PH(AQ$2,$A26)</f>
        <v>0.001298068162641</v>
      </c>
      <c r="AR26" s="39" t="n">
        <f aca="false">MY_PH(AR$2,$A26)</f>
        <v>0.00131384127242933</v>
      </c>
      <c r="AS26" s="39" t="n">
        <f aca="false">MY_PH(AS$2,$A26)</f>
        <v>0.00132108936222014</v>
      </c>
    </row>
    <row r="27" customFormat="false" ht="13.8" hidden="false" customHeight="false" outlineLevel="0" collapsed="false">
      <c r="A27" s="0" t="n">
        <v>70</v>
      </c>
      <c r="B27" s="39" t="n">
        <f aca="false">MY_PH(B$2,$A27)</f>
        <v>2015</v>
      </c>
      <c r="C27" s="39" t="n">
        <f aca="false">MY_PH(C$2,$A27)</f>
        <v>2015</v>
      </c>
      <c r="D27" s="39" t="n">
        <f aca="false">MY_PH(D$2,$A27)</f>
        <v>2015</v>
      </c>
      <c r="E27" s="39" t="n">
        <f aca="false">MY_PH(E$2,$A27)</f>
        <v>2015</v>
      </c>
      <c r="F27" s="39" t="n">
        <f aca="false">MY_PH(F$2,$A27)</f>
        <v>2015</v>
      </c>
      <c r="G27" s="39" t="n">
        <f aca="false">MY_PH(G$2,$A27)</f>
        <v>0.00108828958701755</v>
      </c>
      <c r="H27" s="39" t="n">
        <f aca="false">MY_PH(H$2,$A27)</f>
        <v>0.00108829540597869</v>
      </c>
      <c r="I27" s="39" t="n">
        <f aca="false">MY_PH(I$2,$A27)</f>
        <v>0.001088301224985</v>
      </c>
      <c r="J27" s="39" t="n">
        <f aca="false">MY_PH(J$2,$A27)</f>
        <v>0.00108830704403646</v>
      </c>
      <c r="K27" s="39" t="n">
        <f aca="false">MY_PH(K$2,$A27)</f>
        <v>0.00108831286313309</v>
      </c>
      <c r="L27" s="39" t="n">
        <f aca="false">MY_PH(L$2,$A27)</f>
        <v>0.00108831868227487</v>
      </c>
      <c r="M27" s="39" t="n">
        <f aca="false">MY_PH(M$2,$A27)</f>
        <v>0.00108832450146182</v>
      </c>
      <c r="N27" s="39" t="n">
        <f aca="false">MY_PH(N$2,$A27)</f>
        <v>0.0010883303206939</v>
      </c>
      <c r="O27" s="39" t="n">
        <f aca="false">MY_PH(O$2,$A27)</f>
        <v>0.00108833613997115</v>
      </c>
      <c r="P27" s="39" t="n">
        <f aca="false">MY_PH(P$2,$A27)</f>
        <v>0.00108839433522764</v>
      </c>
      <c r="Q27" s="39" t="n">
        <f aca="false">MY_PH(Q$2,$A27)</f>
        <v>0.00108845253500068</v>
      </c>
      <c r="R27" s="39" t="n">
        <f aca="false">MY_PH(R$2,$A27)</f>
        <v>0.00108851073929077</v>
      </c>
      <c r="S27" s="39" t="n">
        <f aca="false">MY_PH(S$2,$A27)</f>
        <v>0.00108856894809844</v>
      </c>
      <c r="T27" s="39" t="n">
        <f aca="false">MY_PH(T$2,$A27)</f>
        <v>0.00108862716142419</v>
      </c>
      <c r="U27" s="39" t="n">
        <f aca="false">MY_PH(U$2,$A27)</f>
        <v>0.00108868537926854</v>
      </c>
      <c r="V27" s="39" t="n">
        <f aca="false">MY_PH(V$2,$A27)</f>
        <v>0.00108874360163199</v>
      </c>
      <c r="W27" s="39" t="n">
        <f aca="false">MY_PH(W$2,$A27)</f>
        <v>0.00108880182851504</v>
      </c>
      <c r="X27" s="39" t="n">
        <f aca="false">MY_PH(X$2,$A27)</f>
        <v>0.00108886005991821</v>
      </c>
      <c r="Y27" s="39" t="n">
        <f aca="false">MY_PH(Y$2,$A27)</f>
        <v>0.00108944262266847</v>
      </c>
      <c r="Z27" s="39" t="n">
        <f aca="false">MY_PH(Z$2,$A27)</f>
        <v>0.00109002563799131</v>
      </c>
      <c r="AA27" s="39" t="n">
        <f aca="false">MY_PH(AA$2,$A27)</f>
        <v>0.00109060910639724</v>
      </c>
      <c r="AB27" s="39" t="n">
        <f aca="false">MY_PH(AB$2,$A27)</f>
        <v>0.00109119302839757</v>
      </c>
      <c r="AC27" s="39" t="n">
        <f aca="false">MY_PH(AC$2,$A27)</f>
        <v>0.00109177740450443</v>
      </c>
      <c r="AD27" s="39" t="n">
        <f aca="false">MY_PH(AD$2,$A27)</f>
        <v>0.00109236223523066</v>
      </c>
      <c r="AE27" s="39" t="n">
        <f aca="false">MY_PH(AE$2,$A27)</f>
        <v>0.00109294752108995</v>
      </c>
      <c r="AF27" s="39" t="n">
        <f aca="false">MY_PH(AF$2,$A27)</f>
        <v>0.00109353326259672</v>
      </c>
      <c r="AG27" s="39" t="n">
        <f aca="false">MY_PH(AG$2,$A27)</f>
        <v>0.00109411946026624</v>
      </c>
      <c r="AH27" s="39" t="n">
        <f aca="false">MY_PH(AH$2,$A27)</f>
        <v>0.00110000663982823</v>
      </c>
      <c r="AI27" s="39" t="n">
        <f aca="false">MY_PH(AI$2,$A27)</f>
        <v>0.0011059400083167</v>
      </c>
      <c r="AJ27" s="39" t="n">
        <f aca="false">MY_PH(AJ$2,$A27)</f>
        <v>0.00111192009417533</v>
      </c>
      <c r="AK27" s="39" t="n">
        <f aca="false">MY_PH(AK$2,$A27)</f>
        <v>0.00111794743404422</v>
      </c>
      <c r="AL27" s="39" t="n">
        <f aca="false">MY_PH(AL$2,$A27)</f>
        <v>0.00112402257291567</v>
      </c>
      <c r="AM27" s="39" t="n">
        <f aca="false">MY_PH(AM$2,$A27)</f>
        <v>0.00113014606429357</v>
      </c>
      <c r="AN27" s="39" t="n">
        <f aca="false">MY_PH(AN$2,$A27)</f>
        <v>0.00113631847035604</v>
      </c>
      <c r="AO27" s="39" t="n">
        <f aca="false">MY_PH(AO$2,$A27)</f>
        <v>0.0011425403621217</v>
      </c>
      <c r="AP27" s="39" t="n">
        <f aca="false">MY_PH(AP$2,$A27)</f>
        <v>0.00114881231961938</v>
      </c>
      <c r="AQ27" s="39" t="n">
        <f aca="false">MY_PH(AQ$2,$A27)</f>
        <v>0.00121441991750628</v>
      </c>
      <c r="AR27" s="39" t="n">
        <f aca="false">MY_PH(AR$2,$A27)</f>
        <v>0.00122864968805212</v>
      </c>
      <c r="AS27" s="39" t="n">
        <f aca="false">MY_PH(AS$2,$A27)</f>
        <v>0.00123518510081569</v>
      </c>
    </row>
    <row r="28" customFormat="false" ht="13.8" hidden="false" customHeight="false" outlineLevel="0" collapsed="false">
      <c r="A28" s="0" t="n">
        <v>80</v>
      </c>
      <c r="B28" s="39" t="n">
        <f aca="false">MY_PH(B$2,$A28)</f>
        <v>2015</v>
      </c>
      <c r="C28" s="39" t="n">
        <f aca="false">MY_PH(C$2,$A28)</f>
        <v>2015</v>
      </c>
      <c r="D28" s="39" t="n">
        <f aca="false">MY_PH(D$2,$A28)</f>
        <v>2015</v>
      </c>
      <c r="E28" s="39" t="n">
        <f aca="false">MY_PH(E$2,$A28)</f>
        <v>2015</v>
      </c>
      <c r="F28" s="39" t="n">
        <f aca="false">MY_PH(F$2,$A28)</f>
        <v>2015</v>
      </c>
      <c r="G28" s="39" t="n">
        <f aca="false">MY_PH(G$2,$A28)</f>
        <v>2015</v>
      </c>
      <c r="H28" s="39" t="n">
        <f aca="false">MY_PH(H$2,$A28)</f>
        <v>0.00102446944293676</v>
      </c>
      <c r="I28" s="39" t="n">
        <f aca="false">MY_PH(I$2,$A28)</f>
        <v>0.0010244747490202</v>
      </c>
      <c r="J28" s="39" t="n">
        <f aca="false">MY_PH(J$2,$A28)</f>
        <v>0.00102448005514333</v>
      </c>
      <c r="K28" s="39" t="n">
        <f aca="false">MY_PH(K$2,$A28)</f>
        <v>0.00102448536130616</v>
      </c>
      <c r="L28" s="39" t="n">
        <f aca="false">MY_PH(L$2,$A28)</f>
        <v>0.00102449066750869</v>
      </c>
      <c r="M28" s="39" t="n">
        <f aca="false">MY_PH(M$2,$A28)</f>
        <v>0.00102449597375092</v>
      </c>
      <c r="N28" s="39" t="n">
        <f aca="false">MY_PH(N$2,$A28)</f>
        <v>0.00102450128003283</v>
      </c>
      <c r="O28" s="39" t="n">
        <f aca="false">MY_PH(O$2,$A28)</f>
        <v>0.00102450658635445</v>
      </c>
      <c r="P28" s="39" t="n">
        <f aca="false">MY_PH(P$2,$A28)</f>
        <v>0.0010245596517541</v>
      </c>
      <c r="Q28" s="39" t="n">
        <f aca="false">MY_PH(Q$2,$A28)</f>
        <v>0.00102461272112396</v>
      </c>
      <c r="R28" s="39" t="n">
        <f aca="false">MY_PH(R$2,$A28)</f>
        <v>0.00102466579446445</v>
      </c>
      <c r="S28" s="39" t="n">
        <f aca="false">MY_PH(S$2,$A28)</f>
        <v>0.00102471887177602</v>
      </c>
      <c r="T28" s="39" t="n">
        <f aca="false">MY_PH(T$2,$A28)</f>
        <v>0.0010247719530591</v>
      </c>
      <c r="U28" s="39" t="n">
        <f aca="false">MY_PH(U$2,$A28)</f>
        <v>0.0010248250383141</v>
      </c>
      <c r="V28" s="39" t="n">
        <f aca="false">MY_PH(V$2,$A28)</f>
        <v>0.00102487812754148</v>
      </c>
      <c r="W28" s="39" t="n">
        <f aca="false">MY_PH(W$2,$A28)</f>
        <v>0.00102493122074167</v>
      </c>
      <c r="X28" s="39" t="n">
        <f aca="false">MY_PH(X$2,$A28)</f>
        <v>0.00102498431791507</v>
      </c>
      <c r="Y28" s="39" t="n">
        <f aca="false">MY_PH(Y$2,$A28)</f>
        <v>0.00102551550827153</v>
      </c>
      <c r="Z28" s="39" t="n">
        <f aca="false">MY_PH(Z$2,$A28)</f>
        <v>0.00102604709642531</v>
      </c>
      <c r="AA28" s="39" t="n">
        <f aca="false">MY_PH(AA$2,$A28)</f>
        <v>0.00102657908280841</v>
      </c>
      <c r="AB28" s="39" t="n">
        <f aca="false">MY_PH(AB$2,$A28)</f>
        <v>0.00102711146785344</v>
      </c>
      <c r="AC28" s="39" t="n">
        <f aca="false">MY_PH(AC$2,$A28)</f>
        <v>0.00102764425199364</v>
      </c>
      <c r="AD28" s="39" t="n">
        <f aca="false">MY_PH(AD$2,$A28)</f>
        <v>0.0010281774356629</v>
      </c>
      <c r="AE28" s="39" t="n">
        <f aca="false">MY_PH(AE$2,$A28)</f>
        <v>0.00102871101929576</v>
      </c>
      <c r="AF28" s="39" t="n">
        <f aca="false">MY_PH(AF$2,$A28)</f>
        <v>0.00102924500332739</v>
      </c>
      <c r="AG28" s="39" t="n">
        <f aca="false">MY_PH(AG$2,$A28)</f>
        <v>0.00102977938819359</v>
      </c>
      <c r="AH28" s="39" t="n">
        <f aca="false">MY_PH(AH$2,$A28)</f>
        <v>0.0010351453790969</v>
      </c>
      <c r="AI28" s="39" t="n">
        <f aca="false">MY_PH(AI$2,$A28)</f>
        <v>0.00104055193765903</v>
      </c>
      <c r="AJ28" s="39" t="n">
        <f aca="false">MY_PH(AJ$2,$A28)</f>
        <v>0.00104599951046213</v>
      </c>
      <c r="AK28" s="39" t="n">
        <f aca="false">MY_PH(AK$2,$A28)</f>
        <v>0.00105148855076688</v>
      </c>
      <c r="AL28" s="39" t="n">
        <f aca="false">MY_PH(AL$2,$A28)</f>
        <v>0.00105701951863564</v>
      </c>
      <c r="AM28" s="39" t="n">
        <f aca="false">MY_PH(AM$2,$A28)</f>
        <v>0.00106259288105846</v>
      </c>
      <c r="AN28" s="39" t="n">
        <f aca="false">MY_PH(AN$2,$A28)</f>
        <v>0.00106820911208155</v>
      </c>
      <c r="AO28" s="39" t="n">
        <f aca="false">MY_PH(AO$2,$A28)</f>
        <v>0.00107386869293851</v>
      </c>
      <c r="AP28" s="39" t="n">
        <f aca="false">MY_PH(AP$2,$A28)</f>
        <v>0.00107957211218421</v>
      </c>
      <c r="AQ28" s="39" t="n">
        <f aca="false">MY_PH(AQ$2,$A28)</f>
        <v>0.00113913041557826</v>
      </c>
      <c r="AR28" s="39" t="n">
        <f aca="false">MY_PH(AR$2,$A28)</f>
        <v>0.00115202363408032</v>
      </c>
      <c r="AS28" s="39" t="n">
        <f aca="false">MY_PH(AS$2,$A28)</f>
        <v>0.00115794228250778</v>
      </c>
    </row>
    <row r="29" customFormat="false" ht="13.8" hidden="false" customHeight="false" outlineLevel="0" collapsed="false">
      <c r="A29" s="0" t="n">
        <v>90</v>
      </c>
      <c r="B29" s="39" t="n">
        <f aca="false">MY_PH(B$2,$A29)</f>
        <v>2015</v>
      </c>
      <c r="C29" s="39" t="n">
        <f aca="false">MY_PH(C$2,$A29)</f>
        <v>2015</v>
      </c>
      <c r="D29" s="39" t="n">
        <f aca="false">MY_PH(D$2,$A29)</f>
        <v>2015</v>
      </c>
      <c r="E29" s="39" t="n">
        <f aca="false">MY_PH(E$2,$A29)</f>
        <v>2015</v>
      </c>
      <c r="F29" s="39" t="n">
        <f aca="false">MY_PH(F$2,$A29)</f>
        <v>2015</v>
      </c>
      <c r="G29" s="39" t="n">
        <f aca="false">MY_PH(G$2,$A29)</f>
        <v>2015</v>
      </c>
      <c r="H29" s="39" t="n">
        <f aca="false">MY_PH(H$2,$A29)</f>
        <v>0.000966461930181074</v>
      </c>
      <c r="I29" s="39" t="n">
        <f aca="false">MY_PH(I$2,$A29)</f>
        <v>0.000966466785882805</v>
      </c>
      <c r="J29" s="39" t="n">
        <f aca="false">MY_PH(J$2,$A29)</f>
        <v>0.000966471641619577</v>
      </c>
      <c r="K29" s="39" t="n">
        <f aca="false">MY_PH(K$2,$A29)</f>
        <v>0.000966476497391431</v>
      </c>
      <c r="L29" s="39" t="n">
        <f aca="false">MY_PH(L$2,$A29)</f>
        <v>0.000966481353198348</v>
      </c>
      <c r="M29" s="39" t="n">
        <f aca="false">MY_PH(M$2,$A29)</f>
        <v>0.000966486209040334</v>
      </c>
      <c r="N29" s="39" t="n">
        <f aca="false">MY_PH(N$2,$A29)</f>
        <v>0.000966491064917387</v>
      </c>
      <c r="O29" s="39" t="n">
        <f aca="false">MY_PH(O$2,$A29)</f>
        <v>0.000966495920829499</v>
      </c>
      <c r="P29" s="39" t="n">
        <f aca="false">MY_PH(P$2,$A29)</f>
        <v>0.000966544481879482</v>
      </c>
      <c r="Q29" s="39" t="n">
        <f aca="false">MY_PH(Q$2,$A29)</f>
        <v>0.000966593046436637</v>
      </c>
      <c r="R29" s="39" t="n">
        <f aca="false">MY_PH(R$2,$A29)</f>
        <v>0.000966641614501322</v>
      </c>
      <c r="S29" s="39" t="n">
        <f aca="false">MY_PH(S$2,$A29)</f>
        <v>0.000966690186073911</v>
      </c>
      <c r="T29" s="39" t="n">
        <f aca="false">MY_PH(T$2,$A29)</f>
        <v>0.00096673876115476</v>
      </c>
      <c r="U29" s="39" t="n">
        <f aca="false">MY_PH(U$2,$A29)</f>
        <v>0.000966787339744259</v>
      </c>
      <c r="V29" s="39" t="n">
        <f aca="false">MY_PH(V$2,$A29)</f>
        <v>0.000966835921842755</v>
      </c>
      <c r="W29" s="39" t="n">
        <f aca="false">MY_PH(W$2,$A29)</f>
        <v>0.000966884507450619</v>
      </c>
      <c r="X29" s="39" t="n">
        <f aca="false">MY_PH(X$2,$A29)</f>
        <v>0.000966933096568212</v>
      </c>
      <c r="Y29" s="39" t="n">
        <f aca="false">MY_PH(Y$2,$A29)</f>
        <v>0.000967419180860301</v>
      </c>
      <c r="Z29" s="39" t="n">
        <f aca="false">MY_PH(Z$2,$A29)</f>
        <v>0.000967905616529727</v>
      </c>
      <c r="AA29" s="39" t="n">
        <f aca="false">MY_PH(AA$2,$A29)</f>
        <v>0.000968392403944098</v>
      </c>
      <c r="AB29" s="39" t="n">
        <f aca="false">MY_PH(AB$2,$A29)</f>
        <v>0.000968879543471597</v>
      </c>
      <c r="AC29" s="39" t="n">
        <f aca="false">MY_PH(AC$2,$A29)</f>
        <v>0.000969367035480908</v>
      </c>
      <c r="AD29" s="39" t="n">
        <f aca="false">MY_PH(AD$2,$A29)</f>
        <v>0.000969854880341216</v>
      </c>
      <c r="AE29" s="39" t="n">
        <f aca="false">MY_PH(AE$2,$A29)</f>
        <v>0.000970343078422279</v>
      </c>
      <c r="AF29" s="39" t="n">
        <f aca="false">MY_PH(AF$2,$A29)</f>
        <v>0.00097083163009433</v>
      </c>
      <c r="AG29" s="39" t="n">
        <f aca="false">MY_PH(AG$2,$A29)</f>
        <v>0.000971320535728153</v>
      </c>
      <c r="AH29" s="39" t="n">
        <f aca="false">MY_PH(AH$2,$A29)</f>
        <v>0.000976229141914583</v>
      </c>
      <c r="AI29" s="39" t="n">
        <f aca="false">MY_PH(AI$2,$A29)</f>
        <v>0.000981173556083879</v>
      </c>
      <c r="AJ29" s="39" t="n">
        <f aca="false">MY_PH(AJ$2,$A29)</f>
        <v>0.000986154157851343</v>
      </c>
      <c r="AK29" s="39" t="n">
        <f aca="false">MY_PH(AK$2,$A29)</f>
        <v>0.000991171332305567</v>
      </c>
      <c r="AL29" s="39" t="n">
        <f aca="false">MY_PH(AL$2,$A29)</f>
        <v>0.000996225470106597</v>
      </c>
      <c r="AM29" s="39" t="n">
        <f aca="false">MY_PH(AM$2,$A29)</f>
        <v>0.00100131696758586</v>
      </c>
      <c r="AN29" s="39" t="n">
        <f aca="false">MY_PH(AN$2,$A29)</f>
        <v>0.00100644622684857</v>
      </c>
      <c r="AO29" s="39" t="n">
        <f aca="false">MY_PH(AO$2,$A29)</f>
        <v>0.00101161365587771</v>
      </c>
      <c r="AP29" s="39" t="n">
        <f aca="false">MY_PH(AP$2,$A29)</f>
        <v>0.00101681966864055</v>
      </c>
      <c r="AQ29" s="39" t="n">
        <f aca="false">MY_PH(AQ$2,$A29)</f>
        <v>0.00107109747725413</v>
      </c>
      <c r="AR29" s="39" t="n">
        <f aca="false">MY_PH(AR$2,$A29)</f>
        <v>0.00108282688964573</v>
      </c>
      <c r="AS29" s="39" t="n">
        <f aca="false">MY_PH(AS$2,$A29)</f>
        <v>0.0010882088335136</v>
      </c>
    </row>
    <row r="30" customFormat="false" ht="13.8" hidden="false" customHeight="false" outlineLevel="0" collapsed="false">
      <c r="A30" s="0" t="n">
        <v>100</v>
      </c>
      <c r="B30" s="39" t="n">
        <f aca="false">MY_PH(B$2,$A30)</f>
        <v>2015</v>
      </c>
      <c r="C30" s="39" t="n">
        <f aca="false">MY_PH(C$2,$A30)</f>
        <v>2015</v>
      </c>
      <c r="D30" s="39" t="n">
        <f aca="false">MY_PH(D$2,$A30)</f>
        <v>2015</v>
      </c>
      <c r="E30" s="39" t="n">
        <f aca="false">MY_PH(E$2,$A30)</f>
        <v>2015</v>
      </c>
      <c r="F30" s="39" t="n">
        <f aca="false">MY_PH(F$2,$A30)</f>
        <v>2015</v>
      </c>
      <c r="G30" s="39" t="n">
        <f aca="false">MY_PH(G$2,$A30)</f>
        <v>2015</v>
      </c>
      <c r="H30" s="39" t="n">
        <f aca="false">MY_PH(H$2,$A30)</f>
        <v>0.000913571210834714</v>
      </c>
      <c r="I30" s="39" t="n">
        <f aca="false">MY_PH(I$2,$A30)</f>
        <v>0.000913575669252603</v>
      </c>
      <c r="J30" s="39" t="n">
        <f aca="false">MY_PH(J$2,$A30)</f>
        <v>0.000913580127701594</v>
      </c>
      <c r="K30" s="39" t="n">
        <f aca="false">MY_PH(K$2,$A30)</f>
        <v>0.00091358458618173</v>
      </c>
      <c r="L30" s="39" t="n">
        <f aca="false">MY_PH(L$2,$A30)</f>
        <v>0.000913589044692979</v>
      </c>
      <c r="M30" s="39" t="n">
        <f aca="false">MY_PH(M$2,$A30)</f>
        <v>0.000913593503235353</v>
      </c>
      <c r="N30" s="39" t="n">
        <f aca="false">MY_PH(N$2,$A30)</f>
        <v>0.000913597961808827</v>
      </c>
      <c r="O30" s="39" t="n">
        <f aca="false">MY_PH(O$2,$A30)</f>
        <v>0.000913602420413435</v>
      </c>
      <c r="P30" s="39" t="n">
        <f aca="false">MY_PH(P$2,$A30)</f>
        <v>0.00091364700817127</v>
      </c>
      <c r="Q30" s="39" t="n">
        <f aca="false">MY_PH(Q$2,$A30)</f>
        <v>0.000913691599041546</v>
      </c>
      <c r="R30" s="39" t="n">
        <f aca="false">MY_PH(R$2,$A30)</f>
        <v>0.000913736193024618</v>
      </c>
      <c r="S30" s="39" t="n">
        <f aca="false">MY_PH(S$2,$A30)</f>
        <v>0.000913780790120768</v>
      </c>
      <c r="T30" s="39" t="n">
        <f aca="false">MY_PH(T$2,$A30)</f>
        <v>0.000913825390330323</v>
      </c>
      <c r="U30" s="39" t="n">
        <f aca="false">MY_PH(U$2,$A30)</f>
        <v>0.000913869993653609</v>
      </c>
      <c r="V30" s="39" t="n">
        <f aca="false">MY_PH(V$2,$A30)</f>
        <v>0.000913914600090932</v>
      </c>
      <c r="W30" s="39" t="n">
        <f aca="false">MY_PH(W$2,$A30)</f>
        <v>0.000913959209642589</v>
      </c>
      <c r="X30" s="39" t="n">
        <f aca="false">MY_PH(X$2,$A30)</f>
        <v>0.000914003822308913</v>
      </c>
      <c r="Y30" s="39" t="n">
        <f aca="false">MY_PH(Y$2,$A30)</f>
        <v>0.0009144501203476</v>
      </c>
      <c r="Z30" s="39" t="n">
        <f aca="false">MY_PH(Z$2,$A30)</f>
        <v>0.000914896730197985</v>
      </c>
      <c r="AA30" s="39" t="n">
        <f aca="false">MY_PH(AA$2,$A30)</f>
        <v>0.000915343652174703</v>
      </c>
      <c r="AB30" s="39" t="n">
        <f aca="false">MY_PH(AB$2,$A30)</f>
        <v>0.0009157908865928</v>
      </c>
      <c r="AC30" s="39" t="n">
        <f aca="false">MY_PH(AC$2,$A30)</f>
        <v>0.000916238433767731</v>
      </c>
      <c r="AD30" s="39" t="n">
        <f aca="false">MY_PH(AD$2,$A30)</f>
        <v>0.000916686294015404</v>
      </c>
      <c r="AE30" s="39" t="n">
        <f aca="false">MY_PH(AE$2,$A30)</f>
        <v>0.000917134467652186</v>
      </c>
      <c r="AF30" s="39" t="n">
        <f aca="false">MY_PH(AF$2,$A30)</f>
        <v>0.000917582954994805</v>
      </c>
      <c r="AG30" s="39" t="n">
        <f aca="false">MY_PH(AG$2,$A30)</f>
        <v>0.000918031756360518</v>
      </c>
      <c r="AH30" s="39" t="n">
        <f aca="false">MY_PH(AH$2,$A30)</f>
        <v>0.000922537111383785</v>
      </c>
      <c r="AI30" s="39" t="n">
        <f aca="false">MY_PH(AI$2,$A30)</f>
        <v>0.000927074220894497</v>
      </c>
      <c r="AJ30" s="39" t="n">
        <f aca="false">MY_PH(AJ$2,$A30)</f>
        <v>0.00093164340938265</v>
      </c>
      <c r="AK30" s="39" t="n">
        <f aca="false">MY_PH(AK$2,$A30)</f>
        <v>0.000936245005848351</v>
      </c>
      <c r="AL30" s="39" t="n">
        <f aca="false">MY_PH(AL$2,$A30)</f>
        <v>0.00094087934388042</v>
      </c>
      <c r="AM30" s="39" t="n">
        <f aca="false">MY_PH(AM$2,$A30)</f>
        <v>0.000945546761736403</v>
      </c>
      <c r="AN30" s="39" t="n">
        <f aca="false">MY_PH(AN$2,$A30)</f>
        <v>0.00095024760242433</v>
      </c>
      <c r="AO30" s="39" t="n">
        <f aca="false">MY_PH(AO$2,$A30)</f>
        <v>0.00095498221378595</v>
      </c>
      <c r="AP30" s="39" t="n">
        <f aca="false">MY_PH(AP$2,$A30)</f>
        <v>0.000959750948581696</v>
      </c>
      <c r="AQ30" s="39" t="n">
        <f aca="false">MY_PH(AQ$2,$A30)</f>
        <v>0.00100939638829344</v>
      </c>
      <c r="AR30" s="39" t="n">
        <f aca="false">MY_PH(AR$2,$A30)</f>
        <v>0.00102010720234813</v>
      </c>
      <c r="AS30" s="39" t="n">
        <f aca="false">MY_PH(AS$2,$A30)</f>
        <v>0.00102501968814843</v>
      </c>
    </row>
    <row r="31" customFormat="false" ht="13.8" hidden="false" customHeight="false" outlineLevel="0" collapsed="false">
      <c r="A31" s="0" t="n">
        <v>200</v>
      </c>
      <c r="B31" s="39" t="n">
        <f aca="false">MY_PH(B$2,$A31)</f>
        <v>2015</v>
      </c>
      <c r="C31" s="39" t="n">
        <f aca="false">MY_PH(C$2,$A31)</f>
        <v>2015</v>
      </c>
      <c r="D31" s="39" t="n">
        <f aca="false">MY_PH(D$2,$A31)</f>
        <v>2015</v>
      </c>
      <c r="E31" s="39" t="n">
        <f aca="false">MY_PH(E$2,$A31)</f>
        <v>2015</v>
      </c>
      <c r="F31" s="39" t="n">
        <f aca="false">MY_PH(F$2,$A31)</f>
        <v>2015</v>
      </c>
      <c r="G31" s="39" t="n">
        <f aca="false">MY_PH(G$2,$A31)</f>
        <v>2015</v>
      </c>
      <c r="H31" s="39" t="n">
        <f aca="false">MY_PH(H$2,$A31)</f>
        <v>2015</v>
      </c>
      <c r="I31" s="39" t="n">
        <f aca="false">MY_PH(I$2,$A31)</f>
        <v>2015</v>
      </c>
      <c r="J31" s="39" t="n">
        <f aca="false">MY_PH(J$2,$A31)</f>
        <v>2015</v>
      </c>
      <c r="K31" s="39" t="n">
        <f aca="false">MY_PH(K$2,$A31)</f>
        <v>2015</v>
      </c>
      <c r="L31" s="39" t="n">
        <f aca="false">MY_PH(L$2,$A31)</f>
        <v>2015</v>
      </c>
      <c r="M31" s="39" t="n">
        <f aca="false">MY_PH(M$2,$A31)</f>
        <v>2015</v>
      </c>
      <c r="N31" s="39" t="n">
        <f aca="false">MY_PH(N$2,$A31)</f>
        <v>2015</v>
      </c>
      <c r="O31" s="39" t="n">
        <f aca="false">MY_PH(O$2,$A31)</f>
        <v>2015</v>
      </c>
      <c r="P31" s="39" t="n">
        <f aca="false">MY_PH(P$2,$A31)</f>
        <v>0.000567876690534356</v>
      </c>
      <c r="Q31" s="39" t="n">
        <f aca="false">MY_PH(Q$2,$A31)</f>
        <v>0.00056789862555741</v>
      </c>
      <c r="R31" s="39" t="n">
        <f aca="false">MY_PH(R$2,$A31)</f>
        <v>0.000567920561731424</v>
      </c>
      <c r="S31" s="39" t="n">
        <f aca="false">MY_PH(S$2,$A31)</f>
        <v>0.000567942499056486</v>
      </c>
      <c r="T31" s="39" t="n">
        <f aca="false">MY_PH(T$2,$A31)</f>
        <v>0.000567964437532672</v>
      </c>
      <c r="U31" s="39" t="n">
        <f aca="false">MY_PH(U$2,$A31)</f>
        <v>0.000567986377160077</v>
      </c>
      <c r="V31" s="39" t="n">
        <f aca="false">MY_PH(V$2,$A31)</f>
        <v>0.000568008317938785</v>
      </c>
      <c r="W31" s="39" t="n">
        <f aca="false">MY_PH(W$2,$A31)</f>
        <v>0.000568030259868874</v>
      </c>
      <c r="X31" s="39" t="n">
        <f aca="false">MY_PH(X$2,$A31)</f>
        <v>0.000568052202950438</v>
      </c>
      <c r="Y31" s="39" t="n">
        <f aca="false">MY_PH(Y$2,$A31)</f>
        <v>0.000568271697115643</v>
      </c>
      <c r="Z31" s="39" t="n">
        <f aca="false">MY_PH(Z$2,$A31)</f>
        <v>0.000568491306521591</v>
      </c>
      <c r="AA31" s="39" t="n">
        <f aca="false">MY_PH(AA$2,$A31)</f>
        <v>0.000568711031253512</v>
      </c>
      <c r="AB31" s="39" t="n">
        <f aca="false">MY_PH(AB$2,$A31)</f>
        <v>0.000568930871396735</v>
      </c>
      <c r="AC31" s="39" t="n">
        <f aca="false">MY_PH(AC$2,$A31)</f>
        <v>0.000569150827036673</v>
      </c>
      <c r="AD31" s="39" t="n">
        <f aca="false">MY_PH(AD$2,$A31)</f>
        <v>0.000569370898258802</v>
      </c>
      <c r="AE31" s="39" t="n">
        <f aca="false">MY_PH(AE$2,$A31)</f>
        <v>0.000569591085148693</v>
      </c>
      <c r="AF31" s="39" t="n">
        <f aca="false">MY_PH(AF$2,$A31)</f>
        <v>0.000569811387791984</v>
      </c>
      <c r="AG31" s="39" t="n">
        <f aca="false">MY_PH(AG$2,$A31)</f>
        <v>0.000570031806274405</v>
      </c>
      <c r="AH31" s="39" t="n">
        <f aca="false">MY_PH(AH$2,$A31)</f>
        <v>0.000572242381166713</v>
      </c>
      <c r="AI31" s="39" t="n">
        <f aca="false">MY_PH(AI$2,$A31)</f>
        <v>0.000574464634862358</v>
      </c>
      <c r="AJ31" s="39" t="n">
        <f aca="false">MY_PH(AJ$2,$A31)</f>
        <v>0.000576698654415536</v>
      </c>
      <c r="AK31" s="39" t="n">
        <f aca="false">MY_PH(AK$2,$A31)</f>
        <v>0.000578944527701328</v>
      </c>
      <c r="AL31" s="39" t="n">
        <f aca="false">MY_PH(AL$2,$A31)</f>
        <v>0.000581202343427314</v>
      </c>
      <c r="AM31" s="39" t="n">
        <f aca="false">MY_PH(AM$2,$A31)</f>
        <v>0.000583472191145177</v>
      </c>
      <c r="AN31" s="39" t="n">
        <f aca="false">MY_PH(AN$2,$A31)</f>
        <v>0.000585754161262587</v>
      </c>
      <c r="AO31" s="39" t="n">
        <f aca="false">MY_PH(AO$2,$A31)</f>
        <v>0.00058804834505515</v>
      </c>
      <c r="AP31" s="39" t="n">
        <f aca="false">MY_PH(AP$2,$A31)</f>
        <v>0.000590354834678527</v>
      </c>
      <c r="AQ31" s="39" t="n">
        <f aca="false">MY_PH(AQ$2,$A31)</f>
        <v>0.000614117480197988</v>
      </c>
      <c r="AR31" s="39" t="n">
        <f aca="false">MY_PH(AR$2,$A31)</f>
        <v>0.00061918522311495</v>
      </c>
      <c r="AS31" s="39" t="n">
        <f aca="false">MY_PH(AS$2,$A31)</f>
        <v>0.000621502612098672</v>
      </c>
    </row>
    <row r="32" customFormat="false" ht="13.8" hidden="false" customHeight="false" outlineLevel="0" collapsed="false">
      <c r="A32" s="0" t="n">
        <v>300</v>
      </c>
      <c r="B32" s="39" t="n">
        <f aca="false">MY_PH(B$2,$A32)</f>
        <v>2015</v>
      </c>
      <c r="C32" s="39" t="n">
        <f aca="false">MY_PH(C$2,$A32)</f>
        <v>2015</v>
      </c>
      <c r="D32" s="39" t="n">
        <f aca="false">MY_PH(D$2,$A32)</f>
        <v>2015</v>
      </c>
      <c r="E32" s="39" t="n">
        <f aca="false">MY_PH(E$2,$A32)</f>
        <v>2015</v>
      </c>
      <c r="F32" s="39" t="n">
        <f aca="false">MY_PH(F$2,$A32)</f>
        <v>2015</v>
      </c>
      <c r="G32" s="39" t="n">
        <f aca="false">MY_PH(G$2,$A32)</f>
        <v>2015</v>
      </c>
      <c r="H32" s="39" t="n">
        <f aca="false">MY_PH(H$2,$A32)</f>
        <v>2015</v>
      </c>
      <c r="I32" s="39" t="n">
        <f aca="false">MY_PH(I$2,$A32)</f>
        <v>2015</v>
      </c>
      <c r="J32" s="39" t="n">
        <f aca="false">MY_PH(J$2,$A32)</f>
        <v>2015</v>
      </c>
      <c r="K32" s="39" t="n">
        <f aca="false">MY_PH(K$2,$A32)</f>
        <v>2015</v>
      </c>
      <c r="L32" s="39" t="n">
        <f aca="false">MY_PH(L$2,$A32)</f>
        <v>2015</v>
      </c>
      <c r="M32" s="39" t="n">
        <f aca="false">MY_PH(M$2,$A32)</f>
        <v>2015</v>
      </c>
      <c r="N32" s="39" t="n">
        <f aca="false">MY_PH(N$2,$A32)</f>
        <v>2015</v>
      </c>
      <c r="O32" s="39" t="n">
        <f aca="false">MY_PH(O$2,$A32)</f>
        <v>2015</v>
      </c>
      <c r="P32" s="39" t="n">
        <f aca="false">MY_PH(P$2,$A32)</f>
        <v>2015</v>
      </c>
      <c r="Q32" s="39" t="n">
        <f aca="false">MY_PH(Q$2,$A32)</f>
        <v>2015</v>
      </c>
      <c r="R32" s="39" t="n">
        <f aca="false">MY_PH(R$2,$A32)</f>
        <v>0.000394841044310774</v>
      </c>
      <c r="S32" s="39" t="n">
        <f aca="false">MY_PH(S$2,$A32)</f>
        <v>0.000394853968830459</v>
      </c>
      <c r="T32" s="39" t="n">
        <f aca="false">MY_PH(T$2,$A32)</f>
        <v>0.000394866893888789</v>
      </c>
      <c r="U32" s="39" t="n">
        <f aca="false">MY_PH(U$2,$A32)</f>
        <v>0.000394879819485793</v>
      </c>
      <c r="V32" s="39" t="n">
        <f aca="false">MY_PH(V$2,$A32)</f>
        <v>0.000394892745621505</v>
      </c>
      <c r="W32" s="39" t="n">
        <f aca="false">MY_PH(W$2,$A32)</f>
        <v>0.000394905672295953</v>
      </c>
      <c r="X32" s="39" t="n">
        <f aca="false">MY_PH(X$2,$A32)</f>
        <v>0.000394918599509181</v>
      </c>
      <c r="Y32" s="39" t="n">
        <f aca="false">MY_PH(Y$2,$A32)</f>
        <v>0.000395047901280967</v>
      </c>
      <c r="Z32" s="39" t="n">
        <f aca="false">MY_PH(Z$2,$A32)</f>
        <v>0.000395177256965518</v>
      </c>
      <c r="AA32" s="39" t="n">
        <f aca="false">MY_PH(AA$2,$A32)</f>
        <v>0.000395306666595193</v>
      </c>
      <c r="AB32" s="39" t="n">
        <f aca="false">MY_PH(AB$2,$A32)</f>
        <v>0.000395436130202367</v>
      </c>
      <c r="AC32" s="39" t="n">
        <f aca="false">MY_PH(AC$2,$A32)</f>
        <v>0.000395565647819438</v>
      </c>
      <c r="AD32" s="39" t="n">
        <f aca="false">MY_PH(AD$2,$A32)</f>
        <v>0.00039569521947881</v>
      </c>
      <c r="AE32" s="39" t="n">
        <f aca="false">MY_PH(AE$2,$A32)</f>
        <v>0.000395824845212909</v>
      </c>
      <c r="AF32" s="39" t="n">
        <f aca="false">MY_PH(AF$2,$A32)</f>
        <v>0.000395954525054183</v>
      </c>
      <c r="AG32" s="39" t="n">
        <f aca="false">MY_PH(AG$2,$A32)</f>
        <v>0.000396084259035078</v>
      </c>
      <c r="AH32" s="39" t="n">
        <f aca="false">MY_PH(AH$2,$A32)</f>
        <v>0.000397384583675711</v>
      </c>
      <c r="AI32" s="39" t="n">
        <f aca="false">MY_PH(AI$2,$A32)</f>
        <v>0.000398690358102885</v>
      </c>
      <c r="AJ32" s="39" t="n">
        <f aca="false">MY_PH(AJ$2,$A32)</f>
        <v>0.000400001615044876</v>
      </c>
      <c r="AK32" s="39" t="n">
        <f aca="false">MY_PH(AK$2,$A32)</f>
        <v>0.000401318387398522</v>
      </c>
      <c r="AL32" s="39" t="n">
        <f aca="false">MY_PH(AL$2,$A32)</f>
        <v>0.000402640708232727</v>
      </c>
      <c r="AM32" s="39" t="n">
        <f aca="false">MY_PH(AM$2,$A32)</f>
        <v>0.00040396861079191</v>
      </c>
      <c r="AN32" s="39" t="n">
        <f aca="false">MY_PH(AN$2,$A32)</f>
        <v>0.000405302128499501</v>
      </c>
      <c r="AO32" s="39" t="n">
        <f aca="false">MY_PH(AO$2,$A32)</f>
        <v>0.000406641294961376</v>
      </c>
      <c r="AP32" s="39" t="n">
        <f aca="false">MY_PH(AP$2,$A32)</f>
        <v>0.000407986143969317</v>
      </c>
      <c r="AQ32" s="39" t="n">
        <f aca="false">MY_PH(AQ$2,$A32)</f>
        <v>0.000421754748083485</v>
      </c>
      <c r="AR32" s="39" t="n">
        <f aca="false">MY_PH(AR$2,$A32)</f>
        <v>0.000424670868668742</v>
      </c>
      <c r="AS32" s="39" t="n">
        <f aca="false">MY_PH(AS$2,$A32)</f>
        <v>0.000426002011031876</v>
      </c>
    </row>
    <row r="33" customFormat="false" ht="13.8" hidden="false" customHeight="false" outlineLevel="0" collapsed="false">
      <c r="A33" s="0" t="n">
        <v>400</v>
      </c>
      <c r="B33" s="39" t="n">
        <f aca="false">MY_PH(B$2,$A33)</f>
        <v>2015</v>
      </c>
      <c r="C33" s="39" t="n">
        <f aca="false">MY_PH(C$2,$A33)</f>
        <v>2015</v>
      </c>
      <c r="D33" s="39" t="n">
        <f aca="false">MY_PH(D$2,$A33)</f>
        <v>2015</v>
      </c>
      <c r="E33" s="39" t="n">
        <f aca="false">MY_PH(E$2,$A33)</f>
        <v>2015</v>
      </c>
      <c r="F33" s="39" t="n">
        <f aca="false">MY_PH(F$2,$A33)</f>
        <v>2015</v>
      </c>
      <c r="G33" s="39" t="n">
        <f aca="false">MY_PH(G$2,$A33)</f>
        <v>2015</v>
      </c>
      <c r="H33" s="39" t="n">
        <f aca="false">MY_PH(H$2,$A33)</f>
        <v>2015</v>
      </c>
      <c r="I33" s="39" t="n">
        <f aca="false">MY_PH(I$2,$A33)</f>
        <v>2015</v>
      </c>
      <c r="J33" s="39" t="n">
        <f aca="false">MY_PH(J$2,$A33)</f>
        <v>2015</v>
      </c>
      <c r="K33" s="39" t="n">
        <f aca="false">MY_PH(K$2,$A33)</f>
        <v>2015</v>
      </c>
      <c r="L33" s="39" t="n">
        <f aca="false">MY_PH(L$2,$A33)</f>
        <v>2015</v>
      </c>
      <c r="M33" s="39" t="n">
        <f aca="false">MY_PH(M$2,$A33)</f>
        <v>2015</v>
      </c>
      <c r="N33" s="39" t="n">
        <f aca="false">MY_PH(N$2,$A33)</f>
        <v>2015</v>
      </c>
      <c r="O33" s="39" t="n">
        <f aca="false">MY_PH(O$2,$A33)</f>
        <v>2015</v>
      </c>
      <c r="P33" s="39" t="n">
        <f aca="false">MY_PH(P$2,$A33)</f>
        <v>2015</v>
      </c>
      <c r="Q33" s="39" t="n">
        <f aca="false">MY_PH(Q$2,$A33)</f>
        <v>2015</v>
      </c>
      <c r="R33" s="39" t="n">
        <f aca="false">MY_PH(R$2,$A33)</f>
        <v>2015</v>
      </c>
      <c r="S33" s="39" t="n">
        <f aca="false">MY_PH(S$2,$A33)</f>
        <v>2015</v>
      </c>
      <c r="T33" s="39" t="n">
        <f aca="false">MY_PH(T$2,$A33)</f>
        <v>2015</v>
      </c>
      <c r="U33" s="39" t="n">
        <f aca="false">MY_PH(U$2,$A33)</f>
        <v>2015</v>
      </c>
      <c r="V33" s="39" t="n">
        <f aca="false">MY_PH(V$2,$A33)</f>
        <v>2015</v>
      </c>
      <c r="W33" s="39" t="n">
        <f aca="false">MY_PH(W$2,$A33)</f>
        <v>0.000295758153496258</v>
      </c>
      <c r="X33" s="39" t="n">
        <f aca="false">MY_PH(X$2,$A33)</f>
        <v>0.000295766704601981</v>
      </c>
      <c r="Y33" s="39" t="n">
        <f aca="false">MY_PH(Y$2,$A33)</f>
        <v>0.000295852231311747</v>
      </c>
      <c r="Z33" s="39" t="n">
        <f aca="false">MY_PH(Z$2,$A33)</f>
        <v>0.000295937786491762</v>
      </c>
      <c r="AA33" s="39" t="n">
        <f aca="false">MY_PH(AA$2,$A33)</f>
        <v>0.000296023370157893</v>
      </c>
      <c r="AB33" s="39" t="n">
        <f aca="false">MY_PH(AB$2,$A33)</f>
        <v>0.000296108982326004</v>
      </c>
      <c r="AC33" s="39" t="n">
        <f aca="false">MY_PH(AC$2,$A33)</f>
        <v>0.000296194623011954</v>
      </c>
      <c r="AD33" s="39" t="n">
        <f aca="false">MY_PH(AD$2,$A33)</f>
        <v>0.000296280292231608</v>
      </c>
      <c r="AE33" s="39" t="n">
        <f aca="false">MY_PH(AE$2,$A33)</f>
        <v>0.000296365990000814</v>
      </c>
      <c r="AF33" s="39" t="n">
        <f aca="false">MY_PH(AF$2,$A33)</f>
        <v>0.00029645171633543</v>
      </c>
      <c r="AG33" s="39" t="n">
        <f aca="false">MY_PH(AG$2,$A33)</f>
        <v>0.000296537471251303</v>
      </c>
      <c r="AH33" s="39" t="n">
        <f aca="false">MY_PH(AH$2,$A33)</f>
        <v>0.000297396595864632</v>
      </c>
      <c r="AI33" s="39" t="n">
        <f aca="false">MY_PH(AI$2,$A33)</f>
        <v>0.00029825859602122</v>
      </c>
      <c r="AJ33" s="39" t="n">
        <f aca="false">MY_PH(AJ$2,$A33)</f>
        <v>0.00029912348753293</v>
      </c>
      <c r="AK33" s="39" t="n">
        <f aca="false">MY_PH(AK$2,$A33)</f>
        <v>0.000299991286191631</v>
      </c>
      <c r="AL33" s="39" t="n">
        <f aca="false">MY_PH(AL$2,$A33)</f>
        <v>0.000300862007771923</v>
      </c>
      <c r="AM33" s="39" t="n">
        <f aca="false">MY_PH(AM$2,$A33)</f>
        <v>0.000301735668033853</v>
      </c>
      <c r="AN33" s="39" t="n">
        <f aca="false">MY_PH(AN$2,$A33)</f>
        <v>0.000302612282725573</v>
      </c>
      <c r="AO33" s="39" t="n">
        <f aca="false">MY_PH(AO$2,$A33)</f>
        <v>0.000303491867585997</v>
      </c>
      <c r="AP33" s="39" t="n">
        <f aca="false">MY_PH(AP$2,$A33)</f>
        <v>0.000304374438347397</v>
      </c>
      <c r="AQ33" s="39" t="n">
        <f aca="false">MY_PH(AQ$2,$A33)</f>
        <v>0.000313367831918982</v>
      </c>
      <c r="AR33" s="39" t="n">
        <f aca="false">MY_PH(AR$2,$A33)</f>
        <v>0.000315262824176928</v>
      </c>
      <c r="AS33" s="39" t="n">
        <f aca="false">MY_PH(AS$2,$A33)</f>
        <v>0.000316126726060323</v>
      </c>
    </row>
    <row r="34" customFormat="false" ht="13.8" hidden="false" customHeight="false" outlineLevel="0" collapsed="false">
      <c r="A34" s="0" t="n">
        <v>500</v>
      </c>
      <c r="B34" s="39" t="n">
        <f aca="false">MY_PH(B$2,$A34)</f>
        <v>2015</v>
      </c>
      <c r="C34" s="39" t="n">
        <f aca="false">MY_PH(C$2,$A34)</f>
        <v>2015</v>
      </c>
      <c r="D34" s="39" t="n">
        <f aca="false">MY_PH(D$2,$A34)</f>
        <v>2015</v>
      </c>
      <c r="E34" s="39" t="n">
        <f aca="false">MY_PH(E$2,$A34)</f>
        <v>2015</v>
      </c>
      <c r="F34" s="39" t="n">
        <f aca="false">MY_PH(F$2,$A34)</f>
        <v>2015</v>
      </c>
      <c r="G34" s="39" t="n">
        <f aca="false">MY_PH(G$2,$A34)</f>
        <v>2015</v>
      </c>
      <c r="H34" s="39" t="n">
        <f aca="false">MY_PH(H$2,$A34)</f>
        <v>2015</v>
      </c>
      <c r="I34" s="39" t="n">
        <f aca="false">MY_PH(I$2,$A34)</f>
        <v>2015</v>
      </c>
      <c r="J34" s="39" t="n">
        <f aca="false">MY_PH(J$2,$A34)</f>
        <v>2015</v>
      </c>
      <c r="K34" s="39" t="n">
        <f aca="false">MY_PH(K$2,$A34)</f>
        <v>2015</v>
      </c>
      <c r="L34" s="39" t="n">
        <f aca="false">MY_PH(L$2,$A34)</f>
        <v>2015</v>
      </c>
      <c r="M34" s="39" t="n">
        <f aca="false">MY_PH(M$2,$A34)</f>
        <v>2015</v>
      </c>
      <c r="N34" s="39" t="n">
        <f aca="false">MY_PH(N$2,$A34)</f>
        <v>2015</v>
      </c>
      <c r="O34" s="39" t="n">
        <f aca="false">MY_PH(O$2,$A34)</f>
        <v>2015</v>
      </c>
      <c r="P34" s="39" t="n">
        <f aca="false">MY_PH(P$2,$A34)</f>
        <v>2015</v>
      </c>
      <c r="Q34" s="39" t="n">
        <f aca="false">MY_PH(Q$2,$A34)</f>
        <v>2015</v>
      </c>
      <c r="R34" s="39" t="n">
        <f aca="false">MY_PH(R$2,$A34)</f>
        <v>2015</v>
      </c>
      <c r="S34" s="39" t="n">
        <f aca="false">MY_PH(S$2,$A34)</f>
        <v>2015</v>
      </c>
      <c r="T34" s="39" t="n">
        <f aca="false">MY_PH(T$2,$A34)</f>
        <v>2015</v>
      </c>
      <c r="U34" s="39" t="n">
        <f aca="false">MY_PH(U$2,$A34)</f>
        <v>2015</v>
      </c>
      <c r="V34" s="39" t="n">
        <f aca="false">MY_PH(V$2,$A34)</f>
        <v>2015</v>
      </c>
      <c r="W34" s="39" t="n">
        <f aca="false">MY_PH(W$2,$A34)</f>
        <v>2015</v>
      </c>
      <c r="X34" s="39" t="n">
        <f aca="false">MY_PH(X$2,$A34)</f>
        <v>2015</v>
      </c>
      <c r="Y34" s="39" t="n">
        <f aca="false">MY_PH(Y$2,$A34)</f>
        <v>0.000233898627173452</v>
      </c>
      <c r="Z34" s="39" t="n">
        <f aca="false">MY_PH(Z$2,$A34)</f>
        <v>0.000233960232069621</v>
      </c>
      <c r="AA34" s="39" t="n">
        <f aca="false">MY_PH(AA$2,$A34)</f>
        <v>0.000234021852751386</v>
      </c>
      <c r="AB34" s="39" t="n">
        <f aca="false">MY_PH(AB$2,$A34)</f>
        <v>0.000234083489229047</v>
      </c>
      <c r="AC34" s="39" t="n">
        <f aca="false">MY_PH(AC$2,$A34)</f>
        <v>0.000234145141512888</v>
      </c>
      <c r="AD34" s="39" t="n">
        <f aca="false">MY_PH(AD$2,$A34)</f>
        <v>0.000234206809613186</v>
      </c>
      <c r="AE34" s="39" t="n">
        <f aca="false">MY_PH(AE$2,$A34)</f>
        <v>0.000234268493540202</v>
      </c>
      <c r="AF34" s="39" t="n">
        <f aca="false">MY_PH(AF$2,$A34)</f>
        <v>0.000234330193304186</v>
      </c>
      <c r="AG34" s="39" t="n">
        <f aca="false">MY_PH(AG$2,$A34)</f>
        <v>0.000234391908915378</v>
      </c>
      <c r="AH34" s="39" t="n">
        <f aca="false">MY_PH(AH$2,$A34)</f>
        <v>0.000235009938867519</v>
      </c>
      <c r="AI34" s="39" t="n">
        <f aca="false">MY_PH(AI$2,$A34)</f>
        <v>0.000235629564714235</v>
      </c>
      <c r="AJ34" s="39" t="n">
        <f aca="false">MY_PH(AJ$2,$A34)</f>
        <v>0.000236250796500316</v>
      </c>
      <c r="AK34" s="39" t="n">
        <f aca="false">MY_PH(AK$2,$A34)</f>
        <v>0.00023687364415744</v>
      </c>
      <c r="AL34" s="39" t="n">
        <f aca="false">MY_PH(AL$2,$A34)</f>
        <v>0.000237498117507446</v>
      </c>
      <c r="AM34" s="39" t="n">
        <f aca="false">MY_PH(AM$2,$A34)</f>
        <v>0.000238124226265537</v>
      </c>
      <c r="AN34" s="39" t="n">
        <f aca="false">MY_PH(AN$2,$A34)</f>
        <v>0.000238751980043503</v>
      </c>
      <c r="AO34" s="39" t="n">
        <f aca="false">MY_PH(AO$2,$A34)</f>
        <v>0.000239381388352892</v>
      </c>
      <c r="AP34" s="39" t="n">
        <f aca="false">MY_PH(AP$2,$A34)</f>
        <v>0.000240012460608157</v>
      </c>
      <c r="AQ34" s="39" t="n">
        <f aca="false">MY_PH(AQ$2,$A34)</f>
        <v>0.000246416708080809</v>
      </c>
      <c r="AR34" s="39" t="n">
        <f aca="false">MY_PH(AR$2,$A34)</f>
        <v>0.000247760154885067</v>
      </c>
      <c r="AS34" s="39" t="n">
        <f aca="false">MY_PH(AS$2,$A34)</f>
        <v>0.000248371937098599</v>
      </c>
    </row>
    <row r="35" customFormat="false" ht="13.8" hidden="false" customHeight="false" outlineLevel="0" collapsed="false">
      <c r="A35" s="0" t="n">
        <v>600</v>
      </c>
      <c r="B35" s="39" t="n">
        <f aca="false">MY_PH(B$2,$A35)</f>
        <v>2015</v>
      </c>
      <c r="C35" s="39" t="n">
        <f aca="false">MY_PH(C$2,$A35)</f>
        <v>2015</v>
      </c>
      <c r="D35" s="39" t="n">
        <f aca="false">MY_PH(D$2,$A35)</f>
        <v>2015</v>
      </c>
      <c r="E35" s="39" t="n">
        <f aca="false">MY_PH(E$2,$A35)</f>
        <v>2015</v>
      </c>
      <c r="F35" s="39" t="n">
        <f aca="false">MY_PH(F$2,$A35)</f>
        <v>2015</v>
      </c>
      <c r="G35" s="39" t="n">
        <f aca="false">MY_PH(G$2,$A35)</f>
        <v>2015</v>
      </c>
      <c r="H35" s="39" t="n">
        <f aca="false">MY_PH(H$2,$A35)</f>
        <v>2015</v>
      </c>
      <c r="I35" s="39" t="n">
        <f aca="false">MY_PH(I$2,$A35)</f>
        <v>2015</v>
      </c>
      <c r="J35" s="39" t="n">
        <f aca="false">MY_PH(J$2,$A35)</f>
        <v>2015</v>
      </c>
      <c r="K35" s="39" t="n">
        <f aca="false">MY_PH(K$2,$A35)</f>
        <v>2015</v>
      </c>
      <c r="L35" s="39" t="n">
        <f aca="false">MY_PH(L$2,$A35)</f>
        <v>2015</v>
      </c>
      <c r="M35" s="39" t="n">
        <f aca="false">MY_PH(M$2,$A35)</f>
        <v>2015</v>
      </c>
      <c r="N35" s="39" t="n">
        <f aca="false">MY_PH(N$2,$A35)</f>
        <v>2015</v>
      </c>
      <c r="O35" s="39" t="n">
        <f aca="false">MY_PH(O$2,$A35)</f>
        <v>2015</v>
      </c>
      <c r="P35" s="39" t="n">
        <f aca="false">MY_PH(P$2,$A35)</f>
        <v>2015</v>
      </c>
      <c r="Q35" s="39" t="n">
        <f aca="false">MY_PH(Q$2,$A35)</f>
        <v>2015</v>
      </c>
      <c r="R35" s="39" t="n">
        <f aca="false">MY_PH(R$2,$A35)</f>
        <v>2015</v>
      </c>
      <c r="S35" s="39" t="n">
        <f aca="false">MY_PH(S$2,$A35)</f>
        <v>2015</v>
      </c>
      <c r="T35" s="39" t="n">
        <f aca="false">MY_PH(T$2,$A35)</f>
        <v>2015</v>
      </c>
      <c r="U35" s="39" t="n">
        <f aca="false">MY_PH(U$2,$A35)</f>
        <v>2015</v>
      </c>
      <c r="V35" s="39" t="n">
        <f aca="false">MY_PH(V$2,$A35)</f>
        <v>2015</v>
      </c>
      <c r="W35" s="39" t="n">
        <f aca="false">MY_PH(W$2,$A35)</f>
        <v>2015</v>
      </c>
      <c r="X35" s="39" t="n">
        <f aca="false">MY_PH(X$2,$A35)</f>
        <v>2015</v>
      </c>
      <c r="Y35" s="39" t="n">
        <f aca="false">MY_PH(Y$2,$A35)</f>
        <v>2015</v>
      </c>
      <c r="Z35" s="39" t="n">
        <f aca="false">MY_PH(Z$2,$A35)</f>
        <v>2015</v>
      </c>
      <c r="AA35" s="39" t="n">
        <f aca="false">MY_PH(AA$2,$A35)</f>
        <v>0.000192780838802157</v>
      </c>
      <c r="AB35" s="39" t="n">
        <f aca="false">MY_PH(AB$2,$A35)</f>
        <v>0.000192828351111671</v>
      </c>
      <c r="AC35" s="39" t="n">
        <f aca="false">MY_PH(AC$2,$A35)</f>
        <v>0.000192875871892527</v>
      </c>
      <c r="AD35" s="39" t="n">
        <f aca="false">MY_PH(AD$2,$A35)</f>
        <v>0.000192923401153845</v>
      </c>
      <c r="AE35" s="39" t="n">
        <f aca="false">MY_PH(AE$2,$A35)</f>
        <v>0.000192970938904726</v>
      </c>
      <c r="AF35" s="39" t="n">
        <f aca="false">MY_PH(AF$2,$A35)</f>
        <v>0.000193018485154253</v>
      </c>
      <c r="AG35" s="39" t="n">
        <f aca="false">MY_PH(AG$2,$A35)</f>
        <v>0.000193066039911486</v>
      </c>
      <c r="AH35" s="39" t="n">
        <f aca="false">MY_PH(AH$2,$A35)</f>
        <v>0.000193542057387701</v>
      </c>
      <c r="AI35" s="39" t="n">
        <f aca="false">MY_PH(AI$2,$A35)</f>
        <v>0.000194018935461476</v>
      </c>
      <c r="AJ35" s="39" t="n">
        <f aca="false">MY_PH(AJ$2,$A35)</f>
        <v>0.000194496682882942</v>
      </c>
      <c r="AK35" s="39" t="n">
        <f aca="false">MY_PH(AK$2,$A35)</f>
        <v>0.000194975308217713</v>
      </c>
      <c r="AL35" s="39" t="n">
        <f aca="false">MY_PH(AL$2,$A35)</f>
        <v>0.000195454819850627</v>
      </c>
      <c r="AM35" s="39" t="n">
        <f aca="false">MY_PH(AM$2,$A35)</f>
        <v>0.000195935225989535</v>
      </c>
      <c r="AN35" s="39" t="n">
        <f aca="false">MY_PH(AN$2,$A35)</f>
        <v>0.000196416534669069</v>
      </c>
      <c r="AO35" s="39" t="n">
        <f aca="false">MY_PH(AO$2,$A35)</f>
        <v>0.000196898753754449</v>
      </c>
      <c r="AP35" s="39" t="n">
        <f aca="false">MY_PH(AP$2,$A35)</f>
        <v>0.000197381890945272</v>
      </c>
      <c r="AQ35" s="39" t="n">
        <f aca="false">MY_PH(AQ$2,$A35)</f>
        <v>0.000202265341733679</v>
      </c>
      <c r="AR35" s="39" t="n">
        <f aca="false">MY_PH(AR$2,$A35)</f>
        <v>0.000203285406985071</v>
      </c>
      <c r="AS35" s="39" t="n">
        <f aca="false">MY_PH(AS$2,$A35)</f>
        <v>0.000203749441535043</v>
      </c>
    </row>
    <row r="36" customFormat="false" ht="13.8" hidden="false" customHeight="false" outlineLevel="0" collapsed="false">
      <c r="A36" s="0" t="n">
        <v>700</v>
      </c>
      <c r="B36" s="39" t="n">
        <f aca="false">MY_PH(B$2,$A36)</f>
        <v>2015</v>
      </c>
      <c r="C36" s="39" t="n">
        <f aca="false">MY_PH(C$2,$A36)</f>
        <v>2015</v>
      </c>
      <c r="D36" s="39" t="n">
        <f aca="false">MY_PH(D$2,$A36)</f>
        <v>2015</v>
      </c>
      <c r="E36" s="39" t="n">
        <f aca="false">MY_PH(E$2,$A36)</f>
        <v>2015</v>
      </c>
      <c r="F36" s="39" t="n">
        <f aca="false">MY_PH(F$2,$A36)</f>
        <v>2015</v>
      </c>
      <c r="G36" s="39" t="n">
        <f aca="false">MY_PH(G$2,$A36)</f>
        <v>2015</v>
      </c>
      <c r="H36" s="39" t="n">
        <f aca="false">MY_PH(H$2,$A36)</f>
        <v>2015</v>
      </c>
      <c r="I36" s="39" t="n">
        <f aca="false">MY_PH(I$2,$A36)</f>
        <v>2015</v>
      </c>
      <c r="J36" s="39" t="n">
        <f aca="false">MY_PH(J$2,$A36)</f>
        <v>2015</v>
      </c>
      <c r="K36" s="39" t="n">
        <f aca="false">MY_PH(K$2,$A36)</f>
        <v>2015</v>
      </c>
      <c r="L36" s="39" t="n">
        <f aca="false">MY_PH(L$2,$A36)</f>
        <v>2015</v>
      </c>
      <c r="M36" s="39" t="n">
        <f aca="false">MY_PH(M$2,$A36)</f>
        <v>2015</v>
      </c>
      <c r="N36" s="39" t="n">
        <f aca="false">MY_PH(N$2,$A36)</f>
        <v>2015</v>
      </c>
      <c r="O36" s="39" t="n">
        <f aca="false">MY_PH(O$2,$A36)</f>
        <v>2015</v>
      </c>
      <c r="P36" s="39" t="n">
        <f aca="false">MY_PH(P$2,$A36)</f>
        <v>2015</v>
      </c>
      <c r="Q36" s="39" t="n">
        <f aca="false">MY_PH(Q$2,$A36)</f>
        <v>2015</v>
      </c>
      <c r="R36" s="39" t="n">
        <f aca="false">MY_PH(R$2,$A36)</f>
        <v>2015</v>
      </c>
      <c r="S36" s="39" t="n">
        <f aca="false">MY_PH(S$2,$A36)</f>
        <v>2015</v>
      </c>
      <c r="T36" s="39" t="n">
        <f aca="false">MY_PH(T$2,$A36)</f>
        <v>2015</v>
      </c>
      <c r="U36" s="39" t="n">
        <f aca="false">MY_PH(U$2,$A36)</f>
        <v>2015</v>
      </c>
      <c r="V36" s="39" t="n">
        <f aca="false">MY_PH(V$2,$A36)</f>
        <v>2015</v>
      </c>
      <c r="W36" s="39" t="n">
        <f aca="false">MY_PH(W$2,$A36)</f>
        <v>2015</v>
      </c>
      <c r="X36" s="39" t="n">
        <f aca="false">MY_PH(X$2,$A36)</f>
        <v>2015</v>
      </c>
      <c r="Y36" s="39" t="n">
        <f aca="false">MY_PH(Y$2,$A36)</f>
        <v>2015</v>
      </c>
      <c r="Z36" s="39" t="n">
        <f aca="false">MY_PH(Z$2,$A36)</f>
        <v>2015</v>
      </c>
      <c r="AA36" s="39" t="n">
        <f aca="false">MY_PH(AA$2,$A36)</f>
        <v>2015</v>
      </c>
      <c r="AB36" s="39" t="n">
        <f aca="false">MY_PH(AB$2,$A36)</f>
        <v>2015</v>
      </c>
      <c r="AC36" s="39" t="n">
        <f aca="false">MY_PH(AC$2,$A36)</f>
        <v>2015</v>
      </c>
      <c r="AD36" s="39" t="n">
        <f aca="false">MY_PH(AD$2,$A36)</f>
        <v>2015</v>
      </c>
      <c r="AE36" s="39" t="n">
        <f aca="false">MY_PH(AE$2,$A36)</f>
        <v>0.000164086056313277</v>
      </c>
      <c r="AF36" s="39" t="n">
        <f aca="false">MY_PH(AF$2,$A36)</f>
        <v>0.000164124897933949</v>
      </c>
      <c r="AG36" s="39" t="n">
        <f aca="false">MY_PH(AG$2,$A36)</f>
        <v>0.000164163743162573</v>
      </c>
      <c r="AH36" s="39" t="n">
        <f aca="false">MY_PH(AH$2,$A36)</f>
        <v>0.000164552396103934</v>
      </c>
      <c r="AI36" s="39" t="n">
        <f aca="false">MY_PH(AI$2,$A36)</f>
        <v>0.000164941420832158</v>
      </c>
      <c r="AJ36" s="39" t="n">
        <f aca="false">MY_PH(AJ$2,$A36)</f>
        <v>0.000165330827095122</v>
      </c>
      <c r="AK36" s="39" t="n">
        <f aca="false">MY_PH(AK$2,$A36)</f>
        <v>0.000165720624393115</v>
      </c>
      <c r="AL36" s="39" t="n">
        <f aca="false">MY_PH(AL$2,$A36)</f>
        <v>0.000166110821982363</v>
      </c>
      <c r="AM36" s="39" t="n">
        <f aca="false">MY_PH(AM$2,$A36)</f>
        <v>0.000166501428878645</v>
      </c>
      <c r="AN36" s="39" t="n">
        <f aca="false">MY_PH(AN$2,$A36)</f>
        <v>0.000166892453860998</v>
      </c>
      <c r="AO36" s="39" t="n">
        <f aca="false">MY_PH(AO$2,$A36)</f>
        <v>0.000167283905475506</v>
      </c>
      <c r="AP36" s="39" t="n">
        <f aca="false">MY_PH(AP$2,$A36)</f>
        <v>0.000167675792039161</v>
      </c>
      <c r="AQ36" s="39" t="n">
        <f aca="false">MY_PH(AQ$2,$A36)</f>
        <v>0.000171620253858993</v>
      </c>
      <c r="AR36" s="39" t="n">
        <f aca="false">MY_PH(AR$2,$A36)</f>
        <v>0.000172440533691995</v>
      </c>
      <c r="AS36" s="39" t="n">
        <f aca="false">MY_PH(AS$2,$A36)</f>
        <v>0.0001728132853844</v>
      </c>
    </row>
    <row r="37" customFormat="false" ht="13.8" hidden="false" customHeight="false" outlineLevel="0" collapsed="false">
      <c r="A37" s="0" t="n">
        <v>800</v>
      </c>
      <c r="B37" s="39" t="n">
        <f aca="false">MY_PH(B$2,$A37)</f>
        <v>2015</v>
      </c>
      <c r="C37" s="39" t="n">
        <f aca="false">MY_PH(C$2,$A37)</f>
        <v>2015</v>
      </c>
      <c r="D37" s="39" t="n">
        <f aca="false">MY_PH(D$2,$A37)</f>
        <v>2015</v>
      </c>
      <c r="E37" s="39" t="n">
        <f aca="false">MY_PH(E$2,$A37)</f>
        <v>2015</v>
      </c>
      <c r="F37" s="39" t="n">
        <f aca="false">MY_PH(F$2,$A37)</f>
        <v>2015</v>
      </c>
      <c r="G37" s="39" t="n">
        <f aca="false">MY_PH(G$2,$A37)</f>
        <v>2015</v>
      </c>
      <c r="H37" s="39" t="n">
        <f aca="false">MY_PH(H$2,$A37)</f>
        <v>2015</v>
      </c>
      <c r="I37" s="39" t="n">
        <f aca="false">MY_PH(I$2,$A37)</f>
        <v>2015</v>
      </c>
      <c r="J37" s="39" t="n">
        <f aca="false">MY_PH(J$2,$A37)</f>
        <v>2015</v>
      </c>
      <c r="K37" s="39" t="n">
        <f aca="false">MY_PH(K$2,$A37)</f>
        <v>2015</v>
      </c>
      <c r="L37" s="39" t="n">
        <f aca="false">MY_PH(L$2,$A37)</f>
        <v>2015</v>
      </c>
      <c r="M37" s="39" t="n">
        <f aca="false">MY_PH(M$2,$A37)</f>
        <v>2015</v>
      </c>
      <c r="N37" s="39" t="n">
        <f aca="false">MY_PH(N$2,$A37)</f>
        <v>2015</v>
      </c>
      <c r="O37" s="39" t="n">
        <f aca="false">MY_PH(O$2,$A37)</f>
        <v>2015</v>
      </c>
      <c r="P37" s="39" t="n">
        <f aca="false">MY_PH(P$2,$A37)</f>
        <v>2015</v>
      </c>
      <c r="Q37" s="39" t="n">
        <f aca="false">MY_PH(Q$2,$A37)</f>
        <v>2015</v>
      </c>
      <c r="R37" s="39" t="n">
        <f aca="false">MY_PH(R$2,$A37)</f>
        <v>2015</v>
      </c>
      <c r="S37" s="39" t="n">
        <f aca="false">MY_PH(S$2,$A37)</f>
        <v>2015</v>
      </c>
      <c r="T37" s="39" t="n">
        <f aca="false">MY_PH(T$2,$A37)</f>
        <v>2015</v>
      </c>
      <c r="U37" s="39" t="n">
        <f aca="false">MY_PH(U$2,$A37)</f>
        <v>2015</v>
      </c>
      <c r="V37" s="39" t="n">
        <f aca="false">MY_PH(V$2,$A37)</f>
        <v>2015</v>
      </c>
      <c r="W37" s="39" t="n">
        <f aca="false">MY_PH(W$2,$A37)</f>
        <v>2015</v>
      </c>
      <c r="X37" s="39" t="n">
        <f aca="false">MY_PH(X$2,$A37)</f>
        <v>2015</v>
      </c>
      <c r="Y37" s="39" t="n">
        <f aca="false">MY_PH(Y$2,$A37)</f>
        <v>2015</v>
      </c>
      <c r="Z37" s="39" t="n">
        <f aca="false">MY_PH(Z$2,$A37)</f>
        <v>2015</v>
      </c>
      <c r="AA37" s="39" t="n">
        <f aca="false">MY_PH(AA$2,$A37)</f>
        <v>2015</v>
      </c>
      <c r="AB37" s="39" t="n">
        <f aca="false">MY_PH(AB$2,$A37)</f>
        <v>2015</v>
      </c>
      <c r="AC37" s="39" t="n">
        <f aca="false">MY_PH(AC$2,$A37)</f>
        <v>2015</v>
      </c>
      <c r="AD37" s="39" t="n">
        <f aca="false">MY_PH(AD$2,$A37)</f>
        <v>2015</v>
      </c>
      <c r="AE37" s="39" t="n">
        <f aca="false">MY_PH(AE$2,$A37)</f>
        <v>2015</v>
      </c>
      <c r="AF37" s="39" t="n">
        <f aca="false">MY_PH(AF$2,$A37)</f>
        <v>2015</v>
      </c>
      <c r="AG37" s="39" t="n">
        <f aca="false">MY_PH(AG$2,$A37)</f>
        <v>2015</v>
      </c>
      <c r="AH37" s="39" t="n">
        <f aca="false">MY_PH(AH$2,$A37)</f>
        <v>0.000143388337341859</v>
      </c>
      <c r="AI37" s="39" t="n">
        <f aca="false">MY_PH(AI$2,$A37)</f>
        <v>0.000143722651890702</v>
      </c>
      <c r="AJ37" s="39" t="n">
        <f aca="false">MY_PH(AJ$2,$A37)</f>
        <v>0.000144056969114948</v>
      </c>
      <c r="AK37" s="39" t="n">
        <f aca="false">MY_PH(AK$2,$A37)</f>
        <v>0.000144391300851985</v>
      </c>
      <c r="AL37" s="39" t="n">
        <f aca="false">MY_PH(AL$2,$A37)</f>
        <v>0.000144725658644669</v>
      </c>
      <c r="AM37" s="39" t="n">
        <f aca="false">MY_PH(AM$2,$A37)</f>
        <v>0.000145060053743767</v>
      </c>
      <c r="AN37" s="39" t="n">
        <f aca="false">MY_PH(AN$2,$A37)</f>
        <v>0.000145394497110544</v>
      </c>
      <c r="AO37" s="39" t="n">
        <f aca="false">MY_PH(AO$2,$A37)</f>
        <v>0.00014572899941951</v>
      </c>
      <c r="AP37" s="39" t="n">
        <f aca="false">MY_PH(AP$2,$A37)</f>
        <v>0.000146063571061306</v>
      </c>
      <c r="AQ37" s="39" t="n">
        <f aca="false">MY_PH(AQ$2,$A37)</f>
        <v>0.000149415190223667</v>
      </c>
      <c r="AR37" s="39" t="n">
        <f aca="false">MY_PH(AR$2,$A37)</f>
        <v>0.000150108744429978</v>
      </c>
      <c r="AS37" s="39" t="n">
        <f aca="false">MY_PH(AS$2,$A37)</f>
        <v>0.000150423539234775</v>
      </c>
    </row>
    <row r="38" customFormat="false" ht="13.8" hidden="false" customHeight="false" outlineLevel="0" collapsed="false">
      <c r="A38" s="0" t="n">
        <v>900</v>
      </c>
      <c r="B38" s="39" t="n">
        <f aca="false">MY_PH(B$2,$A38)</f>
        <v>2015</v>
      </c>
      <c r="C38" s="39" t="n">
        <f aca="false">MY_PH(C$2,$A38)</f>
        <v>2015</v>
      </c>
      <c r="D38" s="39" t="n">
        <f aca="false">MY_PH(D$2,$A38)</f>
        <v>2015</v>
      </c>
      <c r="E38" s="39" t="n">
        <f aca="false">MY_PH(E$2,$A38)</f>
        <v>2015</v>
      </c>
      <c r="F38" s="39" t="n">
        <f aca="false">MY_PH(F$2,$A38)</f>
        <v>2015</v>
      </c>
      <c r="G38" s="39" t="n">
        <f aca="false">MY_PH(G$2,$A38)</f>
        <v>2015</v>
      </c>
      <c r="H38" s="39" t="n">
        <f aca="false">MY_PH(H$2,$A38)</f>
        <v>2015</v>
      </c>
      <c r="I38" s="39" t="n">
        <f aca="false">MY_PH(I$2,$A38)</f>
        <v>2015</v>
      </c>
      <c r="J38" s="39" t="n">
        <f aca="false">MY_PH(J$2,$A38)</f>
        <v>2015</v>
      </c>
      <c r="K38" s="39" t="n">
        <f aca="false">MY_PH(K$2,$A38)</f>
        <v>2015</v>
      </c>
      <c r="L38" s="39" t="n">
        <f aca="false">MY_PH(L$2,$A38)</f>
        <v>2015</v>
      </c>
      <c r="M38" s="39" t="n">
        <f aca="false">MY_PH(M$2,$A38)</f>
        <v>2015</v>
      </c>
      <c r="N38" s="39" t="n">
        <f aca="false">MY_PH(N$2,$A38)</f>
        <v>2015</v>
      </c>
      <c r="O38" s="39" t="n">
        <f aca="false">MY_PH(O$2,$A38)</f>
        <v>2015</v>
      </c>
      <c r="P38" s="39" t="n">
        <f aca="false">MY_PH(P$2,$A38)</f>
        <v>2015</v>
      </c>
      <c r="Q38" s="39" t="n">
        <f aca="false">MY_PH(Q$2,$A38)</f>
        <v>2015</v>
      </c>
      <c r="R38" s="39" t="n">
        <f aca="false">MY_PH(R$2,$A38)</f>
        <v>2015</v>
      </c>
      <c r="S38" s="39" t="n">
        <f aca="false">MY_PH(S$2,$A38)</f>
        <v>2015</v>
      </c>
      <c r="T38" s="39" t="n">
        <f aca="false">MY_PH(T$2,$A38)</f>
        <v>2015</v>
      </c>
      <c r="U38" s="39" t="n">
        <f aca="false">MY_PH(U$2,$A38)</f>
        <v>2015</v>
      </c>
      <c r="V38" s="39" t="n">
        <f aca="false">MY_PH(V$2,$A38)</f>
        <v>2015</v>
      </c>
      <c r="W38" s="39" t="n">
        <f aca="false">MY_PH(W$2,$A38)</f>
        <v>2015</v>
      </c>
      <c r="X38" s="39" t="n">
        <f aca="false">MY_PH(X$2,$A38)</f>
        <v>2015</v>
      </c>
      <c r="Y38" s="39" t="n">
        <f aca="false">MY_PH(Y$2,$A38)</f>
        <v>2015</v>
      </c>
      <c r="Z38" s="39" t="n">
        <f aca="false">MY_PH(Z$2,$A38)</f>
        <v>2015</v>
      </c>
      <c r="AA38" s="39" t="n">
        <f aca="false">MY_PH(AA$2,$A38)</f>
        <v>2015</v>
      </c>
      <c r="AB38" s="39" t="n">
        <f aca="false">MY_PH(AB$2,$A38)</f>
        <v>2015</v>
      </c>
      <c r="AC38" s="39" t="n">
        <f aca="false">MY_PH(AC$2,$A38)</f>
        <v>2015</v>
      </c>
      <c r="AD38" s="39" t="n">
        <f aca="false">MY_PH(AD$2,$A38)</f>
        <v>2015</v>
      </c>
      <c r="AE38" s="39" t="n">
        <f aca="false">MY_PH(AE$2,$A38)</f>
        <v>2015</v>
      </c>
      <c r="AF38" s="39" t="n">
        <f aca="false">MY_PH(AF$2,$A38)</f>
        <v>2015</v>
      </c>
      <c r="AG38" s="39" t="n">
        <f aca="false">MY_PH(AG$2,$A38)</f>
        <v>2015</v>
      </c>
      <c r="AH38" s="39" t="n">
        <f aca="false">MY_PH(AH$2,$A38)</f>
        <v>0.000127310716835816</v>
      </c>
      <c r="AI38" s="39" t="n">
        <f aca="false">MY_PH(AI$2,$A38)</f>
        <v>0.000127612224669314</v>
      </c>
      <c r="AJ38" s="39" t="n">
        <f aca="false">MY_PH(AJ$2,$A38)</f>
        <v>0.000127913390234078</v>
      </c>
      <c r="AK38" s="39" t="n">
        <f aca="false">MY_PH(AK$2,$A38)</f>
        <v>0.00012821422871319</v>
      </c>
      <c r="AL38" s="39" t="n">
        <f aca="false">MY_PH(AL$2,$A38)</f>
        <v>0.000128514754956223</v>
      </c>
      <c r="AM38" s="39" t="n">
        <f aca="false">MY_PH(AM$2,$A38)</f>
        <v>0.00012881498348081</v>
      </c>
      <c r="AN38" s="39" t="n">
        <f aca="false">MY_PH(AN$2,$A38)</f>
        <v>0.000129114928474282</v>
      </c>
      <c r="AO38" s="39" t="n">
        <f aca="false">MY_PH(AO$2,$A38)</f>
        <v>0.000129414603795385</v>
      </c>
      <c r="AP38" s="39" t="n">
        <f aca="false">MY_PH(AP$2,$A38)</f>
        <v>0.000129714022976104</v>
      </c>
      <c r="AQ38" s="39" t="n">
        <f aca="false">MY_PH(AQ$2,$A38)</f>
        <v>0.000132696874670069</v>
      </c>
      <c r="AR38" s="39" t="n">
        <f aca="false">MY_PH(AR$2,$A38)</f>
        <v>0.000133310567262278</v>
      </c>
      <c r="AS38" s="39" t="n">
        <f aca="false">MY_PH(AS$2,$A38)</f>
        <v>0.000133588735795574</v>
      </c>
    </row>
    <row r="39" customFormat="false" ht="13.8" hidden="false" customHeight="false" outlineLevel="0" collapsed="false">
      <c r="A39" s="0" t="n">
        <v>1000</v>
      </c>
      <c r="B39" s="39" t="n">
        <f aca="false">MY_PH(B$2,$A39)</f>
        <v>2015</v>
      </c>
      <c r="C39" s="39" t="n">
        <f aca="false">MY_PH(C$2,$A39)</f>
        <v>2015</v>
      </c>
      <c r="D39" s="39" t="n">
        <f aca="false">MY_PH(D$2,$A39)</f>
        <v>2015</v>
      </c>
      <c r="E39" s="39" t="n">
        <f aca="false">MY_PH(E$2,$A39)</f>
        <v>2015</v>
      </c>
      <c r="F39" s="39" t="n">
        <f aca="false">MY_PH(F$2,$A39)</f>
        <v>2015</v>
      </c>
      <c r="G39" s="39" t="n">
        <f aca="false">MY_PH(G$2,$A39)</f>
        <v>2015</v>
      </c>
      <c r="H39" s="39" t="n">
        <f aca="false">MY_PH(H$2,$A39)</f>
        <v>2015</v>
      </c>
      <c r="I39" s="39" t="n">
        <f aca="false">MY_PH(I$2,$A39)</f>
        <v>2015</v>
      </c>
      <c r="J39" s="39" t="n">
        <f aca="false">MY_PH(J$2,$A39)</f>
        <v>2015</v>
      </c>
      <c r="K39" s="39" t="n">
        <f aca="false">MY_PH(K$2,$A39)</f>
        <v>2015</v>
      </c>
      <c r="L39" s="39" t="n">
        <f aca="false">MY_PH(L$2,$A39)</f>
        <v>2015</v>
      </c>
      <c r="M39" s="39" t="n">
        <f aca="false">MY_PH(M$2,$A39)</f>
        <v>2015</v>
      </c>
      <c r="N39" s="39" t="n">
        <f aca="false">MY_PH(N$2,$A39)</f>
        <v>2015</v>
      </c>
      <c r="O39" s="39" t="n">
        <f aca="false">MY_PH(O$2,$A39)</f>
        <v>2015</v>
      </c>
      <c r="P39" s="39" t="n">
        <f aca="false">MY_PH(P$2,$A39)</f>
        <v>2015</v>
      </c>
      <c r="Q39" s="39" t="n">
        <f aca="false">MY_PH(Q$2,$A39)</f>
        <v>2015</v>
      </c>
      <c r="R39" s="39" t="n">
        <f aca="false">MY_PH(R$2,$A39)</f>
        <v>2015</v>
      </c>
      <c r="S39" s="39" t="n">
        <f aca="false">MY_PH(S$2,$A39)</f>
        <v>2015</v>
      </c>
      <c r="T39" s="39" t="n">
        <f aca="false">MY_PH(T$2,$A39)</f>
        <v>2015</v>
      </c>
      <c r="U39" s="39" t="n">
        <f aca="false">MY_PH(U$2,$A39)</f>
        <v>2015</v>
      </c>
      <c r="V39" s="39" t="n">
        <f aca="false">MY_PH(V$2,$A39)</f>
        <v>2015</v>
      </c>
      <c r="W39" s="39" t="n">
        <f aca="false">MY_PH(W$2,$A39)</f>
        <v>2015</v>
      </c>
      <c r="X39" s="39" t="n">
        <f aca="false">MY_PH(X$2,$A39)</f>
        <v>2015</v>
      </c>
      <c r="Y39" s="39" t="n">
        <f aca="false">MY_PH(Y$2,$A39)</f>
        <v>2015</v>
      </c>
      <c r="Z39" s="39" t="n">
        <f aca="false">MY_PH(Z$2,$A39)</f>
        <v>2015</v>
      </c>
      <c r="AA39" s="39" t="n">
        <f aca="false">MY_PH(AA$2,$A39)</f>
        <v>2015</v>
      </c>
      <c r="AB39" s="39" t="n">
        <f aca="false">MY_PH(AB$2,$A39)</f>
        <v>2015</v>
      </c>
      <c r="AC39" s="39" t="n">
        <f aca="false">MY_PH(AC$2,$A39)</f>
        <v>2015</v>
      </c>
      <c r="AD39" s="39" t="n">
        <f aca="false">MY_PH(AD$2,$A39)</f>
        <v>2015</v>
      </c>
      <c r="AE39" s="39" t="n">
        <f aca="false">MY_PH(AE$2,$A39)</f>
        <v>2015</v>
      </c>
      <c r="AF39" s="39" t="n">
        <f aca="false">MY_PH(AF$2,$A39)</f>
        <v>2015</v>
      </c>
      <c r="AG39" s="39" t="n">
        <f aca="false">MY_PH(AG$2,$A39)</f>
        <v>2015</v>
      </c>
      <c r="AH39" s="39" t="n">
        <f aca="false">MY_PH(AH$2,$A39)</f>
        <v>2015</v>
      </c>
      <c r="AI39" s="39" t="n">
        <f aca="false">MY_PH(AI$2,$A39)</f>
        <v>0.000114899402437457</v>
      </c>
      <c r="AJ39" s="39" t="n">
        <f aca="false">MY_PH(AJ$2,$A39)</f>
        <v>0.00011518339845332</v>
      </c>
      <c r="AK39" s="39" t="n">
        <f aca="false">MY_PH(AK$2,$A39)</f>
        <v>0.000115466708341907</v>
      </c>
      <c r="AL39" s="39" t="n">
        <f aca="false">MY_PH(AL$2,$A39)</f>
        <v>0.000115749351685095</v>
      </c>
      <c r="AM39" s="39" t="n">
        <f aca="false">MY_PH(AM$2,$A39)</f>
        <v>0.000116031347645357</v>
      </c>
      <c r="AN39" s="39" t="n">
        <f aca="false">MY_PH(AN$2,$A39)</f>
        <v>0.000116312714974651</v>
      </c>
      <c r="AO39" s="39" t="n">
        <f aca="false">MY_PH(AO$2,$A39)</f>
        <v>0.000116593472021761</v>
      </c>
      <c r="AP39" s="39" t="n">
        <f aca="false">MY_PH(AP$2,$A39)</f>
        <v>0.000116873636738419</v>
      </c>
      <c r="AQ39" s="39" t="n">
        <f aca="false">MY_PH(AQ$2,$A39)</f>
        <v>0.00011964638003192</v>
      </c>
      <c r="AR39" s="39" t="n">
        <f aca="false">MY_PH(AR$2,$A39)</f>
        <v>0.000120212948721158</v>
      </c>
      <c r="AS39" s="39" t="n">
        <f aca="false">MY_PH(AS$2,$A39)</f>
        <v>0.000120469344495269</v>
      </c>
    </row>
    <row r="40" customFormat="false" ht="13.8" hidden="false" customHeight="false" outlineLevel="0" collapsed="false">
      <c r="A40" s="0" t="n">
        <v>2000</v>
      </c>
      <c r="B40" s="39" t="n">
        <f aca="false">MY_PH(B$2,$A40)</f>
        <v>2015</v>
      </c>
      <c r="C40" s="39" t="n">
        <f aca="false">MY_PH(C$2,$A40)</f>
        <v>2015</v>
      </c>
      <c r="D40" s="39" t="n">
        <f aca="false">MY_PH(D$2,$A40)</f>
        <v>2015</v>
      </c>
      <c r="E40" s="39" t="n">
        <f aca="false">MY_PH(E$2,$A40)</f>
        <v>2015</v>
      </c>
      <c r="F40" s="39" t="n">
        <f aca="false">MY_PH(F$2,$A40)</f>
        <v>2015</v>
      </c>
      <c r="G40" s="39" t="n">
        <f aca="false">MY_PH(G$2,$A40)</f>
        <v>2015</v>
      </c>
      <c r="H40" s="39" t="n">
        <f aca="false">MY_PH(H$2,$A40)</f>
        <v>2015</v>
      </c>
      <c r="I40" s="39" t="n">
        <f aca="false">MY_PH(I$2,$A40)</f>
        <v>2015</v>
      </c>
      <c r="J40" s="39" t="n">
        <f aca="false">MY_PH(J$2,$A40)</f>
        <v>2015</v>
      </c>
      <c r="K40" s="39" t="n">
        <f aca="false">MY_PH(K$2,$A40)</f>
        <v>2015</v>
      </c>
      <c r="L40" s="39" t="n">
        <f aca="false">MY_PH(L$2,$A40)</f>
        <v>2015</v>
      </c>
      <c r="M40" s="39" t="n">
        <f aca="false">MY_PH(M$2,$A40)</f>
        <v>2015</v>
      </c>
      <c r="N40" s="39" t="n">
        <f aca="false">MY_PH(N$2,$A40)</f>
        <v>2015</v>
      </c>
      <c r="O40" s="39" t="n">
        <f aca="false">MY_PH(O$2,$A40)</f>
        <v>2015</v>
      </c>
      <c r="P40" s="39" t="n">
        <f aca="false">MY_PH(P$2,$A40)</f>
        <v>2015</v>
      </c>
      <c r="Q40" s="39" t="n">
        <f aca="false">MY_PH(Q$2,$A40)</f>
        <v>2015</v>
      </c>
      <c r="R40" s="39" t="n">
        <f aca="false">MY_PH(R$2,$A40)</f>
        <v>2015</v>
      </c>
      <c r="S40" s="39" t="n">
        <f aca="false">MY_PH(S$2,$A40)</f>
        <v>2015</v>
      </c>
      <c r="T40" s="39" t="n">
        <f aca="false">MY_PH(T$2,$A40)</f>
        <v>2015</v>
      </c>
      <c r="U40" s="39" t="n">
        <f aca="false">MY_PH(U$2,$A40)</f>
        <v>2015</v>
      </c>
      <c r="V40" s="39" t="n">
        <f aca="false">MY_PH(V$2,$A40)</f>
        <v>2015</v>
      </c>
      <c r="W40" s="39" t="n">
        <f aca="false">MY_PH(W$2,$A40)</f>
        <v>2015</v>
      </c>
      <c r="X40" s="39" t="n">
        <f aca="false">MY_PH(X$2,$A40)</f>
        <v>2015</v>
      </c>
      <c r="Y40" s="39" t="n">
        <f aca="false">MY_PH(Y$2,$A40)</f>
        <v>2015</v>
      </c>
      <c r="Z40" s="39" t="n">
        <f aca="false">MY_PH(Z$2,$A40)</f>
        <v>2015</v>
      </c>
      <c r="AA40" s="39" t="n">
        <f aca="false">MY_PH(AA$2,$A40)</f>
        <v>2015</v>
      </c>
      <c r="AB40" s="39" t="n">
        <f aca="false">MY_PH(AB$2,$A40)</f>
        <v>2015</v>
      </c>
      <c r="AC40" s="39" t="n">
        <f aca="false">MY_PH(AC$2,$A40)</f>
        <v>2015</v>
      </c>
      <c r="AD40" s="39" t="n">
        <f aca="false">MY_PH(AD$2,$A40)</f>
        <v>2015</v>
      </c>
      <c r="AE40" s="39" t="n">
        <f aca="false">MY_PH(AE$2,$A40)</f>
        <v>2015</v>
      </c>
      <c r="AF40" s="39" t="n">
        <f aca="false">MY_PH(AF$2,$A40)</f>
        <v>2015</v>
      </c>
      <c r="AG40" s="39" t="n">
        <f aca="false">MY_PH(AG$2,$A40)</f>
        <v>2015</v>
      </c>
      <c r="AH40" s="39" t="n">
        <f aca="false">MY_PH(AH$2,$A40)</f>
        <v>2015</v>
      </c>
      <c r="AI40" s="39" t="n">
        <f aca="false">MY_PH(AI$2,$A40)</f>
        <v>2015</v>
      </c>
      <c r="AJ40" s="39" t="n">
        <f aca="false">MY_PH(AJ$2,$A40)</f>
        <v>2015</v>
      </c>
      <c r="AK40" s="39" t="n">
        <f aca="false">MY_PH(AK$2,$A40)</f>
        <v>2015</v>
      </c>
      <c r="AL40" s="39" t="n">
        <f aca="false">MY_PH(AL$2,$A40)</f>
        <v>2015</v>
      </c>
      <c r="AM40" s="39" t="n">
        <f aca="false">MY_PH(AM$2,$A40)</f>
        <v>2015</v>
      </c>
      <c r="AN40" s="39" t="n">
        <f aca="false">MY_PH(AN$2,$A40)</f>
        <v>2015</v>
      </c>
      <c r="AO40" s="39" t="n">
        <f aca="false">MY_PH(AO$2,$A40)</f>
        <v>2015</v>
      </c>
      <c r="AP40" s="39" t="n">
        <f aca="false">MY_PH(AP$2,$A40)</f>
        <v>2015</v>
      </c>
      <c r="AQ40" s="39" t="n">
        <f aca="false">MY_PH(AQ$2,$A40)</f>
        <v>2015</v>
      </c>
      <c r="AR40" s="39" t="n">
        <f aca="false">MY_PH(AR$2,$A40)</f>
        <v>4.48730257604828E-005</v>
      </c>
      <c r="AS40" s="39" t="n">
        <f aca="false">MY_PH(AS$2,$A40)</f>
        <v>4.6003137905301E-005</v>
      </c>
    </row>
    <row r="41" customFormat="false" ht="13.8" hidden="false" customHeight="false" outlineLevel="0" collapsed="false">
      <c r="A41" s="0" t="n">
        <v>2010</v>
      </c>
      <c r="B41" s="39" t="n">
        <f aca="false">MY_PH(B$2,$A41)</f>
        <v>2015</v>
      </c>
      <c r="C41" s="39" t="n">
        <f aca="false">MY_PH(C$2,$A41)</f>
        <v>2015</v>
      </c>
      <c r="D41" s="39" t="n">
        <f aca="false">MY_PH(D$2,$A41)</f>
        <v>2015</v>
      </c>
      <c r="E41" s="39" t="n">
        <f aca="false">MY_PH(E$2,$A41)</f>
        <v>2015</v>
      </c>
      <c r="F41" s="39" t="n">
        <f aca="false">MY_PH(F$2,$A41)</f>
        <v>2015</v>
      </c>
      <c r="G41" s="39" t="n">
        <f aca="false">MY_PH(G$2,$A41)</f>
        <v>2015</v>
      </c>
      <c r="H41" s="39" t="n">
        <f aca="false">MY_PH(H$2,$A41)</f>
        <v>2015</v>
      </c>
      <c r="I41" s="39" t="n">
        <f aca="false">MY_PH(I$2,$A41)</f>
        <v>2015</v>
      </c>
      <c r="J41" s="39" t="n">
        <f aca="false">MY_PH(J$2,$A41)</f>
        <v>2015</v>
      </c>
      <c r="K41" s="39" t="n">
        <f aca="false">MY_PH(K$2,$A41)</f>
        <v>2015</v>
      </c>
      <c r="L41" s="39" t="n">
        <f aca="false">MY_PH(L$2,$A41)</f>
        <v>2015</v>
      </c>
      <c r="M41" s="39" t="n">
        <f aca="false">MY_PH(M$2,$A41)</f>
        <v>2015</v>
      </c>
      <c r="N41" s="39" t="n">
        <f aca="false">MY_PH(N$2,$A41)</f>
        <v>2015</v>
      </c>
      <c r="O41" s="39" t="n">
        <f aca="false">MY_PH(O$2,$A41)</f>
        <v>2015</v>
      </c>
      <c r="P41" s="39" t="n">
        <f aca="false">MY_PH(P$2,$A41)</f>
        <v>2015</v>
      </c>
      <c r="Q41" s="39" t="n">
        <f aca="false">MY_PH(Q$2,$A41)</f>
        <v>2015</v>
      </c>
      <c r="R41" s="39" t="n">
        <f aca="false">MY_PH(R$2,$A41)</f>
        <v>2015</v>
      </c>
      <c r="S41" s="39" t="n">
        <f aca="false">MY_PH(S$2,$A41)</f>
        <v>2015</v>
      </c>
      <c r="T41" s="39" t="n">
        <f aca="false">MY_PH(T$2,$A41)</f>
        <v>2015</v>
      </c>
      <c r="U41" s="39" t="n">
        <f aca="false">MY_PH(U$2,$A41)</f>
        <v>2015</v>
      </c>
      <c r="V41" s="39" t="n">
        <f aca="false">MY_PH(V$2,$A41)</f>
        <v>2015</v>
      </c>
      <c r="W41" s="39" t="n">
        <f aca="false">MY_PH(W$2,$A41)</f>
        <v>2015</v>
      </c>
      <c r="X41" s="39" t="n">
        <f aca="false">MY_PH(X$2,$A41)</f>
        <v>2015</v>
      </c>
      <c r="Y41" s="39" t="n">
        <f aca="false">MY_PH(Y$2,$A41)</f>
        <v>2015</v>
      </c>
      <c r="Z41" s="39" t="n">
        <f aca="false">MY_PH(Z$2,$A41)</f>
        <v>2015</v>
      </c>
      <c r="AA41" s="39" t="n">
        <f aca="false">MY_PH(AA$2,$A41)</f>
        <v>2015</v>
      </c>
      <c r="AB41" s="39" t="n">
        <f aca="false">MY_PH(AB$2,$A41)</f>
        <v>2015</v>
      </c>
      <c r="AC41" s="39" t="n">
        <f aca="false">MY_PH(AC$2,$A41)</f>
        <v>2015</v>
      </c>
      <c r="AD41" s="39" t="n">
        <f aca="false">MY_PH(AD$2,$A41)</f>
        <v>2015</v>
      </c>
      <c r="AE41" s="39" t="n">
        <f aca="false">MY_PH(AE$2,$A41)</f>
        <v>2015</v>
      </c>
      <c r="AF41" s="39" t="n">
        <f aca="false">MY_PH(AF$2,$A41)</f>
        <v>2015</v>
      </c>
      <c r="AG41" s="39" t="n">
        <f aca="false">MY_PH(AG$2,$A41)</f>
        <v>2015</v>
      </c>
      <c r="AH41" s="39" t="n">
        <f aca="false">MY_PH(AH$2,$A41)</f>
        <v>2015</v>
      </c>
      <c r="AI41" s="39" t="n">
        <f aca="false">MY_PH(AI$2,$A41)</f>
        <v>2015</v>
      </c>
      <c r="AJ41" s="39" t="n">
        <f aca="false">MY_PH(AJ$2,$A41)</f>
        <v>2015</v>
      </c>
      <c r="AK41" s="39" t="n">
        <f aca="false">MY_PH(AK$2,$A41)</f>
        <v>2015</v>
      </c>
      <c r="AL41" s="39" t="n">
        <f aca="false">MY_PH(AL$2,$A41)</f>
        <v>2015</v>
      </c>
      <c r="AM41" s="39" t="n">
        <f aca="false">MY_PH(AM$2,$A41)</f>
        <v>2015</v>
      </c>
      <c r="AN41" s="39" t="n">
        <f aca="false">MY_PH(AN$2,$A41)</f>
        <v>2015</v>
      </c>
      <c r="AO41" s="39" t="n">
        <f aca="false">MY_PH(AO$2,$A41)</f>
        <v>2015</v>
      </c>
      <c r="AP41" s="39" t="n">
        <f aca="false">MY_PH(AP$2,$A41)</f>
        <v>2015</v>
      </c>
      <c r="AQ41" s="39" t="n">
        <f aca="false">MY_PH(AQ$2,$A41)</f>
        <v>2015</v>
      </c>
      <c r="AR41" s="39" t="n">
        <f aca="false">MY_PH(AR$2,$A41)</f>
        <v>4.41800482325982E-005</v>
      </c>
      <c r="AS41" s="39" t="n">
        <f aca="false">MY_PH(AS$2,$A41)</f>
        <v>4.53242695954528E-005</v>
      </c>
    </row>
    <row r="42" customFormat="false" ht="13.8" hidden="false" customHeight="false" outlineLevel="0" collapsed="false">
      <c r="A42" s="0" t="n">
        <v>2020</v>
      </c>
      <c r="B42" s="39" t="n">
        <f aca="false">MY_PH(B$2,$A42)</f>
        <v>2015</v>
      </c>
      <c r="C42" s="39" t="n">
        <f aca="false">MY_PH(C$2,$A42)</f>
        <v>2015</v>
      </c>
      <c r="D42" s="39" t="n">
        <f aca="false">MY_PH(D$2,$A42)</f>
        <v>2015</v>
      </c>
      <c r="E42" s="39" t="n">
        <f aca="false">MY_PH(E$2,$A42)</f>
        <v>2015</v>
      </c>
      <c r="F42" s="39" t="n">
        <f aca="false">MY_PH(F$2,$A42)</f>
        <v>2015</v>
      </c>
      <c r="G42" s="39" t="n">
        <f aca="false">MY_PH(G$2,$A42)</f>
        <v>2015</v>
      </c>
      <c r="H42" s="39" t="n">
        <f aca="false">MY_PH(H$2,$A42)</f>
        <v>2015</v>
      </c>
      <c r="I42" s="39" t="n">
        <f aca="false">MY_PH(I$2,$A42)</f>
        <v>2015</v>
      </c>
      <c r="J42" s="39" t="n">
        <f aca="false">MY_PH(J$2,$A42)</f>
        <v>2015</v>
      </c>
      <c r="K42" s="39" t="n">
        <f aca="false">MY_PH(K$2,$A42)</f>
        <v>2015</v>
      </c>
      <c r="L42" s="39" t="n">
        <f aca="false">MY_PH(L$2,$A42)</f>
        <v>2015</v>
      </c>
      <c r="M42" s="39" t="n">
        <f aca="false">MY_PH(M$2,$A42)</f>
        <v>2015</v>
      </c>
      <c r="N42" s="39" t="n">
        <f aca="false">MY_PH(N$2,$A42)</f>
        <v>2015</v>
      </c>
      <c r="O42" s="39" t="n">
        <f aca="false">MY_PH(O$2,$A42)</f>
        <v>2015</v>
      </c>
      <c r="P42" s="39" t="n">
        <f aca="false">MY_PH(P$2,$A42)</f>
        <v>2015</v>
      </c>
      <c r="Q42" s="39" t="n">
        <f aca="false">MY_PH(Q$2,$A42)</f>
        <v>2015</v>
      </c>
      <c r="R42" s="39" t="n">
        <f aca="false">MY_PH(R$2,$A42)</f>
        <v>2015</v>
      </c>
      <c r="S42" s="39" t="n">
        <f aca="false">MY_PH(S$2,$A42)</f>
        <v>2015</v>
      </c>
      <c r="T42" s="39" t="n">
        <f aca="false">MY_PH(T$2,$A42)</f>
        <v>2015</v>
      </c>
      <c r="U42" s="39" t="n">
        <f aca="false">MY_PH(U$2,$A42)</f>
        <v>2015</v>
      </c>
      <c r="V42" s="39" t="n">
        <f aca="false">MY_PH(V$2,$A42)</f>
        <v>2015</v>
      </c>
      <c r="W42" s="39" t="n">
        <f aca="false">MY_PH(W$2,$A42)</f>
        <v>2015</v>
      </c>
      <c r="X42" s="39" t="n">
        <f aca="false">MY_PH(X$2,$A42)</f>
        <v>2015</v>
      </c>
      <c r="Y42" s="39" t="n">
        <f aca="false">MY_PH(Y$2,$A42)</f>
        <v>2015</v>
      </c>
      <c r="Z42" s="39" t="n">
        <f aca="false">MY_PH(Z$2,$A42)</f>
        <v>2015</v>
      </c>
      <c r="AA42" s="39" t="n">
        <f aca="false">MY_PH(AA$2,$A42)</f>
        <v>2015</v>
      </c>
      <c r="AB42" s="39" t="n">
        <f aca="false">MY_PH(AB$2,$A42)</f>
        <v>2015</v>
      </c>
      <c r="AC42" s="39" t="n">
        <f aca="false">MY_PH(AC$2,$A42)</f>
        <v>2015</v>
      </c>
      <c r="AD42" s="39" t="n">
        <f aca="false">MY_PH(AD$2,$A42)</f>
        <v>2015</v>
      </c>
      <c r="AE42" s="39" t="n">
        <f aca="false">MY_PH(AE$2,$A42)</f>
        <v>2015</v>
      </c>
      <c r="AF42" s="39" t="n">
        <f aca="false">MY_PH(AF$2,$A42)</f>
        <v>2015</v>
      </c>
      <c r="AG42" s="39" t="n">
        <f aca="false">MY_PH(AG$2,$A42)</f>
        <v>2015</v>
      </c>
      <c r="AH42" s="39" t="n">
        <f aca="false">MY_PH(AH$2,$A42)</f>
        <v>2015</v>
      </c>
      <c r="AI42" s="39" t="n">
        <f aca="false">MY_PH(AI$2,$A42)</f>
        <v>2015</v>
      </c>
      <c r="AJ42" s="39" t="n">
        <f aca="false">MY_PH(AJ$2,$A42)</f>
        <v>2015</v>
      </c>
      <c r="AK42" s="39" t="n">
        <f aca="false">MY_PH(AK$2,$A42)</f>
        <v>2015</v>
      </c>
      <c r="AL42" s="39" t="n">
        <f aca="false">MY_PH(AL$2,$A42)</f>
        <v>2015</v>
      </c>
      <c r="AM42" s="39" t="n">
        <f aca="false">MY_PH(AM$2,$A42)</f>
        <v>2015</v>
      </c>
      <c r="AN42" s="39" t="n">
        <f aca="false">MY_PH(AN$2,$A42)</f>
        <v>2015</v>
      </c>
      <c r="AO42" s="39" t="n">
        <f aca="false">MY_PH(AO$2,$A42)</f>
        <v>2015</v>
      </c>
      <c r="AP42" s="39" t="n">
        <f aca="false">MY_PH(AP$2,$A42)</f>
        <v>2015</v>
      </c>
      <c r="AQ42" s="39" t="n">
        <f aca="false">MY_PH(AQ$2,$A42)</f>
        <v>2015</v>
      </c>
      <c r="AR42" s="39" t="n">
        <f aca="false">MY_PH(AR$2,$A42)</f>
        <v>4.35040657394826E-005</v>
      </c>
      <c r="AS42" s="39" t="n">
        <f aca="false">MY_PH(AS$2,$A42)</f>
        <v>4.46589205616623E-005</v>
      </c>
    </row>
    <row r="43" customFormat="false" ht="13.8" hidden="false" customHeight="false" outlineLevel="0" collapsed="false">
      <c r="A43" s="0" t="n">
        <v>2030</v>
      </c>
      <c r="B43" s="39" t="n">
        <f aca="false">MY_PH(B$2,$A43)</f>
        <v>2015</v>
      </c>
      <c r="C43" s="39" t="n">
        <f aca="false">MY_PH(C$2,$A43)</f>
        <v>2015</v>
      </c>
      <c r="D43" s="39" t="n">
        <f aca="false">MY_PH(D$2,$A43)</f>
        <v>2015</v>
      </c>
      <c r="E43" s="39" t="n">
        <f aca="false">MY_PH(E$2,$A43)</f>
        <v>2015</v>
      </c>
      <c r="F43" s="39" t="n">
        <f aca="false">MY_PH(F$2,$A43)</f>
        <v>2015</v>
      </c>
      <c r="G43" s="39" t="n">
        <f aca="false">MY_PH(G$2,$A43)</f>
        <v>2015</v>
      </c>
      <c r="H43" s="39" t="n">
        <f aca="false">MY_PH(H$2,$A43)</f>
        <v>2015</v>
      </c>
      <c r="I43" s="39" t="n">
        <f aca="false">MY_PH(I$2,$A43)</f>
        <v>2015</v>
      </c>
      <c r="J43" s="39" t="n">
        <f aca="false">MY_PH(J$2,$A43)</f>
        <v>2015</v>
      </c>
      <c r="K43" s="39" t="n">
        <f aca="false">MY_PH(K$2,$A43)</f>
        <v>2015</v>
      </c>
      <c r="L43" s="39" t="n">
        <f aca="false">MY_PH(L$2,$A43)</f>
        <v>2015</v>
      </c>
      <c r="M43" s="39" t="n">
        <f aca="false">MY_PH(M$2,$A43)</f>
        <v>2015</v>
      </c>
      <c r="N43" s="39" t="n">
        <f aca="false">MY_PH(N$2,$A43)</f>
        <v>2015</v>
      </c>
      <c r="O43" s="39" t="n">
        <f aca="false">MY_PH(O$2,$A43)</f>
        <v>2015</v>
      </c>
      <c r="P43" s="39" t="n">
        <f aca="false">MY_PH(P$2,$A43)</f>
        <v>2015</v>
      </c>
      <c r="Q43" s="39" t="n">
        <f aca="false">MY_PH(Q$2,$A43)</f>
        <v>2015</v>
      </c>
      <c r="R43" s="39" t="n">
        <f aca="false">MY_PH(R$2,$A43)</f>
        <v>2015</v>
      </c>
      <c r="S43" s="39" t="n">
        <f aca="false">MY_PH(S$2,$A43)</f>
        <v>2015</v>
      </c>
      <c r="T43" s="39" t="n">
        <f aca="false">MY_PH(T$2,$A43)</f>
        <v>2015</v>
      </c>
      <c r="U43" s="39" t="n">
        <f aca="false">MY_PH(U$2,$A43)</f>
        <v>2015</v>
      </c>
      <c r="V43" s="39" t="n">
        <f aca="false">MY_PH(V$2,$A43)</f>
        <v>2015</v>
      </c>
      <c r="W43" s="39" t="n">
        <f aca="false">MY_PH(W$2,$A43)</f>
        <v>2015</v>
      </c>
      <c r="X43" s="39" t="n">
        <f aca="false">MY_PH(X$2,$A43)</f>
        <v>2015</v>
      </c>
      <c r="Y43" s="39" t="n">
        <f aca="false">MY_PH(Y$2,$A43)</f>
        <v>2015</v>
      </c>
      <c r="Z43" s="39" t="n">
        <f aca="false">MY_PH(Z$2,$A43)</f>
        <v>2015</v>
      </c>
      <c r="AA43" s="39" t="n">
        <f aca="false">MY_PH(AA$2,$A43)</f>
        <v>2015</v>
      </c>
      <c r="AB43" s="39" t="n">
        <f aca="false">MY_PH(AB$2,$A43)</f>
        <v>2015</v>
      </c>
      <c r="AC43" s="39" t="n">
        <f aca="false">MY_PH(AC$2,$A43)</f>
        <v>2015</v>
      </c>
      <c r="AD43" s="39" t="n">
        <f aca="false">MY_PH(AD$2,$A43)</f>
        <v>2015</v>
      </c>
      <c r="AE43" s="39" t="n">
        <f aca="false">MY_PH(AE$2,$A43)</f>
        <v>2015</v>
      </c>
      <c r="AF43" s="39" t="n">
        <f aca="false">MY_PH(AF$2,$A43)</f>
        <v>2015</v>
      </c>
      <c r="AG43" s="39" t="n">
        <f aca="false">MY_PH(AG$2,$A43)</f>
        <v>2015</v>
      </c>
      <c r="AH43" s="39" t="n">
        <f aca="false">MY_PH(AH$2,$A43)</f>
        <v>2015</v>
      </c>
      <c r="AI43" s="39" t="n">
        <f aca="false">MY_PH(AI$2,$A43)</f>
        <v>2015</v>
      </c>
      <c r="AJ43" s="39" t="n">
        <f aca="false">MY_PH(AJ$2,$A43)</f>
        <v>2015</v>
      </c>
      <c r="AK43" s="39" t="n">
        <f aca="false">MY_PH(AK$2,$A43)</f>
        <v>2015</v>
      </c>
      <c r="AL43" s="39" t="n">
        <f aca="false">MY_PH(AL$2,$A43)</f>
        <v>2015</v>
      </c>
      <c r="AM43" s="39" t="n">
        <f aca="false">MY_PH(AM$2,$A43)</f>
        <v>2015</v>
      </c>
      <c r="AN43" s="39" t="n">
        <f aca="false">MY_PH(AN$2,$A43)</f>
        <v>2015</v>
      </c>
      <c r="AO43" s="39" t="n">
        <f aca="false">MY_PH(AO$2,$A43)</f>
        <v>2015</v>
      </c>
      <c r="AP43" s="39" t="n">
        <f aca="false">MY_PH(AP$2,$A43)</f>
        <v>2015</v>
      </c>
      <c r="AQ43" s="39" t="n">
        <f aca="false">MY_PH(AQ$2,$A43)</f>
        <v>2015</v>
      </c>
      <c r="AR43" s="39" t="n">
        <f aca="false">MY_PH(AR$2,$A43)</f>
        <v>4.28461005536942E-005</v>
      </c>
      <c r="AS43" s="39" t="n">
        <f aca="false">MY_PH(AS$2,$A43)</f>
        <v>4.40080996945055E-005</v>
      </c>
    </row>
    <row r="44" customFormat="false" ht="13.8" hidden="false" customHeight="false" outlineLevel="0" collapsed="false">
      <c r="A44" s="0" t="n">
        <v>2040</v>
      </c>
      <c r="B44" s="39" t="n">
        <f aca="false">MY_PH(B$2,$A44)</f>
        <v>2015</v>
      </c>
      <c r="C44" s="39" t="n">
        <f aca="false">MY_PH(C$2,$A44)</f>
        <v>2015</v>
      </c>
      <c r="D44" s="39" t="n">
        <f aca="false">MY_PH(D$2,$A44)</f>
        <v>2015</v>
      </c>
      <c r="E44" s="39" t="n">
        <f aca="false">MY_PH(E$2,$A44)</f>
        <v>2015</v>
      </c>
      <c r="F44" s="39" t="n">
        <f aca="false">MY_PH(F$2,$A44)</f>
        <v>2015</v>
      </c>
      <c r="G44" s="39" t="n">
        <f aca="false">MY_PH(G$2,$A44)</f>
        <v>2015</v>
      </c>
      <c r="H44" s="39" t="n">
        <f aca="false">MY_PH(H$2,$A44)</f>
        <v>2015</v>
      </c>
      <c r="I44" s="39" t="n">
        <f aca="false">MY_PH(I$2,$A44)</f>
        <v>2015</v>
      </c>
      <c r="J44" s="39" t="n">
        <f aca="false">MY_PH(J$2,$A44)</f>
        <v>2015</v>
      </c>
      <c r="K44" s="39" t="n">
        <f aca="false">MY_PH(K$2,$A44)</f>
        <v>2015</v>
      </c>
      <c r="L44" s="39" t="n">
        <f aca="false">MY_PH(L$2,$A44)</f>
        <v>2015</v>
      </c>
      <c r="M44" s="39" t="n">
        <f aca="false">MY_PH(M$2,$A44)</f>
        <v>2015</v>
      </c>
      <c r="N44" s="39" t="n">
        <f aca="false">MY_PH(N$2,$A44)</f>
        <v>2015</v>
      </c>
      <c r="O44" s="39" t="n">
        <f aca="false">MY_PH(O$2,$A44)</f>
        <v>2015</v>
      </c>
      <c r="P44" s="39" t="n">
        <f aca="false">MY_PH(P$2,$A44)</f>
        <v>2015</v>
      </c>
      <c r="Q44" s="39" t="n">
        <f aca="false">MY_PH(Q$2,$A44)</f>
        <v>2015</v>
      </c>
      <c r="R44" s="39" t="n">
        <f aca="false">MY_PH(R$2,$A44)</f>
        <v>2015</v>
      </c>
      <c r="S44" s="39" t="n">
        <f aca="false">MY_PH(S$2,$A44)</f>
        <v>2015</v>
      </c>
      <c r="T44" s="39" t="n">
        <f aca="false">MY_PH(T$2,$A44)</f>
        <v>2015</v>
      </c>
      <c r="U44" s="39" t="n">
        <f aca="false">MY_PH(U$2,$A44)</f>
        <v>2015</v>
      </c>
      <c r="V44" s="39" t="n">
        <f aca="false">MY_PH(V$2,$A44)</f>
        <v>2015</v>
      </c>
      <c r="W44" s="39" t="n">
        <f aca="false">MY_PH(W$2,$A44)</f>
        <v>2015</v>
      </c>
      <c r="X44" s="39" t="n">
        <f aca="false">MY_PH(X$2,$A44)</f>
        <v>2015</v>
      </c>
      <c r="Y44" s="39" t="n">
        <f aca="false">MY_PH(Y$2,$A44)</f>
        <v>2015</v>
      </c>
      <c r="Z44" s="39" t="n">
        <f aca="false">MY_PH(Z$2,$A44)</f>
        <v>2015</v>
      </c>
      <c r="AA44" s="39" t="n">
        <f aca="false">MY_PH(AA$2,$A44)</f>
        <v>2015</v>
      </c>
      <c r="AB44" s="39" t="n">
        <f aca="false">MY_PH(AB$2,$A44)</f>
        <v>2015</v>
      </c>
      <c r="AC44" s="39" t="n">
        <f aca="false">MY_PH(AC$2,$A44)</f>
        <v>2015</v>
      </c>
      <c r="AD44" s="39" t="n">
        <f aca="false">MY_PH(AD$2,$A44)</f>
        <v>2015</v>
      </c>
      <c r="AE44" s="39" t="n">
        <f aca="false">MY_PH(AE$2,$A44)</f>
        <v>2015</v>
      </c>
      <c r="AF44" s="39" t="n">
        <f aca="false">MY_PH(AF$2,$A44)</f>
        <v>2015</v>
      </c>
      <c r="AG44" s="39" t="n">
        <f aca="false">MY_PH(AG$2,$A44)</f>
        <v>2015</v>
      </c>
      <c r="AH44" s="39" t="n">
        <f aca="false">MY_PH(AH$2,$A44)</f>
        <v>2015</v>
      </c>
      <c r="AI44" s="39" t="n">
        <f aca="false">MY_PH(AI$2,$A44)</f>
        <v>2015</v>
      </c>
      <c r="AJ44" s="39" t="n">
        <f aca="false">MY_PH(AJ$2,$A44)</f>
        <v>2015</v>
      </c>
      <c r="AK44" s="39" t="n">
        <f aca="false">MY_PH(AK$2,$A44)</f>
        <v>2015</v>
      </c>
      <c r="AL44" s="39" t="n">
        <f aca="false">MY_PH(AL$2,$A44)</f>
        <v>2015</v>
      </c>
      <c r="AM44" s="39" t="n">
        <f aca="false">MY_PH(AM$2,$A44)</f>
        <v>2015</v>
      </c>
      <c r="AN44" s="39" t="n">
        <f aca="false">MY_PH(AN$2,$A44)</f>
        <v>2015</v>
      </c>
      <c r="AO44" s="39" t="n">
        <f aca="false">MY_PH(AO$2,$A44)</f>
        <v>2015</v>
      </c>
      <c r="AP44" s="39" t="n">
        <f aca="false">MY_PH(AP$2,$A44)</f>
        <v>2015</v>
      </c>
      <c r="AQ44" s="39" t="n">
        <f aca="false">MY_PH(AQ$2,$A44)</f>
        <v>2015</v>
      </c>
      <c r="AR44" s="39" t="n">
        <f aca="false">MY_PH(AR$2,$A44)</f>
        <v>4.22068703365319E-005</v>
      </c>
      <c r="AS44" s="39" t="n">
        <f aca="false">MY_PH(AS$2,$A44)</f>
        <v>4.3372612630397E-005</v>
      </c>
    </row>
    <row r="45" customFormat="false" ht="13.8" hidden="false" customHeight="false" outlineLevel="0" collapsed="false">
      <c r="A45" s="0" t="n">
        <v>2050</v>
      </c>
      <c r="B45" s="39" t="n">
        <f aca="false">MY_PH(B$2,$A45)</f>
        <v>2015</v>
      </c>
      <c r="C45" s="39" t="n">
        <f aca="false">MY_PH(C$2,$A45)</f>
        <v>2015</v>
      </c>
      <c r="D45" s="39" t="n">
        <f aca="false">MY_PH(D$2,$A45)</f>
        <v>2015</v>
      </c>
      <c r="E45" s="39" t="n">
        <f aca="false">MY_PH(E$2,$A45)</f>
        <v>2015</v>
      </c>
      <c r="F45" s="39" t="n">
        <f aca="false">MY_PH(F$2,$A45)</f>
        <v>2015</v>
      </c>
      <c r="G45" s="39" t="n">
        <f aca="false">MY_PH(G$2,$A45)</f>
        <v>2015</v>
      </c>
      <c r="H45" s="39" t="n">
        <f aca="false">MY_PH(H$2,$A45)</f>
        <v>2015</v>
      </c>
      <c r="I45" s="39" t="n">
        <f aca="false">MY_PH(I$2,$A45)</f>
        <v>2015</v>
      </c>
      <c r="J45" s="39" t="n">
        <f aca="false">MY_PH(J$2,$A45)</f>
        <v>2015</v>
      </c>
      <c r="K45" s="39" t="n">
        <f aca="false">MY_PH(K$2,$A45)</f>
        <v>2015</v>
      </c>
      <c r="L45" s="39" t="n">
        <f aca="false">MY_PH(L$2,$A45)</f>
        <v>2015</v>
      </c>
      <c r="M45" s="39" t="n">
        <f aca="false">MY_PH(M$2,$A45)</f>
        <v>2015</v>
      </c>
      <c r="N45" s="39" t="n">
        <f aca="false">MY_PH(N$2,$A45)</f>
        <v>2015</v>
      </c>
      <c r="O45" s="39" t="n">
        <f aca="false">MY_PH(O$2,$A45)</f>
        <v>2015</v>
      </c>
      <c r="P45" s="39" t="n">
        <f aca="false">MY_PH(P$2,$A45)</f>
        <v>2015</v>
      </c>
      <c r="Q45" s="39" t="n">
        <f aca="false">MY_PH(Q$2,$A45)</f>
        <v>2015</v>
      </c>
      <c r="R45" s="39" t="n">
        <f aca="false">MY_PH(R$2,$A45)</f>
        <v>2015</v>
      </c>
      <c r="S45" s="39" t="n">
        <f aca="false">MY_PH(S$2,$A45)</f>
        <v>2015</v>
      </c>
      <c r="T45" s="39" t="n">
        <f aca="false">MY_PH(T$2,$A45)</f>
        <v>2015</v>
      </c>
      <c r="U45" s="39" t="n">
        <f aca="false">MY_PH(U$2,$A45)</f>
        <v>2015</v>
      </c>
      <c r="V45" s="39" t="n">
        <f aca="false">MY_PH(V$2,$A45)</f>
        <v>2015</v>
      </c>
      <c r="W45" s="39" t="n">
        <f aca="false">MY_PH(W$2,$A45)</f>
        <v>2015</v>
      </c>
      <c r="X45" s="39" t="n">
        <f aca="false">MY_PH(X$2,$A45)</f>
        <v>2015</v>
      </c>
      <c r="Y45" s="39" t="n">
        <f aca="false">MY_PH(Y$2,$A45)</f>
        <v>2015</v>
      </c>
      <c r="Z45" s="39" t="n">
        <f aca="false">MY_PH(Z$2,$A45)</f>
        <v>2015</v>
      </c>
      <c r="AA45" s="39" t="n">
        <f aca="false">MY_PH(AA$2,$A45)</f>
        <v>2015</v>
      </c>
      <c r="AB45" s="39" t="n">
        <f aca="false">MY_PH(AB$2,$A45)</f>
        <v>2015</v>
      </c>
      <c r="AC45" s="39" t="n">
        <f aca="false">MY_PH(AC$2,$A45)</f>
        <v>2015</v>
      </c>
      <c r="AD45" s="39" t="n">
        <f aca="false">MY_PH(AD$2,$A45)</f>
        <v>2015</v>
      </c>
      <c r="AE45" s="39" t="n">
        <f aca="false">MY_PH(AE$2,$A45)</f>
        <v>2015</v>
      </c>
      <c r="AF45" s="39" t="n">
        <f aca="false">MY_PH(AF$2,$A45)</f>
        <v>2015</v>
      </c>
      <c r="AG45" s="39" t="n">
        <f aca="false">MY_PH(AG$2,$A45)</f>
        <v>2015</v>
      </c>
      <c r="AH45" s="39" t="n">
        <f aca="false">MY_PH(AH$2,$A45)</f>
        <v>2015</v>
      </c>
      <c r="AI45" s="39" t="n">
        <f aca="false">MY_PH(AI$2,$A45)</f>
        <v>2015</v>
      </c>
      <c r="AJ45" s="39" t="n">
        <f aca="false">MY_PH(AJ$2,$A45)</f>
        <v>2015</v>
      </c>
      <c r="AK45" s="39" t="n">
        <f aca="false">MY_PH(AK$2,$A45)</f>
        <v>2015</v>
      </c>
      <c r="AL45" s="39" t="n">
        <f aca="false">MY_PH(AL$2,$A45)</f>
        <v>2015</v>
      </c>
      <c r="AM45" s="39" t="n">
        <f aca="false">MY_PH(AM$2,$A45)</f>
        <v>2015</v>
      </c>
      <c r="AN45" s="39" t="n">
        <f aca="false">MY_PH(AN$2,$A45)</f>
        <v>2015</v>
      </c>
      <c r="AO45" s="39" t="n">
        <f aca="false">MY_PH(AO$2,$A45)</f>
        <v>2015</v>
      </c>
      <c r="AP45" s="39" t="n">
        <f aca="false">MY_PH(AP$2,$A45)</f>
        <v>2015</v>
      </c>
      <c r="AQ45" s="39" t="n">
        <f aca="false">MY_PH(AQ$2,$A45)</f>
        <v>2015</v>
      </c>
      <c r="AR45" s="39" t="n">
        <f aca="false">MY_PH(AR$2,$A45)</f>
        <v>4.15867938062853E-005</v>
      </c>
      <c r="AS45" s="39" t="n">
        <f aca="false">MY_PH(AS$2,$A45)</f>
        <v>4.27530658737729E-005</v>
      </c>
    </row>
    <row r="46" customFormat="false" ht="13.8" hidden="false" customHeight="false" outlineLevel="0" collapsed="false">
      <c r="A46" s="0" t="n">
        <v>2060</v>
      </c>
      <c r="B46" s="39" t="n">
        <f aca="false">MY_PH(B$2,$A46)</f>
        <v>2015</v>
      </c>
      <c r="C46" s="39" t="n">
        <f aca="false">MY_PH(C$2,$A46)</f>
        <v>2015</v>
      </c>
      <c r="D46" s="39" t="n">
        <f aca="false">MY_PH(D$2,$A46)</f>
        <v>2015</v>
      </c>
      <c r="E46" s="39" t="n">
        <f aca="false">MY_PH(E$2,$A46)</f>
        <v>2015</v>
      </c>
      <c r="F46" s="39" t="n">
        <f aca="false">MY_PH(F$2,$A46)</f>
        <v>2015</v>
      </c>
      <c r="G46" s="39" t="n">
        <f aca="false">MY_PH(G$2,$A46)</f>
        <v>2015</v>
      </c>
      <c r="H46" s="39" t="n">
        <f aca="false">MY_PH(H$2,$A46)</f>
        <v>2015</v>
      </c>
      <c r="I46" s="39" t="n">
        <f aca="false">MY_PH(I$2,$A46)</f>
        <v>2015</v>
      </c>
      <c r="J46" s="39" t="n">
        <f aca="false">MY_PH(J$2,$A46)</f>
        <v>2015</v>
      </c>
      <c r="K46" s="39" t="n">
        <f aca="false">MY_PH(K$2,$A46)</f>
        <v>2015</v>
      </c>
      <c r="L46" s="39" t="n">
        <f aca="false">MY_PH(L$2,$A46)</f>
        <v>2015</v>
      </c>
      <c r="M46" s="39" t="n">
        <f aca="false">MY_PH(M$2,$A46)</f>
        <v>2015</v>
      </c>
      <c r="N46" s="39" t="n">
        <f aca="false">MY_PH(N$2,$A46)</f>
        <v>2015</v>
      </c>
      <c r="O46" s="39" t="n">
        <f aca="false">MY_PH(O$2,$A46)</f>
        <v>2015</v>
      </c>
      <c r="P46" s="39" t="n">
        <f aca="false">MY_PH(P$2,$A46)</f>
        <v>2015</v>
      </c>
      <c r="Q46" s="39" t="n">
        <f aca="false">MY_PH(Q$2,$A46)</f>
        <v>2015</v>
      </c>
      <c r="R46" s="39" t="n">
        <f aca="false">MY_PH(R$2,$A46)</f>
        <v>2015</v>
      </c>
      <c r="S46" s="39" t="n">
        <f aca="false">MY_PH(S$2,$A46)</f>
        <v>2015</v>
      </c>
      <c r="T46" s="39" t="n">
        <f aca="false">MY_PH(T$2,$A46)</f>
        <v>2015</v>
      </c>
      <c r="U46" s="39" t="n">
        <f aca="false">MY_PH(U$2,$A46)</f>
        <v>2015</v>
      </c>
      <c r="V46" s="39" t="n">
        <f aca="false">MY_PH(V$2,$A46)</f>
        <v>2015</v>
      </c>
      <c r="W46" s="39" t="n">
        <f aca="false">MY_PH(W$2,$A46)</f>
        <v>2015</v>
      </c>
      <c r="X46" s="39" t="n">
        <f aca="false">MY_PH(X$2,$A46)</f>
        <v>2015</v>
      </c>
      <c r="Y46" s="39" t="n">
        <f aca="false">MY_PH(Y$2,$A46)</f>
        <v>2015</v>
      </c>
      <c r="Z46" s="39" t="n">
        <f aca="false">MY_PH(Z$2,$A46)</f>
        <v>2015</v>
      </c>
      <c r="AA46" s="39" t="n">
        <f aca="false">MY_PH(AA$2,$A46)</f>
        <v>2015</v>
      </c>
      <c r="AB46" s="39" t="n">
        <f aca="false">MY_PH(AB$2,$A46)</f>
        <v>2015</v>
      </c>
      <c r="AC46" s="39" t="n">
        <f aca="false">MY_PH(AC$2,$A46)</f>
        <v>2015</v>
      </c>
      <c r="AD46" s="39" t="n">
        <f aca="false">MY_PH(AD$2,$A46)</f>
        <v>2015</v>
      </c>
      <c r="AE46" s="39" t="n">
        <f aca="false">MY_PH(AE$2,$A46)</f>
        <v>2015</v>
      </c>
      <c r="AF46" s="39" t="n">
        <f aca="false">MY_PH(AF$2,$A46)</f>
        <v>2015</v>
      </c>
      <c r="AG46" s="39" t="n">
        <f aca="false">MY_PH(AG$2,$A46)</f>
        <v>2015</v>
      </c>
      <c r="AH46" s="39" t="n">
        <f aca="false">MY_PH(AH$2,$A46)</f>
        <v>2015</v>
      </c>
      <c r="AI46" s="39" t="n">
        <f aca="false">MY_PH(AI$2,$A46)</f>
        <v>2015</v>
      </c>
      <c r="AJ46" s="39" t="n">
        <f aca="false">MY_PH(AJ$2,$A46)</f>
        <v>2015</v>
      </c>
      <c r="AK46" s="39" t="n">
        <f aca="false">MY_PH(AK$2,$A46)</f>
        <v>2015</v>
      </c>
      <c r="AL46" s="39" t="n">
        <f aca="false">MY_PH(AL$2,$A46)</f>
        <v>2015</v>
      </c>
      <c r="AM46" s="39" t="n">
        <f aca="false">MY_PH(AM$2,$A46)</f>
        <v>2015</v>
      </c>
      <c r="AN46" s="39" t="n">
        <f aca="false">MY_PH(AN$2,$A46)</f>
        <v>2015</v>
      </c>
      <c r="AO46" s="39" t="n">
        <f aca="false">MY_PH(AO$2,$A46)</f>
        <v>2015</v>
      </c>
      <c r="AP46" s="39" t="n">
        <f aca="false">MY_PH(AP$2,$A46)</f>
        <v>2015</v>
      </c>
      <c r="AQ46" s="39" t="n">
        <f aca="false">MY_PH(AQ$2,$A46)</f>
        <v>2015</v>
      </c>
      <c r="AR46" s="39" t="n">
        <f aca="false">MY_PH(AR$2,$A46)</f>
        <v>4.0986025384527E-005</v>
      </c>
      <c r="AS46" s="39" t="n">
        <f aca="false">MY_PH(AS$2,$A46)</f>
        <v>4.21498940829322E-005</v>
      </c>
    </row>
    <row r="47" customFormat="false" ht="13.8" hidden="false" customHeight="false" outlineLevel="0" collapsed="false">
      <c r="A47" s="0" t="n">
        <v>2070</v>
      </c>
      <c r="B47" s="39" t="n">
        <f aca="false">MY_PH(B$2,$A47)</f>
        <v>2015</v>
      </c>
      <c r="C47" s="39" t="n">
        <f aca="false">MY_PH(C$2,$A47)</f>
        <v>2015</v>
      </c>
      <c r="D47" s="39" t="n">
        <f aca="false">MY_PH(D$2,$A47)</f>
        <v>2015</v>
      </c>
      <c r="E47" s="39" t="n">
        <f aca="false">MY_PH(E$2,$A47)</f>
        <v>2015</v>
      </c>
      <c r="F47" s="39" t="n">
        <f aca="false">MY_PH(F$2,$A47)</f>
        <v>2015</v>
      </c>
      <c r="G47" s="39" t="n">
        <f aca="false">MY_PH(G$2,$A47)</f>
        <v>2015</v>
      </c>
      <c r="H47" s="39" t="n">
        <f aca="false">MY_PH(H$2,$A47)</f>
        <v>2015</v>
      </c>
      <c r="I47" s="39" t="n">
        <f aca="false">MY_PH(I$2,$A47)</f>
        <v>2015</v>
      </c>
      <c r="J47" s="39" t="n">
        <f aca="false">MY_PH(J$2,$A47)</f>
        <v>2015</v>
      </c>
      <c r="K47" s="39" t="n">
        <f aca="false">MY_PH(K$2,$A47)</f>
        <v>2015</v>
      </c>
      <c r="L47" s="39" t="n">
        <f aca="false">MY_PH(L$2,$A47)</f>
        <v>2015</v>
      </c>
      <c r="M47" s="39" t="n">
        <f aca="false">MY_PH(M$2,$A47)</f>
        <v>2015</v>
      </c>
      <c r="N47" s="39" t="n">
        <f aca="false">MY_PH(N$2,$A47)</f>
        <v>2015</v>
      </c>
      <c r="O47" s="39" t="n">
        <f aca="false">MY_PH(O$2,$A47)</f>
        <v>2015</v>
      </c>
      <c r="P47" s="39" t="n">
        <f aca="false">MY_PH(P$2,$A47)</f>
        <v>2015</v>
      </c>
      <c r="Q47" s="39" t="n">
        <f aca="false">MY_PH(Q$2,$A47)</f>
        <v>2015</v>
      </c>
      <c r="R47" s="39" t="n">
        <f aca="false">MY_PH(R$2,$A47)</f>
        <v>2015</v>
      </c>
      <c r="S47" s="39" t="n">
        <f aca="false">MY_PH(S$2,$A47)</f>
        <v>2015</v>
      </c>
      <c r="T47" s="39" t="n">
        <f aca="false">MY_PH(T$2,$A47)</f>
        <v>2015</v>
      </c>
      <c r="U47" s="39" t="n">
        <f aca="false">MY_PH(U$2,$A47)</f>
        <v>2015</v>
      </c>
      <c r="V47" s="39" t="n">
        <f aca="false">MY_PH(V$2,$A47)</f>
        <v>2015</v>
      </c>
      <c r="W47" s="39" t="n">
        <f aca="false">MY_PH(W$2,$A47)</f>
        <v>2015</v>
      </c>
      <c r="X47" s="39" t="n">
        <f aca="false">MY_PH(X$2,$A47)</f>
        <v>2015</v>
      </c>
      <c r="Y47" s="39" t="n">
        <f aca="false">MY_PH(Y$2,$A47)</f>
        <v>2015</v>
      </c>
      <c r="Z47" s="39" t="n">
        <f aca="false">MY_PH(Z$2,$A47)</f>
        <v>2015</v>
      </c>
      <c r="AA47" s="39" t="n">
        <f aca="false">MY_PH(AA$2,$A47)</f>
        <v>2015</v>
      </c>
      <c r="AB47" s="39" t="n">
        <f aca="false">MY_PH(AB$2,$A47)</f>
        <v>2015</v>
      </c>
      <c r="AC47" s="39" t="n">
        <f aca="false">MY_PH(AC$2,$A47)</f>
        <v>2015</v>
      </c>
      <c r="AD47" s="39" t="n">
        <f aca="false">MY_PH(AD$2,$A47)</f>
        <v>2015</v>
      </c>
      <c r="AE47" s="39" t="n">
        <f aca="false">MY_PH(AE$2,$A47)</f>
        <v>2015</v>
      </c>
      <c r="AF47" s="39" t="n">
        <f aca="false">MY_PH(AF$2,$A47)</f>
        <v>2015</v>
      </c>
      <c r="AG47" s="39" t="n">
        <f aca="false">MY_PH(AG$2,$A47)</f>
        <v>2015</v>
      </c>
      <c r="AH47" s="39" t="n">
        <f aca="false">MY_PH(AH$2,$A47)</f>
        <v>2015</v>
      </c>
      <c r="AI47" s="39" t="n">
        <f aca="false">MY_PH(AI$2,$A47)</f>
        <v>2015</v>
      </c>
      <c r="AJ47" s="39" t="n">
        <f aca="false">MY_PH(AJ$2,$A47)</f>
        <v>2015</v>
      </c>
      <c r="AK47" s="39" t="n">
        <f aca="false">MY_PH(AK$2,$A47)</f>
        <v>2015</v>
      </c>
      <c r="AL47" s="39" t="n">
        <f aca="false">MY_PH(AL$2,$A47)</f>
        <v>2015</v>
      </c>
      <c r="AM47" s="39" t="n">
        <f aca="false">MY_PH(AM$2,$A47)</f>
        <v>2015</v>
      </c>
      <c r="AN47" s="39" t="n">
        <f aca="false">MY_PH(AN$2,$A47)</f>
        <v>2015</v>
      </c>
      <c r="AO47" s="39" t="n">
        <f aca="false">MY_PH(AO$2,$A47)</f>
        <v>2015</v>
      </c>
      <c r="AP47" s="39" t="n">
        <f aca="false">MY_PH(AP$2,$A47)</f>
        <v>2015</v>
      </c>
      <c r="AQ47" s="39" t="n">
        <f aca="false">MY_PH(AQ$2,$A47)</f>
        <v>2015</v>
      </c>
      <c r="AR47" s="39" t="n">
        <f aca="false">MY_PH(AR$2,$A47)</f>
        <v>4.04045241837731E-005</v>
      </c>
      <c r="AS47" s="39" t="n">
        <f aca="false">MY_PH(AS$2,$A47)</f>
        <v>4.15634152069259E-005</v>
      </c>
    </row>
    <row r="48" customFormat="false" ht="13.8" hidden="false" customHeight="false" outlineLevel="0" collapsed="false">
      <c r="A48" s="0" t="n">
        <v>2080</v>
      </c>
      <c r="B48" s="39" t="n">
        <f aca="false">MY_PH(B$2,$A48)</f>
        <v>2015</v>
      </c>
      <c r="C48" s="39" t="n">
        <f aca="false">MY_PH(C$2,$A48)</f>
        <v>2015</v>
      </c>
      <c r="D48" s="39" t="n">
        <f aca="false">MY_PH(D$2,$A48)</f>
        <v>2015</v>
      </c>
      <c r="E48" s="39" t="n">
        <f aca="false">MY_PH(E$2,$A48)</f>
        <v>2015</v>
      </c>
      <c r="F48" s="39" t="n">
        <f aca="false">MY_PH(F$2,$A48)</f>
        <v>2015</v>
      </c>
      <c r="G48" s="39" t="n">
        <f aca="false">MY_PH(G$2,$A48)</f>
        <v>2015</v>
      </c>
      <c r="H48" s="39" t="n">
        <f aca="false">MY_PH(H$2,$A48)</f>
        <v>2015</v>
      </c>
      <c r="I48" s="39" t="n">
        <f aca="false">MY_PH(I$2,$A48)</f>
        <v>2015</v>
      </c>
      <c r="J48" s="39" t="n">
        <f aca="false">MY_PH(J$2,$A48)</f>
        <v>2015</v>
      </c>
      <c r="K48" s="39" t="n">
        <f aca="false">MY_PH(K$2,$A48)</f>
        <v>2015</v>
      </c>
      <c r="L48" s="39" t="n">
        <f aca="false">MY_PH(L$2,$A48)</f>
        <v>2015</v>
      </c>
      <c r="M48" s="39" t="n">
        <f aca="false">MY_PH(M$2,$A48)</f>
        <v>2015</v>
      </c>
      <c r="N48" s="39" t="n">
        <f aca="false">MY_PH(N$2,$A48)</f>
        <v>2015</v>
      </c>
      <c r="O48" s="39" t="n">
        <f aca="false">MY_PH(O$2,$A48)</f>
        <v>2015</v>
      </c>
      <c r="P48" s="39" t="n">
        <f aca="false">MY_PH(P$2,$A48)</f>
        <v>2015</v>
      </c>
      <c r="Q48" s="39" t="n">
        <f aca="false">MY_PH(Q$2,$A48)</f>
        <v>2015</v>
      </c>
      <c r="R48" s="39" t="n">
        <f aca="false">MY_PH(R$2,$A48)</f>
        <v>2015</v>
      </c>
      <c r="S48" s="39" t="n">
        <f aca="false">MY_PH(S$2,$A48)</f>
        <v>2015</v>
      </c>
      <c r="T48" s="39" t="n">
        <f aca="false">MY_PH(T$2,$A48)</f>
        <v>2015</v>
      </c>
      <c r="U48" s="39" t="n">
        <f aca="false">MY_PH(U$2,$A48)</f>
        <v>2015</v>
      </c>
      <c r="V48" s="39" t="n">
        <f aca="false">MY_PH(V$2,$A48)</f>
        <v>2015</v>
      </c>
      <c r="W48" s="39" t="n">
        <f aca="false">MY_PH(W$2,$A48)</f>
        <v>2015</v>
      </c>
      <c r="X48" s="39" t="n">
        <f aca="false">MY_PH(X$2,$A48)</f>
        <v>2015</v>
      </c>
      <c r="Y48" s="39" t="n">
        <f aca="false">MY_PH(Y$2,$A48)</f>
        <v>2015</v>
      </c>
      <c r="Z48" s="39" t="n">
        <f aca="false">MY_PH(Z$2,$A48)</f>
        <v>2015</v>
      </c>
      <c r="AA48" s="39" t="n">
        <f aca="false">MY_PH(AA$2,$A48)</f>
        <v>2015</v>
      </c>
      <c r="AB48" s="39" t="n">
        <f aca="false">MY_PH(AB$2,$A48)</f>
        <v>2015</v>
      </c>
      <c r="AC48" s="39" t="n">
        <f aca="false">MY_PH(AC$2,$A48)</f>
        <v>2015</v>
      </c>
      <c r="AD48" s="39" t="n">
        <f aca="false">MY_PH(AD$2,$A48)</f>
        <v>2015</v>
      </c>
      <c r="AE48" s="39" t="n">
        <f aca="false">MY_PH(AE$2,$A48)</f>
        <v>2015</v>
      </c>
      <c r="AF48" s="39" t="n">
        <f aca="false">MY_PH(AF$2,$A48)</f>
        <v>2015</v>
      </c>
      <c r="AG48" s="39" t="n">
        <f aca="false">MY_PH(AG$2,$A48)</f>
        <v>2015</v>
      </c>
      <c r="AH48" s="39" t="n">
        <f aca="false">MY_PH(AH$2,$A48)</f>
        <v>2015</v>
      </c>
      <c r="AI48" s="39" t="n">
        <f aca="false">MY_PH(AI$2,$A48)</f>
        <v>2015</v>
      </c>
      <c r="AJ48" s="39" t="n">
        <f aca="false">MY_PH(AJ$2,$A48)</f>
        <v>2015</v>
      </c>
      <c r="AK48" s="39" t="n">
        <f aca="false">MY_PH(AK$2,$A48)</f>
        <v>2015</v>
      </c>
      <c r="AL48" s="39" t="n">
        <f aca="false">MY_PH(AL$2,$A48)</f>
        <v>2015</v>
      </c>
      <c r="AM48" s="39" t="n">
        <f aca="false">MY_PH(AM$2,$A48)</f>
        <v>2015</v>
      </c>
      <c r="AN48" s="39" t="n">
        <f aca="false">MY_PH(AN$2,$A48)</f>
        <v>2015</v>
      </c>
      <c r="AO48" s="39" t="n">
        <f aca="false">MY_PH(AO$2,$A48)</f>
        <v>2015</v>
      </c>
      <c r="AP48" s="39" t="n">
        <f aca="false">MY_PH(AP$2,$A48)</f>
        <v>2015</v>
      </c>
      <c r="AQ48" s="39" t="n">
        <f aca="false">MY_PH(AQ$2,$A48)</f>
        <v>2015</v>
      </c>
      <c r="AR48" s="39" t="n">
        <f aca="false">MY_PH(AR$2,$A48)</f>
        <v>3.98421618978404E-005</v>
      </c>
      <c r="AS48" s="39" t="n">
        <f aca="false">MY_PH(AS$2,$A48)</f>
        <v>4.09939175592722E-005</v>
      </c>
    </row>
    <row r="49" customFormat="false" ht="13.8" hidden="false" customHeight="false" outlineLevel="0" collapsed="false">
      <c r="A49" s="0" t="n">
        <v>2090</v>
      </c>
      <c r="B49" s="39" t="n">
        <f aca="false">MY_PH(B$2,$A49)</f>
        <v>2015</v>
      </c>
      <c r="C49" s="39" t="n">
        <f aca="false">MY_PH(C$2,$A49)</f>
        <v>2015</v>
      </c>
      <c r="D49" s="39" t="n">
        <f aca="false">MY_PH(D$2,$A49)</f>
        <v>2015</v>
      </c>
      <c r="E49" s="39" t="n">
        <f aca="false">MY_PH(E$2,$A49)</f>
        <v>2015</v>
      </c>
      <c r="F49" s="39" t="n">
        <f aca="false">MY_PH(F$2,$A49)</f>
        <v>2015</v>
      </c>
      <c r="G49" s="39" t="n">
        <f aca="false">MY_PH(G$2,$A49)</f>
        <v>2015</v>
      </c>
      <c r="H49" s="39" t="n">
        <f aca="false">MY_PH(H$2,$A49)</f>
        <v>2015</v>
      </c>
      <c r="I49" s="39" t="n">
        <f aca="false">MY_PH(I$2,$A49)</f>
        <v>2015</v>
      </c>
      <c r="J49" s="39" t="n">
        <f aca="false">MY_PH(J$2,$A49)</f>
        <v>2015</v>
      </c>
      <c r="K49" s="39" t="n">
        <f aca="false">MY_PH(K$2,$A49)</f>
        <v>2015</v>
      </c>
      <c r="L49" s="39" t="n">
        <f aca="false">MY_PH(L$2,$A49)</f>
        <v>2015</v>
      </c>
      <c r="M49" s="39" t="n">
        <f aca="false">MY_PH(M$2,$A49)</f>
        <v>2015</v>
      </c>
      <c r="N49" s="39" t="n">
        <f aca="false">MY_PH(N$2,$A49)</f>
        <v>2015</v>
      </c>
      <c r="O49" s="39" t="n">
        <f aca="false">MY_PH(O$2,$A49)</f>
        <v>2015</v>
      </c>
      <c r="P49" s="39" t="n">
        <f aca="false">MY_PH(P$2,$A49)</f>
        <v>2015</v>
      </c>
      <c r="Q49" s="39" t="n">
        <f aca="false">MY_PH(Q$2,$A49)</f>
        <v>2015</v>
      </c>
      <c r="R49" s="39" t="n">
        <f aca="false">MY_PH(R$2,$A49)</f>
        <v>2015</v>
      </c>
      <c r="S49" s="39" t="n">
        <f aca="false">MY_PH(S$2,$A49)</f>
        <v>2015</v>
      </c>
      <c r="T49" s="39" t="n">
        <f aca="false">MY_PH(T$2,$A49)</f>
        <v>2015</v>
      </c>
      <c r="U49" s="39" t="n">
        <f aca="false">MY_PH(U$2,$A49)</f>
        <v>2015</v>
      </c>
      <c r="V49" s="39" t="n">
        <f aca="false">MY_PH(V$2,$A49)</f>
        <v>2015</v>
      </c>
      <c r="W49" s="39" t="n">
        <f aca="false">MY_PH(W$2,$A49)</f>
        <v>2015</v>
      </c>
      <c r="X49" s="39" t="n">
        <f aca="false">MY_PH(X$2,$A49)</f>
        <v>2015</v>
      </c>
      <c r="Y49" s="39" t="n">
        <f aca="false">MY_PH(Y$2,$A49)</f>
        <v>2015</v>
      </c>
      <c r="Z49" s="39" t="n">
        <f aca="false">MY_PH(Z$2,$A49)</f>
        <v>2015</v>
      </c>
      <c r="AA49" s="39" t="n">
        <f aca="false">MY_PH(AA$2,$A49)</f>
        <v>2015</v>
      </c>
      <c r="AB49" s="39" t="n">
        <f aca="false">MY_PH(AB$2,$A49)</f>
        <v>2015</v>
      </c>
      <c r="AC49" s="39" t="n">
        <f aca="false">MY_PH(AC$2,$A49)</f>
        <v>2015</v>
      </c>
      <c r="AD49" s="39" t="n">
        <f aca="false">MY_PH(AD$2,$A49)</f>
        <v>2015</v>
      </c>
      <c r="AE49" s="39" t="n">
        <f aca="false">MY_PH(AE$2,$A49)</f>
        <v>2015</v>
      </c>
      <c r="AF49" s="39" t="n">
        <f aca="false">MY_PH(AF$2,$A49)</f>
        <v>2015</v>
      </c>
      <c r="AG49" s="39" t="n">
        <f aca="false">MY_PH(AG$2,$A49)</f>
        <v>2015</v>
      </c>
      <c r="AH49" s="39" t="n">
        <f aca="false">MY_PH(AH$2,$A49)</f>
        <v>2015</v>
      </c>
      <c r="AI49" s="39" t="n">
        <f aca="false">MY_PH(AI$2,$A49)</f>
        <v>2015</v>
      </c>
      <c r="AJ49" s="39" t="n">
        <f aca="false">MY_PH(AJ$2,$A49)</f>
        <v>2015</v>
      </c>
      <c r="AK49" s="39" t="n">
        <f aca="false">MY_PH(AK$2,$A49)</f>
        <v>2015</v>
      </c>
      <c r="AL49" s="39" t="n">
        <f aca="false">MY_PH(AL$2,$A49)</f>
        <v>2015</v>
      </c>
      <c r="AM49" s="39" t="n">
        <f aca="false">MY_PH(AM$2,$A49)</f>
        <v>2015</v>
      </c>
      <c r="AN49" s="39" t="n">
        <f aca="false">MY_PH(AN$2,$A49)</f>
        <v>2015</v>
      </c>
      <c r="AO49" s="39" t="n">
        <f aca="false">MY_PH(AO$2,$A49)</f>
        <v>2015</v>
      </c>
      <c r="AP49" s="39" t="n">
        <f aca="false">MY_PH(AP$2,$A49)</f>
        <v>2015</v>
      </c>
      <c r="AQ49" s="39" t="n">
        <f aca="false">MY_PH(AQ$2,$A49)</f>
        <v>2015</v>
      </c>
      <c r="AR49" s="39" t="n">
        <f aca="false">MY_PH(AR$2,$A49)</f>
        <v>3.92987385756207E-005</v>
      </c>
      <c r="AS49" s="39" t="n">
        <f aca="false">MY_PH(AS$2,$A49)</f>
        <v>4.04417816309236E-005</v>
      </c>
    </row>
    <row r="50" customFormat="false" ht="13.8" hidden="false" customHeight="false" outlineLevel="0" collapsed="false">
      <c r="A50" s="0" t="n">
        <v>2100</v>
      </c>
      <c r="B50" s="39" t="n">
        <f aca="false">MY_PH(B$2,$A50)</f>
        <v>2015</v>
      </c>
      <c r="C50" s="39" t="n">
        <f aca="false">MY_PH(C$2,$A50)</f>
        <v>2015</v>
      </c>
      <c r="D50" s="39" t="n">
        <f aca="false">MY_PH(D$2,$A50)</f>
        <v>2015</v>
      </c>
      <c r="E50" s="39" t="n">
        <f aca="false">MY_PH(E$2,$A50)</f>
        <v>2015</v>
      </c>
      <c r="F50" s="39" t="n">
        <f aca="false">MY_PH(F$2,$A50)</f>
        <v>2015</v>
      </c>
      <c r="G50" s="39" t="n">
        <f aca="false">MY_PH(G$2,$A50)</f>
        <v>2015</v>
      </c>
      <c r="H50" s="39" t="n">
        <f aca="false">MY_PH(H$2,$A50)</f>
        <v>2015</v>
      </c>
      <c r="I50" s="39" t="n">
        <f aca="false">MY_PH(I$2,$A50)</f>
        <v>2015</v>
      </c>
      <c r="J50" s="39" t="n">
        <f aca="false">MY_PH(J$2,$A50)</f>
        <v>2015</v>
      </c>
      <c r="K50" s="39" t="n">
        <f aca="false">MY_PH(K$2,$A50)</f>
        <v>2015</v>
      </c>
      <c r="L50" s="39" t="n">
        <f aca="false">MY_PH(L$2,$A50)</f>
        <v>2015</v>
      </c>
      <c r="M50" s="39" t="n">
        <f aca="false">MY_PH(M$2,$A50)</f>
        <v>2015</v>
      </c>
      <c r="N50" s="39" t="n">
        <f aca="false">MY_PH(N$2,$A50)</f>
        <v>2015</v>
      </c>
      <c r="O50" s="39" t="n">
        <f aca="false">MY_PH(O$2,$A50)</f>
        <v>2015</v>
      </c>
      <c r="P50" s="39" t="n">
        <f aca="false">MY_PH(P$2,$A50)</f>
        <v>2015</v>
      </c>
      <c r="Q50" s="39" t="n">
        <f aca="false">MY_PH(Q$2,$A50)</f>
        <v>2015</v>
      </c>
      <c r="R50" s="39" t="n">
        <f aca="false">MY_PH(R$2,$A50)</f>
        <v>2015</v>
      </c>
      <c r="S50" s="39" t="n">
        <f aca="false">MY_PH(S$2,$A50)</f>
        <v>2015</v>
      </c>
      <c r="T50" s="39" t="n">
        <f aca="false">MY_PH(T$2,$A50)</f>
        <v>2015</v>
      </c>
      <c r="U50" s="39" t="n">
        <f aca="false">MY_PH(U$2,$A50)</f>
        <v>2015</v>
      </c>
      <c r="V50" s="39" t="n">
        <f aca="false">MY_PH(V$2,$A50)</f>
        <v>2015</v>
      </c>
      <c r="W50" s="39" t="n">
        <f aca="false">MY_PH(W$2,$A50)</f>
        <v>2015</v>
      </c>
      <c r="X50" s="39" t="n">
        <f aca="false">MY_PH(X$2,$A50)</f>
        <v>2015</v>
      </c>
      <c r="Y50" s="39" t="n">
        <f aca="false">MY_PH(Y$2,$A50)</f>
        <v>2015</v>
      </c>
      <c r="Z50" s="39" t="n">
        <f aca="false">MY_PH(Z$2,$A50)</f>
        <v>2015</v>
      </c>
      <c r="AA50" s="39" t="n">
        <f aca="false">MY_PH(AA$2,$A50)</f>
        <v>2015</v>
      </c>
      <c r="AB50" s="39" t="n">
        <f aca="false">MY_PH(AB$2,$A50)</f>
        <v>2015</v>
      </c>
      <c r="AC50" s="39" t="n">
        <f aca="false">MY_PH(AC$2,$A50)</f>
        <v>2015</v>
      </c>
      <c r="AD50" s="39" t="n">
        <f aca="false">MY_PH(AD$2,$A50)</f>
        <v>2015</v>
      </c>
      <c r="AE50" s="39" t="n">
        <f aca="false">MY_PH(AE$2,$A50)</f>
        <v>2015</v>
      </c>
      <c r="AF50" s="39" t="n">
        <f aca="false">MY_PH(AF$2,$A50)</f>
        <v>2015</v>
      </c>
      <c r="AG50" s="39" t="n">
        <f aca="false">MY_PH(AG$2,$A50)</f>
        <v>2015</v>
      </c>
      <c r="AH50" s="39" t="n">
        <f aca="false">MY_PH(AH$2,$A50)</f>
        <v>2015</v>
      </c>
      <c r="AI50" s="39" t="n">
        <f aca="false">MY_PH(AI$2,$A50)</f>
        <v>2015</v>
      </c>
      <c r="AJ50" s="39" t="n">
        <f aca="false">MY_PH(AJ$2,$A50)</f>
        <v>2015</v>
      </c>
      <c r="AK50" s="39" t="n">
        <f aca="false">MY_PH(AK$2,$A50)</f>
        <v>2015</v>
      </c>
      <c r="AL50" s="39" t="n">
        <f aca="false">MY_PH(AL$2,$A50)</f>
        <v>2015</v>
      </c>
      <c r="AM50" s="39" t="n">
        <f aca="false">MY_PH(AM$2,$A50)</f>
        <v>2015</v>
      </c>
      <c r="AN50" s="39" t="n">
        <f aca="false">MY_PH(AN$2,$A50)</f>
        <v>2015</v>
      </c>
      <c r="AO50" s="39" t="n">
        <f aca="false">MY_PH(AO$2,$A50)</f>
        <v>2015</v>
      </c>
      <c r="AP50" s="39" t="n">
        <f aca="false">MY_PH(AP$2,$A50)</f>
        <v>2015</v>
      </c>
      <c r="AQ50" s="39" t="n">
        <f aca="false">MY_PH(AQ$2,$A50)</f>
        <v>2015</v>
      </c>
      <c r="AR50" s="39" t="n">
        <f aca="false">MY_PH(AR$2,$A50)</f>
        <v>3.87736572461862E-005</v>
      </c>
      <c r="AS50" s="39" t="n">
        <f aca="false">MY_PH(AS$2,$A50)</f>
        <v>3.99071678240198E-005</v>
      </c>
    </row>
    <row r="51" customFormat="false" ht="13.8" hidden="false" customHeight="false" outlineLevel="0" collapsed="false">
      <c r="A51" s="0" t="n">
        <v>2110</v>
      </c>
      <c r="B51" s="39" t="n">
        <f aca="false">MY_PH(B$2,$A51)</f>
        <v>2015</v>
      </c>
      <c r="C51" s="39" t="n">
        <f aca="false">MY_PH(C$2,$A51)</f>
        <v>2015</v>
      </c>
      <c r="D51" s="39" t="n">
        <f aca="false">MY_PH(D$2,$A51)</f>
        <v>2015</v>
      </c>
      <c r="E51" s="39" t="n">
        <f aca="false">MY_PH(E$2,$A51)</f>
        <v>2015</v>
      </c>
      <c r="F51" s="39" t="n">
        <f aca="false">MY_PH(F$2,$A51)</f>
        <v>2015</v>
      </c>
      <c r="G51" s="39" t="n">
        <f aca="false">MY_PH(G$2,$A51)</f>
        <v>2015</v>
      </c>
      <c r="H51" s="39" t="n">
        <f aca="false">MY_PH(H$2,$A51)</f>
        <v>2015</v>
      </c>
      <c r="I51" s="39" t="n">
        <f aca="false">MY_PH(I$2,$A51)</f>
        <v>2015</v>
      </c>
      <c r="J51" s="39" t="n">
        <f aca="false">MY_PH(J$2,$A51)</f>
        <v>2015</v>
      </c>
      <c r="K51" s="39" t="n">
        <f aca="false">MY_PH(K$2,$A51)</f>
        <v>2015</v>
      </c>
      <c r="L51" s="39" t="n">
        <f aca="false">MY_PH(L$2,$A51)</f>
        <v>2015</v>
      </c>
      <c r="M51" s="39" t="n">
        <f aca="false">MY_PH(M$2,$A51)</f>
        <v>2015</v>
      </c>
      <c r="N51" s="39" t="n">
        <f aca="false">MY_PH(N$2,$A51)</f>
        <v>2015</v>
      </c>
      <c r="O51" s="39" t="n">
        <f aca="false">MY_PH(O$2,$A51)</f>
        <v>2015</v>
      </c>
      <c r="P51" s="39" t="n">
        <f aca="false">MY_PH(P$2,$A51)</f>
        <v>2015</v>
      </c>
      <c r="Q51" s="39" t="n">
        <f aca="false">MY_PH(Q$2,$A51)</f>
        <v>2015</v>
      </c>
      <c r="R51" s="39" t="n">
        <f aca="false">MY_PH(R$2,$A51)</f>
        <v>2015</v>
      </c>
      <c r="S51" s="39" t="n">
        <f aca="false">MY_PH(S$2,$A51)</f>
        <v>2015</v>
      </c>
      <c r="T51" s="39" t="n">
        <f aca="false">MY_PH(T$2,$A51)</f>
        <v>2015</v>
      </c>
      <c r="U51" s="39" t="n">
        <f aca="false">MY_PH(U$2,$A51)</f>
        <v>2015</v>
      </c>
      <c r="V51" s="39" t="n">
        <f aca="false">MY_PH(V$2,$A51)</f>
        <v>2015</v>
      </c>
      <c r="W51" s="39" t="n">
        <f aca="false">MY_PH(W$2,$A51)</f>
        <v>2015</v>
      </c>
      <c r="X51" s="39" t="n">
        <f aca="false">MY_PH(X$2,$A51)</f>
        <v>2015</v>
      </c>
      <c r="Y51" s="39" t="n">
        <f aca="false">MY_PH(Y$2,$A51)</f>
        <v>2015</v>
      </c>
      <c r="Z51" s="39" t="n">
        <f aca="false">MY_PH(Z$2,$A51)</f>
        <v>2015</v>
      </c>
      <c r="AA51" s="39" t="n">
        <f aca="false">MY_PH(AA$2,$A51)</f>
        <v>2015</v>
      </c>
      <c r="AB51" s="39" t="n">
        <f aca="false">MY_PH(AB$2,$A51)</f>
        <v>2015</v>
      </c>
      <c r="AC51" s="39" t="n">
        <f aca="false">MY_PH(AC$2,$A51)</f>
        <v>2015</v>
      </c>
      <c r="AD51" s="39" t="n">
        <f aca="false">MY_PH(AD$2,$A51)</f>
        <v>2015</v>
      </c>
      <c r="AE51" s="39" t="n">
        <f aca="false">MY_PH(AE$2,$A51)</f>
        <v>2015</v>
      </c>
      <c r="AF51" s="39" t="n">
        <f aca="false">MY_PH(AF$2,$A51)</f>
        <v>2015</v>
      </c>
      <c r="AG51" s="39" t="n">
        <f aca="false">MY_PH(AG$2,$A51)</f>
        <v>2015</v>
      </c>
      <c r="AH51" s="39" t="n">
        <f aca="false">MY_PH(AH$2,$A51)</f>
        <v>2015</v>
      </c>
      <c r="AI51" s="39" t="n">
        <f aca="false">MY_PH(AI$2,$A51)</f>
        <v>2015</v>
      </c>
      <c r="AJ51" s="39" t="n">
        <f aca="false">MY_PH(AJ$2,$A51)</f>
        <v>2015</v>
      </c>
      <c r="AK51" s="39" t="n">
        <f aca="false">MY_PH(AK$2,$A51)</f>
        <v>2015</v>
      </c>
      <c r="AL51" s="39" t="n">
        <f aca="false">MY_PH(AL$2,$A51)</f>
        <v>2015</v>
      </c>
      <c r="AM51" s="39" t="n">
        <f aca="false">MY_PH(AM$2,$A51)</f>
        <v>2015</v>
      </c>
      <c r="AN51" s="39" t="n">
        <f aca="false">MY_PH(AN$2,$A51)</f>
        <v>2015</v>
      </c>
      <c r="AO51" s="39" t="n">
        <f aca="false">MY_PH(AO$2,$A51)</f>
        <v>2015</v>
      </c>
      <c r="AP51" s="39" t="n">
        <f aca="false">MY_PH(AP$2,$A51)</f>
        <v>2015</v>
      </c>
      <c r="AQ51" s="39" t="n">
        <f aca="false">MY_PH(AQ$2,$A51)</f>
        <v>2015</v>
      </c>
      <c r="AR51" s="39" t="n">
        <f aca="false">MY_PH(AR$2,$A51)</f>
        <v>3.8266695218793E-005</v>
      </c>
      <c r="AS51" s="39" t="n">
        <f aca="false">MY_PH(AS$2,$A51)</f>
        <v>3.93894683367985E-005</v>
      </c>
    </row>
    <row r="52" customFormat="false" ht="13.8" hidden="false" customHeight="false" outlineLevel="0" collapsed="false">
      <c r="A52" s="0" t="n">
        <v>2120</v>
      </c>
      <c r="B52" s="39" t="n">
        <f aca="false">MY_PH(B$2,$A52)</f>
        <v>2015</v>
      </c>
      <c r="C52" s="39" t="n">
        <f aca="false">MY_PH(C$2,$A52)</f>
        <v>2015</v>
      </c>
      <c r="D52" s="39" t="n">
        <f aca="false">MY_PH(D$2,$A52)</f>
        <v>2015</v>
      </c>
      <c r="E52" s="39" t="n">
        <f aca="false">MY_PH(E$2,$A52)</f>
        <v>2015</v>
      </c>
      <c r="F52" s="39" t="n">
        <f aca="false">MY_PH(F$2,$A52)</f>
        <v>2015</v>
      </c>
      <c r="G52" s="39" t="n">
        <f aca="false">MY_PH(G$2,$A52)</f>
        <v>2015</v>
      </c>
      <c r="H52" s="39" t="n">
        <f aca="false">MY_PH(H$2,$A52)</f>
        <v>2015</v>
      </c>
      <c r="I52" s="39" t="n">
        <f aca="false">MY_PH(I$2,$A52)</f>
        <v>2015</v>
      </c>
      <c r="J52" s="39" t="n">
        <f aca="false">MY_PH(J$2,$A52)</f>
        <v>2015</v>
      </c>
      <c r="K52" s="39" t="n">
        <f aca="false">MY_PH(K$2,$A52)</f>
        <v>2015</v>
      </c>
      <c r="L52" s="39" t="n">
        <f aca="false">MY_PH(L$2,$A52)</f>
        <v>2015</v>
      </c>
      <c r="M52" s="39" t="n">
        <f aca="false">MY_PH(M$2,$A52)</f>
        <v>2015</v>
      </c>
      <c r="N52" s="39" t="n">
        <f aca="false">MY_PH(N$2,$A52)</f>
        <v>2015</v>
      </c>
      <c r="O52" s="39" t="n">
        <f aca="false">MY_PH(O$2,$A52)</f>
        <v>2015</v>
      </c>
      <c r="P52" s="39" t="n">
        <f aca="false">MY_PH(P$2,$A52)</f>
        <v>2015</v>
      </c>
      <c r="Q52" s="39" t="n">
        <f aca="false">MY_PH(Q$2,$A52)</f>
        <v>2015</v>
      </c>
      <c r="R52" s="39" t="n">
        <f aca="false">MY_PH(R$2,$A52)</f>
        <v>2015</v>
      </c>
      <c r="S52" s="39" t="n">
        <f aca="false">MY_PH(S$2,$A52)</f>
        <v>2015</v>
      </c>
      <c r="T52" s="39" t="n">
        <f aca="false">MY_PH(T$2,$A52)</f>
        <v>2015</v>
      </c>
      <c r="U52" s="39" t="n">
        <f aca="false">MY_PH(U$2,$A52)</f>
        <v>2015</v>
      </c>
      <c r="V52" s="39" t="n">
        <f aca="false">MY_PH(V$2,$A52)</f>
        <v>2015</v>
      </c>
      <c r="W52" s="39" t="n">
        <f aca="false">MY_PH(W$2,$A52)</f>
        <v>2015</v>
      </c>
      <c r="X52" s="39" t="n">
        <f aca="false">MY_PH(X$2,$A52)</f>
        <v>2015</v>
      </c>
      <c r="Y52" s="39" t="n">
        <f aca="false">MY_PH(Y$2,$A52)</f>
        <v>2015</v>
      </c>
      <c r="Z52" s="39" t="n">
        <f aca="false">MY_PH(Z$2,$A52)</f>
        <v>2015</v>
      </c>
      <c r="AA52" s="39" t="n">
        <f aca="false">MY_PH(AA$2,$A52)</f>
        <v>2015</v>
      </c>
      <c r="AB52" s="39" t="n">
        <f aca="false">MY_PH(AB$2,$A52)</f>
        <v>2015</v>
      </c>
      <c r="AC52" s="39" t="n">
        <f aca="false">MY_PH(AC$2,$A52)</f>
        <v>2015</v>
      </c>
      <c r="AD52" s="39" t="n">
        <f aca="false">MY_PH(AD$2,$A52)</f>
        <v>2015</v>
      </c>
      <c r="AE52" s="39" t="n">
        <f aca="false">MY_PH(AE$2,$A52)</f>
        <v>2015</v>
      </c>
      <c r="AF52" s="39" t="n">
        <f aca="false">MY_PH(AF$2,$A52)</f>
        <v>2015</v>
      </c>
      <c r="AG52" s="39" t="n">
        <f aca="false">MY_PH(AG$2,$A52)</f>
        <v>2015</v>
      </c>
      <c r="AH52" s="39" t="n">
        <f aca="false">MY_PH(AH$2,$A52)</f>
        <v>2015</v>
      </c>
      <c r="AI52" s="39" t="n">
        <f aca="false">MY_PH(AI$2,$A52)</f>
        <v>2015</v>
      </c>
      <c r="AJ52" s="39" t="n">
        <f aca="false">MY_PH(AJ$2,$A52)</f>
        <v>2015</v>
      </c>
      <c r="AK52" s="39" t="n">
        <f aca="false">MY_PH(AK$2,$A52)</f>
        <v>2015</v>
      </c>
      <c r="AL52" s="39" t="n">
        <f aca="false">MY_PH(AL$2,$A52)</f>
        <v>2015</v>
      </c>
      <c r="AM52" s="39" t="n">
        <f aca="false">MY_PH(AM$2,$A52)</f>
        <v>2015</v>
      </c>
      <c r="AN52" s="39" t="n">
        <f aca="false">MY_PH(AN$2,$A52)</f>
        <v>2015</v>
      </c>
      <c r="AO52" s="39" t="n">
        <f aca="false">MY_PH(AO$2,$A52)</f>
        <v>2015</v>
      </c>
      <c r="AP52" s="39" t="n">
        <f aca="false">MY_PH(AP$2,$A52)</f>
        <v>2015</v>
      </c>
      <c r="AQ52" s="39" t="n">
        <f aca="false">MY_PH(AQ$2,$A52)</f>
        <v>2015</v>
      </c>
      <c r="AR52" s="39" t="n">
        <f aca="false">MY_PH(AR$2,$A52)</f>
        <v>3.77772930350511E-005</v>
      </c>
      <c r="AS52" s="39" t="n">
        <f aca="false">MY_PH(AS$2,$A52)</f>
        <v>3.88882791210833E-005</v>
      </c>
    </row>
    <row r="53" customFormat="false" ht="13.8" hidden="false" customHeight="false" outlineLevel="0" collapsed="false">
      <c r="A53" s="0" t="n">
        <v>2130</v>
      </c>
      <c r="B53" s="39" t="n">
        <f aca="false">MY_PH(B$2,$A53)</f>
        <v>2015</v>
      </c>
      <c r="C53" s="39" t="n">
        <f aca="false">MY_PH(C$2,$A53)</f>
        <v>2015</v>
      </c>
      <c r="D53" s="39" t="n">
        <f aca="false">MY_PH(D$2,$A53)</f>
        <v>2015</v>
      </c>
      <c r="E53" s="39" t="n">
        <f aca="false">MY_PH(E$2,$A53)</f>
        <v>2015</v>
      </c>
      <c r="F53" s="39" t="n">
        <f aca="false">MY_PH(F$2,$A53)</f>
        <v>2015</v>
      </c>
      <c r="G53" s="39" t="n">
        <f aca="false">MY_PH(G$2,$A53)</f>
        <v>2015</v>
      </c>
      <c r="H53" s="39" t="n">
        <f aca="false">MY_PH(H$2,$A53)</f>
        <v>2015</v>
      </c>
      <c r="I53" s="39" t="n">
        <f aca="false">MY_PH(I$2,$A53)</f>
        <v>2015</v>
      </c>
      <c r="J53" s="39" t="n">
        <f aca="false">MY_PH(J$2,$A53)</f>
        <v>2015</v>
      </c>
      <c r="K53" s="39" t="n">
        <f aca="false">MY_PH(K$2,$A53)</f>
        <v>2015</v>
      </c>
      <c r="L53" s="39" t="n">
        <f aca="false">MY_PH(L$2,$A53)</f>
        <v>2015</v>
      </c>
      <c r="M53" s="39" t="n">
        <f aca="false">MY_PH(M$2,$A53)</f>
        <v>2015</v>
      </c>
      <c r="N53" s="39" t="n">
        <f aca="false">MY_PH(N$2,$A53)</f>
        <v>2015</v>
      </c>
      <c r="O53" s="39" t="n">
        <f aca="false">MY_PH(O$2,$A53)</f>
        <v>2015</v>
      </c>
      <c r="P53" s="39" t="n">
        <f aca="false">MY_PH(P$2,$A53)</f>
        <v>2015</v>
      </c>
      <c r="Q53" s="39" t="n">
        <f aca="false">MY_PH(Q$2,$A53)</f>
        <v>2015</v>
      </c>
      <c r="R53" s="39" t="n">
        <f aca="false">MY_PH(R$2,$A53)</f>
        <v>2015</v>
      </c>
      <c r="S53" s="39" t="n">
        <f aca="false">MY_PH(S$2,$A53)</f>
        <v>2015</v>
      </c>
      <c r="T53" s="39" t="n">
        <f aca="false">MY_PH(T$2,$A53)</f>
        <v>2015</v>
      </c>
      <c r="U53" s="39" t="n">
        <f aca="false">MY_PH(U$2,$A53)</f>
        <v>2015</v>
      </c>
      <c r="V53" s="39" t="n">
        <f aca="false">MY_PH(V$2,$A53)</f>
        <v>2015</v>
      </c>
      <c r="W53" s="39" t="n">
        <f aca="false">MY_PH(W$2,$A53)</f>
        <v>2015</v>
      </c>
      <c r="X53" s="39" t="n">
        <f aca="false">MY_PH(X$2,$A53)</f>
        <v>2015</v>
      </c>
      <c r="Y53" s="39" t="n">
        <f aca="false">MY_PH(Y$2,$A53)</f>
        <v>2015</v>
      </c>
      <c r="Z53" s="39" t="n">
        <f aca="false">MY_PH(Z$2,$A53)</f>
        <v>2015</v>
      </c>
      <c r="AA53" s="39" t="n">
        <f aca="false">MY_PH(AA$2,$A53)</f>
        <v>2015</v>
      </c>
      <c r="AB53" s="39" t="n">
        <f aca="false">MY_PH(AB$2,$A53)</f>
        <v>2015</v>
      </c>
      <c r="AC53" s="39" t="n">
        <f aca="false">MY_PH(AC$2,$A53)</f>
        <v>2015</v>
      </c>
      <c r="AD53" s="39" t="n">
        <f aca="false">MY_PH(AD$2,$A53)</f>
        <v>2015</v>
      </c>
      <c r="AE53" s="39" t="n">
        <f aca="false">MY_PH(AE$2,$A53)</f>
        <v>2015</v>
      </c>
      <c r="AF53" s="39" t="n">
        <f aca="false">MY_PH(AF$2,$A53)</f>
        <v>2015</v>
      </c>
      <c r="AG53" s="39" t="n">
        <f aca="false">MY_PH(AG$2,$A53)</f>
        <v>2015</v>
      </c>
      <c r="AH53" s="39" t="n">
        <f aca="false">MY_PH(AH$2,$A53)</f>
        <v>2015</v>
      </c>
      <c r="AI53" s="39" t="n">
        <f aca="false">MY_PH(AI$2,$A53)</f>
        <v>2015</v>
      </c>
      <c r="AJ53" s="39" t="n">
        <f aca="false">MY_PH(AJ$2,$A53)</f>
        <v>2015</v>
      </c>
      <c r="AK53" s="39" t="n">
        <f aca="false">MY_PH(AK$2,$A53)</f>
        <v>2015</v>
      </c>
      <c r="AL53" s="39" t="n">
        <f aca="false">MY_PH(AL$2,$A53)</f>
        <v>2015</v>
      </c>
      <c r="AM53" s="39" t="n">
        <f aca="false">MY_PH(AM$2,$A53)</f>
        <v>2015</v>
      </c>
      <c r="AN53" s="39" t="n">
        <f aca="false">MY_PH(AN$2,$A53)</f>
        <v>2015</v>
      </c>
      <c r="AO53" s="39" t="n">
        <f aca="false">MY_PH(AO$2,$A53)</f>
        <v>2015</v>
      </c>
      <c r="AP53" s="39" t="n">
        <f aca="false">MY_PH(AP$2,$A53)</f>
        <v>2015</v>
      </c>
      <c r="AQ53" s="39" t="n">
        <f aca="false">MY_PH(AQ$2,$A53)</f>
        <v>2015</v>
      </c>
      <c r="AR53" s="39" t="n">
        <f aca="false">MY_PH(AR$2,$A53)</f>
        <v>3.73048907395665E-005</v>
      </c>
      <c r="AS53" s="39" t="n">
        <f aca="false">MY_PH(AS$2,$A53)</f>
        <v>3.84032270472462E-005</v>
      </c>
    </row>
    <row r="54" customFormat="false" ht="13.8" hidden="false" customHeight="false" outlineLevel="0" collapsed="false">
      <c r="A54" s="0" t="n">
        <v>2140</v>
      </c>
      <c r="B54" s="39" t="n">
        <f aca="false">MY_PH(B$2,$A54)</f>
        <v>2015</v>
      </c>
      <c r="C54" s="39" t="n">
        <f aca="false">MY_PH(C$2,$A54)</f>
        <v>2015</v>
      </c>
      <c r="D54" s="39" t="n">
        <f aca="false">MY_PH(D$2,$A54)</f>
        <v>2015</v>
      </c>
      <c r="E54" s="39" t="n">
        <f aca="false">MY_PH(E$2,$A54)</f>
        <v>2015</v>
      </c>
      <c r="F54" s="39" t="n">
        <f aca="false">MY_PH(F$2,$A54)</f>
        <v>2015</v>
      </c>
      <c r="G54" s="39" t="n">
        <f aca="false">MY_PH(G$2,$A54)</f>
        <v>2015</v>
      </c>
      <c r="H54" s="39" t="n">
        <f aca="false">MY_PH(H$2,$A54)</f>
        <v>2015</v>
      </c>
      <c r="I54" s="39" t="n">
        <f aca="false">MY_PH(I$2,$A54)</f>
        <v>2015</v>
      </c>
      <c r="J54" s="39" t="n">
        <f aca="false">MY_PH(J$2,$A54)</f>
        <v>2015</v>
      </c>
      <c r="K54" s="39" t="n">
        <f aca="false">MY_PH(K$2,$A54)</f>
        <v>2015</v>
      </c>
      <c r="L54" s="39" t="n">
        <f aca="false">MY_PH(L$2,$A54)</f>
        <v>2015</v>
      </c>
      <c r="M54" s="39" t="n">
        <f aca="false">MY_PH(M$2,$A54)</f>
        <v>2015</v>
      </c>
      <c r="N54" s="39" t="n">
        <f aca="false">MY_PH(N$2,$A54)</f>
        <v>2015</v>
      </c>
      <c r="O54" s="39" t="n">
        <f aca="false">MY_PH(O$2,$A54)</f>
        <v>2015</v>
      </c>
      <c r="P54" s="39" t="n">
        <f aca="false">MY_PH(P$2,$A54)</f>
        <v>2015</v>
      </c>
      <c r="Q54" s="39" t="n">
        <f aca="false">MY_PH(Q$2,$A54)</f>
        <v>2015</v>
      </c>
      <c r="R54" s="39" t="n">
        <f aca="false">MY_PH(R$2,$A54)</f>
        <v>2015</v>
      </c>
      <c r="S54" s="39" t="n">
        <f aca="false">MY_PH(S$2,$A54)</f>
        <v>2015</v>
      </c>
      <c r="T54" s="39" t="n">
        <f aca="false">MY_PH(T$2,$A54)</f>
        <v>2015</v>
      </c>
      <c r="U54" s="39" t="n">
        <f aca="false">MY_PH(U$2,$A54)</f>
        <v>2015</v>
      </c>
      <c r="V54" s="39" t="n">
        <f aca="false">MY_PH(V$2,$A54)</f>
        <v>2015</v>
      </c>
      <c r="W54" s="39" t="n">
        <f aca="false">MY_PH(W$2,$A54)</f>
        <v>2015</v>
      </c>
      <c r="X54" s="39" t="n">
        <f aca="false">MY_PH(X$2,$A54)</f>
        <v>2015</v>
      </c>
      <c r="Y54" s="39" t="n">
        <f aca="false">MY_PH(Y$2,$A54)</f>
        <v>2015</v>
      </c>
      <c r="Z54" s="39" t="n">
        <f aca="false">MY_PH(Z$2,$A54)</f>
        <v>2015</v>
      </c>
      <c r="AA54" s="39" t="n">
        <f aca="false">MY_PH(AA$2,$A54)</f>
        <v>2015</v>
      </c>
      <c r="AB54" s="39" t="n">
        <f aca="false">MY_PH(AB$2,$A54)</f>
        <v>2015</v>
      </c>
      <c r="AC54" s="39" t="n">
        <f aca="false">MY_PH(AC$2,$A54)</f>
        <v>2015</v>
      </c>
      <c r="AD54" s="39" t="n">
        <f aca="false">MY_PH(AD$2,$A54)</f>
        <v>2015</v>
      </c>
      <c r="AE54" s="39" t="n">
        <f aca="false">MY_PH(AE$2,$A54)</f>
        <v>2015</v>
      </c>
      <c r="AF54" s="39" t="n">
        <f aca="false">MY_PH(AF$2,$A54)</f>
        <v>2015</v>
      </c>
      <c r="AG54" s="39" t="n">
        <f aca="false">MY_PH(AG$2,$A54)</f>
        <v>2015</v>
      </c>
      <c r="AH54" s="39" t="n">
        <f aca="false">MY_PH(AH$2,$A54)</f>
        <v>2015</v>
      </c>
      <c r="AI54" s="39" t="n">
        <f aca="false">MY_PH(AI$2,$A54)</f>
        <v>2015</v>
      </c>
      <c r="AJ54" s="39" t="n">
        <f aca="false">MY_PH(AJ$2,$A54)</f>
        <v>2015</v>
      </c>
      <c r="AK54" s="39" t="n">
        <f aca="false">MY_PH(AK$2,$A54)</f>
        <v>2015</v>
      </c>
      <c r="AL54" s="39" t="n">
        <f aca="false">MY_PH(AL$2,$A54)</f>
        <v>2015</v>
      </c>
      <c r="AM54" s="39" t="n">
        <f aca="false">MY_PH(AM$2,$A54)</f>
        <v>2015</v>
      </c>
      <c r="AN54" s="39" t="n">
        <f aca="false">MY_PH(AN$2,$A54)</f>
        <v>2015</v>
      </c>
      <c r="AO54" s="39" t="n">
        <f aca="false">MY_PH(AO$2,$A54)</f>
        <v>2015</v>
      </c>
      <c r="AP54" s="39" t="n">
        <f aca="false">MY_PH(AP$2,$A54)</f>
        <v>2015</v>
      </c>
      <c r="AQ54" s="39" t="n">
        <f aca="false">MY_PH(AQ$2,$A54)</f>
        <v>2015</v>
      </c>
      <c r="AR54" s="39" t="n">
        <f aca="false">MY_PH(AR$2,$A54)</f>
        <v>3.68489322106817E-005</v>
      </c>
      <c r="AS54" s="39" t="n">
        <f aca="false">MY_PH(AS$2,$A54)</f>
        <v>3.79339233668353E-005</v>
      </c>
    </row>
    <row r="55" customFormat="false" ht="13.8" hidden="false" customHeight="false" outlineLevel="0" collapsed="false">
      <c r="A55" s="0" t="n">
        <v>2150</v>
      </c>
      <c r="B55" s="39" t="n">
        <f aca="false">MY_PH(B$2,$A55)</f>
        <v>2015</v>
      </c>
      <c r="C55" s="39" t="n">
        <f aca="false">MY_PH(C$2,$A55)</f>
        <v>2015</v>
      </c>
      <c r="D55" s="39" t="n">
        <f aca="false">MY_PH(D$2,$A55)</f>
        <v>2015</v>
      </c>
      <c r="E55" s="39" t="n">
        <f aca="false">MY_PH(E$2,$A55)</f>
        <v>2015</v>
      </c>
      <c r="F55" s="39" t="n">
        <f aca="false">MY_PH(F$2,$A55)</f>
        <v>2015</v>
      </c>
      <c r="G55" s="39" t="n">
        <f aca="false">MY_PH(G$2,$A55)</f>
        <v>2015</v>
      </c>
      <c r="H55" s="39" t="n">
        <f aca="false">MY_PH(H$2,$A55)</f>
        <v>2015</v>
      </c>
      <c r="I55" s="39" t="n">
        <f aca="false">MY_PH(I$2,$A55)</f>
        <v>2015</v>
      </c>
      <c r="J55" s="39" t="n">
        <f aca="false">MY_PH(J$2,$A55)</f>
        <v>2015</v>
      </c>
      <c r="K55" s="39" t="n">
        <f aca="false">MY_PH(K$2,$A55)</f>
        <v>2015</v>
      </c>
      <c r="L55" s="39" t="n">
        <f aca="false">MY_PH(L$2,$A55)</f>
        <v>2015</v>
      </c>
      <c r="M55" s="39" t="n">
        <f aca="false">MY_PH(M$2,$A55)</f>
        <v>2015</v>
      </c>
      <c r="N55" s="39" t="n">
        <f aca="false">MY_PH(N$2,$A55)</f>
        <v>2015</v>
      </c>
      <c r="O55" s="39" t="n">
        <f aca="false">MY_PH(O$2,$A55)</f>
        <v>2015</v>
      </c>
      <c r="P55" s="39" t="n">
        <f aca="false">MY_PH(P$2,$A55)</f>
        <v>2015</v>
      </c>
      <c r="Q55" s="39" t="n">
        <f aca="false">MY_PH(Q$2,$A55)</f>
        <v>2015</v>
      </c>
      <c r="R55" s="39" t="n">
        <f aca="false">MY_PH(R$2,$A55)</f>
        <v>2015</v>
      </c>
      <c r="S55" s="39" t="n">
        <f aca="false">MY_PH(S$2,$A55)</f>
        <v>2015</v>
      </c>
      <c r="T55" s="39" t="n">
        <f aca="false">MY_PH(T$2,$A55)</f>
        <v>2015</v>
      </c>
      <c r="U55" s="39" t="n">
        <f aca="false">MY_PH(U$2,$A55)</f>
        <v>2015</v>
      </c>
      <c r="V55" s="39" t="n">
        <f aca="false">MY_PH(V$2,$A55)</f>
        <v>2015</v>
      </c>
      <c r="W55" s="39" t="n">
        <f aca="false">MY_PH(W$2,$A55)</f>
        <v>2015</v>
      </c>
      <c r="X55" s="39" t="n">
        <f aca="false">MY_PH(X$2,$A55)</f>
        <v>2015</v>
      </c>
      <c r="Y55" s="39" t="n">
        <f aca="false">MY_PH(Y$2,$A55)</f>
        <v>2015</v>
      </c>
      <c r="Z55" s="39" t="n">
        <f aca="false">MY_PH(Z$2,$A55)</f>
        <v>2015</v>
      </c>
      <c r="AA55" s="39" t="n">
        <f aca="false">MY_PH(AA$2,$A55)</f>
        <v>2015</v>
      </c>
      <c r="AB55" s="39" t="n">
        <f aca="false">MY_PH(AB$2,$A55)</f>
        <v>2015</v>
      </c>
      <c r="AC55" s="39" t="n">
        <f aca="false">MY_PH(AC$2,$A55)</f>
        <v>2015</v>
      </c>
      <c r="AD55" s="39" t="n">
        <f aca="false">MY_PH(AD$2,$A55)</f>
        <v>2015</v>
      </c>
      <c r="AE55" s="39" t="n">
        <f aca="false">MY_PH(AE$2,$A55)</f>
        <v>2015</v>
      </c>
      <c r="AF55" s="39" t="n">
        <f aca="false">MY_PH(AF$2,$A55)</f>
        <v>2015</v>
      </c>
      <c r="AG55" s="39" t="n">
        <f aca="false">MY_PH(AG$2,$A55)</f>
        <v>2015</v>
      </c>
      <c r="AH55" s="39" t="n">
        <f aca="false">MY_PH(AH$2,$A55)</f>
        <v>2015</v>
      </c>
      <c r="AI55" s="39" t="n">
        <f aca="false">MY_PH(AI$2,$A55)</f>
        <v>2015</v>
      </c>
      <c r="AJ55" s="39" t="n">
        <f aca="false">MY_PH(AJ$2,$A55)</f>
        <v>2015</v>
      </c>
      <c r="AK55" s="39" t="n">
        <f aca="false">MY_PH(AK$2,$A55)</f>
        <v>2015</v>
      </c>
      <c r="AL55" s="39" t="n">
        <f aca="false">MY_PH(AL$2,$A55)</f>
        <v>2015</v>
      </c>
      <c r="AM55" s="39" t="n">
        <f aca="false">MY_PH(AM$2,$A55)</f>
        <v>2015</v>
      </c>
      <c r="AN55" s="39" t="n">
        <f aca="false">MY_PH(AN$2,$A55)</f>
        <v>2015</v>
      </c>
      <c r="AO55" s="39" t="n">
        <f aca="false">MY_PH(AO$2,$A55)</f>
        <v>2015</v>
      </c>
      <c r="AP55" s="39" t="n">
        <f aca="false">MY_PH(AP$2,$A55)</f>
        <v>2015</v>
      </c>
      <c r="AQ55" s="39" t="n">
        <f aca="false">MY_PH(AQ$2,$A55)</f>
        <v>2015</v>
      </c>
      <c r="AR55" s="39" t="n">
        <f aca="false">MY_PH(AR$2,$A55)</f>
        <v>3.64088689762226E-005</v>
      </c>
      <c r="AS55" s="39" t="n">
        <f aca="false">MY_PH(AS$2,$A55)</f>
        <v>3.74799688679776E-005</v>
      </c>
    </row>
    <row r="56" customFormat="false" ht="13.8" hidden="false" customHeight="false" outlineLevel="0" collapsed="false">
      <c r="A56" s="0" t="n">
        <v>2160</v>
      </c>
      <c r="B56" s="39" t="n">
        <f aca="false">MY_PH(B$2,$A56)</f>
        <v>2015</v>
      </c>
      <c r="C56" s="39" t="n">
        <f aca="false">MY_PH(C$2,$A56)</f>
        <v>2015</v>
      </c>
      <c r="D56" s="39" t="n">
        <f aca="false">MY_PH(D$2,$A56)</f>
        <v>2015</v>
      </c>
      <c r="E56" s="39" t="n">
        <f aca="false">MY_PH(E$2,$A56)</f>
        <v>2015</v>
      </c>
      <c r="F56" s="39" t="n">
        <f aca="false">MY_PH(F$2,$A56)</f>
        <v>2015</v>
      </c>
      <c r="G56" s="39" t="n">
        <f aca="false">MY_PH(G$2,$A56)</f>
        <v>2015</v>
      </c>
      <c r="H56" s="39" t="n">
        <f aca="false">MY_PH(H$2,$A56)</f>
        <v>2015</v>
      </c>
      <c r="I56" s="39" t="n">
        <f aca="false">MY_PH(I$2,$A56)</f>
        <v>2015</v>
      </c>
      <c r="J56" s="39" t="n">
        <f aca="false">MY_PH(J$2,$A56)</f>
        <v>2015</v>
      </c>
      <c r="K56" s="39" t="n">
        <f aca="false">MY_PH(K$2,$A56)</f>
        <v>2015</v>
      </c>
      <c r="L56" s="39" t="n">
        <f aca="false">MY_PH(L$2,$A56)</f>
        <v>2015</v>
      </c>
      <c r="M56" s="39" t="n">
        <f aca="false">MY_PH(M$2,$A56)</f>
        <v>2015</v>
      </c>
      <c r="N56" s="39" t="n">
        <f aca="false">MY_PH(N$2,$A56)</f>
        <v>2015</v>
      </c>
      <c r="O56" s="39" t="n">
        <f aca="false">MY_PH(O$2,$A56)</f>
        <v>2015</v>
      </c>
      <c r="P56" s="39" t="n">
        <f aca="false">MY_PH(P$2,$A56)</f>
        <v>2015</v>
      </c>
      <c r="Q56" s="39" t="n">
        <f aca="false">MY_PH(Q$2,$A56)</f>
        <v>2015</v>
      </c>
      <c r="R56" s="39" t="n">
        <f aca="false">MY_PH(R$2,$A56)</f>
        <v>2015</v>
      </c>
      <c r="S56" s="39" t="n">
        <f aca="false">MY_PH(S$2,$A56)</f>
        <v>2015</v>
      </c>
      <c r="T56" s="39" t="n">
        <f aca="false">MY_PH(T$2,$A56)</f>
        <v>2015</v>
      </c>
      <c r="U56" s="39" t="n">
        <f aca="false">MY_PH(U$2,$A56)</f>
        <v>2015</v>
      </c>
      <c r="V56" s="39" t="n">
        <f aca="false">MY_PH(V$2,$A56)</f>
        <v>2015</v>
      </c>
      <c r="W56" s="39" t="n">
        <f aca="false">MY_PH(W$2,$A56)</f>
        <v>2015</v>
      </c>
      <c r="X56" s="39" t="n">
        <f aca="false">MY_PH(X$2,$A56)</f>
        <v>2015</v>
      </c>
      <c r="Y56" s="39" t="n">
        <f aca="false">MY_PH(Y$2,$A56)</f>
        <v>2015</v>
      </c>
      <c r="Z56" s="39" t="n">
        <f aca="false">MY_PH(Z$2,$A56)</f>
        <v>2015</v>
      </c>
      <c r="AA56" s="39" t="n">
        <f aca="false">MY_PH(AA$2,$A56)</f>
        <v>2015</v>
      </c>
      <c r="AB56" s="39" t="n">
        <f aca="false">MY_PH(AB$2,$A56)</f>
        <v>2015</v>
      </c>
      <c r="AC56" s="39" t="n">
        <f aca="false">MY_PH(AC$2,$A56)</f>
        <v>2015</v>
      </c>
      <c r="AD56" s="39" t="n">
        <f aca="false">MY_PH(AD$2,$A56)</f>
        <v>2015</v>
      </c>
      <c r="AE56" s="39" t="n">
        <f aca="false">MY_PH(AE$2,$A56)</f>
        <v>2015</v>
      </c>
      <c r="AF56" s="39" t="n">
        <f aca="false">MY_PH(AF$2,$A56)</f>
        <v>2015</v>
      </c>
      <c r="AG56" s="39" t="n">
        <f aca="false">MY_PH(AG$2,$A56)</f>
        <v>2015</v>
      </c>
      <c r="AH56" s="39" t="n">
        <f aca="false">MY_PH(AH$2,$A56)</f>
        <v>2015</v>
      </c>
      <c r="AI56" s="39" t="n">
        <f aca="false">MY_PH(AI$2,$A56)</f>
        <v>2015</v>
      </c>
      <c r="AJ56" s="39" t="n">
        <f aca="false">MY_PH(AJ$2,$A56)</f>
        <v>2015</v>
      </c>
      <c r="AK56" s="39" t="n">
        <f aca="false">MY_PH(AK$2,$A56)</f>
        <v>2015</v>
      </c>
      <c r="AL56" s="39" t="n">
        <f aca="false">MY_PH(AL$2,$A56)</f>
        <v>2015</v>
      </c>
      <c r="AM56" s="39" t="n">
        <f aca="false">MY_PH(AM$2,$A56)</f>
        <v>2015</v>
      </c>
      <c r="AN56" s="39" t="n">
        <f aca="false">MY_PH(AN$2,$A56)</f>
        <v>2015</v>
      </c>
      <c r="AO56" s="39" t="n">
        <f aca="false">MY_PH(AO$2,$A56)</f>
        <v>2015</v>
      </c>
      <c r="AP56" s="39" t="n">
        <f aca="false">MY_PH(AP$2,$A56)</f>
        <v>2015</v>
      </c>
      <c r="AQ56" s="39" t="n">
        <f aca="false">MY_PH(AQ$2,$A56)</f>
        <v>2015</v>
      </c>
      <c r="AR56" s="39" t="n">
        <f aca="false">MY_PH(AR$2,$A56)</f>
        <v>3.59841634970301E-005</v>
      </c>
      <c r="AS56" s="39" t="n">
        <f aca="false">MY_PH(AS$2,$A56)</f>
        <v>3.70409584519838E-005</v>
      </c>
    </row>
    <row r="57" customFormat="false" ht="13.8" hidden="false" customHeight="false" outlineLevel="0" collapsed="false">
      <c r="A57" s="0" t="n">
        <v>2170</v>
      </c>
      <c r="B57" s="39" t="n">
        <f aca="false">MY_PH(B$2,$A57)</f>
        <v>2015</v>
      </c>
      <c r="C57" s="39" t="n">
        <f aca="false">MY_PH(C$2,$A57)</f>
        <v>2015</v>
      </c>
      <c r="D57" s="39" t="n">
        <f aca="false">MY_PH(D$2,$A57)</f>
        <v>2015</v>
      </c>
      <c r="E57" s="39" t="n">
        <f aca="false">MY_PH(E$2,$A57)</f>
        <v>2015</v>
      </c>
      <c r="F57" s="39" t="n">
        <f aca="false">MY_PH(F$2,$A57)</f>
        <v>2015</v>
      </c>
      <c r="G57" s="39" t="n">
        <f aca="false">MY_PH(G$2,$A57)</f>
        <v>2015</v>
      </c>
      <c r="H57" s="39" t="n">
        <f aca="false">MY_PH(H$2,$A57)</f>
        <v>2015</v>
      </c>
      <c r="I57" s="39" t="n">
        <f aca="false">MY_PH(I$2,$A57)</f>
        <v>2015</v>
      </c>
      <c r="J57" s="39" t="n">
        <f aca="false">MY_PH(J$2,$A57)</f>
        <v>2015</v>
      </c>
      <c r="K57" s="39" t="n">
        <f aca="false">MY_PH(K$2,$A57)</f>
        <v>2015</v>
      </c>
      <c r="L57" s="39" t="n">
        <f aca="false">MY_PH(L$2,$A57)</f>
        <v>2015</v>
      </c>
      <c r="M57" s="39" t="n">
        <f aca="false">MY_PH(M$2,$A57)</f>
        <v>2015</v>
      </c>
      <c r="N57" s="39" t="n">
        <f aca="false">MY_PH(N$2,$A57)</f>
        <v>2015</v>
      </c>
      <c r="O57" s="39" t="n">
        <f aca="false">MY_PH(O$2,$A57)</f>
        <v>2015</v>
      </c>
      <c r="P57" s="39" t="n">
        <f aca="false">MY_PH(P$2,$A57)</f>
        <v>2015</v>
      </c>
      <c r="Q57" s="39" t="n">
        <f aca="false">MY_PH(Q$2,$A57)</f>
        <v>2015</v>
      </c>
      <c r="R57" s="39" t="n">
        <f aca="false">MY_PH(R$2,$A57)</f>
        <v>2015</v>
      </c>
      <c r="S57" s="39" t="n">
        <f aca="false">MY_PH(S$2,$A57)</f>
        <v>2015</v>
      </c>
      <c r="T57" s="39" t="n">
        <f aca="false">MY_PH(T$2,$A57)</f>
        <v>2015</v>
      </c>
      <c r="U57" s="39" t="n">
        <f aca="false">MY_PH(U$2,$A57)</f>
        <v>2015</v>
      </c>
      <c r="V57" s="39" t="n">
        <f aca="false">MY_PH(V$2,$A57)</f>
        <v>2015</v>
      </c>
      <c r="W57" s="39" t="n">
        <f aca="false">MY_PH(W$2,$A57)</f>
        <v>2015</v>
      </c>
      <c r="X57" s="39" t="n">
        <f aca="false">MY_PH(X$2,$A57)</f>
        <v>2015</v>
      </c>
      <c r="Y57" s="39" t="n">
        <f aca="false">MY_PH(Y$2,$A57)</f>
        <v>2015</v>
      </c>
      <c r="Z57" s="39" t="n">
        <f aca="false">MY_PH(Z$2,$A57)</f>
        <v>2015</v>
      </c>
      <c r="AA57" s="39" t="n">
        <f aca="false">MY_PH(AA$2,$A57)</f>
        <v>2015</v>
      </c>
      <c r="AB57" s="39" t="n">
        <f aca="false">MY_PH(AB$2,$A57)</f>
        <v>2015</v>
      </c>
      <c r="AC57" s="39" t="n">
        <f aca="false">MY_PH(AC$2,$A57)</f>
        <v>2015</v>
      </c>
      <c r="AD57" s="39" t="n">
        <f aca="false">MY_PH(AD$2,$A57)</f>
        <v>2015</v>
      </c>
      <c r="AE57" s="39" t="n">
        <f aca="false">MY_PH(AE$2,$A57)</f>
        <v>2015</v>
      </c>
      <c r="AF57" s="39" t="n">
        <f aca="false">MY_PH(AF$2,$A57)</f>
        <v>2015</v>
      </c>
      <c r="AG57" s="39" t="n">
        <f aca="false">MY_PH(AG$2,$A57)</f>
        <v>2015</v>
      </c>
      <c r="AH57" s="39" t="n">
        <f aca="false">MY_PH(AH$2,$A57)</f>
        <v>2015</v>
      </c>
      <c r="AI57" s="39" t="n">
        <f aca="false">MY_PH(AI$2,$A57)</f>
        <v>2015</v>
      </c>
      <c r="AJ57" s="39" t="n">
        <f aca="false">MY_PH(AJ$2,$A57)</f>
        <v>2015</v>
      </c>
      <c r="AK57" s="39" t="n">
        <f aca="false">MY_PH(AK$2,$A57)</f>
        <v>2015</v>
      </c>
      <c r="AL57" s="39" t="n">
        <f aca="false">MY_PH(AL$2,$A57)</f>
        <v>2015</v>
      </c>
      <c r="AM57" s="39" t="n">
        <f aca="false">MY_PH(AM$2,$A57)</f>
        <v>2015</v>
      </c>
      <c r="AN57" s="39" t="n">
        <f aca="false">MY_PH(AN$2,$A57)</f>
        <v>2015</v>
      </c>
      <c r="AO57" s="39" t="n">
        <f aca="false">MY_PH(AO$2,$A57)</f>
        <v>2015</v>
      </c>
      <c r="AP57" s="39" t="n">
        <f aca="false">MY_PH(AP$2,$A57)</f>
        <v>2015</v>
      </c>
      <c r="AQ57" s="39" t="n">
        <f aca="false">MY_PH(AQ$2,$A57)</f>
        <v>2015</v>
      </c>
      <c r="AR57" s="39" t="n">
        <f aca="false">MY_PH(AR$2,$A57)</f>
        <v>3.55742919198114E-005</v>
      </c>
      <c r="AS57" s="39" t="n">
        <f aca="false">MY_PH(AS$2,$A57)</f>
        <v>3.66164851342401E-005</v>
      </c>
    </row>
    <row r="58" customFormat="false" ht="13.8" hidden="false" customHeight="false" outlineLevel="0" collapsed="false">
      <c r="A58" s="0" t="n">
        <v>2180</v>
      </c>
      <c r="B58" s="39" t="n">
        <f aca="false">MY_PH(B$2,$A58)</f>
        <v>2015</v>
      </c>
      <c r="C58" s="39" t="n">
        <f aca="false">MY_PH(C$2,$A58)</f>
        <v>2015</v>
      </c>
      <c r="D58" s="39" t="n">
        <f aca="false">MY_PH(D$2,$A58)</f>
        <v>2015</v>
      </c>
      <c r="E58" s="39" t="n">
        <f aca="false">MY_PH(E$2,$A58)</f>
        <v>2015</v>
      </c>
      <c r="F58" s="39" t="n">
        <f aca="false">MY_PH(F$2,$A58)</f>
        <v>2015</v>
      </c>
      <c r="G58" s="39" t="n">
        <f aca="false">MY_PH(G$2,$A58)</f>
        <v>2015</v>
      </c>
      <c r="H58" s="39" t="n">
        <f aca="false">MY_PH(H$2,$A58)</f>
        <v>2015</v>
      </c>
      <c r="I58" s="39" t="n">
        <f aca="false">MY_PH(I$2,$A58)</f>
        <v>2015</v>
      </c>
      <c r="J58" s="39" t="n">
        <f aca="false">MY_PH(J$2,$A58)</f>
        <v>2015</v>
      </c>
      <c r="K58" s="39" t="n">
        <f aca="false">MY_PH(K$2,$A58)</f>
        <v>2015</v>
      </c>
      <c r="L58" s="39" t="n">
        <f aca="false">MY_PH(L$2,$A58)</f>
        <v>2015</v>
      </c>
      <c r="M58" s="39" t="n">
        <f aca="false">MY_PH(M$2,$A58)</f>
        <v>2015</v>
      </c>
      <c r="N58" s="39" t="n">
        <f aca="false">MY_PH(N$2,$A58)</f>
        <v>2015</v>
      </c>
      <c r="O58" s="39" t="n">
        <f aca="false">MY_PH(O$2,$A58)</f>
        <v>2015</v>
      </c>
      <c r="P58" s="39" t="n">
        <f aca="false">MY_PH(P$2,$A58)</f>
        <v>2015</v>
      </c>
      <c r="Q58" s="39" t="n">
        <f aca="false">MY_PH(Q$2,$A58)</f>
        <v>2015</v>
      </c>
      <c r="R58" s="39" t="n">
        <f aca="false">MY_PH(R$2,$A58)</f>
        <v>2015</v>
      </c>
      <c r="S58" s="39" t="n">
        <f aca="false">MY_PH(S$2,$A58)</f>
        <v>2015</v>
      </c>
      <c r="T58" s="39" t="n">
        <f aca="false">MY_PH(T$2,$A58)</f>
        <v>2015</v>
      </c>
      <c r="U58" s="39" t="n">
        <f aca="false">MY_PH(U$2,$A58)</f>
        <v>2015</v>
      </c>
      <c r="V58" s="39" t="n">
        <f aca="false">MY_PH(V$2,$A58)</f>
        <v>2015</v>
      </c>
      <c r="W58" s="39" t="n">
        <f aca="false">MY_PH(W$2,$A58)</f>
        <v>2015</v>
      </c>
      <c r="X58" s="39" t="n">
        <f aca="false">MY_PH(X$2,$A58)</f>
        <v>2015</v>
      </c>
      <c r="Y58" s="39" t="n">
        <f aca="false">MY_PH(Y$2,$A58)</f>
        <v>2015</v>
      </c>
      <c r="Z58" s="39" t="n">
        <f aca="false">MY_PH(Z$2,$A58)</f>
        <v>2015</v>
      </c>
      <c r="AA58" s="39" t="n">
        <f aca="false">MY_PH(AA$2,$A58)</f>
        <v>2015</v>
      </c>
      <c r="AB58" s="39" t="n">
        <f aca="false">MY_PH(AB$2,$A58)</f>
        <v>2015</v>
      </c>
      <c r="AC58" s="39" t="n">
        <f aca="false">MY_PH(AC$2,$A58)</f>
        <v>2015</v>
      </c>
      <c r="AD58" s="39" t="n">
        <f aca="false">MY_PH(AD$2,$A58)</f>
        <v>2015</v>
      </c>
      <c r="AE58" s="39" t="n">
        <f aca="false">MY_PH(AE$2,$A58)</f>
        <v>2015</v>
      </c>
      <c r="AF58" s="39" t="n">
        <f aca="false">MY_PH(AF$2,$A58)</f>
        <v>2015</v>
      </c>
      <c r="AG58" s="39" t="n">
        <f aca="false">MY_PH(AG$2,$A58)</f>
        <v>2015</v>
      </c>
      <c r="AH58" s="39" t="n">
        <f aca="false">MY_PH(AH$2,$A58)</f>
        <v>2015</v>
      </c>
      <c r="AI58" s="39" t="n">
        <f aca="false">MY_PH(AI$2,$A58)</f>
        <v>2015</v>
      </c>
      <c r="AJ58" s="39" t="n">
        <f aca="false">MY_PH(AJ$2,$A58)</f>
        <v>2015</v>
      </c>
      <c r="AK58" s="39" t="n">
        <f aca="false">MY_PH(AK$2,$A58)</f>
        <v>2015</v>
      </c>
      <c r="AL58" s="39" t="n">
        <f aca="false">MY_PH(AL$2,$A58)</f>
        <v>2015</v>
      </c>
      <c r="AM58" s="39" t="n">
        <f aca="false">MY_PH(AM$2,$A58)</f>
        <v>2015</v>
      </c>
      <c r="AN58" s="39" t="n">
        <f aca="false">MY_PH(AN$2,$A58)</f>
        <v>2015</v>
      </c>
      <c r="AO58" s="39" t="n">
        <f aca="false">MY_PH(AO$2,$A58)</f>
        <v>2015</v>
      </c>
      <c r="AP58" s="39" t="n">
        <f aca="false">MY_PH(AP$2,$A58)</f>
        <v>2015</v>
      </c>
      <c r="AQ58" s="39" t="n">
        <f aca="false">MY_PH(AQ$2,$A58)</f>
        <v>2015</v>
      </c>
      <c r="AR58" s="39" t="n">
        <f aca="false">MY_PH(AR$2,$A58)</f>
        <v>3.51787463150997E-005</v>
      </c>
      <c r="AS58" s="39" t="n">
        <f aca="false">MY_PH(AS$2,$A58)</f>
        <v>3.62061434850435E-005</v>
      </c>
    </row>
    <row r="59" customFormat="false" ht="13.8" hidden="false" customHeight="false" outlineLevel="0" collapsed="false">
      <c r="A59" s="0" t="n">
        <v>2190</v>
      </c>
      <c r="B59" s="39" t="n">
        <f aca="false">MY_PH(B$2,$A59)</f>
        <v>2015</v>
      </c>
      <c r="C59" s="39" t="n">
        <f aca="false">MY_PH(C$2,$A59)</f>
        <v>2015</v>
      </c>
      <c r="D59" s="39" t="n">
        <f aca="false">MY_PH(D$2,$A59)</f>
        <v>2015</v>
      </c>
      <c r="E59" s="39" t="n">
        <f aca="false">MY_PH(E$2,$A59)</f>
        <v>2015</v>
      </c>
      <c r="F59" s="39" t="n">
        <f aca="false">MY_PH(F$2,$A59)</f>
        <v>2015</v>
      </c>
      <c r="G59" s="39" t="n">
        <f aca="false">MY_PH(G$2,$A59)</f>
        <v>2015</v>
      </c>
      <c r="H59" s="39" t="n">
        <f aca="false">MY_PH(H$2,$A59)</f>
        <v>2015</v>
      </c>
      <c r="I59" s="39" t="n">
        <f aca="false">MY_PH(I$2,$A59)</f>
        <v>2015</v>
      </c>
      <c r="J59" s="39" t="n">
        <f aca="false">MY_PH(J$2,$A59)</f>
        <v>2015</v>
      </c>
      <c r="K59" s="39" t="n">
        <f aca="false">MY_PH(K$2,$A59)</f>
        <v>2015</v>
      </c>
      <c r="L59" s="39" t="n">
        <f aca="false">MY_PH(L$2,$A59)</f>
        <v>2015</v>
      </c>
      <c r="M59" s="39" t="n">
        <f aca="false">MY_PH(M$2,$A59)</f>
        <v>2015</v>
      </c>
      <c r="N59" s="39" t="n">
        <f aca="false">MY_PH(N$2,$A59)</f>
        <v>2015</v>
      </c>
      <c r="O59" s="39" t="n">
        <f aca="false">MY_PH(O$2,$A59)</f>
        <v>2015</v>
      </c>
      <c r="P59" s="39" t="n">
        <f aca="false">MY_PH(P$2,$A59)</f>
        <v>2015</v>
      </c>
      <c r="Q59" s="39" t="n">
        <f aca="false">MY_PH(Q$2,$A59)</f>
        <v>2015</v>
      </c>
      <c r="R59" s="39" t="n">
        <f aca="false">MY_PH(R$2,$A59)</f>
        <v>2015</v>
      </c>
      <c r="S59" s="39" t="n">
        <f aca="false">MY_PH(S$2,$A59)</f>
        <v>2015</v>
      </c>
      <c r="T59" s="39" t="n">
        <f aca="false">MY_PH(T$2,$A59)</f>
        <v>2015</v>
      </c>
      <c r="U59" s="39" t="n">
        <f aca="false">MY_PH(U$2,$A59)</f>
        <v>2015</v>
      </c>
      <c r="V59" s="39" t="n">
        <f aca="false">MY_PH(V$2,$A59)</f>
        <v>2015</v>
      </c>
      <c r="W59" s="39" t="n">
        <f aca="false">MY_PH(W$2,$A59)</f>
        <v>2015</v>
      </c>
      <c r="X59" s="39" t="n">
        <f aca="false">MY_PH(X$2,$A59)</f>
        <v>2015</v>
      </c>
      <c r="Y59" s="39" t="n">
        <f aca="false">MY_PH(Y$2,$A59)</f>
        <v>2015</v>
      </c>
      <c r="Z59" s="39" t="n">
        <f aca="false">MY_PH(Z$2,$A59)</f>
        <v>2015</v>
      </c>
      <c r="AA59" s="39" t="n">
        <f aca="false">MY_PH(AA$2,$A59)</f>
        <v>2015</v>
      </c>
      <c r="AB59" s="39" t="n">
        <f aca="false">MY_PH(AB$2,$A59)</f>
        <v>2015</v>
      </c>
      <c r="AC59" s="39" t="n">
        <f aca="false">MY_PH(AC$2,$A59)</f>
        <v>2015</v>
      </c>
      <c r="AD59" s="39" t="n">
        <f aca="false">MY_PH(AD$2,$A59)</f>
        <v>2015</v>
      </c>
      <c r="AE59" s="39" t="n">
        <f aca="false">MY_PH(AE$2,$A59)</f>
        <v>2015</v>
      </c>
      <c r="AF59" s="39" t="n">
        <f aca="false">MY_PH(AF$2,$A59)</f>
        <v>2015</v>
      </c>
      <c r="AG59" s="39" t="n">
        <f aca="false">MY_PH(AG$2,$A59)</f>
        <v>2015</v>
      </c>
      <c r="AH59" s="39" t="n">
        <f aca="false">MY_PH(AH$2,$A59)</f>
        <v>2015</v>
      </c>
      <c r="AI59" s="39" t="n">
        <f aca="false">MY_PH(AI$2,$A59)</f>
        <v>2015</v>
      </c>
      <c r="AJ59" s="39" t="n">
        <f aca="false">MY_PH(AJ$2,$A59)</f>
        <v>2015</v>
      </c>
      <c r="AK59" s="39" t="n">
        <f aca="false">MY_PH(AK$2,$A59)</f>
        <v>2015</v>
      </c>
      <c r="AL59" s="39" t="n">
        <f aca="false">MY_PH(AL$2,$A59)</f>
        <v>2015</v>
      </c>
      <c r="AM59" s="39" t="n">
        <f aca="false">MY_PH(AM$2,$A59)</f>
        <v>2015</v>
      </c>
      <c r="AN59" s="39" t="n">
        <f aca="false">MY_PH(AN$2,$A59)</f>
        <v>2015</v>
      </c>
      <c r="AO59" s="39" t="n">
        <f aca="false">MY_PH(AO$2,$A59)</f>
        <v>2015</v>
      </c>
      <c r="AP59" s="39" t="n">
        <f aca="false">MY_PH(AP$2,$A59)</f>
        <v>2015</v>
      </c>
      <c r="AQ59" s="39" t="n">
        <f aca="false">MY_PH(AQ$2,$A59)</f>
        <v>2015</v>
      </c>
      <c r="AR59" s="39" t="n">
        <f aca="false">MY_PH(AR$2,$A59)</f>
        <v>3.47970364265839E-005</v>
      </c>
      <c r="AS59" s="39" t="n">
        <f aca="false">MY_PH(AS$2,$A59)</f>
        <v>3.58095325355688E-005</v>
      </c>
    </row>
    <row r="60" customFormat="false" ht="13.8" hidden="false" customHeight="false" outlineLevel="0" collapsed="false">
      <c r="A60" s="0" t="n">
        <v>2200</v>
      </c>
      <c r="B60" s="39" t="n">
        <f aca="false">MY_PH(B$2,$A60)</f>
        <v>2015</v>
      </c>
      <c r="C60" s="39" t="n">
        <f aca="false">MY_PH(C$2,$A60)</f>
        <v>2015</v>
      </c>
      <c r="D60" s="39" t="n">
        <f aca="false">MY_PH(D$2,$A60)</f>
        <v>2015</v>
      </c>
      <c r="E60" s="39" t="n">
        <f aca="false">MY_PH(E$2,$A60)</f>
        <v>2015</v>
      </c>
      <c r="F60" s="39" t="n">
        <f aca="false">MY_PH(F$2,$A60)</f>
        <v>2015</v>
      </c>
      <c r="G60" s="39" t="n">
        <f aca="false">MY_PH(G$2,$A60)</f>
        <v>2015</v>
      </c>
      <c r="H60" s="39" t="n">
        <f aca="false">MY_PH(H$2,$A60)</f>
        <v>2015</v>
      </c>
      <c r="I60" s="39" t="n">
        <f aca="false">MY_PH(I$2,$A60)</f>
        <v>2015</v>
      </c>
      <c r="J60" s="39" t="n">
        <f aca="false">MY_PH(J$2,$A60)</f>
        <v>2015</v>
      </c>
      <c r="K60" s="39" t="n">
        <f aca="false">MY_PH(K$2,$A60)</f>
        <v>2015</v>
      </c>
      <c r="L60" s="39" t="n">
        <f aca="false">MY_PH(L$2,$A60)</f>
        <v>2015</v>
      </c>
      <c r="M60" s="39" t="n">
        <f aca="false">MY_PH(M$2,$A60)</f>
        <v>2015</v>
      </c>
      <c r="N60" s="39" t="n">
        <f aca="false">MY_PH(N$2,$A60)</f>
        <v>2015</v>
      </c>
      <c r="O60" s="39" t="n">
        <f aca="false">MY_PH(O$2,$A60)</f>
        <v>2015</v>
      </c>
      <c r="P60" s="39" t="n">
        <f aca="false">MY_PH(P$2,$A60)</f>
        <v>2015</v>
      </c>
      <c r="Q60" s="39" t="n">
        <f aca="false">MY_PH(Q$2,$A60)</f>
        <v>2015</v>
      </c>
      <c r="R60" s="39" t="n">
        <f aca="false">MY_PH(R$2,$A60)</f>
        <v>2015</v>
      </c>
      <c r="S60" s="39" t="n">
        <f aca="false">MY_PH(S$2,$A60)</f>
        <v>2015</v>
      </c>
      <c r="T60" s="39" t="n">
        <f aca="false">MY_PH(T$2,$A60)</f>
        <v>2015</v>
      </c>
      <c r="U60" s="39" t="n">
        <f aca="false">MY_PH(U$2,$A60)</f>
        <v>2015</v>
      </c>
      <c r="V60" s="39" t="n">
        <f aca="false">MY_PH(V$2,$A60)</f>
        <v>2015</v>
      </c>
      <c r="W60" s="39" t="n">
        <f aca="false">MY_PH(W$2,$A60)</f>
        <v>2015</v>
      </c>
      <c r="X60" s="39" t="n">
        <f aca="false">MY_PH(X$2,$A60)</f>
        <v>2015</v>
      </c>
      <c r="Y60" s="39" t="n">
        <f aca="false">MY_PH(Y$2,$A60)</f>
        <v>2015</v>
      </c>
      <c r="Z60" s="39" t="n">
        <f aca="false">MY_PH(Z$2,$A60)</f>
        <v>2015</v>
      </c>
      <c r="AA60" s="39" t="n">
        <f aca="false">MY_PH(AA$2,$A60)</f>
        <v>2015</v>
      </c>
      <c r="AB60" s="39" t="n">
        <f aca="false">MY_PH(AB$2,$A60)</f>
        <v>2015</v>
      </c>
      <c r="AC60" s="39" t="n">
        <f aca="false">MY_PH(AC$2,$A60)</f>
        <v>2015</v>
      </c>
      <c r="AD60" s="39" t="n">
        <f aca="false">MY_PH(AD$2,$A60)</f>
        <v>2015</v>
      </c>
      <c r="AE60" s="39" t="n">
        <f aca="false">MY_PH(AE$2,$A60)</f>
        <v>2015</v>
      </c>
      <c r="AF60" s="39" t="n">
        <f aca="false">MY_PH(AF$2,$A60)</f>
        <v>2015</v>
      </c>
      <c r="AG60" s="39" t="n">
        <f aca="false">MY_PH(AG$2,$A60)</f>
        <v>2015</v>
      </c>
      <c r="AH60" s="39" t="n">
        <f aca="false">MY_PH(AH$2,$A60)</f>
        <v>2015</v>
      </c>
      <c r="AI60" s="39" t="n">
        <f aca="false">MY_PH(AI$2,$A60)</f>
        <v>2015</v>
      </c>
      <c r="AJ60" s="39" t="n">
        <f aca="false">MY_PH(AJ$2,$A60)</f>
        <v>2015</v>
      </c>
      <c r="AK60" s="39" t="n">
        <f aca="false">MY_PH(AK$2,$A60)</f>
        <v>2015</v>
      </c>
      <c r="AL60" s="39" t="n">
        <f aca="false">MY_PH(AL$2,$A60)</f>
        <v>2015</v>
      </c>
      <c r="AM60" s="39" t="n">
        <f aca="false">MY_PH(AM$2,$A60)</f>
        <v>2015</v>
      </c>
      <c r="AN60" s="39" t="n">
        <f aca="false">MY_PH(AN$2,$A60)</f>
        <v>2015</v>
      </c>
      <c r="AO60" s="39" t="n">
        <f aca="false">MY_PH(AO$2,$A60)</f>
        <v>2015</v>
      </c>
      <c r="AP60" s="39" t="n">
        <f aca="false">MY_PH(AP$2,$A60)</f>
        <v>2015</v>
      </c>
      <c r="AQ60" s="39" t="n">
        <f aca="false">MY_PH(AQ$2,$A60)</f>
        <v>2015</v>
      </c>
      <c r="AR60" s="39" t="n">
        <f aca="false">MY_PH(AR$2,$A60)</f>
        <v>3.44286909654244E-005</v>
      </c>
      <c r="AS60" s="39" t="n">
        <f aca="false">MY_PH(AS$2,$A60)</f>
        <v>3.54262581810844E-005</v>
      </c>
    </row>
    <row r="61" customFormat="false" ht="13.8" hidden="false" customHeight="false" outlineLevel="0" collapsed="false">
      <c r="A61" s="0" t="n">
        <v>2210</v>
      </c>
      <c r="B61" s="39" t="n">
        <f aca="false">MY_PH(B$2,$A61)</f>
        <v>2015</v>
      </c>
      <c r="C61" s="39" t="n">
        <f aca="false">MY_PH(C$2,$A61)</f>
        <v>2015</v>
      </c>
      <c r="D61" s="39" t="n">
        <f aca="false">MY_PH(D$2,$A61)</f>
        <v>2015</v>
      </c>
      <c r="E61" s="39" t="n">
        <f aca="false">MY_PH(E$2,$A61)</f>
        <v>2015</v>
      </c>
      <c r="F61" s="39" t="n">
        <f aca="false">MY_PH(F$2,$A61)</f>
        <v>2015</v>
      </c>
      <c r="G61" s="39" t="n">
        <f aca="false">MY_PH(G$2,$A61)</f>
        <v>2015</v>
      </c>
      <c r="H61" s="39" t="n">
        <f aca="false">MY_PH(H$2,$A61)</f>
        <v>2015</v>
      </c>
      <c r="I61" s="39" t="n">
        <f aca="false">MY_PH(I$2,$A61)</f>
        <v>2015</v>
      </c>
      <c r="J61" s="39" t="n">
        <f aca="false">MY_PH(J$2,$A61)</f>
        <v>2015</v>
      </c>
      <c r="K61" s="39" t="n">
        <f aca="false">MY_PH(K$2,$A61)</f>
        <v>2015</v>
      </c>
      <c r="L61" s="39" t="n">
        <f aca="false">MY_PH(L$2,$A61)</f>
        <v>2015</v>
      </c>
      <c r="M61" s="39" t="n">
        <f aca="false">MY_PH(M$2,$A61)</f>
        <v>2015</v>
      </c>
      <c r="N61" s="39" t="n">
        <f aca="false">MY_PH(N$2,$A61)</f>
        <v>2015</v>
      </c>
      <c r="O61" s="39" t="n">
        <f aca="false">MY_PH(O$2,$A61)</f>
        <v>2015</v>
      </c>
      <c r="P61" s="39" t="n">
        <f aca="false">MY_PH(P$2,$A61)</f>
        <v>2015</v>
      </c>
      <c r="Q61" s="39" t="n">
        <f aca="false">MY_PH(Q$2,$A61)</f>
        <v>2015</v>
      </c>
      <c r="R61" s="39" t="n">
        <f aca="false">MY_PH(R$2,$A61)</f>
        <v>2015</v>
      </c>
      <c r="S61" s="39" t="n">
        <f aca="false">MY_PH(S$2,$A61)</f>
        <v>2015</v>
      </c>
      <c r="T61" s="39" t="n">
        <f aca="false">MY_PH(T$2,$A61)</f>
        <v>2015</v>
      </c>
      <c r="U61" s="39" t="n">
        <f aca="false">MY_PH(U$2,$A61)</f>
        <v>2015</v>
      </c>
      <c r="V61" s="39" t="n">
        <f aca="false">MY_PH(V$2,$A61)</f>
        <v>2015</v>
      </c>
      <c r="W61" s="39" t="n">
        <f aca="false">MY_PH(W$2,$A61)</f>
        <v>2015</v>
      </c>
      <c r="X61" s="39" t="n">
        <f aca="false">MY_PH(X$2,$A61)</f>
        <v>2015</v>
      </c>
      <c r="Y61" s="39" t="n">
        <f aca="false">MY_PH(Y$2,$A61)</f>
        <v>2015</v>
      </c>
      <c r="Z61" s="39" t="n">
        <f aca="false">MY_PH(Z$2,$A61)</f>
        <v>2015</v>
      </c>
      <c r="AA61" s="39" t="n">
        <f aca="false">MY_PH(AA$2,$A61)</f>
        <v>2015</v>
      </c>
      <c r="AB61" s="39" t="n">
        <f aca="false">MY_PH(AB$2,$A61)</f>
        <v>2015</v>
      </c>
      <c r="AC61" s="39" t="n">
        <f aca="false">MY_PH(AC$2,$A61)</f>
        <v>2015</v>
      </c>
      <c r="AD61" s="39" t="n">
        <f aca="false">MY_PH(AD$2,$A61)</f>
        <v>2015</v>
      </c>
      <c r="AE61" s="39" t="n">
        <f aca="false">MY_PH(AE$2,$A61)</f>
        <v>2015</v>
      </c>
      <c r="AF61" s="39" t="n">
        <f aca="false">MY_PH(AF$2,$A61)</f>
        <v>2015</v>
      </c>
      <c r="AG61" s="39" t="n">
        <f aca="false">MY_PH(AG$2,$A61)</f>
        <v>2015</v>
      </c>
      <c r="AH61" s="39" t="n">
        <f aca="false">MY_PH(AH$2,$A61)</f>
        <v>2015</v>
      </c>
      <c r="AI61" s="39" t="n">
        <f aca="false">MY_PH(AI$2,$A61)</f>
        <v>2015</v>
      </c>
      <c r="AJ61" s="39" t="n">
        <f aca="false">MY_PH(AJ$2,$A61)</f>
        <v>2015</v>
      </c>
      <c r="AK61" s="39" t="n">
        <f aca="false">MY_PH(AK$2,$A61)</f>
        <v>2015</v>
      </c>
      <c r="AL61" s="39" t="n">
        <f aca="false">MY_PH(AL$2,$A61)</f>
        <v>2015</v>
      </c>
      <c r="AM61" s="39" t="n">
        <f aca="false">MY_PH(AM$2,$A61)</f>
        <v>2015</v>
      </c>
      <c r="AN61" s="39" t="n">
        <f aca="false">MY_PH(AN$2,$A61)</f>
        <v>2015</v>
      </c>
      <c r="AO61" s="39" t="n">
        <f aca="false">MY_PH(AO$2,$A61)</f>
        <v>2015</v>
      </c>
      <c r="AP61" s="39" t="n">
        <f aca="false">MY_PH(AP$2,$A61)</f>
        <v>2015</v>
      </c>
      <c r="AQ61" s="39" t="n">
        <f aca="false">MY_PH(AQ$2,$A61)</f>
        <v>2015</v>
      </c>
      <c r="AR61" s="39" t="n">
        <f aca="false">MY_PH(AR$2,$A61)</f>
        <v>3.40732584879729E-005</v>
      </c>
      <c r="AS61" s="39" t="n">
        <f aca="false">MY_PH(AS$2,$A61)</f>
        <v>3.50559351182745E-005</v>
      </c>
    </row>
    <row r="62" customFormat="false" ht="13.8" hidden="false" customHeight="false" outlineLevel="0" collapsed="false">
      <c r="A62" s="0" t="n">
        <v>2220</v>
      </c>
      <c r="B62" s="39" t="n">
        <f aca="false">MY_PH(B$2,$A62)</f>
        <v>2015</v>
      </c>
      <c r="C62" s="39" t="n">
        <f aca="false">MY_PH(C$2,$A62)</f>
        <v>2015</v>
      </c>
      <c r="D62" s="39" t="n">
        <f aca="false">MY_PH(D$2,$A62)</f>
        <v>2015</v>
      </c>
      <c r="E62" s="39" t="n">
        <f aca="false">MY_PH(E$2,$A62)</f>
        <v>2015</v>
      </c>
      <c r="F62" s="39" t="n">
        <f aca="false">MY_PH(F$2,$A62)</f>
        <v>2015</v>
      </c>
      <c r="G62" s="39" t="n">
        <f aca="false">MY_PH(G$2,$A62)</f>
        <v>2015</v>
      </c>
      <c r="H62" s="39" t="n">
        <f aca="false">MY_PH(H$2,$A62)</f>
        <v>2015</v>
      </c>
      <c r="I62" s="39" t="n">
        <f aca="false">MY_PH(I$2,$A62)</f>
        <v>2015</v>
      </c>
      <c r="J62" s="39" t="n">
        <f aca="false">MY_PH(J$2,$A62)</f>
        <v>2015</v>
      </c>
      <c r="K62" s="39" t="n">
        <f aca="false">MY_PH(K$2,$A62)</f>
        <v>2015</v>
      </c>
      <c r="L62" s="39" t="n">
        <f aca="false">MY_PH(L$2,$A62)</f>
        <v>2015</v>
      </c>
      <c r="M62" s="39" t="n">
        <f aca="false">MY_PH(M$2,$A62)</f>
        <v>2015</v>
      </c>
      <c r="N62" s="39" t="n">
        <f aca="false">MY_PH(N$2,$A62)</f>
        <v>2015</v>
      </c>
      <c r="O62" s="39" t="n">
        <f aca="false">MY_PH(O$2,$A62)</f>
        <v>2015</v>
      </c>
      <c r="P62" s="39" t="n">
        <f aca="false">MY_PH(P$2,$A62)</f>
        <v>2015</v>
      </c>
      <c r="Q62" s="39" t="n">
        <f aca="false">MY_PH(Q$2,$A62)</f>
        <v>2015</v>
      </c>
      <c r="R62" s="39" t="n">
        <f aca="false">MY_PH(R$2,$A62)</f>
        <v>2015</v>
      </c>
      <c r="S62" s="39" t="n">
        <f aca="false">MY_PH(S$2,$A62)</f>
        <v>2015</v>
      </c>
      <c r="T62" s="39" t="n">
        <f aca="false">MY_PH(T$2,$A62)</f>
        <v>2015</v>
      </c>
      <c r="U62" s="39" t="n">
        <f aca="false">MY_PH(U$2,$A62)</f>
        <v>2015</v>
      </c>
      <c r="V62" s="39" t="n">
        <f aca="false">MY_PH(V$2,$A62)</f>
        <v>2015</v>
      </c>
      <c r="W62" s="39" t="n">
        <f aca="false">MY_PH(W$2,$A62)</f>
        <v>2015</v>
      </c>
      <c r="X62" s="39" t="n">
        <f aca="false">MY_PH(X$2,$A62)</f>
        <v>2015</v>
      </c>
      <c r="Y62" s="39" t="n">
        <f aca="false">MY_PH(Y$2,$A62)</f>
        <v>2015</v>
      </c>
      <c r="Z62" s="39" t="n">
        <f aca="false">MY_PH(Z$2,$A62)</f>
        <v>2015</v>
      </c>
      <c r="AA62" s="39" t="n">
        <f aca="false">MY_PH(AA$2,$A62)</f>
        <v>2015</v>
      </c>
      <c r="AB62" s="39" t="n">
        <f aca="false">MY_PH(AB$2,$A62)</f>
        <v>2015</v>
      </c>
      <c r="AC62" s="39" t="n">
        <f aca="false">MY_PH(AC$2,$A62)</f>
        <v>2015</v>
      </c>
      <c r="AD62" s="39" t="n">
        <f aca="false">MY_PH(AD$2,$A62)</f>
        <v>2015</v>
      </c>
      <c r="AE62" s="39" t="n">
        <f aca="false">MY_PH(AE$2,$A62)</f>
        <v>2015</v>
      </c>
      <c r="AF62" s="39" t="n">
        <f aca="false">MY_PH(AF$2,$A62)</f>
        <v>2015</v>
      </c>
      <c r="AG62" s="39" t="n">
        <f aca="false">MY_PH(AG$2,$A62)</f>
        <v>2015</v>
      </c>
      <c r="AH62" s="39" t="n">
        <f aca="false">MY_PH(AH$2,$A62)</f>
        <v>2015</v>
      </c>
      <c r="AI62" s="39" t="n">
        <f aca="false">MY_PH(AI$2,$A62)</f>
        <v>2015</v>
      </c>
      <c r="AJ62" s="39" t="n">
        <f aca="false">MY_PH(AJ$2,$A62)</f>
        <v>2015</v>
      </c>
      <c r="AK62" s="39" t="n">
        <f aca="false">MY_PH(AK$2,$A62)</f>
        <v>2015</v>
      </c>
      <c r="AL62" s="39" t="n">
        <f aca="false">MY_PH(AL$2,$A62)</f>
        <v>2015</v>
      </c>
      <c r="AM62" s="39" t="n">
        <f aca="false">MY_PH(AM$2,$A62)</f>
        <v>2015</v>
      </c>
      <c r="AN62" s="39" t="n">
        <f aca="false">MY_PH(AN$2,$A62)</f>
        <v>2015</v>
      </c>
      <c r="AO62" s="39" t="n">
        <f aca="false">MY_PH(AO$2,$A62)</f>
        <v>2015</v>
      </c>
      <c r="AP62" s="39" t="n">
        <f aca="false">MY_PH(AP$2,$A62)</f>
        <v>2015</v>
      </c>
      <c r="AQ62" s="39" t="n">
        <f aca="false">MY_PH(AQ$2,$A62)</f>
        <v>2015</v>
      </c>
      <c r="AR62" s="39" t="n">
        <f aca="false">MY_PH(AR$2,$A62)</f>
        <v>3.37303078980781E-005</v>
      </c>
      <c r="AS62" s="39" t="n">
        <f aca="false">MY_PH(AS$2,$A62)</f>
        <v>3.46981883564574E-005</v>
      </c>
    </row>
    <row r="63" customFormat="false" ht="13.8" hidden="false" customHeight="false" outlineLevel="0" collapsed="false">
      <c r="A63" s="0" t="n">
        <v>2230</v>
      </c>
      <c r="B63" s="39" t="n">
        <f aca="false">MY_PH(B$2,$A63)</f>
        <v>2015</v>
      </c>
      <c r="C63" s="39" t="n">
        <f aca="false">MY_PH(C$2,$A63)</f>
        <v>2015</v>
      </c>
      <c r="D63" s="39" t="n">
        <f aca="false">MY_PH(D$2,$A63)</f>
        <v>2015</v>
      </c>
      <c r="E63" s="39" t="n">
        <f aca="false">MY_PH(E$2,$A63)</f>
        <v>2015</v>
      </c>
      <c r="F63" s="39" t="n">
        <f aca="false">MY_PH(F$2,$A63)</f>
        <v>2015</v>
      </c>
      <c r="G63" s="39" t="n">
        <f aca="false">MY_PH(G$2,$A63)</f>
        <v>2015</v>
      </c>
      <c r="H63" s="39" t="n">
        <f aca="false">MY_PH(H$2,$A63)</f>
        <v>2015</v>
      </c>
      <c r="I63" s="39" t="n">
        <f aca="false">MY_PH(I$2,$A63)</f>
        <v>2015</v>
      </c>
      <c r="J63" s="39" t="n">
        <f aca="false">MY_PH(J$2,$A63)</f>
        <v>2015</v>
      </c>
      <c r="K63" s="39" t="n">
        <f aca="false">MY_PH(K$2,$A63)</f>
        <v>2015</v>
      </c>
      <c r="L63" s="39" t="n">
        <f aca="false">MY_PH(L$2,$A63)</f>
        <v>2015</v>
      </c>
      <c r="M63" s="39" t="n">
        <f aca="false">MY_PH(M$2,$A63)</f>
        <v>2015</v>
      </c>
      <c r="N63" s="39" t="n">
        <f aca="false">MY_PH(N$2,$A63)</f>
        <v>2015</v>
      </c>
      <c r="O63" s="39" t="n">
        <f aca="false">MY_PH(O$2,$A63)</f>
        <v>2015</v>
      </c>
      <c r="P63" s="39" t="n">
        <f aca="false">MY_PH(P$2,$A63)</f>
        <v>2015</v>
      </c>
      <c r="Q63" s="39" t="n">
        <f aca="false">MY_PH(Q$2,$A63)</f>
        <v>2015</v>
      </c>
      <c r="R63" s="39" t="n">
        <f aca="false">MY_PH(R$2,$A63)</f>
        <v>2015</v>
      </c>
      <c r="S63" s="39" t="n">
        <f aca="false">MY_PH(S$2,$A63)</f>
        <v>2015</v>
      </c>
      <c r="T63" s="39" t="n">
        <f aca="false">MY_PH(T$2,$A63)</f>
        <v>2015</v>
      </c>
      <c r="U63" s="39" t="n">
        <f aca="false">MY_PH(U$2,$A63)</f>
        <v>2015</v>
      </c>
      <c r="V63" s="39" t="n">
        <f aca="false">MY_PH(V$2,$A63)</f>
        <v>2015</v>
      </c>
      <c r="W63" s="39" t="n">
        <f aca="false">MY_PH(W$2,$A63)</f>
        <v>2015</v>
      </c>
      <c r="X63" s="39" t="n">
        <f aca="false">MY_PH(X$2,$A63)</f>
        <v>2015</v>
      </c>
      <c r="Y63" s="39" t="n">
        <f aca="false">MY_PH(Y$2,$A63)</f>
        <v>2015</v>
      </c>
      <c r="Z63" s="39" t="n">
        <f aca="false">MY_PH(Z$2,$A63)</f>
        <v>2015</v>
      </c>
      <c r="AA63" s="39" t="n">
        <f aca="false">MY_PH(AA$2,$A63)</f>
        <v>2015</v>
      </c>
      <c r="AB63" s="39" t="n">
        <f aca="false">MY_PH(AB$2,$A63)</f>
        <v>2015</v>
      </c>
      <c r="AC63" s="39" t="n">
        <f aca="false">MY_PH(AC$2,$A63)</f>
        <v>2015</v>
      </c>
      <c r="AD63" s="39" t="n">
        <f aca="false">MY_PH(AD$2,$A63)</f>
        <v>2015</v>
      </c>
      <c r="AE63" s="39" t="n">
        <f aca="false">MY_PH(AE$2,$A63)</f>
        <v>2015</v>
      </c>
      <c r="AF63" s="39" t="n">
        <f aca="false">MY_PH(AF$2,$A63)</f>
        <v>2015</v>
      </c>
      <c r="AG63" s="39" t="n">
        <f aca="false">MY_PH(AG$2,$A63)</f>
        <v>2015</v>
      </c>
      <c r="AH63" s="39" t="n">
        <f aca="false">MY_PH(AH$2,$A63)</f>
        <v>2015</v>
      </c>
      <c r="AI63" s="39" t="n">
        <f aca="false">MY_PH(AI$2,$A63)</f>
        <v>2015</v>
      </c>
      <c r="AJ63" s="39" t="n">
        <f aca="false">MY_PH(AJ$2,$A63)</f>
        <v>2015</v>
      </c>
      <c r="AK63" s="39" t="n">
        <f aca="false">MY_PH(AK$2,$A63)</f>
        <v>2015</v>
      </c>
      <c r="AL63" s="39" t="n">
        <f aca="false">MY_PH(AL$2,$A63)</f>
        <v>2015</v>
      </c>
      <c r="AM63" s="39" t="n">
        <f aca="false">MY_PH(AM$2,$A63)</f>
        <v>2015</v>
      </c>
      <c r="AN63" s="39" t="n">
        <f aca="false">MY_PH(AN$2,$A63)</f>
        <v>2015</v>
      </c>
      <c r="AO63" s="39" t="n">
        <f aca="false">MY_PH(AO$2,$A63)</f>
        <v>2015</v>
      </c>
      <c r="AP63" s="39" t="n">
        <f aca="false">MY_PH(AP$2,$A63)</f>
        <v>2015</v>
      </c>
      <c r="AQ63" s="39" t="n">
        <f aca="false">MY_PH(AQ$2,$A63)</f>
        <v>2015</v>
      </c>
      <c r="AR63" s="39" t="n">
        <f aca="false">MY_PH(AR$2,$A63)</f>
        <v>3.33994286163012E-005</v>
      </c>
      <c r="AS63" s="39" t="n">
        <f aca="false">MY_PH(AS$2,$A63)</f>
        <v>3.43526543439363E-005</v>
      </c>
    </row>
    <row r="64" customFormat="false" ht="13.8" hidden="false" customHeight="false" outlineLevel="0" collapsed="false">
      <c r="A64" s="0" t="n">
        <v>2240</v>
      </c>
      <c r="B64" s="39" t="n">
        <f aca="false">MY_PH(B$2,$A64)</f>
        <v>2015</v>
      </c>
      <c r="C64" s="39" t="n">
        <f aca="false">MY_PH(C$2,$A64)</f>
        <v>2015</v>
      </c>
      <c r="D64" s="39" t="n">
        <f aca="false">MY_PH(D$2,$A64)</f>
        <v>2015</v>
      </c>
      <c r="E64" s="39" t="n">
        <f aca="false">MY_PH(E$2,$A64)</f>
        <v>2015</v>
      </c>
      <c r="F64" s="39" t="n">
        <f aca="false">MY_PH(F$2,$A64)</f>
        <v>2015</v>
      </c>
      <c r="G64" s="39" t="n">
        <f aca="false">MY_PH(G$2,$A64)</f>
        <v>2015</v>
      </c>
      <c r="H64" s="39" t="n">
        <f aca="false">MY_PH(H$2,$A64)</f>
        <v>2015</v>
      </c>
      <c r="I64" s="39" t="n">
        <f aca="false">MY_PH(I$2,$A64)</f>
        <v>2015</v>
      </c>
      <c r="J64" s="39" t="n">
        <f aca="false">MY_PH(J$2,$A64)</f>
        <v>2015</v>
      </c>
      <c r="K64" s="39" t="n">
        <f aca="false">MY_PH(K$2,$A64)</f>
        <v>2015</v>
      </c>
      <c r="L64" s="39" t="n">
        <f aca="false">MY_PH(L$2,$A64)</f>
        <v>2015</v>
      </c>
      <c r="M64" s="39" t="n">
        <f aca="false">MY_PH(M$2,$A64)</f>
        <v>2015</v>
      </c>
      <c r="N64" s="39" t="n">
        <f aca="false">MY_PH(N$2,$A64)</f>
        <v>2015</v>
      </c>
      <c r="O64" s="39" t="n">
        <f aca="false">MY_PH(O$2,$A64)</f>
        <v>2015</v>
      </c>
      <c r="P64" s="39" t="n">
        <f aca="false">MY_PH(P$2,$A64)</f>
        <v>2015</v>
      </c>
      <c r="Q64" s="39" t="n">
        <f aca="false">MY_PH(Q$2,$A64)</f>
        <v>2015</v>
      </c>
      <c r="R64" s="39" t="n">
        <f aca="false">MY_PH(R$2,$A64)</f>
        <v>2015</v>
      </c>
      <c r="S64" s="39" t="n">
        <f aca="false">MY_PH(S$2,$A64)</f>
        <v>2015</v>
      </c>
      <c r="T64" s="39" t="n">
        <f aca="false">MY_PH(T$2,$A64)</f>
        <v>2015</v>
      </c>
      <c r="U64" s="39" t="n">
        <f aca="false">MY_PH(U$2,$A64)</f>
        <v>2015</v>
      </c>
      <c r="V64" s="39" t="n">
        <f aca="false">MY_PH(V$2,$A64)</f>
        <v>2015</v>
      </c>
      <c r="W64" s="39" t="n">
        <f aca="false">MY_PH(W$2,$A64)</f>
        <v>2015</v>
      </c>
      <c r="X64" s="39" t="n">
        <f aca="false">MY_PH(X$2,$A64)</f>
        <v>2015</v>
      </c>
      <c r="Y64" s="39" t="n">
        <f aca="false">MY_PH(Y$2,$A64)</f>
        <v>2015</v>
      </c>
      <c r="Z64" s="39" t="n">
        <f aca="false">MY_PH(Z$2,$A64)</f>
        <v>2015</v>
      </c>
      <c r="AA64" s="39" t="n">
        <f aca="false">MY_PH(AA$2,$A64)</f>
        <v>2015</v>
      </c>
      <c r="AB64" s="39" t="n">
        <f aca="false">MY_PH(AB$2,$A64)</f>
        <v>2015</v>
      </c>
      <c r="AC64" s="39" t="n">
        <f aca="false">MY_PH(AC$2,$A64)</f>
        <v>2015</v>
      </c>
      <c r="AD64" s="39" t="n">
        <f aca="false">MY_PH(AD$2,$A64)</f>
        <v>2015</v>
      </c>
      <c r="AE64" s="39" t="n">
        <f aca="false">MY_PH(AE$2,$A64)</f>
        <v>2015</v>
      </c>
      <c r="AF64" s="39" t="n">
        <f aca="false">MY_PH(AF$2,$A64)</f>
        <v>2015</v>
      </c>
      <c r="AG64" s="39" t="n">
        <f aca="false">MY_PH(AG$2,$A64)</f>
        <v>2015</v>
      </c>
      <c r="AH64" s="39" t="n">
        <f aca="false">MY_PH(AH$2,$A64)</f>
        <v>2015</v>
      </c>
      <c r="AI64" s="39" t="n">
        <f aca="false">MY_PH(AI$2,$A64)</f>
        <v>2015</v>
      </c>
      <c r="AJ64" s="39" t="n">
        <f aca="false">MY_PH(AJ$2,$A64)</f>
        <v>2015</v>
      </c>
      <c r="AK64" s="39" t="n">
        <f aca="false">MY_PH(AK$2,$A64)</f>
        <v>2015</v>
      </c>
      <c r="AL64" s="39" t="n">
        <f aca="false">MY_PH(AL$2,$A64)</f>
        <v>2015</v>
      </c>
      <c r="AM64" s="39" t="n">
        <f aca="false">MY_PH(AM$2,$A64)</f>
        <v>2015</v>
      </c>
      <c r="AN64" s="39" t="n">
        <f aca="false">MY_PH(AN$2,$A64)</f>
        <v>2015</v>
      </c>
      <c r="AO64" s="39" t="n">
        <f aca="false">MY_PH(AO$2,$A64)</f>
        <v>2015</v>
      </c>
      <c r="AP64" s="39" t="n">
        <f aca="false">MY_PH(AP$2,$A64)</f>
        <v>2015</v>
      </c>
      <c r="AQ64" s="39" t="n">
        <f aca="false">MY_PH(AQ$2,$A64)</f>
        <v>2015</v>
      </c>
      <c r="AR64" s="39" t="n">
        <f aca="false">MY_PH(AR$2,$A64)</f>
        <v>3.30802304582553E-005</v>
      </c>
      <c r="AS64" s="39" t="n">
        <f aca="false">MY_PH(AS$2,$A64)</f>
        <v>3.40189817509929E-005</v>
      </c>
    </row>
    <row r="65" customFormat="false" ht="13.8" hidden="false" customHeight="false" outlineLevel="0" collapsed="false">
      <c r="A65" s="0" t="n">
        <v>2250</v>
      </c>
      <c r="B65" s="39" t="n">
        <f aca="false">MY_PH(B$2,$A65)</f>
        <v>2015</v>
      </c>
      <c r="C65" s="39" t="n">
        <f aca="false">MY_PH(C$2,$A65)</f>
        <v>2015</v>
      </c>
      <c r="D65" s="39" t="n">
        <f aca="false">MY_PH(D$2,$A65)</f>
        <v>2015</v>
      </c>
      <c r="E65" s="39" t="n">
        <f aca="false">MY_PH(E$2,$A65)</f>
        <v>2015</v>
      </c>
      <c r="F65" s="39" t="n">
        <f aca="false">MY_PH(F$2,$A65)</f>
        <v>2015</v>
      </c>
      <c r="G65" s="39" t="n">
        <f aca="false">MY_PH(G$2,$A65)</f>
        <v>2015</v>
      </c>
      <c r="H65" s="39" t="n">
        <f aca="false">MY_PH(H$2,$A65)</f>
        <v>2015</v>
      </c>
      <c r="I65" s="39" t="n">
        <f aca="false">MY_PH(I$2,$A65)</f>
        <v>2015</v>
      </c>
      <c r="J65" s="39" t="n">
        <f aca="false">MY_PH(J$2,$A65)</f>
        <v>2015</v>
      </c>
      <c r="K65" s="39" t="n">
        <f aca="false">MY_PH(K$2,$A65)</f>
        <v>2015</v>
      </c>
      <c r="L65" s="39" t="n">
        <f aca="false">MY_PH(L$2,$A65)</f>
        <v>2015</v>
      </c>
      <c r="M65" s="39" t="n">
        <f aca="false">MY_PH(M$2,$A65)</f>
        <v>2015</v>
      </c>
      <c r="N65" s="39" t="n">
        <f aca="false">MY_PH(N$2,$A65)</f>
        <v>2015</v>
      </c>
      <c r="O65" s="39" t="n">
        <f aca="false">MY_PH(O$2,$A65)</f>
        <v>2015</v>
      </c>
      <c r="P65" s="39" t="n">
        <f aca="false">MY_PH(P$2,$A65)</f>
        <v>2015</v>
      </c>
      <c r="Q65" s="39" t="n">
        <f aca="false">MY_PH(Q$2,$A65)</f>
        <v>2015</v>
      </c>
      <c r="R65" s="39" t="n">
        <f aca="false">MY_PH(R$2,$A65)</f>
        <v>2015</v>
      </c>
      <c r="S65" s="39" t="n">
        <f aca="false">MY_PH(S$2,$A65)</f>
        <v>2015</v>
      </c>
      <c r="T65" s="39" t="n">
        <f aca="false">MY_PH(T$2,$A65)</f>
        <v>2015</v>
      </c>
      <c r="U65" s="39" t="n">
        <f aca="false">MY_PH(U$2,$A65)</f>
        <v>2015</v>
      </c>
      <c r="V65" s="39" t="n">
        <f aca="false">MY_PH(V$2,$A65)</f>
        <v>2015</v>
      </c>
      <c r="W65" s="39" t="n">
        <f aca="false">MY_PH(W$2,$A65)</f>
        <v>2015</v>
      </c>
      <c r="X65" s="39" t="n">
        <f aca="false">MY_PH(X$2,$A65)</f>
        <v>2015</v>
      </c>
      <c r="Y65" s="39" t="n">
        <f aca="false">MY_PH(Y$2,$A65)</f>
        <v>2015</v>
      </c>
      <c r="Z65" s="39" t="n">
        <f aca="false">MY_PH(Z$2,$A65)</f>
        <v>2015</v>
      </c>
      <c r="AA65" s="39" t="n">
        <f aca="false">MY_PH(AA$2,$A65)</f>
        <v>2015</v>
      </c>
      <c r="AB65" s="39" t="n">
        <f aca="false">MY_PH(AB$2,$A65)</f>
        <v>2015</v>
      </c>
      <c r="AC65" s="39" t="n">
        <f aca="false">MY_PH(AC$2,$A65)</f>
        <v>2015</v>
      </c>
      <c r="AD65" s="39" t="n">
        <f aca="false">MY_PH(AD$2,$A65)</f>
        <v>2015</v>
      </c>
      <c r="AE65" s="39" t="n">
        <f aca="false">MY_PH(AE$2,$A65)</f>
        <v>2015</v>
      </c>
      <c r="AF65" s="39" t="n">
        <f aca="false">MY_PH(AF$2,$A65)</f>
        <v>2015</v>
      </c>
      <c r="AG65" s="39" t="n">
        <f aca="false">MY_PH(AG$2,$A65)</f>
        <v>2015</v>
      </c>
      <c r="AH65" s="39" t="n">
        <f aca="false">MY_PH(AH$2,$A65)</f>
        <v>2015</v>
      </c>
      <c r="AI65" s="39" t="n">
        <f aca="false">MY_PH(AI$2,$A65)</f>
        <v>2015</v>
      </c>
      <c r="AJ65" s="39" t="n">
        <f aca="false">MY_PH(AJ$2,$A65)</f>
        <v>2015</v>
      </c>
      <c r="AK65" s="39" t="n">
        <f aca="false">MY_PH(AK$2,$A65)</f>
        <v>2015</v>
      </c>
      <c r="AL65" s="39" t="n">
        <f aca="false">MY_PH(AL$2,$A65)</f>
        <v>2015</v>
      </c>
      <c r="AM65" s="39" t="n">
        <f aca="false">MY_PH(AM$2,$A65)</f>
        <v>2015</v>
      </c>
      <c r="AN65" s="39" t="n">
        <f aca="false">MY_PH(AN$2,$A65)</f>
        <v>2015</v>
      </c>
      <c r="AO65" s="39" t="n">
        <f aca="false">MY_PH(AO$2,$A65)</f>
        <v>2015</v>
      </c>
      <c r="AP65" s="39" t="n">
        <f aca="false">MY_PH(AP$2,$A65)</f>
        <v>2015</v>
      </c>
      <c r="AQ65" s="39" t="n">
        <f aca="false">MY_PH(AQ$2,$A65)</f>
        <v>2015</v>
      </c>
      <c r="AR65" s="39" t="n">
        <f aca="false">MY_PH(AR$2,$A65)</f>
        <v>3.27723432632199E-005</v>
      </c>
      <c r="AS65" s="39" t="n">
        <f aca="false">MY_PH(AS$2,$A65)</f>
        <v>3.36968319503721E-005</v>
      </c>
    </row>
    <row r="66" customFormat="false" ht="13.8" hidden="false" customHeight="false" outlineLevel="0" collapsed="false">
      <c r="A66" s="0" t="n">
        <v>2260</v>
      </c>
      <c r="B66" s="39" t="n">
        <f aca="false">MY_PH(B$2,$A66)</f>
        <v>2015</v>
      </c>
      <c r="C66" s="39" t="n">
        <f aca="false">MY_PH(C$2,$A66)</f>
        <v>2015</v>
      </c>
      <c r="D66" s="39" t="n">
        <f aca="false">MY_PH(D$2,$A66)</f>
        <v>2015</v>
      </c>
      <c r="E66" s="39" t="n">
        <f aca="false">MY_PH(E$2,$A66)</f>
        <v>2015</v>
      </c>
      <c r="F66" s="39" t="n">
        <f aca="false">MY_PH(F$2,$A66)</f>
        <v>2015</v>
      </c>
      <c r="G66" s="39" t="n">
        <f aca="false">MY_PH(G$2,$A66)</f>
        <v>2015</v>
      </c>
      <c r="H66" s="39" t="n">
        <f aca="false">MY_PH(H$2,$A66)</f>
        <v>2015</v>
      </c>
      <c r="I66" s="39" t="n">
        <f aca="false">MY_PH(I$2,$A66)</f>
        <v>2015</v>
      </c>
      <c r="J66" s="39" t="n">
        <f aca="false">MY_PH(J$2,$A66)</f>
        <v>2015</v>
      </c>
      <c r="K66" s="39" t="n">
        <f aca="false">MY_PH(K$2,$A66)</f>
        <v>2015</v>
      </c>
      <c r="L66" s="39" t="n">
        <f aca="false">MY_PH(L$2,$A66)</f>
        <v>2015</v>
      </c>
      <c r="M66" s="39" t="n">
        <f aca="false">MY_PH(M$2,$A66)</f>
        <v>2015</v>
      </c>
      <c r="N66" s="39" t="n">
        <f aca="false">MY_PH(N$2,$A66)</f>
        <v>2015</v>
      </c>
      <c r="O66" s="39" t="n">
        <f aca="false">MY_PH(O$2,$A66)</f>
        <v>2015</v>
      </c>
      <c r="P66" s="39" t="n">
        <f aca="false">MY_PH(P$2,$A66)</f>
        <v>2015</v>
      </c>
      <c r="Q66" s="39" t="n">
        <f aca="false">MY_PH(Q$2,$A66)</f>
        <v>2015</v>
      </c>
      <c r="R66" s="39" t="n">
        <f aca="false">MY_PH(R$2,$A66)</f>
        <v>2015</v>
      </c>
      <c r="S66" s="39" t="n">
        <f aca="false">MY_PH(S$2,$A66)</f>
        <v>2015</v>
      </c>
      <c r="T66" s="39" t="n">
        <f aca="false">MY_PH(T$2,$A66)</f>
        <v>2015</v>
      </c>
      <c r="U66" s="39" t="n">
        <f aca="false">MY_PH(U$2,$A66)</f>
        <v>2015</v>
      </c>
      <c r="V66" s="39" t="n">
        <f aca="false">MY_PH(V$2,$A66)</f>
        <v>2015</v>
      </c>
      <c r="W66" s="39" t="n">
        <f aca="false">MY_PH(W$2,$A66)</f>
        <v>2015</v>
      </c>
      <c r="X66" s="39" t="n">
        <f aca="false">MY_PH(X$2,$A66)</f>
        <v>2015</v>
      </c>
      <c r="Y66" s="39" t="n">
        <f aca="false">MY_PH(Y$2,$A66)</f>
        <v>2015</v>
      </c>
      <c r="Z66" s="39" t="n">
        <f aca="false">MY_PH(Z$2,$A66)</f>
        <v>2015</v>
      </c>
      <c r="AA66" s="39" t="n">
        <f aca="false">MY_PH(AA$2,$A66)</f>
        <v>2015</v>
      </c>
      <c r="AB66" s="39" t="n">
        <f aca="false">MY_PH(AB$2,$A66)</f>
        <v>2015</v>
      </c>
      <c r="AC66" s="39" t="n">
        <f aca="false">MY_PH(AC$2,$A66)</f>
        <v>2015</v>
      </c>
      <c r="AD66" s="39" t="n">
        <f aca="false">MY_PH(AD$2,$A66)</f>
        <v>2015</v>
      </c>
      <c r="AE66" s="39" t="n">
        <f aca="false">MY_PH(AE$2,$A66)</f>
        <v>2015</v>
      </c>
      <c r="AF66" s="39" t="n">
        <f aca="false">MY_PH(AF$2,$A66)</f>
        <v>2015</v>
      </c>
      <c r="AG66" s="39" t="n">
        <f aca="false">MY_PH(AG$2,$A66)</f>
        <v>2015</v>
      </c>
      <c r="AH66" s="39" t="n">
        <f aca="false">MY_PH(AH$2,$A66)</f>
        <v>2015</v>
      </c>
      <c r="AI66" s="39" t="n">
        <f aca="false">MY_PH(AI$2,$A66)</f>
        <v>2015</v>
      </c>
      <c r="AJ66" s="39" t="n">
        <f aca="false">MY_PH(AJ$2,$A66)</f>
        <v>2015</v>
      </c>
      <c r="AK66" s="39" t="n">
        <f aca="false">MY_PH(AK$2,$A66)</f>
        <v>2015</v>
      </c>
      <c r="AL66" s="39" t="n">
        <f aca="false">MY_PH(AL$2,$A66)</f>
        <v>2015</v>
      </c>
      <c r="AM66" s="39" t="n">
        <f aca="false">MY_PH(AM$2,$A66)</f>
        <v>2015</v>
      </c>
      <c r="AN66" s="39" t="n">
        <f aca="false">MY_PH(AN$2,$A66)</f>
        <v>2015</v>
      </c>
      <c r="AO66" s="39" t="n">
        <f aca="false">MY_PH(AO$2,$A66)</f>
        <v>2015</v>
      </c>
      <c r="AP66" s="39" t="n">
        <f aca="false">MY_PH(AP$2,$A66)</f>
        <v>2015</v>
      </c>
      <c r="AQ66" s="39" t="n">
        <f aca="false">MY_PH(AQ$2,$A66)</f>
        <v>2015</v>
      </c>
      <c r="AR66" s="39" t="n">
        <f aca="false">MY_PH(AR$2,$A66)</f>
        <v>3.24754163124148E-005</v>
      </c>
      <c r="AS66" s="39" t="n">
        <f aca="false">MY_PH(AS$2,$A66)</f>
        <v>3.33858792347492E-005</v>
      </c>
    </row>
    <row r="67" customFormat="false" ht="13.8" hidden="false" customHeight="false" outlineLevel="0" collapsed="false">
      <c r="A67" s="0" t="n">
        <v>2270</v>
      </c>
      <c r="B67" s="39" t="n">
        <f aca="false">MY_PH(B$2,$A67)</f>
        <v>2015</v>
      </c>
      <c r="C67" s="39" t="n">
        <f aca="false">MY_PH(C$2,$A67)</f>
        <v>2015</v>
      </c>
      <c r="D67" s="39" t="n">
        <f aca="false">MY_PH(D$2,$A67)</f>
        <v>2015</v>
      </c>
      <c r="E67" s="39" t="n">
        <f aca="false">MY_PH(E$2,$A67)</f>
        <v>2015</v>
      </c>
      <c r="F67" s="39" t="n">
        <f aca="false">MY_PH(F$2,$A67)</f>
        <v>2015</v>
      </c>
      <c r="G67" s="39" t="n">
        <f aca="false">MY_PH(G$2,$A67)</f>
        <v>2015</v>
      </c>
      <c r="H67" s="39" t="n">
        <f aca="false">MY_PH(H$2,$A67)</f>
        <v>2015</v>
      </c>
      <c r="I67" s="39" t="n">
        <f aca="false">MY_PH(I$2,$A67)</f>
        <v>2015</v>
      </c>
      <c r="J67" s="39" t="n">
        <f aca="false">MY_PH(J$2,$A67)</f>
        <v>2015</v>
      </c>
      <c r="K67" s="39" t="n">
        <f aca="false">MY_PH(K$2,$A67)</f>
        <v>2015</v>
      </c>
      <c r="L67" s="39" t="n">
        <f aca="false">MY_PH(L$2,$A67)</f>
        <v>2015</v>
      </c>
      <c r="M67" s="39" t="n">
        <f aca="false">MY_PH(M$2,$A67)</f>
        <v>2015</v>
      </c>
      <c r="N67" s="39" t="n">
        <f aca="false">MY_PH(N$2,$A67)</f>
        <v>2015</v>
      </c>
      <c r="O67" s="39" t="n">
        <f aca="false">MY_PH(O$2,$A67)</f>
        <v>2015</v>
      </c>
      <c r="P67" s="39" t="n">
        <f aca="false">MY_PH(P$2,$A67)</f>
        <v>2015</v>
      </c>
      <c r="Q67" s="39" t="n">
        <f aca="false">MY_PH(Q$2,$A67)</f>
        <v>2015</v>
      </c>
      <c r="R67" s="39" t="n">
        <f aca="false">MY_PH(R$2,$A67)</f>
        <v>2015</v>
      </c>
      <c r="S67" s="39" t="n">
        <f aca="false">MY_PH(S$2,$A67)</f>
        <v>2015</v>
      </c>
      <c r="T67" s="39" t="n">
        <f aca="false">MY_PH(T$2,$A67)</f>
        <v>2015</v>
      </c>
      <c r="U67" s="39" t="n">
        <f aca="false">MY_PH(U$2,$A67)</f>
        <v>2015</v>
      </c>
      <c r="V67" s="39" t="n">
        <f aca="false">MY_PH(V$2,$A67)</f>
        <v>2015</v>
      </c>
      <c r="W67" s="39" t="n">
        <f aca="false">MY_PH(W$2,$A67)</f>
        <v>2015</v>
      </c>
      <c r="X67" s="39" t="n">
        <f aca="false">MY_PH(X$2,$A67)</f>
        <v>2015</v>
      </c>
      <c r="Y67" s="39" t="n">
        <f aca="false">MY_PH(Y$2,$A67)</f>
        <v>2015</v>
      </c>
      <c r="Z67" s="39" t="n">
        <f aca="false">MY_PH(Z$2,$A67)</f>
        <v>2015</v>
      </c>
      <c r="AA67" s="39" t="n">
        <f aca="false">MY_PH(AA$2,$A67)</f>
        <v>2015</v>
      </c>
      <c r="AB67" s="39" t="n">
        <f aca="false">MY_PH(AB$2,$A67)</f>
        <v>2015</v>
      </c>
      <c r="AC67" s="39" t="n">
        <f aca="false">MY_PH(AC$2,$A67)</f>
        <v>2015</v>
      </c>
      <c r="AD67" s="39" t="n">
        <f aca="false">MY_PH(AD$2,$A67)</f>
        <v>2015</v>
      </c>
      <c r="AE67" s="39" t="n">
        <f aca="false">MY_PH(AE$2,$A67)</f>
        <v>2015</v>
      </c>
      <c r="AF67" s="39" t="n">
        <f aca="false">MY_PH(AF$2,$A67)</f>
        <v>2015</v>
      </c>
      <c r="AG67" s="39" t="n">
        <f aca="false">MY_PH(AG$2,$A67)</f>
        <v>2015</v>
      </c>
      <c r="AH67" s="39" t="n">
        <f aca="false">MY_PH(AH$2,$A67)</f>
        <v>2015</v>
      </c>
      <c r="AI67" s="39" t="n">
        <f aca="false">MY_PH(AI$2,$A67)</f>
        <v>2015</v>
      </c>
      <c r="AJ67" s="39" t="n">
        <f aca="false">MY_PH(AJ$2,$A67)</f>
        <v>2015</v>
      </c>
      <c r="AK67" s="39" t="n">
        <f aca="false">MY_PH(AK$2,$A67)</f>
        <v>2015</v>
      </c>
      <c r="AL67" s="39" t="n">
        <f aca="false">MY_PH(AL$2,$A67)</f>
        <v>2015</v>
      </c>
      <c r="AM67" s="39" t="n">
        <f aca="false">MY_PH(AM$2,$A67)</f>
        <v>2015</v>
      </c>
      <c r="AN67" s="39" t="n">
        <f aca="false">MY_PH(AN$2,$A67)</f>
        <v>2015</v>
      </c>
      <c r="AO67" s="39" t="n">
        <f aca="false">MY_PH(AO$2,$A67)</f>
        <v>2015</v>
      </c>
      <c r="AP67" s="39" t="n">
        <f aca="false">MY_PH(AP$2,$A67)</f>
        <v>2015</v>
      </c>
      <c r="AQ67" s="39" t="n">
        <f aca="false">MY_PH(AQ$2,$A67)</f>
        <v>2015</v>
      </c>
      <c r="AR67" s="39" t="n">
        <f aca="false">MY_PH(AR$2,$A67)</f>
        <v>3.21891175740533E-005</v>
      </c>
      <c r="AS67" s="39" t="n">
        <f aca="false">MY_PH(AS$2,$A67)</f>
        <v>3.30858108087897E-005</v>
      </c>
    </row>
    <row r="68" customFormat="false" ht="13.8" hidden="false" customHeight="false" outlineLevel="0" collapsed="false">
      <c r="A68" s="0" t="n">
        <v>2280</v>
      </c>
      <c r="B68" s="39" t="n">
        <f aca="false">MY_PH(B$2,$A68)</f>
        <v>2015</v>
      </c>
      <c r="C68" s="39" t="n">
        <f aca="false">MY_PH(C$2,$A68)</f>
        <v>2015</v>
      </c>
      <c r="D68" s="39" t="n">
        <f aca="false">MY_PH(D$2,$A68)</f>
        <v>2015</v>
      </c>
      <c r="E68" s="39" t="n">
        <f aca="false">MY_PH(E$2,$A68)</f>
        <v>2015</v>
      </c>
      <c r="F68" s="39" t="n">
        <f aca="false">MY_PH(F$2,$A68)</f>
        <v>2015</v>
      </c>
      <c r="G68" s="39" t="n">
        <f aca="false">MY_PH(G$2,$A68)</f>
        <v>2015</v>
      </c>
      <c r="H68" s="39" t="n">
        <f aca="false">MY_PH(H$2,$A68)</f>
        <v>2015</v>
      </c>
      <c r="I68" s="39" t="n">
        <f aca="false">MY_PH(I$2,$A68)</f>
        <v>2015</v>
      </c>
      <c r="J68" s="39" t="n">
        <f aca="false">MY_PH(J$2,$A68)</f>
        <v>2015</v>
      </c>
      <c r="K68" s="39" t="n">
        <f aca="false">MY_PH(K$2,$A68)</f>
        <v>2015</v>
      </c>
      <c r="L68" s="39" t="n">
        <f aca="false">MY_PH(L$2,$A68)</f>
        <v>2015</v>
      </c>
      <c r="M68" s="39" t="n">
        <f aca="false">MY_PH(M$2,$A68)</f>
        <v>2015</v>
      </c>
      <c r="N68" s="39" t="n">
        <f aca="false">MY_PH(N$2,$A68)</f>
        <v>2015</v>
      </c>
      <c r="O68" s="39" t="n">
        <f aca="false">MY_PH(O$2,$A68)</f>
        <v>2015</v>
      </c>
      <c r="P68" s="39" t="n">
        <f aca="false">MY_PH(P$2,$A68)</f>
        <v>2015</v>
      </c>
      <c r="Q68" s="39" t="n">
        <f aca="false">MY_PH(Q$2,$A68)</f>
        <v>2015</v>
      </c>
      <c r="R68" s="39" t="n">
        <f aca="false">MY_PH(R$2,$A68)</f>
        <v>2015</v>
      </c>
      <c r="S68" s="39" t="n">
        <f aca="false">MY_PH(S$2,$A68)</f>
        <v>2015</v>
      </c>
      <c r="T68" s="39" t="n">
        <f aca="false">MY_PH(T$2,$A68)</f>
        <v>2015</v>
      </c>
      <c r="U68" s="39" t="n">
        <f aca="false">MY_PH(U$2,$A68)</f>
        <v>2015</v>
      </c>
      <c r="V68" s="39" t="n">
        <f aca="false">MY_PH(V$2,$A68)</f>
        <v>2015</v>
      </c>
      <c r="W68" s="39" t="n">
        <f aca="false">MY_PH(W$2,$A68)</f>
        <v>2015</v>
      </c>
      <c r="X68" s="39" t="n">
        <f aca="false">MY_PH(X$2,$A68)</f>
        <v>2015</v>
      </c>
      <c r="Y68" s="39" t="n">
        <f aca="false">MY_PH(Y$2,$A68)</f>
        <v>2015</v>
      </c>
      <c r="Z68" s="39" t="n">
        <f aca="false">MY_PH(Z$2,$A68)</f>
        <v>2015</v>
      </c>
      <c r="AA68" s="39" t="n">
        <f aca="false">MY_PH(AA$2,$A68)</f>
        <v>2015</v>
      </c>
      <c r="AB68" s="39" t="n">
        <f aca="false">MY_PH(AB$2,$A68)</f>
        <v>2015</v>
      </c>
      <c r="AC68" s="39" t="n">
        <f aca="false">MY_PH(AC$2,$A68)</f>
        <v>2015</v>
      </c>
      <c r="AD68" s="39" t="n">
        <f aca="false">MY_PH(AD$2,$A68)</f>
        <v>2015</v>
      </c>
      <c r="AE68" s="39" t="n">
        <f aca="false">MY_PH(AE$2,$A68)</f>
        <v>2015</v>
      </c>
      <c r="AF68" s="39" t="n">
        <f aca="false">MY_PH(AF$2,$A68)</f>
        <v>2015</v>
      </c>
      <c r="AG68" s="39" t="n">
        <f aca="false">MY_PH(AG$2,$A68)</f>
        <v>2015</v>
      </c>
      <c r="AH68" s="39" t="n">
        <f aca="false">MY_PH(AH$2,$A68)</f>
        <v>2015</v>
      </c>
      <c r="AI68" s="39" t="n">
        <f aca="false">MY_PH(AI$2,$A68)</f>
        <v>2015</v>
      </c>
      <c r="AJ68" s="39" t="n">
        <f aca="false">MY_PH(AJ$2,$A68)</f>
        <v>2015</v>
      </c>
      <c r="AK68" s="39" t="n">
        <f aca="false">MY_PH(AK$2,$A68)</f>
        <v>2015</v>
      </c>
      <c r="AL68" s="39" t="n">
        <f aca="false">MY_PH(AL$2,$A68)</f>
        <v>2015</v>
      </c>
      <c r="AM68" s="39" t="n">
        <f aca="false">MY_PH(AM$2,$A68)</f>
        <v>2015</v>
      </c>
      <c r="AN68" s="39" t="n">
        <f aca="false">MY_PH(AN$2,$A68)</f>
        <v>2015</v>
      </c>
      <c r="AO68" s="39" t="n">
        <f aca="false">MY_PH(AO$2,$A68)</f>
        <v>2015</v>
      </c>
      <c r="AP68" s="39" t="n">
        <f aca="false">MY_PH(AP$2,$A68)</f>
        <v>2015</v>
      </c>
      <c r="AQ68" s="39" t="n">
        <f aca="false">MY_PH(AQ$2,$A68)</f>
        <v>2015</v>
      </c>
      <c r="AR68" s="39" t="n">
        <f aca="false">MY_PH(AR$2,$A68)</f>
        <v>3.19131328096942E-005</v>
      </c>
      <c r="AS68" s="39" t="n">
        <f aca="false">MY_PH(AS$2,$A68)</f>
        <v>3.2796326591171E-005</v>
      </c>
    </row>
    <row r="69" customFormat="false" ht="13.8" hidden="false" customHeight="false" outlineLevel="0" collapsed="false">
      <c r="A69" s="0" t="n">
        <v>2290</v>
      </c>
      <c r="B69" s="39" t="n">
        <f aca="false">MY_PH(B$2,$A69)</f>
        <v>2015</v>
      </c>
      <c r="C69" s="39" t="n">
        <f aca="false">MY_PH(C$2,$A69)</f>
        <v>2015</v>
      </c>
      <c r="D69" s="39" t="n">
        <f aca="false">MY_PH(D$2,$A69)</f>
        <v>2015</v>
      </c>
      <c r="E69" s="39" t="n">
        <f aca="false">MY_PH(E$2,$A69)</f>
        <v>2015</v>
      </c>
      <c r="F69" s="39" t="n">
        <f aca="false">MY_PH(F$2,$A69)</f>
        <v>2015</v>
      </c>
      <c r="G69" s="39" t="n">
        <f aca="false">MY_PH(G$2,$A69)</f>
        <v>2015</v>
      </c>
      <c r="H69" s="39" t="n">
        <f aca="false">MY_PH(H$2,$A69)</f>
        <v>2015</v>
      </c>
      <c r="I69" s="39" t="n">
        <f aca="false">MY_PH(I$2,$A69)</f>
        <v>2015</v>
      </c>
      <c r="J69" s="39" t="n">
        <f aca="false">MY_PH(J$2,$A69)</f>
        <v>2015</v>
      </c>
      <c r="K69" s="39" t="n">
        <f aca="false">MY_PH(K$2,$A69)</f>
        <v>2015</v>
      </c>
      <c r="L69" s="39" t="n">
        <f aca="false">MY_PH(L$2,$A69)</f>
        <v>2015</v>
      </c>
      <c r="M69" s="39" t="n">
        <f aca="false">MY_PH(M$2,$A69)</f>
        <v>2015</v>
      </c>
      <c r="N69" s="39" t="n">
        <f aca="false">MY_PH(N$2,$A69)</f>
        <v>2015</v>
      </c>
      <c r="O69" s="39" t="n">
        <f aca="false">MY_PH(O$2,$A69)</f>
        <v>2015</v>
      </c>
      <c r="P69" s="39" t="n">
        <f aca="false">MY_PH(P$2,$A69)</f>
        <v>2015</v>
      </c>
      <c r="Q69" s="39" t="n">
        <f aca="false">MY_PH(Q$2,$A69)</f>
        <v>2015</v>
      </c>
      <c r="R69" s="39" t="n">
        <f aca="false">MY_PH(R$2,$A69)</f>
        <v>2015</v>
      </c>
      <c r="S69" s="39" t="n">
        <f aca="false">MY_PH(S$2,$A69)</f>
        <v>2015</v>
      </c>
      <c r="T69" s="39" t="n">
        <f aca="false">MY_PH(T$2,$A69)</f>
        <v>2015</v>
      </c>
      <c r="U69" s="39" t="n">
        <f aca="false">MY_PH(U$2,$A69)</f>
        <v>2015</v>
      </c>
      <c r="V69" s="39" t="n">
        <f aca="false">MY_PH(V$2,$A69)</f>
        <v>2015</v>
      </c>
      <c r="W69" s="39" t="n">
        <f aca="false">MY_PH(W$2,$A69)</f>
        <v>2015</v>
      </c>
      <c r="X69" s="39" t="n">
        <f aca="false">MY_PH(X$2,$A69)</f>
        <v>2015</v>
      </c>
      <c r="Y69" s="39" t="n">
        <f aca="false">MY_PH(Y$2,$A69)</f>
        <v>2015</v>
      </c>
      <c r="Z69" s="39" t="n">
        <f aca="false">MY_PH(Z$2,$A69)</f>
        <v>2015</v>
      </c>
      <c r="AA69" s="39" t="n">
        <f aca="false">MY_PH(AA$2,$A69)</f>
        <v>2015</v>
      </c>
      <c r="AB69" s="39" t="n">
        <f aca="false">MY_PH(AB$2,$A69)</f>
        <v>2015</v>
      </c>
      <c r="AC69" s="39" t="n">
        <f aca="false">MY_PH(AC$2,$A69)</f>
        <v>2015</v>
      </c>
      <c r="AD69" s="39" t="n">
        <f aca="false">MY_PH(AD$2,$A69)</f>
        <v>2015</v>
      </c>
      <c r="AE69" s="39" t="n">
        <f aca="false">MY_PH(AE$2,$A69)</f>
        <v>2015</v>
      </c>
      <c r="AF69" s="39" t="n">
        <f aca="false">MY_PH(AF$2,$A69)</f>
        <v>2015</v>
      </c>
      <c r="AG69" s="39" t="n">
        <f aca="false">MY_PH(AG$2,$A69)</f>
        <v>2015</v>
      </c>
      <c r="AH69" s="39" t="n">
        <f aca="false">MY_PH(AH$2,$A69)</f>
        <v>2015</v>
      </c>
      <c r="AI69" s="39" t="n">
        <f aca="false">MY_PH(AI$2,$A69)</f>
        <v>2015</v>
      </c>
      <c r="AJ69" s="39" t="n">
        <f aca="false">MY_PH(AJ$2,$A69)</f>
        <v>2015</v>
      </c>
      <c r="AK69" s="39" t="n">
        <f aca="false">MY_PH(AK$2,$A69)</f>
        <v>2015</v>
      </c>
      <c r="AL69" s="39" t="n">
        <f aca="false">MY_PH(AL$2,$A69)</f>
        <v>2015</v>
      </c>
      <c r="AM69" s="39" t="n">
        <f aca="false">MY_PH(AM$2,$A69)</f>
        <v>2015</v>
      </c>
      <c r="AN69" s="39" t="n">
        <f aca="false">MY_PH(AN$2,$A69)</f>
        <v>2015</v>
      </c>
      <c r="AO69" s="39" t="n">
        <f aca="false">MY_PH(AO$2,$A69)</f>
        <v>2015</v>
      </c>
      <c r="AP69" s="39" t="n">
        <f aca="false">MY_PH(AP$2,$A69)</f>
        <v>2015</v>
      </c>
      <c r="AQ69" s="39" t="n">
        <f aca="false">MY_PH(AQ$2,$A69)</f>
        <v>2015</v>
      </c>
      <c r="AR69" s="39" t="n">
        <f aca="false">MY_PH(AR$2,$A69)</f>
        <v>3.16471645736235E-005</v>
      </c>
      <c r="AS69" s="39" t="n">
        <f aca="false">MY_PH(AS$2,$A69)</f>
        <v>3.2517138859472E-005</v>
      </c>
    </row>
    <row r="70" customFormat="false" ht="13.8" hidden="false" customHeight="false" outlineLevel="0" collapsed="false">
      <c r="A70" s="0" t="n">
        <v>2300</v>
      </c>
      <c r="B70" s="39" t="n">
        <f aca="false">MY_PH(B$2,$A70)</f>
        <v>2015</v>
      </c>
      <c r="C70" s="39" t="n">
        <f aca="false">MY_PH(C$2,$A70)</f>
        <v>2015</v>
      </c>
      <c r="D70" s="39" t="n">
        <f aca="false">MY_PH(D$2,$A70)</f>
        <v>2015</v>
      </c>
      <c r="E70" s="39" t="n">
        <f aca="false">MY_PH(E$2,$A70)</f>
        <v>2015</v>
      </c>
      <c r="F70" s="39" t="n">
        <f aca="false">MY_PH(F$2,$A70)</f>
        <v>2015</v>
      </c>
      <c r="G70" s="39" t="n">
        <f aca="false">MY_PH(G$2,$A70)</f>
        <v>2015</v>
      </c>
      <c r="H70" s="39" t="n">
        <f aca="false">MY_PH(H$2,$A70)</f>
        <v>2015</v>
      </c>
      <c r="I70" s="39" t="n">
        <f aca="false">MY_PH(I$2,$A70)</f>
        <v>2015</v>
      </c>
      <c r="J70" s="39" t="n">
        <f aca="false">MY_PH(J$2,$A70)</f>
        <v>2015</v>
      </c>
      <c r="K70" s="39" t="n">
        <f aca="false">MY_PH(K$2,$A70)</f>
        <v>2015</v>
      </c>
      <c r="L70" s="39" t="n">
        <f aca="false">MY_PH(L$2,$A70)</f>
        <v>2015</v>
      </c>
      <c r="M70" s="39" t="n">
        <f aca="false">MY_PH(M$2,$A70)</f>
        <v>2015</v>
      </c>
      <c r="N70" s="39" t="n">
        <f aca="false">MY_PH(N$2,$A70)</f>
        <v>2015</v>
      </c>
      <c r="O70" s="39" t="n">
        <f aca="false">MY_PH(O$2,$A70)</f>
        <v>2015</v>
      </c>
      <c r="P70" s="39" t="n">
        <f aca="false">MY_PH(P$2,$A70)</f>
        <v>2015</v>
      </c>
      <c r="Q70" s="39" t="n">
        <f aca="false">MY_PH(Q$2,$A70)</f>
        <v>2015</v>
      </c>
      <c r="R70" s="39" t="n">
        <f aca="false">MY_PH(R$2,$A70)</f>
        <v>2015</v>
      </c>
      <c r="S70" s="39" t="n">
        <f aca="false">MY_PH(S$2,$A70)</f>
        <v>2015</v>
      </c>
      <c r="T70" s="39" t="n">
        <f aca="false">MY_PH(T$2,$A70)</f>
        <v>2015</v>
      </c>
      <c r="U70" s="39" t="n">
        <f aca="false">MY_PH(U$2,$A70)</f>
        <v>2015</v>
      </c>
      <c r="V70" s="39" t="n">
        <f aca="false">MY_PH(V$2,$A70)</f>
        <v>2015</v>
      </c>
      <c r="W70" s="39" t="n">
        <f aca="false">MY_PH(W$2,$A70)</f>
        <v>2015</v>
      </c>
      <c r="X70" s="39" t="n">
        <f aca="false">MY_PH(X$2,$A70)</f>
        <v>2015</v>
      </c>
      <c r="Y70" s="39" t="n">
        <f aca="false">MY_PH(Y$2,$A70)</f>
        <v>2015</v>
      </c>
      <c r="Z70" s="39" t="n">
        <f aca="false">MY_PH(Z$2,$A70)</f>
        <v>2015</v>
      </c>
      <c r="AA70" s="39" t="n">
        <f aca="false">MY_PH(AA$2,$A70)</f>
        <v>2015</v>
      </c>
      <c r="AB70" s="39" t="n">
        <f aca="false">MY_PH(AB$2,$A70)</f>
        <v>2015</v>
      </c>
      <c r="AC70" s="39" t="n">
        <f aca="false">MY_PH(AC$2,$A70)</f>
        <v>2015</v>
      </c>
      <c r="AD70" s="39" t="n">
        <f aca="false">MY_PH(AD$2,$A70)</f>
        <v>2015</v>
      </c>
      <c r="AE70" s="39" t="n">
        <f aca="false">MY_PH(AE$2,$A70)</f>
        <v>2015</v>
      </c>
      <c r="AF70" s="39" t="n">
        <f aca="false">MY_PH(AF$2,$A70)</f>
        <v>2015</v>
      </c>
      <c r="AG70" s="39" t="n">
        <f aca="false">MY_PH(AG$2,$A70)</f>
        <v>2015</v>
      </c>
      <c r="AH70" s="39" t="n">
        <f aca="false">MY_PH(AH$2,$A70)</f>
        <v>2015</v>
      </c>
      <c r="AI70" s="39" t="n">
        <f aca="false">MY_PH(AI$2,$A70)</f>
        <v>2015</v>
      </c>
      <c r="AJ70" s="39" t="n">
        <f aca="false">MY_PH(AJ$2,$A70)</f>
        <v>2015</v>
      </c>
      <c r="AK70" s="39" t="n">
        <f aca="false">MY_PH(AK$2,$A70)</f>
        <v>2015</v>
      </c>
      <c r="AL70" s="39" t="n">
        <f aca="false">MY_PH(AL$2,$A70)</f>
        <v>2015</v>
      </c>
      <c r="AM70" s="39" t="n">
        <f aca="false">MY_PH(AM$2,$A70)</f>
        <v>2015</v>
      </c>
      <c r="AN70" s="39" t="n">
        <f aca="false">MY_PH(AN$2,$A70)</f>
        <v>2015</v>
      </c>
      <c r="AO70" s="39" t="n">
        <f aca="false">MY_PH(AO$2,$A70)</f>
        <v>2015</v>
      </c>
      <c r="AP70" s="39" t="n">
        <f aca="false">MY_PH(AP$2,$A70)</f>
        <v>2015</v>
      </c>
      <c r="AQ70" s="39" t="n">
        <f aca="false">MY_PH(AQ$2,$A70)</f>
        <v>2015</v>
      </c>
      <c r="AR70" s="39" t="n">
        <f aca="false">MY_PH(AR$2,$A70)</f>
        <v>3.13909311341184E-005</v>
      </c>
      <c r="AS70" s="39" t="n">
        <f aca="false">MY_PH(AS$2,$A70)</f>
        <v>3.22479717682442E-005</v>
      </c>
    </row>
    <row r="71" customFormat="false" ht="13.8" hidden="false" customHeight="false" outlineLevel="0" collapsed="false">
      <c r="A71" s="0" t="n">
        <v>2310</v>
      </c>
      <c r="B71" s="39" t="n">
        <f aca="false">MY_PH(B$2,$A71)</f>
        <v>2015</v>
      </c>
      <c r="C71" s="39" t="n">
        <f aca="false">MY_PH(C$2,$A71)</f>
        <v>2015</v>
      </c>
      <c r="D71" s="39" t="n">
        <f aca="false">MY_PH(D$2,$A71)</f>
        <v>2015</v>
      </c>
      <c r="E71" s="39" t="n">
        <f aca="false">MY_PH(E$2,$A71)</f>
        <v>2015</v>
      </c>
      <c r="F71" s="39" t="n">
        <f aca="false">MY_PH(F$2,$A71)</f>
        <v>2015</v>
      </c>
      <c r="G71" s="39" t="n">
        <f aca="false">MY_PH(G$2,$A71)</f>
        <v>2015</v>
      </c>
      <c r="H71" s="39" t="n">
        <f aca="false">MY_PH(H$2,$A71)</f>
        <v>2015</v>
      </c>
      <c r="I71" s="39" t="n">
        <f aca="false">MY_PH(I$2,$A71)</f>
        <v>2015</v>
      </c>
      <c r="J71" s="39" t="n">
        <f aca="false">MY_PH(J$2,$A71)</f>
        <v>2015</v>
      </c>
      <c r="K71" s="39" t="n">
        <f aca="false">MY_PH(K$2,$A71)</f>
        <v>2015</v>
      </c>
      <c r="L71" s="39" t="n">
        <f aca="false">MY_PH(L$2,$A71)</f>
        <v>2015</v>
      </c>
      <c r="M71" s="39" t="n">
        <f aca="false">MY_PH(M$2,$A71)</f>
        <v>2015</v>
      </c>
      <c r="N71" s="39" t="n">
        <f aca="false">MY_PH(N$2,$A71)</f>
        <v>2015</v>
      </c>
      <c r="O71" s="39" t="n">
        <f aca="false">MY_PH(O$2,$A71)</f>
        <v>2015</v>
      </c>
      <c r="P71" s="39" t="n">
        <f aca="false">MY_PH(P$2,$A71)</f>
        <v>2015</v>
      </c>
      <c r="Q71" s="39" t="n">
        <f aca="false">MY_PH(Q$2,$A71)</f>
        <v>2015</v>
      </c>
      <c r="R71" s="39" t="n">
        <f aca="false">MY_PH(R$2,$A71)</f>
        <v>2015</v>
      </c>
      <c r="S71" s="39" t="n">
        <f aca="false">MY_PH(S$2,$A71)</f>
        <v>2015</v>
      </c>
      <c r="T71" s="39" t="n">
        <f aca="false">MY_PH(T$2,$A71)</f>
        <v>2015</v>
      </c>
      <c r="U71" s="39" t="n">
        <f aca="false">MY_PH(U$2,$A71)</f>
        <v>2015</v>
      </c>
      <c r="V71" s="39" t="n">
        <f aca="false">MY_PH(V$2,$A71)</f>
        <v>2015</v>
      </c>
      <c r="W71" s="39" t="n">
        <f aca="false">MY_PH(W$2,$A71)</f>
        <v>2015</v>
      </c>
      <c r="X71" s="39" t="n">
        <f aca="false">MY_PH(X$2,$A71)</f>
        <v>2015</v>
      </c>
      <c r="Y71" s="39" t="n">
        <f aca="false">MY_PH(Y$2,$A71)</f>
        <v>2015</v>
      </c>
      <c r="Z71" s="39" t="n">
        <f aca="false">MY_PH(Z$2,$A71)</f>
        <v>2015</v>
      </c>
      <c r="AA71" s="39" t="n">
        <f aca="false">MY_PH(AA$2,$A71)</f>
        <v>2015</v>
      </c>
      <c r="AB71" s="39" t="n">
        <f aca="false">MY_PH(AB$2,$A71)</f>
        <v>2015</v>
      </c>
      <c r="AC71" s="39" t="n">
        <f aca="false">MY_PH(AC$2,$A71)</f>
        <v>2015</v>
      </c>
      <c r="AD71" s="39" t="n">
        <f aca="false">MY_PH(AD$2,$A71)</f>
        <v>2015</v>
      </c>
      <c r="AE71" s="39" t="n">
        <f aca="false">MY_PH(AE$2,$A71)</f>
        <v>2015</v>
      </c>
      <c r="AF71" s="39" t="n">
        <f aca="false">MY_PH(AF$2,$A71)</f>
        <v>2015</v>
      </c>
      <c r="AG71" s="39" t="n">
        <f aca="false">MY_PH(AG$2,$A71)</f>
        <v>2015</v>
      </c>
      <c r="AH71" s="39" t="n">
        <f aca="false">MY_PH(AH$2,$A71)</f>
        <v>2015</v>
      </c>
      <c r="AI71" s="39" t="n">
        <f aca="false">MY_PH(AI$2,$A71)</f>
        <v>2015</v>
      </c>
      <c r="AJ71" s="39" t="n">
        <f aca="false">MY_PH(AJ$2,$A71)</f>
        <v>2015</v>
      </c>
      <c r="AK71" s="39" t="n">
        <f aca="false">MY_PH(AK$2,$A71)</f>
        <v>2015</v>
      </c>
      <c r="AL71" s="39" t="n">
        <f aca="false">MY_PH(AL$2,$A71)</f>
        <v>2015</v>
      </c>
      <c r="AM71" s="39" t="n">
        <f aca="false">MY_PH(AM$2,$A71)</f>
        <v>2015</v>
      </c>
      <c r="AN71" s="39" t="n">
        <f aca="false">MY_PH(AN$2,$A71)</f>
        <v>2015</v>
      </c>
      <c r="AO71" s="39" t="n">
        <f aca="false">MY_PH(AO$2,$A71)</f>
        <v>2015</v>
      </c>
      <c r="AP71" s="39" t="n">
        <f aca="false">MY_PH(AP$2,$A71)</f>
        <v>2015</v>
      </c>
      <c r="AQ71" s="39" t="n">
        <f aca="false">MY_PH(AQ$2,$A71)</f>
        <v>2015</v>
      </c>
      <c r="AR71" s="39" t="n">
        <f aca="false">MY_PH(AR$2,$A71)</f>
        <v>3.11441653425785E-005</v>
      </c>
      <c r="AS71" s="39" t="n">
        <f aca="false">MY_PH(AS$2,$A71)</f>
        <v>3.19885607679674E-005</v>
      </c>
    </row>
    <row r="72" customFormat="false" ht="13.8" hidden="false" customHeight="false" outlineLevel="0" collapsed="false">
      <c r="A72" s="0" t="n">
        <v>2320</v>
      </c>
      <c r="B72" s="39" t="n">
        <f aca="false">MY_PH(B$2,$A72)</f>
        <v>2015</v>
      </c>
      <c r="C72" s="39" t="n">
        <f aca="false">MY_PH(C$2,$A72)</f>
        <v>2015</v>
      </c>
      <c r="D72" s="39" t="n">
        <f aca="false">MY_PH(D$2,$A72)</f>
        <v>2015</v>
      </c>
      <c r="E72" s="39" t="n">
        <f aca="false">MY_PH(E$2,$A72)</f>
        <v>2015</v>
      </c>
      <c r="F72" s="39" t="n">
        <f aca="false">MY_PH(F$2,$A72)</f>
        <v>2015</v>
      </c>
      <c r="G72" s="39" t="n">
        <f aca="false">MY_PH(G$2,$A72)</f>
        <v>2015</v>
      </c>
      <c r="H72" s="39" t="n">
        <f aca="false">MY_PH(H$2,$A72)</f>
        <v>2015</v>
      </c>
      <c r="I72" s="39" t="n">
        <f aca="false">MY_PH(I$2,$A72)</f>
        <v>2015</v>
      </c>
      <c r="J72" s="39" t="n">
        <f aca="false">MY_PH(J$2,$A72)</f>
        <v>2015</v>
      </c>
      <c r="K72" s="39" t="n">
        <f aca="false">MY_PH(K$2,$A72)</f>
        <v>2015</v>
      </c>
      <c r="L72" s="39" t="n">
        <f aca="false">MY_PH(L$2,$A72)</f>
        <v>2015</v>
      </c>
      <c r="M72" s="39" t="n">
        <f aca="false">MY_PH(M$2,$A72)</f>
        <v>2015</v>
      </c>
      <c r="N72" s="39" t="n">
        <f aca="false">MY_PH(N$2,$A72)</f>
        <v>2015</v>
      </c>
      <c r="O72" s="39" t="n">
        <f aca="false">MY_PH(O$2,$A72)</f>
        <v>2015</v>
      </c>
      <c r="P72" s="39" t="n">
        <f aca="false">MY_PH(P$2,$A72)</f>
        <v>2015</v>
      </c>
      <c r="Q72" s="39" t="n">
        <f aca="false">MY_PH(Q$2,$A72)</f>
        <v>2015</v>
      </c>
      <c r="R72" s="39" t="n">
        <f aca="false">MY_PH(R$2,$A72)</f>
        <v>2015</v>
      </c>
      <c r="S72" s="39" t="n">
        <f aca="false">MY_PH(S$2,$A72)</f>
        <v>2015</v>
      </c>
      <c r="T72" s="39" t="n">
        <f aca="false">MY_PH(T$2,$A72)</f>
        <v>2015</v>
      </c>
      <c r="U72" s="39" t="n">
        <f aca="false">MY_PH(U$2,$A72)</f>
        <v>2015</v>
      </c>
      <c r="V72" s="39" t="n">
        <f aca="false">MY_PH(V$2,$A72)</f>
        <v>2015</v>
      </c>
      <c r="W72" s="39" t="n">
        <f aca="false">MY_PH(W$2,$A72)</f>
        <v>2015</v>
      </c>
      <c r="X72" s="39" t="n">
        <f aca="false">MY_PH(X$2,$A72)</f>
        <v>2015</v>
      </c>
      <c r="Y72" s="39" t="n">
        <f aca="false">MY_PH(Y$2,$A72)</f>
        <v>2015</v>
      </c>
      <c r="Z72" s="39" t="n">
        <f aca="false">MY_PH(Z$2,$A72)</f>
        <v>2015</v>
      </c>
      <c r="AA72" s="39" t="n">
        <f aca="false">MY_PH(AA$2,$A72)</f>
        <v>2015</v>
      </c>
      <c r="AB72" s="39" t="n">
        <f aca="false">MY_PH(AB$2,$A72)</f>
        <v>2015</v>
      </c>
      <c r="AC72" s="39" t="n">
        <f aca="false">MY_PH(AC$2,$A72)</f>
        <v>2015</v>
      </c>
      <c r="AD72" s="39" t="n">
        <f aca="false">MY_PH(AD$2,$A72)</f>
        <v>2015</v>
      </c>
      <c r="AE72" s="39" t="n">
        <f aca="false">MY_PH(AE$2,$A72)</f>
        <v>2015</v>
      </c>
      <c r="AF72" s="39" t="n">
        <f aca="false">MY_PH(AF$2,$A72)</f>
        <v>2015</v>
      </c>
      <c r="AG72" s="39" t="n">
        <f aca="false">MY_PH(AG$2,$A72)</f>
        <v>2015</v>
      </c>
      <c r="AH72" s="39" t="n">
        <f aca="false">MY_PH(AH$2,$A72)</f>
        <v>2015</v>
      </c>
      <c r="AI72" s="39" t="n">
        <f aca="false">MY_PH(AI$2,$A72)</f>
        <v>2015</v>
      </c>
      <c r="AJ72" s="39" t="n">
        <f aca="false">MY_PH(AJ$2,$A72)</f>
        <v>2015</v>
      </c>
      <c r="AK72" s="39" t="n">
        <f aca="false">MY_PH(AK$2,$A72)</f>
        <v>2015</v>
      </c>
      <c r="AL72" s="39" t="n">
        <f aca="false">MY_PH(AL$2,$A72)</f>
        <v>2015</v>
      </c>
      <c r="AM72" s="39" t="n">
        <f aca="false">MY_PH(AM$2,$A72)</f>
        <v>2015</v>
      </c>
      <c r="AN72" s="39" t="n">
        <f aca="false">MY_PH(AN$2,$A72)</f>
        <v>2015</v>
      </c>
      <c r="AO72" s="39" t="n">
        <f aca="false">MY_PH(AO$2,$A72)</f>
        <v>2015</v>
      </c>
      <c r="AP72" s="39" t="n">
        <f aca="false">MY_PH(AP$2,$A72)</f>
        <v>2015</v>
      </c>
      <c r="AQ72" s="39" t="n">
        <f aca="false">MY_PH(AQ$2,$A72)</f>
        <v>2015</v>
      </c>
      <c r="AR72" s="39" t="n">
        <f aca="false">MY_PH(AR$2,$A72)</f>
        <v>3.09066134737236E-005</v>
      </c>
      <c r="AS72" s="39" t="n">
        <f aca="false">MY_PH(AS$2,$A72)</f>
        <v>3.17386519500201E-005</v>
      </c>
    </row>
    <row r="73" customFormat="false" ht="13.8" hidden="false" customHeight="false" outlineLevel="0" collapsed="false">
      <c r="A73" s="0" t="n">
        <v>2330</v>
      </c>
      <c r="B73" s="39" t="n">
        <f aca="false">MY_PH(B$2,$A73)</f>
        <v>2015</v>
      </c>
      <c r="C73" s="39" t="n">
        <f aca="false">MY_PH(C$2,$A73)</f>
        <v>2015</v>
      </c>
      <c r="D73" s="39" t="n">
        <f aca="false">MY_PH(D$2,$A73)</f>
        <v>2015</v>
      </c>
      <c r="E73" s="39" t="n">
        <f aca="false">MY_PH(E$2,$A73)</f>
        <v>2015</v>
      </c>
      <c r="F73" s="39" t="n">
        <f aca="false">MY_PH(F$2,$A73)</f>
        <v>2015</v>
      </c>
      <c r="G73" s="39" t="n">
        <f aca="false">MY_PH(G$2,$A73)</f>
        <v>2015</v>
      </c>
      <c r="H73" s="39" t="n">
        <f aca="false">MY_PH(H$2,$A73)</f>
        <v>2015</v>
      </c>
      <c r="I73" s="39" t="n">
        <f aca="false">MY_PH(I$2,$A73)</f>
        <v>2015</v>
      </c>
      <c r="J73" s="39" t="n">
        <f aca="false">MY_PH(J$2,$A73)</f>
        <v>2015</v>
      </c>
      <c r="K73" s="39" t="n">
        <f aca="false">MY_PH(K$2,$A73)</f>
        <v>2015</v>
      </c>
      <c r="L73" s="39" t="n">
        <f aca="false">MY_PH(L$2,$A73)</f>
        <v>2015</v>
      </c>
      <c r="M73" s="39" t="n">
        <f aca="false">MY_PH(M$2,$A73)</f>
        <v>2015</v>
      </c>
      <c r="N73" s="39" t="n">
        <f aca="false">MY_PH(N$2,$A73)</f>
        <v>2015</v>
      </c>
      <c r="O73" s="39" t="n">
        <f aca="false">MY_PH(O$2,$A73)</f>
        <v>2015</v>
      </c>
      <c r="P73" s="39" t="n">
        <f aca="false">MY_PH(P$2,$A73)</f>
        <v>2015</v>
      </c>
      <c r="Q73" s="39" t="n">
        <f aca="false">MY_PH(Q$2,$A73)</f>
        <v>2015</v>
      </c>
      <c r="R73" s="39" t="n">
        <f aca="false">MY_PH(R$2,$A73)</f>
        <v>2015</v>
      </c>
      <c r="S73" s="39" t="n">
        <f aca="false">MY_PH(S$2,$A73)</f>
        <v>2015</v>
      </c>
      <c r="T73" s="39" t="n">
        <f aca="false">MY_PH(T$2,$A73)</f>
        <v>2015</v>
      </c>
      <c r="U73" s="39" t="n">
        <f aca="false">MY_PH(U$2,$A73)</f>
        <v>2015</v>
      </c>
      <c r="V73" s="39" t="n">
        <f aca="false">MY_PH(V$2,$A73)</f>
        <v>2015</v>
      </c>
      <c r="W73" s="39" t="n">
        <f aca="false">MY_PH(W$2,$A73)</f>
        <v>2015</v>
      </c>
      <c r="X73" s="39" t="n">
        <f aca="false">MY_PH(X$2,$A73)</f>
        <v>2015</v>
      </c>
      <c r="Y73" s="39" t="n">
        <f aca="false">MY_PH(Y$2,$A73)</f>
        <v>2015</v>
      </c>
      <c r="Z73" s="39" t="n">
        <f aca="false">MY_PH(Z$2,$A73)</f>
        <v>2015</v>
      </c>
      <c r="AA73" s="39" t="n">
        <f aca="false">MY_PH(AA$2,$A73)</f>
        <v>2015</v>
      </c>
      <c r="AB73" s="39" t="n">
        <f aca="false">MY_PH(AB$2,$A73)</f>
        <v>2015</v>
      </c>
      <c r="AC73" s="39" t="n">
        <f aca="false">MY_PH(AC$2,$A73)</f>
        <v>2015</v>
      </c>
      <c r="AD73" s="39" t="n">
        <f aca="false">MY_PH(AD$2,$A73)</f>
        <v>2015</v>
      </c>
      <c r="AE73" s="39" t="n">
        <f aca="false">MY_PH(AE$2,$A73)</f>
        <v>2015</v>
      </c>
      <c r="AF73" s="39" t="n">
        <f aca="false">MY_PH(AF$2,$A73)</f>
        <v>2015</v>
      </c>
      <c r="AG73" s="39" t="n">
        <f aca="false">MY_PH(AG$2,$A73)</f>
        <v>2015</v>
      </c>
      <c r="AH73" s="39" t="n">
        <f aca="false">MY_PH(AH$2,$A73)</f>
        <v>2015</v>
      </c>
      <c r="AI73" s="39" t="n">
        <f aca="false">MY_PH(AI$2,$A73)</f>
        <v>2015</v>
      </c>
      <c r="AJ73" s="39" t="n">
        <f aca="false">MY_PH(AJ$2,$A73)</f>
        <v>2015</v>
      </c>
      <c r="AK73" s="39" t="n">
        <f aca="false">MY_PH(AK$2,$A73)</f>
        <v>2015</v>
      </c>
      <c r="AL73" s="39" t="n">
        <f aca="false">MY_PH(AL$2,$A73)</f>
        <v>2015</v>
      </c>
      <c r="AM73" s="39" t="n">
        <f aca="false">MY_PH(AM$2,$A73)</f>
        <v>2015</v>
      </c>
      <c r="AN73" s="39" t="n">
        <f aca="false">MY_PH(AN$2,$A73)</f>
        <v>2015</v>
      </c>
      <c r="AO73" s="39" t="n">
        <f aca="false">MY_PH(AO$2,$A73)</f>
        <v>2015</v>
      </c>
      <c r="AP73" s="39" t="n">
        <f aca="false">MY_PH(AP$2,$A73)</f>
        <v>2015</v>
      </c>
      <c r="AQ73" s="39" t="n">
        <f aca="false">MY_PH(AQ$2,$A73)</f>
        <v>2015</v>
      </c>
      <c r="AR73" s="39" t="n">
        <f aca="false">MY_PH(AR$2,$A73)</f>
        <v>3.0678034057421E-005</v>
      </c>
      <c r="AS73" s="39" t="n">
        <f aca="false">MY_PH(AS$2,$A73)</f>
        <v>3.14980013403327E-005</v>
      </c>
    </row>
    <row r="74" customFormat="false" ht="13.8" hidden="false" customHeight="false" outlineLevel="0" collapsed="false">
      <c r="A74" s="0" t="n">
        <v>2340</v>
      </c>
      <c r="B74" s="39" t="n">
        <f aca="false">MY_PH(B$2,$A74)</f>
        <v>2015</v>
      </c>
      <c r="C74" s="39" t="n">
        <f aca="false">MY_PH(C$2,$A74)</f>
        <v>2015</v>
      </c>
      <c r="D74" s="39" t="n">
        <f aca="false">MY_PH(D$2,$A74)</f>
        <v>2015</v>
      </c>
      <c r="E74" s="39" t="n">
        <f aca="false">MY_PH(E$2,$A74)</f>
        <v>2015</v>
      </c>
      <c r="F74" s="39" t="n">
        <f aca="false">MY_PH(F$2,$A74)</f>
        <v>2015</v>
      </c>
      <c r="G74" s="39" t="n">
        <f aca="false">MY_PH(G$2,$A74)</f>
        <v>2015</v>
      </c>
      <c r="H74" s="39" t="n">
        <f aca="false">MY_PH(H$2,$A74)</f>
        <v>2015</v>
      </c>
      <c r="I74" s="39" t="n">
        <f aca="false">MY_PH(I$2,$A74)</f>
        <v>2015</v>
      </c>
      <c r="J74" s="39" t="n">
        <f aca="false">MY_PH(J$2,$A74)</f>
        <v>2015</v>
      </c>
      <c r="K74" s="39" t="n">
        <f aca="false">MY_PH(K$2,$A74)</f>
        <v>2015</v>
      </c>
      <c r="L74" s="39" t="n">
        <f aca="false">MY_PH(L$2,$A74)</f>
        <v>2015</v>
      </c>
      <c r="M74" s="39" t="n">
        <f aca="false">MY_PH(M$2,$A74)</f>
        <v>2015</v>
      </c>
      <c r="N74" s="39" t="n">
        <f aca="false">MY_PH(N$2,$A74)</f>
        <v>2015</v>
      </c>
      <c r="O74" s="39" t="n">
        <f aca="false">MY_PH(O$2,$A74)</f>
        <v>2015</v>
      </c>
      <c r="P74" s="39" t="n">
        <f aca="false">MY_PH(P$2,$A74)</f>
        <v>2015</v>
      </c>
      <c r="Q74" s="39" t="n">
        <f aca="false">MY_PH(Q$2,$A74)</f>
        <v>2015</v>
      </c>
      <c r="R74" s="39" t="n">
        <f aca="false">MY_PH(R$2,$A74)</f>
        <v>2015</v>
      </c>
      <c r="S74" s="39" t="n">
        <f aca="false">MY_PH(S$2,$A74)</f>
        <v>2015</v>
      </c>
      <c r="T74" s="39" t="n">
        <f aca="false">MY_PH(T$2,$A74)</f>
        <v>2015</v>
      </c>
      <c r="U74" s="39" t="n">
        <f aca="false">MY_PH(U$2,$A74)</f>
        <v>2015</v>
      </c>
      <c r="V74" s="39" t="n">
        <f aca="false">MY_PH(V$2,$A74)</f>
        <v>2015</v>
      </c>
      <c r="W74" s="39" t="n">
        <f aca="false">MY_PH(W$2,$A74)</f>
        <v>2015</v>
      </c>
      <c r="X74" s="39" t="n">
        <f aca="false">MY_PH(X$2,$A74)</f>
        <v>2015</v>
      </c>
      <c r="Y74" s="39" t="n">
        <f aca="false">MY_PH(Y$2,$A74)</f>
        <v>2015</v>
      </c>
      <c r="Z74" s="39" t="n">
        <f aca="false">MY_PH(Z$2,$A74)</f>
        <v>2015</v>
      </c>
      <c r="AA74" s="39" t="n">
        <f aca="false">MY_PH(AA$2,$A74)</f>
        <v>2015</v>
      </c>
      <c r="AB74" s="39" t="n">
        <f aca="false">MY_PH(AB$2,$A74)</f>
        <v>2015</v>
      </c>
      <c r="AC74" s="39" t="n">
        <f aca="false">MY_PH(AC$2,$A74)</f>
        <v>2015</v>
      </c>
      <c r="AD74" s="39" t="n">
        <f aca="false">MY_PH(AD$2,$A74)</f>
        <v>2015</v>
      </c>
      <c r="AE74" s="39" t="n">
        <f aca="false">MY_PH(AE$2,$A74)</f>
        <v>2015</v>
      </c>
      <c r="AF74" s="39" t="n">
        <f aca="false">MY_PH(AF$2,$A74)</f>
        <v>2015</v>
      </c>
      <c r="AG74" s="39" t="n">
        <f aca="false">MY_PH(AG$2,$A74)</f>
        <v>2015</v>
      </c>
      <c r="AH74" s="39" t="n">
        <f aca="false">MY_PH(AH$2,$A74)</f>
        <v>2015</v>
      </c>
      <c r="AI74" s="39" t="n">
        <f aca="false">MY_PH(AI$2,$A74)</f>
        <v>2015</v>
      </c>
      <c r="AJ74" s="39" t="n">
        <f aca="false">MY_PH(AJ$2,$A74)</f>
        <v>2015</v>
      </c>
      <c r="AK74" s="39" t="n">
        <f aca="false">MY_PH(AK$2,$A74)</f>
        <v>2015</v>
      </c>
      <c r="AL74" s="39" t="n">
        <f aca="false">MY_PH(AL$2,$A74)</f>
        <v>2015</v>
      </c>
      <c r="AM74" s="39" t="n">
        <f aca="false">MY_PH(AM$2,$A74)</f>
        <v>2015</v>
      </c>
      <c r="AN74" s="39" t="n">
        <f aca="false">MY_PH(AN$2,$A74)</f>
        <v>2015</v>
      </c>
      <c r="AO74" s="39" t="n">
        <f aca="false">MY_PH(AO$2,$A74)</f>
        <v>2015</v>
      </c>
      <c r="AP74" s="39" t="n">
        <f aca="false">MY_PH(AP$2,$A74)</f>
        <v>2015</v>
      </c>
      <c r="AQ74" s="39" t="n">
        <f aca="false">MY_PH(AQ$2,$A74)</f>
        <v>2015</v>
      </c>
      <c r="AR74" s="39" t="n">
        <f aca="false">MY_PH(AR$2,$A74)</f>
        <v>3.04581967202628E-005</v>
      </c>
      <c r="AS74" s="39" t="n">
        <f aca="false">MY_PH(AS$2,$A74)</f>
        <v>3.12663741620842E-005</v>
      </c>
    </row>
    <row r="75" customFormat="false" ht="13.8" hidden="false" customHeight="false" outlineLevel="0" collapsed="false">
      <c r="A75" s="0" t="n">
        <v>2350</v>
      </c>
      <c r="B75" s="39" t="n">
        <f aca="false">MY_PH(B$2,$A75)</f>
        <v>2015</v>
      </c>
      <c r="C75" s="39" t="n">
        <f aca="false">MY_PH(C$2,$A75)</f>
        <v>2015</v>
      </c>
      <c r="D75" s="39" t="n">
        <f aca="false">MY_PH(D$2,$A75)</f>
        <v>2015</v>
      </c>
      <c r="E75" s="39" t="n">
        <f aca="false">MY_PH(E$2,$A75)</f>
        <v>2015</v>
      </c>
      <c r="F75" s="39" t="n">
        <f aca="false">MY_PH(F$2,$A75)</f>
        <v>2015</v>
      </c>
      <c r="G75" s="39" t="n">
        <f aca="false">MY_PH(G$2,$A75)</f>
        <v>2015</v>
      </c>
      <c r="H75" s="39" t="n">
        <f aca="false">MY_PH(H$2,$A75)</f>
        <v>2015</v>
      </c>
      <c r="I75" s="39" t="n">
        <f aca="false">MY_PH(I$2,$A75)</f>
        <v>2015</v>
      </c>
      <c r="J75" s="39" t="n">
        <f aca="false">MY_PH(J$2,$A75)</f>
        <v>2015</v>
      </c>
      <c r="K75" s="39" t="n">
        <f aca="false">MY_PH(K$2,$A75)</f>
        <v>2015</v>
      </c>
      <c r="L75" s="39" t="n">
        <f aca="false">MY_PH(L$2,$A75)</f>
        <v>2015</v>
      </c>
      <c r="M75" s="39" t="n">
        <f aca="false">MY_PH(M$2,$A75)</f>
        <v>2015</v>
      </c>
      <c r="N75" s="39" t="n">
        <f aca="false">MY_PH(N$2,$A75)</f>
        <v>2015</v>
      </c>
      <c r="O75" s="39" t="n">
        <f aca="false">MY_PH(O$2,$A75)</f>
        <v>2015</v>
      </c>
      <c r="P75" s="39" t="n">
        <f aca="false">MY_PH(P$2,$A75)</f>
        <v>2015</v>
      </c>
      <c r="Q75" s="39" t="n">
        <f aca="false">MY_PH(Q$2,$A75)</f>
        <v>2015</v>
      </c>
      <c r="R75" s="39" t="n">
        <f aca="false">MY_PH(R$2,$A75)</f>
        <v>2015</v>
      </c>
      <c r="S75" s="39" t="n">
        <f aca="false">MY_PH(S$2,$A75)</f>
        <v>2015</v>
      </c>
      <c r="T75" s="39" t="n">
        <f aca="false">MY_PH(T$2,$A75)</f>
        <v>2015</v>
      </c>
      <c r="U75" s="39" t="n">
        <f aca="false">MY_PH(U$2,$A75)</f>
        <v>2015</v>
      </c>
      <c r="V75" s="39" t="n">
        <f aca="false">MY_PH(V$2,$A75)</f>
        <v>2015</v>
      </c>
      <c r="W75" s="39" t="n">
        <f aca="false">MY_PH(W$2,$A75)</f>
        <v>2015</v>
      </c>
      <c r="X75" s="39" t="n">
        <f aca="false">MY_PH(X$2,$A75)</f>
        <v>2015</v>
      </c>
      <c r="Y75" s="39" t="n">
        <f aca="false">MY_PH(Y$2,$A75)</f>
        <v>2015</v>
      </c>
      <c r="Z75" s="39" t="n">
        <f aca="false">MY_PH(Z$2,$A75)</f>
        <v>2015</v>
      </c>
      <c r="AA75" s="39" t="n">
        <f aca="false">MY_PH(AA$2,$A75)</f>
        <v>2015</v>
      </c>
      <c r="AB75" s="39" t="n">
        <f aca="false">MY_PH(AB$2,$A75)</f>
        <v>2015</v>
      </c>
      <c r="AC75" s="39" t="n">
        <f aca="false">MY_PH(AC$2,$A75)</f>
        <v>2015</v>
      </c>
      <c r="AD75" s="39" t="n">
        <f aca="false">MY_PH(AD$2,$A75)</f>
        <v>2015</v>
      </c>
      <c r="AE75" s="39" t="n">
        <f aca="false">MY_PH(AE$2,$A75)</f>
        <v>2015</v>
      </c>
      <c r="AF75" s="39" t="n">
        <f aca="false">MY_PH(AF$2,$A75)</f>
        <v>2015</v>
      </c>
      <c r="AG75" s="39" t="n">
        <f aca="false">MY_PH(AG$2,$A75)</f>
        <v>2015</v>
      </c>
      <c r="AH75" s="39" t="n">
        <f aca="false">MY_PH(AH$2,$A75)</f>
        <v>2015</v>
      </c>
      <c r="AI75" s="39" t="n">
        <f aca="false">MY_PH(AI$2,$A75)</f>
        <v>2015</v>
      </c>
      <c r="AJ75" s="39" t="n">
        <f aca="false">MY_PH(AJ$2,$A75)</f>
        <v>2015</v>
      </c>
      <c r="AK75" s="39" t="n">
        <f aca="false">MY_PH(AK$2,$A75)</f>
        <v>2015</v>
      </c>
      <c r="AL75" s="39" t="n">
        <f aca="false">MY_PH(AL$2,$A75)</f>
        <v>2015</v>
      </c>
      <c r="AM75" s="39" t="n">
        <f aca="false">MY_PH(AM$2,$A75)</f>
        <v>2015</v>
      </c>
      <c r="AN75" s="39" t="n">
        <f aca="false">MY_PH(AN$2,$A75)</f>
        <v>2015</v>
      </c>
      <c r="AO75" s="39" t="n">
        <f aca="false">MY_PH(AO$2,$A75)</f>
        <v>2015</v>
      </c>
      <c r="AP75" s="39" t="n">
        <f aca="false">MY_PH(AP$2,$A75)</f>
        <v>2015</v>
      </c>
      <c r="AQ75" s="39" t="n">
        <f aca="false">MY_PH(AQ$2,$A75)</f>
        <v>2015</v>
      </c>
      <c r="AR75" s="39" t="n">
        <f aca="false">MY_PH(AR$2,$A75)</f>
        <v>3.02468810528155E-005</v>
      </c>
      <c r="AS75" s="39" t="n">
        <f aca="false">MY_PH(AS$2,$A75)</f>
        <v>3.10435440856936E-005</v>
      </c>
    </row>
    <row r="76" customFormat="false" ht="13.8" hidden="false" customHeight="false" outlineLevel="0" collapsed="false">
      <c r="A76" s="0" t="n">
        <v>2360</v>
      </c>
      <c r="B76" s="39" t="n">
        <f aca="false">MY_PH(B$2,$A76)</f>
        <v>2015</v>
      </c>
      <c r="C76" s="39" t="n">
        <f aca="false">MY_PH(C$2,$A76)</f>
        <v>2015</v>
      </c>
      <c r="D76" s="39" t="n">
        <f aca="false">MY_PH(D$2,$A76)</f>
        <v>2015</v>
      </c>
      <c r="E76" s="39" t="n">
        <f aca="false">MY_PH(E$2,$A76)</f>
        <v>2015</v>
      </c>
      <c r="F76" s="39" t="n">
        <f aca="false">MY_PH(F$2,$A76)</f>
        <v>2015</v>
      </c>
      <c r="G76" s="39" t="n">
        <f aca="false">MY_PH(G$2,$A76)</f>
        <v>2015</v>
      </c>
      <c r="H76" s="39" t="n">
        <f aca="false">MY_PH(H$2,$A76)</f>
        <v>2015</v>
      </c>
      <c r="I76" s="39" t="n">
        <f aca="false">MY_PH(I$2,$A76)</f>
        <v>2015</v>
      </c>
      <c r="J76" s="39" t="n">
        <f aca="false">MY_PH(J$2,$A76)</f>
        <v>2015</v>
      </c>
      <c r="K76" s="39" t="n">
        <f aca="false">MY_PH(K$2,$A76)</f>
        <v>2015</v>
      </c>
      <c r="L76" s="39" t="n">
        <f aca="false">MY_PH(L$2,$A76)</f>
        <v>2015</v>
      </c>
      <c r="M76" s="39" t="n">
        <f aca="false">MY_PH(M$2,$A76)</f>
        <v>2015</v>
      </c>
      <c r="N76" s="39" t="n">
        <f aca="false">MY_PH(N$2,$A76)</f>
        <v>2015</v>
      </c>
      <c r="O76" s="39" t="n">
        <f aca="false">MY_PH(O$2,$A76)</f>
        <v>2015</v>
      </c>
      <c r="P76" s="39" t="n">
        <f aca="false">MY_PH(P$2,$A76)</f>
        <v>2015</v>
      </c>
      <c r="Q76" s="39" t="n">
        <f aca="false">MY_PH(Q$2,$A76)</f>
        <v>2015</v>
      </c>
      <c r="R76" s="39" t="n">
        <f aca="false">MY_PH(R$2,$A76)</f>
        <v>2015</v>
      </c>
      <c r="S76" s="39" t="n">
        <f aca="false">MY_PH(S$2,$A76)</f>
        <v>2015</v>
      </c>
      <c r="T76" s="39" t="n">
        <f aca="false">MY_PH(T$2,$A76)</f>
        <v>2015</v>
      </c>
      <c r="U76" s="39" t="n">
        <f aca="false">MY_PH(U$2,$A76)</f>
        <v>2015</v>
      </c>
      <c r="V76" s="39" t="n">
        <f aca="false">MY_PH(V$2,$A76)</f>
        <v>2015</v>
      </c>
      <c r="W76" s="39" t="n">
        <f aca="false">MY_PH(W$2,$A76)</f>
        <v>2015</v>
      </c>
      <c r="X76" s="39" t="n">
        <f aca="false">MY_PH(X$2,$A76)</f>
        <v>2015</v>
      </c>
      <c r="Y76" s="39" t="n">
        <f aca="false">MY_PH(Y$2,$A76)</f>
        <v>2015</v>
      </c>
      <c r="Z76" s="39" t="n">
        <f aca="false">MY_PH(Z$2,$A76)</f>
        <v>2015</v>
      </c>
      <c r="AA76" s="39" t="n">
        <f aca="false">MY_PH(AA$2,$A76)</f>
        <v>2015</v>
      </c>
      <c r="AB76" s="39" t="n">
        <f aca="false">MY_PH(AB$2,$A76)</f>
        <v>2015</v>
      </c>
      <c r="AC76" s="39" t="n">
        <f aca="false">MY_PH(AC$2,$A76)</f>
        <v>2015</v>
      </c>
      <c r="AD76" s="39" t="n">
        <f aca="false">MY_PH(AD$2,$A76)</f>
        <v>2015</v>
      </c>
      <c r="AE76" s="39" t="n">
        <f aca="false">MY_PH(AE$2,$A76)</f>
        <v>2015</v>
      </c>
      <c r="AF76" s="39" t="n">
        <f aca="false">MY_PH(AF$2,$A76)</f>
        <v>2015</v>
      </c>
      <c r="AG76" s="39" t="n">
        <f aca="false">MY_PH(AG$2,$A76)</f>
        <v>2015</v>
      </c>
      <c r="AH76" s="39" t="n">
        <f aca="false">MY_PH(AH$2,$A76)</f>
        <v>2015</v>
      </c>
      <c r="AI76" s="39" t="n">
        <f aca="false">MY_PH(AI$2,$A76)</f>
        <v>2015</v>
      </c>
      <c r="AJ76" s="39" t="n">
        <f aca="false">MY_PH(AJ$2,$A76)</f>
        <v>2015</v>
      </c>
      <c r="AK76" s="39" t="n">
        <f aca="false">MY_PH(AK$2,$A76)</f>
        <v>2015</v>
      </c>
      <c r="AL76" s="39" t="n">
        <f aca="false">MY_PH(AL$2,$A76)</f>
        <v>2015</v>
      </c>
      <c r="AM76" s="39" t="n">
        <f aca="false">MY_PH(AM$2,$A76)</f>
        <v>2015</v>
      </c>
      <c r="AN76" s="39" t="n">
        <f aca="false">MY_PH(AN$2,$A76)</f>
        <v>2015</v>
      </c>
      <c r="AO76" s="39" t="n">
        <f aca="false">MY_PH(AO$2,$A76)</f>
        <v>2015</v>
      </c>
      <c r="AP76" s="39" t="n">
        <f aca="false">MY_PH(AP$2,$A76)</f>
        <v>2015</v>
      </c>
      <c r="AQ76" s="39" t="n">
        <f aca="false">MY_PH(AQ$2,$A76)</f>
        <v>2015</v>
      </c>
      <c r="AR76" s="39" t="n">
        <f aca="false">MY_PH(AR$2,$A76)</f>
        <v>3.00438755165467E-005</v>
      </c>
      <c r="AS76" s="39" t="n">
        <f aca="false">MY_PH(AS$2,$A76)</f>
        <v>3.08292924824755E-005</v>
      </c>
    </row>
    <row r="77" customFormat="false" ht="13.8" hidden="false" customHeight="false" outlineLevel="0" collapsed="false">
      <c r="A77" s="0" t="n">
        <v>2370</v>
      </c>
      <c r="B77" s="39" t="n">
        <f aca="false">MY_PH(B$2,$A77)</f>
        <v>2015</v>
      </c>
      <c r="C77" s="39" t="n">
        <f aca="false">MY_PH(C$2,$A77)</f>
        <v>2015</v>
      </c>
      <c r="D77" s="39" t="n">
        <f aca="false">MY_PH(D$2,$A77)</f>
        <v>2015</v>
      </c>
      <c r="E77" s="39" t="n">
        <f aca="false">MY_PH(E$2,$A77)</f>
        <v>2015</v>
      </c>
      <c r="F77" s="39" t="n">
        <f aca="false">MY_PH(F$2,$A77)</f>
        <v>2015</v>
      </c>
      <c r="G77" s="39" t="n">
        <f aca="false">MY_PH(G$2,$A77)</f>
        <v>2015</v>
      </c>
      <c r="H77" s="39" t="n">
        <f aca="false">MY_PH(H$2,$A77)</f>
        <v>2015</v>
      </c>
      <c r="I77" s="39" t="n">
        <f aca="false">MY_PH(I$2,$A77)</f>
        <v>2015</v>
      </c>
      <c r="J77" s="39" t="n">
        <f aca="false">MY_PH(J$2,$A77)</f>
        <v>2015</v>
      </c>
      <c r="K77" s="39" t="n">
        <f aca="false">MY_PH(K$2,$A77)</f>
        <v>2015</v>
      </c>
      <c r="L77" s="39" t="n">
        <f aca="false">MY_PH(L$2,$A77)</f>
        <v>2015</v>
      </c>
      <c r="M77" s="39" t="n">
        <f aca="false">MY_PH(M$2,$A77)</f>
        <v>2015</v>
      </c>
      <c r="N77" s="39" t="n">
        <f aca="false">MY_PH(N$2,$A77)</f>
        <v>2015</v>
      </c>
      <c r="O77" s="39" t="n">
        <f aca="false">MY_PH(O$2,$A77)</f>
        <v>2015</v>
      </c>
      <c r="P77" s="39" t="n">
        <f aca="false">MY_PH(P$2,$A77)</f>
        <v>2015</v>
      </c>
      <c r="Q77" s="39" t="n">
        <f aca="false">MY_PH(Q$2,$A77)</f>
        <v>2015</v>
      </c>
      <c r="R77" s="39" t="n">
        <f aca="false">MY_PH(R$2,$A77)</f>
        <v>2015</v>
      </c>
      <c r="S77" s="39" t="n">
        <f aca="false">MY_PH(S$2,$A77)</f>
        <v>2015</v>
      </c>
      <c r="T77" s="39" t="n">
        <f aca="false">MY_PH(T$2,$A77)</f>
        <v>2015</v>
      </c>
      <c r="U77" s="39" t="n">
        <f aca="false">MY_PH(U$2,$A77)</f>
        <v>2015</v>
      </c>
      <c r="V77" s="39" t="n">
        <f aca="false">MY_PH(V$2,$A77)</f>
        <v>2015</v>
      </c>
      <c r="W77" s="39" t="n">
        <f aca="false">MY_PH(W$2,$A77)</f>
        <v>2015</v>
      </c>
      <c r="X77" s="39" t="n">
        <f aca="false">MY_PH(X$2,$A77)</f>
        <v>2015</v>
      </c>
      <c r="Y77" s="39" t="n">
        <f aca="false">MY_PH(Y$2,$A77)</f>
        <v>2015</v>
      </c>
      <c r="Z77" s="39" t="n">
        <f aca="false">MY_PH(Z$2,$A77)</f>
        <v>2015</v>
      </c>
      <c r="AA77" s="39" t="n">
        <f aca="false">MY_PH(AA$2,$A77)</f>
        <v>2015</v>
      </c>
      <c r="AB77" s="39" t="n">
        <f aca="false">MY_PH(AB$2,$A77)</f>
        <v>2015</v>
      </c>
      <c r="AC77" s="39" t="n">
        <f aca="false">MY_PH(AC$2,$A77)</f>
        <v>2015</v>
      </c>
      <c r="AD77" s="39" t="n">
        <f aca="false">MY_PH(AD$2,$A77)</f>
        <v>2015</v>
      </c>
      <c r="AE77" s="39" t="n">
        <f aca="false">MY_PH(AE$2,$A77)</f>
        <v>2015</v>
      </c>
      <c r="AF77" s="39" t="n">
        <f aca="false">MY_PH(AF$2,$A77)</f>
        <v>2015</v>
      </c>
      <c r="AG77" s="39" t="n">
        <f aca="false">MY_PH(AG$2,$A77)</f>
        <v>2015</v>
      </c>
      <c r="AH77" s="39" t="n">
        <f aca="false">MY_PH(AH$2,$A77)</f>
        <v>2015</v>
      </c>
      <c r="AI77" s="39" t="n">
        <f aca="false">MY_PH(AI$2,$A77)</f>
        <v>2015</v>
      </c>
      <c r="AJ77" s="39" t="n">
        <f aca="false">MY_PH(AJ$2,$A77)</f>
        <v>2015</v>
      </c>
      <c r="AK77" s="39" t="n">
        <f aca="false">MY_PH(AK$2,$A77)</f>
        <v>2015</v>
      </c>
      <c r="AL77" s="39" t="n">
        <f aca="false">MY_PH(AL$2,$A77)</f>
        <v>2015</v>
      </c>
      <c r="AM77" s="39" t="n">
        <f aca="false">MY_PH(AM$2,$A77)</f>
        <v>2015</v>
      </c>
      <c r="AN77" s="39" t="n">
        <f aca="false">MY_PH(AN$2,$A77)</f>
        <v>2015</v>
      </c>
      <c r="AO77" s="39" t="n">
        <f aca="false">MY_PH(AO$2,$A77)</f>
        <v>2015</v>
      </c>
      <c r="AP77" s="39" t="n">
        <f aca="false">MY_PH(AP$2,$A77)</f>
        <v>2015</v>
      </c>
      <c r="AQ77" s="39" t="n">
        <f aca="false">MY_PH(AQ$2,$A77)</f>
        <v>2015</v>
      </c>
      <c r="AR77" s="39" t="n">
        <f aca="false">MY_PH(AR$2,$A77)</f>
        <v>2.98489764028213E-005</v>
      </c>
      <c r="AS77" s="39" t="n">
        <f aca="false">MY_PH(AS$2,$A77)</f>
        <v>3.06234076967057E-005</v>
      </c>
    </row>
    <row r="78" customFormat="false" ht="13.8" hidden="false" customHeight="false" outlineLevel="0" collapsed="false">
      <c r="A78" s="0" t="n">
        <v>2380</v>
      </c>
      <c r="B78" s="39" t="n">
        <f aca="false">MY_PH(B$2,$A78)</f>
        <v>2015</v>
      </c>
      <c r="C78" s="39" t="n">
        <f aca="false">MY_PH(C$2,$A78)</f>
        <v>2015</v>
      </c>
      <c r="D78" s="39" t="n">
        <f aca="false">MY_PH(D$2,$A78)</f>
        <v>2015</v>
      </c>
      <c r="E78" s="39" t="n">
        <f aca="false">MY_PH(E$2,$A78)</f>
        <v>2015</v>
      </c>
      <c r="F78" s="39" t="n">
        <f aca="false">MY_PH(F$2,$A78)</f>
        <v>2015</v>
      </c>
      <c r="G78" s="39" t="n">
        <f aca="false">MY_PH(G$2,$A78)</f>
        <v>2015</v>
      </c>
      <c r="H78" s="39" t="n">
        <f aca="false">MY_PH(H$2,$A78)</f>
        <v>2015</v>
      </c>
      <c r="I78" s="39" t="n">
        <f aca="false">MY_PH(I$2,$A78)</f>
        <v>2015</v>
      </c>
      <c r="J78" s="39" t="n">
        <f aca="false">MY_PH(J$2,$A78)</f>
        <v>2015</v>
      </c>
      <c r="K78" s="39" t="n">
        <f aca="false">MY_PH(K$2,$A78)</f>
        <v>2015</v>
      </c>
      <c r="L78" s="39" t="n">
        <f aca="false">MY_PH(L$2,$A78)</f>
        <v>2015</v>
      </c>
      <c r="M78" s="39" t="n">
        <f aca="false">MY_PH(M$2,$A78)</f>
        <v>2015</v>
      </c>
      <c r="N78" s="39" t="n">
        <f aca="false">MY_PH(N$2,$A78)</f>
        <v>2015</v>
      </c>
      <c r="O78" s="39" t="n">
        <f aca="false">MY_PH(O$2,$A78)</f>
        <v>2015</v>
      </c>
      <c r="P78" s="39" t="n">
        <f aca="false">MY_PH(P$2,$A78)</f>
        <v>2015</v>
      </c>
      <c r="Q78" s="39" t="n">
        <f aca="false">MY_PH(Q$2,$A78)</f>
        <v>2015</v>
      </c>
      <c r="R78" s="39" t="n">
        <f aca="false">MY_PH(R$2,$A78)</f>
        <v>2015</v>
      </c>
      <c r="S78" s="39" t="n">
        <f aca="false">MY_PH(S$2,$A78)</f>
        <v>2015</v>
      </c>
      <c r="T78" s="39" t="n">
        <f aca="false">MY_PH(T$2,$A78)</f>
        <v>2015</v>
      </c>
      <c r="U78" s="39" t="n">
        <f aca="false">MY_PH(U$2,$A78)</f>
        <v>2015</v>
      </c>
      <c r="V78" s="39" t="n">
        <f aca="false">MY_PH(V$2,$A78)</f>
        <v>2015</v>
      </c>
      <c r="W78" s="39" t="n">
        <f aca="false">MY_PH(W$2,$A78)</f>
        <v>2015</v>
      </c>
      <c r="X78" s="39" t="n">
        <f aca="false">MY_PH(X$2,$A78)</f>
        <v>2015</v>
      </c>
      <c r="Y78" s="39" t="n">
        <f aca="false">MY_PH(Y$2,$A78)</f>
        <v>2015</v>
      </c>
      <c r="Z78" s="39" t="n">
        <f aca="false">MY_PH(Z$2,$A78)</f>
        <v>2015</v>
      </c>
      <c r="AA78" s="39" t="n">
        <f aca="false">MY_PH(AA$2,$A78)</f>
        <v>2015</v>
      </c>
      <c r="AB78" s="39" t="n">
        <f aca="false">MY_PH(AB$2,$A78)</f>
        <v>2015</v>
      </c>
      <c r="AC78" s="39" t="n">
        <f aca="false">MY_PH(AC$2,$A78)</f>
        <v>2015</v>
      </c>
      <c r="AD78" s="39" t="n">
        <f aca="false">MY_PH(AD$2,$A78)</f>
        <v>2015</v>
      </c>
      <c r="AE78" s="39" t="n">
        <f aca="false">MY_PH(AE$2,$A78)</f>
        <v>2015</v>
      </c>
      <c r="AF78" s="39" t="n">
        <f aca="false">MY_PH(AF$2,$A78)</f>
        <v>2015</v>
      </c>
      <c r="AG78" s="39" t="n">
        <f aca="false">MY_PH(AG$2,$A78)</f>
        <v>2015</v>
      </c>
      <c r="AH78" s="39" t="n">
        <f aca="false">MY_PH(AH$2,$A78)</f>
        <v>2015</v>
      </c>
      <c r="AI78" s="39" t="n">
        <f aca="false">MY_PH(AI$2,$A78)</f>
        <v>2015</v>
      </c>
      <c r="AJ78" s="39" t="n">
        <f aca="false">MY_PH(AJ$2,$A78)</f>
        <v>2015</v>
      </c>
      <c r="AK78" s="39" t="n">
        <f aca="false">MY_PH(AK$2,$A78)</f>
        <v>2015</v>
      </c>
      <c r="AL78" s="39" t="n">
        <f aca="false">MY_PH(AL$2,$A78)</f>
        <v>2015</v>
      </c>
      <c r="AM78" s="39" t="n">
        <f aca="false">MY_PH(AM$2,$A78)</f>
        <v>2015</v>
      </c>
      <c r="AN78" s="39" t="n">
        <f aca="false">MY_PH(AN$2,$A78)</f>
        <v>2015</v>
      </c>
      <c r="AO78" s="39" t="n">
        <f aca="false">MY_PH(AO$2,$A78)</f>
        <v>2015</v>
      </c>
      <c r="AP78" s="39" t="n">
        <f aca="false">MY_PH(AP$2,$A78)</f>
        <v>2015</v>
      </c>
      <c r="AQ78" s="39" t="n">
        <f aca="false">MY_PH(AQ$2,$A78)</f>
        <v>2015</v>
      </c>
      <c r="AR78" s="39" t="n">
        <f aca="false">MY_PH(AR$2,$A78)</f>
        <v>2.96619868550813E-005</v>
      </c>
      <c r="AS78" s="39" t="n">
        <f aca="false">MY_PH(AS$2,$A78)</f>
        <v>3.04256843494914E-005</v>
      </c>
    </row>
    <row r="79" customFormat="false" ht="13.8" hidden="false" customHeight="false" outlineLevel="0" collapsed="false">
      <c r="A79" s="0" t="n">
        <v>2390</v>
      </c>
      <c r="B79" s="39" t="n">
        <f aca="false">MY_PH(B$2,$A79)</f>
        <v>2015</v>
      </c>
      <c r="C79" s="39" t="n">
        <f aca="false">MY_PH(C$2,$A79)</f>
        <v>2015</v>
      </c>
      <c r="D79" s="39" t="n">
        <f aca="false">MY_PH(D$2,$A79)</f>
        <v>2015</v>
      </c>
      <c r="E79" s="39" t="n">
        <f aca="false">MY_PH(E$2,$A79)</f>
        <v>2015</v>
      </c>
      <c r="F79" s="39" t="n">
        <f aca="false">MY_PH(F$2,$A79)</f>
        <v>2015</v>
      </c>
      <c r="G79" s="39" t="n">
        <f aca="false">MY_PH(G$2,$A79)</f>
        <v>2015</v>
      </c>
      <c r="H79" s="39" t="n">
        <f aca="false">MY_PH(H$2,$A79)</f>
        <v>2015</v>
      </c>
      <c r="I79" s="39" t="n">
        <f aca="false">MY_PH(I$2,$A79)</f>
        <v>2015</v>
      </c>
      <c r="J79" s="39" t="n">
        <f aca="false">MY_PH(J$2,$A79)</f>
        <v>2015</v>
      </c>
      <c r="K79" s="39" t="n">
        <f aca="false">MY_PH(K$2,$A79)</f>
        <v>2015</v>
      </c>
      <c r="L79" s="39" t="n">
        <f aca="false">MY_PH(L$2,$A79)</f>
        <v>2015</v>
      </c>
      <c r="M79" s="39" t="n">
        <f aca="false">MY_PH(M$2,$A79)</f>
        <v>2015</v>
      </c>
      <c r="N79" s="39" t="n">
        <f aca="false">MY_PH(N$2,$A79)</f>
        <v>2015</v>
      </c>
      <c r="O79" s="39" t="n">
        <f aca="false">MY_PH(O$2,$A79)</f>
        <v>2015</v>
      </c>
      <c r="P79" s="39" t="n">
        <f aca="false">MY_PH(P$2,$A79)</f>
        <v>2015</v>
      </c>
      <c r="Q79" s="39" t="n">
        <f aca="false">MY_PH(Q$2,$A79)</f>
        <v>2015</v>
      </c>
      <c r="R79" s="39" t="n">
        <f aca="false">MY_PH(R$2,$A79)</f>
        <v>2015</v>
      </c>
      <c r="S79" s="39" t="n">
        <f aca="false">MY_PH(S$2,$A79)</f>
        <v>2015</v>
      </c>
      <c r="T79" s="39" t="n">
        <f aca="false">MY_PH(T$2,$A79)</f>
        <v>2015</v>
      </c>
      <c r="U79" s="39" t="n">
        <f aca="false">MY_PH(U$2,$A79)</f>
        <v>2015</v>
      </c>
      <c r="V79" s="39" t="n">
        <f aca="false">MY_PH(V$2,$A79)</f>
        <v>2015</v>
      </c>
      <c r="W79" s="39" t="n">
        <f aca="false">MY_PH(W$2,$A79)</f>
        <v>2015</v>
      </c>
      <c r="X79" s="39" t="n">
        <f aca="false">MY_PH(X$2,$A79)</f>
        <v>2015</v>
      </c>
      <c r="Y79" s="39" t="n">
        <f aca="false">MY_PH(Y$2,$A79)</f>
        <v>2015</v>
      </c>
      <c r="Z79" s="39" t="n">
        <f aca="false">MY_PH(Z$2,$A79)</f>
        <v>2015</v>
      </c>
      <c r="AA79" s="39" t="n">
        <f aca="false">MY_PH(AA$2,$A79)</f>
        <v>2015</v>
      </c>
      <c r="AB79" s="39" t="n">
        <f aca="false">MY_PH(AB$2,$A79)</f>
        <v>2015</v>
      </c>
      <c r="AC79" s="39" t="n">
        <f aca="false">MY_PH(AC$2,$A79)</f>
        <v>2015</v>
      </c>
      <c r="AD79" s="39" t="n">
        <f aca="false">MY_PH(AD$2,$A79)</f>
        <v>2015</v>
      </c>
      <c r="AE79" s="39" t="n">
        <f aca="false">MY_PH(AE$2,$A79)</f>
        <v>2015</v>
      </c>
      <c r="AF79" s="39" t="n">
        <f aca="false">MY_PH(AF$2,$A79)</f>
        <v>2015</v>
      </c>
      <c r="AG79" s="39" t="n">
        <f aca="false">MY_PH(AG$2,$A79)</f>
        <v>2015</v>
      </c>
      <c r="AH79" s="39" t="n">
        <f aca="false">MY_PH(AH$2,$A79)</f>
        <v>2015</v>
      </c>
      <c r="AI79" s="39" t="n">
        <f aca="false">MY_PH(AI$2,$A79)</f>
        <v>2015</v>
      </c>
      <c r="AJ79" s="39" t="n">
        <f aca="false">MY_PH(AJ$2,$A79)</f>
        <v>2015</v>
      </c>
      <c r="AK79" s="39" t="n">
        <f aca="false">MY_PH(AK$2,$A79)</f>
        <v>2015</v>
      </c>
      <c r="AL79" s="39" t="n">
        <f aca="false">MY_PH(AL$2,$A79)</f>
        <v>2015</v>
      </c>
      <c r="AM79" s="39" t="n">
        <f aca="false">MY_PH(AM$2,$A79)</f>
        <v>2015</v>
      </c>
      <c r="AN79" s="39" t="n">
        <f aca="false">MY_PH(AN$2,$A79)</f>
        <v>2015</v>
      </c>
      <c r="AO79" s="39" t="n">
        <f aca="false">MY_PH(AO$2,$A79)</f>
        <v>2015</v>
      </c>
      <c r="AP79" s="39" t="n">
        <f aca="false">MY_PH(AP$2,$A79)</f>
        <v>2015</v>
      </c>
      <c r="AQ79" s="39" t="n">
        <f aca="false">MY_PH(AQ$2,$A79)</f>
        <v>2015</v>
      </c>
      <c r="AR79" s="39" t="n">
        <f aca="false">MY_PH(AR$2,$A79)</f>
        <v>2.94827159644059E-005</v>
      </c>
      <c r="AS79" s="39" t="n">
        <f aca="false">MY_PH(AS$2,$A79)</f>
        <v>3.02359226867878E-005</v>
      </c>
    </row>
    <row r="80" customFormat="false" ht="13.8" hidden="false" customHeight="false" outlineLevel="0" collapsed="false">
      <c r="A80" s="0" t="n">
        <v>2400</v>
      </c>
      <c r="B80" s="39" t="n">
        <f aca="false">MY_PH(B$2,$A80)</f>
        <v>2015</v>
      </c>
      <c r="C80" s="39" t="n">
        <f aca="false">MY_PH(C$2,$A80)</f>
        <v>2015</v>
      </c>
      <c r="D80" s="39" t="n">
        <f aca="false">MY_PH(D$2,$A80)</f>
        <v>2015</v>
      </c>
      <c r="E80" s="39" t="n">
        <f aca="false">MY_PH(E$2,$A80)</f>
        <v>2015</v>
      </c>
      <c r="F80" s="39" t="n">
        <f aca="false">MY_PH(F$2,$A80)</f>
        <v>2015</v>
      </c>
      <c r="G80" s="39" t="n">
        <f aca="false">MY_PH(G$2,$A80)</f>
        <v>2015</v>
      </c>
      <c r="H80" s="39" t="n">
        <f aca="false">MY_PH(H$2,$A80)</f>
        <v>2015</v>
      </c>
      <c r="I80" s="39" t="n">
        <f aca="false">MY_PH(I$2,$A80)</f>
        <v>2015</v>
      </c>
      <c r="J80" s="39" t="n">
        <f aca="false">MY_PH(J$2,$A80)</f>
        <v>2015</v>
      </c>
      <c r="K80" s="39" t="n">
        <f aca="false">MY_PH(K$2,$A80)</f>
        <v>2015</v>
      </c>
      <c r="L80" s="39" t="n">
        <f aca="false">MY_PH(L$2,$A80)</f>
        <v>2015</v>
      </c>
      <c r="M80" s="39" t="n">
        <f aca="false">MY_PH(M$2,$A80)</f>
        <v>2015</v>
      </c>
      <c r="N80" s="39" t="n">
        <f aca="false">MY_PH(N$2,$A80)</f>
        <v>2015</v>
      </c>
      <c r="O80" s="39" t="n">
        <f aca="false">MY_PH(O$2,$A80)</f>
        <v>2015</v>
      </c>
      <c r="P80" s="39" t="n">
        <f aca="false">MY_PH(P$2,$A80)</f>
        <v>2015</v>
      </c>
      <c r="Q80" s="39" t="n">
        <f aca="false">MY_PH(Q$2,$A80)</f>
        <v>2015</v>
      </c>
      <c r="R80" s="39" t="n">
        <f aca="false">MY_PH(R$2,$A80)</f>
        <v>2015</v>
      </c>
      <c r="S80" s="39" t="n">
        <f aca="false">MY_PH(S$2,$A80)</f>
        <v>2015</v>
      </c>
      <c r="T80" s="39" t="n">
        <f aca="false">MY_PH(T$2,$A80)</f>
        <v>2015</v>
      </c>
      <c r="U80" s="39" t="n">
        <f aca="false">MY_PH(U$2,$A80)</f>
        <v>2015</v>
      </c>
      <c r="V80" s="39" t="n">
        <f aca="false">MY_PH(V$2,$A80)</f>
        <v>2015</v>
      </c>
      <c r="W80" s="39" t="n">
        <f aca="false">MY_PH(W$2,$A80)</f>
        <v>2015</v>
      </c>
      <c r="X80" s="39" t="n">
        <f aca="false">MY_PH(X$2,$A80)</f>
        <v>2015</v>
      </c>
      <c r="Y80" s="39" t="n">
        <f aca="false">MY_PH(Y$2,$A80)</f>
        <v>2015</v>
      </c>
      <c r="Z80" s="39" t="n">
        <f aca="false">MY_PH(Z$2,$A80)</f>
        <v>2015</v>
      </c>
      <c r="AA80" s="39" t="n">
        <f aca="false">MY_PH(AA$2,$A80)</f>
        <v>2015</v>
      </c>
      <c r="AB80" s="39" t="n">
        <f aca="false">MY_PH(AB$2,$A80)</f>
        <v>2015</v>
      </c>
      <c r="AC80" s="39" t="n">
        <f aca="false">MY_PH(AC$2,$A80)</f>
        <v>2015</v>
      </c>
      <c r="AD80" s="39" t="n">
        <f aca="false">MY_PH(AD$2,$A80)</f>
        <v>2015</v>
      </c>
      <c r="AE80" s="39" t="n">
        <f aca="false">MY_PH(AE$2,$A80)</f>
        <v>2015</v>
      </c>
      <c r="AF80" s="39" t="n">
        <f aca="false">MY_PH(AF$2,$A80)</f>
        <v>2015</v>
      </c>
      <c r="AG80" s="39" t="n">
        <f aca="false">MY_PH(AG$2,$A80)</f>
        <v>2015</v>
      </c>
      <c r="AH80" s="39" t="n">
        <f aca="false">MY_PH(AH$2,$A80)</f>
        <v>2015</v>
      </c>
      <c r="AI80" s="39" t="n">
        <f aca="false">MY_PH(AI$2,$A80)</f>
        <v>2015</v>
      </c>
      <c r="AJ80" s="39" t="n">
        <f aca="false">MY_PH(AJ$2,$A80)</f>
        <v>2015</v>
      </c>
      <c r="AK80" s="39" t="n">
        <f aca="false">MY_PH(AK$2,$A80)</f>
        <v>2015</v>
      </c>
      <c r="AL80" s="39" t="n">
        <f aca="false">MY_PH(AL$2,$A80)</f>
        <v>2015</v>
      </c>
      <c r="AM80" s="39" t="n">
        <f aca="false">MY_PH(AM$2,$A80)</f>
        <v>2015</v>
      </c>
      <c r="AN80" s="39" t="n">
        <f aca="false">MY_PH(AN$2,$A80)</f>
        <v>2015</v>
      </c>
      <c r="AO80" s="39" t="n">
        <f aca="false">MY_PH(AO$2,$A80)</f>
        <v>2015</v>
      </c>
      <c r="AP80" s="39" t="n">
        <f aca="false">MY_PH(AP$2,$A80)</f>
        <v>2015</v>
      </c>
      <c r="AQ80" s="39" t="n">
        <f aca="false">MY_PH(AQ$2,$A80)</f>
        <v>2015</v>
      </c>
      <c r="AR80" s="39" t="n">
        <f aca="false">MY_PH(AR$2,$A80)</f>
        <v>2.9310977948089E-005</v>
      </c>
      <c r="AS80" s="39" t="n">
        <f aca="false">MY_PH(AS$2,$A80)</f>
        <v>3.00539279831475E-005</v>
      </c>
    </row>
    <row r="81" customFormat="false" ht="13.8" hidden="false" customHeight="false" outlineLevel="0" collapsed="false">
      <c r="A81" s="0" t="n">
        <v>2410</v>
      </c>
      <c r="B81" s="39" t="n">
        <f aca="false">MY_PH(B$2,$A81)</f>
        <v>2015</v>
      </c>
      <c r="C81" s="39" t="n">
        <f aca="false">MY_PH(C$2,$A81)</f>
        <v>2015</v>
      </c>
      <c r="D81" s="39" t="n">
        <f aca="false">MY_PH(D$2,$A81)</f>
        <v>2015</v>
      </c>
      <c r="E81" s="39" t="n">
        <f aca="false">MY_PH(E$2,$A81)</f>
        <v>2015</v>
      </c>
      <c r="F81" s="39" t="n">
        <f aca="false">MY_PH(F$2,$A81)</f>
        <v>2015</v>
      </c>
      <c r="G81" s="39" t="n">
        <f aca="false">MY_PH(G$2,$A81)</f>
        <v>2015</v>
      </c>
      <c r="H81" s="39" t="n">
        <f aca="false">MY_PH(H$2,$A81)</f>
        <v>2015</v>
      </c>
      <c r="I81" s="39" t="n">
        <f aca="false">MY_PH(I$2,$A81)</f>
        <v>2015</v>
      </c>
      <c r="J81" s="39" t="n">
        <f aca="false">MY_PH(J$2,$A81)</f>
        <v>2015</v>
      </c>
      <c r="K81" s="39" t="n">
        <f aca="false">MY_PH(K$2,$A81)</f>
        <v>2015</v>
      </c>
      <c r="L81" s="39" t="n">
        <f aca="false">MY_PH(L$2,$A81)</f>
        <v>2015</v>
      </c>
      <c r="M81" s="39" t="n">
        <f aca="false">MY_PH(M$2,$A81)</f>
        <v>2015</v>
      </c>
      <c r="N81" s="39" t="n">
        <f aca="false">MY_PH(N$2,$A81)</f>
        <v>2015</v>
      </c>
      <c r="O81" s="39" t="n">
        <f aca="false">MY_PH(O$2,$A81)</f>
        <v>2015</v>
      </c>
      <c r="P81" s="39" t="n">
        <f aca="false">MY_PH(P$2,$A81)</f>
        <v>2015</v>
      </c>
      <c r="Q81" s="39" t="n">
        <f aca="false">MY_PH(Q$2,$A81)</f>
        <v>2015</v>
      </c>
      <c r="R81" s="39" t="n">
        <f aca="false">MY_PH(R$2,$A81)</f>
        <v>2015</v>
      </c>
      <c r="S81" s="39" t="n">
        <f aca="false">MY_PH(S$2,$A81)</f>
        <v>2015</v>
      </c>
      <c r="T81" s="39" t="n">
        <f aca="false">MY_PH(T$2,$A81)</f>
        <v>2015</v>
      </c>
      <c r="U81" s="39" t="n">
        <f aca="false">MY_PH(U$2,$A81)</f>
        <v>2015</v>
      </c>
      <c r="V81" s="39" t="n">
        <f aca="false">MY_PH(V$2,$A81)</f>
        <v>2015</v>
      </c>
      <c r="W81" s="39" t="n">
        <f aca="false">MY_PH(W$2,$A81)</f>
        <v>2015</v>
      </c>
      <c r="X81" s="39" t="n">
        <f aca="false">MY_PH(X$2,$A81)</f>
        <v>2015</v>
      </c>
      <c r="Y81" s="39" t="n">
        <f aca="false">MY_PH(Y$2,$A81)</f>
        <v>2015</v>
      </c>
      <c r="Z81" s="39" t="n">
        <f aca="false">MY_PH(Z$2,$A81)</f>
        <v>2015</v>
      </c>
      <c r="AA81" s="39" t="n">
        <f aca="false">MY_PH(AA$2,$A81)</f>
        <v>2015</v>
      </c>
      <c r="AB81" s="39" t="n">
        <f aca="false">MY_PH(AB$2,$A81)</f>
        <v>2015</v>
      </c>
      <c r="AC81" s="39" t="n">
        <f aca="false">MY_PH(AC$2,$A81)</f>
        <v>2015</v>
      </c>
      <c r="AD81" s="39" t="n">
        <f aca="false">MY_PH(AD$2,$A81)</f>
        <v>2015</v>
      </c>
      <c r="AE81" s="39" t="n">
        <f aca="false">MY_PH(AE$2,$A81)</f>
        <v>2015</v>
      </c>
      <c r="AF81" s="39" t="n">
        <f aca="false">MY_PH(AF$2,$A81)</f>
        <v>2015</v>
      </c>
      <c r="AG81" s="39" t="n">
        <f aca="false">MY_PH(AG$2,$A81)</f>
        <v>2015</v>
      </c>
      <c r="AH81" s="39" t="n">
        <f aca="false">MY_PH(AH$2,$A81)</f>
        <v>2015</v>
      </c>
      <c r="AI81" s="39" t="n">
        <f aca="false">MY_PH(AI$2,$A81)</f>
        <v>2015</v>
      </c>
      <c r="AJ81" s="39" t="n">
        <f aca="false">MY_PH(AJ$2,$A81)</f>
        <v>2015</v>
      </c>
      <c r="AK81" s="39" t="n">
        <f aca="false">MY_PH(AK$2,$A81)</f>
        <v>2015</v>
      </c>
      <c r="AL81" s="39" t="n">
        <f aca="false">MY_PH(AL$2,$A81)</f>
        <v>2015</v>
      </c>
      <c r="AM81" s="39" t="n">
        <f aca="false">MY_PH(AM$2,$A81)</f>
        <v>2015</v>
      </c>
      <c r="AN81" s="39" t="n">
        <f aca="false">MY_PH(AN$2,$A81)</f>
        <v>2015</v>
      </c>
      <c r="AO81" s="39" t="n">
        <f aca="false">MY_PH(AO$2,$A81)</f>
        <v>2015</v>
      </c>
      <c r="AP81" s="39" t="n">
        <f aca="false">MY_PH(AP$2,$A81)</f>
        <v>2015</v>
      </c>
      <c r="AQ81" s="39" t="n">
        <f aca="false">MY_PH(AQ$2,$A81)</f>
        <v>2015</v>
      </c>
      <c r="AR81" s="39" t="n">
        <f aca="false">MY_PH(AR$2,$A81)</f>
        <v>2.91465914207088E-005</v>
      </c>
      <c r="AS81" s="39" t="n">
        <f aca="false">MY_PH(AS$2,$A81)</f>
        <v>2.98795100123572E-005</v>
      </c>
    </row>
    <row r="82" customFormat="false" ht="13.8" hidden="false" customHeight="false" outlineLevel="0" collapsed="false">
      <c r="A82" s="0" t="n">
        <v>2420</v>
      </c>
      <c r="B82" s="39" t="n">
        <f aca="false">MY_PH(B$2,$A82)</f>
        <v>2015</v>
      </c>
      <c r="C82" s="39" t="n">
        <f aca="false">MY_PH(C$2,$A82)</f>
        <v>2015</v>
      </c>
      <c r="D82" s="39" t="n">
        <f aca="false">MY_PH(D$2,$A82)</f>
        <v>2015</v>
      </c>
      <c r="E82" s="39" t="n">
        <f aca="false">MY_PH(E$2,$A82)</f>
        <v>2015</v>
      </c>
      <c r="F82" s="39" t="n">
        <f aca="false">MY_PH(F$2,$A82)</f>
        <v>2015</v>
      </c>
      <c r="G82" s="39" t="n">
        <f aca="false">MY_PH(G$2,$A82)</f>
        <v>2015</v>
      </c>
      <c r="H82" s="39" t="n">
        <f aca="false">MY_PH(H$2,$A82)</f>
        <v>2015</v>
      </c>
      <c r="I82" s="39" t="n">
        <f aca="false">MY_PH(I$2,$A82)</f>
        <v>2015</v>
      </c>
      <c r="J82" s="39" t="n">
        <f aca="false">MY_PH(J$2,$A82)</f>
        <v>2015</v>
      </c>
      <c r="K82" s="39" t="n">
        <f aca="false">MY_PH(K$2,$A82)</f>
        <v>2015</v>
      </c>
      <c r="L82" s="39" t="n">
        <f aca="false">MY_PH(L$2,$A82)</f>
        <v>2015</v>
      </c>
      <c r="M82" s="39" t="n">
        <f aca="false">MY_PH(M$2,$A82)</f>
        <v>2015</v>
      </c>
      <c r="N82" s="39" t="n">
        <f aca="false">MY_PH(N$2,$A82)</f>
        <v>2015</v>
      </c>
      <c r="O82" s="39" t="n">
        <f aca="false">MY_PH(O$2,$A82)</f>
        <v>2015</v>
      </c>
      <c r="P82" s="39" t="n">
        <f aca="false">MY_PH(P$2,$A82)</f>
        <v>2015</v>
      </c>
      <c r="Q82" s="39" t="n">
        <f aca="false">MY_PH(Q$2,$A82)</f>
        <v>2015</v>
      </c>
      <c r="R82" s="39" t="n">
        <f aca="false">MY_PH(R$2,$A82)</f>
        <v>2015</v>
      </c>
      <c r="S82" s="39" t="n">
        <f aca="false">MY_PH(S$2,$A82)</f>
        <v>2015</v>
      </c>
      <c r="T82" s="39" t="n">
        <f aca="false">MY_PH(T$2,$A82)</f>
        <v>2015</v>
      </c>
      <c r="U82" s="39" t="n">
        <f aca="false">MY_PH(U$2,$A82)</f>
        <v>2015</v>
      </c>
      <c r="V82" s="39" t="n">
        <f aca="false">MY_PH(V$2,$A82)</f>
        <v>2015</v>
      </c>
      <c r="W82" s="39" t="n">
        <f aca="false">MY_PH(W$2,$A82)</f>
        <v>2015</v>
      </c>
      <c r="X82" s="39" t="n">
        <f aca="false">MY_PH(X$2,$A82)</f>
        <v>2015</v>
      </c>
      <c r="Y82" s="39" t="n">
        <f aca="false">MY_PH(Y$2,$A82)</f>
        <v>2015</v>
      </c>
      <c r="Z82" s="39" t="n">
        <f aca="false">MY_PH(Z$2,$A82)</f>
        <v>2015</v>
      </c>
      <c r="AA82" s="39" t="n">
        <f aca="false">MY_PH(AA$2,$A82)</f>
        <v>2015</v>
      </c>
      <c r="AB82" s="39" t="n">
        <f aca="false">MY_PH(AB$2,$A82)</f>
        <v>2015</v>
      </c>
      <c r="AC82" s="39" t="n">
        <f aca="false">MY_PH(AC$2,$A82)</f>
        <v>2015</v>
      </c>
      <c r="AD82" s="39" t="n">
        <f aca="false">MY_PH(AD$2,$A82)</f>
        <v>2015</v>
      </c>
      <c r="AE82" s="39" t="n">
        <f aca="false">MY_PH(AE$2,$A82)</f>
        <v>2015</v>
      </c>
      <c r="AF82" s="39" t="n">
        <f aca="false">MY_PH(AF$2,$A82)</f>
        <v>2015</v>
      </c>
      <c r="AG82" s="39" t="n">
        <f aca="false">MY_PH(AG$2,$A82)</f>
        <v>2015</v>
      </c>
      <c r="AH82" s="39" t="n">
        <f aca="false">MY_PH(AH$2,$A82)</f>
        <v>2015</v>
      </c>
      <c r="AI82" s="39" t="n">
        <f aca="false">MY_PH(AI$2,$A82)</f>
        <v>2015</v>
      </c>
      <c r="AJ82" s="39" t="n">
        <f aca="false">MY_PH(AJ$2,$A82)</f>
        <v>2015</v>
      </c>
      <c r="AK82" s="39" t="n">
        <f aca="false">MY_PH(AK$2,$A82)</f>
        <v>2015</v>
      </c>
      <c r="AL82" s="39" t="n">
        <f aca="false">MY_PH(AL$2,$A82)</f>
        <v>2015</v>
      </c>
      <c r="AM82" s="39" t="n">
        <f aca="false">MY_PH(AM$2,$A82)</f>
        <v>2015</v>
      </c>
      <c r="AN82" s="39" t="n">
        <f aca="false">MY_PH(AN$2,$A82)</f>
        <v>2015</v>
      </c>
      <c r="AO82" s="39" t="n">
        <f aca="false">MY_PH(AO$2,$A82)</f>
        <v>2015</v>
      </c>
      <c r="AP82" s="39" t="n">
        <f aca="false">MY_PH(AP$2,$A82)</f>
        <v>2015</v>
      </c>
      <c r="AQ82" s="39" t="n">
        <f aca="false">MY_PH(AQ$2,$A82)</f>
        <v>2.73797109174161E-005</v>
      </c>
      <c r="AR82" s="39" t="n">
        <f aca="false">MY_PH(AR$2,$A82)</f>
        <v>2.89893787673837E-005</v>
      </c>
      <c r="AS82" s="39" t="n">
        <f aca="false">MY_PH(AS$2,$A82)</f>
        <v>2.97124825960005E-005</v>
      </c>
    </row>
    <row r="83" customFormat="false" ht="13.8" hidden="false" customHeight="false" outlineLevel="0" collapsed="false">
      <c r="A83" s="0" t="n">
        <v>2430</v>
      </c>
      <c r="B83" s="39" t="n">
        <f aca="false">MY_PH(B$2,$A83)</f>
        <v>2015</v>
      </c>
      <c r="C83" s="39" t="n">
        <f aca="false">MY_PH(C$2,$A83)</f>
        <v>2015</v>
      </c>
      <c r="D83" s="39" t="n">
        <f aca="false">MY_PH(D$2,$A83)</f>
        <v>2015</v>
      </c>
      <c r="E83" s="39" t="n">
        <f aca="false">MY_PH(E$2,$A83)</f>
        <v>2015</v>
      </c>
      <c r="F83" s="39" t="n">
        <f aca="false">MY_PH(F$2,$A83)</f>
        <v>2015</v>
      </c>
      <c r="G83" s="39" t="n">
        <f aca="false">MY_PH(G$2,$A83)</f>
        <v>2015</v>
      </c>
      <c r="H83" s="39" t="n">
        <f aca="false">MY_PH(H$2,$A83)</f>
        <v>2015</v>
      </c>
      <c r="I83" s="39" t="n">
        <f aca="false">MY_PH(I$2,$A83)</f>
        <v>2015</v>
      </c>
      <c r="J83" s="39" t="n">
        <f aca="false">MY_PH(J$2,$A83)</f>
        <v>2015</v>
      </c>
      <c r="K83" s="39" t="n">
        <f aca="false">MY_PH(K$2,$A83)</f>
        <v>2015</v>
      </c>
      <c r="L83" s="39" t="n">
        <f aca="false">MY_PH(L$2,$A83)</f>
        <v>2015</v>
      </c>
      <c r="M83" s="39" t="n">
        <f aca="false">MY_PH(M$2,$A83)</f>
        <v>2015</v>
      </c>
      <c r="N83" s="39" t="n">
        <f aca="false">MY_PH(N$2,$A83)</f>
        <v>2015</v>
      </c>
      <c r="O83" s="39" t="n">
        <f aca="false">MY_PH(O$2,$A83)</f>
        <v>2015</v>
      </c>
      <c r="P83" s="39" t="n">
        <f aca="false">MY_PH(P$2,$A83)</f>
        <v>2015</v>
      </c>
      <c r="Q83" s="39" t="n">
        <f aca="false">MY_PH(Q$2,$A83)</f>
        <v>2015</v>
      </c>
      <c r="R83" s="39" t="n">
        <f aca="false">MY_PH(R$2,$A83)</f>
        <v>2015</v>
      </c>
      <c r="S83" s="39" t="n">
        <f aca="false">MY_PH(S$2,$A83)</f>
        <v>2015</v>
      </c>
      <c r="T83" s="39" t="n">
        <f aca="false">MY_PH(T$2,$A83)</f>
        <v>2015</v>
      </c>
      <c r="U83" s="39" t="n">
        <f aca="false">MY_PH(U$2,$A83)</f>
        <v>2015</v>
      </c>
      <c r="V83" s="39" t="n">
        <f aca="false">MY_PH(V$2,$A83)</f>
        <v>2015</v>
      </c>
      <c r="W83" s="39" t="n">
        <f aca="false">MY_PH(W$2,$A83)</f>
        <v>2015</v>
      </c>
      <c r="X83" s="39" t="n">
        <f aca="false">MY_PH(X$2,$A83)</f>
        <v>2015</v>
      </c>
      <c r="Y83" s="39" t="n">
        <f aca="false">MY_PH(Y$2,$A83)</f>
        <v>2015</v>
      </c>
      <c r="Z83" s="39" t="n">
        <f aca="false">MY_PH(Z$2,$A83)</f>
        <v>2015</v>
      </c>
      <c r="AA83" s="39" t="n">
        <f aca="false">MY_PH(AA$2,$A83)</f>
        <v>2015</v>
      </c>
      <c r="AB83" s="39" t="n">
        <f aca="false">MY_PH(AB$2,$A83)</f>
        <v>2015</v>
      </c>
      <c r="AC83" s="39" t="n">
        <f aca="false">MY_PH(AC$2,$A83)</f>
        <v>2015</v>
      </c>
      <c r="AD83" s="39" t="n">
        <f aca="false">MY_PH(AD$2,$A83)</f>
        <v>2015</v>
      </c>
      <c r="AE83" s="39" t="n">
        <f aca="false">MY_PH(AE$2,$A83)</f>
        <v>2015</v>
      </c>
      <c r="AF83" s="39" t="n">
        <f aca="false">MY_PH(AF$2,$A83)</f>
        <v>2015</v>
      </c>
      <c r="AG83" s="39" t="n">
        <f aca="false">MY_PH(AG$2,$A83)</f>
        <v>2015</v>
      </c>
      <c r="AH83" s="39" t="n">
        <f aca="false">MY_PH(AH$2,$A83)</f>
        <v>2015</v>
      </c>
      <c r="AI83" s="39" t="n">
        <f aca="false">MY_PH(AI$2,$A83)</f>
        <v>2015</v>
      </c>
      <c r="AJ83" s="39" t="n">
        <f aca="false">MY_PH(AJ$2,$A83)</f>
        <v>2015</v>
      </c>
      <c r="AK83" s="39" t="n">
        <f aca="false">MY_PH(AK$2,$A83)</f>
        <v>2015</v>
      </c>
      <c r="AL83" s="39" t="n">
        <f aca="false">MY_PH(AL$2,$A83)</f>
        <v>2015</v>
      </c>
      <c r="AM83" s="39" t="n">
        <f aca="false">MY_PH(AM$2,$A83)</f>
        <v>2015</v>
      </c>
      <c r="AN83" s="39" t="n">
        <f aca="false">MY_PH(AN$2,$A83)</f>
        <v>2015</v>
      </c>
      <c r="AO83" s="39" t="n">
        <f aca="false">MY_PH(AO$2,$A83)</f>
        <v>2015</v>
      </c>
      <c r="AP83" s="39" t="n">
        <f aca="false">MY_PH(AP$2,$A83)</f>
        <v>2015</v>
      </c>
      <c r="AQ83" s="39" t="n">
        <f aca="false">MY_PH(AQ$2,$A83)</f>
        <v>2.7251224023352E-005</v>
      </c>
      <c r="AR83" s="39" t="n">
        <f aca="false">MY_PH(AR$2,$A83)</f>
        <v>2.88391656295371E-005</v>
      </c>
      <c r="AS83" s="39" t="n">
        <f aca="false">MY_PH(AS$2,$A83)</f>
        <v>2.95526632412031E-005</v>
      </c>
    </row>
    <row r="84" customFormat="false" ht="13.8" hidden="false" customHeight="false" outlineLevel="0" collapsed="false">
      <c r="A84" s="0" t="n">
        <v>2440</v>
      </c>
      <c r="B84" s="39" t="n">
        <f aca="false">MY_PH(B$2,$A84)</f>
        <v>2015</v>
      </c>
      <c r="C84" s="39" t="n">
        <f aca="false">MY_PH(C$2,$A84)</f>
        <v>2015</v>
      </c>
      <c r="D84" s="39" t="n">
        <f aca="false">MY_PH(D$2,$A84)</f>
        <v>2015</v>
      </c>
      <c r="E84" s="39" t="n">
        <f aca="false">MY_PH(E$2,$A84)</f>
        <v>2015</v>
      </c>
      <c r="F84" s="39" t="n">
        <f aca="false">MY_PH(F$2,$A84)</f>
        <v>2015</v>
      </c>
      <c r="G84" s="39" t="n">
        <f aca="false">MY_PH(G$2,$A84)</f>
        <v>2015</v>
      </c>
      <c r="H84" s="39" t="n">
        <f aca="false">MY_PH(H$2,$A84)</f>
        <v>2015</v>
      </c>
      <c r="I84" s="39" t="n">
        <f aca="false">MY_PH(I$2,$A84)</f>
        <v>2015</v>
      </c>
      <c r="J84" s="39" t="n">
        <f aca="false">MY_PH(J$2,$A84)</f>
        <v>2015</v>
      </c>
      <c r="K84" s="39" t="n">
        <f aca="false">MY_PH(K$2,$A84)</f>
        <v>2015</v>
      </c>
      <c r="L84" s="39" t="n">
        <f aca="false">MY_PH(L$2,$A84)</f>
        <v>2015</v>
      </c>
      <c r="M84" s="39" t="n">
        <f aca="false">MY_PH(M$2,$A84)</f>
        <v>2015</v>
      </c>
      <c r="N84" s="39" t="n">
        <f aca="false">MY_PH(N$2,$A84)</f>
        <v>2015</v>
      </c>
      <c r="O84" s="39" t="n">
        <f aca="false">MY_PH(O$2,$A84)</f>
        <v>2015</v>
      </c>
      <c r="P84" s="39" t="n">
        <f aca="false">MY_PH(P$2,$A84)</f>
        <v>2015</v>
      </c>
      <c r="Q84" s="39" t="n">
        <f aca="false">MY_PH(Q$2,$A84)</f>
        <v>2015</v>
      </c>
      <c r="R84" s="39" t="n">
        <f aca="false">MY_PH(R$2,$A84)</f>
        <v>2015</v>
      </c>
      <c r="S84" s="39" t="n">
        <f aca="false">MY_PH(S$2,$A84)</f>
        <v>2015</v>
      </c>
      <c r="T84" s="39" t="n">
        <f aca="false">MY_PH(T$2,$A84)</f>
        <v>2015</v>
      </c>
      <c r="U84" s="39" t="n">
        <f aca="false">MY_PH(U$2,$A84)</f>
        <v>2015</v>
      </c>
      <c r="V84" s="39" t="n">
        <f aca="false">MY_PH(V$2,$A84)</f>
        <v>2015</v>
      </c>
      <c r="W84" s="39" t="n">
        <f aca="false">MY_PH(W$2,$A84)</f>
        <v>2015</v>
      </c>
      <c r="X84" s="39" t="n">
        <f aca="false">MY_PH(X$2,$A84)</f>
        <v>2015</v>
      </c>
      <c r="Y84" s="39" t="n">
        <f aca="false">MY_PH(Y$2,$A84)</f>
        <v>2015</v>
      </c>
      <c r="Z84" s="39" t="n">
        <f aca="false">MY_PH(Z$2,$A84)</f>
        <v>2015</v>
      </c>
      <c r="AA84" s="39" t="n">
        <f aca="false">MY_PH(AA$2,$A84)</f>
        <v>2015</v>
      </c>
      <c r="AB84" s="39" t="n">
        <f aca="false">MY_PH(AB$2,$A84)</f>
        <v>2015</v>
      </c>
      <c r="AC84" s="39" t="n">
        <f aca="false">MY_PH(AC$2,$A84)</f>
        <v>2015</v>
      </c>
      <c r="AD84" s="39" t="n">
        <f aca="false">MY_PH(AD$2,$A84)</f>
        <v>2015</v>
      </c>
      <c r="AE84" s="39" t="n">
        <f aca="false">MY_PH(AE$2,$A84)</f>
        <v>2015</v>
      </c>
      <c r="AF84" s="39" t="n">
        <f aca="false">MY_PH(AF$2,$A84)</f>
        <v>2015</v>
      </c>
      <c r="AG84" s="39" t="n">
        <f aca="false">MY_PH(AG$2,$A84)</f>
        <v>2015</v>
      </c>
      <c r="AH84" s="39" t="n">
        <f aca="false">MY_PH(AH$2,$A84)</f>
        <v>2015</v>
      </c>
      <c r="AI84" s="39" t="n">
        <f aca="false">MY_PH(AI$2,$A84)</f>
        <v>2015</v>
      </c>
      <c r="AJ84" s="39" t="n">
        <f aca="false">MY_PH(AJ$2,$A84)</f>
        <v>2015</v>
      </c>
      <c r="AK84" s="39" t="n">
        <f aca="false">MY_PH(AK$2,$A84)</f>
        <v>2015</v>
      </c>
      <c r="AL84" s="39" t="n">
        <f aca="false">MY_PH(AL$2,$A84)</f>
        <v>2015</v>
      </c>
      <c r="AM84" s="39" t="n">
        <f aca="false">MY_PH(AM$2,$A84)</f>
        <v>2015</v>
      </c>
      <c r="AN84" s="39" t="n">
        <f aca="false">MY_PH(AN$2,$A84)</f>
        <v>2015</v>
      </c>
      <c r="AO84" s="39" t="n">
        <f aca="false">MY_PH(AO$2,$A84)</f>
        <v>2015</v>
      </c>
      <c r="AP84" s="39" t="n">
        <f aca="false">MY_PH(AP$2,$A84)</f>
        <v>2015</v>
      </c>
      <c r="AQ84" s="39" t="n">
        <f aca="false">MY_PH(AQ$2,$A84)</f>
        <v>2.71290631542796E-005</v>
      </c>
      <c r="AR84" s="39" t="n">
        <f aca="false">MY_PH(AR$2,$A84)</f>
        <v>2.86957805145302E-005</v>
      </c>
      <c r="AS84" s="39" t="n">
        <f aca="false">MY_PH(AS$2,$A84)</f>
        <v>2.93998728793749E-005</v>
      </c>
    </row>
    <row r="85" customFormat="false" ht="13.8" hidden="false" customHeight="false" outlineLevel="0" collapsed="false">
      <c r="A85" s="0" t="n">
        <v>2450</v>
      </c>
      <c r="B85" s="39" t="n">
        <f aca="false">MY_PH(B$2,$A85)</f>
        <v>2015</v>
      </c>
      <c r="C85" s="39" t="n">
        <f aca="false">MY_PH(C$2,$A85)</f>
        <v>2015</v>
      </c>
      <c r="D85" s="39" t="n">
        <f aca="false">MY_PH(D$2,$A85)</f>
        <v>2015</v>
      </c>
      <c r="E85" s="39" t="n">
        <f aca="false">MY_PH(E$2,$A85)</f>
        <v>2015</v>
      </c>
      <c r="F85" s="39" t="n">
        <f aca="false">MY_PH(F$2,$A85)</f>
        <v>2015</v>
      </c>
      <c r="G85" s="39" t="n">
        <f aca="false">MY_PH(G$2,$A85)</f>
        <v>2015</v>
      </c>
      <c r="H85" s="39" t="n">
        <f aca="false">MY_PH(H$2,$A85)</f>
        <v>2015</v>
      </c>
      <c r="I85" s="39" t="n">
        <f aca="false">MY_PH(I$2,$A85)</f>
        <v>2015</v>
      </c>
      <c r="J85" s="39" t="n">
        <f aca="false">MY_PH(J$2,$A85)</f>
        <v>2015</v>
      </c>
      <c r="K85" s="39" t="n">
        <f aca="false">MY_PH(K$2,$A85)</f>
        <v>2015</v>
      </c>
      <c r="L85" s="39" t="n">
        <f aca="false">MY_PH(L$2,$A85)</f>
        <v>2015</v>
      </c>
      <c r="M85" s="39" t="n">
        <f aca="false">MY_PH(M$2,$A85)</f>
        <v>2015</v>
      </c>
      <c r="N85" s="39" t="n">
        <f aca="false">MY_PH(N$2,$A85)</f>
        <v>2015</v>
      </c>
      <c r="O85" s="39" t="n">
        <f aca="false">MY_PH(O$2,$A85)</f>
        <v>2015</v>
      </c>
      <c r="P85" s="39" t="n">
        <f aca="false">MY_PH(P$2,$A85)</f>
        <v>2015</v>
      </c>
      <c r="Q85" s="39" t="n">
        <f aca="false">MY_PH(Q$2,$A85)</f>
        <v>2015</v>
      </c>
      <c r="R85" s="39" t="n">
        <f aca="false">MY_PH(R$2,$A85)</f>
        <v>2015</v>
      </c>
      <c r="S85" s="39" t="n">
        <f aca="false">MY_PH(S$2,$A85)</f>
        <v>2015</v>
      </c>
      <c r="T85" s="39" t="n">
        <f aca="false">MY_PH(T$2,$A85)</f>
        <v>2015</v>
      </c>
      <c r="U85" s="39" t="n">
        <f aca="false">MY_PH(U$2,$A85)</f>
        <v>2015</v>
      </c>
      <c r="V85" s="39" t="n">
        <f aca="false">MY_PH(V$2,$A85)</f>
        <v>2015</v>
      </c>
      <c r="W85" s="39" t="n">
        <f aca="false">MY_PH(W$2,$A85)</f>
        <v>2015</v>
      </c>
      <c r="X85" s="39" t="n">
        <f aca="false">MY_PH(X$2,$A85)</f>
        <v>2015</v>
      </c>
      <c r="Y85" s="39" t="n">
        <f aca="false">MY_PH(Y$2,$A85)</f>
        <v>2015</v>
      </c>
      <c r="Z85" s="39" t="n">
        <f aca="false">MY_PH(Z$2,$A85)</f>
        <v>2015</v>
      </c>
      <c r="AA85" s="39" t="n">
        <f aca="false">MY_PH(AA$2,$A85)</f>
        <v>2015</v>
      </c>
      <c r="AB85" s="39" t="n">
        <f aca="false">MY_PH(AB$2,$A85)</f>
        <v>2015</v>
      </c>
      <c r="AC85" s="39" t="n">
        <f aca="false">MY_PH(AC$2,$A85)</f>
        <v>2015</v>
      </c>
      <c r="AD85" s="39" t="n">
        <f aca="false">MY_PH(AD$2,$A85)</f>
        <v>2015</v>
      </c>
      <c r="AE85" s="39" t="n">
        <f aca="false">MY_PH(AE$2,$A85)</f>
        <v>2015</v>
      </c>
      <c r="AF85" s="39" t="n">
        <f aca="false">MY_PH(AF$2,$A85)</f>
        <v>2015</v>
      </c>
      <c r="AG85" s="39" t="n">
        <f aca="false">MY_PH(AG$2,$A85)</f>
        <v>2015</v>
      </c>
      <c r="AH85" s="39" t="n">
        <f aca="false">MY_PH(AH$2,$A85)</f>
        <v>2015</v>
      </c>
      <c r="AI85" s="39" t="n">
        <f aca="false">MY_PH(AI$2,$A85)</f>
        <v>2015</v>
      </c>
      <c r="AJ85" s="39" t="n">
        <f aca="false">MY_PH(AJ$2,$A85)</f>
        <v>2015</v>
      </c>
      <c r="AK85" s="39" t="n">
        <f aca="false">MY_PH(AK$2,$A85)</f>
        <v>2015</v>
      </c>
      <c r="AL85" s="39" t="n">
        <f aca="false">MY_PH(AL$2,$A85)</f>
        <v>2015</v>
      </c>
      <c r="AM85" s="39" t="n">
        <f aca="false">MY_PH(AM$2,$A85)</f>
        <v>2015</v>
      </c>
      <c r="AN85" s="39" t="n">
        <f aca="false">MY_PH(AN$2,$A85)</f>
        <v>2015</v>
      </c>
      <c r="AO85" s="39" t="n">
        <f aca="false">MY_PH(AO$2,$A85)</f>
        <v>2015</v>
      </c>
      <c r="AP85" s="39" t="n">
        <f aca="false">MY_PH(AP$2,$A85)</f>
        <v>2015</v>
      </c>
      <c r="AQ85" s="39" t="n">
        <f aca="false">MY_PH(AQ$2,$A85)</f>
        <v>2.70130900692466E-005</v>
      </c>
      <c r="AR85" s="39" t="n">
        <f aca="false">MY_PH(AR$2,$A85)</f>
        <v>2.85590545419743E-005</v>
      </c>
      <c r="AS85" s="39" t="n">
        <f aca="false">MY_PH(AS$2,$A85)</f>
        <v>2.92539357186604E-005</v>
      </c>
    </row>
    <row r="86" customFormat="false" ht="13.8" hidden="false" customHeight="false" outlineLevel="0" collapsed="false">
      <c r="A86" s="0" t="n">
        <v>2460</v>
      </c>
      <c r="B86" s="39" t="n">
        <f aca="false">MY_PH(B$2,$A86)</f>
        <v>2015</v>
      </c>
      <c r="C86" s="39" t="n">
        <f aca="false">MY_PH(C$2,$A86)</f>
        <v>2015</v>
      </c>
      <c r="D86" s="39" t="n">
        <f aca="false">MY_PH(D$2,$A86)</f>
        <v>2015</v>
      </c>
      <c r="E86" s="39" t="n">
        <f aca="false">MY_PH(E$2,$A86)</f>
        <v>2015</v>
      </c>
      <c r="F86" s="39" t="n">
        <f aca="false">MY_PH(F$2,$A86)</f>
        <v>2015</v>
      </c>
      <c r="G86" s="39" t="n">
        <f aca="false">MY_PH(G$2,$A86)</f>
        <v>2015</v>
      </c>
      <c r="H86" s="39" t="n">
        <f aca="false">MY_PH(H$2,$A86)</f>
        <v>2015</v>
      </c>
      <c r="I86" s="39" t="n">
        <f aca="false">MY_PH(I$2,$A86)</f>
        <v>2015</v>
      </c>
      <c r="J86" s="39" t="n">
        <f aca="false">MY_PH(J$2,$A86)</f>
        <v>2015</v>
      </c>
      <c r="K86" s="39" t="n">
        <f aca="false">MY_PH(K$2,$A86)</f>
        <v>2015</v>
      </c>
      <c r="L86" s="39" t="n">
        <f aca="false">MY_PH(L$2,$A86)</f>
        <v>2015</v>
      </c>
      <c r="M86" s="39" t="n">
        <f aca="false">MY_PH(M$2,$A86)</f>
        <v>2015</v>
      </c>
      <c r="N86" s="39" t="n">
        <f aca="false">MY_PH(N$2,$A86)</f>
        <v>2015</v>
      </c>
      <c r="O86" s="39" t="n">
        <f aca="false">MY_PH(O$2,$A86)</f>
        <v>2015</v>
      </c>
      <c r="P86" s="39" t="n">
        <f aca="false">MY_PH(P$2,$A86)</f>
        <v>2015</v>
      </c>
      <c r="Q86" s="39" t="n">
        <f aca="false">MY_PH(Q$2,$A86)</f>
        <v>2015</v>
      </c>
      <c r="R86" s="39" t="n">
        <f aca="false">MY_PH(R$2,$A86)</f>
        <v>2015</v>
      </c>
      <c r="S86" s="39" t="n">
        <f aca="false">MY_PH(S$2,$A86)</f>
        <v>2015</v>
      </c>
      <c r="T86" s="39" t="n">
        <f aca="false">MY_PH(T$2,$A86)</f>
        <v>2015</v>
      </c>
      <c r="U86" s="39" t="n">
        <f aca="false">MY_PH(U$2,$A86)</f>
        <v>2015</v>
      </c>
      <c r="V86" s="39" t="n">
        <f aca="false">MY_PH(V$2,$A86)</f>
        <v>2015</v>
      </c>
      <c r="W86" s="39" t="n">
        <f aca="false">MY_PH(W$2,$A86)</f>
        <v>2015</v>
      </c>
      <c r="X86" s="39" t="n">
        <f aca="false">MY_PH(X$2,$A86)</f>
        <v>2015</v>
      </c>
      <c r="Y86" s="39" t="n">
        <f aca="false">MY_PH(Y$2,$A86)</f>
        <v>2015</v>
      </c>
      <c r="Z86" s="39" t="n">
        <f aca="false">MY_PH(Z$2,$A86)</f>
        <v>2015</v>
      </c>
      <c r="AA86" s="39" t="n">
        <f aca="false">MY_PH(AA$2,$A86)</f>
        <v>2015</v>
      </c>
      <c r="AB86" s="39" t="n">
        <f aca="false">MY_PH(AB$2,$A86)</f>
        <v>2015</v>
      </c>
      <c r="AC86" s="39" t="n">
        <f aca="false">MY_PH(AC$2,$A86)</f>
        <v>2015</v>
      </c>
      <c r="AD86" s="39" t="n">
        <f aca="false">MY_PH(AD$2,$A86)</f>
        <v>2015</v>
      </c>
      <c r="AE86" s="39" t="n">
        <f aca="false">MY_PH(AE$2,$A86)</f>
        <v>2015</v>
      </c>
      <c r="AF86" s="39" t="n">
        <f aca="false">MY_PH(AF$2,$A86)</f>
        <v>2015</v>
      </c>
      <c r="AG86" s="39" t="n">
        <f aca="false">MY_PH(AG$2,$A86)</f>
        <v>2015</v>
      </c>
      <c r="AH86" s="39" t="n">
        <f aca="false">MY_PH(AH$2,$A86)</f>
        <v>2015</v>
      </c>
      <c r="AI86" s="39" t="n">
        <f aca="false">MY_PH(AI$2,$A86)</f>
        <v>2015</v>
      </c>
      <c r="AJ86" s="39" t="n">
        <f aca="false">MY_PH(AJ$2,$A86)</f>
        <v>2015</v>
      </c>
      <c r="AK86" s="39" t="n">
        <f aca="false">MY_PH(AK$2,$A86)</f>
        <v>2015</v>
      </c>
      <c r="AL86" s="39" t="n">
        <f aca="false">MY_PH(AL$2,$A86)</f>
        <v>2015</v>
      </c>
      <c r="AM86" s="39" t="n">
        <f aca="false">MY_PH(AM$2,$A86)</f>
        <v>2015</v>
      </c>
      <c r="AN86" s="39" t="n">
        <f aca="false">MY_PH(AN$2,$A86)</f>
        <v>2015</v>
      </c>
      <c r="AO86" s="39" t="n">
        <f aca="false">MY_PH(AO$2,$A86)</f>
        <v>2015</v>
      </c>
      <c r="AP86" s="39" t="n">
        <f aca="false">MY_PH(AP$2,$A86)</f>
        <v>2015</v>
      </c>
      <c r="AQ86" s="39" t="n">
        <f aca="false">MY_PH(AQ$2,$A86)</f>
        <v>2.69031652432082E-005</v>
      </c>
      <c r="AR86" s="39" t="n">
        <f aca="false">MY_PH(AR$2,$A86)</f>
        <v>2.84288213414224E-005</v>
      </c>
      <c r="AS86" s="39" t="n">
        <f aca="false">MY_PH(AS$2,$A86)</f>
        <v>2.91146792240702E-005</v>
      </c>
    </row>
    <row r="87" customFormat="false" ht="13.8" hidden="false" customHeight="false" outlineLevel="0" collapsed="false">
      <c r="A87" s="0" t="n">
        <v>2470</v>
      </c>
      <c r="B87" s="39" t="n">
        <f aca="false">MY_PH(B$2,$A87)</f>
        <v>2015</v>
      </c>
      <c r="C87" s="39" t="n">
        <f aca="false">MY_PH(C$2,$A87)</f>
        <v>2015</v>
      </c>
      <c r="D87" s="39" t="n">
        <f aca="false">MY_PH(D$2,$A87)</f>
        <v>2015</v>
      </c>
      <c r="E87" s="39" t="n">
        <f aca="false">MY_PH(E$2,$A87)</f>
        <v>2015</v>
      </c>
      <c r="F87" s="39" t="n">
        <f aca="false">MY_PH(F$2,$A87)</f>
        <v>2015</v>
      </c>
      <c r="G87" s="39" t="n">
        <f aca="false">MY_PH(G$2,$A87)</f>
        <v>2015</v>
      </c>
      <c r="H87" s="39" t="n">
        <f aca="false">MY_PH(H$2,$A87)</f>
        <v>2015</v>
      </c>
      <c r="I87" s="39" t="n">
        <f aca="false">MY_PH(I$2,$A87)</f>
        <v>2015</v>
      </c>
      <c r="J87" s="39" t="n">
        <f aca="false">MY_PH(J$2,$A87)</f>
        <v>2015</v>
      </c>
      <c r="K87" s="39" t="n">
        <f aca="false">MY_PH(K$2,$A87)</f>
        <v>2015</v>
      </c>
      <c r="L87" s="39" t="n">
        <f aca="false">MY_PH(L$2,$A87)</f>
        <v>2015</v>
      </c>
      <c r="M87" s="39" t="n">
        <f aca="false">MY_PH(M$2,$A87)</f>
        <v>2015</v>
      </c>
      <c r="N87" s="39" t="n">
        <f aca="false">MY_PH(N$2,$A87)</f>
        <v>2015</v>
      </c>
      <c r="O87" s="39" t="n">
        <f aca="false">MY_PH(O$2,$A87)</f>
        <v>2015</v>
      </c>
      <c r="P87" s="39" t="n">
        <f aca="false">MY_PH(P$2,$A87)</f>
        <v>2015</v>
      </c>
      <c r="Q87" s="39" t="n">
        <f aca="false">MY_PH(Q$2,$A87)</f>
        <v>2015</v>
      </c>
      <c r="R87" s="39" t="n">
        <f aca="false">MY_PH(R$2,$A87)</f>
        <v>2015</v>
      </c>
      <c r="S87" s="39" t="n">
        <f aca="false">MY_PH(S$2,$A87)</f>
        <v>2015</v>
      </c>
      <c r="T87" s="39" t="n">
        <f aca="false">MY_PH(T$2,$A87)</f>
        <v>2015</v>
      </c>
      <c r="U87" s="39" t="n">
        <f aca="false">MY_PH(U$2,$A87)</f>
        <v>2015</v>
      </c>
      <c r="V87" s="39" t="n">
        <f aca="false">MY_PH(V$2,$A87)</f>
        <v>2015</v>
      </c>
      <c r="W87" s="39" t="n">
        <f aca="false">MY_PH(W$2,$A87)</f>
        <v>2015</v>
      </c>
      <c r="X87" s="39" t="n">
        <f aca="false">MY_PH(X$2,$A87)</f>
        <v>2015</v>
      </c>
      <c r="Y87" s="39" t="n">
        <f aca="false">MY_PH(Y$2,$A87)</f>
        <v>2015</v>
      </c>
      <c r="Z87" s="39" t="n">
        <f aca="false">MY_PH(Z$2,$A87)</f>
        <v>2015</v>
      </c>
      <c r="AA87" s="39" t="n">
        <f aca="false">MY_PH(AA$2,$A87)</f>
        <v>2015</v>
      </c>
      <c r="AB87" s="39" t="n">
        <f aca="false">MY_PH(AB$2,$A87)</f>
        <v>2015</v>
      </c>
      <c r="AC87" s="39" t="n">
        <f aca="false">MY_PH(AC$2,$A87)</f>
        <v>2015</v>
      </c>
      <c r="AD87" s="39" t="n">
        <f aca="false">MY_PH(AD$2,$A87)</f>
        <v>2015</v>
      </c>
      <c r="AE87" s="39" t="n">
        <f aca="false">MY_PH(AE$2,$A87)</f>
        <v>2015</v>
      </c>
      <c r="AF87" s="39" t="n">
        <f aca="false">MY_PH(AF$2,$A87)</f>
        <v>2015</v>
      </c>
      <c r="AG87" s="39" t="n">
        <f aca="false">MY_PH(AG$2,$A87)</f>
        <v>2015</v>
      </c>
      <c r="AH87" s="39" t="n">
        <f aca="false">MY_PH(AH$2,$A87)</f>
        <v>2015</v>
      </c>
      <c r="AI87" s="39" t="n">
        <f aca="false">MY_PH(AI$2,$A87)</f>
        <v>2015</v>
      </c>
      <c r="AJ87" s="39" t="n">
        <f aca="false">MY_PH(AJ$2,$A87)</f>
        <v>2015</v>
      </c>
      <c r="AK87" s="39" t="n">
        <f aca="false">MY_PH(AK$2,$A87)</f>
        <v>2015</v>
      </c>
      <c r="AL87" s="39" t="n">
        <f aca="false">MY_PH(AL$2,$A87)</f>
        <v>2015</v>
      </c>
      <c r="AM87" s="39" t="n">
        <f aca="false">MY_PH(AM$2,$A87)</f>
        <v>2015</v>
      </c>
      <c r="AN87" s="39" t="n">
        <f aca="false">MY_PH(AN$2,$A87)</f>
        <v>2015</v>
      </c>
      <c r="AO87" s="39" t="n">
        <f aca="false">MY_PH(AO$2,$A87)</f>
        <v>2015</v>
      </c>
      <c r="AP87" s="39" t="n">
        <f aca="false">MY_PH(AP$2,$A87)</f>
        <v>2015</v>
      </c>
      <c r="AQ87" s="39" t="n">
        <f aca="false">MY_PH(AQ$2,$A87)</f>
        <v>2.67991478214449E-005</v>
      </c>
      <c r="AR87" s="39" t="n">
        <f aca="false">MY_PH(AR$2,$A87)</f>
        <v>2.83049171184639E-005</v>
      </c>
      <c r="AS87" s="39" t="n">
        <f aca="false">MY_PH(AS$2,$A87)</f>
        <v>2.89819342408946E-005</v>
      </c>
    </row>
    <row r="88" customFormat="false" ht="13.8" hidden="false" customHeight="false" outlineLevel="0" collapsed="false">
      <c r="A88" s="0" t="n">
        <v>2480</v>
      </c>
      <c r="B88" s="39" t="n">
        <f aca="false">MY_PH(B$2,$A88)</f>
        <v>2015</v>
      </c>
      <c r="C88" s="39" t="n">
        <f aca="false">MY_PH(C$2,$A88)</f>
        <v>2015</v>
      </c>
      <c r="D88" s="39" t="n">
        <f aca="false">MY_PH(D$2,$A88)</f>
        <v>2015</v>
      </c>
      <c r="E88" s="39" t="n">
        <f aca="false">MY_PH(E$2,$A88)</f>
        <v>2015</v>
      </c>
      <c r="F88" s="39" t="n">
        <f aca="false">MY_PH(F$2,$A88)</f>
        <v>2015</v>
      </c>
      <c r="G88" s="39" t="n">
        <f aca="false">MY_PH(G$2,$A88)</f>
        <v>2015</v>
      </c>
      <c r="H88" s="39" t="n">
        <f aca="false">MY_PH(H$2,$A88)</f>
        <v>2015</v>
      </c>
      <c r="I88" s="39" t="n">
        <f aca="false">MY_PH(I$2,$A88)</f>
        <v>2015</v>
      </c>
      <c r="J88" s="39" t="n">
        <f aca="false">MY_PH(J$2,$A88)</f>
        <v>2015</v>
      </c>
      <c r="K88" s="39" t="n">
        <f aca="false">MY_PH(K$2,$A88)</f>
        <v>2015</v>
      </c>
      <c r="L88" s="39" t="n">
        <f aca="false">MY_PH(L$2,$A88)</f>
        <v>2015</v>
      </c>
      <c r="M88" s="39" t="n">
        <f aca="false">MY_PH(M$2,$A88)</f>
        <v>2015</v>
      </c>
      <c r="N88" s="39" t="n">
        <f aca="false">MY_PH(N$2,$A88)</f>
        <v>2015</v>
      </c>
      <c r="O88" s="39" t="n">
        <f aca="false">MY_PH(O$2,$A88)</f>
        <v>2015</v>
      </c>
      <c r="P88" s="39" t="n">
        <f aca="false">MY_PH(P$2,$A88)</f>
        <v>2015</v>
      </c>
      <c r="Q88" s="39" t="n">
        <f aca="false">MY_PH(Q$2,$A88)</f>
        <v>2015</v>
      </c>
      <c r="R88" s="39" t="n">
        <f aca="false">MY_PH(R$2,$A88)</f>
        <v>2015</v>
      </c>
      <c r="S88" s="39" t="n">
        <f aca="false">MY_PH(S$2,$A88)</f>
        <v>2015</v>
      </c>
      <c r="T88" s="39" t="n">
        <f aca="false">MY_PH(T$2,$A88)</f>
        <v>2015</v>
      </c>
      <c r="U88" s="39" t="n">
        <f aca="false">MY_PH(U$2,$A88)</f>
        <v>2015</v>
      </c>
      <c r="V88" s="39" t="n">
        <f aca="false">MY_PH(V$2,$A88)</f>
        <v>2015</v>
      </c>
      <c r="W88" s="39" t="n">
        <f aca="false">MY_PH(W$2,$A88)</f>
        <v>2015</v>
      </c>
      <c r="X88" s="39" t="n">
        <f aca="false">MY_PH(X$2,$A88)</f>
        <v>2015</v>
      </c>
      <c r="Y88" s="39" t="n">
        <f aca="false">MY_PH(Y$2,$A88)</f>
        <v>2015</v>
      </c>
      <c r="Z88" s="39" t="n">
        <f aca="false">MY_PH(Z$2,$A88)</f>
        <v>2015</v>
      </c>
      <c r="AA88" s="39" t="n">
        <f aca="false">MY_PH(AA$2,$A88)</f>
        <v>2015</v>
      </c>
      <c r="AB88" s="39" t="n">
        <f aca="false">MY_PH(AB$2,$A88)</f>
        <v>2015</v>
      </c>
      <c r="AC88" s="39" t="n">
        <f aca="false">MY_PH(AC$2,$A88)</f>
        <v>2015</v>
      </c>
      <c r="AD88" s="39" t="n">
        <f aca="false">MY_PH(AD$2,$A88)</f>
        <v>2015</v>
      </c>
      <c r="AE88" s="39" t="n">
        <f aca="false">MY_PH(AE$2,$A88)</f>
        <v>2015</v>
      </c>
      <c r="AF88" s="39" t="n">
        <f aca="false">MY_PH(AF$2,$A88)</f>
        <v>2015</v>
      </c>
      <c r="AG88" s="39" t="n">
        <f aca="false">MY_PH(AG$2,$A88)</f>
        <v>2015</v>
      </c>
      <c r="AH88" s="39" t="n">
        <f aca="false">MY_PH(AH$2,$A88)</f>
        <v>2015</v>
      </c>
      <c r="AI88" s="39" t="n">
        <f aca="false">MY_PH(AI$2,$A88)</f>
        <v>2015</v>
      </c>
      <c r="AJ88" s="39" t="n">
        <f aca="false">MY_PH(AJ$2,$A88)</f>
        <v>2015</v>
      </c>
      <c r="AK88" s="39" t="n">
        <f aca="false">MY_PH(AK$2,$A88)</f>
        <v>2015</v>
      </c>
      <c r="AL88" s="39" t="n">
        <f aca="false">MY_PH(AL$2,$A88)</f>
        <v>2015</v>
      </c>
      <c r="AM88" s="39" t="n">
        <f aca="false">MY_PH(AM$2,$A88)</f>
        <v>2015</v>
      </c>
      <c r="AN88" s="39" t="n">
        <f aca="false">MY_PH(AN$2,$A88)</f>
        <v>2015</v>
      </c>
      <c r="AO88" s="39" t="n">
        <f aca="false">MY_PH(AO$2,$A88)</f>
        <v>2015</v>
      </c>
      <c r="AP88" s="39" t="n">
        <f aca="false">MY_PH(AP$2,$A88)</f>
        <v>2015</v>
      </c>
      <c r="AQ88" s="39" t="n">
        <f aca="false">MY_PH(AQ$2,$A88)</f>
        <v>2.6700895831884E-005</v>
      </c>
      <c r="AR88" s="39" t="n">
        <f aca="false">MY_PH(AR$2,$A88)</f>
        <v>2.81871809090415E-005</v>
      </c>
      <c r="AS88" s="39" t="n">
        <f aca="false">MY_PH(AS$2,$A88)</f>
        <v>2.88555352790247E-005</v>
      </c>
    </row>
    <row r="89" customFormat="false" ht="13.8" hidden="false" customHeight="false" outlineLevel="0" collapsed="false">
      <c r="A89" s="0" t="n">
        <v>2490</v>
      </c>
      <c r="B89" s="39" t="n">
        <f aca="false">MY_PH(B$2,$A89)</f>
        <v>2015</v>
      </c>
      <c r="C89" s="39" t="n">
        <f aca="false">MY_PH(C$2,$A89)</f>
        <v>2015</v>
      </c>
      <c r="D89" s="39" t="n">
        <f aca="false">MY_PH(D$2,$A89)</f>
        <v>2015</v>
      </c>
      <c r="E89" s="39" t="n">
        <f aca="false">MY_PH(E$2,$A89)</f>
        <v>2015</v>
      </c>
      <c r="F89" s="39" t="n">
        <f aca="false">MY_PH(F$2,$A89)</f>
        <v>2015</v>
      </c>
      <c r="G89" s="39" t="n">
        <f aca="false">MY_PH(G$2,$A89)</f>
        <v>2015</v>
      </c>
      <c r="H89" s="39" t="n">
        <f aca="false">MY_PH(H$2,$A89)</f>
        <v>2015</v>
      </c>
      <c r="I89" s="39" t="n">
        <f aca="false">MY_PH(I$2,$A89)</f>
        <v>2015</v>
      </c>
      <c r="J89" s="39" t="n">
        <f aca="false">MY_PH(J$2,$A89)</f>
        <v>2015</v>
      </c>
      <c r="K89" s="39" t="n">
        <f aca="false">MY_PH(K$2,$A89)</f>
        <v>2015</v>
      </c>
      <c r="L89" s="39" t="n">
        <f aca="false">MY_PH(L$2,$A89)</f>
        <v>2015</v>
      </c>
      <c r="M89" s="39" t="n">
        <f aca="false">MY_PH(M$2,$A89)</f>
        <v>2015</v>
      </c>
      <c r="N89" s="39" t="n">
        <f aca="false">MY_PH(N$2,$A89)</f>
        <v>2015</v>
      </c>
      <c r="O89" s="39" t="n">
        <f aca="false">MY_PH(O$2,$A89)</f>
        <v>2015</v>
      </c>
      <c r="P89" s="39" t="n">
        <f aca="false">MY_PH(P$2,$A89)</f>
        <v>2015</v>
      </c>
      <c r="Q89" s="39" t="n">
        <f aca="false">MY_PH(Q$2,$A89)</f>
        <v>2015</v>
      </c>
      <c r="R89" s="39" t="n">
        <f aca="false">MY_PH(R$2,$A89)</f>
        <v>2015</v>
      </c>
      <c r="S89" s="39" t="n">
        <f aca="false">MY_PH(S$2,$A89)</f>
        <v>2015</v>
      </c>
      <c r="T89" s="39" t="n">
        <f aca="false">MY_PH(T$2,$A89)</f>
        <v>2015</v>
      </c>
      <c r="U89" s="39" t="n">
        <f aca="false">MY_PH(U$2,$A89)</f>
        <v>2015</v>
      </c>
      <c r="V89" s="39" t="n">
        <f aca="false">MY_PH(V$2,$A89)</f>
        <v>2015</v>
      </c>
      <c r="W89" s="39" t="n">
        <f aca="false">MY_PH(W$2,$A89)</f>
        <v>2015</v>
      </c>
      <c r="X89" s="39" t="n">
        <f aca="false">MY_PH(X$2,$A89)</f>
        <v>2015</v>
      </c>
      <c r="Y89" s="39" t="n">
        <f aca="false">MY_PH(Y$2,$A89)</f>
        <v>2015</v>
      </c>
      <c r="Z89" s="39" t="n">
        <f aca="false">MY_PH(Z$2,$A89)</f>
        <v>2015</v>
      </c>
      <c r="AA89" s="39" t="n">
        <f aca="false">MY_PH(AA$2,$A89)</f>
        <v>2015</v>
      </c>
      <c r="AB89" s="39" t="n">
        <f aca="false">MY_PH(AB$2,$A89)</f>
        <v>2015</v>
      </c>
      <c r="AC89" s="39" t="n">
        <f aca="false">MY_PH(AC$2,$A89)</f>
        <v>2015</v>
      </c>
      <c r="AD89" s="39" t="n">
        <f aca="false">MY_PH(AD$2,$A89)</f>
        <v>2015</v>
      </c>
      <c r="AE89" s="39" t="n">
        <f aca="false">MY_PH(AE$2,$A89)</f>
        <v>2015</v>
      </c>
      <c r="AF89" s="39" t="n">
        <f aca="false">MY_PH(AF$2,$A89)</f>
        <v>2015</v>
      </c>
      <c r="AG89" s="39" t="n">
        <f aca="false">MY_PH(AG$2,$A89)</f>
        <v>2015</v>
      </c>
      <c r="AH89" s="39" t="n">
        <f aca="false">MY_PH(AH$2,$A89)</f>
        <v>2015</v>
      </c>
      <c r="AI89" s="39" t="n">
        <f aca="false">MY_PH(AI$2,$A89)</f>
        <v>2015</v>
      </c>
      <c r="AJ89" s="39" t="n">
        <f aca="false">MY_PH(AJ$2,$A89)</f>
        <v>2015</v>
      </c>
      <c r="AK89" s="39" t="n">
        <f aca="false">MY_PH(AK$2,$A89)</f>
        <v>2015</v>
      </c>
      <c r="AL89" s="39" t="n">
        <f aca="false">MY_PH(AL$2,$A89)</f>
        <v>2015</v>
      </c>
      <c r="AM89" s="39" t="n">
        <f aca="false">MY_PH(AM$2,$A89)</f>
        <v>2015</v>
      </c>
      <c r="AN89" s="39" t="n">
        <f aca="false">MY_PH(AN$2,$A89)</f>
        <v>2015</v>
      </c>
      <c r="AO89" s="39" t="n">
        <f aca="false">MY_PH(AO$2,$A89)</f>
        <v>2015</v>
      </c>
      <c r="AP89" s="39" t="n">
        <f aca="false">MY_PH(AP$2,$A89)</f>
        <v>2015</v>
      </c>
      <c r="AQ89" s="39" t="n">
        <f aca="false">MY_PH(AQ$2,$A89)</f>
        <v>2.66082666876844E-005</v>
      </c>
      <c r="AR89" s="39" t="n">
        <f aca="false">MY_PH(AR$2,$A89)</f>
        <v>2.80754550450921E-005</v>
      </c>
      <c r="AS89" s="39" t="n">
        <f aca="false">MY_PH(AS$2,$A89)</f>
        <v>2.87353209782419E-005</v>
      </c>
    </row>
    <row r="90" customFormat="false" ht="13.8" hidden="false" customHeight="false" outlineLevel="0" collapsed="false">
      <c r="A90" s="0" t="n">
        <v>2500</v>
      </c>
      <c r="B90" s="39" t="n">
        <f aca="false">MY_PH(B$2,$A90)</f>
        <v>2015</v>
      </c>
      <c r="C90" s="39" t="n">
        <f aca="false">MY_PH(C$2,$A90)</f>
        <v>2015</v>
      </c>
      <c r="D90" s="39" t="n">
        <f aca="false">MY_PH(D$2,$A90)</f>
        <v>2015</v>
      </c>
      <c r="E90" s="39" t="n">
        <f aca="false">MY_PH(E$2,$A90)</f>
        <v>2015</v>
      </c>
      <c r="F90" s="39" t="n">
        <f aca="false">MY_PH(F$2,$A90)</f>
        <v>2015</v>
      </c>
      <c r="G90" s="39" t="n">
        <f aca="false">MY_PH(G$2,$A90)</f>
        <v>2015</v>
      </c>
      <c r="H90" s="39" t="n">
        <f aca="false">MY_PH(H$2,$A90)</f>
        <v>2015</v>
      </c>
      <c r="I90" s="39" t="n">
        <f aca="false">MY_PH(I$2,$A90)</f>
        <v>2015</v>
      </c>
      <c r="J90" s="39" t="n">
        <f aca="false">MY_PH(J$2,$A90)</f>
        <v>2015</v>
      </c>
      <c r="K90" s="39" t="n">
        <f aca="false">MY_PH(K$2,$A90)</f>
        <v>2015</v>
      </c>
      <c r="L90" s="39" t="n">
        <f aca="false">MY_PH(L$2,$A90)</f>
        <v>2015</v>
      </c>
      <c r="M90" s="39" t="n">
        <f aca="false">MY_PH(M$2,$A90)</f>
        <v>2015</v>
      </c>
      <c r="N90" s="39" t="n">
        <f aca="false">MY_PH(N$2,$A90)</f>
        <v>2015</v>
      </c>
      <c r="O90" s="39" t="n">
        <f aca="false">MY_PH(O$2,$A90)</f>
        <v>2015</v>
      </c>
      <c r="P90" s="39" t="n">
        <f aca="false">MY_PH(P$2,$A90)</f>
        <v>2015</v>
      </c>
      <c r="Q90" s="39" t="n">
        <f aca="false">MY_PH(Q$2,$A90)</f>
        <v>2015</v>
      </c>
      <c r="R90" s="39" t="n">
        <f aca="false">MY_PH(R$2,$A90)</f>
        <v>2015</v>
      </c>
      <c r="S90" s="39" t="n">
        <f aca="false">MY_PH(S$2,$A90)</f>
        <v>2015</v>
      </c>
      <c r="T90" s="39" t="n">
        <f aca="false">MY_PH(T$2,$A90)</f>
        <v>2015</v>
      </c>
      <c r="U90" s="39" t="n">
        <f aca="false">MY_PH(U$2,$A90)</f>
        <v>2015</v>
      </c>
      <c r="V90" s="39" t="n">
        <f aca="false">MY_PH(V$2,$A90)</f>
        <v>2015</v>
      </c>
      <c r="W90" s="39" t="n">
        <f aca="false">MY_PH(W$2,$A90)</f>
        <v>2015</v>
      </c>
      <c r="X90" s="39" t="n">
        <f aca="false">MY_PH(X$2,$A90)</f>
        <v>2015</v>
      </c>
      <c r="Y90" s="39" t="n">
        <f aca="false">MY_PH(Y$2,$A90)</f>
        <v>2015</v>
      </c>
      <c r="Z90" s="39" t="n">
        <f aca="false">MY_PH(Z$2,$A90)</f>
        <v>2015</v>
      </c>
      <c r="AA90" s="39" t="n">
        <f aca="false">MY_PH(AA$2,$A90)</f>
        <v>2015</v>
      </c>
      <c r="AB90" s="39" t="n">
        <f aca="false">MY_PH(AB$2,$A90)</f>
        <v>2015</v>
      </c>
      <c r="AC90" s="39" t="n">
        <f aca="false">MY_PH(AC$2,$A90)</f>
        <v>2015</v>
      </c>
      <c r="AD90" s="39" t="n">
        <f aca="false">MY_PH(AD$2,$A90)</f>
        <v>2015</v>
      </c>
      <c r="AE90" s="39" t="n">
        <f aca="false">MY_PH(AE$2,$A90)</f>
        <v>2015</v>
      </c>
      <c r="AF90" s="39" t="n">
        <f aca="false">MY_PH(AF$2,$A90)</f>
        <v>2015</v>
      </c>
      <c r="AG90" s="39" t="n">
        <f aca="false">MY_PH(AG$2,$A90)</f>
        <v>2015</v>
      </c>
      <c r="AH90" s="39" t="n">
        <f aca="false">MY_PH(AH$2,$A90)</f>
        <v>2015</v>
      </c>
      <c r="AI90" s="39" t="n">
        <f aca="false">MY_PH(AI$2,$A90)</f>
        <v>2015</v>
      </c>
      <c r="AJ90" s="39" t="n">
        <f aca="false">MY_PH(AJ$2,$A90)</f>
        <v>2015</v>
      </c>
      <c r="AK90" s="39" t="n">
        <f aca="false">MY_PH(AK$2,$A90)</f>
        <v>2015</v>
      </c>
      <c r="AL90" s="39" t="n">
        <f aca="false">MY_PH(AL$2,$A90)</f>
        <v>2015</v>
      </c>
      <c r="AM90" s="39" t="n">
        <f aca="false">MY_PH(AM$2,$A90)</f>
        <v>2015</v>
      </c>
      <c r="AN90" s="39" t="n">
        <f aca="false">MY_PH(AN$2,$A90)</f>
        <v>2015</v>
      </c>
      <c r="AO90" s="39" t="n">
        <f aca="false">MY_PH(AO$2,$A90)</f>
        <v>2015</v>
      </c>
      <c r="AP90" s="39" t="n">
        <f aca="false">MY_PH(AP$2,$A90)</f>
        <v>2015</v>
      </c>
      <c r="AQ90" s="39" t="n">
        <f aca="false">MY_PH(AQ$2,$A90)</f>
        <v>2.65211180191859E-005</v>
      </c>
      <c r="AR90" s="39" t="n">
        <f aca="false">MY_PH(AR$2,$A90)</f>
        <v>2.79695858584289E-005</v>
      </c>
      <c r="AS90" s="39" t="n">
        <f aca="false">MY_PH(AS$2,$A90)</f>
        <v>2.86211347774409E-005</v>
      </c>
    </row>
    <row r="91" customFormat="false" ht="13.8" hidden="false" customHeight="false" outlineLevel="0" collapsed="false">
      <c r="A91" s="0" t="n">
        <v>2510</v>
      </c>
      <c r="B91" s="39" t="n">
        <f aca="false">MY_PH(B$2,$A91)</f>
        <v>9.33266168852835E-006</v>
      </c>
      <c r="C91" s="39" t="n">
        <f aca="false">MY_PH(C$2,$A91)</f>
        <v>9.33339968519063E-006</v>
      </c>
      <c r="D91" s="39" t="n">
        <f aca="false">MY_PH(D$2,$A91)</f>
        <v>9.33414123114096E-006</v>
      </c>
      <c r="E91" s="39" t="n">
        <f aca="false">MY_PH(E$2,$A91)</f>
        <v>2015</v>
      </c>
      <c r="F91" s="39" t="n">
        <f aca="false">MY_PH(F$2,$A91)</f>
        <v>2015</v>
      </c>
      <c r="G91" s="39" t="n">
        <f aca="false">MY_PH(G$2,$A91)</f>
        <v>2015</v>
      </c>
      <c r="H91" s="39" t="n">
        <f aca="false">MY_PH(H$2,$A91)</f>
        <v>2015</v>
      </c>
      <c r="I91" s="39" t="n">
        <f aca="false">MY_PH(I$2,$A91)</f>
        <v>2015</v>
      </c>
      <c r="J91" s="39" t="n">
        <f aca="false">MY_PH(J$2,$A91)</f>
        <v>2015</v>
      </c>
      <c r="K91" s="39" t="n">
        <f aca="false">MY_PH(K$2,$A91)</f>
        <v>2015</v>
      </c>
      <c r="L91" s="39" t="n">
        <f aca="false">MY_PH(L$2,$A91)</f>
        <v>2015</v>
      </c>
      <c r="M91" s="39" t="n">
        <f aca="false">MY_PH(M$2,$A91)</f>
        <v>2015</v>
      </c>
      <c r="N91" s="39" t="n">
        <f aca="false">MY_PH(N$2,$A91)</f>
        <v>2015</v>
      </c>
      <c r="O91" s="39" t="n">
        <f aca="false">MY_PH(O$2,$A91)</f>
        <v>2015</v>
      </c>
      <c r="P91" s="39" t="n">
        <f aca="false">MY_PH(P$2,$A91)</f>
        <v>2015</v>
      </c>
      <c r="Q91" s="39" t="n">
        <f aca="false">MY_PH(Q$2,$A91)</f>
        <v>2015</v>
      </c>
      <c r="R91" s="39" t="n">
        <f aca="false">MY_PH(R$2,$A91)</f>
        <v>2015</v>
      </c>
      <c r="S91" s="39" t="n">
        <f aca="false">MY_PH(S$2,$A91)</f>
        <v>2015</v>
      </c>
      <c r="T91" s="39" t="n">
        <f aca="false">MY_PH(T$2,$A91)</f>
        <v>2015</v>
      </c>
      <c r="U91" s="39" t="n">
        <f aca="false">MY_PH(U$2,$A91)</f>
        <v>2015</v>
      </c>
      <c r="V91" s="39" t="n">
        <f aca="false">MY_PH(V$2,$A91)</f>
        <v>2015</v>
      </c>
      <c r="W91" s="39" t="n">
        <f aca="false">MY_PH(W$2,$A91)</f>
        <v>2015</v>
      </c>
      <c r="X91" s="39" t="n">
        <f aca="false">MY_PH(X$2,$A91)</f>
        <v>2015</v>
      </c>
      <c r="Y91" s="39" t="n">
        <f aca="false">MY_PH(Y$2,$A91)</f>
        <v>2015</v>
      </c>
      <c r="Z91" s="39" t="n">
        <f aca="false">MY_PH(Z$2,$A91)</f>
        <v>2015</v>
      </c>
      <c r="AA91" s="39" t="n">
        <f aca="false">MY_PH(AA$2,$A91)</f>
        <v>2015</v>
      </c>
      <c r="AB91" s="39" t="n">
        <f aca="false">MY_PH(AB$2,$A91)</f>
        <v>2015</v>
      </c>
      <c r="AC91" s="39" t="n">
        <f aca="false">MY_PH(AC$2,$A91)</f>
        <v>2015</v>
      </c>
      <c r="AD91" s="39" t="n">
        <f aca="false">MY_PH(AD$2,$A91)</f>
        <v>2015</v>
      </c>
      <c r="AE91" s="39" t="n">
        <f aca="false">MY_PH(AE$2,$A91)</f>
        <v>2015</v>
      </c>
      <c r="AF91" s="39" t="n">
        <f aca="false">MY_PH(AF$2,$A91)</f>
        <v>2015</v>
      </c>
      <c r="AG91" s="39" t="n">
        <f aca="false">MY_PH(AG$2,$A91)</f>
        <v>2015</v>
      </c>
      <c r="AH91" s="39" t="n">
        <f aca="false">MY_PH(AH$2,$A91)</f>
        <v>2015</v>
      </c>
      <c r="AI91" s="39" t="n">
        <f aca="false">MY_PH(AI$2,$A91)</f>
        <v>2015</v>
      </c>
      <c r="AJ91" s="39" t="n">
        <f aca="false">MY_PH(AJ$2,$A91)</f>
        <v>2015</v>
      </c>
      <c r="AK91" s="39" t="n">
        <f aca="false">MY_PH(AK$2,$A91)</f>
        <v>2015</v>
      </c>
      <c r="AL91" s="39" t="n">
        <f aca="false">MY_PH(AL$2,$A91)</f>
        <v>2015</v>
      </c>
      <c r="AM91" s="39" t="n">
        <f aca="false">MY_PH(AM$2,$A91)</f>
        <v>2015</v>
      </c>
      <c r="AN91" s="39" t="n">
        <f aca="false">MY_PH(AN$2,$A91)</f>
        <v>2015</v>
      </c>
      <c r="AO91" s="39" t="n">
        <f aca="false">MY_PH(AO$2,$A91)</f>
        <v>2015</v>
      </c>
      <c r="AP91" s="39" t="n">
        <f aca="false">MY_PH(AP$2,$A91)</f>
        <v>2015</v>
      </c>
      <c r="AQ91" s="39" t="n">
        <f aca="false">MY_PH(AQ$2,$A91)</f>
        <v>2.64393088818613E-005</v>
      </c>
      <c r="AR91" s="39" t="n">
        <f aca="false">MY_PH(AR$2,$A91)</f>
        <v>2.78694246541726E-005</v>
      </c>
      <c r="AS91" s="39" t="n">
        <f aca="false">MY_PH(AS$2,$A91)</f>
        <v>2.85128258141374E-005</v>
      </c>
    </row>
    <row r="92" customFormat="false" ht="13.8" hidden="false" customHeight="false" outlineLevel="0" collapsed="false">
      <c r="A92" s="0" t="n">
        <v>2520</v>
      </c>
      <c r="B92" s="39" t="n">
        <f aca="false">MY_PH(B$2,$A92)</f>
        <v>9.46744842212627E-006</v>
      </c>
      <c r="C92" s="39" t="n">
        <f aca="false">MY_PH(C$2,$A92)</f>
        <v>9.46810626146215E-006</v>
      </c>
      <c r="D92" s="39" t="n">
        <f aca="false">MY_PH(D$2,$A92)</f>
        <v>9.4687665944486E-006</v>
      </c>
      <c r="E92" s="39" t="n">
        <f aca="false">MY_PH(E$2,$A92)</f>
        <v>9.46942942333035E-006</v>
      </c>
      <c r="F92" s="39" t="n">
        <f aca="false">MY_PH(F$2,$A92)</f>
        <v>9.47009475027426E-006</v>
      </c>
      <c r="G92" s="39" t="n">
        <f aca="false">MY_PH(G$2,$A92)</f>
        <v>2015</v>
      </c>
      <c r="H92" s="39" t="n">
        <f aca="false">MY_PH(H$2,$A92)</f>
        <v>2015</v>
      </c>
      <c r="I92" s="39" t="n">
        <f aca="false">MY_PH(I$2,$A92)</f>
        <v>2015</v>
      </c>
      <c r="J92" s="39" t="n">
        <f aca="false">MY_PH(J$2,$A92)</f>
        <v>2015</v>
      </c>
      <c r="K92" s="39" t="n">
        <f aca="false">MY_PH(K$2,$A92)</f>
        <v>2015</v>
      </c>
      <c r="L92" s="39" t="n">
        <f aca="false">MY_PH(L$2,$A92)</f>
        <v>2015</v>
      </c>
      <c r="M92" s="39" t="n">
        <f aca="false">MY_PH(M$2,$A92)</f>
        <v>2015</v>
      </c>
      <c r="N92" s="39" t="n">
        <f aca="false">MY_PH(N$2,$A92)</f>
        <v>2015</v>
      </c>
      <c r="O92" s="39" t="n">
        <f aca="false">MY_PH(O$2,$A92)</f>
        <v>2015</v>
      </c>
      <c r="P92" s="39" t="n">
        <f aca="false">MY_PH(P$2,$A92)</f>
        <v>2015</v>
      </c>
      <c r="Q92" s="39" t="n">
        <f aca="false">MY_PH(Q$2,$A92)</f>
        <v>2015</v>
      </c>
      <c r="R92" s="39" t="n">
        <f aca="false">MY_PH(R$2,$A92)</f>
        <v>2015</v>
      </c>
      <c r="S92" s="39" t="n">
        <f aca="false">MY_PH(S$2,$A92)</f>
        <v>2015</v>
      </c>
      <c r="T92" s="39" t="n">
        <f aca="false">MY_PH(T$2,$A92)</f>
        <v>2015</v>
      </c>
      <c r="U92" s="39" t="n">
        <f aca="false">MY_PH(U$2,$A92)</f>
        <v>2015</v>
      </c>
      <c r="V92" s="39" t="n">
        <f aca="false">MY_PH(V$2,$A92)</f>
        <v>2015</v>
      </c>
      <c r="W92" s="39" t="n">
        <f aca="false">MY_PH(W$2,$A92)</f>
        <v>2015</v>
      </c>
      <c r="X92" s="39" t="n">
        <f aca="false">MY_PH(X$2,$A92)</f>
        <v>2015</v>
      </c>
      <c r="Y92" s="39" t="n">
        <f aca="false">MY_PH(Y$2,$A92)</f>
        <v>2015</v>
      </c>
      <c r="Z92" s="39" t="n">
        <f aca="false">MY_PH(Z$2,$A92)</f>
        <v>2015</v>
      </c>
      <c r="AA92" s="39" t="n">
        <f aca="false">MY_PH(AA$2,$A92)</f>
        <v>2015</v>
      </c>
      <c r="AB92" s="39" t="n">
        <f aca="false">MY_PH(AB$2,$A92)</f>
        <v>2015</v>
      </c>
      <c r="AC92" s="39" t="n">
        <f aca="false">MY_PH(AC$2,$A92)</f>
        <v>2015</v>
      </c>
      <c r="AD92" s="39" t="n">
        <f aca="false">MY_PH(AD$2,$A92)</f>
        <v>2015</v>
      </c>
      <c r="AE92" s="39" t="n">
        <f aca="false">MY_PH(AE$2,$A92)</f>
        <v>2015</v>
      </c>
      <c r="AF92" s="39" t="n">
        <f aca="false">MY_PH(AF$2,$A92)</f>
        <v>2015</v>
      </c>
      <c r="AG92" s="39" t="n">
        <f aca="false">MY_PH(AG$2,$A92)</f>
        <v>2015</v>
      </c>
      <c r="AH92" s="39" t="n">
        <f aca="false">MY_PH(AH$2,$A92)</f>
        <v>2015</v>
      </c>
      <c r="AI92" s="39" t="n">
        <f aca="false">MY_PH(AI$2,$A92)</f>
        <v>2015</v>
      </c>
      <c r="AJ92" s="39" t="n">
        <f aca="false">MY_PH(AJ$2,$A92)</f>
        <v>2015</v>
      </c>
      <c r="AK92" s="39" t="n">
        <f aca="false">MY_PH(AK$2,$A92)</f>
        <v>2015</v>
      </c>
      <c r="AL92" s="39" t="n">
        <f aca="false">MY_PH(AL$2,$A92)</f>
        <v>2015</v>
      </c>
      <c r="AM92" s="39" t="n">
        <f aca="false">MY_PH(AM$2,$A92)</f>
        <v>2015</v>
      </c>
      <c r="AN92" s="39" t="n">
        <f aca="false">MY_PH(AN$2,$A92)</f>
        <v>2015</v>
      </c>
      <c r="AO92" s="39" t="n">
        <f aca="false">MY_PH(AO$2,$A92)</f>
        <v>2015</v>
      </c>
      <c r="AP92" s="39" t="n">
        <f aca="false">MY_PH(AP$2,$A92)</f>
        <v>2015</v>
      </c>
      <c r="AQ92" s="39" t="n">
        <f aca="false">MY_PH(AQ$2,$A92)</f>
        <v>2.63627013952961E-005</v>
      </c>
      <c r="AR92" s="39" t="n">
        <f aca="false">MY_PH(AR$2,$A92)</f>
        <v>2.77748289900818E-005</v>
      </c>
      <c r="AS92" s="39" t="n">
        <f aca="false">MY_PH(AS$2,$A92)</f>
        <v>2.84102500845813E-005</v>
      </c>
    </row>
    <row r="93" customFormat="false" ht="13.8" hidden="false" customHeight="false" outlineLevel="0" collapsed="false">
      <c r="A93" s="0" t="n">
        <v>2530</v>
      </c>
      <c r="B93" s="39" t="n">
        <f aca="false">MY_PH(B$2,$A93)</f>
        <v>9.60845135534662E-006</v>
      </c>
      <c r="C93" s="39" t="n">
        <f aca="false">MY_PH(C$2,$A93)</f>
        <v>9.60903834275705E-006</v>
      </c>
      <c r="D93" s="39" t="n">
        <f aca="false">MY_PH(D$2,$A93)</f>
        <v>9.60962705881891E-006</v>
      </c>
      <c r="E93" s="39" t="n">
        <f aca="false">MY_PH(E$2,$A93)</f>
        <v>9.61021750509324E-006</v>
      </c>
      <c r="F93" s="39" t="n">
        <f aca="false">MY_PH(F$2,$A93)</f>
        <v>9.61080968310998E-006</v>
      </c>
      <c r="G93" s="39" t="n">
        <f aca="false">MY_PH(G$2,$A93)</f>
        <v>2015</v>
      </c>
      <c r="H93" s="39" t="n">
        <f aca="false">MY_PH(H$2,$A93)</f>
        <v>2015</v>
      </c>
      <c r="I93" s="39" t="n">
        <f aca="false">MY_PH(I$2,$A93)</f>
        <v>2015</v>
      </c>
      <c r="J93" s="39" t="n">
        <f aca="false">MY_PH(J$2,$A93)</f>
        <v>2015</v>
      </c>
      <c r="K93" s="39" t="n">
        <f aca="false">MY_PH(K$2,$A93)</f>
        <v>2015</v>
      </c>
      <c r="L93" s="39" t="n">
        <f aca="false">MY_PH(L$2,$A93)</f>
        <v>2015</v>
      </c>
      <c r="M93" s="39" t="n">
        <f aca="false">MY_PH(M$2,$A93)</f>
        <v>2015</v>
      </c>
      <c r="N93" s="39" t="n">
        <f aca="false">MY_PH(N$2,$A93)</f>
        <v>2015</v>
      </c>
      <c r="O93" s="39" t="n">
        <f aca="false">MY_PH(O$2,$A93)</f>
        <v>2015</v>
      </c>
      <c r="P93" s="39" t="n">
        <f aca="false">MY_PH(P$2,$A93)</f>
        <v>2015</v>
      </c>
      <c r="Q93" s="39" t="n">
        <f aca="false">MY_PH(Q$2,$A93)</f>
        <v>2015</v>
      </c>
      <c r="R93" s="39" t="n">
        <f aca="false">MY_PH(R$2,$A93)</f>
        <v>2015</v>
      </c>
      <c r="S93" s="39" t="n">
        <f aca="false">MY_PH(S$2,$A93)</f>
        <v>2015</v>
      </c>
      <c r="T93" s="39" t="n">
        <f aca="false">MY_PH(T$2,$A93)</f>
        <v>2015</v>
      </c>
      <c r="U93" s="39" t="n">
        <f aca="false">MY_PH(U$2,$A93)</f>
        <v>2015</v>
      </c>
      <c r="V93" s="39" t="n">
        <f aca="false">MY_PH(V$2,$A93)</f>
        <v>2015</v>
      </c>
      <c r="W93" s="39" t="n">
        <f aca="false">MY_PH(W$2,$A93)</f>
        <v>2015</v>
      </c>
      <c r="X93" s="39" t="n">
        <f aca="false">MY_PH(X$2,$A93)</f>
        <v>2015</v>
      </c>
      <c r="Y93" s="39" t="n">
        <f aca="false">MY_PH(Y$2,$A93)</f>
        <v>2015</v>
      </c>
      <c r="Z93" s="39" t="n">
        <f aca="false">MY_PH(Z$2,$A93)</f>
        <v>2015</v>
      </c>
      <c r="AA93" s="39" t="n">
        <f aca="false">MY_PH(AA$2,$A93)</f>
        <v>2015</v>
      </c>
      <c r="AB93" s="39" t="n">
        <f aca="false">MY_PH(AB$2,$A93)</f>
        <v>2015</v>
      </c>
      <c r="AC93" s="39" t="n">
        <f aca="false">MY_PH(AC$2,$A93)</f>
        <v>2015</v>
      </c>
      <c r="AD93" s="39" t="n">
        <f aca="false">MY_PH(AD$2,$A93)</f>
        <v>2015</v>
      </c>
      <c r="AE93" s="39" t="n">
        <f aca="false">MY_PH(AE$2,$A93)</f>
        <v>2015</v>
      </c>
      <c r="AF93" s="39" t="n">
        <f aca="false">MY_PH(AF$2,$A93)</f>
        <v>2015</v>
      </c>
      <c r="AG93" s="39" t="n">
        <f aca="false">MY_PH(AG$2,$A93)</f>
        <v>2015</v>
      </c>
      <c r="AH93" s="39" t="n">
        <f aca="false">MY_PH(AH$2,$A93)</f>
        <v>2015</v>
      </c>
      <c r="AI93" s="39" t="n">
        <f aca="false">MY_PH(AI$2,$A93)</f>
        <v>2015</v>
      </c>
      <c r="AJ93" s="39" t="n">
        <f aca="false">MY_PH(AJ$2,$A93)</f>
        <v>2015</v>
      </c>
      <c r="AK93" s="39" t="n">
        <f aca="false">MY_PH(AK$2,$A93)</f>
        <v>2015</v>
      </c>
      <c r="AL93" s="39" t="n">
        <f aca="false">MY_PH(AL$2,$A93)</f>
        <v>2015</v>
      </c>
      <c r="AM93" s="39" t="n">
        <f aca="false">MY_PH(AM$2,$A93)</f>
        <v>2015</v>
      </c>
      <c r="AN93" s="39" t="n">
        <f aca="false">MY_PH(AN$2,$A93)</f>
        <v>2015</v>
      </c>
      <c r="AO93" s="39" t="n">
        <f aca="false">MY_PH(AO$2,$A93)</f>
        <v>2015</v>
      </c>
      <c r="AP93" s="39" t="n">
        <f aca="false">MY_PH(AP$2,$A93)</f>
        <v>2015</v>
      </c>
      <c r="AQ93" s="39" t="n">
        <f aca="false">MY_PH(AQ$2,$A93)</f>
        <v>2.62911628775732E-005</v>
      </c>
      <c r="AR93" s="39" t="n">
        <f aca="false">MY_PH(AR$2,$A93)</f>
        <v>2.76856643038938E-005</v>
      </c>
      <c r="AS93" s="39" t="n">
        <f aca="false">MY_PH(AS$2,$A93)</f>
        <v>2.83132718993783E-005</v>
      </c>
    </row>
    <row r="94" customFormat="false" ht="13.8" hidden="false" customHeight="false" outlineLevel="0" collapsed="false">
      <c r="A94" s="0" t="n">
        <v>2540</v>
      </c>
      <c r="B94" s="39" t="n">
        <f aca="false">MY_PH(B$2,$A94)</f>
        <v>9.75507038008814E-006</v>
      </c>
      <c r="C94" s="39" t="n">
        <f aca="false">MY_PH(C$2,$A94)</f>
        <v>9.75559540360147E-006</v>
      </c>
      <c r="D94" s="39" t="n">
        <f aca="false">MY_PH(D$2,$A94)</f>
        <v>9.7561216086483E-006</v>
      </c>
      <c r="E94" s="39" t="n">
        <f aca="false">MY_PH(E$2,$A94)</f>
        <v>9.75664899628485E-006</v>
      </c>
      <c r="F94" s="39" t="n">
        <f aca="false">MY_PH(F$2,$A94)</f>
        <v>9.75717756755489E-006</v>
      </c>
      <c r="G94" s="39" t="n">
        <f aca="false">MY_PH(G$2,$A94)</f>
        <v>9.76252860148178E-006</v>
      </c>
      <c r="H94" s="39" t="n">
        <f aca="false">MY_PH(H$2,$A94)</f>
        <v>2015</v>
      </c>
      <c r="I94" s="39" t="n">
        <f aca="false">MY_PH(I$2,$A94)</f>
        <v>2015</v>
      </c>
      <c r="J94" s="39" t="n">
        <f aca="false">MY_PH(J$2,$A94)</f>
        <v>2015</v>
      </c>
      <c r="K94" s="39" t="n">
        <f aca="false">MY_PH(K$2,$A94)</f>
        <v>2015</v>
      </c>
      <c r="L94" s="39" t="n">
        <f aca="false">MY_PH(L$2,$A94)</f>
        <v>2015</v>
      </c>
      <c r="M94" s="39" t="n">
        <f aca="false">MY_PH(M$2,$A94)</f>
        <v>2015</v>
      </c>
      <c r="N94" s="39" t="n">
        <f aca="false">MY_PH(N$2,$A94)</f>
        <v>2015</v>
      </c>
      <c r="O94" s="39" t="n">
        <f aca="false">MY_PH(O$2,$A94)</f>
        <v>2015</v>
      </c>
      <c r="P94" s="39" t="n">
        <f aca="false">MY_PH(P$2,$A94)</f>
        <v>2015</v>
      </c>
      <c r="Q94" s="39" t="n">
        <f aca="false">MY_PH(Q$2,$A94)</f>
        <v>2015</v>
      </c>
      <c r="R94" s="39" t="n">
        <f aca="false">MY_PH(R$2,$A94)</f>
        <v>2015</v>
      </c>
      <c r="S94" s="39" t="n">
        <f aca="false">MY_PH(S$2,$A94)</f>
        <v>2015</v>
      </c>
      <c r="T94" s="39" t="n">
        <f aca="false">MY_PH(T$2,$A94)</f>
        <v>2015</v>
      </c>
      <c r="U94" s="39" t="n">
        <f aca="false">MY_PH(U$2,$A94)</f>
        <v>2015</v>
      </c>
      <c r="V94" s="39" t="n">
        <f aca="false">MY_PH(V$2,$A94)</f>
        <v>2015</v>
      </c>
      <c r="W94" s="39" t="n">
        <f aca="false">MY_PH(W$2,$A94)</f>
        <v>2015</v>
      </c>
      <c r="X94" s="39" t="n">
        <f aca="false">MY_PH(X$2,$A94)</f>
        <v>2015</v>
      </c>
      <c r="Y94" s="39" t="n">
        <f aca="false">MY_PH(Y$2,$A94)</f>
        <v>2015</v>
      </c>
      <c r="Z94" s="39" t="n">
        <f aca="false">MY_PH(Z$2,$A94)</f>
        <v>2015</v>
      </c>
      <c r="AA94" s="39" t="n">
        <f aca="false">MY_PH(AA$2,$A94)</f>
        <v>2015</v>
      </c>
      <c r="AB94" s="39" t="n">
        <f aca="false">MY_PH(AB$2,$A94)</f>
        <v>2015</v>
      </c>
      <c r="AC94" s="39" t="n">
        <f aca="false">MY_PH(AC$2,$A94)</f>
        <v>2015</v>
      </c>
      <c r="AD94" s="39" t="n">
        <f aca="false">MY_PH(AD$2,$A94)</f>
        <v>2015</v>
      </c>
      <c r="AE94" s="39" t="n">
        <f aca="false">MY_PH(AE$2,$A94)</f>
        <v>2015</v>
      </c>
      <c r="AF94" s="39" t="n">
        <f aca="false">MY_PH(AF$2,$A94)</f>
        <v>2015</v>
      </c>
      <c r="AG94" s="39" t="n">
        <f aca="false">MY_PH(AG$2,$A94)</f>
        <v>2015</v>
      </c>
      <c r="AH94" s="39" t="n">
        <f aca="false">MY_PH(AH$2,$A94)</f>
        <v>2015</v>
      </c>
      <c r="AI94" s="39" t="n">
        <f aca="false">MY_PH(AI$2,$A94)</f>
        <v>2015</v>
      </c>
      <c r="AJ94" s="39" t="n">
        <f aca="false">MY_PH(AJ$2,$A94)</f>
        <v>2015</v>
      </c>
      <c r="AK94" s="39" t="n">
        <f aca="false">MY_PH(AK$2,$A94)</f>
        <v>2015</v>
      </c>
      <c r="AL94" s="39" t="n">
        <f aca="false">MY_PH(AL$2,$A94)</f>
        <v>2015</v>
      </c>
      <c r="AM94" s="39" t="n">
        <f aca="false">MY_PH(AM$2,$A94)</f>
        <v>2015</v>
      </c>
      <c r="AN94" s="39" t="n">
        <f aca="false">MY_PH(AN$2,$A94)</f>
        <v>2015</v>
      </c>
      <c r="AO94" s="39" t="n">
        <f aca="false">MY_PH(AO$2,$A94)</f>
        <v>2015</v>
      </c>
      <c r="AP94" s="39" t="n">
        <f aca="false">MY_PH(AP$2,$A94)</f>
        <v>2015</v>
      </c>
      <c r="AQ94" s="39" t="n">
        <f aca="false">MY_PH(AQ$2,$A94)</f>
        <v>2.62245685498673E-005</v>
      </c>
      <c r="AR94" s="39" t="n">
        <f aca="false">MY_PH(AR$2,$A94)</f>
        <v>2.76018059373881E-005</v>
      </c>
      <c r="AS94" s="39" t="n">
        <f aca="false">MY_PH(AS$2,$A94)</f>
        <v>2.82217656748519E-005</v>
      </c>
    </row>
    <row r="95" customFormat="false" ht="13.8" hidden="false" customHeight="false" outlineLevel="0" collapsed="false">
      <c r="A95" s="0" t="n">
        <v>2550</v>
      </c>
      <c r="B95" s="39" t="n">
        <f aca="false">MY_PH(B$2,$A95)</f>
        <v>9.90678096326459E-006</v>
      </c>
      <c r="C95" s="39" t="n">
        <f aca="false">MY_PH(C$2,$A95)</f>
        <v>9.90725211065566E-006</v>
      </c>
      <c r="D95" s="39" t="n">
        <f aca="false">MY_PH(D$2,$A95)</f>
        <v>9.90772405324771E-006</v>
      </c>
      <c r="E95" s="39" t="n">
        <f aca="false">MY_PH(E$2,$A95)</f>
        <v>9.90819679175254E-006</v>
      </c>
      <c r="F95" s="39" t="n">
        <f aca="false">MY_PH(F$2,$A95)</f>
        <v>9.908670326877E-006</v>
      </c>
      <c r="G95" s="39" t="n">
        <f aca="false">MY_PH(G$2,$A95)</f>
        <v>9.91344964436357E-006</v>
      </c>
      <c r="H95" s="39" t="n">
        <f aca="false">MY_PH(H$2,$A95)</f>
        <v>9.91830936846801E-006</v>
      </c>
      <c r="I95" s="39" t="n">
        <f aca="false">MY_PH(I$2,$A95)</f>
        <v>2015</v>
      </c>
      <c r="J95" s="39" t="n">
        <f aca="false">MY_PH(J$2,$A95)</f>
        <v>2015</v>
      </c>
      <c r="K95" s="39" t="n">
        <f aca="false">MY_PH(K$2,$A95)</f>
        <v>2015</v>
      </c>
      <c r="L95" s="39" t="n">
        <f aca="false">MY_PH(L$2,$A95)</f>
        <v>2015</v>
      </c>
      <c r="M95" s="39" t="n">
        <f aca="false">MY_PH(M$2,$A95)</f>
        <v>2015</v>
      </c>
      <c r="N95" s="39" t="n">
        <f aca="false">MY_PH(N$2,$A95)</f>
        <v>2015</v>
      </c>
      <c r="O95" s="39" t="n">
        <f aca="false">MY_PH(O$2,$A95)</f>
        <v>2015</v>
      </c>
      <c r="P95" s="39" t="n">
        <f aca="false">MY_PH(P$2,$A95)</f>
        <v>2015</v>
      </c>
      <c r="Q95" s="39" t="n">
        <f aca="false">MY_PH(Q$2,$A95)</f>
        <v>2015</v>
      </c>
      <c r="R95" s="39" t="n">
        <f aca="false">MY_PH(R$2,$A95)</f>
        <v>2015</v>
      </c>
      <c r="S95" s="39" t="n">
        <f aca="false">MY_PH(S$2,$A95)</f>
        <v>2015</v>
      </c>
      <c r="T95" s="39" t="n">
        <f aca="false">MY_PH(T$2,$A95)</f>
        <v>2015</v>
      </c>
      <c r="U95" s="39" t="n">
        <f aca="false">MY_PH(U$2,$A95)</f>
        <v>2015</v>
      </c>
      <c r="V95" s="39" t="n">
        <f aca="false">MY_PH(V$2,$A95)</f>
        <v>2015</v>
      </c>
      <c r="W95" s="39" t="n">
        <f aca="false">MY_PH(W$2,$A95)</f>
        <v>2015</v>
      </c>
      <c r="X95" s="39" t="n">
        <f aca="false">MY_PH(X$2,$A95)</f>
        <v>2015</v>
      </c>
      <c r="Y95" s="39" t="n">
        <f aca="false">MY_PH(Y$2,$A95)</f>
        <v>2015</v>
      </c>
      <c r="Z95" s="39" t="n">
        <f aca="false">MY_PH(Z$2,$A95)</f>
        <v>2015</v>
      </c>
      <c r="AA95" s="39" t="n">
        <f aca="false">MY_PH(AA$2,$A95)</f>
        <v>2015</v>
      </c>
      <c r="AB95" s="39" t="n">
        <f aca="false">MY_PH(AB$2,$A95)</f>
        <v>2015</v>
      </c>
      <c r="AC95" s="39" t="n">
        <f aca="false">MY_PH(AC$2,$A95)</f>
        <v>2015</v>
      </c>
      <c r="AD95" s="39" t="n">
        <f aca="false">MY_PH(AD$2,$A95)</f>
        <v>2015</v>
      </c>
      <c r="AE95" s="39" t="n">
        <f aca="false">MY_PH(AE$2,$A95)</f>
        <v>2015</v>
      </c>
      <c r="AF95" s="39" t="n">
        <f aca="false">MY_PH(AF$2,$A95)</f>
        <v>2015</v>
      </c>
      <c r="AG95" s="39" t="n">
        <f aca="false">MY_PH(AG$2,$A95)</f>
        <v>2015</v>
      </c>
      <c r="AH95" s="39" t="n">
        <f aca="false">MY_PH(AH$2,$A95)</f>
        <v>2015</v>
      </c>
      <c r="AI95" s="39" t="n">
        <f aca="false">MY_PH(AI$2,$A95)</f>
        <v>2015</v>
      </c>
      <c r="AJ95" s="39" t="n">
        <f aca="false">MY_PH(AJ$2,$A95)</f>
        <v>2015</v>
      </c>
      <c r="AK95" s="39" t="n">
        <f aca="false">MY_PH(AK$2,$A95)</f>
        <v>2015</v>
      </c>
      <c r="AL95" s="39" t="n">
        <f aca="false">MY_PH(AL$2,$A95)</f>
        <v>2015</v>
      </c>
      <c r="AM95" s="39" t="n">
        <f aca="false">MY_PH(AM$2,$A95)</f>
        <v>2015</v>
      </c>
      <c r="AN95" s="39" t="n">
        <f aca="false">MY_PH(AN$2,$A95)</f>
        <v>2015</v>
      </c>
      <c r="AO95" s="39" t="n">
        <f aca="false">MY_PH(AO$2,$A95)</f>
        <v>2015</v>
      </c>
      <c r="AP95" s="39" t="n">
        <f aca="false">MY_PH(AP$2,$A95)</f>
        <v>2015</v>
      </c>
      <c r="AQ95" s="39" t="n">
        <f aca="false">MY_PH(AQ$2,$A95)</f>
        <v>2.61628048977482E-005</v>
      </c>
      <c r="AR95" s="39" t="n">
        <f aca="false">MY_PH(AR$2,$A95)</f>
        <v>2.75231416134358E-005</v>
      </c>
      <c r="AS95" s="39" t="n">
        <f aca="false">MY_PH(AS$2,$A95)</f>
        <v>2.81356181065324E-005</v>
      </c>
    </row>
    <row r="96" customFormat="false" ht="13.8" hidden="false" customHeight="false" outlineLevel="0" collapsed="false">
      <c r="A96" s="0" t="n">
        <v>2560</v>
      </c>
      <c r="B96" s="39" t="n">
        <f aca="false">MY_PH(B$2,$A96)</f>
        <v>1.00631224782274E-005</v>
      </c>
      <c r="C96" s="39" t="n">
        <f aca="false">MY_PH(C$2,$A96)</f>
        <v>1.00635468954861E-005</v>
      </c>
      <c r="D96" s="39" t="n">
        <f aca="false">MY_PH(D$2,$A96)</f>
        <v>1.00639718386458E-005</v>
      </c>
      <c r="E96" s="39" t="n">
        <f aca="false">MY_PH(E$2,$A96)</f>
        <v>1.00643973081899E-005</v>
      </c>
      <c r="F96" s="39" t="n">
        <f aca="false">MY_PH(F$2,$A96)</f>
        <v>1.00648233045995E-005</v>
      </c>
      <c r="G96" s="39" t="n">
        <f aca="false">MY_PH(G$2,$A96)</f>
        <v>1.00691123508271E-005</v>
      </c>
      <c r="H96" s="39" t="n">
        <f aca="false">MY_PH(H$2,$A96)</f>
        <v>1.0073454599589E-005</v>
      </c>
      <c r="I96" s="39" t="n">
        <f aca="false">MY_PH(I$2,$A96)</f>
        <v>1.00778505048274E-005</v>
      </c>
      <c r="J96" s="39" t="n">
        <f aca="false">MY_PH(J$2,$A96)</f>
        <v>2015</v>
      </c>
      <c r="K96" s="39" t="n">
        <f aca="false">MY_PH(K$2,$A96)</f>
        <v>2015</v>
      </c>
      <c r="L96" s="39" t="n">
        <f aca="false">MY_PH(L$2,$A96)</f>
        <v>2015</v>
      </c>
      <c r="M96" s="39" t="n">
        <f aca="false">MY_PH(M$2,$A96)</f>
        <v>2015</v>
      </c>
      <c r="N96" s="39" t="n">
        <f aca="false">MY_PH(N$2,$A96)</f>
        <v>2015</v>
      </c>
      <c r="O96" s="39" t="n">
        <f aca="false">MY_PH(O$2,$A96)</f>
        <v>2015</v>
      </c>
      <c r="P96" s="39" t="n">
        <f aca="false">MY_PH(P$2,$A96)</f>
        <v>2015</v>
      </c>
      <c r="Q96" s="39" t="n">
        <f aca="false">MY_PH(Q$2,$A96)</f>
        <v>2015</v>
      </c>
      <c r="R96" s="39" t="n">
        <f aca="false">MY_PH(R$2,$A96)</f>
        <v>2015</v>
      </c>
      <c r="S96" s="39" t="n">
        <f aca="false">MY_PH(S$2,$A96)</f>
        <v>2015</v>
      </c>
      <c r="T96" s="39" t="n">
        <f aca="false">MY_PH(T$2,$A96)</f>
        <v>2015</v>
      </c>
      <c r="U96" s="39" t="n">
        <f aca="false">MY_PH(U$2,$A96)</f>
        <v>2015</v>
      </c>
      <c r="V96" s="39" t="n">
        <f aca="false">MY_PH(V$2,$A96)</f>
        <v>2015</v>
      </c>
      <c r="W96" s="39" t="n">
        <f aca="false">MY_PH(W$2,$A96)</f>
        <v>2015</v>
      </c>
      <c r="X96" s="39" t="n">
        <f aca="false">MY_PH(X$2,$A96)</f>
        <v>2015</v>
      </c>
      <c r="Y96" s="39" t="n">
        <f aca="false">MY_PH(Y$2,$A96)</f>
        <v>2015</v>
      </c>
      <c r="Z96" s="39" t="n">
        <f aca="false">MY_PH(Z$2,$A96)</f>
        <v>2015</v>
      </c>
      <c r="AA96" s="39" t="n">
        <f aca="false">MY_PH(AA$2,$A96)</f>
        <v>2015</v>
      </c>
      <c r="AB96" s="39" t="n">
        <f aca="false">MY_PH(AB$2,$A96)</f>
        <v>2015</v>
      </c>
      <c r="AC96" s="39" t="n">
        <f aca="false">MY_PH(AC$2,$A96)</f>
        <v>2015</v>
      </c>
      <c r="AD96" s="39" t="n">
        <f aca="false">MY_PH(AD$2,$A96)</f>
        <v>2015</v>
      </c>
      <c r="AE96" s="39" t="n">
        <f aca="false">MY_PH(AE$2,$A96)</f>
        <v>2015</v>
      </c>
      <c r="AF96" s="39" t="n">
        <f aca="false">MY_PH(AF$2,$A96)</f>
        <v>2015</v>
      </c>
      <c r="AG96" s="39" t="n">
        <f aca="false">MY_PH(AG$2,$A96)</f>
        <v>2015</v>
      </c>
      <c r="AH96" s="39" t="n">
        <f aca="false">MY_PH(AH$2,$A96)</f>
        <v>2015</v>
      </c>
      <c r="AI96" s="39" t="n">
        <f aca="false">MY_PH(AI$2,$A96)</f>
        <v>2015</v>
      </c>
      <c r="AJ96" s="39" t="n">
        <f aca="false">MY_PH(AJ$2,$A96)</f>
        <v>2015</v>
      </c>
      <c r="AK96" s="39" t="n">
        <f aca="false">MY_PH(AK$2,$A96)</f>
        <v>2015</v>
      </c>
      <c r="AL96" s="39" t="n">
        <f aca="false">MY_PH(AL$2,$A96)</f>
        <v>2015</v>
      </c>
      <c r="AM96" s="39" t="n">
        <f aca="false">MY_PH(AM$2,$A96)</f>
        <v>2015</v>
      </c>
      <c r="AN96" s="39" t="n">
        <f aca="false">MY_PH(AN$2,$A96)</f>
        <v>2015</v>
      </c>
      <c r="AO96" s="39" t="n">
        <f aca="false">MY_PH(AO$2,$A96)</f>
        <v>2015</v>
      </c>
      <c r="AP96" s="39" t="n">
        <f aca="false">MY_PH(AP$2,$A96)</f>
        <v>2015</v>
      </c>
      <c r="AQ96" s="39" t="n">
        <f aca="false">MY_PH(AQ$2,$A96)</f>
        <v>2.61057737888454E-005</v>
      </c>
      <c r="AR96" s="39" t="n">
        <f aca="false">MY_PH(AR$2,$A96)</f>
        <v>2.74495744309699E-005</v>
      </c>
      <c r="AS96" s="39" t="n">
        <f aca="false">MY_PH(AS$2,$A96)</f>
        <v>2.80547307782951E-005</v>
      </c>
    </row>
    <row r="97" customFormat="false" ht="13.8" hidden="false" customHeight="false" outlineLevel="0" collapsed="false">
      <c r="A97" s="0" t="n">
        <v>2570</v>
      </c>
      <c r="B97" s="39" t="n">
        <f aca="false">MY_PH(B$2,$A97)</f>
        <v>1.02236885161889E-005</v>
      </c>
      <c r="C97" s="39" t="n">
        <f aca="false">MY_PH(C$2,$A97)</f>
        <v>1.02240724006775E-005</v>
      </c>
      <c r="D97" s="39" t="n">
        <f aca="false">MY_PH(D$2,$A97)</f>
        <v>1.02244566258707E-005</v>
      </c>
      <c r="E97" s="39" t="n">
        <f aca="false">MY_PH(E$2,$A97)</f>
        <v>1.02248411921005E-005</v>
      </c>
      <c r="F97" s="39" t="n">
        <f aca="false">MY_PH(F$2,$A97)</f>
        <v>1.02252260996985E-005</v>
      </c>
      <c r="G97" s="39" t="n">
        <f aca="false">MY_PH(G$2,$A97)</f>
        <v>1.02290940232826E-005</v>
      </c>
      <c r="H97" s="39" t="n">
        <f aca="false">MY_PH(H$2,$A97)</f>
        <v>1.02329964427485E-005</v>
      </c>
      <c r="I97" s="39" t="n">
        <f aca="false">MY_PH(I$2,$A97)</f>
        <v>1.02369336782367E-005</v>
      </c>
      <c r="J97" s="39" t="n">
        <f aca="false">MY_PH(J$2,$A97)</f>
        <v>1.02409060445397E-005</v>
      </c>
      <c r="K97" s="39" t="n">
        <f aca="false">MY_PH(K$2,$A97)</f>
        <v>1.0244913852162E-005</v>
      </c>
      <c r="L97" s="39" t="n">
        <f aca="false">MY_PH(L$2,$A97)</f>
        <v>2015</v>
      </c>
      <c r="M97" s="39" t="n">
        <f aca="false">MY_PH(M$2,$A97)</f>
        <v>2015</v>
      </c>
      <c r="N97" s="39" t="n">
        <f aca="false">MY_PH(N$2,$A97)</f>
        <v>2015</v>
      </c>
      <c r="O97" s="39" t="n">
        <f aca="false">MY_PH(O$2,$A97)</f>
        <v>2015</v>
      </c>
      <c r="P97" s="39" t="n">
        <f aca="false">MY_PH(P$2,$A97)</f>
        <v>2015</v>
      </c>
      <c r="Q97" s="39" t="n">
        <f aca="false">MY_PH(Q$2,$A97)</f>
        <v>2015</v>
      </c>
      <c r="R97" s="39" t="n">
        <f aca="false">MY_PH(R$2,$A97)</f>
        <v>2015</v>
      </c>
      <c r="S97" s="39" t="n">
        <f aca="false">MY_PH(S$2,$A97)</f>
        <v>2015</v>
      </c>
      <c r="T97" s="39" t="n">
        <f aca="false">MY_PH(T$2,$A97)</f>
        <v>2015</v>
      </c>
      <c r="U97" s="39" t="n">
        <f aca="false">MY_PH(U$2,$A97)</f>
        <v>2015</v>
      </c>
      <c r="V97" s="39" t="n">
        <f aca="false">MY_PH(V$2,$A97)</f>
        <v>2015</v>
      </c>
      <c r="W97" s="39" t="n">
        <f aca="false">MY_PH(W$2,$A97)</f>
        <v>2015</v>
      </c>
      <c r="X97" s="39" t="n">
        <f aca="false">MY_PH(X$2,$A97)</f>
        <v>2015</v>
      </c>
      <c r="Y97" s="39" t="n">
        <f aca="false">MY_PH(Y$2,$A97)</f>
        <v>2015</v>
      </c>
      <c r="Z97" s="39" t="n">
        <f aca="false">MY_PH(Z$2,$A97)</f>
        <v>2015</v>
      </c>
      <c r="AA97" s="39" t="n">
        <f aca="false">MY_PH(AA$2,$A97)</f>
        <v>2015</v>
      </c>
      <c r="AB97" s="39" t="n">
        <f aca="false">MY_PH(AB$2,$A97)</f>
        <v>2015</v>
      </c>
      <c r="AC97" s="39" t="n">
        <f aca="false">MY_PH(AC$2,$A97)</f>
        <v>2015</v>
      </c>
      <c r="AD97" s="39" t="n">
        <f aca="false">MY_PH(AD$2,$A97)</f>
        <v>2015</v>
      </c>
      <c r="AE97" s="39" t="n">
        <f aca="false">MY_PH(AE$2,$A97)</f>
        <v>2015</v>
      </c>
      <c r="AF97" s="39" t="n">
        <f aca="false">MY_PH(AF$2,$A97)</f>
        <v>2015</v>
      </c>
      <c r="AG97" s="39" t="n">
        <f aca="false">MY_PH(AG$2,$A97)</f>
        <v>2015</v>
      </c>
      <c r="AH97" s="39" t="n">
        <f aca="false">MY_PH(AH$2,$A97)</f>
        <v>2015</v>
      </c>
      <c r="AI97" s="39" t="n">
        <f aca="false">MY_PH(AI$2,$A97)</f>
        <v>2015</v>
      </c>
      <c r="AJ97" s="39" t="n">
        <f aca="false">MY_PH(AJ$2,$A97)</f>
        <v>2015</v>
      </c>
      <c r="AK97" s="39" t="n">
        <f aca="false">MY_PH(AK$2,$A97)</f>
        <v>2015</v>
      </c>
      <c r="AL97" s="39" t="n">
        <f aca="false">MY_PH(AL$2,$A97)</f>
        <v>2015</v>
      </c>
      <c r="AM97" s="39" t="n">
        <f aca="false">MY_PH(AM$2,$A97)</f>
        <v>2015</v>
      </c>
      <c r="AN97" s="39" t="n">
        <f aca="false">MY_PH(AN$2,$A97)</f>
        <v>2015</v>
      </c>
      <c r="AO97" s="39" t="n">
        <f aca="false">MY_PH(AO$2,$A97)</f>
        <v>2015</v>
      </c>
      <c r="AP97" s="39" t="n">
        <f aca="false">MY_PH(AP$2,$A97)</f>
        <v>2015</v>
      </c>
      <c r="AQ97" s="39" t="n">
        <f aca="false">MY_PH(AQ$2,$A97)</f>
        <v>2.60533974614163E-005</v>
      </c>
      <c r="AR97" s="39" t="n">
        <f aca="false">MY_PH(AR$2,$A97)</f>
        <v>2.7381026452772E-005</v>
      </c>
      <c r="AS97" s="39" t="n">
        <f aca="false">MY_PH(AS$2,$A97)</f>
        <v>2.7979023268936E-005</v>
      </c>
    </row>
    <row r="98" customFormat="false" ht="13.8" hidden="false" customHeight="false" outlineLevel="0" collapsed="false">
      <c r="A98" s="0" t="n">
        <v>2580</v>
      </c>
      <c r="B98" s="39" t="n">
        <f aca="false">MY_PH(B$2,$A98)</f>
        <v>1.03881188336913E-005</v>
      </c>
      <c r="C98" s="39" t="n">
        <f aca="false">MY_PH(C$2,$A98)</f>
        <v>1.0388467497369E-005</v>
      </c>
      <c r="D98" s="39" t="n">
        <f aca="false">MY_PH(D$2,$A98)</f>
        <v>1.03888163762462E-005</v>
      </c>
      <c r="E98" s="39" t="n">
        <f aca="false">MY_PH(E$2,$A98)</f>
        <v>1.03891654705546E-005</v>
      </c>
      <c r="F98" s="39" t="n">
        <f aca="false">MY_PH(F$2,$A98)</f>
        <v>1.03895147805253E-005</v>
      </c>
      <c r="G98" s="39" t="n">
        <f aca="false">MY_PH(G$2,$A98)</f>
        <v>1.03930197923019E-005</v>
      </c>
      <c r="H98" s="39" t="n">
        <f aca="false">MY_PH(H$2,$A98)</f>
        <v>1.03965466224111E-005</v>
      </c>
      <c r="I98" s="39" t="n">
        <f aca="false">MY_PH(I$2,$A98)</f>
        <v>1.04000954974447E-005</v>
      </c>
      <c r="J98" s="39" t="n">
        <f aca="false">MY_PH(J$2,$A98)</f>
        <v>1.04036666417338E-005</v>
      </c>
      <c r="K98" s="39" t="n">
        <f aca="false">MY_PH(K$2,$A98)</f>
        <v>1.0407260277732E-005</v>
      </c>
      <c r="L98" s="39" t="n">
        <f aca="false">MY_PH(L$2,$A98)</f>
        <v>1.0410876626366E-005</v>
      </c>
      <c r="M98" s="39" t="n">
        <f aca="false">MY_PH(M$2,$A98)</f>
        <v>1.04145159073532E-005</v>
      </c>
      <c r="N98" s="39" t="n">
        <f aca="false">MY_PH(N$2,$A98)</f>
        <v>2015</v>
      </c>
      <c r="O98" s="39" t="n">
        <f aca="false">MY_PH(O$2,$A98)</f>
        <v>2015</v>
      </c>
      <c r="P98" s="39" t="n">
        <f aca="false">MY_PH(P$2,$A98)</f>
        <v>2015</v>
      </c>
      <c r="Q98" s="39" t="n">
        <f aca="false">MY_PH(Q$2,$A98)</f>
        <v>2015</v>
      </c>
      <c r="R98" s="39" t="n">
        <f aca="false">MY_PH(R$2,$A98)</f>
        <v>2015</v>
      </c>
      <c r="S98" s="39" t="n">
        <f aca="false">MY_PH(S$2,$A98)</f>
        <v>2015</v>
      </c>
      <c r="T98" s="39" t="n">
        <f aca="false">MY_PH(T$2,$A98)</f>
        <v>2015</v>
      </c>
      <c r="U98" s="39" t="n">
        <f aca="false">MY_PH(U$2,$A98)</f>
        <v>2015</v>
      </c>
      <c r="V98" s="39" t="n">
        <f aca="false">MY_PH(V$2,$A98)</f>
        <v>2015</v>
      </c>
      <c r="W98" s="39" t="n">
        <f aca="false">MY_PH(W$2,$A98)</f>
        <v>2015</v>
      </c>
      <c r="X98" s="39" t="n">
        <f aca="false">MY_PH(X$2,$A98)</f>
        <v>2015</v>
      </c>
      <c r="Y98" s="39" t="n">
        <f aca="false">MY_PH(Y$2,$A98)</f>
        <v>2015</v>
      </c>
      <c r="Z98" s="39" t="n">
        <f aca="false">MY_PH(Z$2,$A98)</f>
        <v>2015</v>
      </c>
      <c r="AA98" s="39" t="n">
        <f aca="false">MY_PH(AA$2,$A98)</f>
        <v>2015</v>
      </c>
      <c r="AB98" s="39" t="n">
        <f aca="false">MY_PH(AB$2,$A98)</f>
        <v>2015</v>
      </c>
      <c r="AC98" s="39" t="n">
        <f aca="false">MY_PH(AC$2,$A98)</f>
        <v>2015</v>
      </c>
      <c r="AD98" s="39" t="n">
        <f aca="false">MY_PH(AD$2,$A98)</f>
        <v>2015</v>
      </c>
      <c r="AE98" s="39" t="n">
        <f aca="false">MY_PH(AE$2,$A98)</f>
        <v>2015</v>
      </c>
      <c r="AF98" s="39" t="n">
        <f aca="false">MY_PH(AF$2,$A98)</f>
        <v>2015</v>
      </c>
      <c r="AG98" s="39" t="n">
        <f aca="false">MY_PH(AG$2,$A98)</f>
        <v>2015</v>
      </c>
      <c r="AH98" s="39" t="n">
        <f aca="false">MY_PH(AH$2,$A98)</f>
        <v>2015</v>
      </c>
      <c r="AI98" s="39" t="n">
        <f aca="false">MY_PH(AI$2,$A98)</f>
        <v>2015</v>
      </c>
      <c r="AJ98" s="39" t="n">
        <f aca="false">MY_PH(AJ$2,$A98)</f>
        <v>2015</v>
      </c>
      <c r="AK98" s="39" t="n">
        <f aca="false">MY_PH(AK$2,$A98)</f>
        <v>2015</v>
      </c>
      <c r="AL98" s="39" t="n">
        <f aca="false">MY_PH(AL$2,$A98)</f>
        <v>2015</v>
      </c>
      <c r="AM98" s="39" t="n">
        <f aca="false">MY_PH(AM$2,$A98)</f>
        <v>2015</v>
      </c>
      <c r="AN98" s="39" t="n">
        <f aca="false">MY_PH(AN$2,$A98)</f>
        <v>2015</v>
      </c>
      <c r="AO98" s="39" t="n">
        <f aca="false">MY_PH(AO$2,$A98)</f>
        <v>2015</v>
      </c>
      <c r="AP98" s="39" t="n">
        <f aca="false">MY_PH(AP$2,$A98)</f>
        <v>2015</v>
      </c>
      <c r="AQ98" s="39" t="n">
        <f aca="false">MY_PH(AQ$2,$A98)</f>
        <v>2.60056245152946E-005</v>
      </c>
      <c r="AR98" s="39" t="n">
        <f aca="false">MY_PH(AR$2,$A98)</f>
        <v>2.73174429724539E-005</v>
      </c>
      <c r="AS98" s="39" t="n">
        <f aca="false">MY_PH(AS$2,$A98)</f>
        <v>2.79084368275584E-005</v>
      </c>
    </row>
    <row r="99" customFormat="false" ht="13.8" hidden="false" customHeight="false" outlineLevel="0" collapsed="false">
      <c r="A99" s="0" t="n">
        <v>2590</v>
      </c>
      <c r="B99" s="39" t="n">
        <f aca="false">MY_PH(B$2,$A99)</f>
        <v>1.05560926482856E-005</v>
      </c>
      <c r="C99" s="39" t="n">
        <f aca="false">MY_PH(C$2,$A99)</f>
        <v>1.05564106125597E-005</v>
      </c>
      <c r="D99" s="39" t="n">
        <f aca="false">MY_PH(D$2,$A99)</f>
        <v>1.05567287083656E-005</v>
      </c>
      <c r="E99" s="39" t="n">
        <f aca="false">MY_PH(E$2,$A99)</f>
        <v>1.05570469358668E-005</v>
      </c>
      <c r="F99" s="39" t="n">
        <f aca="false">MY_PH(F$2,$A99)</f>
        <v>1.05573652952267E-005</v>
      </c>
      <c r="G99" s="39" t="n">
        <f aca="false">MY_PH(G$2,$A99)</f>
        <v>1.05605561768919E-005</v>
      </c>
      <c r="H99" s="39" t="n">
        <f aca="false">MY_PH(H$2,$A99)</f>
        <v>1.05637604231809E-005</v>
      </c>
      <c r="I99" s="39" t="n">
        <f aca="false">MY_PH(I$2,$A99)</f>
        <v>1.05669781955437E-005</v>
      </c>
      <c r="J99" s="39" t="n">
        <f aca="false">MY_PH(J$2,$A99)</f>
        <v>1.05702096544868E-005</v>
      </c>
      <c r="K99" s="39" t="n">
        <f aca="false">MY_PH(K$2,$A99)</f>
        <v>1.0573454959712E-005</v>
      </c>
      <c r="L99" s="39" t="n">
        <f aca="false">MY_PH(L$2,$A99)</f>
        <v>1.05767142702446E-005</v>
      </c>
      <c r="M99" s="39" t="n">
        <f aca="false">MY_PH(M$2,$A99)</f>
        <v>1.05799877445501E-005</v>
      </c>
      <c r="N99" s="39" t="n">
        <f aca="false">MY_PH(N$2,$A99)</f>
        <v>1.05832755406405E-005</v>
      </c>
      <c r="O99" s="39" t="n">
        <f aca="false">MY_PH(O$2,$A99)</f>
        <v>1.05865778161705E-005</v>
      </c>
      <c r="P99" s="39" t="n">
        <f aca="false">MY_PH(P$2,$A99)</f>
        <v>2015</v>
      </c>
      <c r="Q99" s="39" t="n">
        <f aca="false">MY_PH(Q$2,$A99)</f>
        <v>2015</v>
      </c>
      <c r="R99" s="39" t="n">
        <f aca="false">MY_PH(R$2,$A99)</f>
        <v>2015</v>
      </c>
      <c r="S99" s="39" t="n">
        <f aca="false">MY_PH(S$2,$A99)</f>
        <v>2015</v>
      </c>
      <c r="T99" s="39" t="n">
        <f aca="false">MY_PH(T$2,$A99)</f>
        <v>2015</v>
      </c>
      <c r="U99" s="39" t="n">
        <f aca="false">MY_PH(U$2,$A99)</f>
        <v>2015</v>
      </c>
      <c r="V99" s="39" t="n">
        <f aca="false">MY_PH(V$2,$A99)</f>
        <v>2015</v>
      </c>
      <c r="W99" s="39" t="n">
        <f aca="false">MY_PH(W$2,$A99)</f>
        <v>2015</v>
      </c>
      <c r="X99" s="39" t="n">
        <f aca="false">MY_PH(X$2,$A99)</f>
        <v>2015</v>
      </c>
      <c r="Y99" s="39" t="n">
        <f aca="false">MY_PH(Y$2,$A99)</f>
        <v>2015</v>
      </c>
      <c r="Z99" s="39" t="n">
        <f aca="false">MY_PH(Z$2,$A99)</f>
        <v>2015</v>
      </c>
      <c r="AA99" s="39" t="n">
        <f aca="false">MY_PH(AA$2,$A99)</f>
        <v>2015</v>
      </c>
      <c r="AB99" s="39" t="n">
        <f aca="false">MY_PH(AB$2,$A99)</f>
        <v>2015</v>
      </c>
      <c r="AC99" s="39" t="n">
        <f aca="false">MY_PH(AC$2,$A99)</f>
        <v>2015</v>
      </c>
      <c r="AD99" s="39" t="n">
        <f aca="false">MY_PH(AD$2,$A99)</f>
        <v>2015</v>
      </c>
      <c r="AE99" s="39" t="n">
        <f aca="false">MY_PH(AE$2,$A99)</f>
        <v>2015</v>
      </c>
      <c r="AF99" s="39" t="n">
        <f aca="false">MY_PH(AF$2,$A99)</f>
        <v>2015</v>
      </c>
      <c r="AG99" s="39" t="n">
        <f aca="false">MY_PH(AG$2,$A99)</f>
        <v>2015</v>
      </c>
      <c r="AH99" s="39" t="n">
        <f aca="false">MY_PH(AH$2,$A99)</f>
        <v>2015</v>
      </c>
      <c r="AI99" s="39" t="n">
        <f aca="false">MY_PH(AI$2,$A99)</f>
        <v>2015</v>
      </c>
      <c r="AJ99" s="39" t="n">
        <f aca="false">MY_PH(AJ$2,$A99)</f>
        <v>2015</v>
      </c>
      <c r="AK99" s="39" t="n">
        <f aca="false">MY_PH(AK$2,$A99)</f>
        <v>2015</v>
      </c>
      <c r="AL99" s="39" t="n">
        <f aca="false">MY_PH(AL$2,$A99)</f>
        <v>2015</v>
      </c>
      <c r="AM99" s="39" t="n">
        <f aca="false">MY_PH(AM$2,$A99)</f>
        <v>2015</v>
      </c>
      <c r="AN99" s="39" t="n">
        <f aca="false">MY_PH(AN$2,$A99)</f>
        <v>2015</v>
      </c>
      <c r="AO99" s="39" t="n">
        <f aca="false">MY_PH(AO$2,$A99)</f>
        <v>2015</v>
      </c>
      <c r="AP99" s="39" t="n">
        <f aca="false">MY_PH(AP$2,$A99)</f>
        <v>2015</v>
      </c>
      <c r="AQ99" s="39" t="n">
        <f aca="false">MY_PH(AQ$2,$A99)</f>
        <v>2.59624370560559E-005</v>
      </c>
      <c r="AR99" s="39" t="n">
        <f aca="false">MY_PH(AR$2,$A99)</f>
        <v>2.72587975602573E-005</v>
      </c>
      <c r="AS99" s="39" t="n">
        <f aca="false">MY_PH(AS$2,$A99)</f>
        <v>2.78429387002708E-005</v>
      </c>
    </row>
    <row r="100" customFormat="false" ht="13.8" hidden="false" customHeight="false" outlineLevel="0" collapsed="false">
      <c r="A100" s="0" t="n">
        <v>2600</v>
      </c>
      <c r="B100" s="39" t="n">
        <f aca="false">MY_PH(B$2,$A100)</f>
        <v>1.07273230440563E-005</v>
      </c>
      <c r="C100" s="39" t="n">
        <f aca="false">MY_PH(C$2,$A100)</f>
        <v>1.07276141440766E-005</v>
      </c>
      <c r="D100" s="39" t="n">
        <f aca="false">MY_PH(D$2,$A100)</f>
        <v>1.07279053209043E-005</v>
      </c>
      <c r="E100" s="39" t="n">
        <f aca="false">MY_PH(E$2,$A100)</f>
        <v>1.07281965746562E-005</v>
      </c>
      <c r="F100" s="39" t="n">
        <f aca="false">MY_PH(F$2,$A100)</f>
        <v>1.07284879054488E-005</v>
      </c>
      <c r="G100" s="39" t="n">
        <f aca="false">MY_PH(G$2,$A100)</f>
        <v>1.07314054762336E-005</v>
      </c>
      <c r="H100" s="39" t="n">
        <f aca="false">MY_PH(H$2,$A100)</f>
        <v>1.0734330878996E-005</v>
      </c>
      <c r="I100" s="39" t="n">
        <f aca="false">MY_PH(I$2,$A100)</f>
        <v>1.07372642295772E-005</v>
      </c>
      <c r="J100" s="39" t="n">
        <f aca="false">MY_PH(J$2,$A100)</f>
        <v>1.07402056434255E-005</v>
      </c>
      <c r="K100" s="39" t="n">
        <f aca="false">MY_PH(K$2,$A100)</f>
        <v>1.07431552356466E-005</v>
      </c>
      <c r="L100" s="39" t="n">
        <f aca="false">MY_PH(L$2,$A100)</f>
        <v>1.07461131210506E-005</v>
      </c>
      <c r="M100" s="39" t="n">
        <f aca="false">MY_PH(M$2,$A100)</f>
        <v>1.07490794141936E-005</v>
      </c>
      <c r="N100" s="39" t="n">
        <f aca="false">MY_PH(N$2,$A100)</f>
        <v>1.07520542294173E-005</v>
      </c>
      <c r="O100" s="39" t="n">
        <f aca="false">MY_PH(O$2,$A100)</f>
        <v>1.07550376808841E-005</v>
      </c>
      <c r="P100" s="39" t="n">
        <f aca="false">MY_PH(P$2,$A100)</f>
        <v>2015</v>
      </c>
      <c r="Q100" s="39" t="n">
        <f aca="false">MY_PH(Q$2,$A100)</f>
        <v>2015</v>
      </c>
      <c r="R100" s="39" t="n">
        <f aca="false">MY_PH(R$2,$A100)</f>
        <v>2015</v>
      </c>
      <c r="S100" s="39" t="n">
        <f aca="false">MY_PH(S$2,$A100)</f>
        <v>2015</v>
      </c>
      <c r="T100" s="39" t="n">
        <f aca="false">MY_PH(T$2,$A100)</f>
        <v>2015</v>
      </c>
      <c r="U100" s="39" t="n">
        <f aca="false">MY_PH(U$2,$A100)</f>
        <v>2015</v>
      </c>
      <c r="V100" s="39" t="n">
        <f aca="false">MY_PH(V$2,$A100)</f>
        <v>2015</v>
      </c>
      <c r="W100" s="39" t="n">
        <f aca="false">MY_PH(W$2,$A100)</f>
        <v>2015</v>
      </c>
      <c r="X100" s="39" t="n">
        <f aca="false">MY_PH(X$2,$A100)</f>
        <v>2015</v>
      </c>
      <c r="Y100" s="39" t="n">
        <f aca="false">MY_PH(Y$2,$A100)</f>
        <v>2015</v>
      </c>
      <c r="Z100" s="39" t="n">
        <f aca="false">MY_PH(Z$2,$A100)</f>
        <v>2015</v>
      </c>
      <c r="AA100" s="39" t="n">
        <f aca="false">MY_PH(AA$2,$A100)</f>
        <v>2015</v>
      </c>
      <c r="AB100" s="39" t="n">
        <f aca="false">MY_PH(AB$2,$A100)</f>
        <v>2015</v>
      </c>
      <c r="AC100" s="39" t="n">
        <f aca="false">MY_PH(AC$2,$A100)</f>
        <v>2015</v>
      </c>
      <c r="AD100" s="39" t="n">
        <f aca="false">MY_PH(AD$2,$A100)</f>
        <v>2015</v>
      </c>
      <c r="AE100" s="39" t="n">
        <f aca="false">MY_PH(AE$2,$A100)</f>
        <v>2015</v>
      </c>
      <c r="AF100" s="39" t="n">
        <f aca="false">MY_PH(AF$2,$A100)</f>
        <v>2015</v>
      </c>
      <c r="AG100" s="39" t="n">
        <f aca="false">MY_PH(AG$2,$A100)</f>
        <v>2015</v>
      </c>
      <c r="AH100" s="39" t="n">
        <f aca="false">MY_PH(AH$2,$A100)</f>
        <v>2015</v>
      </c>
      <c r="AI100" s="39" t="n">
        <f aca="false">MY_PH(AI$2,$A100)</f>
        <v>2015</v>
      </c>
      <c r="AJ100" s="39" t="n">
        <f aca="false">MY_PH(AJ$2,$A100)</f>
        <v>2015</v>
      </c>
      <c r="AK100" s="39" t="n">
        <f aca="false">MY_PH(AK$2,$A100)</f>
        <v>2015</v>
      </c>
      <c r="AL100" s="39" t="n">
        <f aca="false">MY_PH(AL$2,$A100)</f>
        <v>2015</v>
      </c>
      <c r="AM100" s="39" t="n">
        <f aca="false">MY_PH(AM$2,$A100)</f>
        <v>2015</v>
      </c>
      <c r="AN100" s="39" t="n">
        <f aca="false">MY_PH(AN$2,$A100)</f>
        <v>2015</v>
      </c>
      <c r="AO100" s="39" t="n">
        <f aca="false">MY_PH(AO$2,$A100)</f>
        <v>2015</v>
      </c>
      <c r="AP100" s="39" t="n">
        <f aca="false">MY_PH(AP$2,$A100)</f>
        <v>2015</v>
      </c>
      <c r="AQ100" s="39" t="n">
        <f aca="false">MY_PH(AQ$2,$A100)</f>
        <v>2.59238591654595E-005</v>
      </c>
      <c r="AR100" s="39" t="n">
        <f aca="false">MY_PH(AR$2,$A100)</f>
        <v>2.72050980026032E-005</v>
      </c>
      <c r="AS100" s="39" t="n">
        <f aca="false">MY_PH(AS$2,$A100)</f>
        <v>2.77825272036025E-005</v>
      </c>
    </row>
    <row r="101" customFormat="false" ht="13.8" hidden="false" customHeight="false" outlineLevel="0" collapsed="false">
      <c r="A101" s="0" t="n">
        <v>2610</v>
      </c>
      <c r="B101" s="39" t="n">
        <f aca="false">MY_PH(B$2,$A101)</f>
        <v>1.09015522908253E-005</v>
      </c>
      <c r="C101" s="39" t="n">
        <f aca="false">MY_PH(C$2,$A101)</f>
        <v>1.09018197770437E-005</v>
      </c>
      <c r="D101" s="39" t="n">
        <f aca="false">MY_PH(D$2,$A101)</f>
        <v>1.09020873050915E-005</v>
      </c>
      <c r="E101" s="39" t="n">
        <f aca="false">MY_PH(E$2,$A101)</f>
        <v>1.09023548750525E-005</v>
      </c>
      <c r="F101" s="39" t="n">
        <f aca="false">MY_PH(F$2,$A101)</f>
        <v>1.09026224870109E-005</v>
      </c>
      <c r="G101" s="39" t="n">
        <f aca="false">MY_PH(G$2,$A101)</f>
        <v>1.09053009348889E-005</v>
      </c>
      <c r="H101" s="39" t="n">
        <f aca="false">MY_PH(H$2,$A101)</f>
        <v>1.09079836746485E-005</v>
      </c>
      <c r="I101" s="39" t="n">
        <f aca="false">MY_PH(I$2,$A101)</f>
        <v>1.09106707898887E-005</v>
      </c>
      <c r="J101" s="39" t="n">
        <f aca="false">MY_PH(J$2,$A101)</f>
        <v>1.09133623640412E-005</v>
      </c>
      <c r="K101" s="39" t="n">
        <f aca="false">MY_PH(K$2,$A101)</f>
        <v>1.09160584803888E-005</v>
      </c>
      <c r="L101" s="39" t="n">
        <f aca="false">MY_PH(L$2,$A101)</f>
        <v>1.09187592220816E-005</v>
      </c>
      <c r="M101" s="39" t="n">
        <f aca="false">MY_PH(M$2,$A101)</f>
        <v>1.09214646721526E-005</v>
      </c>
      <c r="N101" s="39" t="n">
        <f aca="false">MY_PH(N$2,$A101)</f>
        <v>1.09241749135311E-005</v>
      </c>
      <c r="O101" s="39" t="n">
        <f aca="false">MY_PH(O$2,$A101)</f>
        <v>1.09268900290554E-005</v>
      </c>
      <c r="P101" s="39" t="n">
        <f aca="false">MY_PH(P$2,$A101)</f>
        <v>1.09543274406292E-005</v>
      </c>
      <c r="Q101" s="39" t="n">
        <f aca="false">MY_PH(Q$2,$A101)</f>
        <v>2015</v>
      </c>
      <c r="R101" s="39" t="n">
        <f aca="false">MY_PH(R$2,$A101)</f>
        <v>2015</v>
      </c>
      <c r="S101" s="39" t="n">
        <f aca="false">MY_PH(S$2,$A101)</f>
        <v>2015</v>
      </c>
      <c r="T101" s="39" t="n">
        <f aca="false">MY_PH(T$2,$A101)</f>
        <v>2015</v>
      </c>
      <c r="U101" s="39" t="n">
        <f aca="false">MY_PH(U$2,$A101)</f>
        <v>2015</v>
      </c>
      <c r="V101" s="39" t="n">
        <f aca="false">MY_PH(V$2,$A101)</f>
        <v>2015</v>
      </c>
      <c r="W101" s="39" t="n">
        <f aca="false">MY_PH(W$2,$A101)</f>
        <v>2015</v>
      </c>
      <c r="X101" s="39" t="n">
        <f aca="false">MY_PH(X$2,$A101)</f>
        <v>2015</v>
      </c>
      <c r="Y101" s="39" t="n">
        <f aca="false">MY_PH(Y$2,$A101)</f>
        <v>2015</v>
      </c>
      <c r="Z101" s="39" t="n">
        <f aca="false">MY_PH(Z$2,$A101)</f>
        <v>2015</v>
      </c>
      <c r="AA101" s="39" t="n">
        <f aca="false">MY_PH(AA$2,$A101)</f>
        <v>2015</v>
      </c>
      <c r="AB101" s="39" t="n">
        <f aca="false">MY_PH(AB$2,$A101)</f>
        <v>2015</v>
      </c>
      <c r="AC101" s="39" t="n">
        <f aca="false">MY_PH(AC$2,$A101)</f>
        <v>2015</v>
      </c>
      <c r="AD101" s="39" t="n">
        <f aca="false">MY_PH(AD$2,$A101)</f>
        <v>2015</v>
      </c>
      <c r="AE101" s="39" t="n">
        <f aca="false">MY_PH(AE$2,$A101)</f>
        <v>2015</v>
      </c>
      <c r="AF101" s="39" t="n">
        <f aca="false">MY_PH(AF$2,$A101)</f>
        <v>2015</v>
      </c>
      <c r="AG101" s="39" t="n">
        <f aca="false">MY_PH(AG$2,$A101)</f>
        <v>2015</v>
      </c>
      <c r="AH101" s="39" t="n">
        <f aca="false">MY_PH(AH$2,$A101)</f>
        <v>2015</v>
      </c>
      <c r="AI101" s="39" t="n">
        <f aca="false">MY_PH(AI$2,$A101)</f>
        <v>2015</v>
      </c>
      <c r="AJ101" s="39" t="n">
        <f aca="false">MY_PH(AJ$2,$A101)</f>
        <v>2015</v>
      </c>
      <c r="AK101" s="39" t="n">
        <f aca="false">MY_PH(AK$2,$A101)</f>
        <v>2015</v>
      </c>
      <c r="AL101" s="39" t="n">
        <f aca="false">MY_PH(AL$2,$A101)</f>
        <v>2015</v>
      </c>
      <c r="AM101" s="39" t="n">
        <f aca="false">MY_PH(AM$2,$A101)</f>
        <v>2015</v>
      </c>
      <c r="AN101" s="39" t="n">
        <f aca="false">MY_PH(AN$2,$A101)</f>
        <v>2015</v>
      </c>
      <c r="AO101" s="39" t="n">
        <f aca="false">MY_PH(AO$2,$A101)</f>
        <v>2015</v>
      </c>
      <c r="AP101" s="39" t="n">
        <f aca="false">MY_PH(AP$2,$A101)</f>
        <v>2015</v>
      </c>
      <c r="AQ101" s="39" t="n">
        <f aca="false">MY_PH(AQ$2,$A101)</f>
        <v>2.5889966896819E-005</v>
      </c>
      <c r="AR101" s="39" t="n">
        <f aca="false">MY_PH(AR$2,$A101)</f>
        <v>2.71563932680254E-005</v>
      </c>
      <c r="AS101" s="39" t="n">
        <f aca="false">MY_PH(AS$2,$A101)</f>
        <v>2.77272376550291E-005</v>
      </c>
    </row>
    <row r="102" customFormat="false" ht="13.8" hidden="false" customHeight="false" outlineLevel="0" collapsed="false">
      <c r="A102" s="0" t="n">
        <v>2620</v>
      </c>
      <c r="B102" s="39" t="n">
        <f aca="false">MY_PH(B$2,$A102)</f>
        <v>1.10785479161871E-005</v>
      </c>
      <c r="C102" s="39" t="n">
        <f aca="false">MY_PH(C$2,$A102)</f>
        <v>1.10787945470749E-005</v>
      </c>
      <c r="D102" s="39" t="n">
        <f aca="false">MY_PH(D$2,$A102)</f>
        <v>1.10790411980803E-005</v>
      </c>
      <c r="E102" s="39" t="n">
        <f aca="false">MY_PH(E$2,$A102)</f>
        <v>1.10792878692642E-005</v>
      </c>
      <c r="F102" s="39" t="n">
        <f aca="false">MY_PH(F$2,$A102)</f>
        <v>1.10795345606872E-005</v>
      </c>
      <c r="G102" s="39" t="n">
        <f aca="false">MY_PH(G$2,$A102)</f>
        <v>1.10820026014178E-005</v>
      </c>
      <c r="H102" s="39" t="n">
        <f aca="false">MY_PH(H$2,$A102)</f>
        <v>1.10844727327677E-005</v>
      </c>
      <c r="I102" s="39" t="n">
        <f aca="false">MY_PH(I$2,$A102)</f>
        <v>1.10869450152983E-005</v>
      </c>
      <c r="J102" s="39" t="n">
        <f aca="false">MY_PH(J$2,$A102)</f>
        <v>1.10894195094945E-005</v>
      </c>
      <c r="K102" s="39" t="n">
        <f aca="false">MY_PH(K$2,$A102)</f>
        <v>1.10918962757713E-005</v>
      </c>
      <c r="L102" s="39" t="n">
        <f aca="false">MY_PH(L$2,$A102)</f>
        <v>1.10943753744793E-005</v>
      </c>
      <c r="M102" s="39" t="n">
        <f aca="false">MY_PH(M$2,$A102)</f>
        <v>1.10968568659099E-005</v>
      </c>
      <c r="N102" s="39" t="n">
        <f aca="false">MY_PH(N$2,$A102)</f>
        <v>1.10993408103E-005</v>
      </c>
      <c r="O102" s="39" t="n">
        <f aca="false">MY_PH(O$2,$A102)</f>
        <v>1.11018272678362E-005</v>
      </c>
      <c r="P102" s="39" t="n">
        <f aca="false">MY_PH(P$2,$A102)</f>
        <v>1.11268432773324E-005</v>
      </c>
      <c r="Q102" s="39" t="n">
        <f aca="false">MY_PH(Q$2,$A102)</f>
        <v>2015</v>
      </c>
      <c r="R102" s="39" t="n">
        <f aca="false">MY_PH(R$2,$A102)</f>
        <v>2015</v>
      </c>
      <c r="S102" s="39" t="n">
        <f aca="false">MY_PH(S$2,$A102)</f>
        <v>2015</v>
      </c>
      <c r="T102" s="39" t="n">
        <f aca="false">MY_PH(T$2,$A102)</f>
        <v>2015</v>
      </c>
      <c r="U102" s="39" t="n">
        <f aca="false">MY_PH(U$2,$A102)</f>
        <v>2015</v>
      </c>
      <c r="V102" s="39" t="n">
        <f aca="false">MY_PH(V$2,$A102)</f>
        <v>2015</v>
      </c>
      <c r="W102" s="39" t="n">
        <f aca="false">MY_PH(W$2,$A102)</f>
        <v>2015</v>
      </c>
      <c r="X102" s="39" t="n">
        <f aca="false">MY_PH(X$2,$A102)</f>
        <v>2015</v>
      </c>
      <c r="Y102" s="39" t="n">
        <f aca="false">MY_PH(Y$2,$A102)</f>
        <v>2015</v>
      </c>
      <c r="Z102" s="39" t="n">
        <f aca="false">MY_PH(Z$2,$A102)</f>
        <v>2015</v>
      </c>
      <c r="AA102" s="39" t="n">
        <f aca="false">MY_PH(AA$2,$A102)</f>
        <v>2015</v>
      </c>
      <c r="AB102" s="39" t="n">
        <f aca="false">MY_PH(AB$2,$A102)</f>
        <v>2015</v>
      </c>
      <c r="AC102" s="39" t="n">
        <f aca="false">MY_PH(AC$2,$A102)</f>
        <v>2015</v>
      </c>
      <c r="AD102" s="39" t="n">
        <f aca="false">MY_PH(AD$2,$A102)</f>
        <v>2015</v>
      </c>
      <c r="AE102" s="39" t="n">
        <f aca="false">MY_PH(AE$2,$A102)</f>
        <v>2015</v>
      </c>
      <c r="AF102" s="39" t="n">
        <f aca="false">MY_PH(AF$2,$A102)</f>
        <v>2015</v>
      </c>
      <c r="AG102" s="39" t="n">
        <f aca="false">MY_PH(AG$2,$A102)</f>
        <v>2015</v>
      </c>
      <c r="AH102" s="39" t="n">
        <f aca="false">MY_PH(AH$2,$A102)</f>
        <v>2015</v>
      </c>
      <c r="AI102" s="39" t="n">
        <f aca="false">MY_PH(AI$2,$A102)</f>
        <v>2015</v>
      </c>
      <c r="AJ102" s="39" t="n">
        <f aca="false">MY_PH(AJ$2,$A102)</f>
        <v>2015</v>
      </c>
      <c r="AK102" s="39" t="n">
        <f aca="false">MY_PH(AK$2,$A102)</f>
        <v>2015</v>
      </c>
      <c r="AL102" s="39" t="n">
        <f aca="false">MY_PH(AL$2,$A102)</f>
        <v>2015</v>
      </c>
      <c r="AM102" s="39" t="n">
        <f aca="false">MY_PH(AM$2,$A102)</f>
        <v>2015</v>
      </c>
      <c r="AN102" s="39" t="n">
        <f aca="false">MY_PH(AN$2,$A102)</f>
        <v>2015</v>
      </c>
      <c r="AO102" s="39" t="n">
        <f aca="false">MY_PH(AO$2,$A102)</f>
        <v>2015</v>
      </c>
      <c r="AP102" s="39" t="n">
        <f aca="false">MY_PH(AP$2,$A102)</f>
        <v>2015</v>
      </c>
      <c r="AQ102" s="39" t="n">
        <f aca="false">MY_PH(AQ$2,$A102)</f>
        <v>2.58609000234901E-005</v>
      </c>
      <c r="AR102" s="39" t="n">
        <f aca="false">MY_PH(AR$2,$A102)</f>
        <v>2.71127816525953E-005</v>
      </c>
      <c r="AS102" s="39" t="n">
        <f aca="false">MY_PH(AS$2,$A102)</f>
        <v>2.76771492883704E-005</v>
      </c>
    </row>
    <row r="103" customFormat="false" ht="13.8" hidden="false" customHeight="false" outlineLevel="0" collapsed="false">
      <c r="A103" s="0" t="n">
        <v>2630</v>
      </c>
      <c r="B103" s="39" t="n">
        <f aca="false">MY_PH(B$2,$A103)</f>
        <v>1.12580993987418E-005</v>
      </c>
      <c r="C103" s="39" t="n">
        <f aca="false">MY_PH(C$2,$A103)</f>
        <v>1.12583275221494E-005</v>
      </c>
      <c r="D103" s="39" t="n">
        <f aca="false">MY_PH(D$2,$A103)</f>
        <v>1.12585556527218E-005</v>
      </c>
      <c r="E103" s="39" t="n">
        <f aca="false">MY_PH(E$2,$A103)</f>
        <v>1.12587837905031E-005</v>
      </c>
      <c r="F103" s="39" t="n">
        <f aca="false">MY_PH(F$2,$A103)</f>
        <v>1.12590119355372E-005</v>
      </c>
      <c r="G103" s="39" t="n">
        <f aca="false">MY_PH(G$2,$A103)</f>
        <v>1.12612937944612E-005</v>
      </c>
      <c r="H103" s="39" t="n">
        <f aca="false">MY_PH(H$2,$A103)</f>
        <v>1.12635764270429E-005</v>
      </c>
      <c r="I103" s="39" t="n">
        <f aca="false">MY_PH(I$2,$A103)</f>
        <v>1.12658598772196E-005</v>
      </c>
      <c r="J103" s="39" t="n">
        <f aca="false">MY_PH(J$2,$A103)</f>
        <v>1.12681441888887E-005</v>
      </c>
      <c r="K103" s="39" t="n">
        <f aca="false">MY_PH(K$2,$A103)</f>
        <v>1.12704294059097E-005</v>
      </c>
      <c r="L103" s="39" t="n">
        <f aca="false">MY_PH(L$2,$A103)</f>
        <v>1.12727155721059E-005</v>
      </c>
      <c r="M103" s="39" t="n">
        <f aca="false">MY_PH(M$2,$A103)</f>
        <v>1.1275002731266E-005</v>
      </c>
      <c r="N103" s="39" t="n">
        <f aca="false">MY_PH(N$2,$A103)</f>
        <v>1.12772909271453E-005</v>
      </c>
      <c r="O103" s="39" t="n">
        <f aca="false">MY_PH(O$2,$A103)</f>
        <v>1.12795802034672E-005</v>
      </c>
      <c r="P103" s="39" t="n">
        <f aca="false">MY_PH(P$2,$A103)</f>
        <v>1.13025419888101E-005</v>
      </c>
      <c r="Q103" s="39" t="n">
        <f aca="false">MY_PH(Q$2,$A103)</f>
        <v>1.13256596948069E-005</v>
      </c>
      <c r="R103" s="39" t="n">
        <f aca="false">MY_PH(R$2,$A103)</f>
        <v>2015</v>
      </c>
      <c r="S103" s="39" t="n">
        <f aca="false">MY_PH(S$2,$A103)</f>
        <v>2015</v>
      </c>
      <c r="T103" s="39" t="n">
        <f aca="false">MY_PH(T$2,$A103)</f>
        <v>2015</v>
      </c>
      <c r="U103" s="39" t="n">
        <f aca="false">MY_PH(U$2,$A103)</f>
        <v>2015</v>
      </c>
      <c r="V103" s="39" t="n">
        <f aca="false">MY_PH(V$2,$A103)</f>
        <v>2015</v>
      </c>
      <c r="W103" s="39" t="n">
        <f aca="false">MY_PH(W$2,$A103)</f>
        <v>2015</v>
      </c>
      <c r="X103" s="39" t="n">
        <f aca="false">MY_PH(X$2,$A103)</f>
        <v>2015</v>
      </c>
      <c r="Y103" s="39" t="n">
        <f aca="false">MY_PH(Y$2,$A103)</f>
        <v>2015</v>
      </c>
      <c r="Z103" s="39" t="n">
        <f aca="false">MY_PH(Z$2,$A103)</f>
        <v>2015</v>
      </c>
      <c r="AA103" s="39" t="n">
        <f aca="false">MY_PH(AA$2,$A103)</f>
        <v>2015</v>
      </c>
      <c r="AB103" s="39" t="n">
        <f aca="false">MY_PH(AB$2,$A103)</f>
        <v>2015</v>
      </c>
      <c r="AC103" s="39" t="n">
        <f aca="false">MY_PH(AC$2,$A103)</f>
        <v>2015</v>
      </c>
      <c r="AD103" s="39" t="n">
        <f aca="false">MY_PH(AD$2,$A103)</f>
        <v>2015</v>
      </c>
      <c r="AE103" s="39" t="n">
        <f aca="false">MY_PH(AE$2,$A103)</f>
        <v>2015</v>
      </c>
      <c r="AF103" s="39" t="n">
        <f aca="false">MY_PH(AF$2,$A103)</f>
        <v>2015</v>
      </c>
      <c r="AG103" s="39" t="n">
        <f aca="false">MY_PH(AG$2,$A103)</f>
        <v>2015</v>
      </c>
      <c r="AH103" s="39" t="n">
        <f aca="false">MY_PH(AH$2,$A103)</f>
        <v>2015</v>
      </c>
      <c r="AI103" s="39" t="n">
        <f aca="false">MY_PH(AI$2,$A103)</f>
        <v>2015</v>
      </c>
      <c r="AJ103" s="39" t="n">
        <f aca="false">MY_PH(AJ$2,$A103)</f>
        <v>2015</v>
      </c>
      <c r="AK103" s="39" t="n">
        <f aca="false">MY_PH(AK$2,$A103)</f>
        <v>2015</v>
      </c>
      <c r="AL103" s="39" t="n">
        <f aca="false">MY_PH(AL$2,$A103)</f>
        <v>2015</v>
      </c>
      <c r="AM103" s="39" t="n">
        <f aca="false">MY_PH(AM$2,$A103)</f>
        <v>2015</v>
      </c>
      <c r="AN103" s="39" t="n">
        <f aca="false">MY_PH(AN$2,$A103)</f>
        <v>2015</v>
      </c>
      <c r="AO103" s="39" t="n">
        <f aca="false">MY_PH(AO$2,$A103)</f>
        <v>2015</v>
      </c>
      <c r="AP103" s="39" t="n">
        <f aca="false">MY_PH(AP$2,$A103)</f>
        <v>2015</v>
      </c>
      <c r="AQ103" s="39" t="n">
        <f aca="false">MY_PH(AQ$2,$A103)</f>
        <v>2.58362008813671E-005</v>
      </c>
      <c r="AR103" s="39" t="n">
        <f aca="false">MY_PH(AR$2,$A103)</f>
        <v>2.70743082334045E-005</v>
      </c>
      <c r="AS103" s="39" t="n">
        <f aca="false">MY_PH(AS$2,$A103)</f>
        <v>2.76319821824696E-005</v>
      </c>
    </row>
    <row r="104" customFormat="false" ht="13.8" hidden="false" customHeight="false" outlineLevel="0" collapsed="false">
      <c r="A104" s="0" t="n">
        <v>2640</v>
      </c>
      <c r="B104" s="39" t="n">
        <f aca="false">MY_PH(B$2,$A104)</f>
        <v>1.14400153748792E-005</v>
      </c>
      <c r="C104" s="39" t="n">
        <f aca="false">MY_PH(C$2,$A104)</f>
        <v>1.14402269975772E-005</v>
      </c>
      <c r="D104" s="39" t="n">
        <f aca="false">MY_PH(D$2,$A104)</f>
        <v>1.14404386201517E-005</v>
      </c>
      <c r="E104" s="39" t="n">
        <f aca="false">MY_PH(E$2,$A104)</f>
        <v>1.14406502426345E-005</v>
      </c>
      <c r="F104" s="39" t="n">
        <f aca="false">MY_PH(F$2,$A104)</f>
        <v>1.14408618650577E-005</v>
      </c>
      <c r="G104" s="39" t="n">
        <f aca="false">MY_PH(G$2,$A104)</f>
        <v>1.1442978093019E-005</v>
      </c>
      <c r="H104" s="39" t="n">
        <f aca="false">MY_PH(H$2,$A104)</f>
        <v>1.14450943500664E-005</v>
      </c>
      <c r="I104" s="39" t="n">
        <f aca="false">MY_PH(I$2,$A104)</f>
        <v>1.1447210668045E-005</v>
      </c>
      <c r="J104" s="39" t="n">
        <f aca="false">MY_PH(J$2,$A104)</f>
        <v>1.14493270787749E-005</v>
      </c>
      <c r="K104" s="39" t="n">
        <f aca="false">MY_PH(K$2,$A104)</f>
        <v>1.14514436140516E-005</v>
      </c>
      <c r="L104" s="39" t="n">
        <f aca="false">MY_PH(L$2,$A104)</f>
        <v>1.14535603056468E-005</v>
      </c>
      <c r="M104" s="39" t="n">
        <f aca="false">MY_PH(M$2,$A104)</f>
        <v>1.14556771853083E-005</v>
      </c>
      <c r="N104" s="39" t="n">
        <f aca="false">MY_PH(N$2,$A104)</f>
        <v>1.14577942847607E-005</v>
      </c>
      <c r="O104" s="39" t="n">
        <f aca="false">MY_PH(O$2,$A104)</f>
        <v>1.14599116357054E-005</v>
      </c>
      <c r="P104" s="39" t="n">
        <f aca="false">MY_PH(P$2,$A104)</f>
        <v>1.14811059350284E-005</v>
      </c>
      <c r="Q104" s="39" t="n">
        <f aca="false">MY_PH(Q$2,$A104)</f>
        <v>1.15023600801613E-005</v>
      </c>
      <c r="R104" s="39" t="n">
        <f aca="false">MY_PH(R$2,$A104)</f>
        <v>1.15237053545945E-005</v>
      </c>
      <c r="S104" s="39" t="n">
        <f aca="false">MY_PH(S$2,$A104)</f>
        <v>2015</v>
      </c>
      <c r="T104" s="39" t="n">
        <f aca="false">MY_PH(T$2,$A104)</f>
        <v>2015</v>
      </c>
      <c r="U104" s="39" t="n">
        <f aca="false">MY_PH(U$2,$A104)</f>
        <v>2015</v>
      </c>
      <c r="V104" s="39" t="n">
        <f aca="false">MY_PH(V$2,$A104)</f>
        <v>2015</v>
      </c>
      <c r="W104" s="39" t="n">
        <f aca="false">MY_PH(W$2,$A104)</f>
        <v>2015</v>
      </c>
      <c r="X104" s="39" t="n">
        <f aca="false">MY_PH(X$2,$A104)</f>
        <v>2015</v>
      </c>
      <c r="Y104" s="39" t="n">
        <f aca="false">MY_PH(Y$2,$A104)</f>
        <v>2015</v>
      </c>
      <c r="Z104" s="39" t="n">
        <f aca="false">MY_PH(Z$2,$A104)</f>
        <v>2015</v>
      </c>
      <c r="AA104" s="39" t="n">
        <f aca="false">MY_PH(AA$2,$A104)</f>
        <v>2015</v>
      </c>
      <c r="AB104" s="39" t="n">
        <f aca="false">MY_PH(AB$2,$A104)</f>
        <v>2015</v>
      </c>
      <c r="AC104" s="39" t="n">
        <f aca="false">MY_PH(AC$2,$A104)</f>
        <v>2015</v>
      </c>
      <c r="AD104" s="39" t="n">
        <f aca="false">MY_PH(AD$2,$A104)</f>
        <v>2015</v>
      </c>
      <c r="AE104" s="39" t="n">
        <f aca="false">MY_PH(AE$2,$A104)</f>
        <v>2015</v>
      </c>
      <c r="AF104" s="39" t="n">
        <f aca="false">MY_PH(AF$2,$A104)</f>
        <v>2015</v>
      </c>
      <c r="AG104" s="39" t="n">
        <f aca="false">MY_PH(AG$2,$A104)</f>
        <v>2015</v>
      </c>
      <c r="AH104" s="39" t="n">
        <f aca="false">MY_PH(AH$2,$A104)</f>
        <v>2015</v>
      </c>
      <c r="AI104" s="39" t="n">
        <f aca="false">MY_PH(AI$2,$A104)</f>
        <v>2015</v>
      </c>
      <c r="AJ104" s="39" t="n">
        <f aca="false">MY_PH(AJ$2,$A104)</f>
        <v>2015</v>
      </c>
      <c r="AK104" s="39" t="n">
        <f aca="false">MY_PH(AK$2,$A104)</f>
        <v>2015</v>
      </c>
      <c r="AL104" s="39" t="n">
        <f aca="false">MY_PH(AL$2,$A104)</f>
        <v>2015</v>
      </c>
      <c r="AM104" s="39" t="n">
        <f aca="false">MY_PH(AM$2,$A104)</f>
        <v>2015</v>
      </c>
      <c r="AN104" s="39" t="n">
        <f aca="false">MY_PH(AN$2,$A104)</f>
        <v>2015</v>
      </c>
      <c r="AO104" s="39" t="n">
        <f aca="false">MY_PH(AO$2,$A104)</f>
        <v>2015</v>
      </c>
      <c r="AP104" s="39" t="n">
        <f aca="false">MY_PH(AP$2,$A104)</f>
        <v>2015</v>
      </c>
      <c r="AQ104" s="39" t="n">
        <f aca="false">MY_PH(AQ$2,$A104)</f>
        <v>2.58146582796095E-005</v>
      </c>
      <c r="AR104" s="39" t="n">
        <f aca="false">MY_PH(AR$2,$A104)</f>
        <v>2.70388614365516E-005</v>
      </c>
      <c r="AS104" s="39" t="n">
        <f aca="false">MY_PH(AS$2,$A104)</f>
        <v>2.75903019114882E-005</v>
      </c>
    </row>
    <row r="105" customFormat="false" ht="13.8" hidden="false" customHeight="false" outlineLevel="0" collapsed="false">
      <c r="A105" s="0" t="n">
        <v>2650</v>
      </c>
      <c r="B105" s="39" t="n">
        <f aca="false">MY_PH(B$2,$A105)</f>
        <v>1.16241212710739E-005</v>
      </c>
      <c r="C105" s="39" t="n">
        <f aca="false">MY_PH(C$2,$A105)</f>
        <v>1.16243181171117E-005</v>
      </c>
      <c r="D105" s="39" t="n">
        <f aca="false">MY_PH(D$2,$A105)</f>
        <v>1.16245149593091E-005</v>
      </c>
      <c r="E105" s="39" t="n">
        <f aca="false">MY_PH(E$2,$A105)</f>
        <v>1.16247117976893E-005</v>
      </c>
      <c r="F105" s="39" t="n">
        <f aca="false">MY_PH(F$2,$A105)</f>
        <v>1.16249086322753E-005</v>
      </c>
      <c r="G105" s="39" t="n">
        <f aca="false">MY_PH(G$2,$A105)</f>
        <v>1.1626876774518E-005</v>
      </c>
      <c r="H105" s="39" t="n">
        <f aca="false">MY_PH(H$2,$A105)</f>
        <v>1.16288445626557E-005</v>
      </c>
      <c r="I105" s="39" t="n">
        <f aca="false">MY_PH(I$2,$A105)</f>
        <v>1.16308120196866E-005</v>
      </c>
      <c r="J105" s="39" t="n">
        <f aca="false">MY_PH(J$2,$A105)</f>
        <v>1.16327791685911E-005</v>
      </c>
      <c r="K105" s="39" t="n">
        <f aca="false">MY_PH(K$2,$A105)</f>
        <v>1.16347460323314E-005</v>
      </c>
      <c r="L105" s="39" t="n">
        <f aca="false">MY_PH(L$2,$A105)</f>
        <v>1.16367126338521E-005</v>
      </c>
      <c r="M105" s="39" t="n">
        <f aca="false">MY_PH(M$2,$A105)</f>
        <v>1.16386789960798E-005</v>
      </c>
      <c r="N105" s="39" t="n">
        <f aca="false">MY_PH(N$2,$A105)</f>
        <v>1.1640645141923E-005</v>
      </c>
      <c r="O105" s="39" t="n">
        <f aca="false">MY_PH(O$2,$A105)</f>
        <v>1.16426110942724E-005</v>
      </c>
      <c r="P105" s="39" t="n">
        <f aca="false">MY_PH(P$2,$A105)</f>
        <v>1.1662264998331E-005</v>
      </c>
      <c r="Q105" s="39" t="n">
        <f aca="false">MY_PH(Q$2,$A105)</f>
        <v>1.16819245912955E-005</v>
      </c>
      <c r="R105" s="39" t="n">
        <f aca="false">MY_PH(R$2,$A105)</f>
        <v>1.17016124264735E-005</v>
      </c>
      <c r="S105" s="39" t="n">
        <f aca="false">MY_PH(S$2,$A105)</f>
        <v>1.17213507985689E-005</v>
      </c>
      <c r="T105" s="39" t="n">
        <f aca="false">MY_PH(T$2,$A105)</f>
        <v>2015</v>
      </c>
      <c r="U105" s="39" t="n">
        <f aca="false">MY_PH(U$2,$A105)</f>
        <v>2015</v>
      </c>
      <c r="V105" s="39" t="n">
        <f aca="false">MY_PH(V$2,$A105)</f>
        <v>2015</v>
      </c>
      <c r="W105" s="39" t="n">
        <f aca="false">MY_PH(W$2,$A105)</f>
        <v>2015</v>
      </c>
      <c r="X105" s="39" t="n">
        <f aca="false">MY_PH(X$2,$A105)</f>
        <v>2015</v>
      </c>
      <c r="Y105" s="39" t="n">
        <f aca="false">MY_PH(Y$2,$A105)</f>
        <v>2015</v>
      </c>
      <c r="Z105" s="39" t="n">
        <f aca="false">MY_PH(Z$2,$A105)</f>
        <v>2015</v>
      </c>
      <c r="AA105" s="39" t="n">
        <f aca="false">MY_PH(AA$2,$A105)</f>
        <v>2015</v>
      </c>
      <c r="AB105" s="39" t="n">
        <f aca="false">MY_PH(AB$2,$A105)</f>
        <v>2015</v>
      </c>
      <c r="AC105" s="39" t="n">
        <f aca="false">MY_PH(AC$2,$A105)</f>
        <v>2015</v>
      </c>
      <c r="AD105" s="39" t="n">
        <f aca="false">MY_PH(AD$2,$A105)</f>
        <v>2015</v>
      </c>
      <c r="AE105" s="39" t="n">
        <f aca="false">MY_PH(AE$2,$A105)</f>
        <v>2015</v>
      </c>
      <c r="AF105" s="39" t="n">
        <f aca="false">MY_PH(AF$2,$A105)</f>
        <v>2015</v>
      </c>
      <c r="AG105" s="39" t="n">
        <f aca="false">MY_PH(AG$2,$A105)</f>
        <v>2015</v>
      </c>
      <c r="AH105" s="39" t="n">
        <f aca="false">MY_PH(AH$2,$A105)</f>
        <v>2015</v>
      </c>
      <c r="AI105" s="39" t="n">
        <f aca="false">MY_PH(AI$2,$A105)</f>
        <v>2015</v>
      </c>
      <c r="AJ105" s="39" t="n">
        <f aca="false">MY_PH(AJ$2,$A105)</f>
        <v>2015</v>
      </c>
      <c r="AK105" s="39" t="n">
        <f aca="false">MY_PH(AK$2,$A105)</f>
        <v>2015</v>
      </c>
      <c r="AL105" s="39" t="n">
        <f aca="false">MY_PH(AL$2,$A105)</f>
        <v>2015</v>
      </c>
      <c r="AM105" s="39" t="n">
        <f aca="false">MY_PH(AM$2,$A105)</f>
        <v>2015</v>
      </c>
      <c r="AN105" s="39" t="n">
        <f aca="false">MY_PH(AN$2,$A105)</f>
        <v>2015</v>
      </c>
      <c r="AO105" s="39" t="n">
        <f aca="false">MY_PH(AO$2,$A105)</f>
        <v>2015</v>
      </c>
      <c r="AP105" s="39" t="n">
        <f aca="false">MY_PH(AP$2,$A105)</f>
        <v>2015</v>
      </c>
      <c r="AQ105" s="39" t="n">
        <f aca="false">MY_PH(AQ$2,$A105)</f>
        <v>2.57970984922335E-005</v>
      </c>
      <c r="AR105" s="39" t="n">
        <f aca="false">MY_PH(AR$2,$A105)</f>
        <v>2.70076294472612E-005</v>
      </c>
      <c r="AS105" s="39" t="n">
        <f aca="false">MY_PH(AS$2,$A105)</f>
        <v>2.75529431451578E-005</v>
      </c>
    </row>
    <row r="106" customFormat="false" ht="13.8" hidden="false" customHeight="false" outlineLevel="0" collapsed="false">
      <c r="A106" s="0" t="n">
        <v>2660</v>
      </c>
      <c r="B106" s="39" t="n">
        <f aca="false">MY_PH(B$2,$A106)</f>
        <v>1.18102572896282E-005</v>
      </c>
      <c r="C106" s="39" t="n">
        <f aca="false">MY_PH(C$2,$A106)</f>
        <v>1.18104408486764E-005</v>
      </c>
      <c r="D106" s="39" t="n">
        <f aca="false">MY_PH(D$2,$A106)</f>
        <v>1.18106244023457E-005</v>
      </c>
      <c r="E106" s="39" t="n">
        <f aca="false">MY_PH(E$2,$A106)</f>
        <v>1.18108079506527E-005</v>
      </c>
      <c r="F106" s="39" t="n">
        <f aca="false">MY_PH(F$2,$A106)</f>
        <v>1.18109914936138E-005</v>
      </c>
      <c r="G106" s="39" t="n">
        <f aca="false">MY_PH(G$2,$A106)</f>
        <v>1.18128266328395E-005</v>
      </c>
      <c r="H106" s="39" t="n">
        <f aca="false">MY_PH(H$2,$A106)</f>
        <v>1.18146612556519E-005</v>
      </c>
      <c r="I106" s="39" t="n">
        <f aca="false">MY_PH(I$2,$A106)</f>
        <v>1.18164953785549E-005</v>
      </c>
      <c r="J106" s="39" t="n">
        <f aca="false">MY_PH(J$2,$A106)</f>
        <v>1.18183290180392E-005</v>
      </c>
      <c r="K106" s="39" t="n">
        <f aca="false">MY_PH(K$2,$A106)</f>
        <v>1.18201621905812E-005</v>
      </c>
      <c r="L106" s="39" t="n">
        <f aca="false">MY_PH(L$2,$A106)</f>
        <v>1.18219949126436E-005</v>
      </c>
      <c r="M106" s="39" t="n">
        <f aca="false">MY_PH(M$2,$A106)</f>
        <v>1.1823827200675E-005</v>
      </c>
      <c r="N106" s="39" t="n">
        <f aca="false">MY_PH(N$2,$A106)</f>
        <v>1.18256590711096E-005</v>
      </c>
      <c r="O106" s="39" t="n">
        <f aca="false">MY_PH(O$2,$A106)</f>
        <v>1.18274905403676E-005</v>
      </c>
      <c r="P106" s="39" t="n">
        <f aca="false">MY_PH(P$2,$A106)</f>
        <v>1.18457867700757E-005</v>
      </c>
      <c r="Q106" s="39" t="n">
        <f aca="false">MY_PH(Q$2,$A106)</f>
        <v>1.18640608310401E-005</v>
      </c>
      <c r="R106" s="39" t="n">
        <f aca="false">MY_PH(R$2,$A106)</f>
        <v>1.18823288756645E-005</v>
      </c>
      <c r="S106" s="39" t="n">
        <f aca="false">MY_PH(S$2,$A106)</f>
        <v>1.19006068599326E-005</v>
      </c>
      <c r="T106" s="39" t="n">
        <f aca="false">MY_PH(T$2,$A106)</f>
        <v>1.19189105095595E-005</v>
      </c>
      <c r="U106" s="39" t="n">
        <f aca="false">MY_PH(U$2,$A106)</f>
        <v>1.19372552838903E-005</v>
      </c>
      <c r="V106" s="39" t="n">
        <f aca="false">MY_PH(V$2,$A106)</f>
        <v>2015</v>
      </c>
      <c r="W106" s="39" t="n">
        <f aca="false">MY_PH(W$2,$A106)</f>
        <v>2015</v>
      </c>
      <c r="X106" s="39" t="n">
        <f aca="false">MY_PH(X$2,$A106)</f>
        <v>2015</v>
      </c>
      <c r="Y106" s="39" t="n">
        <f aca="false">MY_PH(Y$2,$A106)</f>
        <v>2015</v>
      </c>
      <c r="Z106" s="39" t="n">
        <f aca="false">MY_PH(Z$2,$A106)</f>
        <v>2015</v>
      </c>
      <c r="AA106" s="39" t="n">
        <f aca="false">MY_PH(AA$2,$A106)</f>
        <v>2015</v>
      </c>
      <c r="AB106" s="39" t="n">
        <f aca="false">MY_PH(AB$2,$A106)</f>
        <v>2015</v>
      </c>
      <c r="AC106" s="39" t="n">
        <f aca="false">MY_PH(AC$2,$A106)</f>
        <v>2015</v>
      </c>
      <c r="AD106" s="39" t="n">
        <f aca="false">MY_PH(AD$2,$A106)</f>
        <v>2015</v>
      </c>
      <c r="AE106" s="39" t="n">
        <f aca="false">MY_PH(AE$2,$A106)</f>
        <v>2015</v>
      </c>
      <c r="AF106" s="39" t="n">
        <f aca="false">MY_PH(AF$2,$A106)</f>
        <v>2015</v>
      </c>
      <c r="AG106" s="39" t="n">
        <f aca="false">MY_PH(AG$2,$A106)</f>
        <v>2015</v>
      </c>
      <c r="AH106" s="39" t="n">
        <f aca="false">MY_PH(AH$2,$A106)</f>
        <v>2015</v>
      </c>
      <c r="AI106" s="39" t="n">
        <f aca="false">MY_PH(AI$2,$A106)</f>
        <v>2015</v>
      </c>
      <c r="AJ106" s="39" t="n">
        <f aca="false">MY_PH(AJ$2,$A106)</f>
        <v>2015</v>
      </c>
      <c r="AK106" s="39" t="n">
        <f aca="false">MY_PH(AK$2,$A106)</f>
        <v>2015</v>
      </c>
      <c r="AL106" s="39" t="n">
        <f aca="false">MY_PH(AL$2,$A106)</f>
        <v>2015</v>
      </c>
      <c r="AM106" s="39" t="n">
        <f aca="false">MY_PH(AM$2,$A106)</f>
        <v>2015</v>
      </c>
      <c r="AN106" s="39" t="n">
        <f aca="false">MY_PH(AN$2,$A106)</f>
        <v>2015</v>
      </c>
      <c r="AO106" s="39" t="n">
        <f aca="false">MY_PH(AO$2,$A106)</f>
        <v>2015</v>
      </c>
      <c r="AP106" s="39" t="n">
        <f aca="false">MY_PH(AP$2,$A106)</f>
        <v>2015</v>
      </c>
      <c r="AQ106" s="39" t="n">
        <f aca="false">MY_PH(AQ$2,$A106)</f>
        <v>2.57834502421207E-005</v>
      </c>
      <c r="AR106" s="39" t="n">
        <f aca="false">MY_PH(AR$2,$A106)</f>
        <v>2.69805409506083E-005</v>
      </c>
      <c r="AS106" s="39" t="n">
        <f aca="false">MY_PH(AS$2,$A106)</f>
        <v>2.75198340849921E-005</v>
      </c>
    </row>
    <row r="107" customFormat="false" ht="13.8" hidden="false" customHeight="false" outlineLevel="0" collapsed="false">
      <c r="A107" s="0" t="n">
        <v>2670</v>
      </c>
      <c r="B107" s="39" t="n">
        <f aca="false">MY_PH(B$2,$A107)</f>
        <v>1.19982766888099E-005</v>
      </c>
      <c r="C107" s="39" t="n">
        <f aca="false">MY_PH(C$2,$A107)</f>
        <v>1.1998448255837E-005</v>
      </c>
      <c r="D107" s="39" t="n">
        <f aca="false">MY_PH(D$2,$A107)</f>
        <v>1.19986198172146E-005</v>
      </c>
      <c r="E107" s="39" t="n">
        <f aca="false">MY_PH(E$2,$A107)</f>
        <v>1.19987913729544E-005</v>
      </c>
      <c r="F107" s="39" t="n">
        <f aca="false">MY_PH(F$2,$A107)</f>
        <v>1.19989629230681E-005</v>
      </c>
      <c r="G107" s="39" t="n">
        <f aca="false">MY_PH(G$2,$A107)</f>
        <v>1.20006781173568E-005</v>
      </c>
      <c r="H107" s="39" t="n">
        <f aca="false">MY_PH(H$2,$A107)</f>
        <v>1.20023927619576E-005</v>
      </c>
      <c r="I107" s="39" t="n">
        <f aca="false">MY_PH(I$2,$A107)</f>
        <v>1.2004106868603E-005</v>
      </c>
      <c r="J107" s="39" t="n">
        <f aca="false">MY_PH(J$2,$A107)</f>
        <v>1.20058204490151E-005</v>
      </c>
      <c r="K107" s="39" t="n">
        <f aca="false">MY_PH(K$2,$A107)</f>
        <v>1.20075335149051E-005</v>
      </c>
      <c r="L107" s="39" t="n">
        <f aca="false">MY_PH(L$2,$A107)</f>
        <v>1.20092460779732E-005</v>
      </c>
      <c r="M107" s="39" t="n">
        <f aca="false">MY_PH(M$2,$A107)</f>
        <v>1.20109581499088E-005</v>
      </c>
      <c r="N107" s="39" t="n">
        <f aca="false">MY_PH(N$2,$A107)</f>
        <v>1.201266974239E-005</v>
      </c>
      <c r="O107" s="39" t="n">
        <f aca="false">MY_PH(O$2,$A107)</f>
        <v>1.20143808670837E-005</v>
      </c>
      <c r="P107" s="39" t="n">
        <f aca="false">MY_PH(P$2,$A107)</f>
        <v>1.20314689441687E-005</v>
      </c>
      <c r="Q107" s="39" t="n">
        <f aca="false">MY_PH(Q$2,$A107)</f>
        <v>1.2048522987805E-005</v>
      </c>
      <c r="R107" s="39" t="n">
        <f aca="false">MY_PH(R$2,$A107)</f>
        <v>1.20655544578344E-005</v>
      </c>
      <c r="S107" s="39" t="n">
        <f aca="false">MY_PH(S$2,$A107)</f>
        <v>1.20825746673544E-005</v>
      </c>
      <c r="T107" s="39" t="n">
        <f aca="false">MY_PH(T$2,$A107)</f>
        <v>1.20995947629648E-005</v>
      </c>
      <c r="U107" s="39" t="n">
        <f aca="false">MY_PH(U$2,$A107)</f>
        <v>1.21166257039041E-005</v>
      </c>
      <c r="V107" s="39" t="n">
        <f aca="false">MY_PH(V$2,$A107)</f>
        <v>1.21336782413671E-005</v>
      </c>
      <c r="W107" s="39" t="n">
        <f aca="false">MY_PH(W$2,$A107)</f>
        <v>2015</v>
      </c>
      <c r="X107" s="39" t="n">
        <f aca="false">MY_PH(X$2,$A107)</f>
        <v>2015</v>
      </c>
      <c r="Y107" s="39" t="n">
        <f aca="false">MY_PH(Y$2,$A107)</f>
        <v>2015</v>
      </c>
      <c r="Z107" s="39" t="n">
        <f aca="false">MY_PH(Z$2,$A107)</f>
        <v>2015</v>
      </c>
      <c r="AA107" s="39" t="n">
        <f aca="false">MY_PH(AA$2,$A107)</f>
        <v>2015</v>
      </c>
      <c r="AB107" s="39" t="n">
        <f aca="false">MY_PH(AB$2,$A107)</f>
        <v>2015</v>
      </c>
      <c r="AC107" s="39" t="n">
        <f aca="false">MY_PH(AC$2,$A107)</f>
        <v>2015</v>
      </c>
      <c r="AD107" s="39" t="n">
        <f aca="false">MY_PH(AD$2,$A107)</f>
        <v>2015</v>
      </c>
      <c r="AE107" s="39" t="n">
        <f aca="false">MY_PH(AE$2,$A107)</f>
        <v>2015</v>
      </c>
      <c r="AF107" s="39" t="n">
        <f aca="false">MY_PH(AF$2,$A107)</f>
        <v>2015</v>
      </c>
      <c r="AG107" s="39" t="n">
        <f aca="false">MY_PH(AG$2,$A107)</f>
        <v>2015</v>
      </c>
      <c r="AH107" s="39" t="n">
        <f aca="false">MY_PH(AH$2,$A107)</f>
        <v>2015</v>
      </c>
      <c r="AI107" s="39" t="n">
        <f aca="false">MY_PH(AI$2,$A107)</f>
        <v>2015</v>
      </c>
      <c r="AJ107" s="39" t="n">
        <f aca="false">MY_PH(AJ$2,$A107)</f>
        <v>2015</v>
      </c>
      <c r="AK107" s="39" t="n">
        <f aca="false">MY_PH(AK$2,$A107)</f>
        <v>2015</v>
      </c>
      <c r="AL107" s="39" t="n">
        <f aca="false">MY_PH(AL$2,$A107)</f>
        <v>2015</v>
      </c>
      <c r="AM107" s="39" t="n">
        <f aca="false">MY_PH(AM$2,$A107)</f>
        <v>2015</v>
      </c>
      <c r="AN107" s="39" t="n">
        <f aca="false">MY_PH(AN$2,$A107)</f>
        <v>2015</v>
      </c>
      <c r="AO107" s="39" t="n">
        <f aca="false">MY_PH(AO$2,$A107)</f>
        <v>2015</v>
      </c>
      <c r="AP107" s="39" t="n">
        <f aca="false">MY_PH(AP$2,$A107)</f>
        <v>2015</v>
      </c>
      <c r="AQ107" s="39" t="n">
        <f aca="false">MY_PH(AQ$2,$A107)</f>
        <v>2.57736456121507E-005</v>
      </c>
      <c r="AR107" s="39" t="n">
        <f aca="false">MY_PH(AR$2,$A107)</f>
        <v>2.69575254887103E-005</v>
      </c>
      <c r="AS107" s="39" t="n">
        <f aca="false">MY_PH(AS$2,$A107)</f>
        <v>2.74909023279499E-005</v>
      </c>
    </row>
    <row r="108" customFormat="false" ht="13.8" hidden="false" customHeight="false" outlineLevel="0" collapsed="false">
      <c r="A108" s="0" t="n">
        <v>2680</v>
      </c>
      <c r="B108" s="39" t="n">
        <f aca="false">MY_PH(B$2,$A108)</f>
        <v>1.2188044308908E-005</v>
      </c>
      <c r="C108" s="39" t="n">
        <f aca="false">MY_PH(C$2,$A108)</f>
        <v>1.21882050165409E-005</v>
      </c>
      <c r="D108" s="39" t="n">
        <f aca="false">MY_PH(D$2,$A108)</f>
        <v>1.21883657189399E-005</v>
      </c>
      <c r="E108" s="39" t="n">
        <f aca="false">MY_PH(E$2,$A108)</f>
        <v>1.21885264161134E-005</v>
      </c>
      <c r="F108" s="39" t="n">
        <f aca="false">MY_PH(F$2,$A108)</f>
        <v>1.21886871080695E-005</v>
      </c>
      <c r="G108" s="39" t="n">
        <f aca="false">MY_PH(G$2,$A108)</f>
        <v>1.2190293742491E-005</v>
      </c>
      <c r="H108" s="39" t="n">
        <f aca="false">MY_PH(H$2,$A108)</f>
        <v>1.21918998642428E-005</v>
      </c>
      <c r="I108" s="39" t="n">
        <f aca="false">MY_PH(I$2,$A108)</f>
        <v>1.2193505481556E-005</v>
      </c>
      <c r="J108" s="39" t="n">
        <f aca="false">MY_PH(J$2,$A108)</f>
        <v>1.21951106026537E-005</v>
      </c>
      <c r="K108" s="39" t="n">
        <f aca="false">MY_PH(K$2,$A108)</f>
        <v>1.21967152357509E-005</v>
      </c>
      <c r="L108" s="39" t="n">
        <f aca="false">MY_PH(L$2,$A108)</f>
        <v>1.21983193890542E-005</v>
      </c>
      <c r="M108" s="39" t="n">
        <f aca="false">MY_PH(M$2,$A108)</f>
        <v>1.21999230707617E-005</v>
      </c>
      <c r="N108" s="39" t="n">
        <f aca="false">MY_PH(N$2,$A108)</f>
        <v>1.22015262890633E-005</v>
      </c>
      <c r="O108" s="39" t="n">
        <f aca="false">MY_PH(O$2,$A108)</f>
        <v>1.22031290521402E-005</v>
      </c>
      <c r="P108" s="39" t="n">
        <f aca="false">MY_PH(P$2,$A108)</f>
        <v>1.22191334391514E-005</v>
      </c>
      <c r="Q108" s="39" t="n">
        <f aca="false">MY_PH(Q$2,$A108)</f>
        <v>1.22351012362854E-005</v>
      </c>
      <c r="R108" s="39" t="n">
        <f aca="false">MY_PH(R$2,$A108)</f>
        <v>1.22510404694961E-005</v>
      </c>
      <c r="S108" s="39" t="n">
        <f aca="false">MY_PH(S$2,$A108)</f>
        <v>1.22669590575976E-005</v>
      </c>
      <c r="T108" s="39" t="n">
        <f aca="false">MY_PH(T$2,$A108)</f>
        <v>1.22828648006992E-005</v>
      </c>
      <c r="U108" s="39" t="n">
        <f aca="false">MY_PH(U$2,$A108)</f>
        <v>1.22987653681379E-005</v>
      </c>
      <c r="V108" s="39" t="n">
        <f aca="false">MY_PH(V$2,$A108)</f>
        <v>1.23146682864456E-005</v>
      </c>
      <c r="W108" s="39" t="n">
        <f aca="false">MY_PH(W$2,$A108)</f>
        <v>1.23305809278535E-005</v>
      </c>
      <c r="X108" s="39" t="n">
        <f aca="false">MY_PH(X$2,$A108)</f>
        <v>1.23465104997546E-005</v>
      </c>
      <c r="Y108" s="39" t="n">
        <f aca="false">MY_PH(Y$2,$A108)</f>
        <v>2015</v>
      </c>
      <c r="Z108" s="39" t="n">
        <f aca="false">MY_PH(Z$2,$A108)</f>
        <v>2015</v>
      </c>
      <c r="AA108" s="39" t="n">
        <f aca="false">MY_PH(AA$2,$A108)</f>
        <v>2015</v>
      </c>
      <c r="AB108" s="39" t="n">
        <f aca="false">MY_PH(AB$2,$A108)</f>
        <v>2015</v>
      </c>
      <c r="AC108" s="39" t="n">
        <f aca="false">MY_PH(AC$2,$A108)</f>
        <v>2015</v>
      </c>
      <c r="AD108" s="39" t="n">
        <f aca="false">MY_PH(AD$2,$A108)</f>
        <v>2015</v>
      </c>
      <c r="AE108" s="39" t="n">
        <f aca="false">MY_PH(AE$2,$A108)</f>
        <v>2015</v>
      </c>
      <c r="AF108" s="39" t="n">
        <f aca="false">MY_PH(AF$2,$A108)</f>
        <v>2015</v>
      </c>
      <c r="AG108" s="39" t="n">
        <f aca="false">MY_PH(AG$2,$A108)</f>
        <v>2015</v>
      </c>
      <c r="AH108" s="39" t="n">
        <f aca="false">MY_PH(AH$2,$A108)</f>
        <v>2015</v>
      </c>
      <c r="AI108" s="39" t="n">
        <f aca="false">MY_PH(AI$2,$A108)</f>
        <v>2015</v>
      </c>
      <c r="AJ108" s="39" t="n">
        <f aca="false">MY_PH(AJ$2,$A108)</f>
        <v>2015</v>
      </c>
      <c r="AK108" s="39" t="n">
        <f aca="false">MY_PH(AK$2,$A108)</f>
        <v>2015</v>
      </c>
      <c r="AL108" s="39" t="n">
        <f aca="false">MY_PH(AL$2,$A108)</f>
        <v>2015</v>
      </c>
      <c r="AM108" s="39" t="n">
        <f aca="false">MY_PH(AM$2,$A108)</f>
        <v>2015</v>
      </c>
      <c r="AN108" s="39" t="n">
        <f aca="false">MY_PH(AN$2,$A108)</f>
        <v>2015</v>
      </c>
      <c r="AO108" s="39" t="n">
        <f aca="false">MY_PH(AO$2,$A108)</f>
        <v>2015</v>
      </c>
      <c r="AP108" s="39" t="n">
        <f aca="false">MY_PH(AP$2,$A108)</f>
        <v>2015</v>
      </c>
      <c r="AQ108" s="39" t="n">
        <f aca="false">MY_PH(AQ$2,$A108)</f>
        <v>2.57676204767525E-005</v>
      </c>
      <c r="AR108" s="39" t="n">
        <f aca="false">MY_PH(AR$2,$A108)</f>
        <v>2.69385145404419E-005</v>
      </c>
      <c r="AS108" s="39" t="n">
        <f aca="false">MY_PH(AS$2,$A108)</f>
        <v>2.74660764794711E-005</v>
      </c>
    </row>
    <row r="109" customFormat="false" ht="13.8" hidden="false" customHeight="false" outlineLevel="0" collapsed="false">
      <c r="A109" s="0" t="n">
        <v>2690</v>
      </c>
      <c r="B109" s="39" t="n">
        <f aca="false">MY_PH(B$2,$A109)</f>
        <v>1.23794353043393E-005</v>
      </c>
      <c r="C109" s="39" t="n">
        <f aca="false">MY_PH(C$2,$A109)</f>
        <v>1.23795861491542E-005</v>
      </c>
      <c r="D109" s="39" t="n">
        <f aca="false">MY_PH(D$2,$A109)</f>
        <v>1.23797369894763E-005</v>
      </c>
      <c r="E109" s="39" t="n">
        <f aca="false">MY_PH(E$2,$A109)</f>
        <v>1.23798878253111E-005</v>
      </c>
      <c r="F109" s="39" t="n">
        <f aca="false">MY_PH(F$2,$A109)</f>
        <v>1.23800386566645E-005</v>
      </c>
      <c r="G109" s="39" t="n">
        <f aca="false">MY_PH(G$2,$A109)</f>
        <v>1.23815467249647E-005</v>
      </c>
      <c r="H109" s="39" t="n">
        <f aca="false">MY_PH(H$2,$A109)</f>
        <v>1.23830543513584E-005</v>
      </c>
      <c r="I109" s="39" t="n">
        <f aca="false">MY_PH(I$2,$A109)</f>
        <v>1.23845615415165E-005</v>
      </c>
      <c r="J109" s="39" t="n">
        <f aca="false">MY_PH(J$2,$A109)</f>
        <v>1.23860683011038E-005</v>
      </c>
      <c r="K109" s="39" t="n">
        <f aca="false">MY_PH(K$2,$A109)</f>
        <v>1.2387574635779E-005</v>
      </c>
      <c r="L109" s="39" t="n">
        <f aca="false">MY_PH(L$2,$A109)</f>
        <v>1.23890805511949E-005</v>
      </c>
      <c r="M109" s="39" t="n">
        <f aca="false">MY_PH(M$2,$A109)</f>
        <v>1.23905860529981E-005</v>
      </c>
      <c r="N109" s="39" t="n">
        <f aca="false">MY_PH(N$2,$A109)</f>
        <v>1.23920911468291E-005</v>
      </c>
      <c r="O109" s="39" t="n">
        <f aca="false">MY_PH(O$2,$A109)</f>
        <v>1.23935958383221E-005</v>
      </c>
      <c r="P109" s="39" t="n">
        <f aca="false">MY_PH(P$2,$A109)</f>
        <v>1.24086218596202E-005</v>
      </c>
      <c r="Q109" s="39" t="n">
        <f aca="false">MY_PH(Q$2,$A109)</f>
        <v>1.24236137962762E-005</v>
      </c>
      <c r="R109" s="39" t="n">
        <f aca="false">MY_PH(R$2,$A109)</f>
        <v>1.24385771704485E-005</v>
      </c>
      <c r="S109" s="39" t="n">
        <f aca="false">MY_PH(S$2,$A109)</f>
        <v>1.24535174284355E-005</v>
      </c>
      <c r="T109" s="39" t="n">
        <f aca="false">MY_PH(T$2,$A109)</f>
        <v>1.24684399338692E-005</v>
      </c>
      <c r="U109" s="39" t="n">
        <f aca="false">MY_PH(U$2,$A109)</f>
        <v>1.24833499607048E-005</v>
      </c>
      <c r="V109" s="39" t="n">
        <f aca="false">MY_PH(V$2,$A109)</f>
        <v>1.24982526862254E-005</v>
      </c>
      <c r="W109" s="39" t="n">
        <f aca="false">MY_PH(W$2,$A109)</f>
        <v>1.25131531842808E-005</v>
      </c>
      <c r="X109" s="39" t="n">
        <f aca="false">MY_PH(X$2,$A109)</f>
        <v>1.25280564189541E-005</v>
      </c>
      <c r="Y109" s="39" t="n">
        <f aca="false">MY_PH(Y$2,$A109)</f>
        <v>2015</v>
      </c>
      <c r="Z109" s="39" t="n">
        <f aca="false">MY_PH(Z$2,$A109)</f>
        <v>2015</v>
      </c>
      <c r="AA109" s="39" t="n">
        <f aca="false">MY_PH(AA$2,$A109)</f>
        <v>2015</v>
      </c>
      <c r="AB109" s="39" t="n">
        <f aca="false">MY_PH(AB$2,$A109)</f>
        <v>2015</v>
      </c>
      <c r="AC109" s="39" t="n">
        <f aca="false">MY_PH(AC$2,$A109)</f>
        <v>2015</v>
      </c>
      <c r="AD109" s="39" t="n">
        <f aca="false">MY_PH(AD$2,$A109)</f>
        <v>2015</v>
      </c>
      <c r="AE109" s="39" t="n">
        <f aca="false">MY_PH(AE$2,$A109)</f>
        <v>2015</v>
      </c>
      <c r="AF109" s="39" t="n">
        <f aca="false">MY_PH(AF$2,$A109)</f>
        <v>2015</v>
      </c>
      <c r="AG109" s="39" t="n">
        <f aca="false">MY_PH(AG$2,$A109)</f>
        <v>2015</v>
      </c>
      <c r="AH109" s="39" t="n">
        <f aca="false">MY_PH(AH$2,$A109)</f>
        <v>2015</v>
      </c>
      <c r="AI109" s="39" t="n">
        <f aca="false">MY_PH(AI$2,$A109)</f>
        <v>2015</v>
      </c>
      <c r="AJ109" s="39" t="n">
        <f aca="false">MY_PH(AJ$2,$A109)</f>
        <v>2015</v>
      </c>
      <c r="AK109" s="39" t="n">
        <f aca="false">MY_PH(AK$2,$A109)</f>
        <v>2015</v>
      </c>
      <c r="AL109" s="39" t="n">
        <f aca="false">MY_PH(AL$2,$A109)</f>
        <v>2015</v>
      </c>
      <c r="AM109" s="39" t="n">
        <f aca="false">MY_PH(AM$2,$A109)</f>
        <v>2015</v>
      </c>
      <c r="AN109" s="39" t="n">
        <f aca="false">MY_PH(AN$2,$A109)</f>
        <v>2015</v>
      </c>
      <c r="AO109" s="39" t="n">
        <f aca="false">MY_PH(AO$2,$A109)</f>
        <v>2015</v>
      </c>
      <c r="AP109" s="39" t="n">
        <f aca="false">MY_PH(AP$2,$A109)</f>
        <v>2015</v>
      </c>
      <c r="AQ109" s="39" t="n">
        <f aca="false">MY_PH(AQ$2,$A109)</f>
        <v>2.576531405135E-005</v>
      </c>
      <c r="AR109" s="39" t="n">
        <f aca="false">MY_PH(AR$2,$A109)</f>
        <v>2.69234415489703E-005</v>
      </c>
      <c r="AS109" s="39" t="n">
        <f aca="false">MY_PH(AS$2,$A109)</f>
        <v>2.74452865525612E-005</v>
      </c>
    </row>
    <row r="110" customFormat="false" ht="13.8" hidden="false" customHeight="false" outlineLevel="0" collapsed="false">
      <c r="A110" s="0" t="n">
        <v>2700</v>
      </c>
      <c r="B110" s="39" t="n">
        <f aca="false">MY_PH(B$2,$A110)</f>
        <v>1.25723340489457E-005</v>
      </c>
      <c r="C110" s="39" t="n">
        <f aca="false">MY_PH(C$2,$A110)</f>
        <v>1.25724759127917E-005</v>
      </c>
      <c r="D110" s="39" t="n">
        <f aca="false">MY_PH(D$2,$A110)</f>
        <v>1.25726177729949E-005</v>
      </c>
      <c r="E110" s="39" t="n">
        <f aca="false">MY_PH(E$2,$A110)</f>
        <v>1.25727596295592E-005</v>
      </c>
      <c r="F110" s="39" t="n">
        <f aca="false">MY_PH(F$2,$A110)</f>
        <v>1.25729014824884E-005</v>
      </c>
      <c r="G110" s="39" t="n">
        <f aca="false">MY_PH(G$2,$A110)</f>
        <v>1.25743198126869E-005</v>
      </c>
      <c r="H110" s="39" t="n">
        <f aca="false">MY_PH(H$2,$A110)</f>
        <v>1.25757377835666E-005</v>
      </c>
      <c r="I110" s="39" t="n">
        <f aca="false">MY_PH(I$2,$A110)</f>
        <v>1.25771553989365E-005</v>
      </c>
      <c r="J110" s="39" t="n">
        <f aca="false">MY_PH(J$2,$A110)</f>
        <v>1.25785726626014E-005</v>
      </c>
      <c r="K110" s="39" t="n">
        <f aca="false">MY_PH(K$2,$A110)</f>
        <v>1.2579989578362E-005</v>
      </c>
      <c r="L110" s="39" t="n">
        <f aca="false">MY_PH(L$2,$A110)</f>
        <v>1.2581406150015E-005</v>
      </c>
      <c r="M110" s="39" t="n">
        <f aca="false">MY_PH(M$2,$A110)</f>
        <v>1.25828223813524E-005</v>
      </c>
      <c r="N110" s="39" t="n">
        <f aca="false">MY_PH(N$2,$A110)</f>
        <v>1.25842382761623E-005</v>
      </c>
      <c r="O110" s="39" t="n">
        <f aca="false">MY_PH(O$2,$A110)</f>
        <v>1.25856538382284E-005</v>
      </c>
      <c r="P110" s="39" t="n">
        <f aca="false">MY_PH(P$2,$A110)</f>
        <v>1.25997919872244E-005</v>
      </c>
      <c r="Q110" s="39" t="n">
        <f aca="false">MY_PH(Q$2,$A110)</f>
        <v>1.26139009903959E-005</v>
      </c>
      <c r="R110" s="39" t="n">
        <f aca="false">MY_PH(R$2,$A110)</f>
        <v>1.26279845543392E-005</v>
      </c>
      <c r="S110" s="39" t="n">
        <f aca="false">MY_PH(S$2,$A110)</f>
        <v>1.26420463341009E-005</v>
      </c>
      <c r="T110" s="39" t="n">
        <f aca="false">MY_PH(T$2,$A110)</f>
        <v>1.26560899291456E-005</v>
      </c>
      <c r="U110" s="39" t="n">
        <f aca="false">MY_PH(U$2,$A110)</f>
        <v>1.26701188792515E-005</v>
      </c>
      <c r="V110" s="39" t="n">
        <f aca="false">MY_PH(V$2,$A110)</f>
        <v>1.26841366604245E-005</v>
      </c>
      <c r="W110" s="39" t="n">
        <f aca="false">MY_PH(W$2,$A110)</f>
        <v>1.2698146680925E-005</v>
      </c>
      <c r="X110" s="39" t="n">
        <f aca="false">MY_PH(X$2,$A110)</f>
        <v>1.27121522774938E-005</v>
      </c>
      <c r="Y110" s="39" t="n">
        <f aca="false">MY_PH(Y$2,$A110)</f>
        <v>2015</v>
      </c>
      <c r="Z110" s="39" t="n">
        <f aca="false">MY_PH(Z$2,$A110)</f>
        <v>2015</v>
      </c>
      <c r="AA110" s="39" t="n">
        <f aca="false">MY_PH(AA$2,$A110)</f>
        <v>2015</v>
      </c>
      <c r="AB110" s="39" t="n">
        <f aca="false">MY_PH(AB$2,$A110)</f>
        <v>2015</v>
      </c>
      <c r="AC110" s="39" t="n">
        <f aca="false">MY_PH(AC$2,$A110)</f>
        <v>2015</v>
      </c>
      <c r="AD110" s="39" t="n">
        <f aca="false">MY_PH(AD$2,$A110)</f>
        <v>2015</v>
      </c>
      <c r="AE110" s="39" t="n">
        <f aca="false">MY_PH(AE$2,$A110)</f>
        <v>2015</v>
      </c>
      <c r="AF110" s="39" t="n">
        <f aca="false">MY_PH(AF$2,$A110)</f>
        <v>2015</v>
      </c>
      <c r="AG110" s="39" t="n">
        <f aca="false">MY_PH(AG$2,$A110)</f>
        <v>2015</v>
      </c>
      <c r="AH110" s="39" t="n">
        <f aca="false">MY_PH(AH$2,$A110)</f>
        <v>2015</v>
      </c>
      <c r="AI110" s="39" t="n">
        <f aca="false">MY_PH(AI$2,$A110)</f>
        <v>2015</v>
      </c>
      <c r="AJ110" s="39" t="n">
        <f aca="false">MY_PH(AJ$2,$A110)</f>
        <v>2015</v>
      </c>
      <c r="AK110" s="39" t="n">
        <f aca="false">MY_PH(AK$2,$A110)</f>
        <v>2015</v>
      </c>
      <c r="AL110" s="39" t="n">
        <f aca="false">MY_PH(AL$2,$A110)</f>
        <v>2015</v>
      </c>
      <c r="AM110" s="39" t="n">
        <f aca="false">MY_PH(AM$2,$A110)</f>
        <v>2015</v>
      </c>
      <c r="AN110" s="39" t="n">
        <f aca="false">MY_PH(AN$2,$A110)</f>
        <v>2015</v>
      </c>
      <c r="AO110" s="39" t="n">
        <f aca="false">MY_PH(AO$2,$A110)</f>
        <v>2015</v>
      </c>
      <c r="AP110" s="39" t="n">
        <f aca="false">MY_PH(AP$2,$A110)</f>
        <v>2015</v>
      </c>
      <c r="AQ110" s="39" t="n">
        <f aca="false">MY_PH(AQ$2,$A110)</f>
        <v>2.57666680446144E-005</v>
      </c>
      <c r="AR110" s="39" t="n">
        <f aca="false">MY_PH(AR$2,$A110)</f>
        <v>2.69122414588938E-005</v>
      </c>
      <c r="AS110" s="39" t="n">
        <f aca="false">MY_PH(AS$2,$A110)</f>
        <v>2.74284637690837E-005</v>
      </c>
    </row>
    <row r="111" customFormat="false" ht="13.8" hidden="false" customHeight="false" outlineLevel="0" collapsed="false">
      <c r="A111" s="0" t="n">
        <v>2710</v>
      </c>
      <c r="B111" s="39" t="n">
        <f aca="false">MY_PH(B$2,$A111)</f>
        <v>1.27666331873355E-005</v>
      </c>
      <c r="C111" s="39" t="n">
        <f aca="false">MY_PH(C$2,$A111)</f>
        <v>1.27667668546308E-005</v>
      </c>
      <c r="D111" s="39" t="n">
        <f aca="false">MY_PH(D$2,$A111)</f>
        <v>1.27669005191202E-005</v>
      </c>
      <c r="E111" s="39" t="n">
        <f aca="false">MY_PH(E$2,$A111)</f>
        <v>1.27670341808062E-005</v>
      </c>
      <c r="F111" s="39" t="n">
        <f aca="false">MY_PH(F$2,$A111)</f>
        <v>1.27671678396913E-005</v>
      </c>
      <c r="G111" s="39" t="n">
        <f aca="false">MY_PH(G$2,$A111)</f>
        <v>1.27685042750334E-005</v>
      </c>
      <c r="H111" s="39" t="n">
        <f aca="false">MY_PH(H$2,$A111)</f>
        <v>1.27698404329972E-005</v>
      </c>
      <c r="I111" s="39" t="n">
        <f aca="false">MY_PH(I$2,$A111)</f>
        <v>1.27711763160488E-005</v>
      </c>
      <c r="J111" s="39" t="n">
        <f aca="false">MY_PH(J$2,$A111)</f>
        <v>1.27725119266518E-005</v>
      </c>
      <c r="K111" s="39" t="n">
        <f aca="false">MY_PH(K$2,$A111)</f>
        <v>1.27738472672671E-005</v>
      </c>
      <c r="L111" s="39" t="n">
        <f aca="false">MY_PH(L$2,$A111)</f>
        <v>1.27751823403528E-005</v>
      </c>
      <c r="M111" s="39" t="n">
        <f aca="false">MY_PH(M$2,$A111)</f>
        <v>1.27765171483642E-005</v>
      </c>
      <c r="N111" s="39" t="n">
        <f aca="false">MY_PH(N$2,$A111)</f>
        <v>1.27778516937541E-005</v>
      </c>
      <c r="O111" s="39" t="n">
        <f aca="false">MY_PH(O$2,$A111)</f>
        <v>1.27791859789722E-005</v>
      </c>
      <c r="P111" s="39" t="n">
        <f aca="false">MY_PH(P$2,$A111)</f>
        <v>1.27925150586353E-005</v>
      </c>
      <c r="Q111" s="39" t="n">
        <f aca="false">MY_PH(Q$2,$A111)</f>
        <v>1.28058207943699E-005</v>
      </c>
      <c r="R111" s="39" t="n">
        <f aca="false">MY_PH(R$2,$A111)</f>
        <v>1.28191055863857E-005</v>
      </c>
      <c r="S111" s="39" t="n">
        <f aca="false">MY_PH(S$2,$A111)</f>
        <v>1.28323718018484E-005</v>
      </c>
      <c r="T111" s="39" t="n">
        <f aca="false">MY_PH(T$2,$A111)</f>
        <v>1.28456217724665E-005</v>
      </c>
      <c r="U111" s="39" t="n">
        <f aca="false">MY_PH(U$2,$A111)</f>
        <v>1.28588577920608E-005</v>
      </c>
      <c r="V111" s="39" t="n">
        <f aca="false">MY_PH(V$2,$A111)</f>
        <v>1.2872082114154E-005</v>
      </c>
      <c r="W111" s="39" t="n">
        <f aca="false">MY_PH(W$2,$A111)</f>
        <v>1.28852969496197E-005</v>
      </c>
      <c r="X111" s="39" t="n">
        <f aca="false">MY_PH(X$2,$A111)</f>
        <v>1.28985044644298E-005</v>
      </c>
      <c r="Y111" s="39" t="n">
        <f aca="false">MY_PH(Y$2,$A111)</f>
        <v>1.3030617685347E-005</v>
      </c>
      <c r="Z111" s="39" t="n">
        <f aca="false">MY_PH(Z$2,$A111)</f>
        <v>2015</v>
      </c>
      <c r="AA111" s="39" t="n">
        <f aca="false">MY_PH(AA$2,$A111)</f>
        <v>2015</v>
      </c>
      <c r="AB111" s="39" t="n">
        <f aca="false">MY_PH(AB$2,$A111)</f>
        <v>2015</v>
      </c>
      <c r="AC111" s="39" t="n">
        <f aca="false">MY_PH(AC$2,$A111)</f>
        <v>2015</v>
      </c>
      <c r="AD111" s="39" t="n">
        <f aca="false">MY_PH(AD$2,$A111)</f>
        <v>2015</v>
      </c>
      <c r="AE111" s="39" t="n">
        <f aca="false">MY_PH(AE$2,$A111)</f>
        <v>2015</v>
      </c>
      <c r="AF111" s="39" t="n">
        <f aca="false">MY_PH(AF$2,$A111)</f>
        <v>2015</v>
      </c>
      <c r="AG111" s="39" t="n">
        <f aca="false">MY_PH(AG$2,$A111)</f>
        <v>2015</v>
      </c>
      <c r="AH111" s="39" t="n">
        <f aca="false">MY_PH(AH$2,$A111)</f>
        <v>2015</v>
      </c>
      <c r="AI111" s="39" t="n">
        <f aca="false">MY_PH(AI$2,$A111)</f>
        <v>2015</v>
      </c>
      <c r="AJ111" s="39" t="n">
        <f aca="false">MY_PH(AJ$2,$A111)</f>
        <v>2015</v>
      </c>
      <c r="AK111" s="39" t="n">
        <f aca="false">MY_PH(AK$2,$A111)</f>
        <v>2015</v>
      </c>
      <c r="AL111" s="39" t="n">
        <f aca="false">MY_PH(AL$2,$A111)</f>
        <v>2015</v>
      </c>
      <c r="AM111" s="39" t="n">
        <f aca="false">MY_PH(AM$2,$A111)</f>
        <v>2015</v>
      </c>
      <c r="AN111" s="39" t="n">
        <f aca="false">MY_PH(AN$2,$A111)</f>
        <v>2015</v>
      </c>
      <c r="AO111" s="39" t="n">
        <f aca="false">MY_PH(AO$2,$A111)</f>
        <v>2015</v>
      </c>
      <c r="AP111" s="39" t="n">
        <f aca="false">MY_PH(AP$2,$A111)</f>
        <v>2015</v>
      </c>
      <c r="AQ111" s="39" t="n">
        <f aca="false">MY_PH(AQ$2,$A111)</f>
        <v>2.57716257249835E-005</v>
      </c>
      <c r="AR111" s="39" t="n">
        <f aca="false">MY_PH(AR$2,$A111)</f>
        <v>2.69048501100919E-005</v>
      </c>
      <c r="AS111" s="39" t="n">
        <f aca="false">MY_PH(AS$2,$A111)</f>
        <v>2.74155401434803E-005</v>
      </c>
    </row>
    <row r="112" customFormat="false" ht="13.8" hidden="false" customHeight="false" outlineLevel="0" collapsed="false">
      <c r="A112" s="0" t="n">
        <v>2720</v>
      </c>
      <c r="B112" s="39" t="n">
        <f aca="false">MY_PH(B$2,$A112)</f>
        <v>1.29622328097821E-005</v>
      </c>
      <c r="C112" s="39" t="n">
        <f aca="false">MY_PH(C$2,$A112)</f>
        <v>1.29623589815724E-005</v>
      </c>
      <c r="D112" s="39" t="n">
        <f aca="false">MY_PH(D$2,$A112)</f>
        <v>1.29624851513171E-005</v>
      </c>
      <c r="E112" s="39" t="n">
        <f aca="false">MY_PH(E$2,$A112)</f>
        <v>1.29626113190176E-005</v>
      </c>
      <c r="F112" s="39" t="n">
        <f aca="false">MY_PH(F$2,$A112)</f>
        <v>1.29627374846757E-005</v>
      </c>
      <c r="G112" s="39" t="n">
        <f aca="false">MY_PH(G$2,$A112)</f>
        <v>1.29639990292466E-005</v>
      </c>
      <c r="H112" s="39" t="n">
        <f aca="false">MY_PH(H$2,$A112)</f>
        <v>1.29652603712208E-005</v>
      </c>
      <c r="I112" s="39" t="n">
        <f aca="false">MY_PH(I$2,$A112)</f>
        <v>1.29665215121066E-005</v>
      </c>
      <c r="J112" s="39" t="n">
        <f aca="false">MY_PH(J$2,$A112)</f>
        <v>1.29677824534105E-005</v>
      </c>
      <c r="K112" s="39" t="n">
        <f aca="false">MY_PH(K$2,$A112)</f>
        <v>1.29690431966376E-005</v>
      </c>
      <c r="L112" s="39" t="n">
        <f aca="false">MY_PH(L$2,$A112)</f>
        <v>1.29703037432914E-005</v>
      </c>
      <c r="M112" s="39" t="n">
        <f aca="false">MY_PH(M$2,$A112)</f>
        <v>1.29715640948737E-005</v>
      </c>
      <c r="N112" s="39" t="n">
        <f aca="false">MY_PH(N$2,$A112)</f>
        <v>1.2972824252885E-005</v>
      </c>
      <c r="O112" s="39" t="n">
        <f aca="false">MY_PH(O$2,$A112)</f>
        <v>1.29740842188239E-005</v>
      </c>
      <c r="P112" s="39" t="n">
        <f aca="false">MY_PH(P$2,$A112)</f>
        <v>1.29866736427698E-005</v>
      </c>
      <c r="Q112" s="39" t="n">
        <f aca="false">MY_PH(Q$2,$A112)</f>
        <v>1.2999245495556E-005</v>
      </c>
      <c r="R112" s="39" t="n">
        <f aca="false">MY_PH(R$2,$A112)</f>
        <v>1.30118012470623E-005</v>
      </c>
      <c r="S112" s="39" t="n">
        <f aca="false">MY_PH(S$2,$A112)</f>
        <v>1.30243423478667E-005</v>
      </c>
      <c r="T112" s="39" t="n">
        <f aca="false">MY_PH(T$2,$A112)</f>
        <v>1.30368702277788E-005</v>
      </c>
      <c r="U112" s="39" t="n">
        <f aca="false">MY_PH(U$2,$A112)</f>
        <v>1.30493862943773E-005</v>
      </c>
      <c r="V112" s="39" t="n">
        <f aca="false">MY_PH(V$2,$A112)</f>
        <v>1.30618919315637E-005</v>
      </c>
      <c r="W112" s="39" t="n">
        <f aca="false">MY_PH(W$2,$A112)</f>
        <v>1.30743884981509E-005</v>
      </c>
      <c r="X112" s="39" t="n">
        <f aca="false">MY_PH(X$2,$A112)</f>
        <v>1.3086877326502E-005</v>
      </c>
      <c r="Y112" s="39" t="n">
        <f aca="false">MY_PH(Y$2,$A112)</f>
        <v>1.32116118984642E-005</v>
      </c>
      <c r="Z112" s="39" t="n">
        <f aca="false">MY_PH(Z$2,$A112)</f>
        <v>2015</v>
      </c>
      <c r="AA112" s="39" t="n">
        <f aca="false">MY_PH(AA$2,$A112)</f>
        <v>2015</v>
      </c>
      <c r="AB112" s="39" t="n">
        <f aca="false">MY_PH(AB$2,$A112)</f>
        <v>2015</v>
      </c>
      <c r="AC112" s="39" t="n">
        <f aca="false">MY_PH(AC$2,$A112)</f>
        <v>2015</v>
      </c>
      <c r="AD112" s="39" t="n">
        <f aca="false">MY_PH(AD$2,$A112)</f>
        <v>2015</v>
      </c>
      <c r="AE112" s="39" t="n">
        <f aca="false">MY_PH(AE$2,$A112)</f>
        <v>2015</v>
      </c>
      <c r="AF112" s="39" t="n">
        <f aca="false">MY_PH(AF$2,$A112)</f>
        <v>2015</v>
      </c>
      <c r="AG112" s="39" t="n">
        <f aca="false">MY_PH(AG$2,$A112)</f>
        <v>2015</v>
      </c>
      <c r="AH112" s="39" t="n">
        <f aca="false">MY_PH(AH$2,$A112)</f>
        <v>2015</v>
      </c>
      <c r="AI112" s="39" t="n">
        <f aca="false">MY_PH(AI$2,$A112)</f>
        <v>2015</v>
      </c>
      <c r="AJ112" s="39" t="n">
        <f aca="false">MY_PH(AJ$2,$A112)</f>
        <v>2015</v>
      </c>
      <c r="AK112" s="39" t="n">
        <f aca="false">MY_PH(AK$2,$A112)</f>
        <v>2015</v>
      </c>
      <c r="AL112" s="39" t="n">
        <f aca="false">MY_PH(AL$2,$A112)</f>
        <v>2015</v>
      </c>
      <c r="AM112" s="39" t="n">
        <f aca="false">MY_PH(AM$2,$A112)</f>
        <v>2015</v>
      </c>
      <c r="AN112" s="39" t="n">
        <f aca="false">MY_PH(AN$2,$A112)</f>
        <v>2015</v>
      </c>
      <c r="AO112" s="39" t="n">
        <f aca="false">MY_PH(AO$2,$A112)</f>
        <v>2015</v>
      </c>
      <c r="AP112" s="39" t="n">
        <f aca="false">MY_PH(AP$2,$A112)</f>
        <v>2015</v>
      </c>
      <c r="AQ112" s="39" t="n">
        <f aca="false">MY_PH(AQ$2,$A112)</f>
        <v>2.57801310874058E-005</v>
      </c>
      <c r="AR112" s="39" t="n">
        <f aca="false">MY_PH(AR$2,$A112)</f>
        <v>2.69012036870363E-005</v>
      </c>
      <c r="AS112" s="39" t="n">
        <f aca="false">MY_PH(AS$2,$A112)</f>
        <v>2.74064480677636E-005</v>
      </c>
    </row>
    <row r="113" customFormat="false" ht="13.8" hidden="false" customHeight="false" outlineLevel="0" collapsed="false">
      <c r="A113" s="0" t="n">
        <v>2730</v>
      </c>
      <c r="B113" s="39" t="n">
        <f aca="false">MY_PH(B$2,$A113)</f>
        <v>1.31590397320057E-005</v>
      </c>
      <c r="C113" s="39" t="n">
        <f aca="false">MY_PH(C$2,$A113)</f>
        <v>1.31591590374326E-005</v>
      </c>
      <c r="D113" s="39" t="n">
        <f aca="false">MY_PH(D$2,$A113)</f>
        <v>1.31592783414703E-005</v>
      </c>
      <c r="E113" s="39" t="n">
        <f aca="false">MY_PH(E$2,$A113)</f>
        <v>1.31593976441196E-005</v>
      </c>
      <c r="F113" s="39" t="n">
        <f aca="false">MY_PH(F$2,$A113)</f>
        <v>1.31595169453812E-005</v>
      </c>
      <c r="G113" s="39" t="n">
        <f aca="false">MY_PH(G$2,$A113)</f>
        <v>1.31607098818639E-005</v>
      </c>
      <c r="H113" s="39" t="n">
        <f aca="false">MY_PH(H$2,$A113)</f>
        <v>1.31619026805057E-005</v>
      </c>
      <c r="I113" s="39" t="n">
        <f aca="false">MY_PH(I$2,$A113)</f>
        <v>1.3163095342141E-005</v>
      </c>
      <c r="J113" s="39" t="n">
        <f aca="false">MY_PH(J$2,$A113)</f>
        <v>1.31642878676032E-005</v>
      </c>
      <c r="K113" s="39" t="n">
        <f aca="false">MY_PH(K$2,$A113)</f>
        <v>1.31654802577253E-005</v>
      </c>
      <c r="L113" s="39" t="n">
        <f aca="false">MY_PH(L$2,$A113)</f>
        <v>1.31666725133394E-005</v>
      </c>
      <c r="M113" s="39" t="n">
        <f aca="false">MY_PH(M$2,$A113)</f>
        <v>1.31678646352769E-005</v>
      </c>
      <c r="N113" s="39" t="n">
        <f aca="false">MY_PH(N$2,$A113)</f>
        <v>1.31690566243686E-005</v>
      </c>
      <c r="O113" s="39" t="n">
        <f aca="false">MY_PH(O$2,$A113)</f>
        <v>1.31702484814445E-005</v>
      </c>
      <c r="P113" s="39" t="n">
        <f aca="false">MY_PH(P$2,$A113)</f>
        <v>1.31821599733826E-005</v>
      </c>
      <c r="Q113" s="39" t="n">
        <f aca="false">MY_PH(Q$2,$A113)</f>
        <v>1.31940591708911E-005</v>
      </c>
      <c r="R113" s="39" t="n">
        <f aca="false">MY_PH(R$2,$A113)</f>
        <v>1.32059468903498E-005</v>
      </c>
      <c r="S113" s="39" t="n">
        <f aca="false">MY_PH(S$2,$A113)</f>
        <v>1.32178239387487E-005</v>
      </c>
      <c r="T113" s="39" t="n">
        <f aca="false">MY_PH(T$2,$A113)</f>
        <v>1.32296911127771E-005</v>
      </c>
      <c r="U113" s="39" t="n">
        <f aca="false">MY_PH(U$2,$A113)</f>
        <v>1.32415491979217E-005</v>
      </c>
      <c r="V113" s="39" t="n">
        <f aca="false">MY_PH(V$2,$A113)</f>
        <v>1.32533989675781E-005</v>
      </c>
      <c r="W113" s="39" t="n">
        <f aca="false">MY_PH(W$2,$A113)</f>
        <v>1.32652411821818E-005</v>
      </c>
      <c r="X113" s="39" t="n">
        <f aca="false">MY_PH(X$2,$A113)</f>
        <v>1.32770765883674E-005</v>
      </c>
      <c r="Y113" s="39" t="n">
        <f aca="false">MY_PH(Y$2,$A113)</f>
        <v>1.33952091053096E-005</v>
      </c>
      <c r="Z113" s="39" t="n">
        <f aca="false">MY_PH(Z$2,$A113)</f>
        <v>1.35133549693446E-005</v>
      </c>
      <c r="AA113" s="39" t="n">
        <f aca="false">MY_PH(AA$2,$A113)</f>
        <v>2015</v>
      </c>
      <c r="AB113" s="39" t="n">
        <f aca="false">MY_PH(AB$2,$A113)</f>
        <v>2015</v>
      </c>
      <c r="AC113" s="39" t="n">
        <f aca="false">MY_PH(AC$2,$A113)</f>
        <v>2015</v>
      </c>
      <c r="AD113" s="39" t="n">
        <f aca="false">MY_PH(AD$2,$A113)</f>
        <v>2015</v>
      </c>
      <c r="AE113" s="39" t="n">
        <f aca="false">MY_PH(AE$2,$A113)</f>
        <v>2015</v>
      </c>
      <c r="AF113" s="39" t="n">
        <f aca="false">MY_PH(AF$2,$A113)</f>
        <v>2015</v>
      </c>
      <c r="AG113" s="39" t="n">
        <f aca="false">MY_PH(AG$2,$A113)</f>
        <v>2015</v>
      </c>
      <c r="AH113" s="39" t="n">
        <f aca="false">MY_PH(AH$2,$A113)</f>
        <v>2015</v>
      </c>
      <c r="AI113" s="39" t="n">
        <f aca="false">MY_PH(AI$2,$A113)</f>
        <v>2015</v>
      </c>
      <c r="AJ113" s="39" t="n">
        <f aca="false">MY_PH(AJ$2,$A113)</f>
        <v>2015</v>
      </c>
      <c r="AK113" s="39" t="n">
        <f aca="false">MY_PH(AK$2,$A113)</f>
        <v>2015</v>
      </c>
      <c r="AL113" s="39" t="n">
        <f aca="false">MY_PH(AL$2,$A113)</f>
        <v>2015</v>
      </c>
      <c r="AM113" s="39" t="n">
        <f aca="false">MY_PH(AM$2,$A113)</f>
        <v>2015</v>
      </c>
      <c r="AN113" s="39" t="n">
        <f aca="false">MY_PH(AN$2,$A113)</f>
        <v>2015</v>
      </c>
      <c r="AO113" s="39" t="n">
        <f aca="false">MY_PH(AO$2,$A113)</f>
        <v>2015</v>
      </c>
      <c r="AP113" s="39" t="n">
        <f aca="false">MY_PH(AP$2,$A113)</f>
        <v>2.02975088828146E-005</v>
      </c>
      <c r="AQ113" s="39" t="n">
        <f aca="false">MY_PH(AQ$2,$A113)</f>
        <v>2.57921282165043E-005</v>
      </c>
      <c r="AR113" s="39" t="n">
        <f aca="false">MY_PH(AR$2,$A113)</f>
        <v>2.69012383216736E-005</v>
      </c>
      <c r="AS113" s="39" t="n">
        <f aca="false">MY_PH(AS$2,$A113)</f>
        <v>2.74011200084427E-005</v>
      </c>
    </row>
    <row r="114" customFormat="false" ht="13.8" hidden="false" customHeight="false" outlineLevel="0" collapsed="false">
      <c r="A114" s="0" t="n">
        <v>2740</v>
      </c>
      <c r="B114" s="39" t="n">
        <f aca="false">MY_PH(B$2,$A114)</f>
        <v>1.33569668642867E-005</v>
      </c>
      <c r="C114" s="39" t="n">
        <f aca="false">MY_PH(C$2,$A114)</f>
        <v>1.33570798699935E-005</v>
      </c>
      <c r="D114" s="39" t="n">
        <f aca="false">MY_PH(D$2,$A114)</f>
        <v>1.33571928748571E-005</v>
      </c>
      <c r="E114" s="39" t="n">
        <f aca="false">MY_PH(E$2,$A114)</f>
        <v>1.33573058788779E-005</v>
      </c>
      <c r="F114" s="39" t="n">
        <f aca="false">MY_PH(F$2,$A114)</f>
        <v>1.33574188820562E-005</v>
      </c>
      <c r="G114" s="39" t="n">
        <f aca="false">MY_PH(G$2,$A114)</f>
        <v>1.33585488675842E-005</v>
      </c>
      <c r="H114" s="39" t="n">
        <f aca="false">MY_PH(H$2,$A114)</f>
        <v>1.3359678769271E-005</v>
      </c>
      <c r="I114" s="39" t="n">
        <f aca="false">MY_PH(I$2,$A114)</f>
        <v>1.33608085874859E-005</v>
      </c>
      <c r="J114" s="39" t="n">
        <f aca="false">MY_PH(J$2,$A114)</f>
        <v>1.3361938322598E-005</v>
      </c>
      <c r="K114" s="39" t="n">
        <f aca="false">MY_PH(K$2,$A114)</f>
        <v>1.33630679749761E-005</v>
      </c>
      <c r="L114" s="39" t="n">
        <f aca="false">MY_PH(L$2,$A114)</f>
        <v>1.33641975449891E-005</v>
      </c>
      <c r="M114" s="39" t="n">
        <f aca="false">MY_PH(M$2,$A114)</f>
        <v>1.3365327033006E-005</v>
      </c>
      <c r="N114" s="39" t="n">
        <f aca="false">MY_PH(N$2,$A114)</f>
        <v>1.33664564393953E-005</v>
      </c>
      <c r="O114" s="39" t="n">
        <f aca="false">MY_PH(O$2,$A114)</f>
        <v>1.33675857645256E-005</v>
      </c>
      <c r="P114" s="39" t="n">
        <f aca="false">MY_PH(P$2,$A114)</f>
        <v>1.33788746275682E-005</v>
      </c>
      <c r="Q114" s="39" t="n">
        <f aca="false">MY_PH(Q$2,$A114)</f>
        <v>1.33901557690107E-005</v>
      </c>
      <c r="R114" s="39" t="n">
        <f aca="false">MY_PH(R$2,$A114)</f>
        <v>1.34014295545195E-005</v>
      </c>
      <c r="S114" s="39" t="n">
        <f aca="false">MY_PH(S$2,$A114)</f>
        <v>1.34126963472729E-005</v>
      </c>
      <c r="T114" s="39" t="n">
        <f aca="false">MY_PH(T$2,$A114)</f>
        <v>1.34239565073784E-005</v>
      </c>
      <c r="U114" s="39" t="n">
        <f aca="false">MY_PH(U$2,$A114)</f>
        <v>1.34352103912979E-005</v>
      </c>
      <c r="V114" s="39" t="n">
        <f aca="false">MY_PH(V$2,$A114)</f>
        <v>1.34464583512818E-005</v>
      </c>
      <c r="W114" s="39" t="n">
        <f aca="false">MY_PH(W$2,$A114)</f>
        <v>1.34577007348158E-005</v>
      </c>
      <c r="X114" s="39" t="n">
        <f aca="false">MY_PH(X$2,$A114)</f>
        <v>1.34689378840831E-005</v>
      </c>
      <c r="Y114" s="39" t="n">
        <f aca="false">MY_PH(Y$2,$A114)</f>
        <v>1.35810920142819E-005</v>
      </c>
      <c r="Z114" s="39" t="n">
        <f aca="false">MY_PH(Z$2,$A114)</f>
        <v>1.36930431089126E-005</v>
      </c>
      <c r="AA114" s="39" t="n">
        <f aca="false">MY_PH(AA$2,$A114)</f>
        <v>1.38049897988202E-005</v>
      </c>
      <c r="AB114" s="39" t="n">
        <f aca="false">MY_PH(AB$2,$A114)</f>
        <v>2015</v>
      </c>
      <c r="AC114" s="39" t="n">
        <f aca="false">MY_PH(AC$2,$A114)</f>
        <v>2015</v>
      </c>
      <c r="AD114" s="39" t="n">
        <f aca="false">MY_PH(AD$2,$A114)</f>
        <v>2015</v>
      </c>
      <c r="AE114" s="39" t="n">
        <f aca="false">MY_PH(AE$2,$A114)</f>
        <v>2015</v>
      </c>
      <c r="AF114" s="39" t="n">
        <f aca="false">MY_PH(AF$2,$A114)</f>
        <v>2015</v>
      </c>
      <c r="AG114" s="39" t="n">
        <f aca="false">MY_PH(AG$2,$A114)</f>
        <v>2015</v>
      </c>
      <c r="AH114" s="39" t="n">
        <f aca="false">MY_PH(AH$2,$A114)</f>
        <v>2015</v>
      </c>
      <c r="AI114" s="39" t="n">
        <f aca="false">MY_PH(AI$2,$A114)</f>
        <v>2015</v>
      </c>
      <c r="AJ114" s="39" t="n">
        <f aca="false">MY_PH(AJ$2,$A114)</f>
        <v>2015</v>
      </c>
      <c r="AK114" s="39" t="n">
        <f aca="false">MY_PH(AK$2,$A114)</f>
        <v>2015</v>
      </c>
      <c r="AL114" s="39" t="n">
        <f aca="false">MY_PH(AL$2,$A114)</f>
        <v>2015</v>
      </c>
      <c r="AM114" s="39" t="n">
        <f aca="false">MY_PH(AM$2,$A114)</f>
        <v>2015</v>
      </c>
      <c r="AN114" s="39" t="n">
        <f aca="false">MY_PH(AN$2,$A114)</f>
        <v>2015</v>
      </c>
      <c r="AO114" s="39" t="n">
        <f aca="false">MY_PH(AO$2,$A114)</f>
        <v>2015</v>
      </c>
      <c r="AP114" s="39" t="n">
        <f aca="false">MY_PH(AP$2,$A114)</f>
        <v>2.03685612473096E-005</v>
      </c>
      <c r="AQ114" s="39" t="n">
        <f aca="false">MY_PH(AQ$2,$A114)</f>
        <v>2.58075608798231E-005</v>
      </c>
      <c r="AR114" s="39" t="n">
        <f aca="false">MY_PH(AR$2,$A114)</f>
        <v>2.6904889881905E-005</v>
      </c>
      <c r="AS114" s="39" t="n">
        <f aca="false">MY_PH(AS$2,$A114)</f>
        <v>2.73994883558642E-005</v>
      </c>
    </row>
    <row r="115" customFormat="false" ht="13.8" hidden="false" customHeight="false" outlineLevel="0" collapsed="false">
      <c r="A115" s="0" t="n">
        <v>2750</v>
      </c>
      <c r="B115" s="39" t="n">
        <f aca="false">MY_PH(B$2,$A115)</f>
        <v>1.35559326569199E-005</v>
      </c>
      <c r="C115" s="39" t="n">
        <f aca="false">MY_PH(C$2,$A115)</f>
        <v>1.3556039874817E-005</v>
      </c>
      <c r="D115" s="39" t="n">
        <f aca="false">MY_PH(D$2,$A115)</f>
        <v>1.35561470923119E-005</v>
      </c>
      <c r="E115" s="39" t="n">
        <f aca="false">MY_PH(E$2,$A115)</f>
        <v>1.35562543094047E-005</v>
      </c>
      <c r="F115" s="39" t="n">
        <f aca="false">MY_PH(F$2,$A115)</f>
        <v>1.35563615260953E-005</v>
      </c>
      <c r="G115" s="39" t="n">
        <f aca="false">MY_PH(G$2,$A115)</f>
        <v>1.3557433670897E-005</v>
      </c>
      <c r="H115" s="39" t="n">
        <f aca="false">MY_PH(H$2,$A115)</f>
        <v>1.35585057755481E-005</v>
      </c>
      <c r="I115" s="39" t="n">
        <f aca="false">MY_PH(I$2,$A115)</f>
        <v>1.35595778401049E-005</v>
      </c>
      <c r="J115" s="39" t="n">
        <f aca="false">MY_PH(J$2,$A115)</f>
        <v>1.35606498646242E-005</v>
      </c>
      <c r="K115" s="39" t="n">
        <f aca="false">MY_PH(K$2,$A115)</f>
        <v>1.35617218491629E-005</v>
      </c>
      <c r="L115" s="39" t="n">
        <f aca="false">MY_PH(L$2,$A115)</f>
        <v>1.35627937937783E-005</v>
      </c>
      <c r="M115" s="39" t="n">
        <f aca="false">MY_PH(M$2,$A115)</f>
        <v>1.35638656985282E-005</v>
      </c>
      <c r="N115" s="39" t="n">
        <f aca="false">MY_PH(N$2,$A115)</f>
        <v>1.35649375634703E-005</v>
      </c>
      <c r="O115" s="39" t="n">
        <f aca="false">MY_PH(O$2,$A115)</f>
        <v>1.3566009388663E-005</v>
      </c>
      <c r="P115" s="39" t="n">
        <f aca="false">MY_PH(P$2,$A115)</f>
        <v>1.35767254673842E-005</v>
      </c>
      <c r="Q115" s="39" t="n">
        <f aca="false">MY_PH(Q$2,$A115)</f>
        <v>1.35874376372641E-005</v>
      </c>
      <c r="R115" s="39" t="n">
        <f aca="false">MY_PH(R$2,$A115)</f>
        <v>1.35981459608144E-005</v>
      </c>
      <c r="S115" s="39" t="n">
        <f aca="false">MY_PH(S$2,$A115)</f>
        <v>1.36088505026513E-005</v>
      </c>
      <c r="T115" s="39" t="n">
        <f aca="false">MY_PH(T$2,$A115)</f>
        <v>1.36195513291075E-005</v>
      </c>
      <c r="U115" s="39" t="n">
        <f aca="false">MY_PH(U$2,$A115)</f>
        <v>1.36302485078496E-005</v>
      </c>
      <c r="V115" s="39" t="n">
        <f aca="false">MY_PH(V$2,$A115)</f>
        <v>1.36409421075022E-005</v>
      </c>
      <c r="W115" s="39" t="n">
        <f aca="false">MY_PH(W$2,$A115)</f>
        <v>1.36516321972792E-005</v>
      </c>
      <c r="X115" s="39" t="n">
        <f aca="false">MY_PH(X$2,$A115)</f>
        <v>1.36623188466235E-005</v>
      </c>
      <c r="Y115" s="39" t="n">
        <f aca="false">MY_PH(Y$2,$A115)</f>
        <v>1.37690108956955E-005</v>
      </c>
      <c r="Z115" s="39" t="n">
        <f aca="false">MY_PH(Z$2,$A115)</f>
        <v>1.38754252981722E-005</v>
      </c>
      <c r="AA115" s="39" t="n">
        <f aca="false">MY_PH(AA$2,$A115)</f>
        <v>1.3981594015003E-005</v>
      </c>
      <c r="AB115" s="39" t="n">
        <f aca="false">MY_PH(AB$2,$A115)</f>
        <v>1.40875088582721E-005</v>
      </c>
      <c r="AC115" s="39" t="n">
        <f aca="false">MY_PH(AC$2,$A115)</f>
        <v>2015</v>
      </c>
      <c r="AD115" s="39" t="n">
        <f aca="false">MY_PH(AD$2,$A115)</f>
        <v>2015</v>
      </c>
      <c r="AE115" s="39" t="n">
        <f aca="false">MY_PH(AE$2,$A115)</f>
        <v>2015</v>
      </c>
      <c r="AF115" s="39" t="n">
        <f aca="false">MY_PH(AF$2,$A115)</f>
        <v>2015</v>
      </c>
      <c r="AG115" s="39" t="n">
        <f aca="false">MY_PH(AG$2,$A115)</f>
        <v>2015</v>
      </c>
      <c r="AH115" s="39" t="n">
        <f aca="false">MY_PH(AH$2,$A115)</f>
        <v>2015</v>
      </c>
      <c r="AI115" s="39" t="n">
        <f aca="false">MY_PH(AI$2,$A115)</f>
        <v>2015</v>
      </c>
      <c r="AJ115" s="39" t="n">
        <f aca="false">MY_PH(AJ$2,$A115)</f>
        <v>2015</v>
      </c>
      <c r="AK115" s="39" t="n">
        <f aca="false">MY_PH(AK$2,$A115)</f>
        <v>2015</v>
      </c>
      <c r="AL115" s="39" t="n">
        <f aca="false">MY_PH(AL$2,$A115)</f>
        <v>2015</v>
      </c>
      <c r="AM115" s="39" t="n">
        <f aca="false">MY_PH(AM$2,$A115)</f>
        <v>2015</v>
      </c>
      <c r="AN115" s="39" t="n">
        <f aca="false">MY_PH(AN$2,$A115)</f>
        <v>2015</v>
      </c>
      <c r="AO115" s="39" t="n">
        <f aca="false">MY_PH(AO$2,$A115)</f>
        <v>1.98856408304309E-005</v>
      </c>
      <c r="AP115" s="39" t="n">
        <f aca="false">MY_PH(AP$2,$A115)</f>
        <v>2.04424726927049E-005</v>
      </c>
      <c r="AQ115" s="39" t="n">
        <f aca="false">MY_PH(AQ$2,$A115)</f>
        <v>2.58263723433606E-005</v>
      </c>
      <c r="AR115" s="39" t="n">
        <f aca="false">MY_PH(AR$2,$A115)</f>
        <v>2.69120939367036E-005</v>
      </c>
      <c r="AS115" s="39" t="n">
        <f aca="false">MY_PH(AS$2,$A115)</f>
        <v>2.74014854234151E-005</v>
      </c>
    </row>
    <row r="116" customFormat="false" ht="13.8" hidden="false" customHeight="false" outlineLevel="0" collapsed="false">
      <c r="A116" s="0" t="n">
        <v>2760</v>
      </c>
      <c r="B116" s="39" t="n">
        <f aca="false">MY_PH(B$2,$A116)</f>
        <v>1.37558606111278E-005</v>
      </c>
      <c r="C116" s="39" t="n">
        <f aca="false">MY_PH(C$2,$A116)</f>
        <v>1.37559625048565E-005</v>
      </c>
      <c r="D116" s="39" t="n">
        <f aca="false">MY_PH(D$2,$A116)</f>
        <v>1.37560643985297E-005</v>
      </c>
      <c r="E116" s="39" t="n">
        <f aca="false">MY_PH(E$2,$A116)</f>
        <v>1.37561662921472E-005</v>
      </c>
      <c r="F116" s="39" t="n">
        <f aca="false">MY_PH(F$2,$A116)</f>
        <v>1.3756268185709E-005</v>
      </c>
      <c r="G116" s="39" t="n">
        <f aca="false">MY_PH(G$2,$A116)</f>
        <v>1.37572871182258E-005</v>
      </c>
      <c r="H116" s="39" t="n">
        <f aca="false">MY_PH(H$2,$A116)</f>
        <v>1.37583060450021E-005</v>
      </c>
      <c r="I116" s="39" t="n">
        <f aca="false">MY_PH(I$2,$A116)</f>
        <v>1.37593249658914E-005</v>
      </c>
      <c r="J116" s="39" t="n">
        <f aca="false">MY_PH(J$2,$A116)</f>
        <v>1.3760343880748E-005</v>
      </c>
      <c r="K116" s="39" t="n">
        <f aca="false">MY_PH(K$2,$A116)</f>
        <v>1.37613627894266E-005</v>
      </c>
      <c r="L116" s="39" t="n">
        <f aca="false">MY_PH(L$2,$A116)</f>
        <v>1.37623816917827E-005</v>
      </c>
      <c r="M116" s="39" t="n">
        <f aca="false">MY_PH(M$2,$A116)</f>
        <v>1.37634005876721E-005</v>
      </c>
      <c r="N116" s="39" t="n">
        <f aca="false">MY_PH(N$2,$A116)</f>
        <v>1.37644194769512E-005</v>
      </c>
      <c r="O116" s="39" t="n">
        <f aca="false">MY_PH(O$2,$A116)</f>
        <v>1.37654383594772E-005</v>
      </c>
      <c r="P116" s="39" t="n">
        <f aca="false">MY_PH(P$2,$A116)</f>
        <v>1.37756267822526E-005</v>
      </c>
      <c r="Q116" s="39" t="n">
        <f aca="false">MY_PH(Q$2,$A116)</f>
        <v>1.37858143764793E-005</v>
      </c>
      <c r="R116" s="39" t="n">
        <f aca="false">MY_PH(R$2,$A116)</f>
        <v>1.37960010079555E-005</v>
      </c>
      <c r="S116" s="39" t="n">
        <f aca="false">MY_PH(S$2,$A116)</f>
        <v>1.38061865474484E-005</v>
      </c>
      <c r="T116" s="39" t="n">
        <f aca="false">MY_PH(T$2,$A116)</f>
        <v>1.38163708704232E-005</v>
      </c>
      <c r="U116" s="39" t="n">
        <f aca="false">MY_PH(U$2,$A116)</f>
        <v>1.38265538567764E-005</v>
      </c>
      <c r="V116" s="39" t="n">
        <f aca="false">MY_PH(V$2,$A116)</f>
        <v>1.38367353905723E-005</v>
      </c>
      <c r="W116" s="39" t="n">
        <f aca="false">MY_PH(W$2,$A116)</f>
        <v>1.38469153597844E-005</v>
      </c>
      <c r="X116" s="39" t="n">
        <f aca="false">MY_PH(X$2,$A116)</f>
        <v>1.38570936560415E-005</v>
      </c>
      <c r="Y116" s="39" t="n">
        <f aca="false">MY_PH(Y$2,$A116)</f>
        <v>1.39587629016834E-005</v>
      </c>
      <c r="Z116" s="39" t="n">
        <f aca="false">MY_PH(Z$2,$A116)</f>
        <v>1.40601641781505E-005</v>
      </c>
      <c r="AA116" s="39" t="n">
        <f aca="false">MY_PH(AA$2,$A116)</f>
        <v>1.41612178380448E-005</v>
      </c>
      <c r="AB116" s="39" t="n">
        <f aca="false">MY_PH(AB$2,$A116)</f>
        <v>1.42618451661675E-005</v>
      </c>
      <c r="AC116" s="39" t="n">
        <f aca="false">MY_PH(AC$2,$A116)</f>
        <v>1.43619615558911E-005</v>
      </c>
      <c r="AD116" s="39" t="n">
        <f aca="false">MY_PH(AD$2,$A116)</f>
        <v>2015</v>
      </c>
      <c r="AE116" s="39" t="n">
        <f aca="false">MY_PH(AE$2,$A116)</f>
        <v>2015</v>
      </c>
      <c r="AF116" s="39" t="n">
        <f aca="false">MY_PH(AF$2,$A116)</f>
        <v>2015</v>
      </c>
      <c r="AG116" s="39" t="n">
        <f aca="false">MY_PH(AG$2,$A116)</f>
        <v>2015</v>
      </c>
      <c r="AH116" s="39" t="n">
        <f aca="false">MY_PH(AH$2,$A116)</f>
        <v>2015</v>
      </c>
      <c r="AI116" s="39" t="n">
        <f aca="false">MY_PH(AI$2,$A116)</f>
        <v>2015</v>
      </c>
      <c r="AJ116" s="39" t="n">
        <f aca="false">MY_PH(AJ$2,$A116)</f>
        <v>2015</v>
      </c>
      <c r="AK116" s="39" t="n">
        <f aca="false">MY_PH(AK$2,$A116)</f>
        <v>2015</v>
      </c>
      <c r="AL116" s="39" t="n">
        <f aca="false">MY_PH(AL$2,$A116)</f>
        <v>2015</v>
      </c>
      <c r="AM116" s="39" t="n">
        <f aca="false">MY_PH(AM$2,$A116)</f>
        <v>2015</v>
      </c>
      <c r="AN116" s="39" t="n">
        <f aca="false">MY_PH(AN$2,$A116)</f>
        <v>1.94083136166976E-005</v>
      </c>
      <c r="AO116" s="39" t="n">
        <f aca="false">MY_PH(AO$2,$A116)</f>
        <v>1.99675647364152E-005</v>
      </c>
      <c r="AP116" s="39" t="n">
        <f aca="false">MY_PH(AP$2,$A116)</f>
        <v>2.05192049548804E-005</v>
      </c>
      <c r="AQ116" s="39" t="n">
        <f aca="false">MY_PH(AQ$2,$A116)</f>
        <v>2.58485053764965E-005</v>
      </c>
      <c r="AR116" s="39" t="n">
        <f aca="false">MY_PH(AR$2,$A116)</f>
        <v>2.69227858660582E-005</v>
      </c>
      <c r="AS116" s="39" t="n">
        <f aca="false">MY_PH(AS$2,$A116)</f>
        <v>2.74070435702212E-005</v>
      </c>
    </row>
    <row r="117" customFormat="false" ht="13.8" hidden="false" customHeight="false" outlineLevel="0" collapsed="false">
      <c r="A117" s="0" t="n">
        <v>2770</v>
      </c>
      <c r="B117" s="39" t="n">
        <f aca="false">MY_PH(B$2,$A117)</f>
        <v>1.39566788462901E-005</v>
      </c>
      <c r="C117" s="39" t="n">
        <f aca="false">MY_PH(C$2,$A117)</f>
        <v>1.39567758366502E-005</v>
      </c>
      <c r="D117" s="39" t="n">
        <f aca="false">MY_PH(D$2,$A117)</f>
        <v>1.39568728272203E-005</v>
      </c>
      <c r="E117" s="39" t="n">
        <f aca="false">MY_PH(E$2,$A117)</f>
        <v>1.39569698180001E-005</v>
      </c>
      <c r="F117" s="39" t="n">
        <f aca="false">MY_PH(F$2,$A117)</f>
        <v>1.39570668089893E-005</v>
      </c>
      <c r="G117" s="39" t="n">
        <f aca="false">MY_PH(G$2,$A117)</f>
        <v>1.39580367303397E-005</v>
      </c>
      <c r="H117" s="39" t="n">
        <f aca="false">MY_PH(H$2,$A117)</f>
        <v>1.39590066723336E-005</v>
      </c>
      <c r="I117" s="39" t="n">
        <f aca="false">MY_PH(I$2,$A117)</f>
        <v>1.39599766347007E-005</v>
      </c>
      <c r="J117" s="39" t="n">
        <f aca="false">MY_PH(J$2,$A117)</f>
        <v>1.39609466171712E-005</v>
      </c>
      <c r="K117" s="39" t="n">
        <f aca="false">MY_PH(K$2,$A117)</f>
        <v>1.39619166194759E-005</v>
      </c>
      <c r="L117" s="39" t="n">
        <f aca="false">MY_PH(L$2,$A117)</f>
        <v>1.39628866413465E-005</v>
      </c>
      <c r="M117" s="39" t="n">
        <f aca="false">MY_PH(M$2,$A117)</f>
        <v>1.39638566825154E-005</v>
      </c>
      <c r="N117" s="39" t="n">
        <f aca="false">MY_PH(N$2,$A117)</f>
        <v>1.39648267427156E-005</v>
      </c>
      <c r="O117" s="39" t="n">
        <f aca="false">MY_PH(O$2,$A117)</f>
        <v>1.39657968216809E-005</v>
      </c>
      <c r="P117" s="39" t="n">
        <f aca="false">MY_PH(P$2,$A117)</f>
        <v>1.39754985853337E-005</v>
      </c>
      <c r="Q117" s="39" t="n">
        <f aca="false">MY_PH(Q$2,$A117)</f>
        <v>1.39852019377487E-005</v>
      </c>
      <c r="R117" s="39" t="n">
        <f aca="false">MY_PH(R$2,$A117)</f>
        <v>1.39949066239384E-005</v>
      </c>
      <c r="S117" s="39" t="n">
        <f aca="false">MY_PH(S$2,$A117)</f>
        <v>1.40046123954899E-005</v>
      </c>
      <c r="T117" s="39" t="n">
        <f aca="false">MY_PH(T$2,$A117)</f>
        <v>1.40143190103667E-005</v>
      </c>
      <c r="U117" s="39" t="n">
        <f aca="false">MY_PH(U$2,$A117)</f>
        <v>1.40240262327124E-005</v>
      </c>
      <c r="V117" s="39" t="n">
        <f aca="false">MY_PH(V$2,$A117)</f>
        <v>1.40337338326571E-005</v>
      </c>
      <c r="W117" s="39" t="n">
        <f aca="false">MY_PH(W$2,$A117)</f>
        <v>1.40434415861256E-005</v>
      </c>
      <c r="X117" s="39" t="n">
        <f aca="false">MY_PH(X$2,$A117)</f>
        <v>1.40531492746495E-005</v>
      </c>
      <c r="Y117" s="39" t="n">
        <f aca="false">MY_PH(Y$2,$A117)</f>
        <v>1.4150178173432E-005</v>
      </c>
      <c r="Z117" s="39" t="n">
        <f aca="false">MY_PH(Z$2,$A117)</f>
        <v>1.42469952634936E-005</v>
      </c>
      <c r="AA117" s="39" t="n">
        <f aca="false">MY_PH(AA$2,$A117)</f>
        <v>1.4343449486959E-005</v>
      </c>
      <c r="AB117" s="39" t="n">
        <f aca="false">MY_PH(AB$2,$A117)</f>
        <v>1.44394155427616E-005</v>
      </c>
      <c r="AC117" s="39" t="n">
        <f aca="false">MY_PH(AC$2,$A117)</f>
        <v>1.45347857348509E-005</v>
      </c>
      <c r="AD117" s="39" t="n">
        <f aca="false">MY_PH(AD$2,$A117)</f>
        <v>1.46294640284602E-005</v>
      </c>
      <c r="AE117" s="39" t="n">
        <f aca="false">MY_PH(AE$2,$A117)</f>
        <v>1.47233615831299E-005</v>
      </c>
      <c r="AF117" s="39" t="n">
        <f aca="false">MY_PH(AF$2,$A117)</f>
        <v>2015</v>
      </c>
      <c r="AG117" s="39" t="n">
        <f aca="false">MY_PH(AG$2,$A117)</f>
        <v>2015</v>
      </c>
      <c r="AH117" s="39" t="n">
        <f aca="false">MY_PH(AH$2,$A117)</f>
        <v>2015</v>
      </c>
      <c r="AI117" s="39" t="n">
        <f aca="false">MY_PH(AI$2,$A117)</f>
        <v>2015</v>
      </c>
      <c r="AJ117" s="39" t="n">
        <f aca="false">MY_PH(AJ$2,$A117)</f>
        <v>2015</v>
      </c>
      <c r="AK117" s="39" t="n">
        <f aca="false">MY_PH(AK$2,$A117)</f>
        <v>2015</v>
      </c>
      <c r="AL117" s="39" t="n">
        <f aca="false">MY_PH(AL$2,$A117)</f>
        <v>2015</v>
      </c>
      <c r="AM117" s="39" t="n">
        <f aca="false">MY_PH(AM$2,$A117)</f>
        <v>2015</v>
      </c>
      <c r="AN117" s="39" t="n">
        <f aca="false">MY_PH(AN$2,$A117)</f>
        <v>1.94982903516709E-005</v>
      </c>
      <c r="AO117" s="39" t="n">
        <f aca="false">MY_PH(AO$2,$A117)</f>
        <v>2.00522984645287E-005</v>
      </c>
      <c r="AP117" s="39" t="n">
        <f aca="false">MY_PH(AP$2,$A117)</f>
        <v>2.05987224669232E-005</v>
      </c>
      <c r="AQ117" s="39" t="n">
        <f aca="false">MY_PH(AQ$2,$A117)</f>
        <v>2.58739024008295E-005</v>
      </c>
      <c r="AR117" s="39" t="n">
        <f aca="false">MY_PH(AR$2,$A117)</f>
        <v>2.69369010739352E-005</v>
      </c>
      <c r="AS117" s="39" t="n">
        <f aca="false">MY_PH(AS$2,$A117)</f>
        <v>2.74160954104934E-005</v>
      </c>
    </row>
    <row r="118" customFormat="false" ht="13.8" hidden="false" customHeight="false" outlineLevel="0" collapsed="false">
      <c r="A118" s="0" t="n">
        <v>2780</v>
      </c>
      <c r="B118" s="39" t="n">
        <f aca="false">MY_PH(B$2,$A118)</f>
        <v>1.41583197157811E-005</v>
      </c>
      <c r="C118" s="39" t="n">
        <f aca="false">MY_PH(C$2,$A118)</f>
        <v>1.41584121853339E-005</v>
      </c>
      <c r="D118" s="39" t="n">
        <f aca="false">MY_PH(D$2,$A118)</f>
        <v>1.41585046552939E-005</v>
      </c>
      <c r="E118" s="39" t="n">
        <f aca="false">MY_PH(E$2,$A118)</f>
        <v>1.41585971256608E-005</v>
      </c>
      <c r="F118" s="39" t="n">
        <f aca="false">MY_PH(F$2,$A118)</f>
        <v>1.41586895964342E-005</v>
      </c>
      <c r="G118" s="39" t="n">
        <f aca="false">MY_PH(G$2,$A118)</f>
        <v>1.4159614326453E-005</v>
      </c>
      <c r="H118" s="39" t="n">
        <f aca="false">MY_PH(H$2,$A118)</f>
        <v>1.41605390967516E-005</v>
      </c>
      <c r="I118" s="39" t="n">
        <f aca="false">MY_PH(I$2,$A118)</f>
        <v>1.41614639069906E-005</v>
      </c>
      <c r="J118" s="39" t="n">
        <f aca="false">MY_PH(J$2,$A118)</f>
        <v>1.41623887568314E-005</v>
      </c>
      <c r="K118" s="39" t="n">
        <f aca="false">MY_PH(K$2,$A118)</f>
        <v>1.41633136459362E-005</v>
      </c>
      <c r="L118" s="39" t="n">
        <f aca="false">MY_PH(L$2,$A118)</f>
        <v>1.41642385739681E-005</v>
      </c>
      <c r="M118" s="39" t="n">
        <f aca="false">MY_PH(M$2,$A118)</f>
        <v>1.41651635405906E-005</v>
      </c>
      <c r="N118" s="39" t="n">
        <f aca="false">MY_PH(N$2,$A118)</f>
        <v>1.41660885454685E-005</v>
      </c>
      <c r="O118" s="39" t="n">
        <f aca="false">MY_PH(O$2,$A118)</f>
        <v>1.41670135882668E-005</v>
      </c>
      <c r="P118" s="39" t="n">
        <f aca="false">MY_PH(P$2,$A118)</f>
        <v>1.41762660287788E-005</v>
      </c>
      <c r="Q118" s="39" t="n">
        <f aca="false">MY_PH(Q$2,$A118)</f>
        <v>1.41855218987395E-005</v>
      </c>
      <c r="R118" s="39" t="n">
        <f aca="false">MY_PH(R$2,$A118)</f>
        <v>1.41947808757625E-005</v>
      </c>
      <c r="S118" s="39" t="n">
        <f aca="false">MY_PH(S$2,$A118)</f>
        <v>1.42040426447533E-005</v>
      </c>
      <c r="T118" s="39" t="n">
        <f aca="false">MY_PH(T$2,$A118)</f>
        <v>1.42133068977569E-005</v>
      </c>
      <c r="U118" s="39" t="n">
        <f aca="false">MY_PH(U$2,$A118)</f>
        <v>1.42225733338072E-005</v>
      </c>
      <c r="V118" s="39" t="n">
        <f aca="false">MY_PH(V$2,$A118)</f>
        <v>1.4231841658777E-005</v>
      </c>
      <c r="W118" s="39" t="n">
        <f aca="false">MY_PH(W$2,$A118)</f>
        <v>1.42411115852307E-005</v>
      </c>
      <c r="X118" s="39" t="n">
        <f aca="false">MY_PH(X$2,$A118)</f>
        <v>1.42503828322772E-005</v>
      </c>
      <c r="Y118" s="39" t="n">
        <f aca="false">MY_PH(Y$2,$A118)</f>
        <v>1.43431105348792E-005</v>
      </c>
      <c r="Z118" s="39" t="n">
        <f aca="false">MY_PH(Z$2,$A118)</f>
        <v>1.44357046127572E-005</v>
      </c>
      <c r="AA118" s="39" t="n">
        <f aca="false">MY_PH(AA$2,$A118)</f>
        <v>1.45279716291497E-005</v>
      </c>
      <c r="AB118" s="39" t="n">
        <f aca="false">MY_PH(AB$2,$A118)</f>
        <v>1.46197575670665E-005</v>
      </c>
      <c r="AC118" s="39" t="n">
        <f aca="false">MY_PH(AC$2,$A118)</f>
        <v>1.47109393907178E-005</v>
      </c>
      <c r="AD118" s="39" t="n">
        <f aca="false">MY_PH(AD$2,$A118)</f>
        <v>1.48014181756609E-005</v>
      </c>
      <c r="AE118" s="39" t="n">
        <f aca="false">MY_PH(AE$2,$A118)</f>
        <v>1.48911134250073E-005</v>
      </c>
      <c r="AF118" s="39" t="n">
        <f aca="false">MY_PH(AF$2,$A118)</f>
        <v>1.49799583864899E-005</v>
      </c>
      <c r="AG118" s="39" t="n">
        <f aca="false">MY_PH(AG$2,$A118)</f>
        <v>1.50678962958759E-005</v>
      </c>
      <c r="AH118" s="39" t="n">
        <f aca="false">MY_PH(AH$2,$A118)</f>
        <v>2015</v>
      </c>
      <c r="AI118" s="39" t="n">
        <f aca="false">MY_PH(AI$2,$A118)</f>
        <v>2015</v>
      </c>
      <c r="AJ118" s="39" t="n">
        <f aca="false">MY_PH(AJ$2,$A118)</f>
        <v>2015</v>
      </c>
      <c r="AK118" s="39" t="n">
        <f aca="false">MY_PH(AK$2,$A118)</f>
        <v>2015</v>
      </c>
      <c r="AL118" s="39" t="n">
        <f aca="false">MY_PH(AL$2,$A118)</f>
        <v>2015</v>
      </c>
      <c r="AM118" s="39" t="n">
        <f aca="false">MY_PH(AM$2,$A118)</f>
        <v>1.90323674745202E-005</v>
      </c>
      <c r="AN118" s="39" t="n">
        <f aca="false">MY_PH(AN$2,$A118)</f>
        <v>1.95910852254828E-005</v>
      </c>
      <c r="AO118" s="39" t="n">
        <f aca="false">MY_PH(AO$2,$A118)</f>
        <v>2.01398094106442E-005</v>
      </c>
      <c r="AP118" s="39" t="n">
        <f aca="false">MY_PH(AP$2,$A118)</f>
        <v>2.06809916599321E-005</v>
      </c>
      <c r="AQ118" s="39" t="n">
        <f aca="false">MY_PH(AQ$2,$A118)</f>
        <v>2.59025057340822E-005</v>
      </c>
      <c r="AR118" s="39" t="n">
        <f aca="false">MY_PH(AR$2,$A118)</f>
        <v>2.6954375261212E-005</v>
      </c>
      <c r="AS118" s="39" t="n">
        <f aca="false">MY_PH(AS$2,$A118)</f>
        <v>2.74285740710701E-005</v>
      </c>
    </row>
    <row r="119" customFormat="false" ht="13.8" hidden="false" customHeight="false" outlineLevel="0" collapsed="false">
      <c r="A119" s="0" t="n">
        <v>2790</v>
      </c>
      <c r="B119" s="39" t="n">
        <f aca="false">MY_PH(B$2,$A119)</f>
        <v>1.43607194649001E-005</v>
      </c>
      <c r="C119" s="39" t="n">
        <f aca="false">MY_PH(C$2,$A119)</f>
        <v>1.43608077619098E-005</v>
      </c>
      <c r="D119" s="39" t="n">
        <f aca="false">MY_PH(D$2,$A119)</f>
        <v>1.43608960594679E-005</v>
      </c>
      <c r="E119" s="39" t="n">
        <f aca="false">MY_PH(E$2,$A119)</f>
        <v>1.43609843575741E-005</v>
      </c>
      <c r="F119" s="39" t="n">
        <f aca="false">MY_PH(F$2,$A119)</f>
        <v>1.43610726562279E-005</v>
      </c>
      <c r="G119" s="39" t="n">
        <f aca="false">MY_PH(G$2,$A119)</f>
        <v>1.43619556728084E-005</v>
      </c>
      <c r="H119" s="39" t="n">
        <f aca="false">MY_PH(H$2,$A119)</f>
        <v>1.43628387437507E-005</v>
      </c>
      <c r="I119" s="39" t="n">
        <f aca="false">MY_PH(I$2,$A119)</f>
        <v>1.43637218686849E-005</v>
      </c>
      <c r="J119" s="39" t="n">
        <f aca="false">MY_PH(J$2,$A119)</f>
        <v>1.43646050472417E-005</v>
      </c>
      <c r="K119" s="39" t="n">
        <f aca="false">MY_PH(K$2,$A119)</f>
        <v>1.43654882790526E-005</v>
      </c>
      <c r="L119" s="39" t="n">
        <f aca="false">MY_PH(L$2,$A119)</f>
        <v>1.43663715637499E-005</v>
      </c>
      <c r="M119" s="39" t="n">
        <f aca="false">MY_PH(M$2,$A119)</f>
        <v>1.43672549009666E-005</v>
      </c>
      <c r="N119" s="39" t="n">
        <f aca="false">MY_PH(N$2,$A119)</f>
        <v>1.43681382903365E-005</v>
      </c>
      <c r="O119" s="39" t="n">
        <f aca="false">MY_PH(O$2,$A119)</f>
        <v>1.43690217314943E-005</v>
      </c>
      <c r="P119" s="39" t="n">
        <f aca="false">MY_PH(P$2,$A119)</f>
        <v>1.43778589115568E-005</v>
      </c>
      <c r="Q119" s="39" t="n">
        <f aca="false">MY_PH(Q$2,$A119)</f>
        <v>1.43867008740938E-005</v>
      </c>
      <c r="R119" s="39" t="n">
        <f aca="false">MY_PH(R$2,$A119)</f>
        <v>1.43955472661569E-005</v>
      </c>
      <c r="S119" s="39" t="n">
        <f aca="false">MY_PH(S$2,$A119)</f>
        <v>1.44043977422019E-005</v>
      </c>
      <c r="T119" s="39" t="n">
        <f aca="false">MY_PH(T$2,$A119)</f>
        <v>1.44132519639676E-005</v>
      </c>
      <c r="U119" s="39" t="n">
        <f aca="false">MY_PH(U$2,$A119)</f>
        <v>1.44221096003553E-005</v>
      </c>
      <c r="V119" s="39" t="n">
        <f aca="false">MY_PH(V$2,$A119)</f>
        <v>1.44309703273096E-005</v>
      </c>
      <c r="W119" s="39" t="n">
        <f aca="false">MY_PH(W$2,$A119)</f>
        <v>1.44398338276995E-005</v>
      </c>
      <c r="X119" s="39" t="n">
        <f aca="false">MY_PH(X$2,$A119)</f>
        <v>1.44486997912004E-005</v>
      </c>
      <c r="Y119" s="39" t="n">
        <f aca="false">MY_PH(Y$2,$A119)</f>
        <v>1.45374312618178E-005</v>
      </c>
      <c r="Z119" s="39" t="n">
        <f aca="false">MY_PH(Z$2,$A119)</f>
        <v>1.46261138747502E-005</v>
      </c>
      <c r="AA119" s="39" t="n">
        <f aca="false">MY_PH(AA$2,$A119)</f>
        <v>1.47145324795864E-005</v>
      </c>
      <c r="AB119" s="39" t="n">
        <f aca="false">MY_PH(AB$2,$A119)</f>
        <v>1.48025175525515E-005</v>
      </c>
      <c r="AC119" s="39" t="n">
        <f aca="false">MY_PH(AC$2,$A119)</f>
        <v>1.48899370735367E-005</v>
      </c>
      <c r="AD119" s="39" t="n">
        <f aca="false">MY_PH(AD$2,$A119)</f>
        <v>1.49766895140558E-005</v>
      </c>
      <c r="AE119" s="39" t="n">
        <f aca="false">MY_PH(AE$2,$A119)</f>
        <v>1.50626977557443E-005</v>
      </c>
      <c r="AF119" s="39" t="n">
        <f aca="false">MY_PH(AF$2,$A119)</f>
        <v>1.51479038419463E-005</v>
      </c>
      <c r="AG119" s="39" t="n">
        <f aca="false">MY_PH(AG$2,$A119)</f>
        <v>1.52322645173911E-005</v>
      </c>
      <c r="AH119" s="39" t="n">
        <f aca="false">MY_PH(AH$2,$A119)</f>
        <v>2015</v>
      </c>
      <c r="AI119" s="39" t="n">
        <f aca="false">MY_PH(AI$2,$A119)</f>
        <v>2015</v>
      </c>
      <c r="AJ119" s="39" t="n">
        <f aca="false">MY_PH(AJ$2,$A119)</f>
        <v>2015</v>
      </c>
      <c r="AK119" s="39" t="n">
        <f aca="false">MY_PH(AK$2,$A119)</f>
        <v>2015</v>
      </c>
      <c r="AL119" s="39" t="n">
        <f aca="false">MY_PH(AL$2,$A119)</f>
        <v>1.85675315866645E-005</v>
      </c>
      <c r="AM119" s="39" t="n">
        <f aca="false">MY_PH(AM$2,$A119)</f>
        <v>1.91333908266987E-005</v>
      </c>
      <c r="AN119" s="39" t="n">
        <f aca="false">MY_PH(AN$2,$A119)</f>
        <v>1.96866691017533E-005</v>
      </c>
      <c r="AO119" s="39" t="n">
        <f aca="false">MY_PH(AO$2,$A119)</f>
        <v>2.02300661933005E-005</v>
      </c>
      <c r="AP119" s="39" t="n">
        <f aca="false">MY_PH(AP$2,$A119)</f>
        <v>2.07659804313096E-005</v>
      </c>
      <c r="AQ119" s="39" t="n">
        <f aca="false">MY_PH(AQ$2,$A119)</f>
        <v>2.59342578832534E-005</v>
      </c>
      <c r="AR119" s="39" t="n">
        <f aca="false">MY_PH(AR$2,$A119)</f>
        <v>2.69751447198628E-005</v>
      </c>
      <c r="AS119" s="39" t="n">
        <f aca="false">MY_PH(AS$2,$A119)</f>
        <v>2.7444413462607E-005</v>
      </c>
    </row>
    <row r="120" customFormat="false" ht="13.8" hidden="false" customHeight="false" outlineLevel="0" collapsed="false">
      <c r="A120" s="0" t="n">
        <v>2800</v>
      </c>
      <c r="B120" s="39" t="n">
        <f aca="false">MY_PH(B$2,$A120)</f>
        <v>1.45638179253673E-005</v>
      </c>
      <c r="C120" s="39" t="n">
        <f aca="false">MY_PH(C$2,$A120)</f>
        <v>1.45639023672104E-005</v>
      </c>
      <c r="D120" s="39" t="n">
        <f aca="false">MY_PH(D$2,$A120)</f>
        <v>1.45639868096978E-005</v>
      </c>
      <c r="E120" s="39" t="n">
        <f aca="false">MY_PH(E$2,$A120)</f>
        <v>1.45640712528294E-005</v>
      </c>
      <c r="F120" s="39" t="n">
        <f aca="false">MY_PH(F$2,$A120)</f>
        <v>1.45641556966045E-005</v>
      </c>
      <c r="G120" s="39" t="n">
        <f aca="false">MY_PH(G$2,$A120)</f>
        <v>1.45650001696744E-005</v>
      </c>
      <c r="H120" s="39" t="n">
        <f aca="false">MY_PH(H$2,$A120)</f>
        <v>1.45658447066963E-005</v>
      </c>
      <c r="I120" s="39" t="n">
        <f aca="false">MY_PH(I$2,$A120)</f>
        <v>1.45666893072952E-005</v>
      </c>
      <c r="J120" s="39" t="n">
        <f aca="false">MY_PH(J$2,$A120)</f>
        <v>1.45675339710965E-005</v>
      </c>
      <c r="K120" s="39" t="n">
        <f aca="false">MY_PH(K$2,$A120)</f>
        <v>1.45683786977268E-005</v>
      </c>
      <c r="L120" s="39" t="n">
        <f aca="false">MY_PH(L$2,$A120)</f>
        <v>1.4569223486813E-005</v>
      </c>
      <c r="M120" s="39" t="n">
        <f aca="false">MY_PH(M$2,$A120)</f>
        <v>1.45700683379831E-005</v>
      </c>
      <c r="N120" s="39" t="n">
        <f aca="false">MY_PH(N$2,$A120)</f>
        <v>1.45709132508655E-005</v>
      </c>
      <c r="O120" s="39" t="n">
        <f aca="false">MY_PH(O$2,$A120)</f>
        <v>1.45717582250897E-005</v>
      </c>
      <c r="P120" s="39" t="n">
        <f aca="false">MY_PH(P$2,$A120)</f>
        <v>1.45802112600958E-005</v>
      </c>
      <c r="Q120" s="39" t="n">
        <f aca="false">MY_PH(Q$2,$A120)</f>
        <v>1.45886700269234E-005</v>
      </c>
      <c r="R120" s="39" t="n">
        <f aca="false">MY_PH(R$2,$A120)</f>
        <v>1.45971341668392E-005</v>
      </c>
      <c r="S120" s="39" t="n">
        <f aca="false">MY_PH(S$2,$A120)</f>
        <v>1.46056033282346E-005</v>
      </c>
      <c r="T120" s="39" t="n">
        <f aca="false">MY_PH(T$2,$A120)</f>
        <v>1.46140771665268E-005</v>
      </c>
      <c r="U120" s="39" t="n">
        <f aca="false">MY_PH(U$2,$A120)</f>
        <v>1.46225553440606E-005</v>
      </c>
      <c r="V120" s="39" t="n">
        <f aca="false">MY_PH(V$2,$A120)</f>
        <v>1.46310375300105E-005</v>
      </c>
      <c r="W120" s="39" t="n">
        <f aca="false">MY_PH(W$2,$A120)</f>
        <v>1.4639523400283E-005</v>
      </c>
      <c r="X120" s="39" t="n">
        <f aca="false">MY_PH(X$2,$A120)</f>
        <v>1.46480126374196E-005</v>
      </c>
      <c r="Y120" s="39" t="n">
        <f aca="false">MY_PH(Y$2,$A120)</f>
        <v>1.47330248980951E-005</v>
      </c>
      <c r="Z120" s="39" t="n">
        <f aca="false">MY_PH(Z$2,$A120)</f>
        <v>1.48180702743355E-005</v>
      </c>
      <c r="AA120" s="39" t="n">
        <f aca="false">MY_PH(AA$2,$A120)</f>
        <v>1.49029263308966E-005</v>
      </c>
      <c r="AB120" s="39" t="n">
        <f aca="false">MY_PH(AB$2,$A120)</f>
        <v>1.49874176488654E-005</v>
      </c>
      <c r="AC120" s="39" t="n">
        <f aca="false">MY_PH(AC$2,$A120)</f>
        <v>1.50714083443761E-005</v>
      </c>
      <c r="AD120" s="39" t="n">
        <f aca="false">MY_PH(AD$2,$A120)</f>
        <v>1.51547953830502E-005</v>
      </c>
      <c r="AE120" s="39" t="n">
        <f aca="false">MY_PH(AE$2,$A120)</f>
        <v>1.52375026200726E-005</v>
      </c>
      <c r="AF120" s="39" t="n">
        <f aca="false">MY_PH(AF$2,$A120)</f>
        <v>1.53194755244428E-005</v>
      </c>
      <c r="AG120" s="39" t="n">
        <f aca="false">MY_PH(AG$2,$A120)</f>
        <v>1.54006765666935E-005</v>
      </c>
      <c r="AH120" s="39" t="n">
        <f aca="false">MY_PH(AH$2,$A120)</f>
        <v>1.61679950319899E-005</v>
      </c>
      <c r="AI120" s="39" t="n">
        <f aca="false">MY_PH(AI$2,$A120)</f>
        <v>2015</v>
      </c>
      <c r="AJ120" s="39" t="n">
        <f aca="false">MY_PH(AJ$2,$A120)</f>
        <v>2015</v>
      </c>
      <c r="AK120" s="39" t="n">
        <f aca="false">MY_PH(AK$2,$A120)</f>
        <v>1.80988426434218E-005</v>
      </c>
      <c r="AL120" s="39" t="n">
        <f aca="false">MY_PH(AL$2,$A120)</f>
        <v>1.86764605683247E-005</v>
      </c>
      <c r="AM120" s="39" t="n">
        <f aca="false">MY_PH(AM$2,$A120)</f>
        <v>1.92364409282042E-005</v>
      </c>
      <c r="AN120" s="39" t="n">
        <f aca="false">MY_PH(AN$2,$A120)</f>
        <v>1.97850129488231E-005</v>
      </c>
      <c r="AO120" s="39" t="n">
        <f aca="false">MY_PH(AO$2,$A120)</f>
        <v>2.0323038368287E-005</v>
      </c>
      <c r="AP120" s="39" t="n">
        <f aca="false">MY_PH(AP$2,$A120)</f>
        <v>2.08536577577354E-005</v>
      </c>
      <c r="AQ120" s="39" t="n">
        <f aca="false">MY_PH(AQ$2,$A120)</f>
        <v>2.59691018482046E-005</v>
      </c>
      <c r="AR120" s="39" t="n">
        <f aca="false">MY_PH(AR$2,$A120)</f>
        <v>2.6999146617092E-005</v>
      </c>
      <c r="AS120" s="39" t="n">
        <f aca="false">MY_PH(AS$2,$A120)</f>
        <v>2.74635485367303E-005</v>
      </c>
    </row>
    <row r="121" customFormat="false" ht="13.8" hidden="false" customHeight="false" outlineLevel="0" collapsed="false">
      <c r="A121" s="0" t="n">
        <v>2810</v>
      </c>
      <c r="B121" s="39" t="n">
        <f aca="false">MY_PH(B$2,$A121)</f>
        <v>1.47675582416837E-005</v>
      </c>
      <c r="C121" s="39" t="n">
        <f aca="false">MY_PH(C$2,$A121)</f>
        <v>1.47676391178258E-005</v>
      </c>
      <c r="D121" s="39" t="n">
        <f aca="false">MY_PH(D$2,$A121)</f>
        <v>1.47677199946723E-005</v>
      </c>
      <c r="E121" s="39" t="n">
        <f aca="false">MY_PH(E$2,$A121)</f>
        <v>1.47678008722228E-005</v>
      </c>
      <c r="F121" s="39" t="n">
        <f aca="false">MY_PH(F$2,$A121)</f>
        <v>1.47678817504769E-005</v>
      </c>
      <c r="G121" s="39" t="n">
        <f aca="false">MY_PH(G$2,$A121)</f>
        <v>1.47686905716393E-005</v>
      </c>
      <c r="H121" s="39" t="n">
        <f aca="false">MY_PH(H$2,$A121)</f>
        <v>1.47694994627665E-005</v>
      </c>
      <c r="I121" s="39" t="n">
        <f aca="false">MY_PH(I$2,$A121)</f>
        <v>1.4770308423495E-005</v>
      </c>
      <c r="J121" s="39" t="n">
        <f aca="false">MY_PH(J$2,$A121)</f>
        <v>1.47711174534619E-005</v>
      </c>
      <c r="K121" s="39" t="n">
        <f aca="false">MY_PH(K$2,$A121)</f>
        <v>1.47719265523049E-005</v>
      </c>
      <c r="L121" s="39" t="n">
        <f aca="false">MY_PH(L$2,$A121)</f>
        <v>1.47727357196624E-005</v>
      </c>
      <c r="M121" s="39" t="n">
        <f aca="false">MY_PH(M$2,$A121)</f>
        <v>1.47735449551736E-005</v>
      </c>
      <c r="N121" s="39" t="n">
        <f aca="false">MY_PH(N$2,$A121)</f>
        <v>1.47743542584782E-005</v>
      </c>
      <c r="O121" s="39" t="n">
        <f aca="false">MY_PH(O$2,$A121)</f>
        <v>1.47751636292168E-005</v>
      </c>
      <c r="P121" s="39" t="n">
        <f aca="false">MY_PH(P$2,$A121)</f>
        <v>1.47832609668584E-005</v>
      </c>
      <c r="Q121" s="39" t="n">
        <f aca="false">MY_PH(Q$2,$A121)</f>
        <v>1.47913646574296E-005</v>
      </c>
      <c r="R121" s="39" t="n">
        <f aca="false">MY_PH(R$2,$A121)</f>
        <v>1.47994743524841E-005</v>
      </c>
      <c r="S121" s="39" t="n">
        <f aca="false">MY_PH(S$2,$A121)</f>
        <v>1.48075897101852E-005</v>
      </c>
      <c r="T121" s="39" t="n">
        <f aca="false">MY_PH(T$2,$A121)</f>
        <v>1.48157103952248E-005</v>
      </c>
      <c r="U121" s="39" t="n">
        <f aca="false">MY_PH(U$2,$A121)</f>
        <v>1.48238360787407E-005</v>
      </c>
      <c r="V121" s="39" t="n">
        <f aca="false">MY_PH(V$2,$A121)</f>
        <v>1.48319664382361E-005</v>
      </c>
      <c r="W121" s="39" t="n">
        <f aca="false">MY_PH(W$2,$A121)</f>
        <v>1.48401011574978E-005</v>
      </c>
      <c r="X121" s="39" t="n">
        <f aca="false">MY_PH(X$2,$A121)</f>
        <v>1.48482399265156E-005</v>
      </c>
      <c r="Y121" s="39" t="n">
        <f aca="false">MY_PH(Y$2,$A121)</f>
        <v>1.49297864255966E-005</v>
      </c>
      <c r="Z121" s="39" t="n">
        <f aca="false">MY_PH(Z$2,$A121)</f>
        <v>1.50114398887476E-005</v>
      </c>
      <c r="AA121" s="39" t="n">
        <f aca="false">MY_PH(AA$2,$A121)</f>
        <v>1.50929804078147E-005</v>
      </c>
      <c r="AB121" s="39" t="n">
        <f aca="false">MY_PH(AB$2,$A121)</f>
        <v>1.51742335085021E-005</v>
      </c>
      <c r="AC121" s="39" t="n">
        <f aca="false">MY_PH(AC$2,$A121)</f>
        <v>1.52550634641973E-005</v>
      </c>
      <c r="AD121" s="39" t="n">
        <f aca="false">MY_PH(AD$2,$A121)</f>
        <v>1.53353671917788E-005</v>
      </c>
      <c r="AE121" s="39" t="n">
        <f aca="false">MY_PH(AE$2,$A121)</f>
        <v>1.54150687152372E-005</v>
      </c>
      <c r="AF121" s="39" t="n">
        <f aca="false">MY_PH(AF$2,$A121)</f>
        <v>1.54941141875464E-005</v>
      </c>
      <c r="AG121" s="39" t="n">
        <f aca="false">MY_PH(AG$2,$A121)</f>
        <v>1.55724674660228E-005</v>
      </c>
      <c r="AH121" s="39" t="n">
        <f aca="false">MY_PH(AH$2,$A121)</f>
        <v>1.63164274597508E-005</v>
      </c>
      <c r="AI121" s="39" t="n">
        <f aca="false">MY_PH(AI$2,$A121)</f>
        <v>1.69939146034642E-005</v>
      </c>
      <c r="AJ121" s="39" t="n">
        <f aca="false">MY_PH(AJ$2,$A121)</f>
        <v>1.76222959107096E-005</v>
      </c>
      <c r="AK121" s="39" t="n">
        <f aca="false">MY_PH(AK$2,$A121)</f>
        <v>1.82171911800419E-005</v>
      </c>
      <c r="AL121" s="39" t="n">
        <f aca="false">MY_PH(AL$2,$A121)</f>
        <v>1.8788809325694E-005</v>
      </c>
      <c r="AM121" s="39" t="n">
        <f aca="false">MY_PH(AM$2,$A121)</f>
        <v>1.9343287970997E-005</v>
      </c>
      <c r="AN121" s="39" t="n">
        <f aca="false">MY_PH(AN$2,$A121)</f>
        <v>1.98860879276212E-005</v>
      </c>
      <c r="AO121" s="39" t="n">
        <f aca="false">MY_PH(AO$2,$A121)</f>
        <v>2.04186962344102E-005</v>
      </c>
      <c r="AP121" s="39" t="n">
        <f aca="false">MY_PH(AP$2,$A121)</f>
        <v>2.09439934263777E-005</v>
      </c>
      <c r="AQ121" s="39" t="n">
        <f aca="false">MY_PH(AQ$2,$A121)</f>
        <v>2.60069814058654E-005</v>
      </c>
      <c r="AR121" s="39" t="n">
        <f aca="false">MY_PH(AR$2,$A121)</f>
        <v>2.70263192467576E-005</v>
      </c>
      <c r="AS121" s="39" t="n">
        <f aca="false">MY_PH(AS$2,$A121)</f>
        <v>2.74859155094646E-005</v>
      </c>
    </row>
    <row r="122" customFormat="false" ht="13.8" hidden="false" customHeight="false" outlineLevel="0" collapsed="false">
      <c r="A122" s="0" t="n">
        <v>2820</v>
      </c>
      <c r="B122" s="39" t="n">
        <f aca="false">MY_PH(B$2,$A122)</f>
        <v>1.49718866253418E-005</v>
      </c>
      <c r="C122" s="39" t="n">
        <f aca="false">MY_PH(C$2,$A122)</f>
        <v>1.49719641999598E-005</v>
      </c>
      <c r="D122" s="39" t="n">
        <f aca="false">MY_PH(D$2,$A122)</f>
        <v>1.4972041775314E-005</v>
      </c>
      <c r="E122" s="39" t="n">
        <f aca="false">MY_PH(E$2,$A122)</f>
        <v>1.4972119351404E-005</v>
      </c>
      <c r="F122" s="39" t="n">
        <f aca="false">MY_PH(F$2,$A122)</f>
        <v>1.49721969282294E-005</v>
      </c>
      <c r="G122" s="39" t="n">
        <f aca="false">MY_PH(G$2,$A122)</f>
        <v>1.49729727368604E-005</v>
      </c>
      <c r="H122" s="39" t="n">
        <f aca="false">MY_PH(H$2,$A122)</f>
        <v>1.4973748618663E-005</v>
      </c>
      <c r="I122" s="39" t="n">
        <f aca="false">MY_PH(I$2,$A122)</f>
        <v>1.49745245732954E-005</v>
      </c>
      <c r="J122" s="39" t="n">
        <f aca="false">MY_PH(J$2,$A122)</f>
        <v>1.49753006004161E-005</v>
      </c>
      <c r="K122" s="39" t="n">
        <f aca="false">MY_PH(K$2,$A122)</f>
        <v>1.49760766996843E-005</v>
      </c>
      <c r="L122" s="39" t="n">
        <f aca="false">MY_PH(L$2,$A122)</f>
        <v>1.49768528707601E-005</v>
      </c>
      <c r="M122" s="39" t="n">
        <f aca="false">MY_PH(M$2,$A122)</f>
        <v>1.49776291133037E-005</v>
      </c>
      <c r="N122" s="39" t="n">
        <f aca="false">MY_PH(N$2,$A122)</f>
        <v>1.49784054269765E-005</v>
      </c>
      <c r="O122" s="39" t="n">
        <f aca="false">MY_PH(O$2,$A122)</f>
        <v>1.49791818114399E-005</v>
      </c>
      <c r="P122" s="39" t="n">
        <f aca="false">MY_PH(P$2,$A122)</f>
        <v>1.49869494755782E-005</v>
      </c>
      <c r="Q122" s="39" t="n">
        <f aca="false">MY_PH(Q$2,$A122)</f>
        <v>1.49947238511906E-005</v>
      </c>
      <c r="R122" s="39" t="n">
        <f aca="false">MY_PH(R$2,$A122)</f>
        <v>1.500250460998E-005</v>
      </c>
      <c r="S122" s="39" t="n">
        <f aca="false">MY_PH(S$2,$A122)</f>
        <v>1.50102914296209E-005</v>
      </c>
      <c r="T122" s="39" t="n">
        <f aca="false">MY_PH(T$2,$A122)</f>
        <v>1.50180839936902E-005</v>
      </c>
      <c r="U122" s="39" t="n">
        <f aca="false">MY_PH(U$2,$A122)</f>
        <v>1.50258819915995E-005</v>
      </c>
      <c r="V122" s="39" t="n">
        <f aca="false">MY_PH(V$2,$A122)</f>
        <v>1.50336851185267E-005</v>
      </c>
      <c r="W122" s="39" t="n">
        <f aca="false">MY_PH(W$2,$A122)</f>
        <v>1.50414930753479E-005</v>
      </c>
      <c r="X122" s="39" t="n">
        <f aca="false">MY_PH(X$2,$A122)</f>
        <v>1.50493055685693E-005</v>
      </c>
      <c r="Y122" s="39" t="n">
        <f aca="false">MY_PH(Y$2,$A122)</f>
        <v>1.51276193249261E-005</v>
      </c>
      <c r="Z122" s="39" t="n">
        <f aca="false">MY_PH(Z$2,$A122)</f>
        <v>1.5206103106486E-005</v>
      </c>
      <c r="AA122" s="39" t="n">
        <f aca="false">MY_PH(AA$2,$A122)</f>
        <v>1.52845459551563E-005</v>
      </c>
      <c r="AB122" s="39" t="n">
        <f aca="false">MY_PH(AB$2,$A122)</f>
        <v>1.53627790581427E-005</v>
      </c>
      <c r="AC122" s="39" t="n">
        <f aca="false">MY_PH(AC$2,$A122)</f>
        <v>1.54406699035249E-005</v>
      </c>
      <c r="AD122" s="39" t="n">
        <f aca="false">MY_PH(AD$2,$A122)</f>
        <v>1.55181168725202E-005</v>
      </c>
      <c r="AE122" s="39" t="n">
        <f aca="false">MY_PH(AE$2,$A122)</f>
        <v>1.55950442796618E-005</v>
      </c>
      <c r="AF122" s="39" t="n">
        <f aca="false">MY_PH(AF$2,$A122)</f>
        <v>1.56713978673176E-005</v>
      </c>
      <c r="AG122" s="39" t="n">
        <f aca="false">MY_PH(AG$2,$A122)</f>
        <v>1.57471407585919E-005</v>
      </c>
      <c r="AH122" s="39" t="n">
        <f aca="false">MY_PH(AH$2,$A122)</f>
        <v>1.64694309855546E-005</v>
      </c>
      <c r="AI122" s="39" t="n">
        <f aca="false">MY_PH(AI$2,$A122)</f>
        <v>1.71329935831603E-005</v>
      </c>
      <c r="AJ122" s="39" t="n">
        <f aca="false">MY_PH(AJ$2,$A122)</f>
        <v>1.77517524603629E-005</v>
      </c>
      <c r="AK122" s="39" t="n">
        <f aca="false">MY_PH(AK$2,$A122)</f>
        <v>1.83391509970078E-005</v>
      </c>
      <c r="AL122" s="39" t="n">
        <f aca="false">MY_PH(AL$2,$A122)</f>
        <v>1.89043822299869E-005</v>
      </c>
      <c r="AM122" s="39" t="n">
        <f aca="false">MY_PH(AM$2,$A122)</f>
        <v>1.94530418215647E-005</v>
      </c>
      <c r="AN122" s="39" t="n">
        <f aca="false">MY_PH(AN$2,$A122)</f>
        <v>1.99895409551619E-005</v>
      </c>
      <c r="AO122" s="39" t="n">
        <f aca="false">MY_PH(AO$2,$A122)</f>
        <v>2.0517010706161E-005</v>
      </c>
      <c r="AP122" s="39" t="n">
        <f aca="false">MY_PH(AP$2,$A122)</f>
        <v>2.10369578579161E-005</v>
      </c>
      <c r="AQ122" s="39" t="n">
        <f aca="false">MY_PH(AQ$2,$A122)</f>
        <v>2.60478413547081E-005</v>
      </c>
      <c r="AR122" s="39" t="n">
        <f aca="false">MY_PH(AR$2,$A122)</f>
        <v>2.70566022339816E-005</v>
      </c>
      <c r="AS122" s="39" t="n">
        <f aca="false">MY_PH(AS$2,$A122)</f>
        <v>2.75114520390884E-005</v>
      </c>
    </row>
    <row r="123" customFormat="false" ht="13.8" hidden="false" customHeight="false" outlineLevel="0" collapsed="false">
      <c r="A123" s="0" t="n">
        <v>2830</v>
      </c>
      <c r="B123" s="39" t="n">
        <f aca="false">MY_PH(B$2,$A123)</f>
        <v>1.51767521334508E-005</v>
      </c>
      <c r="C123" s="39" t="n">
        <f aca="false">MY_PH(C$2,$A123)</f>
        <v>1.51768266477611E-005</v>
      </c>
      <c r="D123" s="39" t="n">
        <f aca="false">MY_PH(D$2,$A123)</f>
        <v>1.51769011628176E-005</v>
      </c>
      <c r="E123" s="39" t="n">
        <f aca="false">MY_PH(E$2,$A123)</f>
        <v>1.517697567862E-005</v>
      </c>
      <c r="F123" s="39" t="n">
        <f aca="false">MY_PH(F$2,$A123)</f>
        <v>1.5177050195168E-005</v>
      </c>
      <c r="G123" s="39" t="n">
        <f aca="false">MY_PH(G$2,$A123)</f>
        <v>1.51777954015862E-005</v>
      </c>
      <c r="H123" s="39" t="n">
        <f aca="false">MY_PH(H$2,$A123)</f>
        <v>1.51785406822169E-005</v>
      </c>
      <c r="I123" s="39" t="n">
        <f aca="false">MY_PH(I$2,$A123)</f>
        <v>1.51792860367453E-005</v>
      </c>
      <c r="J123" s="39" t="n">
        <f aca="false">MY_PH(J$2,$A123)</f>
        <v>1.51800314648573E-005</v>
      </c>
      <c r="K123" s="39" t="n">
        <f aca="false">MY_PH(K$2,$A123)</f>
        <v>1.51807769662391E-005</v>
      </c>
      <c r="L123" s="39" t="n">
        <f aca="false">MY_PH(L$2,$A123)</f>
        <v>1.51815225405777E-005</v>
      </c>
      <c r="M123" s="39" t="n">
        <f aca="false">MY_PH(M$2,$A123)</f>
        <v>1.51822681875605E-005</v>
      </c>
      <c r="N123" s="39" t="n">
        <f aca="false">MY_PH(N$2,$A123)</f>
        <v>1.51830139068754E-005</v>
      </c>
      <c r="O123" s="39" t="n">
        <f aca="false">MY_PH(O$2,$A123)</f>
        <v>1.51837596982111E-005</v>
      </c>
      <c r="P123" s="39" t="n">
        <f aca="false">MY_PH(P$2,$A123)</f>
        <v>1.51912215045632E-005</v>
      </c>
      <c r="Q123" s="39" t="n">
        <f aca="false">MY_PH(Q$2,$A123)</f>
        <v>1.5198690174343E-005</v>
      </c>
      <c r="R123" s="39" t="n">
        <f aca="false">MY_PH(R$2,$A123)</f>
        <v>1.52061654049026E-005</v>
      </c>
      <c r="S123" s="39" t="n">
        <f aca="false">MY_PH(S$2,$A123)</f>
        <v>1.52136468988789E-005</v>
      </c>
      <c r="T123" s="39" t="n">
        <f aca="false">MY_PH(T$2,$A123)</f>
        <v>1.5221134364137E-005</v>
      </c>
      <c r="U123" s="39" t="n">
        <f aca="false">MY_PH(U$2,$A123)</f>
        <v>1.52286275137125E-005</v>
      </c>
      <c r="V123" s="39" t="n">
        <f aca="false">MY_PH(V$2,$A123)</f>
        <v>1.52361260657545E-005</v>
      </c>
      <c r="W123" s="39" t="n">
        <f aca="false">MY_PH(W$2,$A123)</f>
        <v>1.52436297434683E-005</v>
      </c>
      <c r="X123" s="39" t="n">
        <f aca="false">MY_PH(X$2,$A123)</f>
        <v>1.52511382750585E-005</v>
      </c>
      <c r="Y123" s="39" t="n">
        <f aca="false">MY_PH(Y$2,$A123)</f>
        <v>1.53264342202995E-005</v>
      </c>
      <c r="Z123" s="39" t="n">
        <f aca="false">MY_PH(Z$2,$A123)</f>
        <v>1.54019515299097E-005</v>
      </c>
      <c r="AA123" s="39" t="n">
        <f aca="false">MY_PH(AA$2,$A123)</f>
        <v>1.54774921571623E-005</v>
      </c>
      <c r="AB123" s="39" t="n">
        <f aca="false">MY_PH(AB$2,$A123)</f>
        <v>1.55528960563591E-005</v>
      </c>
      <c r="AC123" s="39" t="n">
        <f aca="false">MY_PH(AC$2,$A123)</f>
        <v>1.56280361622545E-005</v>
      </c>
      <c r="AD123" s="39" t="n">
        <f aca="false">MY_PH(AD$2,$A123)</f>
        <v>1.57028137057234E-005</v>
      </c>
      <c r="AE123" s="39" t="n">
        <f aca="false">MY_PH(AE$2,$A123)</f>
        <v>1.57771538860619E-005</v>
      </c>
      <c r="AF123" s="39" t="n">
        <f aca="false">MY_PH(AF$2,$A123)</f>
        <v>1.5851001912796E-005</v>
      </c>
      <c r="AG123" s="39" t="n">
        <f aca="false">MY_PH(AG$2,$A123)</f>
        <v>1.59243194248758E-005</v>
      </c>
      <c r="AH123" s="39" t="n">
        <f aca="false">MY_PH(AH$2,$A123)</f>
        <v>1.66263229648263E-005</v>
      </c>
      <c r="AI123" s="39" t="n">
        <f aca="false">MY_PH(AI$2,$A123)</f>
        <v>1.72758615053582E-005</v>
      </c>
      <c r="AJ123" s="39" t="n">
        <f aca="false">MY_PH(AJ$2,$A123)</f>
        <v>1.78848776694345E-005</v>
      </c>
      <c r="AK123" s="39" t="n">
        <f aca="false">MY_PH(AK$2,$A123)</f>
        <v>1.84644607284547E-005</v>
      </c>
      <c r="AL123" s="39" t="n">
        <f aca="false">MY_PH(AL$2,$A123)</f>
        <v>1.90230101329585E-005</v>
      </c>
      <c r="AM123" s="39" t="n">
        <f aca="false">MY_PH(AM$2,$A123)</f>
        <v>1.95656102882824E-005</v>
      </c>
      <c r="AN123" s="39" t="n">
        <f aca="false">MY_PH(AN$2,$A123)</f>
        <v>2.00963787129623E-005</v>
      </c>
      <c r="AO123" s="39" t="n">
        <f aca="false">MY_PH(AO$2,$A123)</f>
        <v>2.06179532336251E-005</v>
      </c>
      <c r="AP123" s="39" t="n">
        <f aca="false">MY_PH(AP$2,$A123)</f>
        <v>2.11325219973786E-005</v>
      </c>
      <c r="AQ123" s="39" t="n">
        <f aca="false">MY_PH(AQ$2,$A123)</f>
        <v>2.60916277079675E-005</v>
      </c>
      <c r="AR123" s="39" t="n">
        <f aca="false">MY_PH(AR$2,$A123)</f>
        <v>2.70899366864385E-005</v>
      </c>
      <c r="AS123" s="39" t="n">
        <f aca="false">MY_PH(AS$2,$A123)</f>
        <v>2.75400973534571E-005</v>
      </c>
    </row>
    <row r="124" customFormat="false" ht="13.8" hidden="false" customHeight="false" outlineLevel="0" collapsed="false">
      <c r="A124" s="0" t="n">
        <v>2840</v>
      </c>
      <c r="B124" s="39" t="n">
        <f aca="false">MY_PH(B$2,$A124)</f>
        <v>1.53821064688272E-005</v>
      </c>
      <c r="C124" s="39" t="n">
        <f aca="false">MY_PH(C$2,$A124)</f>
        <v>1.53821781431671E-005</v>
      </c>
      <c r="D124" s="39" t="n">
        <f aca="false">MY_PH(D$2,$A124)</f>
        <v>1.53822498182469E-005</v>
      </c>
      <c r="E124" s="39" t="n">
        <f aca="false">MY_PH(E$2,$A124)</f>
        <v>1.53823214940663E-005</v>
      </c>
      <c r="F124" s="39" t="n">
        <f aca="false">MY_PH(F$2,$A124)</f>
        <v>1.53823931706249E-005</v>
      </c>
      <c r="G124" s="39" t="n">
        <f aca="false">MY_PH(G$2,$A124)</f>
        <v>1.53831099768077E-005</v>
      </c>
      <c r="H124" s="39" t="n">
        <f aca="false">MY_PH(H$2,$A124)</f>
        <v>1.53838268566029E-005</v>
      </c>
      <c r="I124" s="39" t="n">
        <f aca="false">MY_PH(I$2,$A124)</f>
        <v>1.53845438097255E-005</v>
      </c>
      <c r="J124" s="39" t="n">
        <f aca="false">MY_PH(J$2,$A124)</f>
        <v>1.5385260835891E-005</v>
      </c>
      <c r="K124" s="39" t="n">
        <f aca="false">MY_PH(K$2,$A124)</f>
        <v>1.53859779348153E-005</v>
      </c>
      <c r="L124" s="39" t="n">
        <f aca="false">MY_PH(L$2,$A124)</f>
        <v>1.53866951062147E-005</v>
      </c>
      <c r="M124" s="39" t="n">
        <f aca="false">MY_PH(M$2,$A124)</f>
        <v>1.5387412349806E-005</v>
      </c>
      <c r="N124" s="39" t="n">
        <f aca="false">MY_PH(N$2,$A124)</f>
        <v>1.53881296653068E-005</v>
      </c>
      <c r="O124" s="39" t="n">
        <f aca="false">MY_PH(O$2,$A124)</f>
        <v>1.53888470524346E-005</v>
      </c>
      <c r="P124" s="39" t="n">
        <f aca="false">MY_PH(P$2,$A124)</f>
        <v>1.53960248014564E-005</v>
      </c>
      <c r="Q124" s="39" t="n">
        <f aca="false">MY_PH(Q$2,$A124)</f>
        <v>1.54032094062475E-005</v>
      </c>
      <c r="R124" s="39" t="n">
        <f aca="false">MY_PH(R$2,$A124)</f>
        <v>1.54104005923004E-005</v>
      </c>
      <c r="S124" s="39" t="n">
        <f aca="false">MY_PH(S$2,$A124)</f>
        <v>1.5417598089711E-005</v>
      </c>
      <c r="T124" s="39" t="n">
        <f aca="false">MY_PH(T$2,$A124)</f>
        <v>1.54248016331296E-005</v>
      </c>
      <c r="U124" s="39" t="n">
        <f aca="false">MY_PH(U$2,$A124)</f>
        <v>1.54320109617138E-005</v>
      </c>
      <c r="V124" s="39" t="n">
        <f aca="false">MY_PH(V$2,$A124)</f>
        <v>1.54392258190799E-005</v>
      </c>
      <c r="W124" s="39" t="n">
        <f aca="false">MY_PH(W$2,$A124)</f>
        <v>1.54464459532557E-005</v>
      </c>
      <c r="X124" s="39" t="n">
        <f aca="false">MY_PH(X$2,$A124)</f>
        <v>1.54536711166326E-005</v>
      </c>
      <c r="Y124" s="39" t="n">
        <f aca="false">MY_PH(Y$2,$A124)</f>
        <v>1.55261479075766E-005</v>
      </c>
      <c r="Z124" s="39" t="n">
        <f aca="false">MY_PH(Z$2,$A124)</f>
        <v>1.55988858322536E-005</v>
      </c>
      <c r="AA124" s="39" t="n">
        <f aca="false">MY_PH(AA$2,$A124)</f>
        <v>1.56717019518429E-005</v>
      </c>
      <c r="AB124" s="39" t="n">
        <f aca="false">MY_PH(AB$2,$A124)</f>
        <v>1.57444468843494E-005</v>
      </c>
      <c r="AC124" s="39" t="n">
        <f aca="false">MY_PH(AC$2,$A124)</f>
        <v>1.58170005528046E-005</v>
      </c>
      <c r="AD124" s="39" t="n">
        <f aca="false">MY_PH(AD$2,$A124)</f>
        <v>1.58892681982984E-005</v>
      </c>
      <c r="AE124" s="39" t="n">
        <f aca="false">MY_PH(AE$2,$A124)</f>
        <v>1.59611766793559E-005</v>
      </c>
      <c r="AF124" s="39" t="n">
        <f aca="false">MY_PH(AF$2,$A124)</f>
        <v>1.60326710717613E-005</v>
      </c>
      <c r="AG124" s="39" t="n">
        <f aca="false">MY_PH(AG$2,$A124)</f>
        <v>1.61037115775185E-005</v>
      </c>
      <c r="AH124" s="39" t="n">
        <f aca="false">MY_PH(AH$2,$A124)</f>
        <v>1.67865671619842E-005</v>
      </c>
      <c r="AI124" s="39" t="n">
        <f aca="false">MY_PH(AI$2,$A124)</f>
        <v>1.74222609855302E-005</v>
      </c>
      <c r="AJ124" s="39" t="n">
        <f aca="false">MY_PH(AJ$2,$A124)</f>
        <v>1.80213630942687E-005</v>
      </c>
      <c r="AK124" s="39" t="n">
        <f aca="false">MY_PH(AK$2,$A124)</f>
        <v>1.85928990617278E-005</v>
      </c>
      <c r="AL124" s="39" t="n">
        <f aca="false">MY_PH(AL$2,$A124)</f>
        <v>1.91445454510008E-005</v>
      </c>
      <c r="AM124" s="39" t="n">
        <f aca="false">MY_PH(AM$2,$A124)</f>
        <v>1.96809063676437E-005</v>
      </c>
      <c r="AN124" s="39" t="n">
        <f aca="false">MY_PH(AN$2,$A124)</f>
        <v>2.02058054097013E-005</v>
      </c>
      <c r="AO124" s="39" t="n">
        <f aca="false">MY_PH(AO$2,$A124)</f>
        <v>2.07220528357781E-005</v>
      </c>
      <c r="AP124" s="39" t="n">
        <f aca="false">MY_PH(AP$2,$A124)</f>
        <v>2.12306572525153E-005</v>
      </c>
      <c r="AQ124" s="39" t="n">
        <f aca="false">MY_PH(AQ$2,$A124)</f>
        <v>2.61382878315697E-005</v>
      </c>
      <c r="AR124" s="39" t="n">
        <f aca="false">MY_PH(AR$2,$A124)</f>
        <v>2.71262652919629E-005</v>
      </c>
      <c r="AS124" s="39" t="n">
        <f aca="false">MY_PH(AS$2,$A124)</f>
        <v>2.75717923273331E-005</v>
      </c>
    </row>
    <row r="125" customFormat="false" ht="13.8" hidden="false" customHeight="false" outlineLevel="0" collapsed="false">
      <c r="A125" s="0" t="n">
        <v>2850</v>
      </c>
      <c r="B125" s="39" t="n">
        <f aca="false">MY_PH(B$2,$A125)</f>
        <v>1.55879037990086E-005</v>
      </c>
      <c r="C125" s="39" t="n">
        <f aca="false">MY_PH(C$2,$A125)</f>
        <v>1.55879728347085E-005</v>
      </c>
      <c r="D125" s="39" t="n">
        <f aca="false">MY_PH(D$2,$A125)</f>
        <v>1.55880418711297E-005</v>
      </c>
      <c r="E125" s="39" t="n">
        <f aca="false">MY_PH(E$2,$A125)</f>
        <v>1.55881109082719E-005</v>
      </c>
      <c r="F125" s="39" t="n">
        <f aca="false">MY_PH(F$2,$A125)</f>
        <v>1.5588179946135E-005</v>
      </c>
      <c r="G125" s="39" t="n">
        <f aca="false">MY_PH(G$2,$A125)</f>
        <v>1.55888703643527E-005</v>
      </c>
      <c r="H125" s="39" t="n">
        <f aca="false">MY_PH(H$2,$A125)</f>
        <v>1.55895608543688E-005</v>
      </c>
      <c r="I125" s="39" t="n">
        <f aca="false">MY_PH(I$2,$A125)</f>
        <v>1.55902514159282E-005</v>
      </c>
      <c r="J125" s="39" t="n">
        <f aca="false">MY_PH(J$2,$A125)</f>
        <v>1.55909420487765E-005</v>
      </c>
      <c r="K125" s="39" t="n">
        <f aca="false">MY_PH(K$2,$A125)</f>
        <v>1.55916327526595E-005</v>
      </c>
      <c r="L125" s="39" t="n">
        <f aca="false">MY_PH(L$2,$A125)</f>
        <v>1.55923235273235E-005</v>
      </c>
      <c r="M125" s="39" t="n">
        <f aca="false">MY_PH(M$2,$A125)</f>
        <v>1.55930143725152E-005</v>
      </c>
      <c r="N125" s="39" t="n">
        <f aca="false">MY_PH(N$2,$A125)</f>
        <v>1.55937052879817E-005</v>
      </c>
      <c r="O125" s="39" t="n">
        <f aca="false">MY_PH(O$2,$A125)</f>
        <v>1.55943962734704E-005</v>
      </c>
      <c r="P125" s="39" t="n">
        <f aca="false">MY_PH(P$2,$A125)</f>
        <v>1.56013099243211E-005</v>
      </c>
      <c r="Q125" s="39" t="n">
        <f aca="false">MY_PH(Q$2,$A125)</f>
        <v>1.5608230302633E-005</v>
      </c>
      <c r="R125" s="39" t="n">
        <f aca="false">MY_PH(R$2,$A125)</f>
        <v>1.56151571625122E-005</v>
      </c>
      <c r="S125" s="39" t="n">
        <f aca="false">MY_PH(S$2,$A125)</f>
        <v>1.56220902620209E-005</v>
      </c>
      <c r="T125" s="39" t="n">
        <f aca="false">MY_PH(T$2,$A125)</f>
        <v>1.5629029363137E-005</v>
      </c>
      <c r="U125" s="39" t="n">
        <f aca="false">MY_PH(U$2,$A125)</f>
        <v>1.56359742317148E-005</v>
      </c>
      <c r="V125" s="39" t="n">
        <f aca="false">MY_PH(V$2,$A125)</f>
        <v>1.56429246374445E-005</v>
      </c>
      <c r="W125" s="39" t="n">
        <f aca="false">MY_PH(W$2,$A125)</f>
        <v>1.56498803538128E-005</v>
      </c>
      <c r="X125" s="39" t="n">
        <f aca="false">MY_PH(X$2,$A125)</f>
        <v>1.5656841158063E-005</v>
      </c>
      <c r="Y125" s="39" t="n">
        <f aca="false">MY_PH(Y$2,$A125)</f>
        <v>1.57266826345338E-005</v>
      </c>
      <c r="Z125" s="39" t="n">
        <f aca="false">MY_PH(Z$2,$A125)</f>
        <v>1.57968142470231E-005</v>
      </c>
      <c r="AA125" s="39" t="n">
        <f aca="false">MY_PH(AA$2,$A125)</f>
        <v>1.58670691172717E-005</v>
      </c>
      <c r="AB125" s="39" t="n">
        <f aca="false">MY_PH(AB$2,$A125)</f>
        <v>1.59373095294295E-005</v>
      </c>
      <c r="AC125" s="39" t="n">
        <f aca="false">MY_PH(AC$2,$A125)</f>
        <v>1.60074233726241E-005</v>
      </c>
      <c r="AD125" s="39" t="n">
        <f aca="false">MY_PH(AD$2,$A125)</f>
        <v>1.60773207957976E-005</v>
      </c>
      <c r="AE125" s="39" t="n">
        <f aca="false">MY_PH(AE$2,$A125)</f>
        <v>1.61469310939178E-005</v>
      </c>
      <c r="AF125" s="39" t="n">
        <f aca="false">MY_PH(AF$2,$A125)</f>
        <v>1.62161998383521E-005</v>
      </c>
      <c r="AG125" s="39" t="n">
        <f aca="false">MY_PH(AG$2,$A125)</f>
        <v>1.62850862593076E-005</v>
      </c>
      <c r="AH125" s="39" t="n">
        <f aca="false">MY_PH(AH$2,$A125)</f>
        <v>1.69497414583472E-005</v>
      </c>
      <c r="AI125" s="39" t="n">
        <f aca="false">MY_PH(AI$2,$A125)</f>
        <v>1.75718999244055E-005</v>
      </c>
      <c r="AJ125" s="39" t="n">
        <f aca="false">MY_PH(AJ$2,$A125)</f>
        <v>1.81609491288947E-005</v>
      </c>
      <c r="AK125" s="39" t="n">
        <f aca="false">MY_PH(AK$2,$A125)</f>
        <v>1.87242768303429E-005</v>
      </c>
      <c r="AL125" s="39" t="n">
        <f aca="false">MY_PH(AL$2,$A125)</f>
        <v>1.92688580594659E-005</v>
      </c>
      <c r="AM125" s="39" t="n">
        <f aca="false">MY_PH(AM$2,$A125)</f>
        <v>1.97988475954124E-005</v>
      </c>
      <c r="AN125" s="39" t="n">
        <f aca="false">MY_PH(AN$2,$A125)</f>
        <v>2.03177788149546E-005</v>
      </c>
      <c r="AO125" s="39" t="n">
        <f aca="false">MY_PH(AO$2,$A125)</f>
        <v>2.08283214828046E-005</v>
      </c>
      <c r="AP125" s="39" t="n">
        <f aca="false">MY_PH(AP$2,$A125)</f>
        <v>2.13313354635862E-005</v>
      </c>
      <c r="AQ125" s="39" t="n">
        <f aca="false">MY_PH(AQ$2,$A125)</f>
        <v>2.6187770528537E-005</v>
      </c>
      <c r="AR125" s="39" t="n">
        <f aca="false">MY_PH(AR$2,$A125)</f>
        <v>2.71655323666367E-005</v>
      </c>
      <c r="AS125" s="39" t="n">
        <f aca="false">MY_PH(AS$2,$A125)</f>
        <v>2.76064795142315E-005</v>
      </c>
    </row>
    <row r="126" customFormat="false" ht="13.8" hidden="false" customHeight="false" outlineLevel="0" collapsed="false">
      <c r="A126" s="0" t="n">
        <v>2860</v>
      </c>
      <c r="B126" s="39" t="n">
        <f aca="false">MY_PH(B$2,$A126)</f>
        <v>1.57941005919962E-005</v>
      </c>
      <c r="C126" s="39" t="n">
        <f aca="false">MY_PH(C$2,$A126)</f>
        <v>1.57941671730706E-005</v>
      </c>
      <c r="D126" s="39" t="n">
        <f aca="false">MY_PH(D$2,$A126)</f>
        <v>1.57942337548391E-005</v>
      </c>
      <c r="E126" s="39" t="n">
        <f aca="false">MY_PH(E$2,$A126)</f>
        <v>1.57943003373015E-005</v>
      </c>
      <c r="F126" s="39" t="n">
        <f aca="false">MY_PH(F$2,$A126)</f>
        <v>1.57943669204575E-005</v>
      </c>
      <c r="G126" s="39" t="n">
        <f aca="false">MY_PH(G$2,$A126)</f>
        <v>1.57950327901171E-005</v>
      </c>
      <c r="H126" s="39" t="n">
        <f aca="false">MY_PH(H$2,$A126)</f>
        <v>1.57956987288907E-005</v>
      </c>
      <c r="I126" s="39" t="n">
        <f aca="false">MY_PH(I$2,$A126)</f>
        <v>1.57963647365524E-005</v>
      </c>
      <c r="J126" s="39" t="n">
        <f aca="false">MY_PH(J$2,$A126)</f>
        <v>1.57970308128769E-005</v>
      </c>
      <c r="K126" s="39" t="n">
        <f aca="false">MY_PH(K$2,$A126)</f>
        <v>1.5797696957639E-005</v>
      </c>
      <c r="L126" s="39" t="n">
        <f aca="false">MY_PH(L$2,$A126)</f>
        <v>1.57983631706139E-005</v>
      </c>
      <c r="M126" s="39" t="n">
        <f aca="false">MY_PH(M$2,$A126)</f>
        <v>1.57990294515772E-005</v>
      </c>
      <c r="N126" s="39" t="n">
        <f aca="false">MY_PH(N$2,$A126)</f>
        <v>1.57996958003049E-005</v>
      </c>
      <c r="O126" s="39" t="n">
        <f aca="false">MY_PH(O$2,$A126)</f>
        <v>1.58003622165732E-005</v>
      </c>
      <c r="P126" s="39" t="n">
        <f aca="false">MY_PH(P$2,$A126)</f>
        <v>1.5807030045014E-005</v>
      </c>
      <c r="Q126" s="39" t="n">
        <f aca="false">MY_PH(Q$2,$A126)</f>
        <v>1.5813704383949E-005</v>
      </c>
      <c r="R126" s="39" t="n">
        <f aca="false">MY_PH(R$2,$A126)</f>
        <v>1.58203850152627E-005</v>
      </c>
      <c r="S126" s="39" t="n">
        <f aca="false">MY_PH(S$2,$A126)</f>
        <v>1.58270717242027E-005</v>
      </c>
      <c r="T126" s="39" t="n">
        <f aca="false">MY_PH(T$2,$A126)</f>
        <v>1.58337642993466E-005</v>
      </c>
      <c r="U126" s="39" t="n">
        <f aca="false">MY_PH(U$2,$A126)</f>
        <v>1.58404625325682E-005</v>
      </c>
      <c r="V126" s="39" t="n">
        <f aca="false">MY_PH(V$2,$A126)</f>
        <v>1.58471662190052E-005</v>
      </c>
      <c r="W126" s="39" t="n">
        <f aca="false">MY_PH(W$2,$A126)</f>
        <v>1.58538751570261E-005</v>
      </c>
      <c r="X126" s="39" t="n">
        <f aca="false">MY_PH(X$2,$A126)</f>
        <v>1.5860589148197E-005</v>
      </c>
      <c r="Y126" s="39" t="n">
        <f aca="false">MY_PH(Y$2,$A126)</f>
        <v>1.59279655486992E-005</v>
      </c>
      <c r="Z126" s="39" t="n">
        <f aca="false">MY_PH(Z$2,$A126)</f>
        <v>1.59956514787157E-005</v>
      </c>
      <c r="AA126" s="39" t="n">
        <f aca="false">MY_PH(AA$2,$A126)</f>
        <v>1.60634962161516E-005</v>
      </c>
      <c r="AB126" s="39" t="n">
        <f aca="false">MY_PH(AB$2,$A126)</f>
        <v>1.61313740643816E-005</v>
      </c>
      <c r="AC126" s="39" t="n">
        <f aca="false">MY_PH(AC$2,$A126)</f>
        <v>1.61991814070018E-005</v>
      </c>
      <c r="AD126" s="39" t="n">
        <f aca="false">MY_PH(AD$2,$A126)</f>
        <v>1.62668339347568E-005</v>
      </c>
      <c r="AE126" s="39" t="n">
        <f aca="false">MY_PH(AE$2,$A126)</f>
        <v>1.6334264060158E-005</v>
      </c>
      <c r="AF126" s="39" t="n">
        <f aca="false">MY_PH(AF$2,$A126)</f>
        <v>1.64014185302783E-005</v>
      </c>
      <c r="AG126" s="39" t="n">
        <f aca="false">MY_PH(AG$2,$A126)</f>
        <v>1.64682562441655E-005</v>
      </c>
      <c r="AH126" s="39" t="n">
        <f aca="false">MY_PH(AH$2,$A126)</f>
        <v>1.71155128657848E-005</v>
      </c>
      <c r="AI126" s="39" t="n">
        <f aca="false">MY_PH(AI$2,$A126)</f>
        <v>1.77244916994749E-005</v>
      </c>
      <c r="AJ126" s="39" t="n">
        <f aca="false">MY_PH(AJ$2,$A126)</f>
        <v>1.83034152924638E-005</v>
      </c>
      <c r="AK126" s="39" t="n">
        <f aca="false">MY_PH(AK$2,$A126)</f>
        <v>1.88584305633418E-005</v>
      </c>
      <c r="AL126" s="39" t="n">
        <f aca="false">MY_PH(AL$2,$A126)</f>
        <v>1.93958318745678E-005</v>
      </c>
      <c r="AM126" s="39" t="n">
        <f aca="false">MY_PH(AM$2,$A126)</f>
        <v>1.99193554120476E-005</v>
      </c>
      <c r="AN126" s="39" t="n">
        <f aca="false">MY_PH(AN$2,$A126)</f>
        <v>2.0432251213757E-005</v>
      </c>
      <c r="AO126" s="39" t="n">
        <f aca="false">MY_PH(AO$2,$A126)</f>
        <v>2.09370377746377E-005</v>
      </c>
      <c r="AP126" s="39" t="n">
        <f aca="false">MY_PH(AP$2,$A126)</f>
        <v>2.14354933209011E-005</v>
      </c>
      <c r="AQ126" s="39" t="n">
        <f aca="false">MY_PH(AQ$2,$A126)</f>
        <v>2.6240026075665E-005</v>
      </c>
      <c r="AR126" s="39" t="n">
        <f aca="false">MY_PH(AR$2,$A126)</f>
        <v>2.72076838604362E-005</v>
      </c>
      <c r="AS126" s="39" t="n">
        <f aca="false">MY_PH(AS$2,$A126)</f>
        <v>2.76441031397843E-005</v>
      </c>
    </row>
    <row r="127" customFormat="false" ht="13.8" hidden="false" customHeight="false" outlineLevel="0" collapsed="false">
      <c r="A127" s="0" t="n">
        <v>2870</v>
      </c>
      <c r="B127" s="39" t="n">
        <f aca="false">MY_PH(B$2,$A127)</f>
        <v>1.60006554668234E-005</v>
      </c>
      <c r="C127" s="39" t="n">
        <f aca="false">MY_PH(C$2,$A127)</f>
        <v>1.60007197615056E-005</v>
      </c>
      <c r="D127" s="39" t="n">
        <f aca="false">MY_PH(D$2,$A127)</f>
        <v>1.60007840568487E-005</v>
      </c>
      <c r="E127" s="39" t="n">
        <f aca="false">MY_PH(E$2,$A127)</f>
        <v>1.60008483528525E-005</v>
      </c>
      <c r="F127" s="39" t="n">
        <f aca="false">MY_PH(F$2,$A127)</f>
        <v>1.60009126495168E-005</v>
      </c>
      <c r="G127" s="39" t="n">
        <f aca="false">MY_PH(G$2,$A127)</f>
        <v>1.60015556524455E-005</v>
      </c>
      <c r="H127" s="39" t="n">
        <f aca="false">MY_PH(H$2,$A127)</f>
        <v>1.60021987212083E-005</v>
      </c>
      <c r="I127" s="39" t="n">
        <f aca="false">MY_PH(I$2,$A127)</f>
        <v>1.60028418556069E-005</v>
      </c>
      <c r="J127" s="39" t="n">
        <f aca="false">MY_PH(J$2,$A127)</f>
        <v>1.60034850554431E-005</v>
      </c>
      <c r="K127" s="39" t="n">
        <f aca="false">MY_PH(K$2,$A127)</f>
        <v>1.6004128320519E-005</v>
      </c>
      <c r="L127" s="39" t="n">
        <f aca="false">MY_PH(L$2,$A127)</f>
        <v>1.60047716506371E-005</v>
      </c>
      <c r="M127" s="39" t="n">
        <f aca="false">MY_PH(M$2,$A127)</f>
        <v>1.60054150456E-005</v>
      </c>
      <c r="N127" s="39" t="n">
        <f aca="false">MY_PH(N$2,$A127)</f>
        <v>1.60060585052109E-005</v>
      </c>
      <c r="O127" s="39" t="n">
        <f aca="false">MY_PH(O$2,$A127)</f>
        <v>1.60067020292729E-005</v>
      </c>
      <c r="P127" s="39" t="n">
        <f aca="false">MY_PH(P$2,$A127)</f>
        <v>1.60131407716408E-005</v>
      </c>
      <c r="Q127" s="39" t="n">
        <f aca="false">MY_PH(Q$2,$A127)</f>
        <v>1.60195857448936E-005</v>
      </c>
      <c r="R127" s="39" t="n">
        <f aca="false">MY_PH(R$2,$A127)</f>
        <v>1.602603675706E-005</v>
      </c>
      <c r="S127" s="39" t="n">
        <f aca="false">MY_PH(S$2,$A127)</f>
        <v>1.60324936190012E-005</v>
      </c>
      <c r="T127" s="39" t="n">
        <f aca="false">MY_PH(T$2,$A127)</f>
        <v>1.60389561443835E-005</v>
      </c>
      <c r="U127" s="39" t="n">
        <f aca="false">MY_PH(U$2,$A127)</f>
        <v>1.60454241496511E-005</v>
      </c>
      <c r="V127" s="39" t="n">
        <f aca="false">MY_PH(V$2,$A127)</f>
        <v>1.60518974539988E-005</v>
      </c>
      <c r="W127" s="39" t="n">
        <f aca="false">MY_PH(W$2,$A127)</f>
        <v>1.60583758793454E-005</v>
      </c>
      <c r="X127" s="39" t="n">
        <f aca="false">MY_PH(X$2,$A127)</f>
        <v>1.60648592503057E-005</v>
      </c>
      <c r="Y127" s="39" t="n">
        <f aca="false">MY_PH(Y$2,$A127)</f>
        <v>1.61299282581896E-005</v>
      </c>
      <c r="Z127" s="39" t="n">
        <f aca="false">MY_PH(Z$2,$A127)</f>
        <v>1.61953178968236E-005</v>
      </c>
      <c r="AA127" s="39" t="n">
        <f aca="false">MY_PH(AA$2,$A127)</f>
        <v>1.62608931239363E-005</v>
      </c>
      <c r="AB127" s="39" t="n">
        <f aca="false">MY_PH(AB$2,$A127)</f>
        <v>1.63265401547905E-005</v>
      </c>
      <c r="AC127" s="39" t="n">
        <f aca="false">MY_PH(AC$2,$A127)</f>
        <v>1.63921640465152E-005</v>
      </c>
      <c r="AD127" s="39" t="n">
        <f aca="false">MY_PH(AD$2,$A127)</f>
        <v>1.64576864230496E-005</v>
      </c>
      <c r="AE127" s="39" t="n">
        <f aca="false">MY_PH(AE$2,$A127)</f>
        <v>1.65230433525825E-005</v>
      </c>
      <c r="AF127" s="39" t="n">
        <f aca="false">MY_PH(AF$2,$A127)</f>
        <v>1.65881833855112E-005</v>
      </c>
      <c r="AG127" s="39" t="n">
        <f aca="false">MY_PH(AG$2,$A127)</f>
        <v>1.66530657577575E-005</v>
      </c>
      <c r="AH127" s="39" t="n">
        <f aca="false">MY_PH(AH$2,$A127)</f>
        <v>1.72836176007483E-005</v>
      </c>
      <c r="AI127" s="39" t="n">
        <f aca="false">MY_PH(AI$2,$A127)</f>
        <v>1.78797757122847E-005</v>
      </c>
      <c r="AJ127" s="39" t="n">
        <f aca="false">MY_PH(AJ$2,$A127)</f>
        <v>1.84485723850482E-005</v>
      </c>
      <c r="AK127" s="39" t="n">
        <f aca="false">MY_PH(AK$2,$A127)</f>
        <v>1.89952172392399E-005</v>
      </c>
      <c r="AL127" s="39" t="n">
        <f aca="false">MY_PH(AL$2,$A127)</f>
        <v>1.95253620241611E-005</v>
      </c>
      <c r="AM127" s="39" t="n">
        <f aca="false">MY_PH(AM$2,$A127)</f>
        <v>2.00423545641807E-005</v>
      </c>
      <c r="AN127" s="39" t="n">
        <f aca="false">MY_PH(AN$2,$A127)</f>
        <v>2.05491709504801E-005</v>
      </c>
      <c r="AO127" s="39" t="n">
        <f aca="false">MY_PH(AO$2,$A127)</f>
        <v>2.10481717601239E-005</v>
      </c>
      <c r="AP127" s="39" t="n">
        <f aca="false">MY_PH(AP$2,$A127)</f>
        <v>2.15410698258542E-005</v>
      </c>
      <c r="AQ127" s="39" t="n">
        <f aca="false">MY_PH(AQ$2,$A127)</f>
        <v>2.62950062206571E-005</v>
      </c>
      <c r="AR127" s="39" t="n">
        <f aca="false">MY_PH(AR$2,$A127)</f>
        <v>2.72526673290306E-005</v>
      </c>
      <c r="AS127" s="39" t="n">
        <f aca="false">MY_PH(AS$2,$A127)</f>
        <v>2.76846090648384E-005</v>
      </c>
    </row>
    <row r="128" customFormat="false" ht="13.8" hidden="false" customHeight="false" outlineLevel="0" collapsed="false">
      <c r="A128" s="0" t="n">
        <v>2880</v>
      </c>
      <c r="B128" s="39" t="n">
        <f aca="false">MY_PH(B$2,$A128)</f>
        <v>1.62075290572989E-005</v>
      </c>
      <c r="C128" s="39" t="n">
        <f aca="false">MY_PH(C$2,$A128)</f>
        <v>1.62075912194364E-005</v>
      </c>
      <c r="D128" s="39" t="n">
        <f aca="false">MY_PH(D$2,$A128)</f>
        <v>1.62076533821979E-005</v>
      </c>
      <c r="E128" s="39" t="n">
        <f aca="false">MY_PH(E$2,$A128)</f>
        <v>1.62077155455833E-005</v>
      </c>
      <c r="F128" s="39" t="n">
        <f aca="false">MY_PH(F$2,$A128)</f>
        <v>1.62077777095923E-005</v>
      </c>
      <c r="G128" s="39" t="n">
        <f aca="false">MY_PH(G$2,$A128)</f>
        <v>1.62083993839466E-005</v>
      </c>
      <c r="H128" s="39" t="n">
        <f aca="false">MY_PH(H$2,$A128)</f>
        <v>1.62090211204773E-005</v>
      </c>
      <c r="I128" s="39" t="n">
        <f aca="false">MY_PH(I$2,$A128)</f>
        <v>1.62096429190113E-005</v>
      </c>
      <c r="J128" s="39" t="n">
        <f aca="false">MY_PH(J$2,$A128)</f>
        <v>1.62102647793754E-005</v>
      </c>
      <c r="K128" s="39" t="n">
        <f aca="false">MY_PH(K$2,$A128)</f>
        <v>1.62108867013968E-005</v>
      </c>
      <c r="L128" s="39" t="n">
        <f aca="false">MY_PH(L$2,$A128)</f>
        <v>1.62115086849029E-005</v>
      </c>
      <c r="M128" s="39" t="n">
        <f aca="false">MY_PH(M$2,$A128)</f>
        <v>1.62121307297214E-005</v>
      </c>
      <c r="N128" s="39" t="n">
        <f aca="false">MY_PH(N$2,$A128)</f>
        <v>1.62127528356802E-005</v>
      </c>
      <c r="O128" s="39" t="n">
        <f aca="false">MY_PH(O$2,$A128)</f>
        <v>1.62133750026074E-005</v>
      </c>
      <c r="P128" s="39" t="n">
        <f aca="false">MY_PH(P$2,$A128)</f>
        <v>1.62195999875071E-005</v>
      </c>
      <c r="Q128" s="39" t="n">
        <f aca="false">MY_PH(Q$2,$A128)</f>
        <v>1.62258308819922E-005</v>
      </c>
      <c r="R128" s="39" t="n">
        <f aca="false">MY_PH(R$2,$A128)</f>
        <v>1.62320675181572E-005</v>
      </c>
      <c r="S128" s="39" t="n">
        <f aca="false">MY_PH(S$2,$A128)</f>
        <v>1.62383097304634E-005</v>
      </c>
      <c r="T128" s="39" t="n">
        <f aca="false">MY_PH(T$2,$A128)</f>
        <v>1.6244557355717E-005</v>
      </c>
      <c r="U128" s="39" t="n">
        <f aca="false">MY_PH(U$2,$A128)</f>
        <v>1.62508102330461E-005</v>
      </c>
      <c r="V128" s="39" t="n">
        <f aca="false">MY_PH(V$2,$A128)</f>
        <v>1.62570682038793E-005</v>
      </c>
      <c r="W128" s="39" t="n">
        <f aca="false">MY_PH(W$2,$A128)</f>
        <v>1.62633311119229E-005</v>
      </c>
      <c r="X128" s="39" t="n">
        <f aca="false">MY_PH(X$2,$A128)</f>
        <v>1.6269598803139E-005</v>
      </c>
      <c r="Y128" s="39" t="n">
        <f aca="false">MY_PH(Y$2,$A128)</f>
        <v>1.63325064704061E-005</v>
      </c>
      <c r="Z128" s="39" t="n">
        <f aca="false">MY_PH(Z$2,$A128)</f>
        <v>1.63957389227074E-005</v>
      </c>
      <c r="AA128" s="39" t="n">
        <f aca="false">MY_PH(AA$2,$A128)</f>
        <v>1.64591759575097E-005</v>
      </c>
      <c r="AB128" s="39" t="n">
        <f aca="false">MY_PH(AB$2,$A128)</f>
        <v>1.6522715278798E-005</v>
      </c>
      <c r="AC128" s="39" t="n">
        <f aca="false">MY_PH(AC$2,$A128)</f>
        <v>1.65862705324624E-005</v>
      </c>
      <c r="AD128" s="39" t="n">
        <f aca="false">MY_PH(AD$2,$A128)</f>
        <v>1.66497694568342E-005</v>
      </c>
      <c r="AE128" s="39" t="n">
        <f aca="false">MY_PH(AE$2,$A128)</f>
        <v>1.67131521570658E-005</v>
      </c>
      <c r="AF128" s="39" t="n">
        <f aca="false">MY_PH(AF$2,$A128)</f>
        <v>1.67763695091605E-005</v>
      </c>
      <c r="AG128" s="39" t="n">
        <f aca="false">MY_PH(AG$2,$A128)</f>
        <v>1.68393816970096E-005</v>
      </c>
      <c r="AH128" s="39" t="n">
        <f aca="false">MY_PH(AH$2,$A128)</f>
        <v>1.74538449744469E-005</v>
      </c>
      <c r="AI128" s="39" t="n">
        <f aca="false">MY_PH(AI$2,$A128)</f>
        <v>1.80375253453584E-005</v>
      </c>
      <c r="AJ128" s="39" t="n">
        <f aca="false">MY_PH(AJ$2,$A128)</f>
        <v>1.85962561587844E-005</v>
      </c>
      <c r="AK128" s="39" t="n">
        <f aca="false">MY_PH(AK$2,$A128)</f>
        <v>1.91345100386489E-005</v>
      </c>
      <c r="AL128" s="39" t="n">
        <f aca="false">MY_PH(AL$2,$A128)</f>
        <v>1.96573525235119E-005</v>
      </c>
      <c r="AM128" s="39" t="n">
        <f aca="false">MY_PH(AM$2,$A128)</f>
        <v>2.01677725573609E-005</v>
      </c>
      <c r="AN128" s="39" t="n">
        <f aca="false">MY_PH(AN$2,$A128)</f>
        <v>2.06684835964772E-005</v>
      </c>
      <c r="AO128" s="39" t="n">
        <f aca="false">MY_PH(AO$2,$A128)</f>
        <v>2.11616851024371E-005</v>
      </c>
      <c r="AP128" s="39" t="n">
        <f aca="false">MY_PH(AP$2,$A128)</f>
        <v>2.16490129406417E-005</v>
      </c>
      <c r="AQ128" s="39" t="n">
        <f aca="false">MY_PH(AQ$2,$A128)</f>
        <v>2.63526641488912E-005</v>
      </c>
      <c r="AR128" s="39" t="n">
        <f aca="false">MY_PH(AR$2,$A128)</f>
        <v>2.73004318806855E-005</v>
      </c>
      <c r="AS128" s="39" t="n">
        <f aca="false">MY_PH(AS$2,$A128)</f>
        <v>2.77279447266881E-005</v>
      </c>
    </row>
    <row r="129" customFormat="false" ht="13.8" hidden="false" customHeight="false" outlineLevel="0" collapsed="false">
      <c r="A129" s="0" t="n">
        <v>2890</v>
      </c>
      <c r="B129" s="39" t="n">
        <f aca="false">MY_PH(B$2,$A129)</f>
        <v>1.64146838874839E-005</v>
      </c>
      <c r="C129" s="39" t="n">
        <f aca="false">MY_PH(C$2,$A129)</f>
        <v>1.64147440578112E-005</v>
      </c>
      <c r="D129" s="39" t="n">
        <f aca="false">MY_PH(D$2,$A129)</f>
        <v>1.64148042287237E-005</v>
      </c>
      <c r="E129" s="39" t="n">
        <f aca="false">MY_PH(E$2,$A129)</f>
        <v>1.64148644002211E-005</v>
      </c>
      <c r="F129" s="39" t="n">
        <f aca="false">MY_PH(F$2,$A129)</f>
        <v>1.64149245723032E-005</v>
      </c>
      <c r="G129" s="39" t="n">
        <f aca="false">MY_PH(G$2,$A129)</f>
        <v>1.64155263252541E-005</v>
      </c>
      <c r="H129" s="39" t="n">
        <f aca="false">MY_PH(H$2,$A129)</f>
        <v>1.64161281365163E-005</v>
      </c>
      <c r="I129" s="39" t="n">
        <f aca="false">MY_PH(I$2,$A129)</f>
        <v>1.64167300059393E-005</v>
      </c>
      <c r="J129" s="39" t="n">
        <f aca="false">MY_PH(J$2,$A129)</f>
        <v>1.64173319333727E-005</v>
      </c>
      <c r="K129" s="39" t="n">
        <f aca="false">MY_PH(K$2,$A129)</f>
        <v>1.64179339186662E-005</v>
      </c>
      <c r="L129" s="39" t="n">
        <f aca="false">MY_PH(L$2,$A129)</f>
        <v>1.64185359616699E-005</v>
      </c>
      <c r="M129" s="39" t="n">
        <f aca="false">MY_PH(M$2,$A129)</f>
        <v>1.6419138062234E-005</v>
      </c>
      <c r="N129" s="39" t="n">
        <f aca="false">MY_PH(N$2,$A129)</f>
        <v>1.64197402202088E-005</v>
      </c>
      <c r="O129" s="39" t="n">
        <f aca="false">MY_PH(O$2,$A129)</f>
        <v>1.6420342435445E-005</v>
      </c>
      <c r="P129" s="39" t="n">
        <f aca="false">MY_PH(P$2,$A129)</f>
        <v>1.64263677044583E-005</v>
      </c>
      <c r="Q129" s="39" t="n">
        <f aca="false">MY_PH(Q$2,$A129)</f>
        <v>1.64323985367545E-005</v>
      </c>
      <c r="R129" s="39" t="n">
        <f aca="false">MY_PH(R$2,$A129)</f>
        <v>1.64384347862164E-005</v>
      </c>
      <c r="S129" s="39" t="n">
        <f aca="false">MY_PH(S$2,$A129)</f>
        <v>1.64444763086918E-005</v>
      </c>
      <c r="T129" s="39" t="n">
        <f aca="false">MY_PH(T$2,$A129)</f>
        <v>1.64505229619746E-005</v>
      </c>
      <c r="U129" s="39" t="n">
        <f aca="false">MY_PH(U$2,$A129)</f>
        <v>1.64565746057872E-005</v>
      </c>
      <c r="V129" s="39" t="n">
        <f aca="false">MY_PH(V$2,$A129)</f>
        <v>1.64626311017626E-005</v>
      </c>
      <c r="W129" s="39" t="n">
        <f aca="false">MY_PH(W$2,$A129)</f>
        <v>1.64686923134256E-005</v>
      </c>
      <c r="X129" s="39" t="n">
        <f aca="false">MY_PH(X$2,$A129)</f>
        <v>1.64747581061758E-005</v>
      </c>
      <c r="Y129" s="39" t="n">
        <f aca="false">MY_PH(Y$2,$A129)</f>
        <v>1.65356396858614E-005</v>
      </c>
      <c r="Z129" s="39" t="n">
        <f aca="false">MY_PH(Z$2,$A129)</f>
        <v>1.65968445498176E-005</v>
      </c>
      <c r="AA129" s="39" t="n">
        <f aca="false">MY_PH(AA$2,$A129)</f>
        <v>1.66582662817154E-005</v>
      </c>
      <c r="AB129" s="39" t="n">
        <f aca="false">MY_PH(AB$2,$A129)</f>
        <v>1.67198134448094E-005</v>
      </c>
      <c r="AC129" s="39" t="n">
        <f aca="false">MY_PH(AC$2,$A129)</f>
        <v>1.67814079964796E-005</v>
      </c>
      <c r="AD129" s="39" t="n">
        <f aca="false">MY_PH(AD$2,$A129)</f>
        <v>1.68429837970374E-005</v>
      </c>
      <c r="AE129" s="39" t="n">
        <f aca="false">MY_PH(AE$2,$A129)</f>
        <v>1.69044852189027E-005</v>
      </c>
      <c r="AF129" s="39" t="n">
        <f aca="false">MY_PH(AF$2,$A129)</f>
        <v>1.69658658601254E-005</v>
      </c>
      <c r="AG129" s="39" t="n">
        <f aca="false">MY_PH(AG$2,$A129)</f>
        <v>1.70270873643807E-005</v>
      </c>
      <c r="AH129" s="39" t="n">
        <f aca="false">MY_PH(AH$2,$A129)</f>
        <v>1.76260243675441E-005</v>
      </c>
      <c r="AI129" s="39" t="n">
        <f aca="false">MY_PH(AI$2,$A129)</f>
        <v>1.81975483993983E-005</v>
      </c>
      <c r="AJ129" s="39" t="n">
        <f aca="false">MY_PH(AJ$2,$A129)</f>
        <v>1.87463222224184E-005</v>
      </c>
      <c r="AK129" s="39" t="n">
        <f aca="false">MY_PH(AK$2,$A129)</f>
        <v>1.92761949241459E-005</v>
      </c>
      <c r="AL129" s="39" t="n">
        <f aca="false">MY_PH(AL$2,$A129)</f>
        <v>1.97917143824891E-005</v>
      </c>
      <c r="AM129" s="39" t="n">
        <f aca="false">MY_PH(AM$2,$A129)</f>
        <v>2.02955391691183E-005</v>
      </c>
      <c r="AN129" s="39" t="n">
        <f aca="false">MY_PH(AN$2,$A129)</f>
        <v>2.07901328232818E-005</v>
      </c>
      <c r="AO129" s="39" t="n">
        <f aca="false">MY_PH(AO$2,$A129)</f>
        <v>2.1277533339611E-005</v>
      </c>
      <c r="AP129" s="39" t="n">
        <f aca="false">MY_PH(AP$2,$A129)</f>
        <v>2.17592911513896E-005</v>
      </c>
      <c r="AQ129" s="39" t="n">
        <f aca="false">MY_PH(AQ$2,$A129)</f>
        <v>2.64129544289051E-005</v>
      </c>
      <c r="AR129" s="39" t="n">
        <f aca="false">MY_PH(AR$2,$A129)</f>
        <v>2.73509281067434E-005</v>
      </c>
      <c r="AS129" s="39" t="n">
        <f aca="false">MY_PH(AS$2,$A129)</f>
        <v>2.7774059066286E-005</v>
      </c>
    </row>
    <row r="130" customFormat="false" ht="13.8" hidden="false" customHeight="false" outlineLevel="0" collapsed="false">
      <c r="A130" s="0" t="n">
        <v>2900</v>
      </c>
      <c r="B130" s="39" t="n">
        <f aca="false">MY_PH(B$2,$A130)</f>
        <v>1.66220842576463E-005</v>
      </c>
      <c r="C130" s="39" t="n">
        <f aca="false">MY_PH(C$2,$A130)</f>
        <v>1.6622142564947E-005</v>
      </c>
      <c r="D130" s="39" t="n">
        <f aca="false">MY_PH(D$2,$A130)</f>
        <v>1.6622200872793E-005</v>
      </c>
      <c r="E130" s="39" t="n">
        <f aca="false">MY_PH(E$2,$A130)</f>
        <v>1.66222591811844E-005</v>
      </c>
      <c r="F130" s="39" t="n">
        <f aca="false">MY_PH(F$2,$A130)</f>
        <v>1.66223174901209E-005</v>
      </c>
      <c r="G130" s="39" t="n">
        <f aca="false">MY_PH(G$2,$A130)</f>
        <v>1.66229006094397E-005</v>
      </c>
      <c r="H130" s="39" t="n">
        <f aca="false">MY_PH(H$2,$A130)</f>
        <v>1.66234837831291E-005</v>
      </c>
      <c r="I130" s="39" t="n">
        <f aca="false">MY_PH(I$2,$A130)</f>
        <v>1.66240670110585E-005</v>
      </c>
      <c r="J130" s="39" t="n">
        <f aca="false">MY_PH(J$2,$A130)</f>
        <v>1.66246502930978E-005</v>
      </c>
      <c r="K130" s="39" t="n">
        <f aca="false">MY_PH(K$2,$A130)</f>
        <v>1.6625233629117E-005</v>
      </c>
      <c r="L130" s="39" t="n">
        <f aca="false">MY_PH(L$2,$A130)</f>
        <v>1.66258170189863E-005</v>
      </c>
      <c r="M130" s="39" t="n">
        <f aca="false">MY_PH(M$2,$A130)</f>
        <v>1.6626400462576E-005</v>
      </c>
      <c r="N130" s="39" t="n">
        <f aca="false">MY_PH(N$2,$A130)</f>
        <v>1.66269839597566E-005</v>
      </c>
      <c r="O130" s="39" t="n">
        <f aca="false">MY_PH(O$2,$A130)</f>
        <v>1.66275675103987E-005</v>
      </c>
      <c r="P130" s="39" t="n">
        <f aca="false">MY_PH(P$2,$A130)</f>
        <v>1.66334059288657E-005</v>
      </c>
      <c r="Q130" s="39" t="n">
        <f aca="false">MY_PH(Q$2,$A130)</f>
        <v>1.6639249552427E-005</v>
      </c>
      <c r="R130" s="39" t="n">
        <f aca="false">MY_PH(R$2,$A130)</f>
        <v>1.66450982544417E-005</v>
      </c>
      <c r="S130" s="39" t="n">
        <f aca="false">MY_PH(S$2,$A130)</f>
        <v>1.66509519098902E-005</v>
      </c>
      <c r="T130" s="39" t="n">
        <f aca="false">MY_PH(T$2,$A130)</f>
        <v>1.66568103953594E-005</v>
      </c>
      <c r="U130" s="39" t="n">
        <f aca="false">MY_PH(U$2,$A130)</f>
        <v>1.66626735890285E-005</v>
      </c>
      <c r="V130" s="39" t="n">
        <f aca="false">MY_PH(V$2,$A130)</f>
        <v>1.66685413706541E-005</v>
      </c>
      <c r="W130" s="39" t="n">
        <f aca="false">MY_PH(W$2,$A130)</f>
        <v>1.66744136215554E-005</v>
      </c>
      <c r="X130" s="39" t="n">
        <f aca="false">MY_PH(X$2,$A130)</f>
        <v>1.66802902246004E-005</v>
      </c>
      <c r="Y130" s="39" t="n">
        <f aca="false">MY_PH(Y$2,$A130)</f>
        <v>1.67392709322835E-005</v>
      </c>
      <c r="Z130" s="39" t="n">
        <f aca="false">MY_PH(Z$2,$A130)</f>
        <v>1.67985689576977E-005</v>
      </c>
      <c r="AA130" s="39" t="n">
        <f aca="false">MY_PH(AA$2,$A130)</f>
        <v>1.68580905106339E-005</v>
      </c>
      <c r="AB130" s="39" t="n">
        <f aca="false">MY_PH(AB$2,$A130)</f>
        <v>1.69177542598856E-005</v>
      </c>
      <c r="AC130" s="39" t="n">
        <f aca="false">MY_PH(AC$2,$A130)</f>
        <v>1.69774900628915E-005</v>
      </c>
      <c r="AD130" s="39" t="n">
        <f aca="false">MY_PH(AD$2,$A130)</f>
        <v>1.70372377723527E-005</v>
      </c>
      <c r="AE130" s="39" t="n">
        <f aca="false">MY_PH(AE$2,$A130)</f>
        <v>1.70969461239346E-005</v>
      </c>
      <c r="AF130" s="39" t="n">
        <f aca="false">MY_PH(AF$2,$A130)</f>
        <v>1.71565717075993E-005</v>
      </c>
      <c r="AG130" s="39" t="n">
        <f aca="false">MY_PH(AG$2,$A130)</f>
        <v>1.72160780237492E-005</v>
      </c>
      <c r="AH130" s="39" t="n">
        <f aca="false">MY_PH(AH$2,$A130)</f>
        <v>1.78000148033556E-005</v>
      </c>
      <c r="AI130" s="39" t="n">
        <f aca="false">MY_PH(AI$2,$A130)</f>
        <v>1.835968350431E-005</v>
      </c>
      <c r="AJ130" s="39" t="n">
        <f aca="false">MY_PH(AJ$2,$A130)</f>
        <v>1.88986419519159E-005</v>
      </c>
      <c r="AK130" s="39" t="n">
        <f aca="false">MY_PH(AK$2,$A130)</f>
        <v>1.94201679034637E-005</v>
      </c>
      <c r="AL130" s="39" t="n">
        <f aca="false">MY_PH(AL$2,$A130)</f>
        <v>1.99283640789197E-005</v>
      </c>
      <c r="AM130" s="39" t="n">
        <f aca="false">MY_PH(AM$2,$A130)</f>
        <v>2.04255860262605E-005</v>
      </c>
      <c r="AN130" s="39" t="n">
        <f aca="false">MY_PH(AN$2,$A130)</f>
        <v>2.09140610477066E-005</v>
      </c>
      <c r="AO130" s="39" t="n">
        <f aca="false">MY_PH(AO$2,$A130)</f>
        <v>2.13956676300206E-005</v>
      </c>
      <c r="AP130" s="39" t="n">
        <f aca="false">MY_PH(AP$2,$A130)</f>
        <v>2.18718649919064E-005</v>
      </c>
      <c r="AQ130" s="39" t="n">
        <f aca="false">MY_PH(AQ$2,$A130)</f>
        <v>2.64758329448411E-005</v>
      </c>
      <c r="AR130" s="39" t="n">
        <f aca="false">MY_PH(AR$2,$A130)</f>
        <v>2.74041080031107E-005</v>
      </c>
      <c r="AS130" s="39" t="n">
        <f aca="false">MY_PH(AS$2,$A130)</f>
        <v>2.78229024482393E-005</v>
      </c>
    </row>
    <row r="131" customFormat="false" ht="13.8" hidden="false" customHeight="false" outlineLevel="0" collapsed="false">
      <c r="A131" s="0" t="n">
        <v>2910</v>
      </c>
      <c r="B131" s="39" t="n">
        <f aca="false">MY_PH(B$2,$A131)</f>
        <v>1.68296961395913E-005</v>
      </c>
      <c r="C131" s="39" t="n">
        <f aca="false">MY_PH(C$2,$A131)</f>
        <v>1.68297527017593E-005</v>
      </c>
      <c r="D131" s="39" t="n">
        <f aca="false">MY_PH(D$2,$A131)</f>
        <v>1.68298092644333E-005</v>
      </c>
      <c r="E131" s="39" t="n">
        <f aca="false">MY_PH(E$2,$A131)</f>
        <v>1.68298658276132E-005</v>
      </c>
      <c r="F131" s="39" t="n">
        <f aca="false">MY_PH(F$2,$A131)</f>
        <v>1.68299223912989E-005</v>
      </c>
      <c r="G131" s="39" t="n">
        <f aca="false">MY_PH(G$2,$A131)</f>
        <v>1.68304880559485E-005</v>
      </c>
      <c r="H131" s="39" t="n">
        <f aca="false">MY_PH(H$2,$A131)</f>
        <v>1.6831053771052E-005</v>
      </c>
      <c r="I131" s="39" t="n">
        <f aca="false">MY_PH(I$2,$A131)</f>
        <v>1.68316195364967E-005</v>
      </c>
      <c r="J131" s="39" t="n">
        <f aca="false">MY_PH(J$2,$A131)</f>
        <v>1.68321853521705E-005</v>
      </c>
      <c r="K131" s="39" t="n">
        <f aca="false">MY_PH(K$2,$A131)</f>
        <v>1.68327512179611E-005</v>
      </c>
      <c r="L131" s="39" t="n">
        <f aca="false">MY_PH(L$2,$A131)</f>
        <v>1.68333171337565E-005</v>
      </c>
      <c r="M131" s="39" t="n">
        <f aca="false">MY_PH(M$2,$A131)</f>
        <v>1.68338830994448E-005</v>
      </c>
      <c r="N131" s="39" t="n">
        <f aca="false">MY_PH(N$2,$A131)</f>
        <v>1.68344491149142E-005</v>
      </c>
      <c r="O131" s="39" t="n">
        <f aca="false">MY_PH(O$2,$A131)</f>
        <v>1.68350151800531E-005</v>
      </c>
      <c r="P131" s="39" t="n">
        <f aca="false">MY_PH(P$2,$A131)</f>
        <v>1.68406785388042E-005</v>
      </c>
      <c r="Q131" s="39" t="n">
        <f aca="false">MY_PH(Q$2,$A131)</f>
        <v>1.68463467427192E-005</v>
      </c>
      <c r="R131" s="39" t="n">
        <f aca="false">MY_PH(R$2,$A131)</f>
        <v>1.68520196823916E-005</v>
      </c>
      <c r="S131" s="39" t="n">
        <f aca="false">MY_PH(S$2,$A131)</f>
        <v>1.68576972497464E-005</v>
      </c>
      <c r="T131" s="39" t="n">
        <f aca="false">MY_PH(T$2,$A131)</f>
        <v>1.68633793380281E-005</v>
      </c>
      <c r="U131" s="39" t="n">
        <f aca="false">MY_PH(U$2,$A131)</f>
        <v>1.68690658417892E-005</v>
      </c>
      <c r="V131" s="39" t="n">
        <f aca="false">MY_PH(V$2,$A131)</f>
        <v>1.68747566568782E-005</v>
      </c>
      <c r="W131" s="39" t="n">
        <f aca="false">MY_PH(W$2,$A131)</f>
        <v>1.68804516804281E-005</v>
      </c>
      <c r="X131" s="39" t="n">
        <f aca="false">MY_PH(X$2,$A131)</f>
        <v>1.68861508108449E-005</v>
      </c>
      <c r="Y131" s="39" t="n">
        <f aca="false">MY_PH(Y$2,$A131)</f>
        <v>1.69433465291278E-005</v>
      </c>
      <c r="Z131" s="39" t="n">
        <f aca="false">MY_PH(Z$2,$A131)</f>
        <v>1.70008501930965E-005</v>
      </c>
      <c r="AA131" s="39" t="n">
        <f aca="false">MY_PH(AA$2,$A131)</f>
        <v>1.70585794465887E-005</v>
      </c>
      <c r="AB131" s="39" t="n">
        <f aca="false">MY_PH(AB$2,$A131)</f>
        <v>1.71164622464275E-005</v>
      </c>
      <c r="AC131" s="39" t="n">
        <f aca="false">MY_PH(AC$2,$A131)</f>
        <v>1.71744358513057E-005</v>
      </c>
      <c r="AD131" s="39" t="n">
        <f aca="false">MY_PH(AD$2,$A131)</f>
        <v>1.7232445873278E-005</v>
      </c>
      <c r="AE131" s="39" t="n">
        <f aca="false">MY_PH(AE$2,$A131)</f>
        <v>1.72904453944865E-005</v>
      </c>
      <c r="AF131" s="39" t="n">
        <f aca="false">MY_PH(AF$2,$A131)</f>
        <v>1.73483941506127E-005</v>
      </c>
      <c r="AG131" s="39" t="n">
        <f aca="false">MY_PH(AG$2,$A131)</f>
        <v>1.74062577815344E-005</v>
      </c>
      <c r="AH131" s="39" t="n">
        <f aca="false">MY_PH(AH$2,$A131)</f>
        <v>1.79756967434351E-005</v>
      </c>
      <c r="AI131" s="39" t="n">
        <f aca="false">MY_PH(AI$2,$A131)</f>
        <v>1.85237947951968E-005</v>
      </c>
      <c r="AJ131" s="39" t="n">
        <f aca="false">MY_PH(AJ$2,$A131)</f>
        <v>1.90530992223936E-005</v>
      </c>
      <c r="AK131" s="39" t="n">
        <f aca="false">MY_PH(AK$2,$A131)</f>
        <v>1.9566332854975E-005</v>
      </c>
      <c r="AL131" s="39" t="n">
        <f aca="false">MY_PH(AL$2,$A131)</f>
        <v>2.00672223403387E-005</v>
      </c>
      <c r="AM131" s="39" t="n">
        <f aca="false">MY_PH(AM$2,$A131)</f>
        <v>2.05578462464393E-005</v>
      </c>
      <c r="AN131" s="39" t="n">
        <f aca="false">MY_PH(AN$2,$A131)</f>
        <v>2.10402099022166E-005</v>
      </c>
      <c r="AO131" s="39" t="n">
        <f aca="false">MY_PH(AO$2,$A131)</f>
        <v>2.15160360852229E-005</v>
      </c>
      <c r="AP131" s="39" t="n">
        <f aca="false">MY_PH(AP$2,$A131)</f>
        <v>2.19866893020197E-005</v>
      </c>
      <c r="AQ131" s="39" t="n">
        <f aca="false">MY_PH(AQ$2,$A131)</f>
        <v>2.65412568227919E-005</v>
      </c>
      <c r="AR131" s="39" t="n">
        <f aca="false">MY_PH(AR$2,$A131)</f>
        <v>2.74599248888354E-005</v>
      </c>
      <c r="AS131" s="39" t="n">
        <f aca="false">MY_PH(AS$2,$A131)</f>
        <v>2.78744265791155E-005</v>
      </c>
    </row>
    <row r="132" customFormat="false" ht="13.8" hidden="false" customHeight="false" outlineLevel="0" collapsed="false">
      <c r="A132" s="0" t="n">
        <v>2920</v>
      </c>
      <c r="B132" s="39" t="n">
        <f aca="false">MY_PH(B$2,$A132)</f>
        <v>1.70374870803995E-005</v>
      </c>
      <c r="C132" s="39" t="n">
        <f aca="false">MY_PH(C$2,$A132)</f>
        <v>1.70375420054104E-005</v>
      </c>
      <c r="D132" s="39" t="n">
        <f aca="false">MY_PH(D$2,$A132)</f>
        <v>1.70375969308888E-005</v>
      </c>
      <c r="E132" s="39" t="n">
        <f aca="false">MY_PH(E$2,$A132)</f>
        <v>1.70376518568348E-005</v>
      </c>
      <c r="F132" s="39" t="n">
        <f aca="false">MY_PH(F$2,$A132)</f>
        <v>1.70377067832481E-005</v>
      </c>
      <c r="G132" s="39" t="n">
        <f aca="false">MY_PH(G$2,$A132)</f>
        <v>1.70382560730688E-005</v>
      </c>
      <c r="H132" s="39" t="n">
        <f aca="false">MY_PH(H$2,$A132)</f>
        <v>1.7038805409525E-005</v>
      </c>
      <c r="I132" s="39" t="n">
        <f aca="false">MY_PH(I$2,$A132)</f>
        <v>1.703935479252E-005</v>
      </c>
      <c r="J132" s="39" t="n">
        <f aca="false">MY_PH(J$2,$A132)</f>
        <v>1.70399042219572E-005</v>
      </c>
      <c r="K132" s="39" t="n">
        <f aca="false">MY_PH(K$2,$A132)</f>
        <v>1.704045369774E-005</v>
      </c>
      <c r="L132" s="39" t="n">
        <f aca="false">MY_PH(L$2,$A132)</f>
        <v>1.7041003219772E-005</v>
      </c>
      <c r="M132" s="39" t="n">
        <f aca="false">MY_PH(M$2,$A132)</f>
        <v>1.70415527879568E-005</v>
      </c>
      <c r="N132" s="39" t="n">
        <f aca="false">MY_PH(N$2,$A132)</f>
        <v>1.70421024021984E-005</v>
      </c>
      <c r="O132" s="39" t="n">
        <f aca="false">MY_PH(O$2,$A132)</f>
        <v>1.70426520624005E-005</v>
      </c>
      <c r="P132" s="39" t="n">
        <f aca="false">MY_PH(P$2,$A132)</f>
        <v>1.70481511711918E-005</v>
      </c>
      <c r="Q132" s="39" t="n">
        <f aca="false">MY_PH(Q$2,$A132)</f>
        <v>1.70536547711573E-005</v>
      </c>
      <c r="R132" s="39" t="n">
        <f aca="false">MY_PH(R$2,$A132)</f>
        <v>1.70591627680185E-005</v>
      </c>
      <c r="S132" s="39" t="n">
        <f aca="false">MY_PH(S$2,$A132)</f>
        <v>1.70646750685855E-005</v>
      </c>
      <c r="T132" s="39" t="n">
        <f aca="false">MY_PH(T$2,$A132)</f>
        <v>1.70701915807478E-005</v>
      </c>
      <c r="U132" s="39" t="n">
        <f aca="false">MY_PH(U$2,$A132)</f>
        <v>1.70757122134646E-005</v>
      </c>
      <c r="V132" s="39" t="n">
        <f aca="false">MY_PH(V$2,$A132)</f>
        <v>1.7081236876756E-005</v>
      </c>
      <c r="W132" s="39" t="n">
        <f aca="false">MY_PH(W$2,$A132)</f>
        <v>1.70867654816931E-005</v>
      </c>
      <c r="X132" s="39" t="n">
        <f aca="false">MY_PH(X$2,$A132)</f>
        <v>1.70922979403892E-005</v>
      </c>
      <c r="Y132" s="39" t="n">
        <f aca="false">MY_PH(Y$2,$A132)</f>
        <v>1.71478158757842E-005</v>
      </c>
      <c r="Z132" s="39" t="n">
        <f aca="false">MY_PH(Z$2,$A132)</f>
        <v>1.72036298999027E-005</v>
      </c>
      <c r="AA132" s="39" t="n">
        <f aca="false">MY_PH(AA$2,$A132)</f>
        <v>1.72596679171862E-005</v>
      </c>
      <c r="AB132" s="39" t="n">
        <f aca="false">MY_PH(AB$2,$A132)</f>
        <v>1.73158663350083E-005</v>
      </c>
      <c r="AC132" s="39" t="n">
        <f aca="false">MY_PH(AC$2,$A132)</f>
        <v>1.73721692639208E-005</v>
      </c>
      <c r="AD132" s="39" t="n">
        <f aca="false">MY_PH(AD$2,$A132)</f>
        <v>1.74285277685733E-005</v>
      </c>
      <c r="AE132" s="39" t="n">
        <f aca="false">MY_PH(AE$2,$A132)</f>
        <v>1.74848991708684E-005</v>
      </c>
      <c r="AF132" s="39" t="n">
        <f aca="false">MY_PH(AF$2,$A132)</f>
        <v>1.75412464060928E-005</v>
      </c>
      <c r="AG132" s="39" t="n">
        <f aca="false">MY_PH(AG$2,$A132)</f>
        <v>1.75975374320228E-005</v>
      </c>
      <c r="AH132" s="39" t="n">
        <f aca="false">MY_PH(AH$2,$A132)</f>
        <v>1.81529657774653E-005</v>
      </c>
      <c r="AI132" s="39" t="n">
        <f aca="false">MY_PH(AI$2,$A132)</f>
        <v>1.86897662638354E-005</v>
      </c>
      <c r="AJ132" s="39" t="n">
        <f aca="false">MY_PH(AJ$2,$A132)</f>
        <v>1.92095878103256E-005</v>
      </c>
      <c r="AK132" s="39" t="n">
        <f aca="false">MY_PH(AK$2,$A132)</f>
        <v>1.97145998138947E-005</v>
      </c>
      <c r="AL132" s="39" t="n">
        <f aca="false">MY_PH(AL$2,$A132)</f>
        <v>2.02082131834244E-005</v>
      </c>
      <c r="AM132" s="39" t="n">
        <f aca="false">MY_PH(AM$2,$A132)</f>
        <v>2.06922541413217E-005</v>
      </c>
      <c r="AN132" s="39" t="n">
        <f aca="false">MY_PH(AN$2,$A132)</f>
        <v>2.11685205731714E-005</v>
      </c>
      <c r="AO132" s="39" t="n">
        <f aca="false">MY_PH(AO$2,$A132)</f>
        <v>2.16385847751551E-005</v>
      </c>
      <c r="AP132" s="39" t="n">
        <f aca="false">MY_PH(AP$2,$A132)</f>
        <v>2.21037149645334E-005</v>
      </c>
      <c r="AQ132" s="39" t="n">
        <f aca="false">MY_PH(AQ$2,$A132)</f>
        <v>2.66091843564935E-005</v>
      </c>
      <c r="AR132" s="39" t="n">
        <f aca="false">MY_PH(AR$2,$A132)</f>
        <v>2.75183333264237E-005</v>
      </c>
      <c r="AS132" s="39" t="n">
        <f aca="false">MY_PH(AS$2,$A132)</f>
        <v>2.79285844282347E-005</v>
      </c>
    </row>
    <row r="133" customFormat="false" ht="13.8" hidden="false" customHeight="false" outlineLevel="0" collapsed="false">
      <c r="A133" s="0" t="n">
        <v>2930</v>
      </c>
      <c r="B133" s="39" t="n">
        <f aca="false">MY_PH(B$2,$A133)</f>
        <v>1.72454261137244E-005</v>
      </c>
      <c r="C133" s="39" t="n">
        <f aca="false">MY_PH(C$2,$A133)</f>
        <v>1.72454795005226E-005</v>
      </c>
      <c r="D133" s="39" t="n">
        <f aca="false">MY_PH(D$2,$A133)</f>
        <v>1.72455328877515E-005</v>
      </c>
      <c r="E133" s="39" t="n">
        <f aca="false">MY_PH(E$2,$A133)</f>
        <v>1.72455862754112E-005</v>
      </c>
      <c r="F133" s="39" t="n">
        <f aca="false">MY_PH(F$2,$A133)</f>
        <v>1.72456396635014E-005</v>
      </c>
      <c r="G133" s="39" t="n">
        <f aca="false">MY_PH(G$2,$A133)</f>
        <v>1.7246173568069E-005</v>
      </c>
      <c r="H133" s="39" t="n">
        <f aca="false">MY_PH(H$2,$A133)</f>
        <v>1.72467075156057E-005</v>
      </c>
      <c r="I133" s="39" t="n">
        <f aca="false">MY_PH(I$2,$A133)</f>
        <v>1.72472415060286E-005</v>
      </c>
      <c r="J133" s="39" t="n">
        <f aca="false">MY_PH(J$2,$A133)</f>
        <v>1.72477755392547E-005</v>
      </c>
      <c r="K133" s="39" t="n">
        <f aca="false">MY_PH(K$2,$A133)</f>
        <v>1.72483096152009E-005</v>
      </c>
      <c r="L133" s="39" t="n">
        <f aca="false">MY_PH(L$2,$A133)</f>
        <v>1.72488437337844E-005</v>
      </c>
      <c r="M133" s="39" t="n">
        <f aca="false">MY_PH(M$2,$A133)</f>
        <v>1.72493778949225E-005</v>
      </c>
      <c r="N133" s="39" t="n">
        <f aca="false">MY_PH(N$2,$A133)</f>
        <v>1.72499120985326E-005</v>
      </c>
      <c r="O133" s="39" t="n">
        <f aca="false">MY_PH(O$2,$A133)</f>
        <v>1.7250446344532E-005</v>
      </c>
      <c r="P133" s="39" t="n">
        <f aca="false">MY_PH(P$2,$A133)</f>
        <v>1.72557911178422E-005</v>
      </c>
      <c r="Q133" s="39" t="n">
        <f aca="false">MY_PH(Q$2,$A133)</f>
        <v>1.72611400399355E-005</v>
      </c>
      <c r="R133" s="39" t="n">
        <f aca="false">MY_PH(R$2,$A133)</f>
        <v>1.72664930297252E-005</v>
      </c>
      <c r="S133" s="39" t="n">
        <f aca="false">MY_PH(S$2,$A133)</f>
        <v>1.72718500070117E-005</v>
      </c>
      <c r="T133" s="39" t="n">
        <f aca="false">MY_PH(T$2,$A133)</f>
        <v>1.72772108924748E-005</v>
      </c>
      <c r="U133" s="39" t="n">
        <f aca="false">MY_PH(U$2,$A133)</f>
        <v>1.72825756076667E-005</v>
      </c>
      <c r="V133" s="39" t="n">
        <f aca="false">MY_PH(V$2,$A133)</f>
        <v>1.72879440750043E-005</v>
      </c>
      <c r="W133" s="39" t="n">
        <f aca="false">MY_PH(W$2,$A133)</f>
        <v>1.7293316217762E-005</v>
      </c>
      <c r="X133" s="39" t="n">
        <f aca="false">MY_PH(X$2,$A133)</f>
        <v>1.72986919600642E-005</v>
      </c>
      <c r="Y133" s="39" t="n">
        <f aca="false">MY_PH(Y$2,$A133)</f>
        <v>1.73526312587907E-005</v>
      </c>
      <c r="Z133" s="39" t="n">
        <f aca="false">MY_PH(Z$2,$A133)</f>
        <v>1.74068530851297E-005</v>
      </c>
      <c r="AA133" s="39" t="n">
        <f aca="false">MY_PH(AA$2,$A133)</f>
        <v>1.74612944823535E-005</v>
      </c>
      <c r="AB133" s="39" t="n">
        <f aca="false">MY_PH(AB$2,$A133)</f>
        <v>1.75158994818835E-005</v>
      </c>
      <c r="AC133" s="39" t="n">
        <f aca="false">MY_PH(AC$2,$A133)</f>
        <v>1.75706184744471E-005</v>
      </c>
      <c r="AD133" s="39" t="n">
        <f aca="false">MY_PH(AD$2,$A133)</f>
        <v>1.7625407622026E-005</v>
      </c>
      <c r="AE133" s="39" t="n">
        <f aca="false">MY_PH(AE$2,$A133)</f>
        <v>1.7680228311418E-005</v>
      </c>
      <c r="AF133" s="39" t="n">
        <f aca="false">MY_PH(AF$2,$A133)</f>
        <v>1.7735046649641E-005</v>
      </c>
      <c r="AG133" s="39" t="n">
        <f aca="false">MY_PH(AG$2,$A133)</f>
        <v>1.77898330008678E-005</v>
      </c>
      <c r="AH133" s="39" t="n">
        <f aca="false">MY_PH(AH$2,$A133)</f>
        <v>1.83317279044079E-005</v>
      </c>
      <c r="AI133" s="39" t="n">
        <f aca="false">MY_PH(AI$2,$A133)</f>
        <v>1.88574965772247E-005</v>
      </c>
      <c r="AJ133" s="39" t="n">
        <f aca="false">MY_PH(AJ$2,$A133)</f>
        <v>1.93680093419742E-005</v>
      </c>
      <c r="AK133" s="39" t="n">
        <f aca="false">MY_PH(AK$2,$A133)</f>
        <v>1.98648836342595E-005</v>
      </c>
      <c r="AL133" s="39" t="n">
        <f aca="false">MY_PH(AL$2,$A133)</f>
        <v>2.03512631670738E-005</v>
      </c>
      <c r="AM133" s="39" t="n">
        <f aca="false">MY_PH(AM$2,$A133)</f>
        <v>2.0828744977E-005</v>
      </c>
      <c r="AN133" s="39" t="n">
        <f aca="false">MY_PH(AN$2,$A133)</f>
        <v>2.12989340406584E-005</v>
      </c>
      <c r="AO133" s="39" t="n">
        <f aca="false">MY_PH(AO$2,$A133)</f>
        <v>2.17632584757292E-005</v>
      </c>
      <c r="AP133" s="39" t="n">
        <f aca="false">MY_PH(AP$2,$A133)</f>
        <v>2.22228902235117E-005</v>
      </c>
      <c r="AQ133" s="39" t="n">
        <f aca="false">MY_PH(AQ$2,$A133)</f>
        <v>2.66795749363057E-005</v>
      </c>
      <c r="AR133" s="39" t="n">
        <f aca="false">MY_PH(AR$2,$A133)</f>
        <v>2.75792890471543E-005</v>
      </c>
      <c r="AS133" s="39" t="n">
        <f aca="false">MY_PH(AS$2,$A133)</f>
        <v>2.79853301538458E-005</v>
      </c>
    </row>
    <row r="134" customFormat="false" ht="13.8" hidden="false" customHeight="false" outlineLevel="0" collapsed="false">
      <c r="A134" s="0" t="n">
        <v>2940</v>
      </c>
      <c r="B134" s="39" t="n">
        <f aca="false">MY_PH(B$2,$A134)</f>
        <v>1.74534836778956E-005</v>
      </c>
      <c r="C134" s="39" t="n">
        <f aca="false">MY_PH(C$2,$A134)</f>
        <v>1.74535356172061E-005</v>
      </c>
      <c r="D134" s="39" t="n">
        <f aca="false">MY_PH(D$2,$A134)</f>
        <v>1.74535875569125E-005</v>
      </c>
      <c r="E134" s="39" t="n">
        <f aca="false">MY_PH(E$2,$A134)</f>
        <v>1.74536394970146E-005</v>
      </c>
      <c r="F134" s="39" t="n">
        <f aca="false">MY_PH(F$2,$A134)</f>
        <v>1.74536914375124E-005</v>
      </c>
      <c r="G134" s="39" t="n">
        <f aca="false">MY_PH(G$2,$A134)</f>
        <v>1.74542108642383E-005</v>
      </c>
      <c r="H134" s="39" t="n">
        <f aca="false">MY_PH(H$2,$A134)</f>
        <v>1.74547303304555E-005</v>
      </c>
      <c r="I134" s="39" t="n">
        <f aca="false">MY_PH(I$2,$A134)</f>
        <v>1.74552498360928E-005</v>
      </c>
      <c r="J134" s="39" t="n">
        <f aca="false">MY_PH(J$2,$A134)</f>
        <v>1.74557693810788E-005</v>
      </c>
      <c r="K134" s="39" t="n">
        <f aca="false">MY_PH(K$2,$A134)</f>
        <v>1.74562889653426E-005</v>
      </c>
      <c r="L134" s="39" t="n">
        <f aca="false">MY_PH(L$2,$A134)</f>
        <v>1.7456808588813E-005</v>
      </c>
      <c r="M134" s="39" t="n">
        <f aca="false">MY_PH(M$2,$A134)</f>
        <v>1.74573282514189E-005</v>
      </c>
      <c r="N134" s="39" t="n">
        <f aca="false">MY_PH(N$2,$A134)</f>
        <v>1.74578479530896E-005</v>
      </c>
      <c r="O134" s="39" t="n">
        <f aca="false">MY_PH(O$2,$A134)</f>
        <v>1.74583676937541E-005</v>
      </c>
      <c r="P134" s="39" t="n">
        <f aca="false">MY_PH(P$2,$A134)</f>
        <v>1.74635672295274E-005</v>
      </c>
      <c r="Q134" s="39" t="n">
        <f aca="false">MY_PH(Q$2,$A134)</f>
        <v>1.74687705872974E-005</v>
      </c>
      <c r="R134" s="39" t="n">
        <f aca="false">MY_PH(R$2,$A134)</f>
        <v>1.74739776974191E-005</v>
      </c>
      <c r="S134" s="39" t="n">
        <f aca="false">MY_PH(S$2,$A134)</f>
        <v>1.74791884909679E-005</v>
      </c>
      <c r="T134" s="39" t="n">
        <f aca="false">MY_PH(T$2,$A134)</f>
        <v>1.74844028997343E-005</v>
      </c>
      <c r="U134" s="39" t="n">
        <f aca="false">MY_PH(U$2,$A134)</f>
        <v>1.74896208562179E-005</v>
      </c>
      <c r="V134" s="39" t="n">
        <f aca="false">MY_PH(V$2,$A134)</f>
        <v>1.74948422936211E-005</v>
      </c>
      <c r="W134" s="39" t="n">
        <f aca="false">MY_PH(W$2,$A134)</f>
        <v>1.75000671458438E-005</v>
      </c>
      <c r="X134" s="39" t="n">
        <f aca="false">MY_PH(X$2,$A134)</f>
        <v>1.75052953474778E-005</v>
      </c>
      <c r="Y134" s="39" t="n">
        <f aca="false">MY_PH(Y$2,$A134)</f>
        <v>1.75577476746802E-005</v>
      </c>
      <c r="Z134" s="39" t="n">
        <f aca="false">MY_PH(Z$2,$A134)</f>
        <v>1.76104679118769E-005</v>
      </c>
      <c r="AA134" s="39" t="n">
        <f aca="false">MY_PH(AA$2,$A134)</f>
        <v>1.76634011913279E-005</v>
      </c>
      <c r="AB134" s="39" t="n">
        <f aca="false">MY_PH(AB$2,$A134)</f>
        <v>1.77164983740944E-005</v>
      </c>
      <c r="AC134" s="39" t="n">
        <f aca="false">MY_PH(AC$2,$A134)</f>
        <v>1.77697155583538E-005</v>
      </c>
      <c r="AD134" s="39" t="n">
        <f aca="false">MY_PH(AD$2,$A134)</f>
        <v>1.78230136203625E-005</v>
      </c>
      <c r="AE134" s="39" t="n">
        <f aca="false">MY_PH(AE$2,$A134)</f>
        <v>1.78763577883921E-005</v>
      </c>
      <c r="AF134" s="39" t="n">
        <f aca="false">MY_PH(AF$2,$A134)</f>
        <v>1.79297172495371E-005</v>
      </c>
      <c r="AG134" s="39" t="n">
        <f aca="false">MY_PH(AG$2,$A134)</f>
        <v>1.79830647889015E-005</v>
      </c>
      <c r="AH134" s="39" t="n">
        <f aca="false">MY_PH(AH$2,$A134)</f>
        <v>1.85118961223699E-005</v>
      </c>
      <c r="AI134" s="39" t="n">
        <f aca="false">MY_PH(AI$2,$A134)</f>
        <v>1.90268947393397E-005</v>
      </c>
      <c r="AJ134" s="39" t="n">
        <f aca="false">MY_PH(AJ$2,$A134)</f>
        <v>1.95282716858538E-005</v>
      </c>
      <c r="AK134" s="39" t="n">
        <f aca="false">MY_PH(AK$2,$A134)</f>
        <v>2.00171029559303E-005</v>
      </c>
      <c r="AL134" s="39" t="n">
        <f aca="false">MY_PH(AL$2,$A134)</f>
        <v>2.04963008212673E-005</v>
      </c>
      <c r="AM134" s="39" t="n">
        <f aca="false">MY_PH(AM$2,$A134)</f>
        <v>2.09672547863257E-005</v>
      </c>
      <c r="AN134" s="39" t="n">
        <f aca="false">MY_PH(AN$2,$A134)</f>
        <v>2.14313912463797E-005</v>
      </c>
      <c r="AO134" s="39" t="n">
        <f aca="false">MY_PH(AO$2,$A134)</f>
        <v>2.18900012161037E-005</v>
      </c>
      <c r="AP134" s="39" t="n">
        <f aca="false">MY_PH(AP$2,$A134)</f>
        <v>2.23441616696323E-005</v>
      </c>
      <c r="AQ134" s="39" t="n">
        <f aca="false">MY_PH(AQ$2,$A134)</f>
        <v>2.67523889840523E-005</v>
      </c>
      <c r="AR134" s="39" t="n">
        <f aca="false">MY_PH(AR$2,$A134)</f>
        <v>2.76427488834231E-005</v>
      </c>
      <c r="AS134" s="39" t="n">
        <f aca="false">MY_PH(AS$2,$A134)</f>
        <v>2.80446190364624E-005</v>
      </c>
    </row>
    <row r="135" customFormat="false" ht="13.8" hidden="false" customHeight="false" outlineLevel="0" collapsed="false">
      <c r="A135" s="0" t="n">
        <v>2950</v>
      </c>
      <c r="B135" s="39" t="n">
        <f aca="false">MY_PH(B$2,$A135)</f>
        <v>1.76616315401668E-005</v>
      </c>
      <c r="C135" s="39" t="n">
        <f aca="false">MY_PH(C$2,$A135)</f>
        <v>1.76616821152365E-005</v>
      </c>
      <c r="D135" s="39" t="n">
        <f aca="false">MY_PH(D$2,$A135)</f>
        <v>1.76617326906692E-005</v>
      </c>
      <c r="E135" s="39" t="n">
        <f aca="false">MY_PH(E$2,$A135)</f>
        <v>1.76617832664649E-005</v>
      </c>
      <c r="F135" s="39" t="n">
        <f aca="false">MY_PH(F$2,$A135)</f>
        <v>1.76618338426236E-005</v>
      </c>
      <c r="G135" s="39" t="n">
        <f aca="false">MY_PH(G$2,$A135)</f>
        <v>1.76623396241572E-005</v>
      </c>
      <c r="H135" s="39" t="n">
        <f aca="false">MY_PH(H$2,$A135)</f>
        <v>1.76628454419158E-005</v>
      </c>
      <c r="I135" s="39" t="n">
        <f aca="false">MY_PH(I$2,$A135)</f>
        <v>1.76633512958383E-005</v>
      </c>
      <c r="J135" s="39" t="n">
        <f aca="false">MY_PH(J$2,$A135)</f>
        <v>1.76638571858638E-005</v>
      </c>
      <c r="K135" s="39" t="n">
        <f aca="false">MY_PH(K$2,$A135)</f>
        <v>1.76643631119311E-005</v>
      </c>
      <c r="L135" s="39" t="n">
        <f aca="false">MY_PH(L$2,$A135)</f>
        <v>1.76648690739794E-005</v>
      </c>
      <c r="M135" s="39" t="n">
        <f aca="false">MY_PH(M$2,$A135)</f>
        <v>1.76653750719478E-005</v>
      </c>
      <c r="N135" s="39" t="n">
        <f aca="false">MY_PH(N$2,$A135)</f>
        <v>1.76658811057756E-005</v>
      </c>
      <c r="O135" s="39" t="n">
        <f aca="false">MY_PH(O$2,$A135)</f>
        <v>1.76663871754019E-005</v>
      </c>
      <c r="P135" s="39" t="n">
        <f aca="false">MY_PH(P$2,$A135)</f>
        <v>1.76714498272677E-005</v>
      </c>
      <c r="Q135" s="39" t="n">
        <f aca="false">MY_PH(Q$2,$A135)</f>
        <v>1.76765159926194E-005</v>
      </c>
      <c r="R135" s="39" t="n">
        <f aca="false">MY_PH(R$2,$A135)</f>
        <v>1.7681585611692E-005</v>
      </c>
      <c r="S135" s="39" t="n">
        <f aca="false">MY_PH(S$2,$A135)</f>
        <v>1.76866586253043E-005</v>
      </c>
      <c r="T135" s="39" t="n">
        <f aca="false">MY_PH(T$2,$A135)</f>
        <v>1.7691734974855E-005</v>
      </c>
      <c r="U135" s="39" t="n">
        <f aca="false">MY_PH(U$2,$A135)</f>
        <v>1.76968146023178E-005</v>
      </c>
      <c r="V135" s="39" t="n">
        <f aca="false">MY_PH(V$2,$A135)</f>
        <v>1.77018974502369E-005</v>
      </c>
      <c r="W135" s="39" t="n">
        <f aca="false">MY_PH(W$2,$A135)</f>
        <v>1.77069834617222E-005</v>
      </c>
      <c r="X135" s="39" t="n">
        <f aca="false">MY_PH(X$2,$A135)</f>
        <v>1.77120725804452E-005</v>
      </c>
      <c r="Y135" s="39" t="n">
        <f aca="false">MY_PH(Y$2,$A135)</f>
        <v>1.7763122665978E-005</v>
      </c>
      <c r="Z135" s="39" t="n">
        <f aca="false">MY_PH(Z$2,$A135)</f>
        <v>1.78144255127414E-005</v>
      </c>
      <c r="AA135" s="39" t="n">
        <f aca="false">MY_PH(AA$2,$A135)</f>
        <v>1.78659333751614E-005</v>
      </c>
      <c r="AB135" s="39" t="n">
        <f aca="false">MY_PH(AB$2,$A135)</f>
        <v>1.79176031953077E-005</v>
      </c>
      <c r="AC135" s="39" t="n">
        <f aca="false">MY_PH(AC$2,$A135)</f>
        <v>1.79693962205089E-005</v>
      </c>
      <c r="AD135" s="39" t="n">
        <f aca="false">MY_PH(AD$2,$A135)</f>
        <v>1.80212776469433E-005</v>
      </c>
      <c r="AE135" s="39" t="n">
        <f aca="false">MY_PH(AE$2,$A135)</f>
        <v>1.80732162892126E-005</v>
      </c>
      <c r="AF135" s="39" t="n">
        <f aca="false">MY_PH(AF$2,$A135)</f>
        <v>1.81251842755966E-005</v>
      </c>
      <c r="AG135" s="39" t="n">
        <f aca="false">MY_PH(AG$2,$A135)</f>
        <v>1.81771567684088E-005</v>
      </c>
      <c r="AH135" s="39" t="n">
        <f aca="false">MY_PH(AH$2,$A135)</f>
        <v>1.86933880679005E-005</v>
      </c>
      <c r="AI135" s="39" t="n">
        <f aca="false">MY_PH(AI$2,$A135)</f>
        <v>1.91978767085962E-005</v>
      </c>
      <c r="AJ135" s="39" t="n">
        <f aca="false">MY_PH(AJ$2,$A135)</f>
        <v>1.969028770489E-005</v>
      </c>
      <c r="AK135" s="39" t="n">
        <f aca="false">MY_PH(AK$2,$A135)</f>
        <v>2.01711794178988E-005</v>
      </c>
      <c r="AL135" s="39" t="n">
        <f aca="false">MY_PH(AL$2,$A135)</f>
        <v>2.06432562194935E-005</v>
      </c>
      <c r="AM135" s="39" t="n">
        <f aca="false">MY_PH(AM$2,$A135)</f>
        <v>2.11077202274583E-005</v>
      </c>
      <c r="AN135" s="39" t="n">
        <f aca="false">MY_PH(AN$2,$A135)</f>
        <v>2.15658332101742E-005</v>
      </c>
      <c r="AO135" s="39" t="n">
        <f aca="false">MY_PH(AO$2,$A135)</f>
        <v>2.20187566721264E-005</v>
      </c>
      <c r="AP135" s="39" t="n">
        <f aca="false">MY_PH(AP$2,$A135)</f>
        <v>2.24674749636155E-005</v>
      </c>
      <c r="AQ135" s="39" t="n">
        <f aca="false">MY_PH(AQ$2,$A135)</f>
        <v>2.68275878951261E-005</v>
      </c>
      <c r="AR135" s="39" t="n">
        <f aca="false">MY_PH(AR$2,$A135)</f>
        <v>2.77086707091329E-005</v>
      </c>
      <c r="AS135" s="39" t="n">
        <f aca="false">MY_PH(AS$2,$A135)</f>
        <v>2.81064074202047E-005</v>
      </c>
    </row>
    <row r="136" customFormat="false" ht="13.8" hidden="false" customHeight="false" outlineLevel="0" collapsed="false">
      <c r="A136" s="0" t="n">
        <v>2960</v>
      </c>
      <c r="B136" s="39" t="n">
        <f aca="false">MY_PH(B$2,$A136)</f>
        <v>1.7869842726519E-005</v>
      </c>
      <c r="C136" s="39" t="n">
        <f aca="false">MY_PH(C$2,$A136)</f>
        <v>1.78698920137935E-005</v>
      </c>
      <c r="D136" s="39" t="n">
        <f aca="false">MY_PH(D$2,$A136)</f>
        <v>1.78699413014005E-005</v>
      </c>
      <c r="E136" s="39" t="n">
        <f aca="false">MY_PH(E$2,$A136)</f>
        <v>1.78699905893399E-005</v>
      </c>
      <c r="F136" s="39" t="n">
        <f aca="false">MY_PH(F$2,$A136)</f>
        <v>1.78700398776118E-005</v>
      </c>
      <c r="G136" s="39" t="n">
        <f aca="false">MY_PH(G$2,$A136)</f>
        <v>1.78705327786011E-005</v>
      </c>
      <c r="H136" s="39" t="n">
        <f aca="false">MY_PH(H$2,$A136)</f>
        <v>1.78710257127734E-005</v>
      </c>
      <c r="I136" s="39" t="n">
        <f aca="false">MY_PH(I$2,$A136)</f>
        <v>1.78715186800762E-005</v>
      </c>
      <c r="J136" s="39" t="n">
        <f aca="false">MY_PH(J$2,$A136)</f>
        <v>1.78720116804575E-005</v>
      </c>
      <c r="K136" s="39" t="n">
        <f aca="false">MY_PH(K$2,$A136)</f>
        <v>1.78725047138648E-005</v>
      </c>
      <c r="L136" s="39" t="n">
        <f aca="false">MY_PH(L$2,$A136)</f>
        <v>1.7872997780246E-005</v>
      </c>
      <c r="M136" s="39" t="n">
        <f aca="false">MY_PH(M$2,$A136)</f>
        <v>1.78734908795489E-005</v>
      </c>
      <c r="N136" s="39" t="n">
        <f aca="false">MY_PH(N$2,$A136)</f>
        <v>1.78739840117215E-005</v>
      </c>
      <c r="O136" s="39" t="n">
        <f aca="false">MY_PH(O$2,$A136)</f>
        <v>1.78744771767116E-005</v>
      </c>
      <c r="P136" s="39" t="n">
        <f aca="false">MY_PH(P$2,$A136)</f>
        <v>1.78794106201633E-005</v>
      </c>
      <c r="Q136" s="39" t="n">
        <f aca="false">MY_PH(Q$2,$A136)</f>
        <v>1.78843472884716E-005</v>
      </c>
      <c r="R136" s="39" t="n">
        <f aca="false">MY_PH(R$2,$A136)</f>
        <v>1.78892871303718E-005</v>
      </c>
      <c r="S136" s="39" t="n">
        <f aca="false">MY_PH(S$2,$A136)</f>
        <v>1.78942300950718E-005</v>
      </c>
      <c r="T136" s="39" t="n">
        <f aca="false">MY_PH(T$2,$A136)</f>
        <v>1.78991761322488E-005</v>
      </c>
      <c r="U136" s="39" t="n">
        <f aca="false">MY_PH(U$2,$A136)</f>
        <v>1.79041251920456E-005</v>
      </c>
      <c r="V136" s="39" t="n">
        <f aca="false">MY_PH(V$2,$A136)</f>
        <v>1.79090772250671E-005</v>
      </c>
      <c r="W136" s="39" t="n">
        <f aca="false">MY_PH(W$2,$A136)</f>
        <v>1.79140321823768E-005</v>
      </c>
      <c r="X136" s="39" t="n">
        <f aca="false">MY_PH(X$2,$A136)</f>
        <v>1.79189900154929E-005</v>
      </c>
      <c r="Y136" s="39" t="n">
        <f aca="false">MY_PH(Y$2,$A136)</f>
        <v>1.79687161684773E-005</v>
      </c>
      <c r="Z136" s="39" t="n">
        <f aca="false">MY_PH(Z$2,$A136)</f>
        <v>1.80186798189503E-005</v>
      </c>
      <c r="AA136" s="39" t="n">
        <f aca="false">MY_PH(AA$2,$A136)</f>
        <v>1.80688394643242E-005</v>
      </c>
      <c r="AB136" s="39" t="n">
        <f aca="false">MY_PH(AB$2,$A136)</f>
        <v>1.81191574329436E-005</v>
      </c>
      <c r="AC136" s="39" t="n">
        <f aca="false">MY_PH(AC$2,$A136)</f>
        <v>1.81695995882327E-005</v>
      </c>
      <c r="AD136" s="39" t="n">
        <f aca="false">MY_PH(AD$2,$A136)</f>
        <v>1.82201350533828E-005</v>
      </c>
      <c r="AE136" s="39" t="n">
        <f aca="false">MY_PH(AE$2,$A136)</f>
        <v>1.82707359563986E-005</v>
      </c>
      <c r="AF136" s="39" t="n">
        <f aca="false">MY_PH(AF$2,$A136)</f>
        <v>1.8321377195097E-005</v>
      </c>
      <c r="AG136" s="39" t="n">
        <f aca="false">MY_PH(AG$2,$A136)</f>
        <v>1.83720362214505E-005</v>
      </c>
      <c r="AH136" s="39" t="n">
        <f aca="false">MY_PH(AH$2,$A136)</f>
        <v>1.88761244729208E-005</v>
      </c>
      <c r="AI136" s="39" t="n">
        <f aca="false">MY_PH(AI$2,$A136)</f>
        <v>1.93703629287478E-005</v>
      </c>
      <c r="AJ136" s="39" t="n">
        <f aca="false">MY_PH(AJ$2,$A136)</f>
        <v>1.98539742986329E-005</v>
      </c>
      <c r="AK136" s="39" t="n">
        <f aca="false">MY_PH(AK$2,$A136)</f>
        <v>2.03270370693204E-005</v>
      </c>
      <c r="AL136" s="39" t="n">
        <f aca="false">MY_PH(AL$2,$A136)</f>
        <v>2.07920606675092E-005</v>
      </c>
      <c r="AM136" s="39" t="n">
        <f aca="false">MY_PH(AM$2,$A136)</f>
        <v>2.12500784828799E-005</v>
      </c>
      <c r="AN136" s="39" t="n">
        <f aca="false">MY_PH(AN$2,$A136)</f>
        <v>2.17022011109922E-005</v>
      </c>
      <c r="AO136" s="39" t="n">
        <f aca="false">MY_PH(AO$2,$A136)</f>
        <v>2.21494684433657E-005</v>
      </c>
      <c r="AP136" s="39" t="n">
        <f aca="false">MY_PH(AP$2,$A136)</f>
        <v>2.25927753560447E-005</v>
      </c>
      <c r="AQ136" s="39" t="n">
        <f aca="false">MY_PH(AQ$2,$A136)</f>
        <v>2.69051339883515E-005</v>
      </c>
      <c r="AR136" s="39" t="n">
        <f aca="false">MY_PH(AR$2,$A136)</f>
        <v>2.77770133883482E-005</v>
      </c>
      <c r="AS136" s="39" t="n">
        <f aca="false">MY_PH(AS$2,$A136)</f>
        <v>2.81706526622831E-005</v>
      </c>
    </row>
    <row r="137" customFormat="false" ht="13.8" hidden="false" customHeight="false" outlineLevel="0" collapsed="false">
      <c r="A137" s="0" t="n">
        <v>2970</v>
      </c>
      <c r="B137" s="39" t="n">
        <f aca="false">MY_PH(B$2,$A137)</f>
        <v>1.80780914564974E-005</v>
      </c>
      <c r="C137" s="39" t="n">
        <f aca="false">MY_PH(C$2,$A137)</f>
        <v>1.80781395262387E-005</v>
      </c>
      <c r="D137" s="39" t="n">
        <f aca="false">MY_PH(D$2,$A137)</f>
        <v>1.80781875962844E-005</v>
      </c>
      <c r="E137" s="39" t="n">
        <f aca="false">MY_PH(E$2,$A137)</f>
        <v>1.80782356666343E-005</v>
      </c>
      <c r="F137" s="39" t="n">
        <f aca="false">MY_PH(F$2,$A137)</f>
        <v>1.80782837372883E-005</v>
      </c>
      <c r="G137" s="39" t="n">
        <f aca="false">MY_PH(G$2,$A137)</f>
        <v>1.80787644605497E-005</v>
      </c>
      <c r="H137" s="39" t="n">
        <f aca="false">MY_PH(H$2,$A137)</f>
        <v>1.80792452141807E-005</v>
      </c>
      <c r="I137" s="39" t="n">
        <f aca="false">MY_PH(I$2,$A137)</f>
        <v>1.80797259981366E-005</v>
      </c>
      <c r="J137" s="39" t="n">
        <f aca="false">MY_PH(J$2,$A137)</f>
        <v>1.80802068123725E-005</v>
      </c>
      <c r="K137" s="39" t="n">
        <f aca="false">MY_PH(K$2,$A137)</f>
        <v>1.80806876568437E-005</v>
      </c>
      <c r="L137" s="39" t="n">
        <f aca="false">MY_PH(L$2,$A137)</f>
        <v>1.80811685315054E-005</v>
      </c>
      <c r="M137" s="39" t="n">
        <f aca="false">MY_PH(M$2,$A137)</f>
        <v>1.8081649436313E-005</v>
      </c>
      <c r="N137" s="39" t="n">
        <f aca="false">MY_PH(N$2,$A137)</f>
        <v>1.80821303712218E-005</v>
      </c>
      <c r="O137" s="39" t="n">
        <f aca="false">MY_PH(O$2,$A137)</f>
        <v>1.80826113361871E-005</v>
      </c>
      <c r="P137" s="39" t="n">
        <f aca="false">MY_PH(P$2,$A137)</f>
        <v>1.80874226291674E-005</v>
      </c>
      <c r="Q137" s="39" t="n">
        <f aca="false">MY_PH(Q$2,$A137)</f>
        <v>1.80922368790244E-005</v>
      </c>
      <c r="R137" s="39" t="n">
        <f aca="false">MY_PH(R$2,$A137)</f>
        <v>1.8097054041785E-005</v>
      </c>
      <c r="S137" s="39" t="n">
        <f aca="false">MY_PH(S$2,$A137)</f>
        <v>1.81018740738585E-005</v>
      </c>
      <c r="T137" s="39" t="n">
        <f aca="false">MY_PH(T$2,$A137)</f>
        <v>1.81066969320335E-005</v>
      </c>
      <c r="U137" s="39" t="n">
        <f aca="false">MY_PH(U$2,$A137)</f>
        <v>1.81115225734753E-005</v>
      </c>
      <c r="V137" s="39" t="n">
        <f aca="false">MY_PH(V$2,$A137)</f>
        <v>1.8116350955723E-005</v>
      </c>
      <c r="W137" s="39" t="n">
        <f aca="false">MY_PH(W$2,$A137)</f>
        <v>1.81211820366871E-005</v>
      </c>
      <c r="X137" s="39" t="n">
        <f aca="false">MY_PH(X$2,$A137)</f>
        <v>1.81260157746462E-005</v>
      </c>
      <c r="Y137" s="39" t="n">
        <f aca="false">MY_PH(Y$2,$A137)</f>
        <v>1.81744903683689E-005</v>
      </c>
      <c r="Z137" s="39" t="n">
        <f aca="false">MY_PH(Z$2,$A137)</f>
        <v>1.82231874017949E-005</v>
      </c>
      <c r="AA137" s="39" t="n">
        <f aca="false">MY_PH(AA$2,$A137)</f>
        <v>1.82720708239417E-005</v>
      </c>
      <c r="AB137" s="39" t="n">
        <f aca="false">MY_PH(AB$2,$A137)</f>
        <v>1.83211077126213E-005</v>
      </c>
      <c r="AC137" s="39" t="n">
        <f aca="false">MY_PH(AC$2,$A137)</f>
        <v>1.83702680466671E-005</v>
      </c>
      <c r="AD137" s="39" t="n">
        <f aca="false">MY_PH(AD$2,$A137)</f>
        <v>1.84195244943096E-005</v>
      </c>
      <c r="AE137" s="39" t="n">
        <f aca="false">MY_PH(AE$2,$A137)</f>
        <v>1.84688522174099E-005</v>
      </c>
      <c r="AF137" s="39" t="n">
        <f aca="false">MY_PH(AF$2,$A137)</f>
        <v>1.85182286911066E-005</v>
      </c>
      <c r="AG137" s="39" t="n">
        <f aca="false">MY_PH(AG$2,$A137)</f>
        <v>1.85676335382829E-005</v>
      </c>
      <c r="AH137" s="39" t="n">
        <f aca="false">MY_PH(AH$2,$A137)</f>
        <v>1.90600282381418E-005</v>
      </c>
      <c r="AI137" s="39" t="n">
        <f aca="false">MY_PH(AI$2,$A137)</f>
        <v>1.95442766509037E-005</v>
      </c>
      <c r="AJ137" s="39" t="n">
        <f aca="false">MY_PH(AJ$2,$A137)</f>
        <v>2.00192516780463E-005</v>
      </c>
      <c r="AK137" s="39" t="n">
        <f aca="false">MY_PH(AK$2,$A137)</f>
        <v>2.0484601938211E-005</v>
      </c>
      <c r="AL137" s="39" t="n">
        <f aca="false">MY_PH(AL$2,$A137)</f>
        <v>2.09426464855813E-005</v>
      </c>
      <c r="AM137" s="39" t="n">
        <f aca="false">MY_PH(AM$2,$A137)</f>
        <v>2.13942671933265E-005</v>
      </c>
      <c r="AN137" s="39" t="n">
        <f aca="false">MY_PH(AN$2,$A137)</f>
        <v>2.18404363443266E-005</v>
      </c>
      <c r="AO137" s="39" t="n">
        <f aca="false">MY_PH(AO$2,$A137)</f>
        <v>2.22820802435837E-005</v>
      </c>
      <c r="AP137" s="39" t="n">
        <f aca="false">MY_PH(AP$2,$A137)</f>
        <v>2.27200080510748E-005</v>
      </c>
      <c r="AQ137" s="39" t="n">
        <f aca="false">MY_PH(AQ$2,$A137)</f>
        <v>2.69849904634198E-005</v>
      </c>
      <c r="AR137" s="39" t="n">
        <f aca="false">MY_PH(AR$2,$A137)</f>
        <v>2.78477367318698E-005</v>
      </c>
      <c r="AS137" s="39" t="n">
        <f aca="false">MY_PH(AS$2,$A137)</f>
        <v>2.82373130902442E-005</v>
      </c>
    </row>
    <row r="138" customFormat="false" ht="13.8" hidden="false" customHeight="false" outlineLevel="0" collapsed="false">
      <c r="A138" s="0" t="n">
        <v>2980</v>
      </c>
      <c r="B138" s="39" t="n">
        <f aca="false">MY_PH(B$2,$A138)</f>
        <v>1.82863530826174E-005</v>
      </c>
      <c r="C138" s="39" t="n">
        <f aca="false">MY_PH(C$2,$A138)</f>
        <v>1.82863999994673E-005</v>
      </c>
      <c r="D138" s="39" t="n">
        <f aca="false">MY_PH(D$2,$A138)</f>
        <v>1.82864469165956E-005</v>
      </c>
      <c r="E138" s="39" t="n">
        <f aca="false">MY_PH(E$2,$A138)</f>
        <v>1.82864938340021E-005</v>
      </c>
      <c r="F138" s="39" t="n">
        <f aca="false">MY_PH(F$2,$A138)</f>
        <v>1.82865407516869E-005</v>
      </c>
      <c r="G138" s="39" t="n">
        <f aca="false">MY_PH(G$2,$A138)</f>
        <v>1.82870099438307E-005</v>
      </c>
      <c r="H138" s="39" t="n">
        <f aca="false">MY_PH(H$2,$A138)</f>
        <v>1.8287479163758E-005</v>
      </c>
      <c r="I138" s="39" t="n">
        <f aca="false">MY_PH(I$2,$A138)</f>
        <v>1.82879484114302E-005</v>
      </c>
      <c r="J138" s="39" t="n">
        <f aca="false">MY_PH(J$2,$A138)</f>
        <v>1.82884176868091E-005</v>
      </c>
      <c r="K138" s="39" t="n">
        <f aca="false">MY_PH(K$2,$A138)</f>
        <v>1.82888869898562E-005</v>
      </c>
      <c r="L138" s="39" t="n">
        <f aca="false">MY_PH(L$2,$A138)</f>
        <v>1.82893563205333E-005</v>
      </c>
      <c r="M138" s="39" t="n">
        <f aca="false">MY_PH(M$2,$A138)</f>
        <v>1.82898256788019E-005</v>
      </c>
      <c r="N138" s="39" t="n">
        <f aca="false">MY_PH(N$2,$A138)</f>
        <v>1.82902950646239E-005</v>
      </c>
      <c r="O138" s="39" t="n">
        <f aca="false">MY_PH(O$2,$A138)</f>
        <v>1.82907644779608E-005</v>
      </c>
      <c r="P138" s="39" t="n">
        <f aca="false">MY_PH(P$2,$A138)</f>
        <v>1.82954601162679E-005</v>
      </c>
      <c r="Q138" s="39" t="n">
        <f aca="false">MY_PH(Q$2,$A138)</f>
        <v>1.83001584642421E-005</v>
      </c>
      <c r="R138" s="39" t="n">
        <f aca="false">MY_PH(R$2,$A138)</f>
        <v>1.83048594841507E-005</v>
      </c>
      <c r="S138" s="39" t="n">
        <f aca="false">MY_PH(S$2,$A138)</f>
        <v>1.83095631385694E-005</v>
      </c>
      <c r="T138" s="39" t="n">
        <f aca="false">MY_PH(T$2,$A138)</f>
        <v>1.83142693903809E-005</v>
      </c>
      <c r="U138" s="39" t="n">
        <f aca="false">MY_PH(U$2,$A138)</f>
        <v>1.83189782027724E-005</v>
      </c>
      <c r="V138" s="39" t="n">
        <f aca="false">MY_PH(V$2,$A138)</f>
        <v>1.83236895392335E-005</v>
      </c>
      <c r="W138" s="39" t="n">
        <f aca="false">MY_PH(W$2,$A138)</f>
        <v>1.83284033635541E-005</v>
      </c>
      <c r="X138" s="39" t="n">
        <f aca="false">MY_PH(X$2,$A138)</f>
        <v>1.83331196398224E-005</v>
      </c>
      <c r="Y138" s="39" t="n">
        <f aca="false">MY_PH(Y$2,$A138)</f>
        <v>1.83804095681287E-005</v>
      </c>
      <c r="Z138" s="39" t="n">
        <f aca="false">MY_PH(Z$2,$A138)</f>
        <v>1.84279073239138E-005</v>
      </c>
      <c r="AA138" s="39" t="n">
        <f aca="false">MY_PH(AA$2,$A138)</f>
        <v>1.84755816013984E-005</v>
      </c>
      <c r="AB138" s="39" t="n">
        <f aca="false">MY_PH(AB$2,$A138)</f>
        <v>1.85234036500435E-005</v>
      </c>
      <c r="AC138" s="39" t="n">
        <f aca="false">MY_PH(AC$2,$A138)</f>
        <v>1.85713471000297E-005</v>
      </c>
      <c r="AD138" s="39" t="n">
        <f aca="false">MY_PH(AD$2,$A138)</f>
        <v>1.86193878003526E-005</v>
      </c>
      <c r="AE138" s="39" t="n">
        <f aca="false">MY_PH(AE$2,$A138)</f>
        <v>1.86675036692028E-005</v>
      </c>
      <c r="AF138" s="39" t="n">
        <f aca="false">MY_PH(AF$2,$A138)</f>
        <v>1.87156745561802E-005</v>
      </c>
      <c r="AG138" s="39" t="n">
        <f aca="false">MY_PH(AG$2,$A138)</f>
        <v>1.87638821157937E-005</v>
      </c>
      <c r="AH138" s="39" t="n">
        <f aca="false">MY_PH(AH$2,$A138)</f>
        <v>1.92450239537035E-005</v>
      </c>
      <c r="AI138" s="39" t="n">
        <f aca="false">MY_PH(AI$2,$A138)</f>
        <v>1.97195428931703E-005</v>
      </c>
      <c r="AJ138" s="39" t="n">
        <f aca="false">MY_PH(AJ$2,$A138)</f>
        <v>2.0186042825508E-005</v>
      </c>
      <c r="AK138" s="39" t="n">
        <f aca="false">MY_PH(AK$2,$A138)</f>
        <v>2.06438017248581E-005</v>
      </c>
      <c r="AL138" s="39" t="n">
        <f aca="false">MY_PH(AL$2,$A138)</f>
        <v>2.10949468651329E-005</v>
      </c>
      <c r="AM138" s="39" t="n">
        <f aca="false">MY_PH(AM$2,$A138)</f>
        <v>2.15402244214141E-005</v>
      </c>
      <c r="AN138" s="39" t="n">
        <f aca="false">MY_PH(AN$2,$A138)</f>
        <v>2.19804805650467E-005</v>
      </c>
      <c r="AO138" s="39" t="n">
        <f aca="false">MY_PH(AO$2,$A138)</f>
        <v>2.24165360282287E-005</v>
      </c>
      <c r="AP138" s="39" t="n">
        <f aca="false">MY_PH(AP$2,$A138)</f>
        <v>2.284911845237E-005</v>
      </c>
      <c r="AQ138" s="39" t="n">
        <f aca="false">MY_PH(AQ$2,$A138)</f>
        <v>2.70671213652694E-005</v>
      </c>
      <c r="AR138" s="39" t="n">
        <f aca="false">MY_PH(AR$2,$A138)</f>
        <v>2.79208014610068E-005</v>
      </c>
      <c r="AS138" s="39" t="n">
        <f aca="false">MY_PH(AS$2,$A138)</f>
        <v>2.83063479662664E-005</v>
      </c>
    </row>
    <row r="139" customFormat="false" ht="13.8" hidden="false" customHeight="false" outlineLevel="0" collapsed="false">
      <c r="A139" s="0" t="n">
        <v>2990</v>
      </c>
      <c r="B139" s="39" t="n">
        <f aca="false">MY_PH(B$2,$A139)</f>
        <v>1.84946040339268E-005</v>
      </c>
      <c r="C139" s="39" t="n">
        <f aca="false">MY_PH(C$2,$A139)</f>
        <v>1.84946498574194E-005</v>
      </c>
      <c r="D139" s="39" t="n">
        <f aca="false">MY_PH(D$2,$A139)</f>
        <v>1.84946956811665E-005</v>
      </c>
      <c r="E139" s="39" t="n">
        <f aca="false">MY_PH(E$2,$A139)</f>
        <v>1.84947415051682E-005</v>
      </c>
      <c r="F139" s="39" t="n">
        <f aca="false">MY_PH(F$2,$A139)</f>
        <v>1.84947873294245E-005</v>
      </c>
      <c r="G139" s="39" t="n">
        <f aca="false">MY_PH(G$2,$A139)</f>
        <v>1.84952455859798E-005</v>
      </c>
      <c r="H139" s="39" t="n">
        <f aca="false">MY_PH(H$2,$A139)</f>
        <v>1.8495703867953E-005</v>
      </c>
      <c r="I139" s="39" t="n">
        <f aca="false">MY_PH(I$2,$A139)</f>
        <v>1.84961621753114E-005</v>
      </c>
      <c r="J139" s="39" t="n">
        <f aca="false">MY_PH(J$2,$A139)</f>
        <v>1.84966205080218E-005</v>
      </c>
      <c r="K139" s="39" t="n">
        <f aca="false">MY_PH(K$2,$A139)</f>
        <v>1.84970788660513E-005</v>
      </c>
      <c r="L139" s="39" t="n">
        <f aca="false">MY_PH(L$2,$A139)</f>
        <v>1.84975372493672E-005</v>
      </c>
      <c r="M139" s="39" t="n">
        <f aca="false">MY_PH(M$2,$A139)</f>
        <v>1.84979956579365E-005</v>
      </c>
      <c r="N139" s="39" t="n">
        <f aca="false">MY_PH(N$2,$A139)</f>
        <v>1.84984540917264E-005</v>
      </c>
      <c r="O139" s="39" t="n">
        <f aca="false">MY_PH(O$2,$A139)</f>
        <v>1.8498912550704E-005</v>
      </c>
      <c r="P139" s="39" t="n">
        <f aca="false">MY_PH(P$2,$A139)</f>
        <v>1.85034985186044E-005</v>
      </c>
      <c r="Q139" s="39" t="n">
        <f aca="false">MY_PH(Q$2,$A139)</f>
        <v>1.85080869693672E-005</v>
      </c>
      <c r="R139" s="39" t="n">
        <f aca="false">MY_PH(R$2,$A139)</f>
        <v>1.85126778705892E-005</v>
      </c>
      <c r="S139" s="39" t="n">
        <f aca="false">MY_PH(S$2,$A139)</f>
        <v>1.8517271190117E-005</v>
      </c>
      <c r="T139" s="39" t="n">
        <f aca="false">MY_PH(T$2,$A139)</f>
        <v>1.85218668960452E-005</v>
      </c>
      <c r="U139" s="39" t="n">
        <f aca="false">MY_PH(U$2,$A139)</f>
        <v>1.85264649567146E-005</v>
      </c>
      <c r="V139" s="39" t="n">
        <f aca="false">MY_PH(V$2,$A139)</f>
        <v>1.85310653407107E-005</v>
      </c>
      <c r="W139" s="39" t="n">
        <f aca="false">MY_PH(W$2,$A139)</f>
        <v>1.85356680168622E-005</v>
      </c>
      <c r="X139" s="39" t="n">
        <f aca="false">MY_PH(X$2,$A139)</f>
        <v>1.85402729542392E-005</v>
      </c>
      <c r="Y139" s="39" t="n">
        <f aca="false">MY_PH(Y$2,$A139)</f>
        <v>1.85864400603171E-005</v>
      </c>
      <c r="Z139" s="39" t="n">
        <f aca="false">MY_PH(Z$2,$A139)</f>
        <v>1.86328009987041E-005</v>
      </c>
      <c r="AA139" s="39" t="n">
        <f aca="false">MY_PH(AA$2,$A139)</f>
        <v>1.86793285826847E-005</v>
      </c>
      <c r="AB139" s="39" t="n">
        <f aca="false">MY_PH(AB$2,$A139)</f>
        <v>1.8725997713523E-005</v>
      </c>
      <c r="AC139" s="39" t="n">
        <f aca="false">MY_PH(AC$2,$A139)</f>
        <v>1.87727852473608E-005</v>
      </c>
      <c r="AD139" s="39" t="n">
        <f aca="false">MY_PH(AD$2,$A139)</f>
        <v>1.88196698719164E-005</v>
      </c>
      <c r="AE139" s="39" t="n">
        <f aca="false">MY_PH(AE$2,$A139)</f>
        <v>1.88666319926406E-005</v>
      </c>
      <c r="AF139" s="39" t="n">
        <f aca="false">MY_PH(AF$2,$A139)</f>
        <v>1.8913653627908E-005</v>
      </c>
      <c r="AG139" s="39" t="n">
        <f aca="false">MY_PH(AG$2,$A139)</f>
        <v>1.89607183127446E-005</v>
      </c>
      <c r="AH139" s="39" t="n">
        <f aca="false">MY_PH(AH$2,$A139)</f>
        <v>1.94310377289604E-005</v>
      </c>
      <c r="AI139" s="39" t="n">
        <f aca="false">MY_PH(AI$2,$A139)</f>
        <v>1.98960878831228E-005</v>
      </c>
      <c r="AJ139" s="39" t="n">
        <f aca="false">MY_PH(AJ$2,$A139)</f>
        <v>2.03542731010845E-005</v>
      </c>
      <c r="AK139" s="39" t="n">
        <f aca="false">MY_PH(AK$2,$A139)</f>
        <v>2.08045655929294E-005</v>
      </c>
      <c r="AL139" s="39" t="n">
        <f aca="false">MY_PH(AL$2,$A139)</f>
        <v>2.12488957839339E-005</v>
      </c>
      <c r="AM139" s="39" t="n">
        <f aca="false">MY_PH(AM$2,$A139)</f>
        <v>2.16878886401405E-005</v>
      </c>
      <c r="AN139" s="39" t="n">
        <f aca="false">MY_PH(AN$2,$A139)</f>
        <v>2.21222757221643E-005</v>
      </c>
      <c r="AO139" s="39" t="n">
        <f aca="false">MY_PH(AO$2,$A139)</f>
        <v>2.25527800773587E-005</v>
      </c>
      <c r="AP139" s="39" t="n">
        <f aca="false">MY_PH(AP$2,$A139)</f>
        <v>2.29800523219323E-005</v>
      </c>
      <c r="AQ139" s="39" t="n">
        <f aca="false">MY_PH(AQ$2,$A139)</f>
        <v>2.71514915545185E-005</v>
      </c>
      <c r="AR139" s="39" t="n">
        <f aca="false">MY_PH(AR$2,$A139)</f>
        <v>2.79961691776148E-005</v>
      </c>
      <c r="AS139" s="39" t="n">
        <f aca="false">MY_PH(AS$2,$A139)</f>
        <v>2.83777174576048E-005</v>
      </c>
    </row>
    <row r="140" customFormat="false" ht="13.8" hidden="false" customHeight="false" outlineLevel="0" collapsed="false">
      <c r="A140" s="0" t="n">
        <v>3000</v>
      </c>
      <c r="B140" s="39" t="n">
        <f aca="false">MY_PH(B$2,$A140)</f>
        <v>1.87028217633527E-005</v>
      </c>
      <c r="C140" s="39" t="n">
        <f aca="false">MY_PH(C$2,$A140)</f>
        <v>1.8702866548381E-005</v>
      </c>
      <c r="D140" s="39" t="n">
        <f aca="false">MY_PH(D$2,$A140)</f>
        <v>1.87029113336423E-005</v>
      </c>
      <c r="E140" s="39" t="n">
        <f aca="false">MY_PH(E$2,$A140)</f>
        <v>1.87029561191366E-005</v>
      </c>
      <c r="F140" s="39" t="n">
        <f aca="false">MY_PH(F$2,$A140)</f>
        <v>1.87030009048638E-005</v>
      </c>
      <c r="G140" s="39" t="n">
        <f aca="false">MY_PH(G$2,$A140)</f>
        <v>1.87034487749421E-005</v>
      </c>
      <c r="H140" s="39" t="n">
        <f aca="false">MY_PH(H$2,$A140)</f>
        <v>1.87038966682841E-005</v>
      </c>
      <c r="I140" s="39" t="n">
        <f aca="false">MY_PH(I$2,$A140)</f>
        <v>1.87043445848617E-005</v>
      </c>
      <c r="J140" s="39" t="n">
        <f aca="false">MY_PH(J$2,$A140)</f>
        <v>1.87047925246464E-005</v>
      </c>
      <c r="K140" s="39" t="n">
        <f aca="false">MY_PH(K$2,$A140)</f>
        <v>1.870524048761E-005</v>
      </c>
      <c r="L140" s="39" t="n">
        <f aca="false">MY_PH(L$2,$A140)</f>
        <v>1.87056884737242E-005</v>
      </c>
      <c r="M140" s="39" t="n">
        <f aca="false">MY_PH(M$2,$A140)</f>
        <v>1.87061364829609E-005</v>
      </c>
      <c r="N140" s="39" t="n">
        <f aca="false">MY_PH(N$2,$A140)</f>
        <v>1.87065845152918E-005</v>
      </c>
      <c r="O140" s="39" t="n">
        <f aca="false">MY_PH(O$2,$A140)</f>
        <v>1.87070325706887E-005</v>
      </c>
      <c r="P140" s="39" t="n">
        <f aca="false">MY_PH(P$2,$A140)</f>
        <v>1.87115143871004E-005</v>
      </c>
      <c r="Q140" s="39" t="n">
        <f aca="false">MY_PH(Q$2,$A140)</f>
        <v>1.87159984792523E-005</v>
      </c>
      <c r="R140" s="39" t="n">
        <f aca="false">MY_PH(R$2,$A140)</f>
        <v>1.87204848192872E-005</v>
      </c>
      <c r="S140" s="39" t="n">
        <f aca="false">MY_PH(S$2,$A140)</f>
        <v>1.87249733795497E-005</v>
      </c>
      <c r="T140" s="39" t="n">
        <f aca="false">MY_PH(T$2,$A140)</f>
        <v>1.87294641325854E-005</v>
      </c>
      <c r="U140" s="39" t="n">
        <f aca="false">MY_PH(U$2,$A140)</f>
        <v>1.87339570511389E-005</v>
      </c>
      <c r="V140" s="39" t="n">
        <f aca="false">MY_PH(V$2,$A140)</f>
        <v>1.87384521081531E-005</v>
      </c>
      <c r="W140" s="39" t="n">
        <f aca="false">MY_PH(W$2,$A140)</f>
        <v>1.8742949276768E-005</v>
      </c>
      <c r="X140" s="39" t="n">
        <f aca="false">MY_PH(X$2,$A140)</f>
        <v>1.8747448530319E-005</v>
      </c>
      <c r="Y140" s="39" t="n">
        <f aca="false">MY_PH(Y$2,$A140)</f>
        <v>1.87925500086351E-005</v>
      </c>
      <c r="Z140" s="39" t="n">
        <f aca="false">MY_PH(Z$2,$A140)</f>
        <v>1.8837832056681E-005</v>
      </c>
      <c r="AA140" s="39" t="n">
        <f aca="false">MY_PH(AA$2,$A140)</f>
        <v>1.88832710551053E-005</v>
      </c>
      <c r="AB140" s="39" t="n">
        <f aca="false">MY_PH(AB$2,$A140)</f>
        <v>1.8928845092664E-005</v>
      </c>
      <c r="AC140" s="39" t="n">
        <f aca="false">MY_PH(AC$2,$A140)</f>
        <v>1.89745338651639E-005</v>
      </c>
      <c r="AD140" s="39" t="n">
        <f aca="false">MY_PH(AD$2,$A140)</f>
        <v>1.90203185819726E-005</v>
      </c>
      <c r="AE140" s="39" t="n">
        <f aca="false">MY_PH(AE$2,$A140)</f>
        <v>1.9066181879767E-005</v>
      </c>
      <c r="AF140" s="39" t="n">
        <f aca="false">MY_PH(AF$2,$A140)</f>
        <v>1.91121077431367E-005</v>
      </c>
      <c r="AG140" s="39" t="n">
        <f aca="false">MY_PH(AG$2,$A140)</f>
        <v>1.91580814316015E-005</v>
      </c>
      <c r="AH140" s="39" t="n">
        <f aca="false">MY_PH(AH$2,$A140)</f>
        <v>1.96179972223377E-005</v>
      </c>
      <c r="AI140" s="39" t="n">
        <f aca="false">MY_PH(AI$2,$A140)</f>
        <v>2.00738388435998E-005</v>
      </c>
      <c r="AJ140" s="39" t="n">
        <f aca="false">MY_PH(AJ$2,$A140)</f>
        <v>2.05238699631794E-005</v>
      </c>
      <c r="AK140" s="39" t="n">
        <f aca="false">MY_PH(AK$2,$A140)</f>
        <v>2.09668240361995E-005</v>
      </c>
      <c r="AL140" s="39" t="n">
        <f aca="false">MY_PH(AL$2,$A140)</f>
        <v>2.14044279667142E-005</v>
      </c>
      <c r="AM140" s="39" t="n">
        <f aca="false">MY_PH(AM$2,$A140)</f>
        <v>2.18371987418752E-005</v>
      </c>
      <c r="AN140" s="39" t="n">
        <f aca="false">MY_PH(AN$2,$A140)</f>
        <v>2.22657640901493E-005</v>
      </c>
      <c r="AO140" s="39" t="n">
        <f aca="false">MY_PH(AO$2,$A140)</f>
        <v>2.26907570481869E-005</v>
      </c>
      <c r="AP140" s="39" t="n">
        <f aca="false">MY_PH(AP$2,$A140)</f>
        <v>2.31127558760822E-005</v>
      </c>
      <c r="AQ140" s="39" t="n">
        <f aca="false">MY_PH(AQ$2,$A140)</f>
        <v>2.72380666829476E-005</v>
      </c>
      <c r="AR140" s="39" t="n">
        <f aca="false">MY_PH(AR$2,$A140)</f>
        <v>2.80738023393826E-005</v>
      </c>
      <c r="AS140" s="39" t="n">
        <f aca="false">MY_PH(AS$2,$A140)</f>
        <v>2.84513826122081E-005</v>
      </c>
    </row>
    <row r="141" customFormat="false" ht="13.8" hidden="false" customHeight="false" outlineLevel="0" collapsed="false">
      <c r="A141" s="0" t="n">
        <v>3010</v>
      </c>
      <c r="B141" s="39" t="n">
        <f aca="false">MY_PH(B$2,$A141)</f>
        <v>1.89109846985041E-005</v>
      </c>
      <c r="C141" s="39" t="n">
        <f aca="false">MY_PH(C$2,$A141)</f>
        <v>1.89110284957446E-005</v>
      </c>
      <c r="D141" s="39" t="n">
        <f aca="false">MY_PH(D$2,$A141)</f>
        <v>1.89110722931985E-005</v>
      </c>
      <c r="E141" s="39" t="n">
        <f aca="false">MY_PH(E$2,$A141)</f>
        <v>1.89111160908657E-005</v>
      </c>
      <c r="F141" s="39" t="n">
        <f aca="false">MY_PH(F$2,$A141)</f>
        <v>1.89111598887463E-005</v>
      </c>
      <c r="G141" s="39" t="n">
        <f aca="false">MY_PH(G$2,$A141)</f>
        <v>1.89115978792818E-005</v>
      </c>
      <c r="H141" s="39" t="n">
        <f aca="false">MY_PH(H$2,$A141)</f>
        <v>1.89120358911264E-005</v>
      </c>
      <c r="I141" s="39" t="n">
        <f aca="false">MY_PH(I$2,$A141)</f>
        <v>1.89124739242556E-005</v>
      </c>
      <c r="J141" s="39" t="n">
        <f aca="false">MY_PH(J$2,$A141)</f>
        <v>1.89129119786451E-005</v>
      </c>
      <c r="K141" s="39" t="n">
        <f aca="false">MY_PH(K$2,$A141)</f>
        <v>1.89133500542707E-005</v>
      </c>
      <c r="L141" s="39" t="n">
        <f aca="false">MY_PH(L$2,$A141)</f>
        <v>1.8913788151108E-005</v>
      </c>
      <c r="M141" s="39" t="n">
        <f aca="false">MY_PH(M$2,$A141)</f>
        <v>1.89142262691327E-005</v>
      </c>
      <c r="N141" s="39" t="n">
        <f aca="false">MY_PH(N$2,$A141)</f>
        <v>1.89146644083206E-005</v>
      </c>
      <c r="O141" s="39" t="n">
        <f aca="false">MY_PH(O$2,$A141)</f>
        <v>1.89151025686474E-005</v>
      </c>
      <c r="P141" s="39" t="n">
        <f aca="false">MY_PH(P$2,$A141)</f>
        <v>1.89194853292301E-005</v>
      </c>
      <c r="Q141" s="39" t="n">
        <f aca="false">MY_PH(Q$2,$A141)</f>
        <v>1.89238701771438E-005</v>
      </c>
      <c r="R141" s="39" t="n">
        <f aca="false">MY_PH(R$2,$A141)</f>
        <v>1.89282570884042E-005</v>
      </c>
      <c r="S141" s="39" t="n">
        <f aca="false">MY_PH(S$2,$A141)</f>
        <v>1.8932646039191E-005</v>
      </c>
      <c r="T141" s="39" t="n">
        <f aca="false">MY_PH(T$2,$A141)</f>
        <v>1.8937037005846E-005</v>
      </c>
      <c r="U141" s="39" t="n">
        <f aca="false">MY_PH(U$2,$A141)</f>
        <v>1.89414299648732E-005</v>
      </c>
      <c r="V141" s="39" t="n">
        <f aca="false">MY_PH(V$2,$A141)</f>
        <v>1.8945824892937E-005</v>
      </c>
      <c r="W141" s="39" t="n">
        <f aca="false">MY_PH(W$2,$A141)</f>
        <v>1.89502217668615E-005</v>
      </c>
      <c r="X141" s="39" t="n">
        <f aca="false">MY_PH(X$2,$A141)</f>
        <v>1.89546205636299E-005</v>
      </c>
      <c r="Y141" s="39" t="n">
        <f aca="false">MY_PH(Y$2,$A141)</f>
        <v>1.8998709335728E-005</v>
      </c>
      <c r="Z141" s="39" t="n">
        <f aca="false">MY_PH(Z$2,$A141)</f>
        <v>1.90429662180181E-005</v>
      </c>
      <c r="AA141" s="39" t="n">
        <f aca="false">MY_PH(AA$2,$A141)</f>
        <v>1.90873706748788E-005</v>
      </c>
      <c r="AB141" s="39" t="n">
        <f aca="false">MY_PH(AB$2,$A141)</f>
        <v>1.91319035704361E-005</v>
      </c>
      <c r="AC141" s="39" t="n">
        <f aca="false">MY_PH(AC$2,$A141)</f>
        <v>1.91765470921718E-005</v>
      </c>
      <c r="AD141" s="39" t="n">
        <f aca="false">MY_PH(AD$2,$A141)</f>
        <v>1.92212846803385E-005</v>
      </c>
      <c r="AE141" s="39" t="n">
        <f aca="false">MY_PH(AE$2,$A141)</f>
        <v>1.92661009628813E-005</v>
      </c>
      <c r="AF141" s="39" t="n">
        <f aca="false">MY_PH(AF$2,$A141)</f>
        <v>1.93109816955272E-005</v>
      </c>
      <c r="AG141" s="39" t="n">
        <f aca="false">MY_PH(AG$2,$A141)</f>
        <v>1.93559137066609E-005</v>
      </c>
      <c r="AH141" s="39" t="n">
        <f aca="false">MY_PH(AH$2,$A141)</f>
        <v>1.98058317879965E-005</v>
      </c>
      <c r="AI141" s="39" t="n">
        <f aca="false">MY_PH(AI$2,$A141)</f>
        <v>2.02527240052471E-005</v>
      </c>
      <c r="AJ141" s="39" t="n">
        <f aca="false">MY_PH(AJ$2,$A141)</f>
        <v>2.06947627775307E-005</v>
      </c>
      <c r="AK141" s="39" t="n">
        <f aca="false">MY_PH(AK$2,$A141)</f>
        <v>2.11305088029257E-005</v>
      </c>
      <c r="AL141" s="39" t="n">
        <f aca="false">MY_PH(AL$2,$A141)</f>
        <v>2.15614788803825E-005</v>
      </c>
      <c r="AM141" s="39" t="n">
        <f aca="false">MY_PH(AM$2,$A141)</f>
        <v>2.19880940638866E-005</v>
      </c>
      <c r="AN141" s="39" t="n">
        <f aca="false">MY_PH(AN$2,$A141)</f>
        <v>2.24108882999297E-005</v>
      </c>
      <c r="AO141" s="39" t="n">
        <f aca="false">MY_PH(AO$2,$A141)</f>
        <v>2.28304120080171E-005</v>
      </c>
      <c r="AP141" s="39" t="n">
        <f aca="false">MY_PH(AP$2,$A141)</f>
        <v>2.32471758375676E-005</v>
      </c>
      <c r="AQ141" s="39" t="n">
        <f aca="false">MY_PH(AQ$2,$A141)</f>
        <v>2.73256244430534E-005</v>
      </c>
      <c r="AR141" s="39" t="n">
        <f aca="false">MY_PH(AR$2,$A141)</f>
        <v>2.81536642393568E-005</v>
      </c>
      <c r="AS141" s="39" t="n">
        <f aca="false">MY_PH(AS$2,$A141)</f>
        <v>2.85273053385385E-005</v>
      </c>
    </row>
    <row r="142" customFormat="false" ht="13.8" hidden="false" customHeight="false" outlineLevel="0" collapsed="false">
      <c r="A142" s="0" t="n">
        <v>3020</v>
      </c>
      <c r="B142" s="39" t="n">
        <f aca="false">MY_PH(B$2,$A142)</f>
        <v>1.91190721956334E-005</v>
      </c>
      <c r="C142" s="39" t="n">
        <f aca="false">MY_PH(C$2,$A142)</f>
        <v>1.9119115051931E-005</v>
      </c>
      <c r="D142" s="39" t="n">
        <f aca="false">MY_PH(D$2,$A142)</f>
        <v>1.91191579084243E-005</v>
      </c>
      <c r="E142" s="39" t="n">
        <f aca="false">MY_PH(E$2,$A142)</f>
        <v>1.91192007651132E-005</v>
      </c>
      <c r="F142" s="39" t="n">
        <f aca="false">MY_PH(F$2,$A142)</f>
        <v>1.91192436219978E-005</v>
      </c>
      <c r="G142" s="39" t="n">
        <f aca="false">MY_PH(G$2,$A142)</f>
        <v>1.91196722015988E-005</v>
      </c>
      <c r="H142" s="39" t="n">
        <f aca="false">MY_PH(H$2,$A142)</f>
        <v>1.91201008007405E-005</v>
      </c>
      <c r="I142" s="39" t="n">
        <f aca="false">MY_PH(I$2,$A142)</f>
        <v>1.91205294194018E-005</v>
      </c>
      <c r="J142" s="39" t="n">
        <f aca="false">MY_PH(J$2,$A142)</f>
        <v>1.91209580575618E-005</v>
      </c>
      <c r="K142" s="39" t="n">
        <f aca="false">MY_PH(K$2,$A142)</f>
        <v>1.91213867151995E-005</v>
      </c>
      <c r="L142" s="39" t="n">
        <f aca="false">MY_PH(L$2,$A142)</f>
        <v>1.91218153922941E-005</v>
      </c>
      <c r="M142" s="39" t="n">
        <f aca="false">MY_PH(M$2,$A142)</f>
        <v>1.91222440888244E-005</v>
      </c>
      <c r="N142" s="39" t="n">
        <f aca="false">MY_PH(N$2,$A142)</f>
        <v>1.91226728047696E-005</v>
      </c>
      <c r="O142" s="39" t="n">
        <f aca="false">MY_PH(O$2,$A142)</f>
        <v>1.91231015401089E-005</v>
      </c>
      <c r="P142" s="39" t="n">
        <f aca="false">MY_PH(P$2,$A142)</f>
        <v>1.91273899555821E-005</v>
      </c>
      <c r="Q142" s="39" t="n">
        <f aca="false">MY_PH(Q$2,$A142)</f>
        <v>1.91316802875581E-005</v>
      </c>
      <c r="R142" s="39" t="n">
        <f aca="false">MY_PH(R$2,$A142)</f>
        <v>1.91359725153504E-005</v>
      </c>
      <c r="S142" s="39" t="n">
        <f aca="false">MY_PH(S$2,$A142)</f>
        <v>1.91402666184055E-005</v>
      </c>
      <c r="T142" s="39" t="n">
        <f aca="false">MY_PH(T$2,$A142)</f>
        <v>1.91445625763019E-005</v>
      </c>
      <c r="U142" s="39" t="n">
        <f aca="false">MY_PH(U$2,$A142)</f>
        <v>1.91488603687492E-005</v>
      </c>
      <c r="V142" s="39" t="n">
        <f aca="false">MY_PH(V$2,$A142)</f>
        <v>1.91531599755881E-005</v>
      </c>
      <c r="W142" s="39" t="n">
        <f aca="false">MY_PH(W$2,$A142)</f>
        <v>1.91574613767887E-005</v>
      </c>
      <c r="X142" s="39" t="n">
        <f aca="false">MY_PH(X$2,$A142)</f>
        <v>1.91617645524508E-005</v>
      </c>
      <c r="Y142" s="39" t="n">
        <f aca="false">MY_PH(Y$2,$A142)</f>
        <v>1.92048896173356E-005</v>
      </c>
      <c r="Z142" s="39" t="n">
        <f aca="false">MY_PH(Z$2,$A142)</f>
        <v>1.924817117079E-005</v>
      </c>
      <c r="AA142" s="39" t="n">
        <f aca="false">MY_PH(AA$2,$A142)</f>
        <v>1.92915913388264E-005</v>
      </c>
      <c r="AB142" s="39" t="n">
        <f aca="false">MY_PH(AB$2,$A142)</f>
        <v>1.9335133397129E-005</v>
      </c>
      <c r="AC142" s="39" t="n">
        <f aca="false">MY_PH(AC$2,$A142)</f>
        <v>1.93787817135526E-005</v>
      </c>
      <c r="AD142" s="39" t="n">
        <f aca="false">MY_PH(AD$2,$A142)</f>
        <v>1.94225216950498E-005</v>
      </c>
      <c r="AE142" s="39" t="n">
        <f aca="false">MY_PH(AE$2,$A142)</f>
        <v>1.94663397387626E-005</v>
      </c>
      <c r="AF142" s="39" t="n">
        <f aca="false">MY_PH(AF$2,$A142)</f>
        <v>1.95102231869827E-005</v>
      </c>
      <c r="AG142" s="39" t="n">
        <f aca="false">MY_PH(AG$2,$A142)</f>
        <v>1.95541602856581E-005</v>
      </c>
      <c r="AH142" s="39" t="n">
        <f aca="false">MY_PH(AH$2,$A142)</f>
        <v>1.99944726781568E-005</v>
      </c>
      <c r="AI142" s="39" t="n">
        <f aca="false">MY_PH(AI$2,$A142)</f>
        <v>2.04326727541251E-005</v>
      </c>
      <c r="AJ142" s="39" t="n">
        <f aca="false">MY_PH(AJ$2,$A142)</f>
        <v>2.08668826934265E-005</v>
      </c>
      <c r="AK142" s="39" t="n">
        <f aca="false">MY_PH(AK$2,$A142)</f>
        <v>2.1295552863308E-005</v>
      </c>
      <c r="AL142" s="39" t="n">
        <f aca="false">MY_PH(AL$2,$A142)</f>
        <v>2.17199847549762E-005</v>
      </c>
      <c r="AM142" s="39" t="n">
        <f aca="false">MY_PH(AM$2,$A142)</f>
        <v>2.21405144268798E-005</v>
      </c>
      <c r="AN142" s="39" t="n">
        <f aca="false">MY_PH(AN$2,$A142)</f>
        <v>2.25575913715593E-005</v>
      </c>
      <c r="AO142" s="39" t="n">
        <f aca="false">MY_PH(AO$2,$A142)</f>
        <v>2.29716904555767E-005</v>
      </c>
      <c r="AP142" s="39" t="n">
        <f aca="false">MY_PH(AP$2,$A142)</f>
        <v>2.33832594584373E-005</v>
      </c>
      <c r="AQ142" s="39" t="n">
        <f aca="false">MY_PH(AQ$2,$A142)</f>
        <v>2.74160350316072E-005</v>
      </c>
      <c r="AR142" s="39" t="n">
        <f aca="false">MY_PH(AR$2,$A142)</f>
        <v>2.82357189887618E-005</v>
      </c>
      <c r="AS142" s="39" t="n">
        <f aca="false">MY_PH(AS$2,$A142)</f>
        <v>2.86054483886889E-005</v>
      </c>
    </row>
    <row r="143" customFormat="false" ht="13.8" hidden="false" customHeight="false" outlineLevel="0" collapsed="false">
      <c r="A143" s="0" t="n">
        <v>3030</v>
      </c>
      <c r="B143" s="39" t="n">
        <f aca="false">MY_PH(B$2,$A143)</f>
        <v>1.93270644964903E-005</v>
      </c>
      <c r="C143" s="39" t="n">
        <f aca="false">MY_PH(C$2,$A143)</f>
        <v>1.9327106455208E-005</v>
      </c>
      <c r="D143" s="39" t="n">
        <f aca="false">MY_PH(D$2,$A143)</f>
        <v>1.93271484141055E-005</v>
      </c>
      <c r="E143" s="39" t="n">
        <f aca="false">MY_PH(E$2,$A143)</f>
        <v>1.93271903731825E-005</v>
      </c>
      <c r="F143" s="39" t="n">
        <f aca="false">MY_PH(F$2,$A143)</f>
        <v>1.93272323324393E-005</v>
      </c>
      <c r="G143" s="39" t="n">
        <f aca="false">MY_PH(G$2,$A143)</f>
        <v>1.93276519348831E-005</v>
      </c>
      <c r="H143" s="39" t="n">
        <f aca="false">MY_PH(H$2,$A143)</f>
        <v>1.93280715552717E-005</v>
      </c>
      <c r="I143" s="39" t="n">
        <f aca="false">MY_PH(I$2,$A143)</f>
        <v>1.9328491193587E-005</v>
      </c>
      <c r="J143" s="39" t="n">
        <f aca="false">MY_PH(J$2,$A143)</f>
        <v>1.93289108498108E-005</v>
      </c>
      <c r="K143" s="39" t="n">
        <f aca="false">MY_PH(K$2,$A143)</f>
        <v>1.93293305239251E-005</v>
      </c>
      <c r="L143" s="39" t="n">
        <f aca="false">MY_PH(L$2,$A143)</f>
        <v>1.93297502159118E-005</v>
      </c>
      <c r="M143" s="39" t="n">
        <f aca="false">MY_PH(M$2,$A143)</f>
        <v>1.93301699257527E-005</v>
      </c>
      <c r="N143" s="39" t="n">
        <f aca="false">MY_PH(N$2,$A143)</f>
        <v>1.93305896534298E-005</v>
      </c>
      <c r="O143" s="39" t="n">
        <f aca="false">MY_PH(O$2,$A143)</f>
        <v>1.93310093989251E-005</v>
      </c>
      <c r="P143" s="39" t="n">
        <f aca="false">MY_PH(P$2,$A143)</f>
        <v>1.93352078299109E-005</v>
      </c>
      <c r="Q143" s="39" t="n">
        <f aca="false">MY_PH(Q$2,$A143)</f>
        <v>1.93394080229276E-005</v>
      </c>
      <c r="R143" s="39" t="n">
        <f aca="false">MY_PH(R$2,$A143)</f>
        <v>1.93436099600958E-005</v>
      </c>
      <c r="S143" s="39" t="n">
        <f aca="false">MY_PH(S$2,$A143)</f>
        <v>1.93478136236441E-005</v>
      </c>
      <c r="T143" s="39" t="n">
        <f aca="false">MY_PH(T$2,$A143)</f>
        <v>1.93520189959088E-005</v>
      </c>
      <c r="U143" s="39" t="n">
        <f aca="false">MY_PH(U$2,$A143)</f>
        <v>1.93562260593329E-005</v>
      </c>
      <c r="V143" s="39" t="n">
        <f aca="false">MY_PH(V$2,$A143)</f>
        <v>1.93604347964662E-005</v>
      </c>
      <c r="W143" s="39" t="n">
        <f aca="false">MY_PH(W$2,$A143)</f>
        <v>1.93646451899643E-005</v>
      </c>
      <c r="X143" s="39" t="n">
        <f aca="false">MY_PH(X$2,$A143)</f>
        <v>1.93688572225881E-005</v>
      </c>
      <c r="Y143" s="39" t="n">
        <f aca="false">MY_PH(Y$2,$A143)</f>
        <v>1.94110639824634E-005</v>
      </c>
      <c r="Z143" s="39" t="n">
        <f aca="false">MY_PH(Z$2,$A143)</f>
        <v>1.94534164546491E-005</v>
      </c>
      <c r="AA143" s="39" t="n">
        <f aca="false">MY_PH(AA$2,$A143)</f>
        <v>1.94958990598154E-005</v>
      </c>
      <c r="AB143" s="39" t="n">
        <f aca="false">MY_PH(AB$2,$A143)</f>
        <v>1.95384971655696E-005</v>
      </c>
      <c r="AC143" s="39" t="n">
        <f aca="false">MY_PH(AC$2,$A143)</f>
        <v>1.95811970433528E-005</v>
      </c>
      <c r="AD143" s="39" t="n">
        <f aca="false">MY_PH(AD$2,$A143)</f>
        <v>1.96239858286942E-005</v>
      </c>
      <c r="AE143" s="39" t="n">
        <f aca="false">MY_PH(AE$2,$A143)</f>
        <v>1.96668514845928E-005</v>
      </c>
      <c r="AF143" s="39" t="n">
        <f aca="false">MY_PH(AF$2,$A143)</f>
        <v>1.97097827677768E-005</v>
      </c>
      <c r="AG143" s="39" t="n">
        <f aca="false">MY_PH(AG$2,$A143)</f>
        <v>1.97527691975681E-005</v>
      </c>
      <c r="AH143" s="39" t="n">
        <f aca="false">MY_PH(AH$2,$A143)</f>
        <v>2.0183853258207E-005</v>
      </c>
      <c r="AI143" s="39" t="n">
        <f aca="false">MY_PH(AI$2,$A143)</f>
        <v>2.06136158462041E-005</v>
      </c>
      <c r="AJ143" s="39" t="n">
        <f aca="false">MY_PH(AJ$2,$A143)</f>
        <v>2.10401625700888E-005</v>
      </c>
      <c r="AK143" s="39" t="n">
        <f aca="false">MY_PH(AK$2,$A143)</f>
        <v>2.1461890408305E-005</v>
      </c>
      <c r="AL143" s="39" t="n">
        <f aca="false">MY_PH(AL$2,$A143)</f>
        <v>2.18798826230994E-005</v>
      </c>
      <c r="AM143" s="39" t="n">
        <f aca="false">MY_PH(AM$2,$A143)</f>
        <v>2.22944001834286E-005</v>
      </c>
      <c r="AN143" s="39" t="n">
        <f aca="false">MY_PH(AN$2,$A143)</f>
        <v>2.27058167496711E-005</v>
      </c>
      <c r="AO143" s="39" t="n">
        <f aca="false">MY_PH(AO$2,$A143)</f>
        <v>2.31145383365634E-005</v>
      </c>
      <c r="AP143" s="39" t="n">
        <f aca="false">MY_PH(AP$2,$A143)</f>
        <v>2.35209545247872E-005</v>
      </c>
      <c r="AQ143" s="39" t="n">
        <f aca="false">MY_PH(AQ$2,$A143)</f>
        <v>2.75084459396901E-005</v>
      </c>
      <c r="AR143" s="39" t="n">
        <f aca="false">MY_PH(AR$2,$A143)</f>
        <v>2.83189602915701E-005</v>
      </c>
      <c r="AS143" s="39" t="n">
        <f aca="false">MY_PH(AS$2,$A143)</f>
        <v>2.8685775343981E-005</v>
      </c>
    </row>
    <row r="144" customFormat="false" ht="13.8" hidden="false" customHeight="false" outlineLevel="0" collapsed="false">
      <c r="A144" s="0" t="n">
        <v>3040</v>
      </c>
      <c r="B144" s="39" t="n">
        <f aca="false">MY_PH(B$2,$A144)</f>
        <v>1.95349426878298E-005</v>
      </c>
      <c r="C144" s="39" t="n">
        <f aca="false">MY_PH(C$2,$A144)</f>
        <v>1.95349837891656E-005</v>
      </c>
      <c r="D144" s="39" t="n">
        <f aca="false">MY_PH(D$2,$A144)</f>
        <v>1.95350248906667E-005</v>
      </c>
      <c r="E144" s="39" t="n">
        <f aca="false">MY_PH(E$2,$A144)</f>
        <v>1.95350659923331E-005</v>
      </c>
      <c r="F144" s="39" t="n">
        <f aca="false">MY_PH(F$2,$A144)</f>
        <v>1.95351070941647E-005</v>
      </c>
      <c r="G144" s="39" t="n">
        <f aca="false">MY_PH(G$2,$A144)</f>
        <v>1.95355181215659E-005</v>
      </c>
      <c r="H144" s="39" t="n">
        <f aca="false">MY_PH(H$2,$A144)</f>
        <v>1.95359291654745E-005</v>
      </c>
      <c r="I144" s="39" t="n">
        <f aca="false">MY_PH(I$2,$A144)</f>
        <v>1.9536340225875E-005</v>
      </c>
      <c r="J144" s="39" t="n">
        <f aca="false">MY_PH(J$2,$A144)</f>
        <v>1.95367513027516E-005</v>
      </c>
      <c r="K144" s="39" t="n">
        <f aca="false">MY_PH(K$2,$A144)</f>
        <v>1.95371623960887E-005</v>
      </c>
      <c r="L144" s="39" t="n">
        <f aca="false">MY_PH(L$2,$A144)</f>
        <v>1.95375735058706E-005</v>
      </c>
      <c r="M144" s="39" t="n">
        <f aca="false">MY_PH(M$2,$A144)</f>
        <v>1.95379846320816E-005</v>
      </c>
      <c r="N144" s="39" t="n">
        <f aca="false">MY_PH(N$2,$A144)</f>
        <v>1.9538395774706E-005</v>
      </c>
      <c r="O144" s="39" t="n">
        <f aca="false">MY_PH(O$2,$A144)</f>
        <v>1.95388069337284E-005</v>
      </c>
      <c r="P144" s="39" t="n">
        <f aca="false">MY_PH(P$2,$A144)</f>
        <v>1.95429194224E-005</v>
      </c>
      <c r="Q144" s="39" t="n">
        <f aca="false">MY_PH(Q$2,$A144)</f>
        <v>1.95470335337226E-005</v>
      </c>
      <c r="R144" s="39" t="n">
        <f aca="false">MY_PH(R$2,$A144)</f>
        <v>1.95511492522059E-005</v>
      </c>
      <c r="S144" s="39" t="n">
        <f aca="false">MY_PH(S$2,$A144)</f>
        <v>1.95552665624481E-005</v>
      </c>
      <c r="T144" s="39" t="n">
        <f aca="false">MY_PH(T$2,$A144)</f>
        <v>1.95593854491352E-005</v>
      </c>
      <c r="U144" s="39" t="n">
        <f aca="false">MY_PH(U$2,$A144)</f>
        <v>1.95635058970406E-005</v>
      </c>
      <c r="V144" s="39" t="n">
        <f aca="false">MY_PH(V$2,$A144)</f>
        <v>1.95676278910247E-005</v>
      </c>
      <c r="W144" s="39" t="n">
        <f aca="false">MY_PH(W$2,$A144)</f>
        <v>1.95717514160348E-005</v>
      </c>
      <c r="X144" s="39" t="n">
        <f aca="false">MY_PH(X$2,$A144)</f>
        <v>1.95758764571043E-005</v>
      </c>
      <c r="Y144" s="39" t="n">
        <f aca="false">MY_PH(Y$2,$A144)</f>
        <v>1.96172070193078E-005</v>
      </c>
      <c r="Z144" s="39" t="n">
        <f aca="false">MY_PH(Z$2,$A144)</f>
        <v>1.96586733498037E-005</v>
      </c>
      <c r="AA144" s="39" t="n">
        <f aca="false">MY_PH(AA$2,$A144)</f>
        <v>1.97002618459328E-005</v>
      </c>
      <c r="AB144" s="39" t="n">
        <f aca="false">MY_PH(AB$2,$A144)</f>
        <v>1.97419596875809E-005</v>
      </c>
      <c r="AC144" s="39" t="n">
        <f aca="false">MY_PH(AC$2,$A144)</f>
        <v>1.97837548049975E-005</v>
      </c>
      <c r="AD144" s="39" t="n">
        <f aca="false">MY_PH(AD$2,$A144)</f>
        <v>1.98256358491457E-005</v>
      </c>
      <c r="AE144" s="39" t="n">
        <f aca="false">MY_PH(AE$2,$A144)</f>
        <v>1.98675921643841E-005</v>
      </c>
      <c r="AF144" s="39" t="n">
        <f aca="false">MY_PH(AF$2,$A144)</f>
        <v>1.99096137632733E-005</v>
      </c>
      <c r="AG144" s="39" t="n">
        <f aca="false">MY_PH(AG$2,$A144)</f>
        <v>1.99516913032807E-005</v>
      </c>
      <c r="AH144" s="39" t="n">
        <f aca="false">MY_PH(AH$2,$A144)</f>
        <v>2.03739092063401E-005</v>
      </c>
      <c r="AI144" s="39" t="n">
        <f aca="false">MY_PH(AI$2,$A144)</f>
        <v>2.07954856409666E-005</v>
      </c>
      <c r="AJ144" s="39" t="n">
        <f aca="false">MY_PH(AJ$2,$A144)</f>
        <v>2.12145369395587E-005</v>
      </c>
      <c r="AK144" s="39" t="n">
        <f aca="false">MY_PH(AK$2,$A144)</f>
        <v>2.16294568704145E-005</v>
      </c>
      <c r="AL144" s="39" t="n">
        <f aca="false">MY_PH(AL$2,$A144)</f>
        <v>2.20411103719754E-005</v>
      </c>
      <c r="AM144" s="39" t="n">
        <f aca="false">MY_PH(AM$2,$A144)</f>
        <v>2.24496922735676E-005</v>
      </c>
      <c r="AN144" s="39" t="n">
        <f aca="false">MY_PH(AN$2,$A144)</f>
        <v>2.28555083421836E-005</v>
      </c>
      <c r="AO144" s="39" t="n">
        <f aca="false">MY_PH(AO$2,$A144)</f>
        <v>2.32589020574816E-005</v>
      </c>
      <c r="AP144" s="39" t="n">
        <f aca="false">MY_PH(AP$2,$A144)</f>
        <v>2.36602093516338E-005</v>
      </c>
      <c r="AQ144" s="39" t="n">
        <f aca="false">MY_PH(AQ$2,$A144)</f>
        <v>2.76028091034945E-005</v>
      </c>
      <c r="AR144" s="39" t="n">
        <f aca="false">MY_PH(AR$2,$A144)</f>
        <v>2.84048237052444E-005</v>
      </c>
      <c r="AS144" s="39" t="n">
        <f aca="false">MY_PH(AS$2,$A144)</f>
        <v>2.87673312982542E-005</v>
      </c>
    </row>
    <row r="145" customFormat="false" ht="13.8" hidden="false" customHeight="false" outlineLevel="0" collapsed="false">
      <c r="A145" s="0" t="n">
        <v>3050</v>
      </c>
      <c r="B145" s="39" t="n">
        <f aca="false">MY_PH(B$2,$A145)</f>
        <v>1.97426886633579E-005</v>
      </c>
      <c r="C145" s="39" t="n">
        <f aca="false">MY_PH(C$2,$A145)</f>
        <v>1.97427289446317E-005</v>
      </c>
      <c r="D145" s="39" t="n">
        <f aca="false">MY_PH(D$2,$A145)</f>
        <v>1.97427692260577E-005</v>
      </c>
      <c r="E145" s="39" t="n">
        <f aca="false">MY_PH(E$2,$A145)</f>
        <v>1.97428095076361E-005</v>
      </c>
      <c r="F145" s="39" t="n">
        <f aca="false">MY_PH(F$2,$A145)</f>
        <v>1.97428497893668E-005</v>
      </c>
      <c r="G145" s="39" t="n">
        <f aca="false">MY_PH(G$2,$A145)</f>
        <v>1.97432526150471E-005</v>
      </c>
      <c r="H145" s="39" t="n">
        <f aca="false">MY_PH(H$2,$A145)</f>
        <v>1.97436554559424E-005</v>
      </c>
      <c r="I145" s="39" t="n">
        <f aca="false">MY_PH(I$2,$A145)</f>
        <v>1.97440583120391E-005</v>
      </c>
      <c r="J145" s="39" t="n">
        <f aca="false">MY_PH(J$2,$A145)</f>
        <v>1.97444611833234E-005</v>
      </c>
      <c r="K145" s="39" t="n">
        <f aca="false">MY_PH(K$2,$A145)</f>
        <v>1.9744864069782E-005</v>
      </c>
      <c r="L145" s="39" t="n">
        <f aca="false">MY_PH(L$2,$A145)</f>
        <v>1.9745266971401E-005</v>
      </c>
      <c r="M145" s="39" t="n">
        <f aca="false">MY_PH(M$2,$A145)</f>
        <v>1.9745669888167E-005</v>
      </c>
      <c r="N145" s="39" t="n">
        <f aca="false">MY_PH(N$2,$A145)</f>
        <v>1.97460728200664E-005</v>
      </c>
      <c r="O145" s="39" t="n">
        <f aca="false">MY_PH(O$2,$A145)</f>
        <v>1.97464757670855E-005</v>
      </c>
      <c r="P145" s="39" t="n">
        <f aca="false">MY_PH(P$2,$A145)</f>
        <v>1.97505060658838E-005</v>
      </c>
      <c r="Q145" s="39" t="n">
        <f aca="false">MY_PH(Q$2,$A145)</f>
        <v>1.97545378617813E-005</v>
      </c>
      <c r="R145" s="39" t="n">
        <f aca="false">MY_PH(R$2,$A145)</f>
        <v>1.97585711413225E-005</v>
      </c>
      <c r="S145" s="39" t="n">
        <f aca="false">MY_PH(S$2,$A145)</f>
        <v>1.97626058911238E-005</v>
      </c>
      <c r="T145" s="39" t="n">
        <f aca="false">MY_PH(T$2,$A145)</f>
        <v>1.97666420978741E-005</v>
      </c>
      <c r="U145" s="39" t="n">
        <f aca="false">MY_PH(U$2,$A145)</f>
        <v>1.97706797483338E-005</v>
      </c>
      <c r="V145" s="39" t="n">
        <f aca="false">MY_PH(V$2,$A145)</f>
        <v>1.9774718829335E-005</v>
      </c>
      <c r="W145" s="39" t="n">
        <f aca="false">MY_PH(W$2,$A145)</f>
        <v>1.97787593277807E-005</v>
      </c>
      <c r="X145" s="39" t="n">
        <f aca="false">MY_PH(X$2,$A145)</f>
        <v>1.97828012306452E-005</v>
      </c>
      <c r="Y145" s="39" t="n">
        <f aca="false">MY_PH(Y$2,$A145)</f>
        <v>1.98232946866998E-005</v>
      </c>
      <c r="Z145" s="39" t="n">
        <f aca="false">MY_PH(Z$2,$A145)</f>
        <v>1.98639147712444E-005</v>
      </c>
      <c r="AA145" s="39" t="n">
        <f aca="false">MY_PH(AA$2,$A145)</f>
        <v>1.99046495835564E-005</v>
      </c>
      <c r="AB145" s="39" t="n">
        <f aca="false">MY_PH(AB$2,$A145)</f>
        <v>1.99454878720471E-005</v>
      </c>
      <c r="AC145" s="39" t="n">
        <f aca="false">MY_PH(AC$2,$A145)</f>
        <v>1.99864190103299E-005</v>
      </c>
      <c r="AD145" s="39" t="n">
        <f aca="false">MY_PH(AD$2,$A145)</f>
        <v>2.00274329751817E-005</v>
      </c>
      <c r="AE145" s="39" t="n">
        <f aca="false">MY_PH(AE$2,$A145)</f>
        <v>2.00685203262339E-005</v>
      </c>
      <c r="AF145" s="39" t="n">
        <f aca="false">MY_PH(AF$2,$A145)</f>
        <v>2.01096721872175E-005</v>
      </c>
      <c r="AG145" s="39" t="n">
        <f aca="false">MY_PH(AG$2,$A145)</f>
        <v>2.01508802285784E-005</v>
      </c>
      <c r="AH145" s="39" t="n">
        <f aca="false">MY_PH(AH$2,$A145)</f>
        <v>2.05645786807367E-005</v>
      </c>
      <c r="AI145" s="39" t="n">
        <f aca="false">MY_PH(AI$2,$A145)</f>
        <v>2.09782163229538E-005</v>
      </c>
      <c r="AJ145" s="39" t="n">
        <f aca="false">MY_PH(AJ$2,$A145)</f>
        <v>2.13899419952194E-005</v>
      </c>
      <c r="AK145" s="39" t="n">
        <f aca="false">MY_PH(AK$2,$A145)</f>
        <v>2.17981889589686E-005</v>
      </c>
      <c r="AL145" s="39" t="n">
        <f aca="false">MY_PH(AL$2,$A145)</f>
        <v>2.2203606803381E-005</v>
      </c>
      <c r="AM145" s="39" t="n">
        <f aca="false">MY_PH(AM$2,$A145)</f>
        <v>2.26063322851669E-005</v>
      </c>
      <c r="AN145" s="39" t="n">
        <f aca="false">MY_PH(AN$2,$A145)</f>
        <v>2.30066105622584E-005</v>
      </c>
      <c r="AO145" s="39" t="n">
        <f aca="false">MY_PH(AO$2,$A145)</f>
        <v>2.34047285004931E-005</v>
      </c>
      <c r="AP145" s="39" t="n">
        <f aca="false">MY_PH(AP$2,$A145)</f>
        <v>2.3800972773895E-005</v>
      </c>
      <c r="AQ145" s="39" t="n">
        <f aca="false">MY_PH(AQ$2,$A145)</f>
        <v>2.7699078580821E-005</v>
      </c>
      <c r="AR145" s="39" t="n">
        <f aca="false">MY_PH(AR$2,$A145)</f>
        <v>2.84926998020122E-005</v>
      </c>
      <c r="AS145" s="39" t="n">
        <f aca="false">MY_PH(AS$2,$A145)</f>
        <v>2.88514401269053E-005</v>
      </c>
    </row>
    <row r="146" customFormat="false" ht="13.8" hidden="false" customHeight="false" outlineLevel="0" collapsed="false">
      <c r="A146" s="0" t="n">
        <v>3060</v>
      </c>
      <c r="B146" s="39" t="n">
        <f aca="false">MY_PH(B$2,$A146)</f>
        <v>1.99502850879217E-005</v>
      </c>
      <c r="C146" s="39" t="n">
        <f aca="false">MY_PH(C$2,$A146)</f>
        <v>1.99503245838348E-005</v>
      </c>
      <c r="D146" s="39" t="n">
        <f aca="false">MY_PH(D$2,$A146)</f>
        <v>1.99503640798886E-005</v>
      </c>
      <c r="E146" s="39" t="n">
        <f aca="false">MY_PH(E$2,$A146)</f>
        <v>1.99504035760831E-005</v>
      </c>
      <c r="F146" s="39" t="n">
        <f aca="false">MY_PH(F$2,$A146)</f>
        <v>1.99504430724183E-005</v>
      </c>
      <c r="G146" s="39" t="n">
        <f aca="false">MY_PH(G$2,$A146)</f>
        <v>1.99508380435042E-005</v>
      </c>
      <c r="H146" s="39" t="n">
        <f aca="false">MY_PH(H$2,$A146)</f>
        <v>1.99512330286439E-005</v>
      </c>
      <c r="I146" s="39" t="n">
        <f aca="false">MY_PH(I$2,$A146)</f>
        <v>1.99516280278257E-005</v>
      </c>
      <c r="J146" s="39" t="n">
        <f aca="false">MY_PH(J$2,$A146)</f>
        <v>1.99520230410377E-005</v>
      </c>
      <c r="K146" s="39" t="n">
        <f aca="false">MY_PH(K$2,$A146)</f>
        <v>1.9952418068268E-005</v>
      </c>
      <c r="L146" s="39" t="n">
        <f aca="false">MY_PH(L$2,$A146)</f>
        <v>1.99528131095048E-005</v>
      </c>
      <c r="M146" s="39" t="n">
        <f aca="false">MY_PH(M$2,$A146)</f>
        <v>1.99532081647363E-005</v>
      </c>
      <c r="N146" s="39" t="n">
        <f aca="false">MY_PH(N$2,$A146)</f>
        <v>1.99536032339507E-005</v>
      </c>
      <c r="O146" s="39" t="n">
        <f aca="false">MY_PH(O$2,$A146)</f>
        <v>1.9953998317136E-005</v>
      </c>
      <c r="P146" s="39" t="n">
        <f aca="false">MY_PH(P$2,$A146)</f>
        <v>1.99579499147991E-005</v>
      </c>
      <c r="Q146" s="39" t="n">
        <f aca="false">MY_PH(Q$2,$A146)</f>
        <v>1.99619028966055E-005</v>
      </c>
      <c r="R146" s="39" t="n">
        <f aca="false">MY_PH(R$2,$A146)</f>
        <v>1.99658572508327E-005</v>
      </c>
      <c r="S146" s="39" t="n">
        <f aca="false">MY_PH(S$2,$A146)</f>
        <v>1.99698129658183E-005</v>
      </c>
      <c r="T146" s="39" t="n">
        <f aca="false">MY_PH(T$2,$A146)</f>
        <v>1.9973770029959E-005</v>
      </c>
      <c r="U146" s="39" t="n">
        <f aca="false">MY_PH(U$2,$A146)</f>
        <v>1.99777284317107E-005</v>
      </c>
      <c r="V146" s="39" t="n">
        <f aca="false">MY_PH(V$2,$A146)</f>
        <v>1.99816881595882E-005</v>
      </c>
      <c r="W146" s="39" t="n">
        <f aca="false">MY_PH(W$2,$A146)</f>
        <v>1.99856492021653E-005</v>
      </c>
      <c r="X146" s="39" t="n">
        <f aca="false">MY_PH(X$2,$A146)</f>
        <v>1.9989611548074E-005</v>
      </c>
      <c r="Y146" s="39" t="n">
        <f aca="false">MY_PH(Y$2,$A146)</f>
        <v>2.00293042308532E-005</v>
      </c>
      <c r="Z146" s="39" t="n">
        <f aca="false">MY_PH(Z$2,$A146)</f>
        <v>2.00691151682081E-005</v>
      </c>
      <c r="AA146" s="39" t="n">
        <f aca="false">MY_PH(AA$2,$A146)</f>
        <v>2.01090339245889E-005</v>
      </c>
      <c r="AB146" s="39" t="n">
        <f aca="false">MY_PH(AB$2,$A146)</f>
        <v>2.01490506051576E-005</v>
      </c>
      <c r="AC146" s="39" t="n">
        <f aca="false">MY_PH(AC$2,$A146)</f>
        <v>2.01891558380589E-005</v>
      </c>
      <c r="AD146" s="39" t="n">
        <f aca="false">MY_PH(AD$2,$A146)</f>
        <v>2.02293407580967E-005</v>
      </c>
      <c r="AE146" s="39" t="n">
        <f aca="false">MY_PH(AE$2,$A146)</f>
        <v>2.0269596991684E-005</v>
      </c>
      <c r="AF146" s="39" t="n">
        <f aca="false">MY_PH(AF$2,$A146)</f>
        <v>2.03099166429198E-005</v>
      </c>
      <c r="AG146" s="39" t="n">
        <f aca="false">MY_PH(AG$2,$A146)</f>
        <v>2.03502922806445E-005</v>
      </c>
      <c r="AH146" s="39" t="n">
        <f aca="false">MY_PH(AH$2,$A146)</f>
        <v>2.07558024457025E-005</v>
      </c>
      <c r="AI146" s="39" t="n">
        <f aca="false">MY_PH(AI$2,$A146)</f>
        <v>2.11617440929266E-005</v>
      </c>
      <c r="AJ146" s="39" t="n">
        <f aca="false">MY_PH(AJ$2,$A146)</f>
        <v>2.15663155974001E-005</v>
      </c>
      <c r="AK146" s="39" t="n">
        <f aca="false">MY_PH(AK$2,$A146)</f>
        <v>2.19680247040849E-005</v>
      </c>
      <c r="AL146" s="39" t="n">
        <f aca="false">MY_PH(AL$2,$A146)</f>
        <v>2.23673116976892E-005</v>
      </c>
      <c r="AM146" s="39" t="n">
        <f aca="false">MY_PH(AM$2,$A146)</f>
        <v>2.27642625170449E-005</v>
      </c>
      <c r="AN146" s="39" t="n">
        <f aca="false">MY_PH(AN$2,$A146)</f>
        <v>2.31590683731812E-005</v>
      </c>
      <c r="AO146" s="39" t="n">
        <f aca="false">MY_PH(AO$2,$A146)</f>
        <v>2.35519650409642E-005</v>
      </c>
      <c r="AP146" s="39" t="n">
        <f aca="false">MY_PH(AP$2,$A146)</f>
        <v>2.39431941376501E-005</v>
      </c>
      <c r="AQ146" s="39" t="n">
        <f aca="false">MY_PH(AQ$2,$A146)</f>
        <v>2.7797209966105E-005</v>
      </c>
      <c r="AR146" s="39" t="n">
        <f aca="false">MY_PH(AR$2,$A146)</f>
        <v>2.85825346362692E-005</v>
      </c>
      <c r="AS146" s="39" t="n">
        <f aca="false">MY_PH(AS$2,$A146)</f>
        <v>2.89375621266451E-005</v>
      </c>
    </row>
    <row r="147" customFormat="false" ht="13.8" hidden="false" customHeight="false" outlineLevel="0" collapsed="false">
      <c r="A147" s="0" t="n">
        <v>3070</v>
      </c>
      <c r="B147" s="39" t="n">
        <f aca="false">MY_PH(B$2,$A147)</f>
        <v>2.01577153637676E-005</v>
      </c>
      <c r="C147" s="39" t="n">
        <f aca="false">MY_PH(C$2,$A147)</f>
        <v>2.0157754106638E-005</v>
      </c>
      <c r="D147" s="39" t="n">
        <f aca="false">MY_PH(D$2,$A147)</f>
        <v>2.01577928496386E-005</v>
      </c>
      <c r="E147" s="39" t="n">
        <f aca="false">MY_PH(E$2,$A147)</f>
        <v>2.01578315927695E-005</v>
      </c>
      <c r="F147" s="39" t="n">
        <f aca="false">MY_PH(F$2,$A147)</f>
        <v>2.01578703360306E-005</v>
      </c>
      <c r="G147" s="39" t="n">
        <f aca="false">MY_PH(G$2,$A147)</f>
        <v>2.0158257775802E-005</v>
      </c>
      <c r="H147" s="39" t="n">
        <f aca="false">MY_PH(H$2,$A147)</f>
        <v>2.0158645228585E-005</v>
      </c>
      <c r="I147" s="39" t="n">
        <f aca="false">MY_PH(I$2,$A147)</f>
        <v>2.01590326943692E-005</v>
      </c>
      <c r="J147" s="39" t="n">
        <f aca="false">MY_PH(J$2,$A147)</f>
        <v>2.01594201731444E-005</v>
      </c>
      <c r="K147" s="39" t="n">
        <f aca="false">MY_PH(K$2,$A147)</f>
        <v>2.01598076649001E-005</v>
      </c>
      <c r="L147" s="39" t="n">
        <f aca="false">MY_PH(L$2,$A147)</f>
        <v>2.0160195169626E-005</v>
      </c>
      <c r="M147" s="39" t="n">
        <f aca="false">MY_PH(M$2,$A147)</f>
        <v>2.01605826873119E-005</v>
      </c>
      <c r="N147" s="39" t="n">
        <f aca="false">MY_PH(N$2,$A147)</f>
        <v>2.01609702179472E-005</v>
      </c>
      <c r="O147" s="39" t="n">
        <f aca="false">MY_PH(O$2,$A147)</f>
        <v>2.01613577615219E-005</v>
      </c>
      <c r="P147" s="39" t="n">
        <f aca="false">MY_PH(P$2,$A147)</f>
        <v>2.01652339066578E-005</v>
      </c>
      <c r="Q147" s="39" t="n">
        <f aca="false">MY_PH(Q$2,$A147)</f>
        <v>2.01691113343957E-005</v>
      </c>
      <c r="R147" s="39" t="n">
        <f aca="false">MY_PH(R$2,$A147)</f>
        <v>2.01729900344919E-005</v>
      </c>
      <c r="S147" s="39" t="n">
        <f aca="false">MY_PH(S$2,$A147)</f>
        <v>2.0176869996752E-005</v>
      </c>
      <c r="T147" s="39" t="n">
        <f aca="false">MY_PH(T$2,$A147)</f>
        <v>2.01807512110308E-005</v>
      </c>
      <c r="U147" s="39" t="n">
        <f aca="false">MY_PH(U$2,$A147)</f>
        <v>2.0184633667232E-005</v>
      </c>
      <c r="V147" s="39" t="n">
        <f aca="false">MY_PH(V$2,$A147)</f>
        <v>2.01885173553084E-005</v>
      </c>
      <c r="W147" s="39" t="n">
        <f aca="false">MY_PH(W$2,$A147)</f>
        <v>2.01924022652613E-005</v>
      </c>
      <c r="X147" s="39" t="n">
        <f aca="false">MY_PH(X$2,$A147)</f>
        <v>2.01962883871405E-005</v>
      </c>
      <c r="Y147" s="39" t="n">
        <f aca="false">MY_PH(Y$2,$A147)</f>
        <v>2.02352141072141E-005</v>
      </c>
      <c r="Z147" s="39" t="n">
        <f aca="false">MY_PH(Z$2,$A147)</f>
        <v>2.0274250428876E-005</v>
      </c>
      <c r="AA147" s="39" t="n">
        <f aca="false">MY_PH(AA$2,$A147)</f>
        <v>2.03133881781525E-005</v>
      </c>
      <c r="AB147" s="39" t="n">
        <f aca="false">MY_PH(AB$2,$A147)</f>
        <v>2.03526186334912E-005</v>
      </c>
      <c r="AC147" s="39" t="n">
        <f aca="false">MY_PH(AC$2,$A147)</f>
        <v>2.03919335126728E-005</v>
      </c>
      <c r="AD147" s="39" t="n">
        <f aca="false">MY_PH(AD$2,$A147)</f>
        <v>2.04313249607625E-005</v>
      </c>
      <c r="AE147" s="39" t="n">
        <f aca="false">MY_PH(AE$2,$A147)</f>
        <v>2.0470785538989E-005</v>
      </c>
      <c r="AF147" s="39" t="n">
        <f aca="false">MY_PH(AF$2,$A147)</f>
        <v>2.05103082144347E-005</v>
      </c>
      <c r="AG147" s="39" t="n">
        <f aca="false">MY_PH(AG$2,$A147)</f>
        <v>2.05498863504139E-005</v>
      </c>
      <c r="AH147" s="39" t="n">
        <f aca="false">MY_PH(AH$2,$A147)</f>
        <v>2.09475239541419E-005</v>
      </c>
      <c r="AI147" s="39" t="n">
        <f aca="false">MY_PH(AI$2,$A147)</f>
        <v>2.13460073197039E-005</v>
      </c>
      <c r="AJ147" s="39" t="n">
        <f aca="false">MY_PH(AJ$2,$A147)</f>
        <v>2.17435972894054E-005</v>
      </c>
      <c r="AK147" s="39" t="n">
        <f aca="false">MY_PH(AK$2,$A147)</f>
        <v>2.2138903504732E-005</v>
      </c>
      <c r="AL147" s="39" t="n">
        <f aca="false">MY_PH(AL$2,$A147)</f>
        <v>2.25321658790426E-005</v>
      </c>
      <c r="AM147" s="39" t="n">
        <f aca="false">MY_PH(AM$2,$A147)</f>
        <v>2.29234260430727E-005</v>
      </c>
      <c r="AN147" s="39" t="n">
        <f aca="false">MY_PH(AN$2,$A147)</f>
        <v>2.33128273356172E-005</v>
      </c>
      <c r="AO147" s="39" t="n">
        <f aca="false">MY_PH(AO$2,$A147)</f>
        <v>2.37005595686028E-005</v>
      </c>
      <c r="AP147" s="39" t="n">
        <f aca="false">MY_PH(AP$2,$A147)</f>
        <v>2.40868232944414E-005</v>
      </c>
      <c r="AQ147" s="39" t="n">
        <f aca="false">MY_PH(AQ$2,$A147)</f>
        <v>2.78971599428584E-005</v>
      </c>
      <c r="AR147" s="39" t="n">
        <f aca="false">MY_PH(AR$2,$A147)</f>
        <v>2.86742784001813E-005</v>
      </c>
      <c r="AS147" s="39" t="n">
        <f aca="false">MY_PH(AS$2,$A147)</f>
        <v>2.90256411216451E-005</v>
      </c>
    </row>
    <row r="148" customFormat="false" ht="13.8" hidden="false" customHeight="false" outlineLevel="0" collapsed="false">
      <c r="A148" s="0" t="n">
        <v>3080</v>
      </c>
      <c r="B148" s="39" t="n">
        <f aca="false">MY_PH(B$2,$A148)</f>
        <v>2.03649635987095E-005</v>
      </c>
      <c r="C148" s="39" t="n">
        <f aca="false">MY_PH(C$2,$A148)</f>
        <v>2.03650016186837E-005</v>
      </c>
      <c r="D148" s="39" t="n">
        <f aca="false">MY_PH(D$2,$A148)</f>
        <v>2.03650396387787E-005</v>
      </c>
      <c r="E148" s="39" t="n">
        <f aca="false">MY_PH(E$2,$A148)</f>
        <v>2.03650776589946E-005</v>
      </c>
      <c r="F148" s="39" t="n">
        <f aca="false">MY_PH(F$2,$A148)</f>
        <v>2.03651156793314E-005</v>
      </c>
      <c r="G148" s="39" t="n">
        <f aca="false">MY_PH(G$2,$A148)</f>
        <v>2.03654958893446E-005</v>
      </c>
      <c r="H148" s="39" t="n">
        <f aca="false">MY_PH(H$2,$A148)</f>
        <v>2.03658761114341E-005</v>
      </c>
      <c r="I148" s="39" t="n">
        <f aca="false">MY_PH(I$2,$A148)</f>
        <v>2.03662563455907E-005</v>
      </c>
      <c r="J148" s="39" t="n">
        <f aca="false">MY_PH(J$2,$A148)</f>
        <v>2.03666365918055E-005</v>
      </c>
      <c r="K148" s="39" t="n">
        <f aca="false">MY_PH(K$2,$A148)</f>
        <v>2.03670168500694E-005</v>
      </c>
      <c r="L148" s="39" t="n">
        <f aca="false">MY_PH(L$2,$A148)</f>
        <v>2.03673971203732E-005</v>
      </c>
      <c r="M148" s="39" t="n">
        <f aca="false">MY_PH(M$2,$A148)</f>
        <v>2.03677774027081E-005</v>
      </c>
      <c r="N148" s="39" t="n">
        <f aca="false">MY_PH(N$2,$A148)</f>
        <v>2.03681576970648E-005</v>
      </c>
      <c r="O148" s="39" t="n">
        <f aca="false">MY_PH(O$2,$A148)</f>
        <v>2.03685380034344E-005</v>
      </c>
      <c r="P148" s="39" t="n">
        <f aca="false">MY_PH(P$2,$A148)</f>
        <v>2.03723417258489E-005</v>
      </c>
      <c r="Q148" s="39" t="n">
        <f aca="false">MY_PH(Q$2,$A148)</f>
        <v>2.03761466396249E-005</v>
      </c>
      <c r="R148" s="39" t="n">
        <f aca="false">MY_PH(R$2,$A148)</f>
        <v>2.03799527357813E-005</v>
      </c>
      <c r="S148" s="39" t="n">
        <f aca="false">MY_PH(S$2,$A148)</f>
        <v>2.03837600053782E-005</v>
      </c>
      <c r="T148" s="39" t="n">
        <f aca="false">MY_PH(T$2,$A148)</f>
        <v>2.03875684395165E-005</v>
      </c>
      <c r="U148" s="39" t="n">
        <f aca="false">MY_PH(U$2,$A148)</f>
        <v>2.0391378029338E-005</v>
      </c>
      <c r="V148" s="39" t="n">
        <f aca="false">MY_PH(V$2,$A148)</f>
        <v>2.03951887660251E-005</v>
      </c>
      <c r="W148" s="39" t="n">
        <f aca="false">MY_PH(W$2,$A148)</f>
        <v>2.03990006408007E-005</v>
      </c>
      <c r="X148" s="39" t="n">
        <f aca="false">MY_PH(X$2,$A148)</f>
        <v>2.04028136449285E-005</v>
      </c>
      <c r="Y148" s="39" t="n">
        <f aca="false">MY_PH(Y$2,$A148)</f>
        <v>2.04410039072098E-005</v>
      </c>
      <c r="Z148" s="39" t="n">
        <f aca="false">MY_PH(Z$2,$A148)</f>
        <v>2.04792977902921E-005</v>
      </c>
      <c r="AA148" s="39" t="n">
        <f aca="false">MY_PH(AA$2,$A148)</f>
        <v>2.05176872070281E-005</v>
      </c>
      <c r="AB148" s="39" t="n">
        <f aca="false">MY_PH(AB$2,$A148)</f>
        <v>2.05561644506045E-005</v>
      </c>
      <c r="AC148" s="39" t="n">
        <f aca="false">MY_PH(AC$2,$A148)</f>
        <v>2.05947221849149E-005</v>
      </c>
      <c r="AD148" s="39" t="n">
        <f aca="false">MY_PH(AD$2,$A148)</f>
        <v>2.06333534356936E-005</v>
      </c>
      <c r="AE148" s="39" t="n">
        <f aca="false">MY_PH(AE$2,$A148)</f>
        <v>2.06720515823203E-005</v>
      </c>
      <c r="AF148" s="39" t="n">
        <f aca="false">MY_PH(AF$2,$A148)</f>
        <v>2.07108103502009E-005</v>
      </c>
      <c r="AG148" s="39" t="n">
        <f aca="false">MY_PH(AG$2,$A148)</f>
        <v>2.07496238036273E-005</v>
      </c>
      <c r="AH148" s="39" t="n">
        <f aca="false">MY_PH(AH$2,$A148)</f>
        <v>2.11396893877721E-005</v>
      </c>
      <c r="AI148" s="39" t="n">
        <f aca="false">MY_PH(AI$2,$A148)</f>
        <v>2.15309466502532E-005</v>
      </c>
      <c r="AJ148" s="39" t="n">
        <f aca="false">MY_PH(AJ$2,$A148)</f>
        <v>2.19217283188597E-005</v>
      </c>
      <c r="AK148" s="39" t="n">
        <f aca="false">MY_PH(AK$2,$A148)</f>
        <v>2.23107661774335E-005</v>
      </c>
      <c r="AL148" s="39" t="n">
        <f aca="false">MY_PH(AL$2,$A148)</f>
        <v>2.26981112793425E-005</v>
      </c>
      <c r="AM148" s="39" t="n">
        <f aca="false">MY_PH(AM$2,$A148)</f>
        <v>2.30837667758038E-005</v>
      </c>
      <c r="AN148" s="39" t="n">
        <f aca="false">MY_PH(AN$2,$A148)</f>
        <v>2.34678336565648E-005</v>
      </c>
      <c r="AO148" s="39" t="n">
        <f aca="false">MY_PH(AO$2,$A148)</f>
        <v>2.3850460512494E-005</v>
      </c>
      <c r="AP148" s="39" t="n">
        <f aca="false">MY_PH(AP$2,$A148)</f>
        <v>2.42318106002893E-005</v>
      </c>
      <c r="AQ148" s="39" t="n">
        <f aca="false">MY_PH(AQ$2,$A148)</f>
        <v>2.79988859494245E-005</v>
      </c>
      <c r="AR148" s="39" t="n">
        <f aca="false">MY_PH(AR$2,$A148)</f>
        <v>2.87678842928197E-005</v>
      </c>
      <c r="AS148" s="39" t="n">
        <f aca="false">MY_PH(AS$2,$A148)</f>
        <v>2.91156258193205E-005</v>
      </c>
    </row>
    <row r="149" customFormat="false" ht="13.8" hidden="false" customHeight="false" outlineLevel="0" collapsed="false">
      <c r="A149" s="0" t="n">
        <v>3090</v>
      </c>
      <c r="B149" s="39" t="n">
        <f aca="false">MY_PH(B$2,$A149)</f>
        <v>2.05720145760622E-005</v>
      </c>
      <c r="C149" s="39" t="n">
        <f aca="false">MY_PH(C$2,$A149)</f>
        <v>2.0572051901307E-005</v>
      </c>
      <c r="D149" s="39" t="n">
        <f aca="false">MY_PH(D$2,$A149)</f>
        <v>2.05720892266642E-005</v>
      </c>
      <c r="E149" s="39" t="n">
        <f aca="false">MY_PH(E$2,$A149)</f>
        <v>2.05721265521339E-005</v>
      </c>
      <c r="F149" s="39" t="n">
        <f aca="false">MY_PH(F$2,$A149)</f>
        <v>2.0572163877716E-005</v>
      </c>
      <c r="G149" s="39" t="n">
        <f aca="false">MY_PH(G$2,$A149)</f>
        <v>2.05725371397209E-005</v>
      </c>
      <c r="H149" s="39" t="n">
        <f aca="false">MY_PH(H$2,$A149)</f>
        <v>2.05729104129626E-005</v>
      </c>
      <c r="I149" s="39" t="n">
        <f aca="false">MY_PH(I$2,$A149)</f>
        <v>2.05732836974332E-005</v>
      </c>
      <c r="J149" s="39" t="n">
        <f aca="false">MY_PH(J$2,$A149)</f>
        <v>2.05736569931248E-005</v>
      </c>
      <c r="K149" s="39" t="n">
        <f aca="false">MY_PH(K$2,$A149)</f>
        <v>2.05740303000293E-005</v>
      </c>
      <c r="L149" s="39" t="n">
        <f aca="false">MY_PH(L$2,$A149)</f>
        <v>2.05744036181388E-005</v>
      </c>
      <c r="M149" s="39" t="n">
        <f aca="false">MY_PH(M$2,$A149)</f>
        <v>2.05747769474453E-005</v>
      </c>
      <c r="N149" s="39" t="n">
        <f aca="false">MY_PH(N$2,$A149)</f>
        <v>2.05751502879409E-005</v>
      </c>
      <c r="O149" s="39" t="n">
        <f aca="false">MY_PH(O$2,$A149)</f>
        <v>2.05755236396176E-005</v>
      </c>
      <c r="P149" s="39" t="n">
        <f aca="false">MY_PH(P$2,$A149)</f>
        <v>2.05792577695971E-005</v>
      </c>
      <c r="Q149" s="39" t="n">
        <f aca="false">MY_PH(Q$2,$A149)</f>
        <v>2.05829930089591E-005</v>
      </c>
      <c r="R149" s="39" t="n">
        <f aca="false">MY_PH(R$2,$A149)</f>
        <v>2.05867293498027E-005</v>
      </c>
      <c r="S149" s="39" t="n">
        <f aca="false">MY_PH(S$2,$A149)</f>
        <v>2.05904667842611E-005</v>
      </c>
      <c r="T149" s="39" t="n">
        <f aca="false">MY_PH(T$2,$A149)</f>
        <v>2.05942053045022E-005</v>
      </c>
      <c r="U149" s="39" t="n">
        <f aca="false">MY_PH(U$2,$A149)</f>
        <v>2.05979449027277E-005</v>
      </c>
      <c r="V149" s="39" t="n">
        <f aca="false">MY_PH(V$2,$A149)</f>
        <v>2.06016855711734E-005</v>
      </c>
      <c r="W149" s="39" t="n">
        <f aca="false">MY_PH(W$2,$A149)</f>
        <v>2.06054273021093E-005</v>
      </c>
      <c r="X149" s="39" t="n">
        <f aca="false">MY_PH(X$2,$A149)</f>
        <v>2.0609170087839E-005</v>
      </c>
      <c r="Y149" s="39" t="n">
        <f aca="false">MY_PH(Y$2,$A149)</f>
        <v>2.06466542896928E-005</v>
      </c>
      <c r="Z149" s="39" t="n">
        <f aca="false">MY_PH(Z$2,$A149)</f>
        <v>2.06842357534651E-005</v>
      </c>
      <c r="AA149" s="39" t="n">
        <f aca="false">MY_PH(AA$2,$A149)</f>
        <v>2.07219073290738E-005</v>
      </c>
      <c r="AB149" s="39" t="n">
        <f aca="false">MY_PH(AB$2,$A149)</f>
        <v>2.07596621877265E-005</v>
      </c>
      <c r="AC149" s="39" t="n">
        <f aca="false">MY_PH(AC$2,$A149)</f>
        <v>2.0797493814862E-005</v>
      </c>
      <c r="AD149" s="39" t="n">
        <f aca="false">MY_PH(AD$2,$A149)</f>
        <v>2.08353960036446E-005</v>
      </c>
      <c r="AE149" s="39" t="n">
        <f aca="false">MY_PH(AE$2,$A149)</f>
        <v>2.0873362848939E-005</v>
      </c>
      <c r="AF149" s="39" t="n">
        <f aca="false">MY_PH(AF$2,$A149)</f>
        <v>2.09113887416888E-005</v>
      </c>
      <c r="AG149" s="39" t="n">
        <f aca="false">MY_PH(AG$2,$A149)</f>
        <v>2.0949468363622E-005</v>
      </c>
      <c r="AH149" s="39" t="n">
        <f aca="false">MY_PH(AH$2,$A149)</f>
        <v>2.13322476589948E-005</v>
      </c>
      <c r="AI149" s="39" t="n">
        <f aca="false">MY_PH(AI$2,$A149)</f>
        <v>2.17165050797872E-005</v>
      </c>
      <c r="AJ149" s="39" t="n">
        <f aca="false">MY_PH(AJ$2,$A149)</f>
        <v>2.21006516605199E-005</v>
      </c>
      <c r="AK149" s="39" t="n">
        <f aca="false">MY_PH(AK$2,$A149)</f>
        <v>2.24835550030182E-005</v>
      </c>
      <c r="AL149" s="39" t="n">
        <f aca="false">MY_PH(AL$2,$A149)</f>
        <v>2.28650909992888E-005</v>
      </c>
      <c r="AM149" s="39" t="n">
        <f aca="false">MY_PH(AM$2,$A149)</f>
        <v>2.32452295284082E-005</v>
      </c>
      <c r="AN149" s="39" t="n">
        <f aca="false">MY_PH(AN$2,$A149)</f>
        <v>2.36240342392628E-005</v>
      </c>
      <c r="AO149" s="39" t="n">
        <f aca="false">MY_PH(AO$2,$A149)</f>
        <v>2.40016168699238E-005</v>
      </c>
      <c r="AP149" s="39" t="n">
        <f aca="false">MY_PH(AP$2,$A149)</f>
        <v>2.43781069202688E-005</v>
      </c>
      <c r="AQ149" s="39" t="n">
        <f aca="false">MY_PH(AQ$2,$A149)</f>
        <v>2.81023459368868E-005</v>
      </c>
      <c r="AR149" s="39" t="n">
        <f aca="false">MY_PH(AR$2,$A149)</f>
        <v>2.88633076452827E-005</v>
      </c>
      <c r="AS149" s="39" t="n">
        <f aca="false">MY_PH(AS$2,$A149)</f>
        <v>2.92074684779328E-005</v>
      </c>
    </row>
    <row r="150" customFormat="false" ht="13.8" hidden="false" customHeight="false" outlineLevel="0" collapsed="false">
      <c r="A150" s="0" t="n">
        <v>3100</v>
      </c>
      <c r="B150" s="39" t="n">
        <f aca="false">MY_PH(B$2,$A150)</f>
        <v>2.07788537262105E-005</v>
      </c>
      <c r="C150" s="39" t="n">
        <f aca="false">MY_PH(C$2,$A150)</f>
        <v>2.07788903830859E-005</v>
      </c>
      <c r="D150" s="39" t="n">
        <f aca="false">MY_PH(D$2,$A150)</f>
        <v>2.07789270400663E-005</v>
      </c>
      <c r="E150" s="39" t="n">
        <f aca="false">MY_PH(E$2,$A150)</f>
        <v>2.07789636971516E-005</v>
      </c>
      <c r="F150" s="39" t="n">
        <f aca="false">MY_PH(F$2,$A150)</f>
        <v>2.07790003543418E-005</v>
      </c>
      <c r="G150" s="39" t="n">
        <f aca="false">MY_PH(G$2,$A150)</f>
        <v>2.07793669320123E-005</v>
      </c>
      <c r="H150" s="39" t="n">
        <f aca="false">MY_PH(H$2,$A150)</f>
        <v>2.07797335201661E-005</v>
      </c>
      <c r="I150" s="39" t="n">
        <f aca="false">MY_PH(I$2,$A150)</f>
        <v>2.07801001187962E-005</v>
      </c>
      <c r="J150" s="39" t="n">
        <f aca="false">MY_PH(J$2,$A150)</f>
        <v>2.07804667278955E-005</v>
      </c>
      <c r="K150" s="39" t="n">
        <f aca="false">MY_PH(K$2,$A150)</f>
        <v>2.07808333474571E-005</v>
      </c>
      <c r="L150" s="39" t="n">
        <f aca="false">MY_PH(L$2,$A150)</f>
        <v>2.07811999774738E-005</v>
      </c>
      <c r="M150" s="39" t="n">
        <f aca="false">MY_PH(M$2,$A150)</f>
        <v>2.07815666179386E-005</v>
      </c>
      <c r="N150" s="39" t="n">
        <f aca="false">MY_PH(N$2,$A150)</f>
        <v>2.07819332688446E-005</v>
      </c>
      <c r="O150" s="39" t="n">
        <f aca="false">MY_PH(O$2,$A150)</f>
        <v>2.07822999301846E-005</v>
      </c>
      <c r="P150" s="39" t="n">
        <f aca="false">MY_PH(P$2,$A150)</f>
        <v>2.07859671159174E-005</v>
      </c>
      <c r="Q150" s="39" t="n">
        <f aca="false">MY_PH(Q$2,$A150)</f>
        <v>2.07896353373556E-005</v>
      </c>
      <c r="R150" s="39" t="n">
        <f aca="false">MY_PH(R$2,$A150)</f>
        <v>2.07933045875238E-005</v>
      </c>
      <c r="S150" s="39" t="n">
        <f aca="false">MY_PH(S$2,$A150)</f>
        <v>2.07969748594757E-005</v>
      </c>
      <c r="T150" s="39" t="n">
        <f aca="false">MY_PH(T$2,$A150)</f>
        <v>2.08006461462936E-005</v>
      </c>
      <c r="U150" s="39" t="n">
        <f aca="false">MY_PH(U$2,$A150)</f>
        <v>2.08043184410887E-005</v>
      </c>
      <c r="V150" s="39" t="n">
        <f aca="false">MY_PH(V$2,$A150)</f>
        <v>2.08079917370008E-005</v>
      </c>
      <c r="W150" s="39" t="n">
        <f aca="false">MY_PH(W$2,$A150)</f>
        <v>2.08116660271985E-005</v>
      </c>
      <c r="X150" s="39" t="n">
        <f aca="false">MY_PH(X$2,$A150)</f>
        <v>2.08153413048787E-005</v>
      </c>
      <c r="Y150" s="39" t="n">
        <f aca="false">MY_PH(Y$2,$A150)</f>
        <v>2.0852146916873E-005</v>
      </c>
      <c r="Z150" s="39" t="n">
        <f aca="false">MY_PH(Z$2,$A150)</f>
        <v>2.08890440035808E-005</v>
      </c>
      <c r="AA150" s="39" t="n">
        <f aca="false">MY_PH(AA$2,$A150)</f>
        <v>2.09260262237987E-005</v>
      </c>
      <c r="AB150" s="39" t="n">
        <f aca="false">MY_PH(AB$2,$A150)</f>
        <v>2.09630875090703E-005</v>
      </c>
      <c r="AC150" s="39" t="n">
        <f aca="false">MY_PH(AC$2,$A150)</f>
        <v>2.10002220585274E-005</v>
      </c>
      <c r="AD150" s="39" t="n">
        <f aca="false">MY_PH(AD$2,$A150)</f>
        <v>2.10374243341283E-005</v>
      </c>
      <c r="AE150" s="39" t="n">
        <f aca="false">MY_PH(AE$2,$A150)</f>
        <v>2.10746890562359E-005</v>
      </c>
      <c r="AF150" s="39" t="n">
        <f aca="false">MY_PH(AF$2,$A150)</f>
        <v>2.11120111994758E-005</v>
      </c>
      <c r="AG150" s="39" t="n">
        <f aca="false">MY_PH(AG$2,$A150)</f>
        <v>2.11493859888107E-005</v>
      </c>
      <c r="AH150" s="39" t="n">
        <f aca="false">MY_PH(AH$2,$A150)</f>
        <v>2.15251503797064E-005</v>
      </c>
      <c r="AI150" s="39" t="n">
        <f aca="false">MY_PH(AI$2,$A150)</f>
        <v>2.19026279860557E-005</v>
      </c>
      <c r="AJ150" s="39" t="n">
        <f aca="false">MY_PH(AJ$2,$A150)</f>
        <v>2.22803120377256E-005</v>
      </c>
      <c r="AK150" s="39" t="n">
        <f aca="false">MY_PH(AK$2,$A150)</f>
        <v>2.2657213769522E-005</v>
      </c>
      <c r="AL150" s="39" t="n">
        <f aca="false">MY_PH(AL$2,$A150)</f>
        <v>2.30330493651568E-005</v>
      </c>
      <c r="AM150" s="39" t="n">
        <f aca="false">MY_PH(AM$2,$A150)</f>
        <v>2.34077600739131E-005</v>
      </c>
      <c r="AN150" s="39" t="n">
        <f aca="false">MY_PH(AN$2,$A150)</f>
        <v>2.37813767332933E-005</v>
      </c>
      <c r="AO150" s="39" t="n">
        <f aca="false">MY_PH(AO$2,$A150)</f>
        <v>2.41539782385899E-005</v>
      </c>
      <c r="AP150" s="39" t="n">
        <f aca="false">MY_PH(AP$2,$A150)</f>
        <v>2.45256636388804E-005</v>
      </c>
      <c r="AQ150" s="39" t="n">
        <f aca="false">MY_PH(AQ$2,$A150)</f>
        <v>2.82074982008504E-005</v>
      </c>
      <c r="AR150" s="39" t="n">
        <f aca="false">MY_PH(AR$2,$A150)</f>
        <v>2.89605052587628E-005</v>
      </c>
      <c r="AS150" s="39" t="n">
        <f aca="false">MY_PH(AS$2,$A150)</f>
        <v>2.93011238739619E-005</v>
      </c>
    </row>
    <row r="151" customFormat="false" ht="13.8" hidden="false" customHeight="false" outlineLevel="0" collapsed="false">
      <c r="A151" s="0" t="n">
        <v>3110</v>
      </c>
      <c r="B151" s="39" t="n">
        <f aca="false">MY_PH(B$2,$A151)</f>
        <v>2.09854670996944E-005</v>
      </c>
      <c r="C151" s="39" t="n">
        <f aca="false">MY_PH(C$2,$A151)</f>
        <v>2.098550311291E-005</v>
      </c>
      <c r="D151" s="39" t="n">
        <f aca="false">MY_PH(D$2,$A151)</f>
        <v>2.09855391262237E-005</v>
      </c>
      <c r="E151" s="39" t="n">
        <f aca="false">MY_PH(E$2,$A151)</f>
        <v>2.09855751396355E-005</v>
      </c>
      <c r="F151" s="39" t="n">
        <f aca="false">MY_PH(F$2,$A151)</f>
        <v>2.09856111531455E-005</v>
      </c>
      <c r="G151" s="39" t="n">
        <f aca="false">MY_PH(G$2,$A151)</f>
        <v>2.09859712936413E-005</v>
      </c>
      <c r="H151" s="39" t="n">
        <f aca="false">MY_PH(H$2,$A151)</f>
        <v>2.09863314439434E-005</v>
      </c>
      <c r="I151" s="39" t="n">
        <f aca="false">MY_PH(I$2,$A151)</f>
        <v>2.09866916040457E-005</v>
      </c>
      <c r="J151" s="39" t="n">
        <f aca="false">MY_PH(J$2,$A151)</f>
        <v>2.09870517739418E-005</v>
      </c>
      <c r="K151" s="39" t="n">
        <f aca="false">MY_PH(K$2,$A151)</f>
        <v>2.09874119536256E-005</v>
      </c>
      <c r="L151" s="39" t="n">
        <f aca="false">MY_PH(L$2,$A151)</f>
        <v>2.09877721430908E-005</v>
      </c>
      <c r="M151" s="39" t="n">
        <f aca="false">MY_PH(M$2,$A151)</f>
        <v>2.09881323423313E-005</v>
      </c>
      <c r="N151" s="39" t="n">
        <f aca="false">MY_PH(N$2,$A151)</f>
        <v>2.09884925513406E-005</v>
      </c>
      <c r="O151" s="39" t="n">
        <f aca="false">MY_PH(O$2,$A151)</f>
        <v>2.09888527701128E-005</v>
      </c>
      <c r="P151" s="39" t="n">
        <f aca="false">MY_PH(P$2,$A151)</f>
        <v>2.09924554934193E-005</v>
      </c>
      <c r="Q151" s="39" t="n">
        <f aca="false">MY_PH(Q$2,$A151)</f>
        <v>2.09960591861768E-005</v>
      </c>
      <c r="R151" s="39" t="n">
        <f aca="false">MY_PH(R$2,$A151)</f>
        <v>2.09996638422052E-005</v>
      </c>
      <c r="S151" s="39" t="n">
        <f aca="false">MY_PH(S$2,$A151)</f>
        <v>2.10032694553483E-005</v>
      </c>
      <c r="T151" s="39" t="n">
        <f aca="false">MY_PH(T$2,$A151)</f>
        <v>2.10068760194749E-005</v>
      </c>
      <c r="U151" s="39" t="n">
        <f aca="false">MY_PH(U$2,$A151)</f>
        <v>2.10104835284776E-005</v>
      </c>
      <c r="V151" s="39" t="n">
        <f aca="false">MY_PH(V$2,$A151)</f>
        <v>2.10140919762738E-005</v>
      </c>
      <c r="W151" s="39" t="n">
        <f aca="false">MY_PH(W$2,$A151)</f>
        <v>2.10177013568047E-005</v>
      </c>
      <c r="X151" s="39" t="n">
        <f aca="false">MY_PH(X$2,$A151)</f>
        <v>2.1021311664036E-005</v>
      </c>
      <c r="Y151" s="39" t="n">
        <f aca="false">MY_PH(Y$2,$A151)</f>
        <v>2.1057464394524E-005</v>
      </c>
      <c r="Z151" s="39" t="n">
        <f aca="false">MY_PH(Z$2,$A151)</f>
        <v>2.10937033352241E-005</v>
      </c>
      <c r="AA151" s="39" t="n">
        <f aca="false">MY_PH(AA$2,$A151)</f>
        <v>2.1130022844193E-005</v>
      </c>
      <c r="AB151" s="39" t="n">
        <f aca="false">MY_PH(AB$2,$A151)</f>
        <v>2.11664175121578E-005</v>
      </c>
      <c r="AC151" s="39" t="n">
        <f aca="false">MY_PH(AC$2,$A151)</f>
        <v>2.1202882158755E-005</v>
      </c>
      <c r="AD151" s="39" t="n">
        <f aca="false">MY_PH(AD$2,$A151)</f>
        <v>2.12394118290533E-005</v>
      </c>
      <c r="AE151" s="39" t="n">
        <f aca="false">MY_PH(AE$2,$A151)</f>
        <v>2.12760017903126E-005</v>
      </c>
      <c r="AF151" s="39" t="n">
        <f aca="false">MY_PH(AF$2,$A151)</f>
        <v>2.13126475289331E-005</v>
      </c>
      <c r="AG151" s="39" t="n">
        <f aca="false">MY_PH(AG$2,$A151)</f>
        <v>2.13493447475449E-005</v>
      </c>
      <c r="AH151" s="39" t="n">
        <f aca="false">MY_PH(AH$2,$A151)</f>
        <v>2.17183518028753E-005</v>
      </c>
      <c r="AI151" s="39" t="n">
        <f aca="false">MY_PH(AI$2,$A151)</f>
        <v>2.20892631331714E-005</v>
      </c>
      <c r="AJ151" s="39" t="n">
        <f aca="false">MY_PH(AJ$2,$A151)</f>
        <v>2.24606559404725E-005</v>
      </c>
      <c r="AK151" s="39" t="n">
        <f aca="false">MY_PH(AK$2,$A151)</f>
        <v>2.28316878099277E-005</v>
      </c>
      <c r="AL151" s="39" t="n">
        <f aca="false">MY_PH(AL$2,$A151)</f>
        <v>2.32019319803735E-005</v>
      </c>
      <c r="AM151" s="39" t="n">
        <f aca="false">MY_PH(AM$2,$A151)</f>
        <v>2.35713052009553E-005</v>
      </c>
      <c r="AN151" s="39" t="n">
        <f aca="false">MY_PH(AN$2,$A151)</f>
        <v>2.39398095841415E-005</v>
      </c>
      <c r="AO151" s="39" t="n">
        <f aca="false">MY_PH(AO$2,$A151)</f>
        <v>2.43074948516088E-005</v>
      </c>
      <c r="AP151" s="39" t="n">
        <f aca="false">MY_PH(AP$2,$A151)</f>
        <v>2.467443267601E-005</v>
      </c>
      <c r="AQ151" s="39" t="n">
        <f aca="false">MY_PH(AQ$2,$A151)</f>
        <v>2.83143012715391E-005</v>
      </c>
      <c r="AR151" s="39" t="n">
        <f aca="false">MY_PH(AR$2,$A151)</f>
        <v>2.90594349169951E-005</v>
      </c>
      <c r="AS151" s="39" t="n">
        <f aca="false">MY_PH(AS$2,$A151)</f>
        <v>2.93965485194856E-005</v>
      </c>
    </row>
    <row r="152" customFormat="false" ht="13.8" hidden="false" customHeight="false" outlineLevel="0" collapsed="false">
      <c r="A152" s="0" t="n">
        <v>3120</v>
      </c>
      <c r="B152" s="39" t="n">
        <f aca="false">MY_PH(B$2,$A152)</f>
        <v>2.11918413417035E-005</v>
      </c>
      <c r="C152" s="39" t="n">
        <f aca="false">MY_PH(C$2,$A152)</f>
        <v>2.11918767344588E-005</v>
      </c>
      <c r="D152" s="39" t="n">
        <f aca="false">MY_PH(D$2,$A152)</f>
        <v>2.11919121273061E-005</v>
      </c>
      <c r="E152" s="39" t="n">
        <f aca="false">MY_PH(E$2,$A152)</f>
        <v>2.11919475202454E-005</v>
      </c>
      <c r="F152" s="39" t="n">
        <f aca="false">MY_PH(F$2,$A152)</f>
        <v>2.11919829132768E-005</v>
      </c>
      <c r="G152" s="39" t="n">
        <f aca="false">MY_PH(G$2,$A152)</f>
        <v>2.11923368486514E-005</v>
      </c>
      <c r="H152" s="39" t="n">
        <f aca="false">MY_PH(H$2,$A152)</f>
        <v>2.11926907932237E-005</v>
      </c>
      <c r="I152" s="39" t="n">
        <f aca="false">MY_PH(I$2,$A152)</f>
        <v>2.1193044746988E-005</v>
      </c>
      <c r="J152" s="39" t="n">
        <f aca="false">MY_PH(J$2,$A152)</f>
        <v>2.1193398709939E-005</v>
      </c>
      <c r="K152" s="39" t="n">
        <f aca="false">MY_PH(K$2,$A152)</f>
        <v>2.11937526820709E-005</v>
      </c>
      <c r="L152" s="39" t="n">
        <f aca="false">MY_PH(L$2,$A152)</f>
        <v>2.11941066633783E-005</v>
      </c>
      <c r="M152" s="39" t="n">
        <f aca="false">MY_PH(M$2,$A152)</f>
        <v>2.11944606538556E-005</v>
      </c>
      <c r="N152" s="39" t="n">
        <f aca="false">MY_PH(N$2,$A152)</f>
        <v>2.11948146534973E-005</v>
      </c>
      <c r="O152" s="39" t="n">
        <f aca="false">MY_PH(O$2,$A152)</f>
        <v>2.11951686622979E-005</v>
      </c>
      <c r="P152" s="39" t="n">
        <f aca="false">MY_PH(P$2,$A152)</f>
        <v>2.11987092528271E-005</v>
      </c>
      <c r="Q152" s="39" t="n">
        <f aca="false">MY_PH(Q$2,$A152)</f>
        <v>2.12022507531762E-005</v>
      </c>
      <c r="R152" s="39" t="n">
        <f aca="false">MY_PH(R$2,$A152)</f>
        <v>2.12057931578493E-005</v>
      </c>
      <c r="S152" s="39" t="n">
        <f aca="false">MY_PH(S$2,$A152)</f>
        <v>2.12093364613712E-005</v>
      </c>
      <c r="T152" s="39" t="n">
        <f aca="false">MY_PH(T$2,$A152)</f>
        <v>2.12128806582876E-005</v>
      </c>
      <c r="U152" s="39" t="n">
        <f aca="false">MY_PH(U$2,$A152)</f>
        <v>2.1216425743165E-005</v>
      </c>
      <c r="V152" s="39" t="n">
        <f aca="false">MY_PH(V$2,$A152)</f>
        <v>2.12199717105905E-005</v>
      </c>
      <c r="W152" s="39" t="n">
        <f aca="false">MY_PH(W$2,$A152)</f>
        <v>2.12235185551717E-005</v>
      </c>
      <c r="X152" s="39" t="n">
        <f aca="false">MY_PH(X$2,$A152)</f>
        <v>2.12270662715371E-005</v>
      </c>
      <c r="Y152" s="39" t="n">
        <f aca="false">MY_PH(Y$2,$A152)</f>
        <v>2.12625902162463E-005</v>
      </c>
      <c r="Z152" s="39" t="n">
        <f aca="false">MY_PH(Z$2,$A152)</f>
        <v>2.12981955824706E-005</v>
      </c>
      <c r="AA152" s="39" t="n">
        <f aca="false">MY_PH(AA$2,$A152)</f>
        <v>2.13338773338464E-005</v>
      </c>
      <c r="AB152" s="39" t="n">
        <f aca="false">MY_PH(AB$2,$A152)</f>
        <v>2.13696306334384E-005</v>
      </c>
      <c r="AC152" s="39" t="n">
        <f aca="false">MY_PH(AC$2,$A152)</f>
        <v>2.14054508410055E-005</v>
      </c>
      <c r="AD152" s="39" t="n">
        <f aca="false">MY_PH(AD$2,$A152)</f>
        <v>2.1441333510464E-005</v>
      </c>
      <c r="AE152" s="39" t="n">
        <f aca="false">MY_PH(AE$2,$A152)</f>
        <v>2.14772743875147E-005</v>
      </c>
      <c r="AF152" s="39" t="n">
        <f aca="false">MY_PH(AF$2,$A152)</f>
        <v>2.15132694073956E-005</v>
      </c>
      <c r="AG152" s="39" t="n">
        <f aca="false">MY_PH(AG$2,$A152)</f>
        <v>2.15493146927203E-005</v>
      </c>
      <c r="AH152" s="39" t="n">
        <f aca="false">MY_PH(AH$2,$A152)</f>
        <v>2.19118087426963E-005</v>
      </c>
      <c r="AI152" s="39" t="n">
        <f aca="false">MY_PH(AI$2,$A152)</f>
        <v>2.22763606506007E-005</v>
      </c>
      <c r="AJ152" s="39" t="n">
        <f aca="false">MY_PH(AJ$2,$A152)</f>
        <v>2.26416316387465E-005</v>
      </c>
      <c r="AK152" s="39" t="n">
        <f aca="false">MY_PH(AK$2,$A152)</f>
        <v>2.30069240338764E-005</v>
      </c>
      <c r="AL152" s="39" t="n">
        <f aca="false">MY_PH(AL$2,$A152)</f>
        <v>2.3371685771256E-005</v>
      </c>
      <c r="AM152" s="39" t="n">
        <f aca="false">MY_PH(AM$2,$A152)</f>
        <v>2.3735812765423E-005</v>
      </c>
      <c r="AN152" s="39" t="n">
        <f aca="false">MY_PH(AN$2,$A152)</f>
        <v>2.40992820815208E-005</v>
      </c>
      <c r="AO152" s="39" t="n">
        <f aca="false">MY_PH(AO$2,$A152)</f>
        <v>2.44621176146202E-005</v>
      </c>
      <c r="AP152" s="39" t="n">
        <f aca="false">MY_PH(AP$2,$A152)</f>
        <v>2.4824366507966E-005</v>
      </c>
      <c r="AQ152" s="39" t="n">
        <f aca="false">MY_PH(AQ$2,$A152)</f>
        <v>2.84227138491421E-005</v>
      </c>
      <c r="AR152" s="39" t="n">
        <f aca="false">MY_PH(AR$2,$A152)</f>
        <v>2.91600550392435E-005</v>
      </c>
      <c r="AS152" s="39" t="n">
        <f aca="false">MY_PH(AS$2,$A152)</f>
        <v>2.94937000846709E-005</v>
      </c>
    </row>
    <row r="153" customFormat="false" ht="13.8" hidden="false" customHeight="false" outlineLevel="0" collapsed="false">
      <c r="A153" s="0" t="n">
        <v>3130</v>
      </c>
      <c r="B153" s="39" t="n">
        <f aca="false">MY_PH(B$2,$A153)</f>
        <v>2.13979636678811E-005</v>
      </c>
      <c r="C153" s="39" t="n">
        <f aca="false">MY_PH(C$2,$A153)</f>
        <v>2.13979984619926E-005</v>
      </c>
      <c r="D153" s="39" t="n">
        <f aca="false">MY_PH(D$2,$A153)</f>
        <v>2.13980332561907E-005</v>
      </c>
      <c r="E153" s="39" t="n">
        <f aca="false">MY_PH(E$2,$A153)</f>
        <v>2.13980680504753E-005</v>
      </c>
      <c r="F153" s="39" t="n">
        <f aca="false">MY_PH(F$2,$A153)</f>
        <v>2.13981028448465E-005</v>
      </c>
      <c r="G153" s="39" t="n">
        <f aca="false">MY_PH(G$2,$A153)</f>
        <v>2.13984507933175E-005</v>
      </c>
      <c r="H153" s="39" t="n">
        <f aca="false">MY_PH(H$2,$A153)</f>
        <v>2.13987987504381E-005</v>
      </c>
      <c r="I153" s="39" t="n">
        <f aca="false">MY_PH(I$2,$A153)</f>
        <v>2.13991467162033E-005</v>
      </c>
      <c r="J153" s="39" t="n">
        <f aca="false">MY_PH(J$2,$A153)</f>
        <v>2.13994946906083E-005</v>
      </c>
      <c r="K153" s="39" t="n">
        <f aca="false">MY_PH(K$2,$A153)</f>
        <v>2.13998426736481E-005</v>
      </c>
      <c r="L153" s="39" t="n">
        <f aca="false">MY_PH(L$2,$A153)</f>
        <v>2.14001906653177E-005</v>
      </c>
      <c r="M153" s="39" t="n">
        <f aca="false">MY_PH(M$2,$A153)</f>
        <v>2.14005386656121E-005</v>
      </c>
      <c r="N153" s="39" t="n">
        <f aca="false">MY_PH(N$2,$A153)</f>
        <v>2.14008866745266E-005</v>
      </c>
      <c r="O153" s="39" t="n">
        <f aca="false">MY_PH(O$2,$A153)</f>
        <v>2.14012346920561E-005</v>
      </c>
      <c r="P153" s="39" t="n">
        <f aca="false">MY_PH(P$2,$A153)</f>
        <v>2.14047153400932E-005</v>
      </c>
      <c r="Q153" s="39" t="n">
        <f aca="false">MY_PH(Q$2,$A153)</f>
        <v>2.14081968442187E-005</v>
      </c>
      <c r="R153" s="39" t="n">
        <f aca="false">MY_PH(R$2,$A153)</f>
        <v>2.14116791995274E-005</v>
      </c>
      <c r="S153" s="39" t="n">
        <f aca="false">MY_PH(S$2,$A153)</f>
        <v>2.14151624011321E-005</v>
      </c>
      <c r="T153" s="39" t="n">
        <f aca="false">MY_PH(T$2,$A153)</f>
        <v>2.14186464441634E-005</v>
      </c>
      <c r="U153" s="39" t="n">
        <f aca="false">MY_PH(U$2,$A153)</f>
        <v>2.14221313237695E-005</v>
      </c>
      <c r="V153" s="39" t="n">
        <f aca="false">MY_PH(V$2,$A153)</f>
        <v>2.14256170351166E-005</v>
      </c>
      <c r="W153" s="39" t="n">
        <f aca="false">MY_PH(W$2,$A153)</f>
        <v>2.14291035733881E-005</v>
      </c>
      <c r="X153" s="39" t="n">
        <f aca="false">MY_PH(X$2,$A153)</f>
        <v>2.14325909337855E-005</v>
      </c>
      <c r="Y153" s="39" t="n">
        <f aca="false">MY_PH(Y$2,$A153)</f>
        <v>2.14675087115661E-005</v>
      </c>
      <c r="Z153" s="39" t="n">
        <f aca="false">MY_PH(Z$2,$A153)</f>
        <v>2.15025035536824E-005</v>
      </c>
      <c r="AA153" s="39" t="n">
        <f aca="false">MY_PH(AA$2,$A153)</f>
        <v>2.15375709493156E-005</v>
      </c>
      <c r="AB153" s="39" t="n">
        <f aca="false">MY_PH(AB$2,$A153)</f>
        <v>2.15727065593659E-005</v>
      </c>
      <c r="AC153" s="39" t="n">
        <f aca="false">MY_PH(AC$2,$A153)</f>
        <v>2.16079062144672E-005</v>
      </c>
      <c r="AD153" s="39" t="n">
        <f aca="false">MY_PH(AD$2,$A153)</f>
        <v>2.16431659131391E-005</v>
      </c>
      <c r="AE153" s="39" t="n">
        <f aca="false">MY_PH(AE$2,$A153)</f>
        <v>2.1678481820049E-005</v>
      </c>
      <c r="AF153" s="39" t="n">
        <f aca="false">MY_PH(AF$2,$A153)</f>
        <v>2.17138502643545E-005</v>
      </c>
      <c r="AG153" s="39" t="n">
        <f aca="false">MY_PH(AG$2,$A153)</f>
        <v>2.17492677380952E-005</v>
      </c>
      <c r="AH153" s="39" t="n">
        <f aca="false">MY_PH(AH$2,$A153)</f>
        <v>2.21054804787508E-005</v>
      </c>
      <c r="AI153" s="39" t="n">
        <f aca="false">MY_PH(AI$2,$A153)</f>
        <v>2.24638729926839E-005</v>
      </c>
      <c r="AJ153" s="39" t="n">
        <f aca="false">MY_PH(AJ$2,$A153)</f>
        <v>2.28231891902652E-005</v>
      </c>
      <c r="AK153" s="39" t="n">
        <f aca="false">MY_PH(AK$2,$A153)</f>
        <v>2.31828709528512E-005</v>
      </c>
      <c r="AL153" s="39" t="n">
        <f aca="false">MY_PH(AL$2,$A153)</f>
        <v>2.35422590265254E-005</v>
      </c>
      <c r="AM153" s="39" t="n">
        <f aca="false">MY_PH(AM$2,$A153)</f>
        <v>2.3901231737523E-005</v>
      </c>
      <c r="AN153" s="39" t="n">
        <f aca="false">MY_PH(AN$2,$A153)</f>
        <v>2.42597444058349E-005</v>
      </c>
      <c r="AO153" s="39" t="n">
        <f aca="false">MY_PH(AO$2,$A153)</f>
        <v>2.46177981442404E-005</v>
      </c>
      <c r="AP153" s="39" t="n">
        <f aca="false">MY_PH(AP$2,$A153)</f>
        <v>2.49754181928852E-005</v>
      </c>
      <c r="AQ153" s="39" t="n">
        <f aca="false">MY_PH(AQ$2,$A153)</f>
        <v>2.85326947735809E-005</v>
      </c>
      <c r="AR153" s="39" t="n">
        <f aca="false">MY_PH(AR$2,$A153)</f>
        <v>2.92623244446551E-005</v>
      </c>
      <c r="AS153" s="39" t="n">
        <f aca="false">MY_PH(AS$2,$A153)</f>
        <v>2.95925369857683E-005</v>
      </c>
    </row>
    <row r="154" customFormat="false" ht="13.8" hidden="false" customHeight="false" outlineLevel="0" collapsed="false">
      <c r="A154" s="0" t="n">
        <v>3140</v>
      </c>
      <c r="B154" s="39" t="n">
        <f aca="false">MY_PH(B$2,$A154)</f>
        <v>2.16038218413488E-005</v>
      </c>
      <c r="C154" s="39" t="n">
        <f aca="false">MY_PH(C$2,$A154)</f>
        <v>2.16038560573646E-005</v>
      </c>
      <c r="D154" s="39" t="n">
        <f aca="false">MY_PH(D$2,$A154)</f>
        <v>2.1603890273462E-005</v>
      </c>
      <c r="E154" s="39" t="n">
        <f aca="false">MY_PH(E$2,$A154)</f>
        <v>2.16039244896411E-005</v>
      </c>
      <c r="F154" s="39" t="n">
        <f aca="false">MY_PH(F$2,$A154)</f>
        <v>2.16039587059017E-005</v>
      </c>
      <c r="G154" s="39" t="n">
        <f aca="false">MY_PH(G$2,$A154)</f>
        <v>2.16043008729955E-005</v>
      </c>
      <c r="H154" s="39" t="n">
        <f aca="false">MY_PH(H$2,$A154)</f>
        <v>2.16046430482448E-005</v>
      </c>
      <c r="I154" s="39" t="n">
        <f aca="false">MY_PH(I$2,$A154)</f>
        <v>2.16049852316451E-005</v>
      </c>
      <c r="J154" s="39" t="n">
        <f aca="false">MY_PH(J$2,$A154)</f>
        <v>2.16053274231921E-005</v>
      </c>
      <c r="K154" s="39" t="n">
        <f aca="false">MY_PH(K$2,$A154)</f>
        <v>2.16056696228814E-005</v>
      </c>
      <c r="L154" s="39" t="n">
        <f aca="false">MY_PH(L$2,$A154)</f>
        <v>2.16060118307084E-005</v>
      </c>
      <c r="M154" s="39" t="n">
        <f aca="false">MY_PH(M$2,$A154)</f>
        <v>2.16063540466688E-005</v>
      </c>
      <c r="N154" s="39" t="n">
        <f aca="false">MY_PH(N$2,$A154)</f>
        <v>2.16066962707582E-005</v>
      </c>
      <c r="O154" s="39" t="n">
        <f aca="false">MY_PH(O$2,$A154)</f>
        <v>2.16070385029721E-005</v>
      </c>
      <c r="P154" s="39" t="n">
        <f aca="false">MY_PH(P$2,$A154)</f>
        <v>2.16104612709902E-005</v>
      </c>
      <c r="Q154" s="39" t="n">
        <f aca="false">MY_PH(Q$2,$A154)</f>
        <v>2.16138848466135E-005</v>
      </c>
      <c r="R154" s="39" t="n">
        <f aca="false">MY_PH(R$2,$A154)</f>
        <v>2.16173092254485E-005</v>
      </c>
      <c r="S154" s="39" t="n">
        <f aca="false">MY_PH(S$2,$A154)</f>
        <v>2.16207344031171E-005</v>
      </c>
      <c r="T154" s="39" t="n">
        <f aca="false">MY_PH(T$2,$A154)</f>
        <v>2.16241603752564E-005</v>
      </c>
      <c r="U154" s="39" t="n">
        <f aca="false">MY_PH(U$2,$A154)</f>
        <v>2.16275871375189E-005</v>
      </c>
      <c r="V154" s="39" t="n">
        <f aca="false">MY_PH(V$2,$A154)</f>
        <v>2.16310146855722E-005</v>
      </c>
      <c r="W154" s="39" t="n">
        <f aca="false">MY_PH(W$2,$A154)</f>
        <v>2.16344430150991E-005</v>
      </c>
      <c r="X154" s="39" t="n">
        <f aca="false">MY_PH(X$2,$A154)</f>
        <v>2.16378721217978E-005</v>
      </c>
      <c r="Y154" s="39" t="n">
        <f aca="false">MY_PH(Y$2,$A154)</f>
        <v>2.16722049976476E-005</v>
      </c>
      <c r="Z154" s="39" t="n">
        <f aca="false">MY_PH(Z$2,$A154)</f>
        <v>2.17066109708129E-005</v>
      </c>
      <c r="AA154" s="39" t="n">
        <f aca="false">MY_PH(AA$2,$A154)</f>
        <v>2.17410859876446E-005</v>
      </c>
      <c r="AB154" s="39" t="n">
        <f aca="false">MY_PH(AB$2,$A154)</f>
        <v>2.17756261429933E-005</v>
      </c>
      <c r="AC154" s="39" t="n">
        <f aca="false">MY_PH(AC$2,$A154)</f>
        <v>2.18102276787697E-005</v>
      </c>
      <c r="AD154" s="39" t="n">
        <f aca="false">MY_PH(AD$2,$A154)</f>
        <v>2.18448869825982E-005</v>
      </c>
      <c r="AE154" s="39" t="n">
        <f aca="false">MY_PH(AE$2,$A154)</f>
        <v>2.18796005865429E-005</v>
      </c>
      <c r="AF154" s="39" t="n">
        <f aca="false">MY_PH(AF$2,$A154)</f>
        <v>2.19143651658817E-005</v>
      </c>
      <c r="AG154" s="39" t="n">
        <f aca="false">MY_PH(AG$2,$A154)</f>
        <v>2.19491775379067E-005</v>
      </c>
      <c r="AH154" s="39" t="n">
        <f aca="false">MY_PH(AH$2,$A154)</f>
        <v>2.22993286490102E-005</v>
      </c>
      <c r="AI154" s="39" t="n">
        <f aca="false">MY_PH(AI$2,$A154)</f>
        <v>2.26517548834773E-005</v>
      </c>
      <c r="AJ154" s="39" t="n">
        <f aca="false">MY_PH(AJ$2,$A154)</f>
        <v>2.3005280442177E-005</v>
      </c>
      <c r="AK154" s="39" t="n">
        <f aca="false">MY_PH(AK$2,$A154)</f>
        <v>2.33594786986116E-005</v>
      </c>
      <c r="AL154" s="39" t="n">
        <f aca="false">MY_PH(AL$2,$A154)</f>
        <v>2.37136014304075E-005</v>
      </c>
      <c r="AM154" s="39" t="n">
        <f aca="false">MY_PH(AM$2,$A154)</f>
        <v>2.4067512243944E-005</v>
      </c>
      <c r="AN154" s="39" t="n">
        <f aca="false">MY_PH(AN$2,$A154)</f>
        <v>2.4421147672224E-005</v>
      </c>
      <c r="AO154" s="39" t="n">
        <f aca="false">MY_PH(AO$2,$A154)</f>
        <v>2.47744888071094E-005</v>
      </c>
      <c r="AP154" s="39" t="n">
        <f aca="false">MY_PH(AP$2,$A154)</f>
        <v>2.5127541399685E-005</v>
      </c>
      <c r="AQ154" s="39" t="n">
        <f aca="false">MY_PH(AQ$2,$A154)</f>
        <v>2.86442030198291E-005</v>
      </c>
      <c r="AR154" s="39" t="n">
        <f aca="false">MY_PH(AR$2,$A154)</f>
        <v>2.93662022032422E-005</v>
      </c>
      <c r="AS154" s="39" t="n">
        <f aca="false">MY_PH(AS$2,$A154)</f>
        <v>2.96930181043313E-005</v>
      </c>
    </row>
    <row r="155" customFormat="false" ht="13.8" hidden="false" customHeight="false" outlineLevel="0" collapsed="false">
      <c r="A155" s="0" t="n">
        <v>3150</v>
      </c>
      <c r="B155" s="39" t="n">
        <f aca="false">MY_PH(B$2,$A155)</f>
        <v>2.18094041508698E-005</v>
      </c>
      <c r="C155" s="39" t="n">
        <f aca="false">MY_PH(C$2,$A155)</f>
        <v>2.18094378081726E-005</v>
      </c>
      <c r="D155" s="39" t="n">
        <f aca="false">MY_PH(D$2,$A155)</f>
        <v>2.18094714655526E-005</v>
      </c>
      <c r="E155" s="39" t="n">
        <f aca="false">MY_PH(E$2,$A155)</f>
        <v>2.18095051230097E-005</v>
      </c>
      <c r="F155" s="39" t="n">
        <f aca="false">MY_PH(F$2,$A155)</f>
        <v>2.1809538780544E-005</v>
      </c>
      <c r="G155" s="39" t="n">
        <f aca="false">MY_PH(G$2,$A155)</f>
        <v>2.18098753601282E-005</v>
      </c>
      <c r="H155" s="39" t="n">
        <f aca="false">MY_PH(H$2,$A155)</f>
        <v>2.18102119474217E-005</v>
      </c>
      <c r="I155" s="39" t="n">
        <f aca="false">MY_PH(I$2,$A155)</f>
        <v>2.18105485424205E-005</v>
      </c>
      <c r="J155" s="39" t="n">
        <f aca="false">MY_PH(J$2,$A155)</f>
        <v>2.18108851451205E-005</v>
      </c>
      <c r="K155" s="39" t="n">
        <f aca="false">MY_PH(K$2,$A155)</f>
        <v>2.1811221755518E-005</v>
      </c>
      <c r="L155" s="39" t="n">
        <f aca="false">MY_PH(L$2,$A155)</f>
        <v>2.18115583736088E-005</v>
      </c>
      <c r="M155" s="39" t="n">
        <f aca="false">MY_PH(M$2,$A155)</f>
        <v>2.1811894999389E-005</v>
      </c>
      <c r="N155" s="39" t="n">
        <f aca="false">MY_PH(N$2,$A155)</f>
        <v>2.18122316328546E-005</v>
      </c>
      <c r="O155" s="39" t="n">
        <f aca="false">MY_PH(O$2,$A155)</f>
        <v>2.18125682740016E-005</v>
      </c>
      <c r="P155" s="39" t="n">
        <f aca="false">MY_PH(P$2,$A155)</f>
        <v>2.18159351070793E-005</v>
      </c>
      <c r="Q155" s="39" t="n">
        <f aca="false">MY_PH(Q$2,$A155)</f>
        <v>2.18193027039437E-005</v>
      </c>
      <c r="R155" s="39" t="n">
        <f aca="false">MY_PH(R$2,$A155)</f>
        <v>2.18226710606456E-005</v>
      </c>
      <c r="S155" s="39" t="n">
        <f aca="false">MY_PH(S$2,$A155)</f>
        <v>2.18260401732493E-005</v>
      </c>
      <c r="T155" s="39" t="n">
        <f aca="false">MY_PH(T$2,$A155)</f>
        <v>2.1829410037832E-005</v>
      </c>
      <c r="U155" s="39" t="n">
        <f aca="false">MY_PH(U$2,$A155)</f>
        <v>2.18327806504843E-005</v>
      </c>
      <c r="V155" s="39" t="n">
        <f aca="false">MY_PH(V$2,$A155)</f>
        <v>2.18361520073097E-005</v>
      </c>
      <c r="W155" s="39" t="n">
        <f aca="false">MY_PH(W$2,$A155)</f>
        <v>2.18395241044253E-005</v>
      </c>
      <c r="X155" s="39" t="n">
        <f aca="false">MY_PH(X$2,$A155)</f>
        <v>2.18428969379609E-005</v>
      </c>
      <c r="Y155" s="39" t="n">
        <f aca="false">MY_PH(Y$2,$A155)</f>
        <v>2.18766649343979E-005</v>
      </c>
      <c r="Z155" s="39" t="n">
        <f aca="false">MY_PH(Z$2,$A155)</f>
        <v>2.19105024130107E-005</v>
      </c>
      <c r="AA155" s="39" t="n">
        <f aca="false">MY_PH(AA$2,$A155)</f>
        <v>2.19444057188878E-005</v>
      </c>
      <c r="AB155" s="39" t="n">
        <f aca="false">MY_PH(AB$2,$A155)</f>
        <v>2.19783713260563E-005</v>
      </c>
      <c r="AC155" s="39" t="n">
        <f aca="false">MY_PH(AC$2,$A155)</f>
        <v>2.20123958364381E-005</v>
      </c>
      <c r="AD155" s="39" t="n">
        <f aca="false">MY_PH(AD$2,$A155)</f>
        <v>2.20464759788679E-005</v>
      </c>
      <c r="AE155" s="39" t="n">
        <f aca="false">MY_PH(AE$2,$A155)</f>
        <v>2.20806086081569E-005</v>
      </c>
      <c r="AF155" s="39" t="n">
        <f aca="false">MY_PH(AF$2,$A155)</f>
        <v>2.21147907041837E-005</v>
      </c>
      <c r="AG155" s="39" t="n">
        <f aca="false">MY_PH(AG$2,$A155)</f>
        <v>2.21490193709949E-005</v>
      </c>
      <c r="AH155" s="39" t="n">
        <f aca="false">MY_PH(AH$2,$A155)</f>
        <v>2.24933171358356E-005</v>
      </c>
      <c r="AI155" s="39" t="n">
        <f aca="false">MY_PH(AI$2,$A155)</f>
        <v>2.28399632509941E-005</v>
      </c>
      <c r="AJ155" s="39" t="n">
        <f aca="false">MY_PH(AJ$2,$A155)</f>
        <v>2.31878590265683E-005</v>
      </c>
      <c r="AK155" s="39" t="n">
        <f aca="false">MY_PH(AK$2,$A155)</f>
        <v>2.353669903488E-005</v>
      </c>
      <c r="AL155" s="39" t="n">
        <f aca="false">MY_PH(AL$2,$A155)</f>
        <v>2.3885664089289E-005</v>
      </c>
      <c r="AM155" s="39" t="n">
        <f aca="false">MY_PH(AM$2,$A155)</f>
        <v>2.42346056049075E-005</v>
      </c>
      <c r="AN155" s="39" t="n">
        <f aca="false">MY_PH(AN$2,$A155)</f>
        <v>2.45834439717211E-005</v>
      </c>
      <c r="AO155" s="39" t="n">
        <f aca="false">MY_PH(AO$2,$A155)</f>
        <v>2.49321427588094E-005</v>
      </c>
      <c r="AP155" s="39" t="n">
        <f aca="false">MY_PH(AP$2,$A155)</f>
        <v>2.52806904396885E-005</v>
      </c>
      <c r="AQ155" s="39" t="n">
        <f aca="false">MY_PH(AQ$2,$A155)</f>
        <v>2.8757197711627E-005</v>
      </c>
      <c r="AR155" s="39" t="n">
        <f aca="false">MY_PH(AR$2,$A155)</f>
        <v>2.94716475528304E-005</v>
      </c>
      <c r="AS155" s="39" t="n">
        <f aca="false">MY_PH(AS$2,$A155)</f>
        <v>2.97951026085021E-005</v>
      </c>
    </row>
    <row r="156" customFormat="false" ht="13.8" hidden="false" customHeight="false" outlineLevel="0" collapsed="false">
      <c r="A156" s="0" t="n">
        <v>3160</v>
      </c>
      <c r="B156" s="39" t="n">
        <f aca="false">MY_PH(B$2,$A156)</f>
        <v>2.20146993900756E-005</v>
      </c>
      <c r="C156" s="39" t="n">
        <f aca="false">MY_PH(C$2,$A156)</f>
        <v>2.20147325069758E-005</v>
      </c>
      <c r="D156" s="39" t="n">
        <f aca="false">MY_PH(D$2,$A156)</f>
        <v>2.20147656239491E-005</v>
      </c>
      <c r="E156" s="39" t="n">
        <f aca="false">MY_PH(E$2,$A156)</f>
        <v>2.20147987409955E-005</v>
      </c>
      <c r="F156" s="39" t="n">
        <f aca="false">MY_PH(F$2,$A156)</f>
        <v>2.2014831858115E-005</v>
      </c>
      <c r="G156" s="39" t="n">
        <f aca="false">MY_PH(G$2,$A156)</f>
        <v>2.20151630333295E-005</v>
      </c>
      <c r="H156" s="39" t="n">
        <f aca="false">MY_PH(H$2,$A156)</f>
        <v>2.20154942158494E-005</v>
      </c>
      <c r="I156" s="39" t="n">
        <f aca="false">MY_PH(I$2,$A156)</f>
        <v>2.20158254056712E-005</v>
      </c>
      <c r="J156" s="39" t="n">
        <f aca="false">MY_PH(J$2,$A156)</f>
        <v>2.20161566027914E-005</v>
      </c>
      <c r="K156" s="39" t="n">
        <f aca="false">MY_PH(K$2,$A156)</f>
        <v>2.20164878072063E-005</v>
      </c>
      <c r="L156" s="39" t="n">
        <f aca="false">MY_PH(L$2,$A156)</f>
        <v>2.20168190189124E-005</v>
      </c>
      <c r="M156" s="39" t="n">
        <f aca="false">MY_PH(M$2,$A156)</f>
        <v>2.20171502379061E-005</v>
      </c>
      <c r="N156" s="39" t="n">
        <f aca="false">MY_PH(N$2,$A156)</f>
        <v>2.20174814641837E-005</v>
      </c>
      <c r="O156" s="39" t="n">
        <f aca="false">MY_PH(O$2,$A156)</f>
        <v>2.20178126977418E-005</v>
      </c>
      <c r="P156" s="39" t="n">
        <f aca="false">MY_PH(P$2,$A156)</f>
        <v>2.20211254329586E-005</v>
      </c>
      <c r="Q156" s="39" t="n">
        <f aca="false">MY_PH(Q$2,$A156)</f>
        <v>2.20244388922867E-005</v>
      </c>
      <c r="R156" s="39" t="n">
        <f aca="false">MY_PH(R$2,$A156)</f>
        <v>2.20277530721642E-005</v>
      </c>
      <c r="S156" s="39" t="n">
        <f aca="false">MY_PH(S$2,$A156)</f>
        <v>2.20310679690406E-005</v>
      </c>
      <c r="T156" s="39" t="n">
        <f aca="false">MY_PH(T$2,$A156)</f>
        <v>2.2034383579377E-005</v>
      </c>
      <c r="U156" s="39" t="n">
        <f aca="false">MY_PH(U$2,$A156)</f>
        <v>2.20376998996458E-005</v>
      </c>
      <c r="V156" s="39" t="n">
        <f aca="false">MY_PH(V$2,$A156)</f>
        <v>2.20410169263309E-005</v>
      </c>
      <c r="W156" s="39" t="n">
        <f aca="false">MY_PH(W$2,$A156)</f>
        <v>2.20443346559277E-005</v>
      </c>
      <c r="X156" s="39" t="n">
        <f aca="false">MY_PH(X$2,$A156)</f>
        <v>2.20476530849429E-005</v>
      </c>
      <c r="Y156" s="39" t="n">
        <f aca="false">MY_PH(Y$2,$A156)</f>
        <v>2.20808750827438E-005</v>
      </c>
      <c r="Z156" s="39" t="n">
        <f aca="false">MY_PH(Z$2,$A156)</f>
        <v>2.21141632642914E-005</v>
      </c>
      <c r="AA156" s="39" t="n">
        <f aca="false">MY_PH(AA$2,$A156)</f>
        <v>2.21475143234456E-005</v>
      </c>
      <c r="AB156" s="39" t="n">
        <f aca="false">MY_PH(AB$2,$A156)</f>
        <v>2.21809250664365E-005</v>
      </c>
      <c r="AC156" s="39" t="n">
        <f aca="false">MY_PH(AC$2,$A156)</f>
        <v>2.22143924111067E-005</v>
      </c>
      <c r="AD156" s="39" t="n">
        <f aca="false">MY_PH(AD$2,$A156)</f>
        <v>2.22479133861936E-005</v>
      </c>
      <c r="AE156" s="39" t="n">
        <f aca="false">MY_PH(AE$2,$A156)</f>
        <v>2.22814851306381E-005</v>
      </c>
      <c r="AF156" s="39" t="n">
        <f aca="false">MY_PH(AF$2,$A156)</f>
        <v>2.23151048929079E-005</v>
      </c>
      <c r="AG156" s="39" t="n">
        <f aca="false">MY_PH(AG$2,$A156)</f>
        <v>2.23487700303181E-005</v>
      </c>
      <c r="AH156" s="39" t="n">
        <f aca="false">MY_PH(AH$2,$A156)</f>
        <v>2.26874119484156E-005</v>
      </c>
      <c r="AI156" s="39" t="n">
        <f aca="false">MY_PH(AI$2,$A156)</f>
        <v>2.30284571541765E-005</v>
      </c>
      <c r="AJ156" s="39" t="n">
        <f aca="false">MY_PH(AJ$2,$A156)</f>
        <v>2.33708803498677E-005</v>
      </c>
      <c r="AK156" s="39" t="n">
        <f aca="false">MY_PH(AK$2,$A156)</f>
        <v>2.37144853624435E-005</v>
      </c>
      <c r="AL156" s="39" t="n">
        <f aca="false">MY_PH(AL$2,$A156)</f>
        <v>2.40583995520271E-005</v>
      </c>
      <c r="AM156" s="39" t="n">
        <f aca="false">MY_PH(AM$2,$A156)</f>
        <v>2.44024643659957E-005</v>
      </c>
      <c r="AN156" s="39" t="n">
        <f aca="false">MY_PH(AN$2,$A156)</f>
        <v>2.47465864091288E-005</v>
      </c>
      <c r="AO156" s="39" t="n">
        <f aca="false">MY_PH(AO$2,$A156)</f>
        <v>2.50907139819786E-005</v>
      </c>
      <c r="AP156" s="39" t="n">
        <f aca="false">MY_PH(AP$2,$A156)</f>
        <v>2.54348203000495E-005</v>
      </c>
      <c r="AQ156" s="39" t="n">
        <f aca="false">MY_PH(AQ$2,$A156)</f>
        <v>2.88716381478798E-005</v>
      </c>
      <c r="AR156" s="39" t="n">
        <f aca="false">MY_PH(AR$2,$A156)</f>
        <v>2.95786198649668E-005</v>
      </c>
      <c r="AS156" s="39" t="n">
        <f aca="false">MY_PH(AS$2,$A156)</f>
        <v>2.98987498519555E-005</v>
      </c>
    </row>
    <row r="157" customFormat="false" ht="13.8" hidden="false" customHeight="false" outlineLevel="0" collapsed="false">
      <c r="A157" s="0" t="n">
        <v>3170</v>
      </c>
      <c r="B157" s="39" t="n">
        <f aca="false">MY_PH(B$2,$A157)</f>
        <v>2.2219696837687E-005</v>
      </c>
      <c r="C157" s="39" t="n">
        <f aca="false">MY_PH(C$2,$A157)</f>
        <v>2.22197294315066E-005</v>
      </c>
      <c r="D157" s="39" t="n">
        <f aca="false">MY_PH(D$2,$A157)</f>
        <v>2.22197620253955E-005</v>
      </c>
      <c r="E157" s="39" t="n">
        <f aca="false">MY_PH(E$2,$A157)</f>
        <v>2.22197946193539E-005</v>
      </c>
      <c r="F157" s="39" t="n">
        <f aca="false">MY_PH(F$2,$A157)</f>
        <v>2.22198272133817E-005</v>
      </c>
      <c r="G157" s="39" t="n">
        <f aca="false">MY_PH(G$2,$A157)</f>
        <v>2.22201531574777E-005</v>
      </c>
      <c r="H157" s="39" t="n">
        <f aca="false">MY_PH(H$2,$A157)</f>
        <v>2.22204791085132E-005</v>
      </c>
      <c r="I157" s="39" t="n">
        <f aca="false">MY_PH(I$2,$A157)</f>
        <v>2.22208050664848E-005</v>
      </c>
      <c r="J157" s="39" t="n">
        <f aca="false">MY_PH(J$2,$A157)</f>
        <v>2.22211310313893E-005</v>
      </c>
      <c r="K157" s="39" t="n">
        <f aca="false">MY_PH(K$2,$A157)</f>
        <v>2.22214570032235E-005</v>
      </c>
      <c r="L157" s="39" t="n">
        <f aca="false">MY_PH(L$2,$A157)</f>
        <v>2.22217829819842E-005</v>
      </c>
      <c r="M157" s="39" t="n">
        <f aca="false">MY_PH(M$2,$A157)</f>
        <v>2.2222108967668E-005</v>
      </c>
      <c r="N157" s="39" t="n">
        <f aca="false">MY_PH(N$2,$A157)</f>
        <v>2.22224349602717E-005</v>
      </c>
      <c r="O157" s="39" t="n">
        <f aca="false">MY_PH(O$2,$A157)</f>
        <v>2.22227609597922E-005</v>
      </c>
      <c r="P157" s="39" t="n">
        <f aca="false">MY_PH(P$2,$A157)</f>
        <v>2.22260213347037E-005</v>
      </c>
      <c r="Q157" s="39" t="n">
        <f aca="false">MY_PH(Q$2,$A157)</f>
        <v>2.22292823977293E-005</v>
      </c>
      <c r="R157" s="39" t="n">
        <f aca="false">MY_PH(R$2,$A157)</f>
        <v>2.22325441456458E-005</v>
      </c>
      <c r="S157" s="39" t="n">
        <f aca="false">MY_PH(S$2,$A157)</f>
        <v>2.22358065752398E-005</v>
      </c>
      <c r="T157" s="39" t="n">
        <f aca="false">MY_PH(T$2,$A157)</f>
        <v>2.22390696833079E-005</v>
      </c>
      <c r="U157" s="39" t="n">
        <f aca="false">MY_PH(U$2,$A157)</f>
        <v>2.22423334666567E-005</v>
      </c>
      <c r="V157" s="39" t="n">
        <f aca="false">MY_PH(V$2,$A157)</f>
        <v>2.22455979221028E-005</v>
      </c>
      <c r="W157" s="39" t="n">
        <f aca="false">MY_PH(W$2,$A157)</f>
        <v>2.22488630464728E-005</v>
      </c>
      <c r="X157" s="39" t="n">
        <f aca="false">MY_PH(X$2,$A157)</f>
        <v>2.22521288366033E-005</v>
      </c>
      <c r="Y157" s="39" t="n">
        <f aca="false">MY_PH(Y$2,$A157)</f>
        <v>2.22848226658696E-005</v>
      </c>
      <c r="Z157" s="39" t="n">
        <f aca="false">MY_PH(Z$2,$A157)</f>
        <v>2.23175796650439E-005</v>
      </c>
      <c r="AA157" s="39" t="n">
        <f aca="false">MY_PH(AA$2,$A157)</f>
        <v>2.23503968339899E-005</v>
      </c>
      <c r="AB157" s="39" t="n">
        <f aca="false">MY_PH(AB$2,$A157)</f>
        <v>2.23832712708335E-005</v>
      </c>
      <c r="AC157" s="39" t="n">
        <f aca="false">MY_PH(AC$2,$A157)</f>
        <v>2.24162001714106E-005</v>
      </c>
      <c r="AD157" s="39" t="n">
        <f aca="false">MY_PH(AD$2,$A157)</f>
        <v>2.24491808287404E-005</v>
      </c>
      <c r="AE157" s="39" t="n">
        <f aca="false">MY_PH(AE$2,$A157)</f>
        <v>2.24822106325131E-005</v>
      </c>
      <c r="AF157" s="39" t="n">
        <f aca="false">MY_PH(AF$2,$A157)</f>
        <v>2.25152870685812E-005</v>
      </c>
      <c r="AG157" s="39" t="n">
        <f aca="false">MY_PH(AG$2,$A157)</f>
        <v>2.25484077184443E-005</v>
      </c>
      <c r="AH157" s="39" t="n">
        <f aca="false">MY_PH(AH$2,$A157)</f>
        <v>2.28815811044122E-005</v>
      </c>
      <c r="AI157" s="39" t="n">
        <f aca="false">MY_PH(AI$2,$A157)</f>
        <v>2.32171977052395E-005</v>
      </c>
      <c r="AJ157" s="39" t="n">
        <f aca="false">MY_PH(AJ$2,$A157)</f>
        <v>2.35543015763974E-005</v>
      </c>
      <c r="AK157" s="39" t="n">
        <f aca="false">MY_PH(AK$2,$A157)</f>
        <v>2.38927927179579E-005</v>
      </c>
      <c r="AL157" s="39" t="n">
        <f aca="false">MY_PH(AL$2,$A157)</f>
        <v>2.42317618241016E-005</v>
      </c>
      <c r="AM157" s="39" t="n">
        <f aca="false">MY_PH(AM$2,$A157)</f>
        <v>2.45710423247365E-005</v>
      </c>
      <c r="AN157" s="39" t="n">
        <f aca="false">MY_PH(AN$2,$A157)</f>
        <v>2.49105291373052E-005</v>
      </c>
      <c r="AO157" s="39" t="n">
        <f aca="false">MY_PH(AO$2,$A157)</f>
        <v>2.52501573230135E-005</v>
      </c>
      <c r="AP157" s="39" t="n">
        <f aca="false">MY_PH(AP$2,$A157)</f>
        <v>2.55898866781318E-005</v>
      </c>
      <c r="AQ157" s="39" t="n">
        <f aca="false">MY_PH(AQ$2,$A157)</f>
        <v>2.89874838372629E-005</v>
      </c>
      <c r="AR157" s="39" t="n">
        <f aca="false">MY_PH(AR$2,$A157)</f>
        <v>2.96870786460012E-005</v>
      </c>
      <c r="AS157" s="39" t="n">
        <f aca="false">MY_PH(AS$2,$A157)</f>
        <v>3.00039193303883E-005</v>
      </c>
    </row>
    <row r="158" customFormat="false" ht="13.8" hidden="false" customHeight="false" outlineLevel="0" collapsed="false">
      <c r="A158" s="0" t="n">
        <v>3180</v>
      </c>
      <c r="B158" s="39" t="n">
        <f aca="false">MY_PH(B$2,$A158)</f>
        <v>2.2424386238667E-005</v>
      </c>
      <c r="C158" s="39" t="n">
        <f aca="false">MY_PH(C$2,$A158)</f>
        <v>2.2424418325815E-005</v>
      </c>
      <c r="D158" s="39" t="n">
        <f aca="false">MY_PH(D$2,$A158)</f>
        <v>2.24244504130291E-005</v>
      </c>
      <c r="E158" s="39" t="n">
        <f aca="false">MY_PH(E$2,$A158)</f>
        <v>2.24244825003094E-005</v>
      </c>
      <c r="F158" s="39" t="n">
        <f aca="false">MY_PH(F$2,$A158)</f>
        <v>2.24245145876557E-005</v>
      </c>
      <c r="G158" s="39" t="n">
        <f aca="false">MY_PH(G$2,$A158)</f>
        <v>2.2424835464754E-005</v>
      </c>
      <c r="H158" s="39" t="n">
        <f aca="false">MY_PH(H$2,$A158)</f>
        <v>2.2425156348459E-005</v>
      </c>
      <c r="I158" s="39" t="n">
        <f aca="false">MY_PH(I$2,$A158)</f>
        <v>2.24254772387677E-005</v>
      </c>
      <c r="J158" s="39" t="n">
        <f aca="false">MY_PH(J$2,$A158)</f>
        <v>2.24257981356773E-005</v>
      </c>
      <c r="K158" s="39" t="n">
        <f aca="false">MY_PH(K$2,$A158)</f>
        <v>2.24261190391847E-005</v>
      </c>
      <c r="L158" s="39" t="n">
        <f aca="false">MY_PH(L$2,$A158)</f>
        <v>2.24264399492871E-005</v>
      </c>
      <c r="M158" s="39" t="n">
        <f aca="false">MY_PH(M$2,$A158)</f>
        <v>2.24267608659814E-005</v>
      </c>
      <c r="N158" s="39" t="n">
        <f aca="false">MY_PH(N$2,$A158)</f>
        <v>2.24270817892648E-005</v>
      </c>
      <c r="O158" s="39" t="n">
        <f aca="false">MY_PH(O$2,$A158)</f>
        <v>2.24274027191343E-005</v>
      </c>
      <c r="P158" s="39" t="n">
        <f aca="false">MY_PH(P$2,$A158)</f>
        <v>2.24306123794188E-005</v>
      </c>
      <c r="Q158" s="39" t="n">
        <f aca="false">MY_PH(Q$2,$A158)</f>
        <v>2.24338226950856E-005</v>
      </c>
      <c r="R158" s="39" t="n">
        <f aca="false">MY_PH(R$2,$A158)</f>
        <v>2.24370336632084E-005</v>
      </c>
      <c r="S158" s="39" t="n">
        <f aca="false">MY_PH(S$2,$A158)</f>
        <v>2.24402452808698E-005</v>
      </c>
      <c r="T158" s="39" t="n">
        <f aca="false">MY_PH(T$2,$A158)</f>
        <v>2.24434575451609E-005</v>
      </c>
      <c r="U158" s="39" t="n">
        <f aca="false">MY_PH(U$2,$A158)</f>
        <v>2.24466704531819E-005</v>
      </c>
      <c r="V158" s="39" t="n">
        <f aca="false">MY_PH(V$2,$A158)</f>
        <v>2.24498840020413E-005</v>
      </c>
      <c r="W158" s="39" t="n">
        <f aca="false">MY_PH(W$2,$A158)</f>
        <v>2.24530981888565E-005</v>
      </c>
      <c r="X158" s="39" t="n">
        <f aca="false">MY_PH(X$2,$A158)</f>
        <v>2.24563130107538E-005</v>
      </c>
      <c r="Y158" s="39" t="n">
        <f aca="false">MY_PH(Y$2,$A158)</f>
        <v>2.24884955332054E-005</v>
      </c>
      <c r="Z158" s="39" t="n">
        <f aca="false">MY_PH(Z$2,$A158)</f>
        <v>2.25207384671273E-005</v>
      </c>
      <c r="AA158" s="39" t="n">
        <f aca="false">MY_PH(AA$2,$A158)</f>
        <v>2.25530390817351E-005</v>
      </c>
      <c r="AB158" s="39" t="n">
        <f aca="false">MY_PH(AB$2,$A158)</f>
        <v>2.25853947324303E-005</v>
      </c>
      <c r="AC158" s="39" t="n">
        <f aca="false">MY_PH(AC$2,$A158)</f>
        <v>2.26178028603968E-005</v>
      </c>
      <c r="AD158" s="39" t="n">
        <f aca="false">MY_PH(AD$2,$A158)</f>
        <v>2.2650260992212E-005</v>
      </c>
      <c r="AE158" s="39" t="n">
        <f aca="false">MY_PH(AE$2,$A158)</f>
        <v>2.26827667394637E-005</v>
      </c>
      <c r="AF158" s="39" t="n">
        <f aca="false">MY_PH(AF$2,$A158)</f>
        <v>2.2715317798365E-005</v>
      </c>
      <c r="AG158" s="39" t="n">
        <f aca="false">MY_PH(AG$2,$A158)</f>
        <v>2.27479119493597E-005</v>
      </c>
      <c r="AH158" s="39" t="n">
        <f aca="false">MY_PH(AH$2,$A158)</f>
        <v>2.30757945129681E-005</v>
      </c>
      <c r="AI158" s="39" t="n">
        <f aca="false">MY_PH(AI$2,$A158)</f>
        <v>2.34061479894075E-005</v>
      </c>
      <c r="AJ158" s="39" t="n">
        <f aca="false">MY_PH(AJ$2,$A158)</f>
        <v>2.37380816064505E-005</v>
      </c>
      <c r="AK158" s="39" t="n">
        <f aca="false">MY_PH(AK$2,$A158)</f>
        <v>2.40715777668306E-005</v>
      </c>
      <c r="AL158" s="39" t="n">
        <f aca="false">MY_PH(AL$2,$A158)</f>
        <v>2.44057063758784E-005</v>
      </c>
      <c r="AM158" s="39" t="n">
        <f aca="false">MY_PH(AM$2,$A158)</f>
        <v>2.47402945519976E-005</v>
      </c>
      <c r="AN158" s="39" t="n">
        <f aca="false">MY_PH(AN$2,$A158)</f>
        <v>2.5075227387628E-005</v>
      </c>
      <c r="AO158" s="39" t="n">
        <f aca="false">MY_PH(AO$2,$A158)</f>
        <v>2.54104285268285E-005</v>
      </c>
      <c r="AP158" s="39" t="n">
        <f aca="false">MY_PH(AP$2,$A158)</f>
        <v>2.5745846016061E-005</v>
      </c>
      <c r="AQ158" s="39" t="n">
        <f aca="false">MY_PH(AQ$2,$A158)</f>
        <v>2.91046945375738E-005</v>
      </c>
      <c r="AR158" s="39" t="n">
        <f aca="false">MY_PH(AR$2,$A158)</f>
        <v>2.97969835623403E-005</v>
      </c>
      <c r="AS158" s="39" t="n">
        <f aca="false">MY_PH(AS$2,$A158)</f>
        <v>3.01105706792345E-005</v>
      </c>
    </row>
    <row r="159" customFormat="false" ht="13.8" hidden="false" customHeight="false" outlineLevel="0" collapsed="false">
      <c r="A159" s="0" t="n">
        <v>3190</v>
      </c>
      <c r="B159" s="39" t="n">
        <f aca="false">MY_PH(B$2,$A159)</f>
        <v>2.26287577862466E-005</v>
      </c>
      <c r="C159" s="39" t="n">
        <f aca="false">MY_PH(C$2,$A159)</f>
        <v>2.2628789382288E-005</v>
      </c>
      <c r="D159" s="39" t="n">
        <f aca="false">MY_PH(D$2,$A159)</f>
        <v>2.26288209783925E-005</v>
      </c>
      <c r="E159" s="39" t="n">
        <f aca="false">MY_PH(E$2,$A159)</f>
        <v>2.26288525745601E-005</v>
      </c>
      <c r="F159" s="39" t="n">
        <f aca="false">MY_PH(F$2,$A159)</f>
        <v>2.26288841707907E-005</v>
      </c>
      <c r="G159" s="39" t="n">
        <f aca="false">MY_PH(G$2,$A159)</f>
        <v>2.26292001365648E-005</v>
      </c>
      <c r="H159" s="39" t="n">
        <f aca="false">MY_PH(H$2,$A159)</f>
        <v>2.26295161086425E-005</v>
      </c>
      <c r="I159" s="39" t="n">
        <f aca="false">MY_PH(I$2,$A159)</f>
        <v>2.26298320870213E-005</v>
      </c>
      <c r="J159" s="39" t="n">
        <f aca="false">MY_PH(J$2,$A159)</f>
        <v>2.26301480716983E-005</v>
      </c>
      <c r="K159" s="39" t="n">
        <f aca="false">MY_PH(K$2,$A159)</f>
        <v>2.26304640626709E-005</v>
      </c>
      <c r="L159" s="39" t="n">
        <f aca="false">MY_PH(L$2,$A159)</f>
        <v>2.26307800599364E-005</v>
      </c>
      <c r="M159" s="39" t="n">
        <f aca="false">MY_PH(M$2,$A159)</f>
        <v>2.26310960634922E-005</v>
      </c>
      <c r="N159" s="39" t="n">
        <f aca="false">MY_PH(N$2,$A159)</f>
        <v>2.26314120733355E-005</v>
      </c>
      <c r="O159" s="39" t="n">
        <f aca="false">MY_PH(O$2,$A159)</f>
        <v>2.26317280894637E-005</v>
      </c>
      <c r="P159" s="39" t="n">
        <f aca="false">MY_PH(P$2,$A159)</f>
        <v>2.26348885958258E-005</v>
      </c>
      <c r="Q159" s="39" t="n">
        <f aca="false">MY_PH(Q$2,$A159)</f>
        <v>2.26380497277371E-005</v>
      </c>
      <c r="R159" s="39" t="n">
        <f aca="false">MY_PH(R$2,$A159)</f>
        <v>2.26412114825329E-005</v>
      </c>
      <c r="S159" s="39" t="n">
        <f aca="false">MY_PH(S$2,$A159)</f>
        <v>2.26443738575564E-005</v>
      </c>
      <c r="T159" s="39" t="n">
        <f aca="false">MY_PH(T$2,$A159)</f>
        <v>2.26475368501583E-005</v>
      </c>
      <c r="U159" s="39" t="n">
        <f aca="false">MY_PH(U$2,$A159)</f>
        <v>2.26507004576972E-005</v>
      </c>
      <c r="V159" s="39" t="n">
        <f aca="false">MY_PH(V$2,$A159)</f>
        <v>2.2653864677539E-005</v>
      </c>
      <c r="W159" s="39" t="n">
        <f aca="false">MY_PH(W$2,$A159)</f>
        <v>2.26570295070576E-005</v>
      </c>
      <c r="X159" s="39" t="n">
        <f aca="false">MY_PH(X$2,$A159)</f>
        <v>2.26601949436342E-005</v>
      </c>
      <c r="Y159" s="39" t="n">
        <f aca="false">MY_PH(Y$2,$A159)</f>
        <v>2.26918821269674E-005</v>
      </c>
      <c r="Z159" s="39" t="n">
        <f aca="false">MY_PH(Z$2,$A159)</f>
        <v>2.27236271923195E-005</v>
      </c>
      <c r="AA159" s="39" t="n">
        <f aca="false">MY_PH(AA$2,$A159)</f>
        <v>2.27554276467956E-005</v>
      </c>
      <c r="AB159" s="39" t="n">
        <f aca="false">MY_PH(AB$2,$A159)</f>
        <v>2.27872810732995E-005</v>
      </c>
      <c r="AC159" s="39" t="n">
        <f aca="false">MY_PH(AC$2,$A159)</f>
        <v>2.28191851302369E-005</v>
      </c>
      <c r="AD159" s="39" t="n">
        <f aca="false">MY_PH(AD$2,$A159)</f>
        <v>2.28511375512253E-005</v>
      </c>
      <c r="AE159" s="39" t="n">
        <f aca="false">MY_PH(AE$2,$A159)</f>
        <v>2.2883136144805E-005</v>
      </c>
      <c r="AF159" s="39" t="n">
        <f aca="false">MY_PH(AF$2,$A159)</f>
        <v>2.29151787941444E-005</v>
      </c>
      <c r="AG159" s="39" t="n">
        <f aca="false">MY_PH(AG$2,$A159)</f>
        <v>2.29472634567351E-005</v>
      </c>
      <c r="AH159" s="39" t="n">
        <f aca="false">MY_PH(AH$2,$A159)</f>
        <v>2.32700238606924E-005</v>
      </c>
      <c r="AI159" s="39" t="n">
        <f aca="false">MY_PH(AI$2,$A159)</f>
        <v>2.35952729835604E-005</v>
      </c>
      <c r="AJ159" s="39" t="n">
        <f aca="false">MY_PH(AJ$2,$A159)</f>
        <v>2.39221810493473E-005</v>
      </c>
      <c r="AK159" s="39" t="n">
        <f aca="false">MY_PH(AK$2,$A159)</f>
        <v>2.42507987906141E-005</v>
      </c>
      <c r="AL159" s="39" t="n">
        <f aca="false">MY_PH(AL$2,$A159)</f>
        <v>2.45801901453022E-005</v>
      </c>
      <c r="AM159" s="39" t="n">
        <f aca="false">MY_PH(AM$2,$A159)</f>
        <v>2.49101774083027E-005</v>
      </c>
      <c r="AN159" s="39" t="n">
        <f aca="false">MY_PH(AN$2,$A159)</f>
        <v>2.52406374964773E-005</v>
      </c>
      <c r="AO159" s="39" t="n">
        <f aca="false">MY_PH(AO$2,$A159)</f>
        <v>2.55714842692198E-005</v>
      </c>
      <c r="AP159" s="39" t="n">
        <f aca="false">MY_PH(AP$2,$A159)</f>
        <v>2.59026555347322E-005</v>
      </c>
      <c r="AQ159" s="39" t="n">
        <f aca="false">MY_PH(AQ$2,$A159)</f>
        <v>2.92232302972167E-005</v>
      </c>
      <c r="AR159" s="39" t="n">
        <f aca="false">MY_PH(AR$2,$A159)</f>
        <v>2.99082944812427E-005</v>
      </c>
      <c r="AS159" s="39" t="n">
        <f aca="false">MY_PH(AS$2,$A159)</f>
        <v>3.02186636995855E-005</v>
      </c>
    </row>
    <row r="160" customFormat="false" ht="13.8" hidden="false" customHeight="false" outlineLevel="0" collapsed="false">
      <c r="A160" s="0" t="n">
        <v>3200</v>
      </c>
      <c r="B160" s="39" t="n">
        <f aca="false">MY_PH(B$2,$A160)</f>
        <v>2.28328021047722E-005</v>
      </c>
      <c r="C160" s="39" t="n">
        <f aca="false">MY_PH(C$2,$A160)</f>
        <v>2.28328332244892E-005</v>
      </c>
      <c r="D160" s="39" t="n">
        <f aca="false">MY_PH(D$2,$A160)</f>
        <v>2.28328643442665E-005</v>
      </c>
      <c r="E160" s="39" t="n">
        <f aca="false">MY_PH(E$2,$A160)</f>
        <v>2.28328954641041E-005</v>
      </c>
      <c r="F160" s="39" t="n">
        <f aca="false">MY_PH(F$2,$A160)</f>
        <v>2.2832926584002E-005</v>
      </c>
      <c r="G160" s="39" t="n">
        <f aca="false">MY_PH(G$2,$A160)</f>
        <v>2.28332377862964E-005</v>
      </c>
      <c r="H160" s="39" t="n">
        <f aca="false">MY_PH(H$2,$A160)</f>
        <v>2.28335489946177E-005</v>
      </c>
      <c r="I160" s="39" t="n">
        <f aca="false">MY_PH(I$2,$A160)</f>
        <v>2.28338602089635E-005</v>
      </c>
      <c r="J160" s="39" t="n">
        <f aca="false">MY_PH(J$2,$A160)</f>
        <v>2.28341714293312E-005</v>
      </c>
      <c r="K160" s="39" t="n">
        <f aca="false">MY_PH(K$2,$A160)</f>
        <v>2.28344826557184E-005</v>
      </c>
      <c r="L160" s="39" t="n">
        <f aca="false">MY_PH(L$2,$A160)</f>
        <v>2.28347938881227E-005</v>
      </c>
      <c r="M160" s="39" t="n">
        <f aca="false">MY_PH(M$2,$A160)</f>
        <v>2.28351051265416E-005</v>
      </c>
      <c r="N160" s="39" t="n">
        <f aca="false">MY_PH(N$2,$A160)</f>
        <v>2.28354163709727E-005</v>
      </c>
      <c r="O160" s="39" t="n">
        <f aca="false">MY_PH(O$2,$A160)</f>
        <v>2.28357276214135E-005</v>
      </c>
      <c r="P160" s="39" t="n">
        <f aca="false">MY_PH(P$2,$A160)</f>
        <v>2.28388404558203E-005</v>
      </c>
      <c r="Q160" s="39" t="n">
        <f aca="false">MY_PH(Q$2,$A160)</f>
        <v>2.28419538885171E-005</v>
      </c>
      <c r="R160" s="39" t="n">
        <f aca="false">MY_PH(R$2,$A160)</f>
        <v>2.28450679170708E-005</v>
      </c>
      <c r="S160" s="39" t="n">
        <f aca="false">MY_PH(S$2,$A160)</f>
        <v>2.28481825390548E-005</v>
      </c>
      <c r="T160" s="39" t="n">
        <f aca="false">MY_PH(T$2,$A160)</f>
        <v>2.28512977520494E-005</v>
      </c>
      <c r="U160" s="39" t="n">
        <f aca="false">MY_PH(U$2,$A160)</f>
        <v>2.28544135536416E-005</v>
      </c>
      <c r="V160" s="39" t="n">
        <f aca="false">MY_PH(V$2,$A160)</f>
        <v>2.28575299414251E-005</v>
      </c>
      <c r="W160" s="39" t="n">
        <f aca="false">MY_PH(W$2,$A160)</f>
        <v>2.28606469130005E-005</v>
      </c>
      <c r="X160" s="39" t="n">
        <f aca="false">MY_PH(X$2,$A160)</f>
        <v>2.28637644659749E-005</v>
      </c>
      <c r="Y160" s="39" t="n">
        <f aca="false">MY_PH(Y$2,$A160)</f>
        <v>2.28949714510602E-005</v>
      </c>
      <c r="Z160" s="39" t="n">
        <f aca="false">MY_PH(Z$2,$A160)</f>
        <v>2.2926233993878E-005</v>
      </c>
      <c r="AA160" s="39" t="n">
        <f aca="false">MY_PH(AA$2,$A160)</f>
        <v>2.29575498123639E-005</v>
      </c>
      <c r="AB160" s="39" t="n">
        <f aca="false">MY_PH(AB$2,$A160)</f>
        <v>2.29889166912766E-005</v>
      </c>
      <c r="AC160" s="39" t="n">
        <f aca="false">MY_PH(AC$2,$A160)</f>
        <v>2.30203324819774E-005</v>
      </c>
      <c r="AD160" s="39" t="n">
        <f aca="false">MY_PH(AD$2,$A160)</f>
        <v>2.30517951022114E-005</v>
      </c>
      <c r="AE160" s="39" t="n">
        <f aca="false">MY_PH(AE$2,$A160)</f>
        <v>2.30833025358867E-005</v>
      </c>
      <c r="AF160" s="39" t="n">
        <f aca="false">MY_PH(AF$2,$A160)</f>
        <v>2.31148528328463E-005</v>
      </c>
      <c r="AG160" s="39" t="n">
        <f aca="false">MY_PH(AG$2,$A160)</f>
        <v>2.31464441086288E-005</v>
      </c>
      <c r="AH160" s="39" t="n">
        <f aca="false">MY_PH(AH$2,$A160)</f>
        <v>2.34642425017879E-005</v>
      </c>
      <c r="AI160" s="39" t="n">
        <f aca="false">MY_PH(AI$2,$A160)</f>
        <v>2.37845394748866E-005</v>
      </c>
      <c r="AJ160" s="39" t="n">
        <f aca="false">MY_PH(AJ$2,$A160)</f>
        <v>2.4106562191977E-005</v>
      </c>
      <c r="AK160" s="39" t="n">
        <f aca="false">MY_PH(AK$2,$A160)</f>
        <v>2.44304156693829E-005</v>
      </c>
      <c r="AL160" s="39" t="n">
        <f aca="false">MY_PH(AL$2,$A160)</f>
        <v>2.4755171535378E-005</v>
      </c>
      <c r="AM160" s="39" t="n">
        <f aca="false">MY_PH(AM$2,$A160)</f>
        <v>2.50806485552332E-005</v>
      </c>
      <c r="AN160" s="39" t="n">
        <f aca="false">MY_PH(AN$2,$A160)</f>
        <v>2.54067169276445E-005</v>
      </c>
      <c r="AO160" s="39" t="n">
        <f aca="false">MY_PH(AO$2,$A160)</f>
        <v>2.5733282186462E-005</v>
      </c>
      <c r="AP160" s="39" t="n">
        <f aca="false">MY_PH(AP$2,$A160)</f>
        <v>2.6060273266647E-005</v>
      </c>
      <c r="AQ160" s="39" t="n">
        <f aca="false">MY_PH(AQ$2,$A160)</f>
        <v>2.93430514968877E-005</v>
      </c>
      <c r="AR160" s="39" t="n">
        <f aca="false">MY_PH(AR$2,$A160)</f>
        <v>3.00209715205202E-005</v>
      </c>
      <c r="AS160" s="39" t="n">
        <f aca="false">MY_PH(AS$2,$A160)</f>
        <v>3.03281584021107E-005</v>
      </c>
    </row>
    <row r="161" customFormat="false" ht="13.8" hidden="false" customHeight="false" outlineLevel="0" collapsed="false">
      <c r="A161" s="0" t="n">
        <v>3210</v>
      </c>
      <c r="B161" s="39" t="n">
        <f aca="false">MY_PH(B$2,$A161)</f>
        <v>2.30365102333224E-005</v>
      </c>
      <c r="C161" s="39" t="n">
        <f aca="false">MY_PH(C$2,$A161)</f>
        <v>2.30365408907704E-005</v>
      </c>
      <c r="D161" s="39" t="n">
        <f aca="false">MY_PH(D$2,$A161)</f>
        <v>2.30365715482761E-005</v>
      </c>
      <c r="E161" s="39" t="n">
        <f aca="false">MY_PH(E$2,$A161)</f>
        <v>2.30366022058396E-005</v>
      </c>
      <c r="F161" s="39" t="n">
        <f aca="false">MY_PH(F$2,$A161)</f>
        <v>2.30366328634608E-005</v>
      </c>
      <c r="G161" s="39" t="n">
        <f aca="false">MY_PH(G$2,$A161)</f>
        <v>2.30369394428496E-005</v>
      </c>
      <c r="H161" s="39" t="n">
        <f aca="false">MY_PH(H$2,$A161)</f>
        <v>2.30372460280117E-005</v>
      </c>
      <c r="I161" s="39" t="n">
        <f aca="false">MY_PH(I$2,$A161)</f>
        <v>2.3037552618945E-005</v>
      </c>
      <c r="J161" s="39" t="n">
        <f aca="false">MY_PH(J$2,$A161)</f>
        <v>2.30378592156473E-005</v>
      </c>
      <c r="K161" s="39" t="n">
        <f aca="false">MY_PH(K$2,$A161)</f>
        <v>2.30381658181163E-005</v>
      </c>
      <c r="L161" s="39" t="n">
        <f aca="false">MY_PH(L$2,$A161)</f>
        <v>2.30384724263498E-005</v>
      </c>
      <c r="M161" s="39" t="n">
        <f aca="false">MY_PH(M$2,$A161)</f>
        <v>2.30387790403454E-005</v>
      </c>
      <c r="N161" s="39" t="n">
        <f aca="false">MY_PH(N$2,$A161)</f>
        <v>2.30390856601011E-005</v>
      </c>
      <c r="O161" s="39" t="n">
        <f aca="false">MY_PH(O$2,$A161)</f>
        <v>2.30393922856145E-005</v>
      </c>
      <c r="P161" s="39" t="n">
        <f aca="false">MY_PH(P$2,$A161)</f>
        <v>2.30424588569331E-005</v>
      </c>
      <c r="Q161" s="39" t="n">
        <f aca="false">MY_PH(Q$2,$A161)</f>
        <v>2.30455260015697E-005</v>
      </c>
      <c r="R161" s="39" t="n">
        <f aca="false">MY_PH(R$2,$A161)</f>
        <v>2.30485937172961E-005</v>
      </c>
      <c r="S161" s="39" t="n">
        <f aca="false">MY_PH(S$2,$A161)</f>
        <v>2.30516620018906E-005</v>
      </c>
      <c r="T161" s="39" t="n">
        <f aca="false">MY_PH(T$2,$A161)</f>
        <v>2.30547308531368E-005</v>
      </c>
      <c r="U161" s="39" t="n">
        <f aca="false">MY_PH(U$2,$A161)</f>
        <v>2.30578002688248E-005</v>
      </c>
      <c r="V161" s="39" t="n">
        <f aca="false">MY_PH(V$2,$A161)</f>
        <v>2.30608702467502E-005</v>
      </c>
      <c r="W161" s="39" t="n">
        <f aca="false">MY_PH(W$2,$A161)</f>
        <v>2.30639407847149E-005</v>
      </c>
      <c r="X161" s="39" t="n">
        <f aca="false">MY_PH(X$2,$A161)</f>
        <v>2.30670118805265E-005</v>
      </c>
      <c r="Y161" s="39" t="n">
        <f aca="false">MY_PH(Y$2,$A161)</f>
        <v>2.30977530421586E-005</v>
      </c>
      <c r="Z161" s="39" t="n">
        <f aca="false">MY_PH(Z$2,$A161)</f>
        <v>2.31285476209833E-005</v>
      </c>
      <c r="AA161" s="39" t="n">
        <f aca="false">MY_PH(AA$2,$A161)</f>
        <v>2.31593935224426E-005</v>
      </c>
      <c r="AB161" s="39" t="n">
        <f aca="false">MY_PH(AB$2,$A161)</f>
        <v>2.31902887110131E-005</v>
      </c>
      <c r="AC161" s="39" t="n">
        <f aca="false">MY_PH(AC$2,$A161)</f>
        <v>2.32212312100395E-005</v>
      </c>
      <c r="AD161" s="39" t="n">
        <f aca="false">MY_PH(AD$2,$A161)</f>
        <v>2.32522191015677E-005</v>
      </c>
      <c r="AE161" s="39" t="n">
        <f aca="false">MY_PH(AE$2,$A161)</f>
        <v>2.32832505261733E-005</v>
      </c>
      <c r="AF161" s="39" t="n">
        <f aca="false">MY_PH(AF$2,$A161)</f>
        <v>2.33143236827825E-005</v>
      </c>
      <c r="AG161" s="39" t="n">
        <f aca="false">MY_PH(AG$2,$A161)</f>
        <v>2.33454368284819E-005</v>
      </c>
      <c r="AH161" s="39" t="n">
        <f aca="false">MY_PH(AH$2,$A161)</f>
        <v>2.36584253531094E-005</v>
      </c>
      <c r="AI161" s="39" t="n">
        <f aca="false">MY_PH(AI$2,$A161)</f>
        <v>2.3973915980332E-005</v>
      </c>
      <c r="AJ161" s="39" t="n">
        <f aca="false">MY_PH(AJ$2,$A161)</f>
        <v>2.42911889633571E-005</v>
      </c>
      <c r="AK161" s="39" t="n">
        <f aca="false">MY_PH(AK$2,$A161)</f>
        <v>2.46103898595848E-005</v>
      </c>
      <c r="AL161" s="39" t="n">
        <f aca="false">MY_PH(AL$2,$A161)</f>
        <v>2.49306104068236E-005</v>
      </c>
      <c r="AM161" s="39" t="n">
        <f aca="false">MY_PH(AM$2,$A161)</f>
        <v>2.52516669621214E-005</v>
      </c>
      <c r="AN161" s="39" t="n">
        <f aca="false">MY_PH(AN$2,$A161)</f>
        <v>2.55734242906376E-005</v>
      </c>
      <c r="AO161" s="39" t="n">
        <f aca="false">MY_PH(AO$2,$A161)</f>
        <v>2.58957809018447E-005</v>
      </c>
      <c r="AP161" s="39" t="n">
        <f aca="false">MY_PH(AP$2,$A161)</f>
        <v>2.6218658087035E-005</v>
      </c>
      <c r="AQ161" s="39" t="n">
        <f aca="false">MY_PH(AQ$2,$A161)</f>
        <v>2.94641188900804E-005</v>
      </c>
      <c r="AR161" s="39" t="n">
        <f aca="false">MY_PH(AR$2,$A161)</f>
        <v>3.01349751021547E-005</v>
      </c>
      <c r="AS161" s="39" t="n">
        <f aca="false">MY_PH(AS$2,$A161)</f>
        <v>3.04390150611416E-005</v>
      </c>
    </row>
    <row r="162" customFormat="false" ht="13.8" hidden="false" customHeight="false" outlineLevel="0" collapsed="false">
      <c r="A162" s="0" t="n">
        <v>3220</v>
      </c>
      <c r="B162" s="39" t="n">
        <f aca="false">MY_PH(B$2,$A162)</f>
        <v>2.32398736100517E-005</v>
      </c>
      <c r="C162" s="39" t="n">
        <f aca="false">MY_PH(C$2,$A162)</f>
        <v>2.32399038186098E-005</v>
      </c>
      <c r="D162" s="39" t="n">
        <f aca="false">MY_PH(D$2,$A162)</f>
        <v>2.32399340272233E-005</v>
      </c>
      <c r="E162" s="39" t="n">
        <f aca="false">MY_PH(E$2,$A162)</f>
        <v>2.32399642358923E-005</v>
      </c>
      <c r="F162" s="39" t="n">
        <f aca="false">MY_PH(F$2,$A162)</f>
        <v>2.32399944446167E-005</v>
      </c>
      <c r="G162" s="39" t="n">
        <f aca="false">MY_PH(G$2,$A162)</f>
        <v>2.32402965349086E-005</v>
      </c>
      <c r="H162" s="39" t="n">
        <f aca="false">MY_PH(H$2,$A162)</f>
        <v>2.32405986307414E-005</v>
      </c>
      <c r="I162" s="39" t="n">
        <f aca="false">MY_PH(I$2,$A162)</f>
        <v>2.32409007321128E-005</v>
      </c>
      <c r="J162" s="39" t="n">
        <f aca="false">MY_PH(J$2,$A162)</f>
        <v>2.32412028390208E-005</v>
      </c>
      <c r="K162" s="39" t="n">
        <f aca="false">MY_PH(K$2,$A162)</f>
        <v>2.32415049514634E-005</v>
      </c>
      <c r="L162" s="39" t="n">
        <f aca="false">MY_PH(L$2,$A162)</f>
        <v>2.32418070694385E-005</v>
      </c>
      <c r="M162" s="39" t="n">
        <f aca="false">MY_PH(M$2,$A162)</f>
        <v>2.3242109192944E-005</v>
      </c>
      <c r="N162" s="39" t="n">
        <f aca="false">MY_PH(N$2,$A162)</f>
        <v>2.32424113219779E-005</v>
      </c>
      <c r="O162" s="39" t="n">
        <f aca="false">MY_PH(O$2,$A162)</f>
        <v>2.32427134565382E-005</v>
      </c>
      <c r="P162" s="39" t="n">
        <f aca="false">MY_PH(P$2,$A162)</f>
        <v>2.32457351056384E-005</v>
      </c>
      <c r="Q162" s="39" t="n">
        <f aca="false">MY_PH(Q$2,$A162)</f>
        <v>2.32487573051175E-005</v>
      </c>
      <c r="R162" s="39" t="n">
        <f aca="false">MY_PH(R$2,$A162)</f>
        <v>2.32517800529305E-005</v>
      </c>
      <c r="S162" s="39" t="n">
        <f aca="false">MY_PH(S$2,$A162)</f>
        <v>2.32548033470372E-005</v>
      </c>
      <c r="T162" s="39" t="n">
        <f aca="false">MY_PH(T$2,$A162)</f>
        <v>2.3257827185403E-005</v>
      </c>
      <c r="U162" s="39" t="n">
        <f aca="false">MY_PH(U$2,$A162)</f>
        <v>2.32608515659984E-005</v>
      </c>
      <c r="V162" s="39" t="n">
        <f aca="false">MY_PH(V$2,$A162)</f>
        <v>2.32638764867994E-005</v>
      </c>
      <c r="W162" s="39" t="n">
        <f aca="false">MY_PH(W$2,$A162)</f>
        <v>2.32669019457868E-005</v>
      </c>
      <c r="X162" s="39" t="n">
        <f aca="false">MY_PH(X$2,$A162)</f>
        <v>2.32699279409471E-005</v>
      </c>
      <c r="Y162" s="39" t="n">
        <f aca="false">MY_PH(Y$2,$A162)</f>
        <v>2.33002169428E-005</v>
      </c>
      <c r="Z162" s="39" t="n">
        <f aca="false">MY_PH(Z$2,$A162)</f>
        <v>2.33305573858426E-005</v>
      </c>
      <c r="AA162" s="39" t="n">
        <f aca="false">MY_PH(AA$2,$A162)</f>
        <v>2.33609473428682E-005</v>
      </c>
      <c r="AB162" s="39" t="n">
        <f aca="false">MY_PH(AB$2,$A162)</f>
        <v>2.33913849389195E-005</v>
      </c>
      <c r="AC162" s="39" t="n">
        <f aca="false">MY_PH(AC$2,$A162)</f>
        <v>2.34218683511615E-005</v>
      </c>
      <c r="AD162" s="39" t="n">
        <f aca="false">MY_PH(AD$2,$A162)</f>
        <v>2.34523958087519E-005</v>
      </c>
      <c r="AE162" s="39" t="n">
        <f aca="false">MY_PH(AE$2,$A162)</f>
        <v>2.3482965592705E-005</v>
      </c>
      <c r="AF162" s="39" t="n">
        <f aca="false">MY_PH(AF$2,$A162)</f>
        <v>2.35135760357496E-005</v>
      </c>
      <c r="AG162" s="39" t="n">
        <f aca="false">MY_PH(AG$2,$A162)</f>
        <v>2.35442255221755E-005</v>
      </c>
      <c r="AH162" s="39" t="n">
        <f aca="false">MY_PH(AH$2,$A162)</f>
        <v>2.38525487946398E-005</v>
      </c>
      <c r="AI162" s="39" t="n">
        <f aca="false">MY_PH(AI$2,$A162)</f>
        <v>2.41633726673934E-005</v>
      </c>
      <c r="AJ162" s="39" t="n">
        <f aca="false">MY_PH(AJ$2,$A162)</f>
        <v>2.44760268957459E-005</v>
      </c>
      <c r="AK162" s="39" t="n">
        <f aca="false">MY_PH(AK$2,$A162)</f>
        <v>2.47906843678608E-005</v>
      </c>
      <c r="AL162" s="39" t="n">
        <f aca="false">MY_PH(AL$2,$A162)</f>
        <v>2.51064680662911E-005</v>
      </c>
      <c r="AM162" s="39" t="n">
        <f aca="false">MY_PH(AM$2,$A162)</f>
        <v>2.54231929082691E-005</v>
      </c>
      <c r="AN162" s="39" t="n">
        <f aca="false">MY_PH(AN$2,$A162)</f>
        <v>2.57407193549047E-005</v>
      </c>
      <c r="AO162" s="39" t="n">
        <f aca="false">MY_PH(AO$2,$A162)</f>
        <v>2.60589400489314E-005</v>
      </c>
      <c r="AP162" s="39" t="n">
        <f aca="false">MY_PH(AP$2,$A162)</f>
        <v>2.63777697428073E-005</v>
      </c>
      <c r="AQ162" s="39" t="n">
        <f aca="false">MY_PH(AQ$2,$A162)</f>
        <v>2.95863936414655E-005</v>
      </c>
      <c r="AR162" s="39" t="n">
        <f aca="false">MY_PH(AR$2,$A162)</f>
        <v>3.02502660061955E-005</v>
      </c>
      <c r="AS162" s="39" t="n">
        <f aca="false">MY_PH(AS$2,$A162)</f>
        <v>3.05511942730524E-005</v>
      </c>
    </row>
    <row r="163" customFormat="false" ht="13.8" hidden="false" customHeight="false" outlineLevel="0" collapsed="false">
      <c r="A163" s="0" t="n">
        <v>3230</v>
      </c>
      <c r="B163" s="39" t="n">
        <f aca="false">MY_PH(B$2,$A163)</f>
        <v>2.34428840572179E-005</v>
      </c>
      <c r="C163" s="39" t="n">
        <f aca="false">MY_PH(C$2,$A163)</f>
        <v>2.34429138296348E-005</v>
      </c>
      <c r="D163" s="39" t="n">
        <f aca="false">MY_PH(D$2,$A163)</f>
        <v>2.34429436021049E-005</v>
      </c>
      <c r="E163" s="39" t="n">
        <f aca="false">MY_PH(E$2,$A163)</f>
        <v>2.34429733746284E-005</v>
      </c>
      <c r="F163" s="39" t="n">
        <f aca="false">MY_PH(F$2,$A163)</f>
        <v>2.34430031472051E-005</v>
      </c>
      <c r="G163" s="39" t="n">
        <f aca="false">MY_PH(G$2,$A163)</f>
        <v>2.34433008759026E-005</v>
      </c>
      <c r="H163" s="39" t="n">
        <f aca="false">MY_PH(H$2,$A163)</f>
        <v>2.34435986099267E-005</v>
      </c>
      <c r="I163" s="39" t="n">
        <f aca="false">MY_PH(I$2,$A163)</f>
        <v>2.34438963492753E-005</v>
      </c>
      <c r="J163" s="39" t="n">
        <f aca="false">MY_PH(J$2,$A163)</f>
        <v>2.34441940939466E-005</v>
      </c>
      <c r="K163" s="39" t="n">
        <f aca="false">MY_PH(K$2,$A163)</f>
        <v>2.34444918439387E-005</v>
      </c>
      <c r="L163" s="39" t="n">
        <f aca="false">MY_PH(L$2,$A163)</f>
        <v>2.34447895992497E-005</v>
      </c>
      <c r="M163" s="39" t="n">
        <f aca="false">MY_PH(M$2,$A163)</f>
        <v>2.34450873598777E-005</v>
      </c>
      <c r="N163" s="39" t="n">
        <f aca="false">MY_PH(N$2,$A163)</f>
        <v>2.34453851258209E-005</v>
      </c>
      <c r="O163" s="39" t="n">
        <f aca="false">MY_PH(O$2,$A163)</f>
        <v>2.34456828970773E-005</v>
      </c>
      <c r="P163" s="39" t="n">
        <f aca="false">MY_PH(P$2,$A163)</f>
        <v>2.34486609014543E-005</v>
      </c>
      <c r="Q163" s="39" t="n">
        <f aca="false">MY_PH(Q$2,$A163)</f>
        <v>2.34516394350803E-005</v>
      </c>
      <c r="R163" s="39" t="n">
        <f aca="false">MY_PH(R$2,$A163)</f>
        <v>2.34546184960735E-005</v>
      </c>
      <c r="S163" s="39" t="n">
        <f aca="false">MY_PH(S$2,$A163)</f>
        <v>2.34575980825566E-005</v>
      </c>
      <c r="T163" s="39" t="n">
        <f aca="false">MY_PH(T$2,$A163)</f>
        <v>2.34605781926571E-005</v>
      </c>
      <c r="U163" s="39" t="n">
        <f aca="false">MY_PH(U$2,$A163)</f>
        <v>2.34635588245071E-005</v>
      </c>
      <c r="V163" s="39" t="n">
        <f aca="false">MY_PH(V$2,$A163)</f>
        <v>2.34665399762433E-005</v>
      </c>
      <c r="W163" s="39" t="n">
        <f aca="false">MY_PH(W$2,$A163)</f>
        <v>2.3469521646007E-005</v>
      </c>
      <c r="X163" s="39" t="n">
        <f aca="false">MY_PH(X$2,$A163)</f>
        <v>2.34725038319444E-005</v>
      </c>
      <c r="Y163" s="39" t="n">
        <f aca="false">MY_PH(Y$2,$A163)</f>
        <v>2.35023536763258E-005</v>
      </c>
      <c r="Z163" s="39" t="n">
        <f aca="false">MY_PH(Z$2,$A163)</f>
        <v>2.35322531332416E-005</v>
      </c>
      <c r="AA163" s="39" t="n">
        <f aca="false">MY_PH(AA$2,$A163)</f>
        <v>2.35622004253698E-005</v>
      </c>
      <c r="AB163" s="39" t="n">
        <f aca="false">MY_PH(AB$2,$A163)</f>
        <v>2.35921938217074E-005</v>
      </c>
      <c r="AC163" s="39" t="n">
        <f aca="false">MY_PH(AC$2,$A163)</f>
        <v>2.36222316374709E-005</v>
      </c>
      <c r="AD163" s="39" t="n">
        <f aca="false">MY_PH(AD$2,$A163)</f>
        <v>2.36523122339932E-005</v>
      </c>
      <c r="AE163" s="39" t="n">
        <f aca="false">MY_PH(AE$2,$A163)</f>
        <v>2.36824340186146E-005</v>
      </c>
      <c r="AF163" s="39" t="n">
        <f aca="false">MY_PH(AF$2,$A163)</f>
        <v>2.37125954445674E-005</v>
      </c>
      <c r="AG163" s="39" t="n">
        <f aca="false">MY_PH(AG$2,$A163)</f>
        <v>2.374279501085E-005</v>
      </c>
      <c r="AH163" s="39" t="n">
        <f aca="false">MY_PH(AH$2,$A163)</f>
        <v>2.40465905756415E-005</v>
      </c>
      <c r="AI163" s="39" t="n">
        <f aca="false">MY_PH(AI$2,$A163)</f>
        <v>2.43528812766362E-005</v>
      </c>
      <c r="AJ163" s="39" t="n">
        <f aca="false">MY_PH(AJ$2,$A163)</f>
        <v>2.46610430828397E-005</v>
      </c>
      <c r="AK163" s="39" t="n">
        <f aca="false">MY_PH(AK$2,$A163)</f>
        <v>2.49712637213239E-005</v>
      </c>
      <c r="AL163" s="39" t="n">
        <f aca="false">MY_PH(AL$2,$A163)</f>
        <v>2.52827072505598E-005</v>
      </c>
      <c r="AM163" s="39" t="n">
        <f aca="false">MY_PH(AM$2,$A163)</f>
        <v>2.55951879809536E-005</v>
      </c>
      <c r="AN163" s="39" t="n">
        <f aca="false">MY_PH(AN$2,$A163)</f>
        <v>2.59085630600461E-005</v>
      </c>
      <c r="AO163" s="39" t="n">
        <f aca="false">MY_PH(AO$2,$A163)</f>
        <v>2.6222720291391E-005</v>
      </c>
      <c r="AP163" s="39" t="n">
        <f aca="false">MY_PH(AP$2,$A163)</f>
        <v>2.65375688789708E-005</v>
      </c>
      <c r="AQ163" s="39" t="n">
        <f aca="false">MY_PH(AQ$2,$A163)</f>
        <v>2.97098373625389E-005</v>
      </c>
      <c r="AR163" s="39" t="n">
        <f aca="false">MY_PH(AR$2,$A163)</f>
        <v>3.03668054223786E-005</v>
      </c>
      <c r="AS163" s="39" t="n">
        <f aca="false">MY_PH(AS$2,$A163)</f>
        <v>3.06646570146723E-005</v>
      </c>
    </row>
    <row r="164" customFormat="false" ht="13.8" hidden="false" customHeight="false" outlineLevel="0" collapsed="false">
      <c r="A164" s="0" t="n">
        <v>3240</v>
      </c>
      <c r="B164" s="39" t="n">
        <f aca="false">MY_PH(B$2,$A164)</f>
        <v>2.36455337668546E-005</v>
      </c>
      <c r="C164" s="39" t="n">
        <f aca="false">MY_PH(C$2,$A164)</f>
        <v>2.36455631152899E-005</v>
      </c>
      <c r="D164" s="39" t="n">
        <f aca="false">MY_PH(D$2,$A164)</f>
        <v>2.36455924637766E-005</v>
      </c>
      <c r="E164" s="39" t="n">
        <f aca="false">MY_PH(E$2,$A164)</f>
        <v>2.36456218123146E-005</v>
      </c>
      <c r="F164" s="39" t="n">
        <f aca="false">MY_PH(F$2,$A164)</f>
        <v>2.36456511609039E-005</v>
      </c>
      <c r="G164" s="39" t="n">
        <f aca="false">MY_PH(G$2,$A164)</f>
        <v>2.36459446496184E-005</v>
      </c>
      <c r="H164" s="39" t="n">
        <f aca="false">MY_PH(H$2,$A164)</f>
        <v>2.36462381434615E-005</v>
      </c>
      <c r="I164" s="39" t="n">
        <f aca="false">MY_PH(I$2,$A164)</f>
        <v>2.36465316424315E-005</v>
      </c>
      <c r="J164" s="39" t="n">
        <f aca="false">MY_PH(J$2,$A164)</f>
        <v>2.36468251465266E-005</v>
      </c>
      <c r="K164" s="39" t="n">
        <f aca="false">MY_PH(K$2,$A164)</f>
        <v>2.36471186557451E-005</v>
      </c>
      <c r="L164" s="39" t="n">
        <f aca="false">MY_PH(L$2,$A164)</f>
        <v>2.36474121700854E-005</v>
      </c>
      <c r="M164" s="39" t="n">
        <f aca="false">MY_PH(M$2,$A164)</f>
        <v>2.36477056895455E-005</v>
      </c>
      <c r="N164" s="39" t="n">
        <f aca="false">MY_PH(N$2,$A164)</f>
        <v>2.36479992141238E-005</v>
      </c>
      <c r="O164" s="39" t="n">
        <f aca="false">MY_PH(O$2,$A164)</f>
        <v>2.36482927438186E-005</v>
      </c>
      <c r="P164" s="39" t="n">
        <f aca="false">MY_PH(P$2,$A164)</f>
        <v>2.36512283217872E-005</v>
      </c>
      <c r="Q164" s="39" t="n">
        <f aca="false">MY_PH(Q$2,$A164)</f>
        <v>2.36541644094863E-005</v>
      </c>
      <c r="R164" s="39" t="n">
        <f aca="false">MY_PH(R$2,$A164)</f>
        <v>2.36571010051804E-005</v>
      </c>
      <c r="S164" s="39" t="n">
        <f aca="false">MY_PH(S$2,$A164)</f>
        <v>2.36600381071382E-005</v>
      </c>
      <c r="T164" s="39" t="n">
        <f aca="false">MY_PH(T$2,$A164)</f>
        <v>2.36629757136326E-005</v>
      </c>
      <c r="U164" s="39" t="n">
        <f aca="false">MY_PH(U$2,$A164)</f>
        <v>2.36659138229407E-005</v>
      </c>
      <c r="V164" s="39" t="n">
        <f aca="false">MY_PH(V$2,$A164)</f>
        <v>2.36688524333434E-005</v>
      </c>
      <c r="W164" s="39" t="n">
        <f aca="false">MY_PH(W$2,$A164)</f>
        <v>2.36717915431261E-005</v>
      </c>
      <c r="X164" s="39" t="n">
        <f aca="false">MY_PH(X$2,$A164)</f>
        <v>2.36747311505781E-005</v>
      </c>
      <c r="Y164" s="39" t="n">
        <f aca="false">MY_PH(Y$2,$A164)</f>
        <v>2.37041542235249E-005</v>
      </c>
      <c r="Z164" s="39" t="n">
        <f aca="false">MY_PH(Z$2,$A164)</f>
        <v>2.37336252123454E-005</v>
      </c>
      <c r="AA164" s="39" t="n">
        <f aca="false">MY_PH(AA$2,$A164)</f>
        <v>2.37631424744207E-005</v>
      </c>
      <c r="AB164" s="39" t="n">
        <f aca="false">MY_PH(AB$2,$A164)</f>
        <v>2.37927044082508E-005</v>
      </c>
      <c r="AC164" s="39" t="n">
        <f aca="false">MY_PH(AC$2,$A164)</f>
        <v>2.38223094533754E-005</v>
      </c>
      <c r="AD164" s="39" t="n">
        <f aca="false">MY_PH(AD$2,$A164)</f>
        <v>2.38519560902903E-005</v>
      </c>
      <c r="AE164" s="39" t="n">
        <f aca="false">MY_PH(AE$2,$A164)</f>
        <v>2.3881642840358E-005</v>
      </c>
      <c r="AF164" s="39" t="n">
        <f aca="false">MY_PH(AF$2,$A164)</f>
        <v>2.39113682657126E-005</v>
      </c>
      <c r="AG164" s="39" t="n">
        <f aca="false">MY_PH(AG$2,$A164)</f>
        <v>2.39411309691548E-005</v>
      </c>
      <c r="AH164" s="39" t="n">
        <f aca="false">MY_PH(AH$2,$A164)</f>
        <v>2.42405297265559E-005</v>
      </c>
      <c r="AI164" s="39" t="n">
        <f aca="false">MY_PH(AI$2,$A164)</f>
        <v>2.45424150462015E-005</v>
      </c>
      <c r="AJ164" s="39" t="n">
        <f aca="false">MY_PH(AJ$2,$A164)</f>
        <v>2.48462061355647E-005</v>
      </c>
      <c r="AK164" s="39" t="n">
        <f aca="false">MY_PH(AK$2,$A164)</f>
        <v>2.5152093934775E-005</v>
      </c>
      <c r="AL164" s="39" t="n">
        <f aca="false">MY_PH(AL$2,$A164)</f>
        <v>2.54592921071013E-005</v>
      </c>
      <c r="AM164" s="39" t="n">
        <f aca="false">MY_PH(AM$2,$A164)</f>
        <v>2.57676150694993E-005</v>
      </c>
      <c r="AN164" s="39" t="n">
        <f aca="false">MY_PH(AN$2,$A164)</f>
        <v>2.60769175221268E-005</v>
      </c>
      <c r="AO164" s="39" t="n">
        <f aca="false">MY_PH(AO$2,$A164)</f>
        <v>2.63870833393182E-005</v>
      </c>
      <c r="AP164" s="39" t="n">
        <f aca="false">MY_PH(AP$2,$A164)</f>
        <v>2.66980170622207E-005</v>
      </c>
      <c r="AQ164" s="39" t="n">
        <f aca="false">MY_PH(AQ$2,$A164)</f>
        <v>2.98344121441933E-005</v>
      </c>
      <c r="AR164" s="39" t="n">
        <f aca="false">MY_PH(AR$2,$A164)</f>
        <v>3.04845549977778E-005</v>
      </c>
      <c r="AS164" s="39" t="n">
        <f aca="false">MY_PH(AS$2,$A164)</f>
        <v>3.07793646987624E-005</v>
      </c>
    </row>
    <row r="165" customFormat="false" ht="13.8" hidden="false" customHeight="false" outlineLevel="0" collapsed="false">
      <c r="A165" s="0" t="n">
        <v>3250</v>
      </c>
      <c r="B165" s="39" t="n">
        <f aca="false">MY_PH(B$2,$A165)</f>
        <v>2.38478152870529E-005</v>
      </c>
      <c r="C165" s="39" t="n">
        <f aca="false">MY_PH(C$2,$A165)</f>
        <v>2.38478442231154E-005</v>
      </c>
      <c r="D165" s="39" t="n">
        <f aca="false">MY_PH(D$2,$A165)</f>
        <v>2.38478731592274E-005</v>
      </c>
      <c r="E165" s="39" t="n">
        <f aca="false">MY_PH(E$2,$A165)</f>
        <v>2.38479020953888E-005</v>
      </c>
      <c r="F165" s="39" t="n">
        <f aca="false">MY_PH(F$2,$A165)</f>
        <v>2.38479310315997E-005</v>
      </c>
      <c r="G165" s="39" t="n">
        <f aca="false">MY_PH(G$2,$A165)</f>
        <v>2.38482203964294E-005</v>
      </c>
      <c r="H165" s="39" t="n">
        <f aca="false">MY_PH(H$2,$A165)</f>
        <v>2.38485097662045E-005</v>
      </c>
      <c r="I165" s="39" t="n">
        <f aca="false">MY_PH(I$2,$A165)</f>
        <v>2.38487991409234E-005</v>
      </c>
      <c r="J165" s="39" t="n">
        <f aca="false">MY_PH(J$2,$A165)</f>
        <v>2.38490885205846E-005</v>
      </c>
      <c r="K165" s="39" t="n">
        <f aca="false">MY_PH(K$2,$A165)</f>
        <v>2.38493779051864E-005</v>
      </c>
      <c r="L165" s="39" t="n">
        <f aca="false">MY_PH(L$2,$A165)</f>
        <v>2.38496672947271E-005</v>
      </c>
      <c r="M165" s="39" t="n">
        <f aca="false">MY_PH(M$2,$A165)</f>
        <v>2.38499566892053E-005</v>
      </c>
      <c r="N165" s="39" t="n">
        <f aca="false">MY_PH(N$2,$A165)</f>
        <v>2.38502460886192E-005</v>
      </c>
      <c r="O165" s="39" t="n">
        <f aca="false">MY_PH(O$2,$A165)</f>
        <v>2.38505354929673E-005</v>
      </c>
      <c r="P165" s="39" t="n">
        <f aca="false">MY_PH(P$2,$A165)</f>
        <v>2.38534298074734E-005</v>
      </c>
      <c r="Q165" s="39" t="n">
        <f aca="false">MY_PH(Q$2,$A165)</f>
        <v>2.38563246136283E-005</v>
      </c>
      <c r="R165" s="39" t="n">
        <f aca="false">MY_PH(R$2,$A165)</f>
        <v>2.38592199098282E-005</v>
      </c>
      <c r="S165" s="39" t="n">
        <f aca="false">MY_PH(S$2,$A165)</f>
        <v>2.38621156944733E-005</v>
      </c>
      <c r="T165" s="39" t="n">
        <f aca="false">MY_PH(T$2,$A165)</f>
        <v>2.38650119659672E-005</v>
      </c>
      <c r="U165" s="39" t="n">
        <f aca="false">MY_PH(U$2,$A165)</f>
        <v>2.38679087227174E-005</v>
      </c>
      <c r="V165" s="39" t="n">
        <f aca="false">MY_PH(V$2,$A165)</f>
        <v>2.3870805963135E-005</v>
      </c>
      <c r="W165" s="39" t="n">
        <f aca="false">MY_PH(W$2,$A165)</f>
        <v>2.38737036856347E-005</v>
      </c>
      <c r="X165" s="39" t="n">
        <f aca="false">MY_PH(X$2,$A165)</f>
        <v>2.38766018886349E-005</v>
      </c>
      <c r="Y165" s="39" t="n">
        <f aca="false">MY_PH(Y$2,$A165)</f>
        <v>2.39056100008384E-005</v>
      </c>
      <c r="Z165" s="39" t="n">
        <f aca="false">MY_PH(Z$2,$A165)</f>
        <v>2.39346644505618E-005</v>
      </c>
      <c r="AA165" s="39" t="n">
        <f aca="false">MY_PH(AA$2,$A165)</f>
        <v>2.39637637166496E-005</v>
      </c>
      <c r="AB165" s="39" t="n">
        <f aca="false">MY_PH(AB$2,$A165)</f>
        <v>2.3992906314494E-005</v>
      </c>
      <c r="AC165" s="39" t="n">
        <f aca="false">MY_PH(AC$2,$A165)</f>
        <v>2.40220907959701E-005</v>
      </c>
      <c r="AD165" s="39" t="n">
        <f aca="false">MY_PH(AD$2,$A165)</f>
        <v>2.40513157493668E-005</v>
      </c>
      <c r="AE165" s="39" t="n">
        <f aca="false">MY_PH(AE$2,$A165)</f>
        <v>2.4080579799312E-005</v>
      </c>
      <c r="AF165" s="39" t="n">
        <f aca="false">MY_PH(AF$2,$A165)</f>
        <v>2.41098816066924E-005</v>
      </c>
      <c r="AG165" s="39" t="n">
        <f aca="false">MY_PH(AG$2,$A165)</f>
        <v>2.41392198685656E-005</v>
      </c>
      <c r="AH165" s="39" t="n">
        <f aca="false">MY_PH(AH$2,$A165)</f>
        <v>2.44343464765976E-005</v>
      </c>
      <c r="AI165" s="39" t="n">
        <f aca="false">MY_PH(AI$2,$A165)</f>
        <v>2.4731948638484E-005</v>
      </c>
      <c r="AJ165" s="39" t="n">
        <f aca="false">MY_PH(AJ$2,$A165)</f>
        <v>2.50314861359506E-005</v>
      </c>
      <c r="AK165" s="39" t="n">
        <f aca="false">MY_PH(AK$2,$A165)</f>
        <v>2.53331424753089E-005</v>
      </c>
      <c r="AL165" s="39" t="n">
        <f aca="false">MY_PH(AL$2,$A165)</f>
        <v>2.56361881714118E-005</v>
      </c>
      <c r="AM165" s="39" t="n">
        <f aca="false">MY_PH(AM$2,$A165)</f>
        <v>2.59404383557023E-005</v>
      </c>
      <c r="AN165" s="39" t="n">
        <f aca="false">MY_PH(AN$2,$A165)</f>
        <v>2.62457460362328E-005</v>
      </c>
      <c r="AO165" s="39" t="n">
        <f aca="false">MY_PH(AO$2,$A165)</f>
        <v>2.65519919620145E-005</v>
      </c>
      <c r="AP165" s="39" t="n">
        <f aca="false">MY_PH(AP$2,$A165)</f>
        <v>2.68590768014975E-005</v>
      </c>
      <c r="AQ165" s="39" t="n">
        <f aca="false">MY_PH(AQ$2,$A165)</f>
        <v>2.99600805860608E-005</v>
      </c>
      <c r="AR165" s="39" t="n">
        <f aca="false">MY_PH(AR$2,$A165)</f>
        <v>3.06034768794585E-005</v>
      </c>
      <c r="AS165" s="39" t="n">
        <f aca="false">MY_PH(AS$2,$A165)</f>
        <v>3.08952792246111E-005</v>
      </c>
    </row>
    <row r="166" customFormat="false" ht="13.8" hidden="false" customHeight="false" outlineLevel="0" collapsed="false">
      <c r="A166" s="0" t="n">
        <v>3260</v>
      </c>
      <c r="B166" s="39" t="n">
        <f aca="false">MY_PH(B$2,$A166)</f>
        <v>2.40497215088199E-005</v>
      </c>
      <c r="C166" s="39" t="n">
        <f aca="false">MY_PH(C$2,$A166)</f>
        <v>2.40497500436013E-005</v>
      </c>
      <c r="D166" s="39" t="n">
        <f aca="false">MY_PH(D$2,$A166)</f>
        <v>2.40497785784305E-005</v>
      </c>
      <c r="E166" s="39" t="n">
        <f aca="false">MY_PH(E$2,$A166)</f>
        <v>2.40498071133074E-005</v>
      </c>
      <c r="F166" s="39" t="n">
        <f aca="false">MY_PH(F$2,$A166)</f>
        <v>2.40498356482322E-005</v>
      </c>
      <c r="G166" s="39" t="n">
        <f aca="false">MY_PH(G$2,$A166)</f>
        <v>2.40501210001064E-005</v>
      </c>
      <c r="H166" s="39" t="n">
        <f aca="false">MY_PH(H$2,$A166)</f>
        <v>2.4050406356756E-005</v>
      </c>
      <c r="I166" s="39" t="n">
        <f aca="false">MY_PH(I$2,$A166)</f>
        <v>2.40506917181794E-005</v>
      </c>
      <c r="J166" s="39" t="n">
        <f aca="false">MY_PH(J$2,$A166)</f>
        <v>2.40509770843751E-005</v>
      </c>
      <c r="K166" s="39" t="n">
        <f aca="false">MY_PH(K$2,$A166)</f>
        <v>2.40512624553416E-005</v>
      </c>
      <c r="L166" s="39" t="n">
        <f aca="false">MY_PH(L$2,$A166)</f>
        <v>2.40515478310775E-005</v>
      </c>
      <c r="M166" s="39" t="n">
        <f aca="false">MY_PH(M$2,$A166)</f>
        <v>2.40518332115812E-005</v>
      </c>
      <c r="N166" s="39" t="n">
        <f aca="false">MY_PH(N$2,$A166)</f>
        <v>2.40521185968513E-005</v>
      </c>
      <c r="O166" s="39" t="n">
        <f aca="false">MY_PH(O$2,$A166)</f>
        <v>2.40524039868863E-005</v>
      </c>
      <c r="P166" s="39" t="n">
        <f aca="false">MY_PH(P$2,$A166)</f>
        <v>2.40552581489758E-005</v>
      </c>
      <c r="Q166" s="39" t="n">
        <f aca="false">MY_PH(Q$2,$A166)</f>
        <v>2.40581127859154E-005</v>
      </c>
      <c r="R166" s="39" t="n">
        <f aca="false">MY_PH(R$2,$A166)</f>
        <v>2.40609678962205E-005</v>
      </c>
      <c r="S166" s="39" t="n">
        <f aca="false">MY_PH(S$2,$A166)</f>
        <v>2.40638234784097E-005</v>
      </c>
      <c r="T166" s="39" t="n">
        <f aca="false">MY_PH(T$2,$A166)</f>
        <v>2.40666795310049E-005</v>
      </c>
      <c r="U166" s="39" t="n">
        <f aca="false">MY_PH(U$2,$A166)</f>
        <v>2.40695360525312E-005</v>
      </c>
      <c r="V166" s="39" t="n">
        <f aca="false">MY_PH(V$2,$A166)</f>
        <v>2.40723930415172E-005</v>
      </c>
      <c r="W166" s="39" t="n">
        <f aca="false">MY_PH(W$2,$A166)</f>
        <v>2.40752504964944E-005</v>
      </c>
      <c r="X166" s="39" t="n">
        <f aca="false">MY_PH(X$2,$A166)</f>
        <v>2.40781084159979E-005</v>
      </c>
      <c r="Y166" s="39" t="n">
        <f aca="false">MY_PH(Y$2,$A166)</f>
        <v>2.41067128399998E-005</v>
      </c>
      <c r="Z166" s="39" t="n">
        <f aca="false">MY_PH(Z$2,$A166)</f>
        <v>2.41353621292909E-005</v>
      </c>
      <c r="AA166" s="39" t="n">
        <f aca="false">MY_PH(AA$2,$A166)</f>
        <v>2.41640548725933E-005</v>
      </c>
      <c r="AB166" s="39" t="n">
        <f aca="false">MY_PH(AB$2,$A166)</f>
        <v>2.41927896911496E-005</v>
      </c>
      <c r="AC166" s="39" t="n">
        <f aca="false">MY_PH(AC$2,$A166)</f>
        <v>2.4221565238668E-005</v>
      </c>
      <c r="AD166" s="39" t="n">
        <f aca="false">MY_PH(AD$2,$A166)</f>
        <v>2.42503802012639E-005</v>
      </c>
      <c r="AE166" s="39" t="n">
        <f aca="false">MY_PH(AE$2,$A166)</f>
        <v>2.42792332973962E-005</v>
      </c>
      <c r="AF166" s="39" t="n">
        <f aca="false">MY_PH(AF$2,$A166)</f>
        <v>2.4308123277799E-005</v>
      </c>
      <c r="AG166" s="39" t="n">
        <f aca="false">MY_PH(AG$2,$A166)</f>
        <v>2.4337048925406E-005</v>
      </c>
      <c r="AH166" s="39" t="n">
        <f aca="false">MY_PH(AH$2,$A166)</f>
        <v>2.46280221768915E-005</v>
      </c>
      <c r="AI166" s="39" t="n">
        <f aca="false">MY_PH(AI$2,$A166)</f>
        <v>2.49214580691158E-005</v>
      </c>
      <c r="AJ166" s="39" t="n">
        <f aca="false">MY_PH(AJ$2,$A166)</f>
        <v>2.52168545895375E-005</v>
      </c>
      <c r="AK166" s="39" t="n">
        <f aca="false">MY_PH(AK$2,$A166)</f>
        <v>2.55143782247456E-005</v>
      </c>
      <c r="AL166" s="39" t="n">
        <f aca="false">MY_PH(AL$2,$A166)</f>
        <v>2.58133623414924E-005</v>
      </c>
      <c r="AM166" s="39" t="n">
        <f aca="false">MY_PH(AM$2,$A166)</f>
        <v>2.61136233009069E-005</v>
      </c>
      <c r="AN166" s="39" t="n">
        <f aca="false">MY_PH(AN$2,$A166)</f>
        <v>2.64150130754455E-005</v>
      </c>
      <c r="AO166" s="39" t="n">
        <f aca="false">MY_PH(AO$2,$A166)</f>
        <v>2.6717409997252E-005</v>
      </c>
      <c r="AP166" s="39" t="n">
        <f aca="false">MY_PH(AP$2,$A166)</f>
        <v>2.70207115653703E-005</v>
      </c>
      <c r="AQ166" s="39" t="n">
        <f aca="false">MY_PH(AQ$2,$A166)</f>
        <v>3.00868058226183E-005</v>
      </c>
      <c r="AR166" s="39" t="n">
        <f aca="false">MY_PH(AR$2,$A166)</f>
        <v>3.07235337516219E-005</v>
      </c>
      <c r="AS166" s="39" t="n">
        <f aca="false">MY_PH(AS$2,$A166)</f>
        <v>3.10123630226008E-005</v>
      </c>
    </row>
    <row r="167" customFormat="false" ht="13.8" hidden="false" customHeight="false" outlineLevel="0" collapsed="false">
      <c r="A167" s="0" t="n">
        <v>3270</v>
      </c>
      <c r="B167" s="39" t="n">
        <f aca="false">MY_PH(B$2,$A167)</f>
        <v>2.42512456534814E-005</v>
      </c>
      <c r="C167" s="39" t="n">
        <f aca="false">MY_PH(C$2,$A167)</f>
        <v>2.42512737975882E-005</v>
      </c>
      <c r="D167" s="39" t="n">
        <f aca="false">MY_PH(D$2,$A167)</f>
        <v>2.42513019417411E-005</v>
      </c>
      <c r="E167" s="39" t="n">
        <f aca="false">MY_PH(E$2,$A167)</f>
        <v>2.42513300859403E-005</v>
      </c>
      <c r="F167" s="39" t="n">
        <f aca="false">MY_PH(F$2,$A167)</f>
        <v>2.42513582301856E-005</v>
      </c>
      <c r="G167" s="39" t="n">
        <f aca="false">MY_PH(G$2,$A167)</f>
        <v>2.42516396751788E-005</v>
      </c>
      <c r="H167" s="39" t="n">
        <f aca="false">MY_PH(H$2,$A167)</f>
        <v>2.42519211247888E-005</v>
      </c>
      <c r="I167" s="39" t="n">
        <f aca="false">MY_PH(I$2,$A167)</f>
        <v>2.42522025790142E-005</v>
      </c>
      <c r="J167" s="39" t="n">
        <f aca="false">MY_PH(J$2,$A167)</f>
        <v>2.42524840378537E-005</v>
      </c>
      <c r="K167" s="39" t="n">
        <f aca="false">MY_PH(K$2,$A167)</f>
        <v>2.4252765501306E-005</v>
      </c>
      <c r="L167" s="39" t="n">
        <f aca="false">MY_PH(L$2,$A167)</f>
        <v>2.42530469693695E-005</v>
      </c>
      <c r="M167" s="39" t="n">
        <f aca="false">MY_PH(M$2,$A167)</f>
        <v>2.4253328442043E-005</v>
      </c>
      <c r="N167" s="39" t="n">
        <f aca="false">MY_PH(N$2,$A167)</f>
        <v>2.4253609919325E-005</v>
      </c>
      <c r="O167" s="39" t="n">
        <f aca="false">MY_PH(O$2,$A167)</f>
        <v>2.42538914012142E-005</v>
      </c>
      <c r="P167" s="39" t="n">
        <f aca="false">MY_PH(P$2,$A167)</f>
        <v>2.42567064731967E-005</v>
      </c>
      <c r="Q167" s="39" t="n">
        <f aca="false">MY_PH(Q$2,$A167)</f>
        <v>2.42595220043783E-005</v>
      </c>
      <c r="R167" s="39" t="n">
        <f aca="false">MY_PH(R$2,$A167)</f>
        <v>2.42623379933823E-005</v>
      </c>
      <c r="S167" s="39" t="n">
        <f aca="false">MY_PH(S$2,$A167)</f>
        <v>2.42651544388344E-005</v>
      </c>
      <c r="T167" s="39" t="n">
        <f aca="false">MY_PH(T$2,$A167)</f>
        <v>2.42679713393638E-005</v>
      </c>
      <c r="U167" s="39" t="n">
        <f aca="false">MY_PH(U$2,$A167)</f>
        <v>2.42707886936022E-005</v>
      </c>
      <c r="V167" s="39" t="n">
        <f aca="false">MY_PH(V$2,$A167)</f>
        <v>2.42736065001843E-005</v>
      </c>
      <c r="W167" s="39" t="n">
        <f aca="false">MY_PH(W$2,$A167)</f>
        <v>2.42764247577478E-005</v>
      </c>
      <c r="X167" s="39" t="n">
        <f aca="false">MY_PH(X$2,$A167)</f>
        <v>2.42792434649332E-005</v>
      </c>
      <c r="Y167" s="39" t="n">
        <f aca="false">MY_PH(Y$2,$A167)</f>
        <v>2.43074549689908E-005</v>
      </c>
      <c r="Z167" s="39" t="n">
        <f aca="false">MY_PH(Z$2,$A167)</f>
        <v>2.43357099614007E-005</v>
      </c>
      <c r="AA167" s="39" t="n">
        <f aca="false">MY_PH(AA$2,$A167)</f>
        <v>2.43640071305887E-005</v>
      </c>
      <c r="AB167" s="39" t="n">
        <f aca="false">MY_PH(AB$2,$A167)</f>
        <v>2.43923451939453E-005</v>
      </c>
      <c r="AC167" s="39" t="n">
        <f aca="false">MY_PH(AC$2,$A167)</f>
        <v>2.44207228977786E-005</v>
      </c>
      <c r="AD167" s="39" t="n">
        <f aca="false">MY_PH(AD$2,$A167)</f>
        <v>2.4449139017264E-005</v>
      </c>
      <c r="AE167" s="39" t="n">
        <f aca="false">MY_PH(AE$2,$A167)</f>
        <v>2.44775923563892E-005</v>
      </c>
      <c r="AF167" s="39" t="n">
        <f aca="false">MY_PH(AF$2,$A167)</f>
        <v>2.4506081747894E-005</v>
      </c>
      <c r="AG167" s="39" t="n">
        <f aca="false">MY_PH(AG$2,$A167)</f>
        <v>2.4534606053206E-005</v>
      </c>
      <c r="AH167" s="39" t="n">
        <f aca="false">MY_PH(AH$2,$A167)</f>
        <v>2.48215392289394E-005</v>
      </c>
      <c r="AI167" s="39" t="n">
        <f aca="false">MY_PH(AI$2,$A167)</f>
        <v>2.5110920638352E-005</v>
      </c>
      <c r="AJ167" s="39" t="n">
        <f aca="false">MY_PH(AJ$2,$A167)</f>
        <v>2.5402284376738E-005</v>
      </c>
      <c r="AK167" s="39" t="n">
        <f aca="false">MY_PH(AK$2,$A167)</f>
        <v>2.56957714402908E-005</v>
      </c>
      <c r="AL167" s="39" t="n">
        <f aca="false">MY_PH(AL$2,$A167)</f>
        <v>2.59907828498469E-005</v>
      </c>
      <c r="AM167" s="39" t="n">
        <f aca="false">MY_PH(AM$2,$A167)</f>
        <v>2.62871366300292E-005</v>
      </c>
      <c r="AN167" s="39" t="n">
        <f aca="false">MY_PH(AN$2,$A167)</f>
        <v>2.65846842864294E-005</v>
      </c>
      <c r="AO167" s="39" t="n">
        <f aca="false">MY_PH(AO$2,$A167)</f>
        <v>2.68833023570868E-005</v>
      </c>
      <c r="AP167" s="39" t="n">
        <f aca="false">MY_PH(AP$2,$A167)</f>
        <v>2.71828857961689E-005</v>
      </c>
      <c r="AQ167" s="39" t="n">
        <f aca="false">MY_PH(AQ$2,$A167)</f>
        <v>3.02145515461481E-005</v>
      </c>
      <c r="AR167" s="39" t="n">
        <f aca="false">MY_PH(AR$2,$A167)</f>
        <v>3.08446888671025E-005</v>
      </c>
      <c r="AS167" s="39" t="n">
        <f aca="false">MY_PH(AS$2,$A167)</f>
        <v>3.11305790922016E-005</v>
      </c>
    </row>
    <row r="168" customFormat="false" ht="13.8" hidden="false" customHeight="false" outlineLevel="0" collapsed="false">
      <c r="A168" s="0" t="n">
        <v>3280</v>
      </c>
      <c r="B168" s="39" t="n">
        <f aca="false">MY_PH(B$2,$A168)</f>
        <v>2.44523812606022E-005</v>
      </c>
      <c r="C168" s="39" t="n">
        <f aca="false">MY_PH(C$2,$A168)</f>
        <v>2.4452409024184E-005</v>
      </c>
      <c r="D168" s="39" t="n">
        <f aca="false">MY_PH(D$2,$A168)</f>
        <v>2.44524367878106E-005</v>
      </c>
      <c r="E168" s="39" t="n">
        <f aca="false">MY_PH(E$2,$A168)</f>
        <v>2.44524645514818E-005</v>
      </c>
      <c r="F168" s="39" t="n">
        <f aca="false">MY_PH(F$2,$A168)</f>
        <v>2.44524923151978E-005</v>
      </c>
      <c r="G168" s="39" t="n">
        <f aca="false">MY_PH(G$2,$A168)</f>
        <v>2.44527699548159E-005</v>
      </c>
      <c r="H168" s="39" t="n">
        <f aca="false">MY_PH(H$2,$A168)</f>
        <v>2.44530475989028E-005</v>
      </c>
      <c r="I168" s="39" t="n">
        <f aca="false">MY_PH(I$2,$A168)</f>
        <v>2.44533252474573E-005</v>
      </c>
      <c r="J168" s="39" t="n">
        <f aca="false">MY_PH(J$2,$A168)</f>
        <v>2.44536029004781E-005</v>
      </c>
      <c r="K168" s="39" t="n">
        <f aca="false">MY_PH(K$2,$A168)</f>
        <v>2.44538805579639E-005</v>
      </c>
      <c r="L168" s="39" t="n">
        <f aca="false">MY_PH(L$2,$A168)</f>
        <v>2.44541582199133E-005</v>
      </c>
      <c r="M168" s="39" t="n">
        <f aca="false">MY_PH(M$2,$A168)</f>
        <v>2.44544358863253E-005</v>
      </c>
      <c r="N168" s="39" t="n">
        <f aca="false">MY_PH(N$2,$A168)</f>
        <v>2.44547135571983E-005</v>
      </c>
      <c r="O168" s="39" t="n">
        <f aca="false">MY_PH(O$2,$A168)</f>
        <v>2.44549912325312E-005</v>
      </c>
      <c r="P168" s="39" t="n">
        <f aca="false">MY_PH(P$2,$A168)</f>
        <v>2.44577682308708E-005</v>
      </c>
      <c r="Q168" s="39" t="n">
        <f aca="false">MY_PH(Q$2,$A168)</f>
        <v>2.4460545673787E-005</v>
      </c>
      <c r="R168" s="39" t="n">
        <f aca="false">MY_PH(R$2,$A168)</f>
        <v>2.44633235600007E-005</v>
      </c>
      <c r="S168" s="39" t="n">
        <f aca="false">MY_PH(S$2,$A168)</f>
        <v>2.44661018882354E-005</v>
      </c>
      <c r="T168" s="39" t="n">
        <f aca="false">MY_PH(T$2,$A168)</f>
        <v>2.44688806572173E-005</v>
      </c>
      <c r="U168" s="39" t="n">
        <f aca="false">MY_PH(U$2,$A168)</f>
        <v>2.4471659865675E-005</v>
      </c>
      <c r="V168" s="39" t="n">
        <f aca="false">MY_PH(V$2,$A168)</f>
        <v>2.44744395123399E-005</v>
      </c>
      <c r="W168" s="39" t="n">
        <f aca="false">MY_PH(W$2,$A168)</f>
        <v>2.44772195959459E-005</v>
      </c>
      <c r="X168" s="39" t="n">
        <f aca="false">MY_PH(X$2,$A168)</f>
        <v>2.44800001152294E-005</v>
      </c>
      <c r="Y168" s="39" t="n">
        <f aca="false">MY_PH(Y$2,$A168)</f>
        <v>2.4507828994205E-005</v>
      </c>
      <c r="Z168" s="39" t="n">
        <f aca="false">MY_PH(Z$2,$A168)</f>
        <v>2.45357000702795E-005</v>
      </c>
      <c r="AA168" s="39" t="n">
        <f aca="false">MY_PH(AA$2,$A168)</f>
        <v>2.45636121226145E-005</v>
      </c>
      <c r="AB168" s="39" t="n">
        <f aca="false">MY_PH(AB$2,$A168)</f>
        <v>2.45915639561919E-005</v>
      </c>
      <c r="AC168" s="39" t="n">
        <f aca="false">MY_PH(AC$2,$A168)</f>
        <v>2.46195544017734E-005</v>
      </c>
      <c r="AD168" s="39" t="n">
        <f aca="false">MY_PH(AD$2,$A168)</f>
        <v>2.46475823158553E-005</v>
      </c>
      <c r="AE168" s="39" t="n">
        <f aca="false">MY_PH(AE$2,$A168)</f>
        <v>2.46756465806206E-005</v>
      </c>
      <c r="AF168" s="39" t="n">
        <f aca="false">MY_PH(AF$2,$A168)</f>
        <v>2.4703746103886E-005</v>
      </c>
      <c r="AG168" s="39" t="n">
        <f aca="false">MY_PH(AG$2,$A168)</f>
        <v>2.47318798190452E-005</v>
      </c>
      <c r="AH168" s="39" t="n">
        <f aca="false">MY_PH(AH$2,$A168)</f>
        <v>2.50148810181592E-005</v>
      </c>
      <c r="AI168" s="39" t="n">
        <f aca="false">MY_PH(AI$2,$A168)</f>
        <v>2.53003148649361E-005</v>
      </c>
      <c r="AJ168" s="39" t="n">
        <f aca="false">MY_PH(AJ$2,$A168)</f>
        <v>2.55877497035364E-005</v>
      </c>
      <c r="AK168" s="39" t="n">
        <f aca="false">MY_PH(AK$2,$A168)</f>
        <v>2.58772937138007E-005</v>
      </c>
      <c r="AL168" s="39" t="n">
        <f aca="false">MY_PH(AL$2,$A168)</f>
        <v>2.6168419233346E-005</v>
      </c>
      <c r="AM168" s="39" t="n">
        <f aca="false">MY_PH(AM$2,$A168)</f>
        <v>2.64609463128265E-005</v>
      </c>
      <c r="AN168" s="39" t="n">
        <f aca="false">MY_PH(AN$2,$A168)</f>
        <v>2.67547264818448E-005</v>
      </c>
      <c r="AO168" s="39" t="n">
        <f aca="false">MY_PH(AO$2,$A168)</f>
        <v>2.70496350303245E-005</v>
      </c>
      <c r="AP168" s="39" t="n">
        <f aca="false">MY_PH(AP$2,$A168)</f>
        <v>2.73455649208422E-005</v>
      </c>
      <c r="AQ168" s="39" t="n">
        <f aca="false">MY_PH(AQ$2,$A168)</f>
        <v>3.03432820267089E-005</v>
      </c>
      <c r="AR168" s="39" t="n">
        <f aca="false">MY_PH(AR$2,$A168)</f>
        <v>3.09669060733537E-005</v>
      </c>
      <c r="AS168" s="39" t="n">
        <f aca="false">MY_PH(AS$2,$A168)</f>
        <v>3.12498910332966E-005</v>
      </c>
    </row>
    <row r="169" customFormat="false" ht="13.8" hidden="false" customHeight="false" outlineLevel="0" collapsed="false">
      <c r="A169" s="0" t="n">
        <v>3290</v>
      </c>
      <c r="B169" s="39" t="n">
        <f aca="false">MY_PH(B$2,$A169)</f>
        <v>2.46531221763952E-005</v>
      </c>
      <c r="C169" s="39" t="n">
        <f aca="false">MY_PH(C$2,$A169)</f>
        <v>2.46531495691715E-005</v>
      </c>
      <c r="D169" s="39" t="n">
        <f aca="false">MY_PH(D$2,$A169)</f>
        <v>2.4653176961991E-005</v>
      </c>
      <c r="E169" s="39" t="n">
        <f aca="false">MY_PH(E$2,$A169)</f>
        <v>2.46532043548538E-005</v>
      </c>
      <c r="F169" s="39" t="n">
        <f aca="false">MY_PH(F$2,$A169)</f>
        <v>2.465323174776E-005</v>
      </c>
      <c r="G169" s="39" t="n">
        <f aca="false">MY_PH(G$2,$A169)</f>
        <v>2.46535056792036E-005</v>
      </c>
      <c r="H169" s="39" t="n">
        <f aca="false">MY_PH(H$2,$A169)</f>
        <v>2.46537796149775E-005</v>
      </c>
      <c r="I169" s="39" t="n">
        <f aca="false">MY_PH(I$2,$A169)</f>
        <v>2.46540535550805E-005</v>
      </c>
      <c r="J169" s="39" t="n">
        <f aca="false">MY_PH(J$2,$A169)</f>
        <v>2.46543274995113E-005</v>
      </c>
      <c r="K169" s="39" t="n">
        <f aca="false">MY_PH(K$2,$A169)</f>
        <v>2.46546014482687E-005</v>
      </c>
      <c r="L169" s="39" t="n">
        <f aca="false">MY_PH(L$2,$A169)</f>
        <v>2.46548754013517E-005</v>
      </c>
      <c r="M169" s="39" t="n">
        <f aca="false">MY_PH(M$2,$A169)</f>
        <v>2.46551493587589E-005</v>
      </c>
      <c r="N169" s="39" t="n">
        <f aca="false">MY_PH(N$2,$A169)</f>
        <v>2.46554233204892E-005</v>
      </c>
      <c r="O169" s="39" t="n">
        <f aca="false">MY_PH(O$2,$A169)</f>
        <v>2.46556972865414E-005</v>
      </c>
      <c r="P169" s="39" t="n">
        <f aca="false">MY_PH(P$2,$A169)</f>
        <v>2.46584371845046E-005</v>
      </c>
      <c r="Q169" s="39" t="n">
        <f aca="false">MY_PH(Q$2,$A169)</f>
        <v>2.4661177513345E-005</v>
      </c>
      <c r="R169" s="39" t="n">
        <f aca="false">MY_PH(R$2,$A169)</f>
        <v>2.46639182718728E-005</v>
      </c>
      <c r="S169" s="39" t="n">
        <f aca="false">MY_PH(S$2,$A169)</f>
        <v>2.46666594589001E-005</v>
      </c>
      <c r="T169" s="39" t="n">
        <f aca="false">MY_PH(T$2,$A169)</f>
        <v>2.46694010732418E-005</v>
      </c>
      <c r="U169" s="39" t="n">
        <f aca="false">MY_PH(U$2,$A169)</f>
        <v>2.46721431137147E-005</v>
      </c>
      <c r="V169" s="39" t="n">
        <f aca="false">MY_PH(V$2,$A169)</f>
        <v>2.4674885579138E-005</v>
      </c>
      <c r="W169" s="39" t="n">
        <f aca="false">MY_PH(W$2,$A169)</f>
        <v>2.46776284683333E-005</v>
      </c>
      <c r="X169" s="39" t="n">
        <f aca="false">MY_PH(X$2,$A169)</f>
        <v>2.46803717801246E-005</v>
      </c>
      <c r="Y169" s="39" t="n">
        <f aca="false">MY_PH(Y$2,$A169)</f>
        <v>2.470782788372E-005</v>
      </c>
      <c r="Z169" s="39" t="n">
        <f aca="false">MY_PH(Z$2,$A169)</f>
        <v>2.47353249703268E-005</v>
      </c>
      <c r="AA169" s="39" t="n">
        <f aca="false">MY_PH(AA$2,$A169)</f>
        <v>2.47628619019086E-005</v>
      </c>
      <c r="AB169" s="39" t="n">
        <f aca="false">MY_PH(AB$2,$A169)</f>
        <v>2.47904375634655E-005</v>
      </c>
      <c r="AC169" s="39" t="n">
        <f aca="false">MY_PH(AC$2,$A169)</f>
        <v>2.48180508629973E-005</v>
      </c>
      <c r="AD169" s="39" t="n">
        <f aca="false">MY_PH(AD$2,$A169)</f>
        <v>2.4845700731464E-005</v>
      </c>
      <c r="AE169" s="39" t="n">
        <f aca="false">MY_PH(AE$2,$A169)</f>
        <v>2.48733861227422E-005</v>
      </c>
      <c r="AF169" s="39" t="n">
        <f aca="false">MY_PH(AF$2,$A169)</f>
        <v>2.49011060135785E-005</v>
      </c>
      <c r="AG169" s="39" t="n">
        <f aca="false">MY_PH(AG$2,$A169)</f>
        <v>2.49288594035389E-005</v>
      </c>
      <c r="AH169" s="39" t="n">
        <f aca="false">MY_PH(AH$2,$A169)</f>
        <v>2.52080318522176E-005</v>
      </c>
      <c r="AI169" s="39" t="n">
        <f aca="false">MY_PH(AI$2,$A169)</f>
        <v>2.54896204225043E-005</v>
      </c>
      <c r="AJ169" s="39" t="n">
        <f aca="false">MY_PH(AJ$2,$A169)</f>
        <v>2.5773226051871E-005</v>
      </c>
      <c r="AK169" s="39" t="n">
        <f aca="false">MY_PH(AK$2,$A169)</f>
        <v>2.605891793E-005</v>
      </c>
      <c r="AL169" s="39" t="n">
        <f aca="false">MY_PH(AL$2,$A169)</f>
        <v>2.63462423012885E-005</v>
      </c>
      <c r="AM169" s="39" t="n">
        <f aca="false">MY_PH(AM$2,$A169)</f>
        <v>2.66350215427022E-005</v>
      </c>
      <c r="AN169" s="39" t="n">
        <f aca="false">MY_PH(AN$2,$A169)</f>
        <v>2.69251076298113E-005</v>
      </c>
      <c r="AO169" s="39" t="n">
        <f aca="false">MY_PH(AO$2,$A169)</f>
        <v>2.72163750817719E-005</v>
      </c>
      <c r="AP169" s="39" t="n">
        <f aca="false">MY_PH(AP$2,$A169)</f>
        <v>2.75087153585701E-005</v>
      </c>
      <c r="AQ169" s="39" t="n">
        <f aca="false">MY_PH(AQ$2,$A169)</f>
        <v>3.04729621293178E-005</v>
      </c>
      <c r="AR169" s="39" t="n">
        <f aca="false">MY_PH(AR$2,$A169)</f>
        <v>3.10901498332469E-005</v>
      </c>
      <c r="AS169" s="39" t="n">
        <f aca="false">MY_PH(AS$2,$A169)</f>
        <v>3.13702630710635E-005</v>
      </c>
    </row>
    <row r="170" customFormat="false" ht="13.8" hidden="false" customHeight="false" outlineLevel="0" collapsed="false">
      <c r="A170" s="0" t="n">
        <v>3300</v>
      </c>
      <c r="B170" s="39" t="n">
        <f aca="false">MY_PH(B$2,$A170)</f>
        <v>2.48534625425968E-005</v>
      </c>
      <c r="C170" s="39" t="n">
        <f aca="false">MY_PH(C$2,$A170)</f>
        <v>2.48534895738803E-005</v>
      </c>
      <c r="D170" s="39" t="n">
        <f aca="false">MY_PH(D$2,$A170)</f>
        <v>2.48535166052058E-005</v>
      </c>
      <c r="E170" s="39" t="n">
        <f aca="false">MY_PH(E$2,$A170)</f>
        <v>2.48535436365733E-005</v>
      </c>
      <c r="F170" s="39" t="n">
        <f aca="false">MY_PH(F$2,$A170)</f>
        <v>2.48535706679828E-005</v>
      </c>
      <c r="G170" s="39" t="n">
        <f aca="false">MY_PH(G$2,$A170)</f>
        <v>2.48538409843886E-005</v>
      </c>
      <c r="H170" s="39" t="n">
        <f aca="false">MY_PH(H$2,$A170)</f>
        <v>2.48541113049945E-005</v>
      </c>
      <c r="I170" s="39" t="n">
        <f aca="false">MY_PH(I$2,$A170)</f>
        <v>2.48543816297993E-005</v>
      </c>
      <c r="J170" s="39" t="n">
        <f aca="false">MY_PH(J$2,$A170)</f>
        <v>2.4854651958802E-005</v>
      </c>
      <c r="K170" s="39" t="n">
        <f aca="false">MY_PH(K$2,$A170)</f>
        <v>2.48549222920015E-005</v>
      </c>
      <c r="L170" s="39" t="n">
        <f aca="false">MY_PH(L$2,$A170)</f>
        <v>2.48551926293966E-005</v>
      </c>
      <c r="M170" s="39" t="n">
        <f aca="false">MY_PH(M$2,$A170)</f>
        <v>2.48554629709862E-005</v>
      </c>
      <c r="N170" s="39" t="n">
        <f aca="false">MY_PH(N$2,$A170)</f>
        <v>2.48557333167693E-005</v>
      </c>
      <c r="O170" s="39" t="n">
        <f aca="false">MY_PH(O$2,$A170)</f>
        <v>2.48560036667446E-005</v>
      </c>
      <c r="P170" s="39" t="n">
        <f aca="false">MY_PH(P$2,$A170)</f>
        <v>2.48587073968305E-005</v>
      </c>
      <c r="Q170" s="39" t="n">
        <f aca="false">MY_PH(Q$2,$A170)</f>
        <v>2.48614115449253E-005</v>
      </c>
      <c r="R170" s="39" t="n">
        <f aca="false">MY_PH(R$2,$A170)</f>
        <v>2.48641161099201E-005</v>
      </c>
      <c r="S170" s="39" t="n">
        <f aca="false">MY_PH(S$2,$A170)</f>
        <v>2.48668210907085E-005</v>
      </c>
      <c r="T170" s="39" t="n">
        <f aca="false">MY_PH(T$2,$A170)</f>
        <v>2.48695264861859E-005</v>
      </c>
      <c r="U170" s="39" t="n">
        <f aca="false">MY_PH(U$2,$A170)</f>
        <v>2.48722322952499E-005</v>
      </c>
      <c r="V170" s="39" t="n">
        <f aca="false">MY_PH(V$2,$A170)</f>
        <v>2.48749385168E-005</v>
      </c>
      <c r="W170" s="39" t="n">
        <f aca="false">MY_PH(W$2,$A170)</f>
        <v>2.48776451497379E-005</v>
      </c>
      <c r="X170" s="39" t="n">
        <f aca="false">MY_PH(X$2,$A170)</f>
        <v>2.48803521929673E-005</v>
      </c>
      <c r="Y170" s="39" t="n">
        <f aca="false">MY_PH(Y$2,$A170)</f>
        <v>2.49074449515871E-005</v>
      </c>
      <c r="Z170" s="39" t="n">
        <f aca="false">MY_PH(Z$2,$A170)</f>
        <v>2.49345775487589E-005</v>
      </c>
      <c r="AA170" s="39" t="n">
        <f aca="false">MY_PH(AA$2,$A170)</f>
        <v>2.49617489222032E-005</v>
      </c>
      <c r="AB170" s="39" t="n">
        <f aca="false">MY_PH(AB$2,$A170)</f>
        <v>2.49889580302092E-005</v>
      </c>
      <c r="AC170" s="39" t="n">
        <f aca="false">MY_PH(AC$2,$A170)</f>
        <v>2.50162038516013E-005</v>
      </c>
      <c r="AD170" s="39" t="n">
        <f aca="false">MY_PH(AD$2,$A170)</f>
        <v>2.50434853857032E-005</v>
      </c>
      <c r="AE170" s="39" t="n">
        <f aca="false">MY_PH(AE$2,$A170)</f>
        <v>2.50708016522984E-005</v>
      </c>
      <c r="AF170" s="39" t="n">
        <f aca="false">MY_PH(AF$2,$A170)</f>
        <v>2.50981516915889E-005</v>
      </c>
      <c r="AG170" s="39" t="n">
        <f aca="false">MY_PH(AG$2,$A170)</f>
        <v>2.51255345641491E-005</v>
      </c>
      <c r="AH170" s="39" t="n">
        <f aca="false">MY_PH(AH$2,$A170)</f>
        <v>2.54009769038654E-005</v>
      </c>
      <c r="AI170" s="39" t="n">
        <f aca="false">MY_PH(AI$2,$A170)</f>
        <v>2.56788180785759E-005</v>
      </c>
      <c r="AJ170" s="39" t="n">
        <f aca="false">MY_PH(AJ$2,$A170)</f>
        <v>2.59586901300097E-005</v>
      </c>
      <c r="AK170" s="39" t="n">
        <f aca="false">MY_PH(AK$2,$A170)</f>
        <v>2.62406182239667E-005</v>
      </c>
      <c r="AL170" s="39" t="n">
        <f aca="false">MY_PH(AL$2,$A170)</f>
        <v>2.65242241019728E-005</v>
      </c>
      <c r="AM170" s="39" t="n">
        <f aca="false">MY_PH(AM$2,$A170)</f>
        <v>2.68093327133321E-005</v>
      </c>
      <c r="AN170" s="39" t="n">
        <f aca="false">MY_PH(AN$2,$A170)</f>
        <v>2.70957968406548E-005</v>
      </c>
      <c r="AO170" s="39" t="n">
        <f aca="false">MY_PH(AO$2,$A170)</f>
        <v>2.73834906484344E-005</v>
      </c>
      <c r="AP170" s="39" t="n">
        <f aca="false">MY_PH(AP$2,$A170)</f>
        <v>2.76723045251979E-005</v>
      </c>
      <c r="AQ170" s="39" t="n">
        <f aca="false">MY_PH(AQ$2,$A170)</f>
        <v>3.06035573285624E-005</v>
      </c>
      <c r="AR170" s="39" t="n">
        <f aca="false">MY_PH(AR$2,$A170)</f>
        <v>3.12143852411217E-005</v>
      </c>
      <c r="AS170" s="39" t="n">
        <f aca="false">MY_PH(AS$2,$A170)</f>
        <v>3.14916600748531E-005</v>
      </c>
    </row>
    <row r="171" customFormat="false" ht="13.8" hidden="false" customHeight="false" outlineLevel="0" collapsed="false">
      <c r="A171" s="0" t="n">
        <v>3310</v>
      </c>
      <c r="B171" s="39" t="n">
        <f aca="false">MY_PH(B$2,$A171)</f>
        <v>2.5053396785782E-005</v>
      </c>
      <c r="C171" s="39" t="n">
        <f aca="false">MY_PH(C$2,$A171)</f>
        <v>2.50534234645016E-005</v>
      </c>
      <c r="D171" s="39" t="n">
        <f aca="false">MY_PH(D$2,$A171)</f>
        <v>2.5053450143262E-005</v>
      </c>
      <c r="E171" s="39" t="n">
        <f aca="false">MY_PH(E$2,$A171)</f>
        <v>2.50534768220631E-005</v>
      </c>
      <c r="F171" s="39" t="n">
        <f aca="false">MY_PH(F$2,$A171)</f>
        <v>2.50535035009051E-005</v>
      </c>
      <c r="G171" s="39" t="n">
        <f aca="false">MY_PH(G$2,$A171)</f>
        <v>2.50537702915676E-005</v>
      </c>
      <c r="H171" s="39" t="n">
        <f aca="false">MY_PH(H$2,$A171)</f>
        <v>2.50540370863076E-005</v>
      </c>
      <c r="I171" s="39" t="n">
        <f aca="false">MY_PH(I$2,$A171)</f>
        <v>2.50543038851242E-005</v>
      </c>
      <c r="J171" s="39" t="n">
        <f aca="false">MY_PH(J$2,$A171)</f>
        <v>2.50545706880162E-005</v>
      </c>
      <c r="K171" s="39" t="n">
        <f aca="false">MY_PH(K$2,$A171)</f>
        <v>2.50548374949827E-005</v>
      </c>
      <c r="L171" s="39" t="n">
        <f aca="false">MY_PH(L$2,$A171)</f>
        <v>2.50551043060226E-005</v>
      </c>
      <c r="M171" s="39" t="n">
        <f aca="false">MY_PH(M$2,$A171)</f>
        <v>2.50553711211349E-005</v>
      </c>
      <c r="N171" s="39" t="n">
        <f aca="false">MY_PH(N$2,$A171)</f>
        <v>2.50556379403184E-005</v>
      </c>
      <c r="O171" s="39" t="n">
        <f aca="false">MY_PH(O$2,$A171)</f>
        <v>2.50559047635723E-005</v>
      </c>
      <c r="P171" s="39" t="n">
        <f aca="false">MY_PH(P$2,$A171)</f>
        <v>2.50585732197494E-005</v>
      </c>
      <c r="Q171" s="39" t="n">
        <f aca="false">MY_PH(Q$2,$A171)</f>
        <v>2.50612420818162E-005</v>
      </c>
      <c r="R171" s="39" t="n">
        <f aca="false">MY_PH(R$2,$A171)</f>
        <v>2.50639113487386E-005</v>
      </c>
      <c r="S171" s="39" t="n">
        <f aca="false">MY_PH(S$2,$A171)</f>
        <v>2.50665810194842E-005</v>
      </c>
      <c r="T171" s="39" t="n">
        <f aca="false">MY_PH(T$2,$A171)</f>
        <v>2.50692510930224E-005</v>
      </c>
      <c r="U171" s="39" t="n">
        <f aca="false">MY_PH(U$2,$A171)</f>
        <v>2.50719215683244E-005</v>
      </c>
      <c r="V171" s="39" t="n">
        <f aca="false">MY_PH(V$2,$A171)</f>
        <v>2.50745924443635E-005</v>
      </c>
      <c r="W171" s="39" t="n">
        <f aca="false">MY_PH(W$2,$A171)</f>
        <v>2.50772637201146E-005</v>
      </c>
      <c r="X171" s="39" t="n">
        <f aca="false">MY_PH(X$2,$A171)</f>
        <v>2.50799353945544E-005</v>
      </c>
      <c r="Y171" s="39" t="n">
        <f aca="false">MY_PH(Y$2,$A171)</f>
        <v>2.51066738430544E-005</v>
      </c>
      <c r="Z171" s="39" t="n">
        <f aca="false">MY_PH(Z$2,$A171)</f>
        <v>2.5133451048613E-005</v>
      </c>
      <c r="AA171" s="39" t="n">
        <f aca="false">MY_PH(AA$2,$A171)</f>
        <v>2.5160266018429E-005</v>
      </c>
      <c r="AB171" s="39" t="n">
        <f aca="false">MY_PH(AB$2,$A171)</f>
        <v>2.51871177780799E-005</v>
      </c>
      <c r="AC171" s="39" t="n">
        <f aca="false">MY_PH(AC$2,$A171)</f>
        <v>2.52140053714913E-005</v>
      </c>
      <c r="AD171" s="39" t="n">
        <f aca="false">MY_PH(AD$2,$A171)</f>
        <v>2.52409278609041E-005</v>
      </c>
      <c r="AE171" s="39" t="n">
        <f aca="false">MY_PH(AE$2,$A171)</f>
        <v>2.52678843268383E-005</v>
      </c>
      <c r="AF171" s="39" t="n">
        <f aca="false">MY_PH(AF$2,$A171)</f>
        <v>2.52948738680556E-005</v>
      </c>
      <c r="AG171" s="39" t="n">
        <f aca="false">MY_PH(AG$2,$A171)</f>
        <v>2.53218956015181E-005</v>
      </c>
      <c r="AH171" s="39" t="n">
        <f aca="false">MY_PH(AH$2,$A171)</f>
        <v>2.55937021579831E-005</v>
      </c>
      <c r="AI171" s="39" t="n">
        <f aca="false">MY_PH(AI$2,$A171)</f>
        <v>2.58678896361633E-005</v>
      </c>
      <c r="AJ171" s="39" t="n">
        <f aca="false">MY_PH(AJ$2,$A171)</f>
        <v>2.61441198231924E-005</v>
      </c>
      <c r="AK171" s="39" t="n">
        <f aca="false">MY_PH(AK$2,$A171)</f>
        <v>2.64223699381725E-005</v>
      </c>
      <c r="AL171" s="39" t="n">
        <f aca="false">MY_PH(AL$2,$A171)</f>
        <v>2.67023378880651E-005</v>
      </c>
      <c r="AM171" s="39" t="n">
        <f aca="false">MY_PH(AM$2,$A171)</f>
        <v>2.69838513933849E-005</v>
      </c>
      <c r="AN171" s="39" t="n">
        <f aca="false">MY_PH(AN$2,$A171)</f>
        <v>2.72667643511752E-005</v>
      </c>
      <c r="AO171" s="39" t="n">
        <f aca="false">MY_PH(AO$2,$A171)</f>
        <v>2.7550950932837E-005</v>
      </c>
      <c r="AP171" s="39" t="n">
        <f aca="false">MY_PH(AP$2,$A171)</f>
        <v>2.78363008345949E-005</v>
      </c>
      <c r="AQ171" s="39" t="n">
        <f aca="false">MY_PH(AQ$2,$A171)</f>
        <v>3.07350337208687E-005</v>
      </c>
      <c r="AR171" s="39" t="n">
        <f aca="false">MY_PH(AR$2,$A171)</f>
        <v>3.13395780345993E-005</v>
      </c>
      <c r="AS171" s="39" t="n">
        <f aca="false">MY_PH(AS$2,$A171)</f>
        <v>3.161404757164E-005</v>
      </c>
    </row>
    <row r="172" customFormat="false" ht="13.8" hidden="false" customHeight="false" outlineLevel="0" collapsed="false">
      <c r="A172" s="0" t="n">
        <v>3320</v>
      </c>
      <c r="B172" s="39" t="n">
        <f aca="false">MY_PH(B$2,$A172)</f>
        <v>2.52529196071017E-005</v>
      </c>
      <c r="C172" s="39" t="n">
        <f aca="false">MY_PH(C$2,$A172)</f>
        <v>2.52529459418226E-005</v>
      </c>
      <c r="D172" s="39" t="n">
        <f aca="false">MY_PH(D$2,$A172)</f>
        <v>2.52529722765831E-005</v>
      </c>
      <c r="E172" s="39" t="n">
        <f aca="false">MY_PH(E$2,$A172)</f>
        <v>2.52529986113832E-005</v>
      </c>
      <c r="F172" s="39" t="n">
        <f aca="false">MY_PH(F$2,$A172)</f>
        <v>2.52530249462229E-005</v>
      </c>
      <c r="G172" s="39" t="n">
        <f aca="false">MY_PH(G$2,$A172)</f>
        <v>2.52532882967997E-005</v>
      </c>
      <c r="H172" s="39" t="n">
        <f aca="false">MY_PH(H$2,$A172)</f>
        <v>2.52535516513384E-005</v>
      </c>
      <c r="I172" s="39" t="n">
        <f aca="false">MY_PH(I$2,$A172)</f>
        <v>2.52538150098381E-005</v>
      </c>
      <c r="J172" s="39" t="n">
        <f aca="false">MY_PH(J$2,$A172)</f>
        <v>2.52540783722978E-005</v>
      </c>
      <c r="K172" s="39" t="n">
        <f aca="false">MY_PH(K$2,$A172)</f>
        <v>2.52543417387164E-005</v>
      </c>
      <c r="L172" s="39" t="n">
        <f aca="false">MY_PH(L$2,$A172)</f>
        <v>2.52546051090931E-005</v>
      </c>
      <c r="M172" s="39" t="n">
        <f aca="false">MY_PH(M$2,$A172)</f>
        <v>2.52548684834269E-005</v>
      </c>
      <c r="N172" s="39" t="n">
        <f aca="false">MY_PH(N$2,$A172)</f>
        <v>2.52551318617167E-005</v>
      </c>
      <c r="O172" s="39" t="n">
        <f aca="false">MY_PH(O$2,$A172)</f>
        <v>2.52553952439618E-005</v>
      </c>
      <c r="P172" s="39" t="n">
        <f aca="false">MY_PH(P$2,$A172)</f>
        <v>2.52580292837309E-005</v>
      </c>
      <c r="Q172" s="39" t="n">
        <f aca="false">MY_PH(Q$2,$A172)</f>
        <v>2.52606637179489E-005</v>
      </c>
      <c r="R172" s="39" t="n">
        <f aca="false">MY_PH(R$2,$A172)</f>
        <v>2.52632985456497E-005</v>
      </c>
      <c r="S172" s="39" t="n">
        <f aca="false">MY_PH(S$2,$A172)</f>
        <v>2.52659337658688E-005</v>
      </c>
      <c r="T172" s="39" t="n">
        <f aca="false">MY_PH(T$2,$A172)</f>
        <v>2.52685693776437E-005</v>
      </c>
      <c r="U172" s="39" t="n">
        <f aca="false">MY_PH(U$2,$A172)</f>
        <v>2.52712053800131E-005</v>
      </c>
      <c r="V172" s="39" t="n">
        <f aca="false">MY_PH(V$2,$A172)</f>
        <v>2.52738417720179E-005</v>
      </c>
      <c r="W172" s="39" t="n">
        <f aca="false">MY_PH(W$2,$A172)</f>
        <v>2.52764785527001E-005</v>
      </c>
      <c r="X172" s="39" t="n">
        <f aca="false">MY_PH(X$2,$A172)</f>
        <v>2.52791157211037E-005</v>
      </c>
      <c r="Y172" s="39" t="n">
        <f aca="false">MY_PH(Y$2,$A172)</f>
        <v>2.53055085206497E-005</v>
      </c>
      <c r="Z172" s="39" t="n">
        <f aca="false">MY_PH(Z$2,$A172)</f>
        <v>2.53319390528475E-005</v>
      </c>
      <c r="AA172" s="39" t="n">
        <f aca="false">MY_PH(AA$2,$A172)</f>
        <v>2.53584063887581E-005</v>
      </c>
      <c r="AB172" s="39" t="n">
        <f aca="false">MY_PH(AB$2,$A172)</f>
        <v>2.53849096158767E-005</v>
      </c>
      <c r="AC172" s="39" t="n">
        <f aca="false">MY_PH(AC$2,$A172)</f>
        <v>2.54114478381038E-005</v>
      </c>
      <c r="AD172" s="39" t="n">
        <f aca="false">MY_PH(AD$2,$A172)</f>
        <v>2.54380201757158E-005</v>
      </c>
      <c r="AE172" s="39" t="n">
        <f aca="false">MY_PH(AE$2,$A172)</f>
        <v>2.54646257653311E-005</v>
      </c>
      <c r="AF172" s="39" t="n">
        <f aca="false">MY_PH(AF$2,$A172)</f>
        <v>2.54912637598764E-005</v>
      </c>
      <c r="AG172" s="39" t="n">
        <f aca="false">MY_PH(AG$2,$A172)</f>
        <v>2.55179333285488E-005</v>
      </c>
      <c r="AH172" s="39" t="n">
        <f aca="false">MY_PH(AH$2,$A172)</f>
        <v>2.57861943625477E-005</v>
      </c>
      <c r="AI172" s="39" t="n">
        <f aca="false">MY_PH(AI$2,$A172)</f>
        <v>2.6056817878023E-005</v>
      </c>
      <c r="AJ172" s="39" t="n">
        <f aca="false">MY_PH(AJ$2,$A172)</f>
        <v>2.63294941447799E-005</v>
      </c>
      <c r="AK172" s="39" t="n">
        <f aca="false">MY_PH(AK$2,$A172)</f>
        <v>2.66041495793369E-005</v>
      </c>
      <c r="AL172" s="39" t="n">
        <f aca="false">MY_PH(AL$2,$A172)</f>
        <v>2.6880558081036E-005</v>
      </c>
      <c r="AM172" s="39" t="n">
        <f aca="false">MY_PH(AM$2,$A172)</f>
        <v>2.71585502996021E-005</v>
      </c>
      <c r="AN172" s="39" t="n">
        <f aca="false">MY_PH(AN$2,$A172)</f>
        <v>2.74379815066736E-005</v>
      </c>
      <c r="AO172" s="39" t="n">
        <f aca="false">MY_PH(AO$2,$A172)</f>
        <v>2.77187261936633E-005</v>
      </c>
      <c r="AP172" s="39" t="n">
        <f aca="false">MY_PH(AP$2,$A172)</f>
        <v>2.80006736970693E-005</v>
      </c>
      <c r="AQ172" s="39" t="n">
        <f aca="false">MY_PH(AQ$2,$A172)</f>
        <v>3.08673580346487E-005</v>
      </c>
      <c r="AR172" s="39" t="n">
        <f aca="false">MY_PH(AR$2,$A172)</f>
        <v>3.14656946026917E-005</v>
      </c>
      <c r="AS172" s="39" t="n">
        <f aca="false">MY_PH(AS$2,$A172)</f>
        <v>3.17373917546978E-005</v>
      </c>
    </row>
    <row r="173" customFormat="false" ht="13.8" hidden="false" customHeight="false" outlineLevel="0" collapsed="false">
      <c r="A173" s="0" t="n">
        <v>3330</v>
      </c>
      <c r="B173" s="39" t="n">
        <f aca="false">MY_PH(B$2,$A173)</f>
        <v>2.54520259724178E-005</v>
      </c>
      <c r="C173" s="39" t="n">
        <f aca="false">MY_PH(C$2,$A173)</f>
        <v>2.54520519713604E-005</v>
      </c>
      <c r="D173" s="39" t="n">
        <f aca="false">MY_PH(D$2,$A173)</f>
        <v>2.54520779703416E-005</v>
      </c>
      <c r="E173" s="39" t="n">
        <f aca="false">MY_PH(E$2,$A173)</f>
        <v>2.54521039693613E-005</v>
      </c>
      <c r="F173" s="39" t="n">
        <f aca="false">MY_PH(F$2,$A173)</f>
        <v>2.54521299684195E-005</v>
      </c>
      <c r="G173" s="39" t="n">
        <f aca="false">MY_PH(G$2,$A173)</f>
        <v>2.5452389961121E-005</v>
      </c>
      <c r="H173" s="39" t="n">
        <f aca="false">MY_PH(H$2,$A173)</f>
        <v>2.5452649957675E-005</v>
      </c>
      <c r="I173" s="39" t="n">
        <f aca="false">MY_PH(I$2,$A173)</f>
        <v>2.54529099580806E-005</v>
      </c>
      <c r="J173" s="39" t="n">
        <f aca="false">MY_PH(J$2,$A173)</f>
        <v>2.5453169962337E-005</v>
      </c>
      <c r="K173" s="39" t="n">
        <f aca="false">MY_PH(K$2,$A173)</f>
        <v>2.54534299704431E-005</v>
      </c>
      <c r="L173" s="39" t="n">
        <f aca="false">MY_PH(L$2,$A173)</f>
        <v>2.54536899823982E-005</v>
      </c>
      <c r="M173" s="39" t="n">
        <f aca="false">MY_PH(M$2,$A173)</f>
        <v>2.54539499982012E-005</v>
      </c>
      <c r="N173" s="39" t="n">
        <f aca="false">MY_PH(N$2,$A173)</f>
        <v>2.54542100178513E-005</v>
      </c>
      <c r="O173" s="39" t="n">
        <f aca="false">MY_PH(O$2,$A173)</f>
        <v>2.54544700413476E-005</v>
      </c>
      <c r="P173" s="39" t="n">
        <f aca="false">MY_PH(P$2,$A173)</f>
        <v>2.54570704876514E-005</v>
      </c>
      <c r="Q173" s="39" t="n">
        <f aca="false">MY_PH(Q$2,$A173)</f>
        <v>2.54596713175779E-005</v>
      </c>
      <c r="R173" s="39" t="n">
        <f aca="false">MY_PH(R$2,$A173)</f>
        <v>2.5462272530224E-005</v>
      </c>
      <c r="S173" s="39" t="n">
        <f aca="false">MY_PH(S$2,$A173)</f>
        <v>2.54648741246877E-005</v>
      </c>
      <c r="T173" s="39" t="n">
        <f aca="false">MY_PH(T$2,$A173)</f>
        <v>2.54674761000688E-005</v>
      </c>
      <c r="U173" s="39" t="n">
        <f aca="false">MY_PH(U$2,$A173)</f>
        <v>2.54700784554684E-005</v>
      </c>
      <c r="V173" s="39" t="n">
        <f aca="false">MY_PH(V$2,$A173)</f>
        <v>2.54726811899892E-005</v>
      </c>
      <c r="W173" s="39" t="n">
        <f aca="false">MY_PH(W$2,$A173)</f>
        <v>2.54752843027351E-005</v>
      </c>
      <c r="X173" s="39" t="n">
        <f aca="false">MY_PH(X$2,$A173)</f>
        <v>2.54778877928118E-005</v>
      </c>
      <c r="Y173" s="39" t="n">
        <f aca="false">MY_PH(Y$2,$A173)</f>
        <v>2.5503943251051E-005</v>
      </c>
      <c r="Z173" s="39" t="n">
        <f aca="false">MY_PH(Z$2,$A173)</f>
        <v>2.55300354694405E-005</v>
      </c>
      <c r="AA173" s="39" t="n">
        <f aca="false">MY_PH(AA$2,$A173)</f>
        <v>2.55561635778625E-005</v>
      </c>
      <c r="AB173" s="39" t="n">
        <f aca="false">MY_PH(AB$2,$A173)</f>
        <v>2.55823267209055E-005</v>
      </c>
      <c r="AC173" s="39" t="n">
        <f aca="false">MY_PH(AC$2,$A173)</f>
        <v>2.56085240578376E-005</v>
      </c>
      <c r="AD173" s="39" t="n">
        <f aca="false">MY_PH(AD$2,$A173)</f>
        <v>2.56347547625784E-005</v>
      </c>
      <c r="AE173" s="39" t="n">
        <f aca="false">MY_PH(AE$2,$A173)</f>
        <v>2.56610180236686E-005</v>
      </c>
      <c r="AF173" s="39" t="n">
        <f aca="false">MY_PH(AF$2,$A173)</f>
        <v>2.56873130442386E-005</v>
      </c>
      <c r="AG173" s="39" t="n">
        <f aca="false">MY_PH(AG$2,$A173)</f>
        <v>2.57136390419737E-005</v>
      </c>
      <c r="AH173" s="39" t="n">
        <f aca="false">MY_PH(AH$2,$A173)</f>
        <v>2.59784409832427E-005</v>
      </c>
      <c r="AI173" s="39" t="n">
        <f aca="false">MY_PH(AI$2,$A173)</f>
        <v>2.62455865135543E-005</v>
      </c>
      <c r="AJ173" s="39" t="n">
        <f aca="false">MY_PH(AJ$2,$A173)</f>
        <v>2.65147931881169E-005</v>
      </c>
      <c r="AK173" s="39" t="n">
        <f aca="false">MY_PH(AK$2,$A173)</f>
        <v>2.67859347753233E-005</v>
      </c>
      <c r="AL173" s="39" t="n">
        <f aca="false">MY_PH(AL$2,$A173)</f>
        <v>2.70588602349107E-005</v>
      </c>
      <c r="AM173" s="39" t="n">
        <f aca="false">MY_PH(AM$2,$A173)</f>
        <v>2.73334032684865E-005</v>
      </c>
      <c r="AN173" s="39" t="n">
        <f aca="false">MY_PH(AN$2,$A173)</f>
        <v>2.7609420740975E-005</v>
      </c>
      <c r="AO173" s="39" t="n">
        <f aca="false">MY_PH(AO$2,$A173)</f>
        <v>2.78867877339141E-005</v>
      </c>
      <c r="AP173" s="39" t="n">
        <f aca="false">MY_PH(AP$2,$A173)</f>
        <v>2.81653935149945E-005</v>
      </c>
      <c r="AQ173" s="39" t="n">
        <f aca="false">MY_PH(AQ$2,$A173)</f>
        <v>3.1000497638539E-005</v>
      </c>
      <c r="AR173" s="39" t="n">
        <f aca="false">MY_PH(AR$2,$A173)</f>
        <v>3.15927019907405E-005</v>
      </c>
      <c r="AS173" s="39" t="n">
        <f aca="false">MY_PH(AS$2,$A173)</f>
        <v>3.18616594881706E-005</v>
      </c>
    </row>
    <row r="174" customFormat="false" ht="13.8" hidden="false" customHeight="false" outlineLevel="0" collapsed="false">
      <c r="A174" s="0" t="n">
        <v>3340</v>
      </c>
      <c r="B174" s="39" t="n">
        <f aca="false">MY_PH(B$2,$A174)</f>
        <v>2.565071110282E-005</v>
      </c>
      <c r="C174" s="39" t="n">
        <f aca="false">MY_PH(C$2,$A174)</f>
        <v>2.56507367738778E-005</v>
      </c>
      <c r="D174" s="39" t="n">
        <f aca="false">MY_PH(D$2,$A174)</f>
        <v>2.56507624449731E-005</v>
      </c>
      <c r="E174" s="39" t="n">
        <f aca="false">MY_PH(E$2,$A174)</f>
        <v>2.56507881161059E-005</v>
      </c>
      <c r="F174" s="39" t="n">
        <f aca="false">MY_PH(F$2,$A174)</f>
        <v>2.56508137872762E-005</v>
      </c>
      <c r="G174" s="39" t="n">
        <f aca="false">MY_PH(G$2,$A174)</f>
        <v>2.56510705010414E-005</v>
      </c>
      <c r="H174" s="39" t="n">
        <f aca="false">MY_PH(H$2,$A174)</f>
        <v>2.56513272185555E-005</v>
      </c>
      <c r="I174" s="39" t="n">
        <f aca="false">MY_PH(I$2,$A174)</f>
        <v>2.56515839398175E-005</v>
      </c>
      <c r="J174" s="39" t="n">
        <f aca="false">MY_PH(J$2,$A174)</f>
        <v>2.56518406648266E-005</v>
      </c>
      <c r="K174" s="39" t="n">
        <f aca="false">MY_PH(K$2,$A174)</f>
        <v>2.56520973935821E-005</v>
      </c>
      <c r="L174" s="39" t="n">
        <f aca="false">MY_PH(L$2,$A174)</f>
        <v>2.56523541260829E-005</v>
      </c>
      <c r="M174" s="39" t="n">
        <f aca="false">MY_PH(M$2,$A174)</f>
        <v>2.56526108623283E-005</v>
      </c>
      <c r="N174" s="39" t="n">
        <f aca="false">MY_PH(N$2,$A174)</f>
        <v>2.56528676023174E-005</v>
      </c>
      <c r="O174" s="39" t="n">
        <f aca="false">MY_PH(O$2,$A174)</f>
        <v>2.56531243460495E-005</v>
      </c>
      <c r="P174" s="39" t="n">
        <f aca="false">MY_PH(P$2,$A174)</f>
        <v>2.56556919890418E-005</v>
      </c>
      <c r="Q174" s="39" t="n">
        <f aca="false">MY_PH(Q$2,$A174)</f>
        <v>2.56582600053908E-005</v>
      </c>
      <c r="R174" s="39" t="n">
        <f aca="false">MY_PH(R$2,$A174)</f>
        <v>2.5660828394251E-005</v>
      </c>
      <c r="S174" s="39" t="n">
        <f aca="false">MY_PH(S$2,$A174)</f>
        <v>2.56633971547781E-005</v>
      </c>
      <c r="T174" s="39" t="n">
        <f aca="false">MY_PH(T$2,$A174)</f>
        <v>2.56659662861291E-005</v>
      </c>
      <c r="U174" s="39" t="n">
        <f aca="false">MY_PH(U$2,$A174)</f>
        <v>2.56685357874626E-005</v>
      </c>
      <c r="V174" s="39" t="n">
        <f aca="false">MY_PH(V$2,$A174)</f>
        <v>2.56711056579383E-005</v>
      </c>
      <c r="W174" s="39" t="n">
        <f aca="false">MY_PH(W$2,$A174)</f>
        <v>2.56736758967172E-005</v>
      </c>
      <c r="X174" s="39" t="n">
        <f aca="false">MY_PH(X$2,$A174)</f>
        <v>2.56762465029618E-005</v>
      </c>
      <c r="Y174" s="39" t="n">
        <f aca="false">MY_PH(Y$2,$A174)</f>
        <v>2.57019725926859E-005</v>
      </c>
      <c r="Z174" s="39" t="n">
        <f aca="false">MY_PH(Z$2,$A174)</f>
        <v>2.5727734517404E-005</v>
      </c>
      <c r="AA174" s="39" t="n">
        <f aca="false">MY_PH(AA$2,$A174)</f>
        <v>2.57535314612798E-005</v>
      </c>
      <c r="AB174" s="39" t="n">
        <f aca="false">MY_PH(AB$2,$A174)</f>
        <v>2.57793626216471E-005</v>
      </c>
      <c r="AC174" s="39" t="n">
        <f aca="false">MY_PH(AC$2,$A174)</f>
        <v>2.5805227208985E-005</v>
      </c>
      <c r="AD174" s="39" t="n">
        <f aca="false">MY_PH(AD$2,$A174)</f>
        <v>2.58311244468911E-005</v>
      </c>
      <c r="AE174" s="39" t="n">
        <f aca="false">MY_PH(AE$2,$A174)</f>
        <v>2.58570535720541E-005</v>
      </c>
      <c r="AF174" s="39" t="n">
        <f aca="false">MY_PH(AF$2,$A174)</f>
        <v>2.58830138342238E-005</v>
      </c>
      <c r="AG174" s="39" t="n">
        <f aca="false">MY_PH(AG$2,$A174)</f>
        <v>2.59090044961803E-005</v>
      </c>
      <c r="AH174" s="39" t="n">
        <f aca="false">MY_PH(AH$2,$A174)</f>
        <v>2.61704301614438E-005</v>
      </c>
      <c r="AI174" s="39" t="n">
        <f aca="false">MY_PH(AI$2,$A174)</f>
        <v>2.64341801283386E-005</v>
      </c>
      <c r="AJ174" s="39" t="n">
        <f aca="false">MY_PH(AJ$2,$A174)</f>
        <v>2.6699998079286E-005</v>
      </c>
      <c r="AK174" s="39" t="n">
        <f aca="false">MY_PH(AK$2,$A174)</f>
        <v>2.6967704232284E-005</v>
      </c>
      <c r="AL174" s="39" t="n">
        <f aca="false">MY_PH(AL$2,$A174)</f>
        <v>2.72372209995599E-005</v>
      </c>
      <c r="AM174" s="39" t="n">
        <f aca="false">MY_PH(AM$2,$A174)</f>
        <v>2.75083852268381E-005</v>
      </c>
      <c r="AN174" s="39" t="n">
        <f aca="false">MY_PH(AN$2,$A174)</f>
        <v>2.77810555546791E-005</v>
      </c>
      <c r="AO174" s="39" t="n">
        <f aca="false">MY_PH(AO$2,$A174)</f>
        <v>2.80551078867987E-005</v>
      </c>
      <c r="AP174" s="39" t="n">
        <f aca="false">MY_PH(AP$2,$A174)</f>
        <v>2.83304316758176E-005</v>
      </c>
      <c r="AQ174" s="39" t="n">
        <f aca="false">MY_PH(AQ$2,$A174)</f>
        <v>3.11344205479252E-005</v>
      </c>
      <c r="AR174" s="39" t="n">
        <f aca="false">MY_PH(AR$2,$A174)</f>
        <v>3.17205679026945E-005</v>
      </c>
      <c r="AS174" s="39" t="n">
        <f aca="false">MY_PH(AS$2,$A174)</f>
        <v>3.19868183082095E-005</v>
      </c>
    </row>
    <row r="175" customFormat="false" ht="13.8" hidden="false" customHeight="false" outlineLevel="0" collapsed="false">
      <c r="A175" s="0" t="n">
        <v>3350</v>
      </c>
      <c r="B175" s="39" t="n">
        <f aca="false">MY_PH(B$2,$A175)</f>
        <v>2.58489704655049E-005</v>
      </c>
      <c r="C175" s="39" t="n">
        <f aca="false">MY_PH(C$2,$A175)</f>
        <v>2.58489958162606E-005</v>
      </c>
      <c r="D175" s="39" t="n">
        <f aca="false">MY_PH(D$2,$A175)</f>
        <v>2.58490211670528E-005</v>
      </c>
      <c r="E175" s="39" t="n">
        <f aca="false">MY_PH(E$2,$A175)</f>
        <v>2.58490465178816E-005</v>
      </c>
      <c r="F175" s="39" t="n">
        <f aca="false">MY_PH(F$2,$A175)</f>
        <v>2.58490718687468E-005</v>
      </c>
      <c r="G175" s="39" t="n">
        <f aca="false">MY_PH(G$2,$A175)</f>
        <v>2.58493253794073E-005</v>
      </c>
      <c r="H175" s="39" t="n">
        <f aca="false">MY_PH(H$2,$A175)</f>
        <v>2.5849578893718E-005</v>
      </c>
      <c r="I175" s="39" t="n">
        <f aca="false">MY_PH(I$2,$A175)</f>
        <v>2.58498324116783E-005</v>
      </c>
      <c r="J175" s="39" t="n">
        <f aca="false">MY_PH(J$2,$A175)</f>
        <v>2.58500859332873E-005</v>
      </c>
      <c r="K175" s="39" t="n">
        <f aca="false">MY_PH(K$2,$A175)</f>
        <v>2.58503394585442E-005</v>
      </c>
      <c r="L175" s="39" t="n">
        <f aca="false">MY_PH(L$2,$A175)</f>
        <v>2.58505929874483E-005</v>
      </c>
      <c r="M175" s="39" t="n">
        <f aca="false">MY_PH(M$2,$A175)</f>
        <v>2.58508465199987E-005</v>
      </c>
      <c r="N175" s="39" t="n">
        <f aca="false">MY_PH(N$2,$A175)</f>
        <v>2.58511000561946E-005</v>
      </c>
      <c r="O175" s="39" t="n">
        <f aca="false">MY_PH(O$2,$A175)</f>
        <v>2.58513535960353E-005</v>
      </c>
      <c r="P175" s="39" t="n">
        <f aca="false">MY_PH(P$2,$A175)</f>
        <v>2.58538891947285E-005</v>
      </c>
      <c r="Q175" s="39" t="n">
        <f aca="false">MY_PH(Q$2,$A175)</f>
        <v>2.58564251570236E-005</v>
      </c>
      <c r="R175" s="39" t="n">
        <f aca="false">MY_PH(R$2,$A175)</f>
        <v>2.58589614821283E-005</v>
      </c>
      <c r="S175" s="39" t="n">
        <f aca="false">MY_PH(S$2,$A175)</f>
        <v>2.58614981692516E-005</v>
      </c>
      <c r="T175" s="39" t="n">
        <f aca="false">MY_PH(T$2,$A175)</f>
        <v>2.58640352176034E-005</v>
      </c>
      <c r="U175" s="39" t="n">
        <f aca="false">MY_PH(U$2,$A175)</f>
        <v>2.58665726263951E-005</v>
      </c>
      <c r="V175" s="39" t="n">
        <f aca="false">MY_PH(V$2,$A175)</f>
        <v>2.58691103948392E-005</v>
      </c>
      <c r="W175" s="39" t="n">
        <f aca="false">MY_PH(W$2,$A175)</f>
        <v>2.58716485221491E-005</v>
      </c>
      <c r="X175" s="39" t="n">
        <f aca="false">MY_PH(X$2,$A175)</f>
        <v>2.58741870075399E-005</v>
      </c>
      <c r="Y175" s="39" t="n">
        <f aca="false">MY_PH(Y$2,$A175)</f>
        <v>2.58995913839987E-005</v>
      </c>
      <c r="Z175" s="39" t="n">
        <f aca="false">MY_PH(Z$2,$A175)</f>
        <v>2.59250307136327E-005</v>
      </c>
      <c r="AA175" s="39" t="n">
        <f aca="false">MY_PH(AA$2,$A175)</f>
        <v>2.59505042307861E-005</v>
      </c>
      <c r="AB175" s="39" t="n">
        <f aca="false">MY_PH(AB$2,$A175)</f>
        <v>2.59760111816063E-005</v>
      </c>
      <c r="AC175" s="39" t="n">
        <f aca="false">MY_PH(AC$2,$A175)</f>
        <v>2.60015508240214E-005</v>
      </c>
      <c r="AD175" s="39" t="n">
        <f aca="false">MY_PH(AD$2,$A175)</f>
        <v>2.60271224277145E-005</v>
      </c>
      <c r="AE175" s="39" t="n">
        <f aca="false">MY_PH(AE$2,$A175)</f>
        <v>2.60527252740989E-005</v>
      </c>
      <c r="AF175" s="39" t="n">
        <f aca="false">MY_PH(AF$2,$A175)</f>
        <v>2.60783586562897E-005</v>
      </c>
      <c r="AG175" s="39" t="n">
        <f aca="false">MY_PH(AG$2,$A175)</f>
        <v>2.61040218790755E-005</v>
      </c>
      <c r="AH175" s="39" t="n">
        <f aca="false">MY_PH(AH$2,$A175)</f>
        <v>2.6362150675326E-005</v>
      </c>
      <c r="AI175" s="39" t="n">
        <f aca="false">MY_PH(AI$2,$A175)</f>
        <v>2.66225841362962E-005</v>
      </c>
      <c r="AJ175" s="39" t="n">
        <f aca="false">MY_PH(AJ$2,$A175)</f>
        <v>2.68850909309019E-005</v>
      </c>
      <c r="AK175" s="39" t="n">
        <f aca="false">MY_PH(AK$2,$A175)</f>
        <v>2.71494376922312E-005</v>
      </c>
      <c r="AL175" s="39" t="n">
        <f aca="false">MY_PH(AL$2,$A175)</f>
        <v>2.74156180837384E-005</v>
      </c>
      <c r="AM175" s="39" t="n">
        <f aca="false">MY_PH(AM$2,$A175)</f>
        <v>2.76834721613588E-005</v>
      </c>
      <c r="AN175" s="39" t="n">
        <f aca="false">MY_PH(AN$2,$A175)</f>
        <v>2.79528604918654E-005</v>
      </c>
      <c r="AO175" s="39" t="n">
        <f aca="false">MY_PH(AO$2,$A175)</f>
        <v>2.82236599995684E-005</v>
      </c>
      <c r="AP175" s="39" t="n">
        <f aca="false">MY_PH(AP$2,$A175)</f>
        <v>2.84957605426358E-005</v>
      </c>
      <c r="AQ175" s="39" t="n">
        <f aca="false">MY_PH(AQ$2,$A175)</f>
        <v>3.12690954299332E-005</v>
      </c>
      <c r="AR175" s="39" t="n">
        <f aca="false">MY_PH(AR$2,$A175)</f>
        <v>3.18492607011985E-005</v>
      </c>
      <c r="AS175" s="39" t="n">
        <f aca="false">MY_PH(AS$2,$A175)</f>
        <v>3.21128364213031E-005</v>
      </c>
    </row>
    <row r="176" customFormat="false" ht="13.8" hidden="false" customHeight="false" outlineLevel="0" collapsed="false">
      <c r="A176" s="0" t="n">
        <v>3360</v>
      </c>
      <c r="B176" s="39" t="n">
        <f aca="false">MY_PH(B$2,$A176)</f>
        <v>2.60467997650015E-005</v>
      </c>
      <c r="C176" s="39" t="n">
        <f aca="false">MY_PH(C$2,$A176)</f>
        <v>2.60468248027424E-005</v>
      </c>
      <c r="D176" s="39" t="n">
        <f aca="false">MY_PH(D$2,$A176)</f>
        <v>2.60468498405188E-005</v>
      </c>
      <c r="E176" s="39" t="n">
        <f aca="false">MY_PH(E$2,$A176)</f>
        <v>2.60468748783309E-005</v>
      </c>
      <c r="F176" s="39" t="n">
        <f aca="false">MY_PH(F$2,$A176)</f>
        <v>2.60468999161785E-005</v>
      </c>
      <c r="G176" s="39" t="n">
        <f aca="false">MY_PH(G$2,$A176)</f>
        <v>2.60471502966108E-005</v>
      </c>
      <c r="H176" s="39" t="n">
        <f aca="false">MY_PH(H$2,$A176)</f>
        <v>2.60474006805997E-005</v>
      </c>
      <c r="I176" s="39" t="n">
        <f aca="false">MY_PH(I$2,$A176)</f>
        <v>2.60476510681445E-005</v>
      </c>
      <c r="J176" s="39" t="n">
        <f aca="false">MY_PH(J$2,$A176)</f>
        <v>2.60479014592443E-005</v>
      </c>
      <c r="K176" s="39" t="n">
        <f aca="false">MY_PH(K$2,$A176)</f>
        <v>2.60481518538984E-005</v>
      </c>
      <c r="L176" s="39" t="n">
        <f aca="false">MY_PH(L$2,$A176)</f>
        <v>2.60484022521062E-005</v>
      </c>
      <c r="M176" s="39" t="n">
        <f aca="false">MY_PH(M$2,$A176)</f>
        <v>2.60486526538667E-005</v>
      </c>
      <c r="N176" s="39" t="n">
        <f aca="false">MY_PH(N$2,$A176)</f>
        <v>2.60489030591794E-005</v>
      </c>
      <c r="O176" s="39" t="n">
        <f aca="false">MY_PH(O$2,$A176)</f>
        <v>2.60491534680433E-005</v>
      </c>
      <c r="P176" s="39" t="n">
        <f aca="false">MY_PH(P$2,$A176)</f>
        <v>2.60516577518433E-005</v>
      </c>
      <c r="Q176" s="39" t="n">
        <f aca="false">MY_PH(Q$2,$A176)</f>
        <v>2.60541623899593E-005</v>
      </c>
      <c r="R176" s="39" t="n">
        <f aca="false">MY_PH(R$2,$A176)</f>
        <v>2.6056667381648E-005</v>
      </c>
      <c r="S176" s="39" t="n">
        <f aca="false">MY_PH(S$2,$A176)</f>
        <v>2.60591727261676E-005</v>
      </c>
      <c r="T176" s="39" t="n">
        <f aca="false">MY_PH(T$2,$A176)</f>
        <v>2.6061678422777E-005</v>
      </c>
      <c r="U176" s="39" t="n">
        <f aca="false">MY_PH(U$2,$A176)</f>
        <v>2.60641844707363E-005</v>
      </c>
      <c r="V176" s="39" t="n">
        <f aca="false">MY_PH(V$2,$A176)</f>
        <v>2.60666908693068E-005</v>
      </c>
      <c r="W176" s="39" t="n">
        <f aca="false">MY_PH(W$2,$A176)</f>
        <v>2.60691976177506E-005</v>
      </c>
      <c r="X176" s="39" t="n">
        <f aca="false">MY_PH(X$2,$A176)</f>
        <v>2.60717047153311E-005</v>
      </c>
      <c r="Y176" s="39" t="n">
        <f aca="false">MY_PH(Y$2,$A176)</f>
        <v>2.60967947323366E-005</v>
      </c>
      <c r="Z176" s="39" t="n">
        <f aca="false">MY_PH(Z$2,$A176)</f>
        <v>2.61219188605193E-005</v>
      </c>
      <c r="AA176" s="39" t="n">
        <f aca="false">MY_PH(AA$2,$A176)</f>
        <v>2.61470763806871E-005</v>
      </c>
      <c r="AB176" s="39" t="n">
        <f aca="false">MY_PH(AB$2,$A176)</f>
        <v>2.61722665842353E-005</v>
      </c>
      <c r="AC176" s="39" t="n">
        <f aca="false">MY_PH(AC$2,$A176)</f>
        <v>2.61974887731251E-005</v>
      </c>
      <c r="AD176" s="39" t="n">
        <f aca="false">MY_PH(AD$2,$A176)</f>
        <v>2.62227422598603E-005</v>
      </c>
      <c r="AE176" s="39" t="n">
        <f aca="false">MY_PH(AE$2,$A176)</f>
        <v>2.62480263674629E-005</v>
      </c>
      <c r="AF176" s="39" t="n">
        <f aca="false">MY_PH(AF$2,$A176)</f>
        <v>2.62733404294481E-005</v>
      </c>
      <c r="AG176" s="39" t="n">
        <f aca="false">MY_PH(AG$2,$A176)</f>
        <v>2.62986837897974E-005</v>
      </c>
      <c r="AH176" s="39" t="n">
        <f aca="false">MY_PH(AH$2,$A176)</f>
        <v>2.65535919038519E-005</v>
      </c>
      <c r="AI176" s="39" t="n">
        <f aca="false">MY_PH(AI$2,$A176)</f>
        <v>2.6810784734422E-005</v>
      </c>
      <c r="AJ176" s="39" t="n">
        <f aca="false">MY_PH(AJ$2,$A176)</f>
        <v>2.70700547970691E-005</v>
      </c>
      <c r="AK176" s="39" t="n">
        <f aca="false">MY_PH(AK$2,$A176)</f>
        <v>2.73311158911907E-005</v>
      </c>
      <c r="AL176" s="39" t="n">
        <f aca="false">MY_PH(AL$2,$A176)</f>
        <v>2.75940302180555E-005</v>
      </c>
      <c r="AM176" s="39" t="n">
        <f aca="false">MY_PH(AM$2,$A176)</f>
        <v>2.78586410875359E-005</v>
      </c>
      <c r="AN176" s="39" t="n">
        <f aca="false">MY_PH(AN$2,$A176)</f>
        <v>2.81248111154696E-005</v>
      </c>
      <c r="AO176" s="39" t="n">
        <f aca="false">MY_PH(AO$2,$A176)</f>
        <v>2.83924184155078E-005</v>
      </c>
      <c r="AP176" s="39" t="n">
        <f aca="false">MY_PH(AP$2,$A176)</f>
        <v>2.86613534425338E-005</v>
      </c>
      <c r="AQ176" s="39" t="n">
        <f aca="false">MY_PH(AQ$2,$A176)</f>
        <v>3.14044916070421E-005</v>
      </c>
      <c r="AR176" s="39" t="n">
        <f aca="false">MY_PH(AR$2,$A176)</f>
        <v>3.19787494059194E-005</v>
      </c>
      <c r="AS176" s="39" t="n">
        <f aca="false">MY_PH(AS$2,$A176)</f>
        <v>3.2239682700385E-005</v>
      </c>
    </row>
    <row r="177" customFormat="false" ht="13.8" hidden="false" customHeight="false" outlineLevel="0" collapsed="false">
      <c r="A177" s="0" t="n">
        <v>3370</v>
      </c>
      <c r="B177" s="39" t="n">
        <f aca="false">MY_PH(B$2,$A177)</f>
        <v>2.62441949347265E-005</v>
      </c>
      <c r="C177" s="39" t="n">
        <f aca="false">MY_PH(C$2,$A177)</f>
        <v>2.62442196664586E-005</v>
      </c>
      <c r="D177" s="39" t="n">
        <f aca="false">MY_PH(D$2,$A177)</f>
        <v>2.62442443982254E-005</v>
      </c>
      <c r="E177" s="39" t="n">
        <f aca="false">MY_PH(E$2,$A177)</f>
        <v>2.62442691300269E-005</v>
      </c>
      <c r="F177" s="39" t="n">
        <f aca="false">MY_PH(F$2,$A177)</f>
        <v>2.62442938618631E-005</v>
      </c>
      <c r="G177" s="39" t="n">
        <f aca="false">MY_PH(G$2,$A177)</f>
        <v>2.62445411821321E-005</v>
      </c>
      <c r="H177" s="39" t="n">
        <f aca="false">MY_PH(H$2,$A177)</f>
        <v>2.62447885058683E-005</v>
      </c>
      <c r="I177" s="39" t="n">
        <f aca="false">MY_PH(I$2,$A177)</f>
        <v>2.62450358330711E-005</v>
      </c>
      <c r="J177" s="39" t="n">
        <f aca="false">MY_PH(J$2,$A177)</f>
        <v>2.62452831637395E-005</v>
      </c>
      <c r="K177" s="39" t="n">
        <f aca="false">MY_PH(K$2,$A177)</f>
        <v>2.62455304978731E-005</v>
      </c>
      <c r="L177" s="39" t="n">
        <f aca="false">MY_PH(L$2,$A177)</f>
        <v>2.62457778354711E-005</v>
      </c>
      <c r="M177" s="39" t="n">
        <f aca="false">MY_PH(M$2,$A177)</f>
        <v>2.62460251765328E-005</v>
      </c>
      <c r="N177" s="39" t="n">
        <f aca="false">MY_PH(N$2,$A177)</f>
        <v>2.62462725210575E-005</v>
      </c>
      <c r="O177" s="39" t="n">
        <f aca="false">MY_PH(O$2,$A177)</f>
        <v>2.62465198690445E-005</v>
      </c>
      <c r="P177" s="39" t="n">
        <f aca="false">MY_PH(P$2,$A177)</f>
        <v>2.62489935391868E-005</v>
      </c>
      <c r="Q177" s="39" t="n">
        <f aca="false">MY_PH(Q$2,$A177)</f>
        <v>2.62514675547905E-005</v>
      </c>
      <c r="R177" s="39" t="n">
        <f aca="false">MY_PH(R$2,$A177)</f>
        <v>2.6253941915158E-005</v>
      </c>
      <c r="S177" s="39" t="n">
        <f aca="false">MY_PH(S$2,$A177)</f>
        <v>2.62564166195927E-005</v>
      </c>
      <c r="T177" s="39" t="n">
        <f aca="false">MY_PH(T$2,$A177)</f>
        <v>2.62588916673989E-005</v>
      </c>
      <c r="U177" s="39" t="n">
        <f aca="false">MY_PH(U$2,$A177)</f>
        <v>2.6261367057882E-005</v>
      </c>
      <c r="V177" s="39" t="n">
        <f aca="false">MY_PH(V$2,$A177)</f>
        <v>2.62638427903482E-005</v>
      </c>
      <c r="W177" s="39" t="n">
        <f aca="false">MY_PH(W$2,$A177)</f>
        <v>2.62663188641046E-005</v>
      </c>
      <c r="X177" s="39" t="n">
        <f aca="false">MY_PH(X$2,$A177)</f>
        <v>2.62687952784596E-005</v>
      </c>
      <c r="Y177" s="39" t="n">
        <f aca="false">MY_PH(Y$2,$A177)</f>
        <v>2.62935780034057E-005</v>
      </c>
      <c r="Z177" s="39" t="n">
        <f aca="false">MY_PH(Z$2,$A177)</f>
        <v>2.63183940342694E-005</v>
      </c>
      <c r="AA177" s="39" t="n">
        <f aca="false">MY_PH(AA$2,$A177)</f>
        <v>2.63432426949448E-005</v>
      </c>
      <c r="AB177" s="39" t="n">
        <f aca="false">MY_PH(AB$2,$A177)</f>
        <v>2.63681233188312E-005</v>
      </c>
      <c r="AC177" s="39" t="n">
        <f aca="false">MY_PH(AC$2,$A177)</f>
        <v>2.63930352488129E-005</v>
      </c>
      <c r="AD177" s="39" t="n">
        <f aca="false">MY_PH(AD$2,$A177)</f>
        <v>2.64179778372367E-005</v>
      </c>
      <c r="AE177" s="39" t="n">
        <f aca="false">MY_PH(AE$2,$A177)</f>
        <v>2.64429504458903E-005</v>
      </c>
      <c r="AF177" s="39" t="n">
        <f aca="false">MY_PH(AF$2,$A177)</f>
        <v>2.64679524459776E-005</v>
      </c>
      <c r="AG177" s="39" t="n">
        <f aca="false">MY_PH(AG$2,$A177)</f>
        <v>2.64929832180949E-005</v>
      </c>
      <c r="AH177" s="39" t="n">
        <f aca="false">MY_PH(AH$2,$A177)</f>
        <v>2.67447437934158E-005</v>
      </c>
      <c r="AI177" s="39" t="n">
        <f aca="false">MY_PH(AI$2,$A177)</f>
        <v>2.69987688600497E-005</v>
      </c>
      <c r="AJ177" s="39" t="n">
        <f aca="false">MY_PH(AJ$2,$A177)</f>
        <v>2.72548736296037E-005</v>
      </c>
      <c r="AK177" s="39" t="n">
        <f aca="false">MY_PH(AK$2,$A177)</f>
        <v>2.75127205180727E-005</v>
      </c>
      <c r="AL177" s="39" t="n">
        <f aca="false">MY_PH(AL$2,$A177)</f>
        <v>2.77724371180476E-005</v>
      </c>
      <c r="AM177" s="39" t="n">
        <f aca="false">MY_PH(AM$2,$A177)</f>
        <v>2.80338700179968E-005</v>
      </c>
      <c r="AN177" s="39" t="n">
        <f aca="false">MY_PH(AN$2,$A177)</f>
        <v>2.82968839815409E-005</v>
      </c>
      <c r="AO177" s="39" t="n">
        <f aca="false">MY_PH(AO$2,$A177)</f>
        <v>2.85613584542928E-005</v>
      </c>
      <c r="AP177" s="39" t="n">
        <f aca="false">MY_PH(AP$2,$A177)</f>
        <v>2.88271846528799E-005</v>
      </c>
      <c r="AQ177" s="39" t="n">
        <f aca="false">MY_PH(AQ$2,$A177)</f>
        <v>3.15405790594616E-005</v>
      </c>
      <c r="AR177" s="39" t="n">
        <f aca="false">MY_PH(AR$2,$A177)</f>
        <v>3.21090036904843E-005</v>
      </c>
      <c r="AS177" s="39" t="n">
        <f aca="false">MY_PH(AS$2,$A177)</f>
        <v>3.23673266792372E-005</v>
      </c>
    </row>
    <row r="178" customFormat="false" ht="13.8" hidden="false" customHeight="false" outlineLevel="0" collapsed="false">
      <c r="A178" s="0" t="n">
        <v>3380</v>
      </c>
      <c r="B178" s="39" t="n">
        <f aca="false">MY_PH(B$2,$A178)</f>
        <v>2.64411521288553E-005</v>
      </c>
      <c r="C178" s="39" t="n">
        <f aca="false">MY_PH(C$2,$A178)</f>
        <v>2.6441176561317E-005</v>
      </c>
      <c r="D178" s="39" t="n">
        <f aca="false">MY_PH(D$2,$A178)</f>
        <v>2.64412009938126E-005</v>
      </c>
      <c r="E178" s="39" t="n">
        <f aca="false">MY_PH(E$2,$A178)</f>
        <v>2.6441225426342E-005</v>
      </c>
      <c r="F178" s="39" t="n">
        <f aca="false">MY_PH(F$2,$A178)</f>
        <v>2.64412498589052E-005</v>
      </c>
      <c r="G178" s="39" t="n">
        <f aca="false">MY_PH(G$2,$A178)</f>
        <v>2.64414941863977E-005</v>
      </c>
      <c r="H178" s="39" t="n">
        <f aca="false">MY_PH(H$2,$A178)</f>
        <v>2.6441738517272E-005</v>
      </c>
      <c r="I178" s="39" t="n">
        <f aca="false">MY_PH(I$2,$A178)</f>
        <v>2.64419828515276E-005</v>
      </c>
      <c r="J178" s="39" t="n">
        <f aca="false">MY_PH(J$2,$A178)</f>
        <v>2.64422271891637E-005</v>
      </c>
      <c r="K178" s="39" t="n">
        <f aca="false">MY_PH(K$2,$A178)</f>
        <v>2.64424715301797E-005</v>
      </c>
      <c r="L178" s="39" t="n">
        <f aca="false">MY_PH(L$2,$A178)</f>
        <v>2.6442715874575E-005</v>
      </c>
      <c r="M178" s="39" t="n">
        <f aca="false">MY_PH(M$2,$A178)</f>
        <v>2.64429602223488E-005</v>
      </c>
      <c r="N178" s="39" t="n">
        <f aca="false">MY_PH(N$2,$A178)</f>
        <v>2.64432045735006E-005</v>
      </c>
      <c r="O178" s="39" t="n">
        <f aca="false">MY_PH(O$2,$A178)</f>
        <v>2.64434489280297E-005</v>
      </c>
      <c r="P178" s="39" t="n">
        <f aca="false">MY_PH(P$2,$A178)</f>
        <v>2.64458926589257E-005</v>
      </c>
      <c r="Q178" s="39" t="n">
        <f aca="false">MY_PH(Q$2,$A178)</f>
        <v>2.64483367268273E-005</v>
      </c>
      <c r="R178" s="39" t="n">
        <f aca="false">MY_PH(R$2,$A178)</f>
        <v>2.6450781131079E-005</v>
      </c>
      <c r="S178" s="39" t="n">
        <f aca="false">MY_PH(S$2,$A178)</f>
        <v>2.64532258710263E-005</v>
      </c>
      <c r="T178" s="39" t="n">
        <f aca="false">MY_PH(T$2,$A178)</f>
        <v>2.64556709460154E-005</v>
      </c>
      <c r="U178" s="39" t="n">
        <f aca="false">MY_PH(U$2,$A178)</f>
        <v>2.64581163553937E-005</v>
      </c>
      <c r="V178" s="39" t="n">
        <f aca="false">MY_PH(V$2,$A178)</f>
        <v>2.64605620985091E-005</v>
      </c>
      <c r="W178" s="39" t="n">
        <f aca="false">MY_PH(W$2,$A178)</f>
        <v>2.64630081747106E-005</v>
      </c>
      <c r="X178" s="39" t="n">
        <f aca="false">MY_PH(X$2,$A178)</f>
        <v>2.64654545833479E-005</v>
      </c>
      <c r="Y178" s="39" t="n">
        <f aca="false">MY_PH(Y$2,$A178)</f>
        <v>2.64899368112557E-005</v>
      </c>
      <c r="Z178" s="39" t="n">
        <f aca="false">MY_PH(Z$2,$A178)</f>
        <v>2.65144515738614E-005</v>
      </c>
      <c r="AA178" s="39" t="n">
        <f aca="false">MY_PH(AA$2,$A178)</f>
        <v>2.65389982350683E-005</v>
      </c>
      <c r="AB178" s="39" t="n">
        <f aca="false">MY_PH(AB$2,$A178)</f>
        <v>2.65635761673209E-005</v>
      </c>
      <c r="AC178" s="39" t="n">
        <f aca="false">MY_PH(AC$2,$A178)</f>
        <v>2.6588184751586E-005</v>
      </c>
      <c r="AD178" s="39" t="n">
        <f aca="false">MY_PH(AD$2,$A178)</f>
        <v>2.66128233773323E-005</v>
      </c>
      <c r="AE178" s="39" t="n">
        <f aca="false">MY_PH(AE$2,$A178)</f>
        <v>2.66374914425086E-005</v>
      </c>
      <c r="AF178" s="39" t="n">
        <f aca="false">MY_PH(AF$2,$A178)</f>
        <v>2.66621883535226E-005</v>
      </c>
      <c r="AG178" s="39" t="n">
        <f aca="false">MY_PH(AG$2,$A178)</f>
        <v>2.66869135252176E-005</v>
      </c>
      <c r="AH178" s="39" t="n">
        <f aca="false">MY_PH(AH$2,$A178)</f>
        <v>2.69355968269323E-005</v>
      </c>
      <c r="AI178" s="39" t="n">
        <f aca="false">MY_PH(AI$2,$A178)</f>
        <v>2.7186524150576E-005</v>
      </c>
      <c r="AJ178" s="39" t="n">
        <f aca="false">MY_PH(AJ$2,$A178)</f>
        <v>2.74395322355963E-005</v>
      </c>
      <c r="AK178" s="39" t="n">
        <f aca="false">MY_PH(AK$2,$A178)</f>
        <v>2.76942341743737E-005</v>
      </c>
      <c r="AL178" s="39" t="n">
        <f aca="false">MY_PH(AL$2,$A178)</f>
        <v>2.79508194474988E-005</v>
      </c>
      <c r="AM178" s="39" t="n">
        <f aca="false">MY_PH(AM$2,$A178)</f>
        <v>2.82091379305144E-005</v>
      </c>
      <c r="AN178" s="39" t="n">
        <f aca="false">MY_PH(AN$2,$A178)</f>
        <v>2.84690566125778E-005</v>
      </c>
      <c r="AO178" s="39" t="n">
        <f aca="false">MY_PH(AO$2,$A178)</f>
        <v>2.87304563909206E-005</v>
      </c>
      <c r="AP178" s="39" t="n">
        <f aca="false">MY_PH(AP$2,$A178)</f>
        <v>2.89932293857826E-005</v>
      </c>
      <c r="AQ178" s="39" t="n">
        <f aca="false">MY_PH(AQ$2,$A178)</f>
        <v>3.16773284263921E-005</v>
      </c>
      <c r="AR178" s="39" t="n">
        <f aca="false">MY_PH(AR$2,$A178)</f>
        <v>3.22399938783559E-005</v>
      </c>
      <c r="AS178" s="39" t="n">
        <f aca="false">MY_PH(AS$2,$A178)</f>
        <v>3.24957385456449E-005</v>
      </c>
    </row>
    <row r="179" customFormat="false" ht="13.8" hidden="false" customHeight="false" outlineLevel="0" collapsed="false">
      <c r="A179" s="0" t="n">
        <v>3390</v>
      </c>
      <c r="B179" s="39" t="n">
        <f aca="false">MY_PH(B$2,$A179)</f>
        <v>2.66376677144947E-005</v>
      </c>
      <c r="C179" s="39" t="n">
        <f aca="false">MY_PH(C$2,$A179)</f>
        <v>2.66376918541692E-005</v>
      </c>
      <c r="D179" s="39" t="n">
        <f aca="false">MY_PH(D$2,$A179)</f>
        <v>2.66377159938767E-005</v>
      </c>
      <c r="E179" s="39" t="n">
        <f aca="false">MY_PH(E$2,$A179)</f>
        <v>2.66377401336172E-005</v>
      </c>
      <c r="F179" s="39" t="n">
        <f aca="false">MY_PH(F$2,$A179)</f>
        <v>2.66377642733908E-005</v>
      </c>
      <c r="G179" s="39" t="n">
        <f aca="false">MY_PH(G$2,$A179)</f>
        <v>2.66380056729416E-005</v>
      </c>
      <c r="H179" s="39" t="n">
        <f aca="false">MY_PH(H$2,$A179)</f>
        <v>2.66382470757927E-005</v>
      </c>
      <c r="I179" s="39" t="n">
        <f aca="false">MY_PH(I$2,$A179)</f>
        <v>2.66384884819434E-005</v>
      </c>
      <c r="J179" s="39" t="n">
        <f aca="false">MY_PH(J$2,$A179)</f>
        <v>2.66387298913933E-005</v>
      </c>
      <c r="K179" s="39" t="n">
        <f aca="false">MY_PH(K$2,$A179)</f>
        <v>2.66389713041416E-005</v>
      </c>
      <c r="L179" s="39" t="n">
        <f aca="false">MY_PH(L$2,$A179)</f>
        <v>2.66392127201877E-005</v>
      </c>
      <c r="M179" s="39" t="n">
        <f aca="false">MY_PH(M$2,$A179)</f>
        <v>2.66394541395311E-005</v>
      </c>
      <c r="N179" s="39" t="n">
        <f aca="false">MY_PH(N$2,$A179)</f>
        <v>2.66396955621711E-005</v>
      </c>
      <c r="O179" s="39" t="n">
        <f aca="false">MY_PH(O$2,$A179)</f>
        <v>2.6639936988107E-005</v>
      </c>
      <c r="P179" s="39" t="n">
        <f aca="false">MY_PH(P$2,$A179)</f>
        <v>2.66423514286096E-005</v>
      </c>
      <c r="Q179" s="39" t="n">
        <f aca="false">MY_PH(Q$2,$A179)</f>
        <v>2.66447661980319E-005</v>
      </c>
      <c r="R179" s="39" t="n">
        <f aca="false">MY_PH(R$2,$A179)</f>
        <v>2.66471812957574E-005</v>
      </c>
      <c r="S179" s="39" t="n">
        <f aca="false">MY_PH(S$2,$A179)</f>
        <v>2.66495967211708E-005</v>
      </c>
      <c r="T179" s="39" t="n">
        <f aca="false">MY_PH(T$2,$A179)</f>
        <v>2.66520124736573E-005</v>
      </c>
      <c r="U179" s="39" t="n">
        <f aca="false">MY_PH(U$2,$A179)</f>
        <v>2.6654428552603E-005</v>
      </c>
      <c r="V179" s="39" t="n">
        <f aca="false">MY_PH(V$2,$A179)</f>
        <v>2.66568449573948E-005</v>
      </c>
      <c r="W179" s="39" t="n">
        <f aca="false">MY_PH(W$2,$A179)</f>
        <v>2.66592616874202E-005</v>
      </c>
      <c r="X179" s="39" t="n">
        <f aca="false">MY_PH(X$2,$A179)</f>
        <v>2.66616787420677E-005</v>
      </c>
      <c r="Y179" s="39" t="n">
        <f aca="false">MY_PH(Y$2,$A179)</f>
        <v>2.66858670087528E-005</v>
      </c>
      <c r="Z179" s="39" t="n">
        <f aca="false">MY_PH(Z$2,$A179)</f>
        <v>2.6710087070597E-005</v>
      </c>
      <c r="AA179" s="39" t="n">
        <f aca="false">MY_PH(AA$2,$A179)</f>
        <v>2.67343383287015E-005</v>
      </c>
      <c r="AB179" s="39" t="n">
        <f aca="false">MY_PH(AB$2,$A179)</f>
        <v>2.6758620191851E-005</v>
      </c>
      <c r="AC179" s="39" t="n">
        <f aca="false">MY_PH(AC$2,$A179)</f>
        <v>2.67829320764947E-005</v>
      </c>
      <c r="AD179" s="39" t="n">
        <f aca="false">MY_PH(AD$2,$A179)</f>
        <v>2.68072734067274E-005</v>
      </c>
      <c r="AE179" s="39" t="n">
        <f aca="false">MY_PH(AE$2,$A179)</f>
        <v>2.68316436142697E-005</v>
      </c>
      <c r="AF179" s="39" t="n">
        <f aca="false">MY_PH(AF$2,$A179)</f>
        <v>2.68560421384473E-005</v>
      </c>
      <c r="AG179" s="39" t="n">
        <f aca="false">MY_PH(AG$2,$A179)</f>
        <v>2.68804684261698E-005</v>
      </c>
      <c r="AH179" s="39" t="n">
        <f aca="false">MY_PH(AH$2,$A179)</f>
        <v>2.71261419951715E-005</v>
      </c>
      <c r="AI179" s="39" t="n">
        <f aca="false">MY_PH(AI$2,$A179)</f>
        <v>2.73740389055678E-005</v>
      </c>
      <c r="AJ179" s="39" t="n">
        <f aca="false">MY_PH(AJ$2,$A179)</f>
        <v>2.76240162363777E-005</v>
      </c>
      <c r="AK179" s="39" t="n">
        <f aca="false">MY_PH(AK$2,$A179)</f>
        <v>2.78756403348053E-005</v>
      </c>
      <c r="AL179" s="39" t="n">
        <f aca="false">MY_PH(AL$2,$A179)</f>
        <v>2.81291587821462E-005</v>
      </c>
      <c r="AM179" s="39" t="n">
        <f aca="false">MY_PH(AM$2,$A179)</f>
        <v>2.83844247358263E-005</v>
      </c>
      <c r="AN179" s="39" t="n">
        <f aca="false">MY_PH(AN$2,$A179)</f>
        <v>2.86413074701292E-005</v>
      </c>
      <c r="AO179" s="39" t="n">
        <f aca="false">MY_PH(AO$2,$A179)</f>
        <v>2.88996894334113E-005</v>
      </c>
      <c r="AP179" s="39" t="n">
        <f aca="false">MY_PH(AP$2,$A179)</f>
        <v>2.91594637709047E-005</v>
      </c>
      <c r="AQ179" s="39" t="n">
        <f aca="false">MY_PH(AQ$2,$A179)</f>
        <v>3.18147110062726E-005</v>
      </c>
      <c r="AR179" s="39" t="n">
        <f aca="false">MY_PH(AR$2,$A179)</f>
        <v>3.23716909379158E-005</v>
      </c>
      <c r="AS179" s="39" t="n">
        <f aca="false">MY_PH(AS$2,$A179)</f>
        <v>3.26248891336915E-005</v>
      </c>
    </row>
    <row r="180" customFormat="false" ht="13.8" hidden="false" customHeight="false" outlineLevel="0" collapsed="false">
      <c r="A180" s="0" t="n">
        <v>3400</v>
      </c>
      <c r="B180" s="39" t="n">
        <f aca="false">MY_PH(B$2,$A180)</f>
        <v>2.68337382641436E-005</v>
      </c>
      <c r="C180" s="39" t="n">
        <f aca="false">MY_PH(C$2,$A180)</f>
        <v>2.68337621172708E-005</v>
      </c>
      <c r="D180" s="39" t="n">
        <f aca="false">MY_PH(D$2,$A180)</f>
        <v>2.68337859704302E-005</v>
      </c>
      <c r="E180" s="39" t="n">
        <f aca="false">MY_PH(E$2,$A180)</f>
        <v>2.68338098236217E-005</v>
      </c>
      <c r="F180" s="39" t="n">
        <f aca="false">MY_PH(F$2,$A180)</f>
        <v>2.68338336768456E-005</v>
      </c>
      <c r="G180" s="39" t="n">
        <f aca="false">MY_PH(G$2,$A180)</f>
        <v>2.68340722108564E-005</v>
      </c>
      <c r="H180" s="39" t="n">
        <f aca="false">MY_PH(H$2,$A180)</f>
        <v>2.68343107480894E-005</v>
      </c>
      <c r="I180" s="39" t="n">
        <f aca="false">MY_PH(I$2,$A180)</f>
        <v>2.68345492885441E-005</v>
      </c>
      <c r="J180" s="39" t="n">
        <f aca="false">MY_PH(J$2,$A180)</f>
        <v>2.68347878322199E-005</v>
      </c>
      <c r="K180" s="39" t="n">
        <f aca="false">MY_PH(K$2,$A180)</f>
        <v>2.68350263791162E-005</v>
      </c>
      <c r="L180" s="39" t="n">
        <f aca="false">MY_PH(L$2,$A180)</f>
        <v>2.68352649292324E-005</v>
      </c>
      <c r="M180" s="39" t="n">
        <f aca="false">MY_PH(M$2,$A180)</f>
        <v>2.68355034825679E-005</v>
      </c>
      <c r="N180" s="39" t="n">
        <f aca="false">MY_PH(N$2,$A180)</f>
        <v>2.68357420391221E-005</v>
      </c>
      <c r="O180" s="39" t="n">
        <f aca="false">MY_PH(O$2,$A180)</f>
        <v>2.68359805988946E-005</v>
      </c>
      <c r="P180" s="39" t="n">
        <f aca="false">MY_PH(P$2,$A180)</f>
        <v>2.68383663734906E-005</v>
      </c>
      <c r="Q180" s="39" t="n">
        <f aca="false">MY_PH(Q$2,$A180)</f>
        <v>2.6840752469265E-005</v>
      </c>
      <c r="R180" s="39" t="n">
        <f aca="false">MY_PH(R$2,$A180)</f>
        <v>2.6843138885638E-005</v>
      </c>
      <c r="S180" s="39" t="n">
        <f aca="false">MY_PH(S$2,$A180)</f>
        <v>2.68455256220303E-005</v>
      </c>
      <c r="T180" s="39" t="n">
        <f aca="false">MY_PH(T$2,$A180)</f>
        <v>2.68479126778635E-005</v>
      </c>
      <c r="U180" s="39" t="n">
        <f aca="false">MY_PH(U$2,$A180)</f>
        <v>2.68503000525597E-005</v>
      </c>
      <c r="V180" s="39" t="n">
        <f aca="false">MY_PH(V$2,$A180)</f>
        <v>2.68526877455417E-005</v>
      </c>
      <c r="W180" s="39" t="n">
        <f aca="false">MY_PH(W$2,$A180)</f>
        <v>2.68550757562333E-005</v>
      </c>
      <c r="X180" s="39" t="n">
        <f aca="false">MY_PH(X$2,$A180)</f>
        <v>2.68574640840586E-005</v>
      </c>
      <c r="Y180" s="39" t="n">
        <f aca="false">MY_PH(Y$2,$A180)</f>
        <v>2.68813646785071E-005</v>
      </c>
      <c r="Z180" s="39" t="n">
        <f aca="false">MY_PH(Z$2,$A180)</f>
        <v>2.6905296358195E-005</v>
      </c>
      <c r="AA180" s="39" t="n">
        <f aca="false">MY_PH(AA$2,$A180)</f>
        <v>2.6929258558849E-005</v>
      </c>
      <c r="AB180" s="39" t="n">
        <f aca="false">MY_PH(AB$2,$A180)</f>
        <v>2.69532507231139E-005</v>
      </c>
      <c r="AC180" s="39" t="n">
        <f aca="false">MY_PH(AC$2,$A180)</f>
        <v>2.69772723005352E-005</v>
      </c>
      <c r="AD180" s="39" t="n">
        <f aca="false">MY_PH(AD$2,$A180)</f>
        <v>2.70013227475415E-005</v>
      </c>
      <c r="AE180" s="39" t="n">
        <f aca="false">MY_PH(AE$2,$A180)</f>
        <v>2.7025401527425E-005</v>
      </c>
      <c r="AF180" s="39" t="n">
        <f aca="false">MY_PH(AF$2,$A180)</f>
        <v>2.70495081103234E-005</v>
      </c>
      <c r="AG180" s="39" t="n">
        <f aca="false">MY_PH(AG$2,$A180)</f>
        <v>2.70736419731993E-005</v>
      </c>
      <c r="AH180" s="39" t="n">
        <f aca="false">MY_PH(AH$2,$A180)</f>
        <v>2.73163707701571E-005</v>
      </c>
      <c r="AI180" s="39" t="n">
        <f aca="false">MY_PH(AI$2,$A180)</f>
        <v>2.75613020511635E-005</v>
      </c>
      <c r="AJ180" s="39" t="n">
        <f aca="false">MY_PH(AJ$2,$A180)</f>
        <v>2.78083120279285E-005</v>
      </c>
      <c r="AK180" s="39" t="n">
        <f aca="false">MY_PH(AK$2,$A180)</f>
        <v>2.80569233089301E-005</v>
      </c>
      <c r="AL180" s="39" t="n">
        <f aca="false">MY_PH(AL$2,$A180)</f>
        <v>2.83074375738816E-005</v>
      </c>
      <c r="AM180" s="39" t="n">
        <f aca="false">MY_PH(AM$2,$A180)</f>
        <v>2.85597112454183E-005</v>
      </c>
      <c r="AN180" s="39" t="n">
        <f aca="false">MY_PH(AN$2,$A180)</f>
        <v>2.88136159268362E-005</v>
      </c>
      <c r="AO180" s="39" t="n">
        <f aca="false">MY_PH(AO$2,$A180)</f>
        <v>2.90690356994722E-005</v>
      </c>
      <c r="AP180" s="39" t="n">
        <f aca="false">MY_PH(AP$2,$A180)</f>
        <v>2.93258648368322E-005</v>
      </c>
      <c r="AQ180" s="39" t="n">
        <f aca="false">MY_PH(AQ$2,$A180)</f>
        <v>3.19526987561038E-005</v>
      </c>
      <c r="AR180" s="39" t="n">
        <f aca="false">MY_PH(AR$2,$A180)</f>
        <v>3.25040664769809E-005</v>
      </c>
      <c r="AS180" s="39" t="n">
        <f aca="false">MY_PH(AS$2,$A180)</f>
        <v>3.27547499155153E-005</v>
      </c>
    </row>
    <row r="181" customFormat="false" ht="13.8" hidden="false" customHeight="false" outlineLevel="0" collapsed="false">
      <c r="A181" s="0" t="n">
        <v>3410</v>
      </c>
      <c r="B181" s="39" t="n">
        <f aca="false">MY_PH(B$2,$A181)</f>
        <v>2.70293605484299E-005</v>
      </c>
      <c r="C181" s="39" t="n">
        <f aca="false">MY_PH(C$2,$A181)</f>
        <v>2.70293841210175E-005</v>
      </c>
      <c r="D181" s="39" t="n">
        <f aca="false">MY_PH(D$2,$A181)</f>
        <v>2.70294076936365E-005</v>
      </c>
      <c r="E181" s="39" t="n">
        <f aca="false">MY_PH(E$2,$A181)</f>
        <v>2.70294312662871E-005</v>
      </c>
      <c r="F181" s="39" t="n">
        <f aca="false">MY_PH(F$2,$A181)</f>
        <v>2.70294548389691E-005</v>
      </c>
      <c r="G181" s="39" t="n">
        <f aca="false">MY_PH(G$2,$A181)</f>
        <v>2.70296905675207E-005</v>
      </c>
      <c r="H181" s="39" t="n">
        <f aca="false">MY_PH(H$2,$A181)</f>
        <v>2.70299262992197E-005</v>
      </c>
      <c r="I181" s="39" t="n">
        <f aca="false">MY_PH(I$2,$A181)</f>
        <v>2.70301620340657E-005</v>
      </c>
      <c r="J181" s="39" t="n">
        <f aca="false">MY_PH(J$2,$A181)</f>
        <v>2.7030397772058E-005</v>
      </c>
      <c r="K181" s="39" t="n">
        <f aca="false">MY_PH(K$2,$A181)</f>
        <v>2.7030633513196E-005</v>
      </c>
      <c r="L181" s="39" t="n">
        <f aca="false">MY_PH(L$2,$A181)</f>
        <v>2.70308692574794E-005</v>
      </c>
      <c r="M181" s="39" t="n">
        <f aca="false">MY_PH(M$2,$A181)</f>
        <v>2.70311050049074E-005</v>
      </c>
      <c r="N181" s="39" t="n">
        <f aca="false">MY_PH(N$2,$A181)</f>
        <v>2.70313407554796E-005</v>
      </c>
      <c r="O181" s="39" t="n">
        <f aca="false">MY_PH(O$2,$A181)</f>
        <v>2.70315765091955E-005</v>
      </c>
      <c r="P181" s="39" t="n">
        <f aca="false">MY_PH(P$2,$A181)</f>
        <v>2.70339342191321E-005</v>
      </c>
      <c r="Q181" s="39" t="n">
        <f aca="false">MY_PH(Q$2,$A181)</f>
        <v>2.70362922428288E-005</v>
      </c>
      <c r="R181" s="39" t="n">
        <f aca="false">MY_PH(R$2,$A181)</f>
        <v>2.70386505797394E-005</v>
      </c>
      <c r="S181" s="39" t="n">
        <f aca="false">MY_PH(S$2,$A181)</f>
        <v>2.70410092293185E-005</v>
      </c>
      <c r="T181" s="39" t="n">
        <f aca="false">MY_PH(T$2,$A181)</f>
        <v>2.70433681910211E-005</v>
      </c>
      <c r="U181" s="39" t="n">
        <f aca="false">MY_PH(U$2,$A181)</f>
        <v>2.70457274643032E-005</v>
      </c>
      <c r="V181" s="39" t="n">
        <f aca="false">MY_PH(V$2,$A181)</f>
        <v>2.70480870486211E-005</v>
      </c>
      <c r="W181" s="39" t="n">
        <f aca="false">MY_PH(W$2,$A181)</f>
        <v>2.70504469434319E-005</v>
      </c>
      <c r="X181" s="39" t="n">
        <f aca="false">MY_PH(X$2,$A181)</f>
        <v>2.70528071481932E-005</v>
      </c>
      <c r="Y181" s="39" t="n">
        <f aca="false">MY_PH(Y$2,$A181)</f>
        <v>2.70764261242206E-005</v>
      </c>
      <c r="Z181" s="39" t="n">
        <f aca="false">MY_PH(Z$2,$A181)</f>
        <v>2.71000755033875E-005</v>
      </c>
      <c r="AA181" s="39" t="n">
        <f aca="false">MY_PH(AA$2,$A181)</f>
        <v>2.71237547536855E-005</v>
      </c>
      <c r="AB181" s="39" t="n">
        <f aca="false">MY_PH(AB$2,$A181)</f>
        <v>2.71474633493424E-005</v>
      </c>
      <c r="AC181" s="39" t="n">
        <f aca="false">MY_PH(AC$2,$A181)</f>
        <v>2.71712007708056E-005</v>
      </c>
      <c r="AD181" s="39" t="n">
        <f aca="false">MY_PH(AD$2,$A181)</f>
        <v>2.71949665047257E-005</v>
      </c>
      <c r="AE181" s="39" t="n">
        <f aca="false">MY_PH(AE$2,$A181)</f>
        <v>2.72187600439382E-005</v>
      </c>
      <c r="AF181" s="39" t="n">
        <f aca="false">MY_PH(AF$2,$A181)</f>
        <v>2.72425808874464E-005</v>
      </c>
      <c r="AG181" s="39" t="n">
        <f aca="false">MY_PH(AG$2,$A181)</f>
        <v>2.72664285404026E-005</v>
      </c>
      <c r="AH181" s="39" t="n">
        <f aca="false">MY_PH(AH$2,$A181)</f>
        <v>2.75062750804563E-005</v>
      </c>
      <c r="AI181" s="39" t="n">
        <f aca="false">MY_PH(AI$2,$A181)</f>
        <v>2.77483031066699E-005</v>
      </c>
      <c r="AJ181" s="39" t="n">
        <f aca="false">MY_PH(AJ$2,$A181)</f>
        <v>2.79924067427608E-005</v>
      </c>
      <c r="AK181" s="39" t="n">
        <f aca="false">MY_PH(AK$2,$A181)</f>
        <v>2.82380682038669E-005</v>
      </c>
      <c r="AL181" s="39" t="n">
        <f aca="false">MY_PH(AL$2,$A181)</f>
        <v>2.84856391155551E-005</v>
      </c>
      <c r="AM181" s="39" t="n">
        <f aca="false">MY_PH(AM$2,$A181)</f>
        <v>2.87349791394067E-005</v>
      </c>
      <c r="AN181" s="39" t="n">
        <f aca="false">MY_PH(AN$2,$A181)</f>
        <v>2.89859622380783E-005</v>
      </c>
      <c r="AO181" s="39" t="n">
        <f aca="false">MY_PH(AO$2,$A181)</f>
        <v>2.92384741923056E-005</v>
      </c>
      <c r="AP181" s="39" t="n">
        <f aca="false">MY_PH(AP$2,$A181)</f>
        <v>2.94924104911876E-005</v>
      </c>
      <c r="AQ181" s="39" t="n">
        <f aca="false">MY_PH(AQ$2,$A181)</f>
        <v>3.20912642899204E-005</v>
      </c>
      <c r="AR181" s="39" t="n">
        <f aca="false">MY_PH(AR$2,$A181)</f>
        <v>3.26370927369315E-005</v>
      </c>
      <c r="AS181" s="39" t="n">
        <f aca="false">MY_PH(AS$2,$A181)</f>
        <v>3.28852929927901E-005</v>
      </c>
    </row>
    <row r="182" customFormat="false" ht="13.8" hidden="false" customHeight="false" outlineLevel="0" collapsed="false">
      <c r="A182" s="0" t="n">
        <v>3420</v>
      </c>
      <c r="B182" s="39" t="n">
        <f aca="false">MY_PH(B$2,$A182)</f>
        <v>2.72245315291112E-005</v>
      </c>
      <c r="C182" s="39" t="n">
        <f aca="false">MY_PH(C$2,$A182)</f>
        <v>2.72245548269456E-005</v>
      </c>
      <c r="D182" s="39" t="n">
        <f aca="false">MY_PH(D$2,$A182)</f>
        <v>2.72245781248107E-005</v>
      </c>
      <c r="E182" s="39" t="n">
        <f aca="false">MY_PH(E$2,$A182)</f>
        <v>2.72246014227066E-005</v>
      </c>
      <c r="F182" s="39" t="n">
        <f aca="false">MY_PH(F$2,$A182)</f>
        <v>2.72246247206333E-005</v>
      </c>
      <c r="G182" s="39" t="n">
        <f aca="false">MY_PH(G$2,$A182)</f>
        <v>2.72248577015918E-005</v>
      </c>
      <c r="H182" s="39" t="n">
        <f aca="false">MY_PH(H$2,$A182)</f>
        <v>2.7225090685626E-005</v>
      </c>
      <c r="I182" s="39" t="n">
        <f aca="false">MY_PH(I$2,$A182)</f>
        <v>2.72253236727354E-005</v>
      </c>
      <c r="J182" s="39" t="n">
        <f aca="false">MY_PH(J$2,$A182)</f>
        <v>2.72255566629196E-005</v>
      </c>
      <c r="K182" s="39" t="n">
        <f aca="false">MY_PH(K$2,$A182)</f>
        <v>2.72257896561778E-005</v>
      </c>
      <c r="L182" s="39" t="n">
        <f aca="false">MY_PH(L$2,$A182)</f>
        <v>2.72260226525098E-005</v>
      </c>
      <c r="M182" s="39" t="n">
        <f aca="false">MY_PH(M$2,$A182)</f>
        <v>2.72262556519149E-005</v>
      </c>
      <c r="N182" s="39" t="n">
        <f aca="false">MY_PH(N$2,$A182)</f>
        <v>2.72264886543927E-005</v>
      </c>
      <c r="O182" s="39" t="n">
        <f aca="false">MY_PH(O$2,$A182)</f>
        <v>2.72267216599425E-005</v>
      </c>
      <c r="P182" s="39" t="n">
        <f aca="false">MY_PH(P$2,$A182)</f>
        <v>2.72290518842941E-005</v>
      </c>
      <c r="Q182" s="39" t="n">
        <f aca="false">MY_PH(Q$2,$A182)</f>
        <v>2.72313824152907E-005</v>
      </c>
      <c r="R182" s="39" t="n">
        <f aca="false">MY_PH(R$2,$A182)</f>
        <v>2.72337132524176E-005</v>
      </c>
      <c r="S182" s="39" t="n">
        <f aca="false">MY_PH(S$2,$A182)</f>
        <v>2.72360443951607E-005</v>
      </c>
      <c r="T182" s="39" t="n">
        <f aca="false">MY_PH(T$2,$A182)</f>
        <v>2.72383758430066E-005</v>
      </c>
      <c r="U182" s="39" t="n">
        <f aca="false">MY_PH(U$2,$A182)</f>
        <v>2.72407075954423E-005</v>
      </c>
      <c r="V182" s="39" t="n">
        <f aca="false">MY_PH(V$2,$A182)</f>
        <v>2.72430396519554E-005</v>
      </c>
      <c r="W182" s="39" t="n">
        <f aca="false">MY_PH(W$2,$A182)</f>
        <v>2.72453720120343E-005</v>
      </c>
      <c r="X182" s="39" t="n">
        <f aca="false">MY_PH(X$2,$A182)</f>
        <v>2.72477046751675E-005</v>
      </c>
      <c r="Y182" s="39" t="n">
        <f aca="false">MY_PH(Y$2,$A182)</f>
        <v>2.72710478624283E-005</v>
      </c>
      <c r="Z182" s="39" t="n">
        <f aca="false">MY_PH(Z$2,$A182)</f>
        <v>2.72944207969776E-005</v>
      </c>
      <c r="AA182" s="39" t="n">
        <f aca="false">MY_PH(AA$2,$A182)</f>
        <v>2.73178229769024E-005</v>
      </c>
      <c r="AB182" s="39" t="n">
        <f aca="false">MY_PH(AB$2,$A182)</f>
        <v>2.73412539059176E-005</v>
      </c>
      <c r="AC182" s="39" t="n">
        <f aca="false">MY_PH(AC$2,$A182)</f>
        <v>2.73647130933507E-005</v>
      </c>
      <c r="AD182" s="39" t="n">
        <f aca="false">MY_PH(AD$2,$A182)</f>
        <v>2.73882000541255E-005</v>
      </c>
      <c r="AE182" s="39" t="n">
        <f aca="false">MY_PH(AE$2,$A182)</f>
        <v>2.74117143087463E-005</v>
      </c>
      <c r="AF182" s="39" t="n">
        <f aca="false">MY_PH(AF$2,$A182)</f>
        <v>2.74352553832806E-005</v>
      </c>
      <c r="AG182" s="39" t="n">
        <f aca="false">MY_PH(AG$2,$A182)</f>
        <v>2.74588228093421E-005</v>
      </c>
      <c r="AH182" s="39" t="n">
        <f aca="false">MY_PH(AH$2,$A182)</f>
        <v>2.76958472882015E-005</v>
      </c>
      <c r="AI182" s="39" t="n">
        <f aca="false">MY_PH(AI$2,$A182)</f>
        <v>2.79350321532512E-005</v>
      </c>
      <c r="AJ182" s="39" t="n">
        <f aca="false">MY_PH(AJ$2,$A182)</f>
        <v>2.81762882132864E-005</v>
      </c>
      <c r="AK182" s="39" t="n">
        <f aca="false">MY_PH(AK$2,$A182)</f>
        <v>2.84190608881166E-005</v>
      </c>
      <c r="AL182" s="39" t="n">
        <f aca="false">MY_PH(AL$2,$A182)</f>
        <v>2.86637475064646E-005</v>
      </c>
      <c r="AM182" s="39" t="n">
        <f aca="false">MY_PH(AM$2,$A182)</f>
        <v>2.89102109346427E-005</v>
      </c>
      <c r="AN182" s="39" t="n">
        <f aca="false">MY_PH(AN$2,$A182)</f>
        <v>2.91583275133737E-005</v>
      </c>
      <c r="AO182" s="39" t="n">
        <f aca="false">MY_PH(AO$2,$A182)</f>
        <v>2.94079847757334E-005</v>
      </c>
      <c r="AP182" s="39" t="n">
        <f aca="false">MY_PH(AP$2,$A182)</f>
        <v>2.96590794996714E-005</v>
      </c>
      <c r="AQ182" s="39" t="n">
        <f aca="false">MY_PH(AQ$2,$A182)</f>
        <v>3.22303808764757E-005</v>
      </c>
      <c r="AR182" s="39" t="n">
        <f aca="false">MY_PH(AR$2,$A182)</f>
        <v>3.27707425865897E-005</v>
      </c>
      <c r="AS182" s="39" t="n">
        <f aca="false">MY_PH(AS$2,$A182)</f>
        <v>3.30164910881354E-005</v>
      </c>
    </row>
    <row r="183" customFormat="false" ht="13.8" hidden="false" customHeight="false" outlineLevel="0" collapsed="false">
      <c r="A183" s="0" t="n">
        <v>3430</v>
      </c>
      <c r="B183" s="39" t="n">
        <f aca="false">MY_PH(B$2,$A183)</f>
        <v>2.74192483523291E-005</v>
      </c>
      <c r="C183" s="39" t="n">
        <f aca="false">MY_PH(C$2,$A183)</f>
        <v>2.74192713809853E-005</v>
      </c>
      <c r="D183" s="39" t="n">
        <f aca="false">MY_PH(D$2,$A183)</f>
        <v>2.74192944096715E-005</v>
      </c>
      <c r="E183" s="39" t="n">
        <f aca="false">MY_PH(E$2,$A183)</f>
        <v>2.74193174383878E-005</v>
      </c>
      <c r="F183" s="39" t="n">
        <f aca="false">MY_PH(F$2,$A183)</f>
        <v>2.74193404671342E-005</v>
      </c>
      <c r="G183" s="39" t="n">
        <f aca="false">MY_PH(G$2,$A183)</f>
        <v>2.74195707562519E-005</v>
      </c>
      <c r="H183" s="39" t="n">
        <f aca="false">MY_PH(H$2,$A183)</f>
        <v>2.74198010483765E-005</v>
      </c>
      <c r="I183" s="39" t="n">
        <f aca="false">MY_PH(I$2,$A183)</f>
        <v>2.74200313435076E-005</v>
      </c>
      <c r="J183" s="39" t="n">
        <f aca="false">MY_PH(J$2,$A183)</f>
        <v>2.74202616416445E-005</v>
      </c>
      <c r="K183" s="39" t="n">
        <f aca="false">MY_PH(K$2,$A183)</f>
        <v>2.7420491942787E-005</v>
      </c>
      <c r="L183" s="39" t="n">
        <f aca="false">MY_PH(L$2,$A183)</f>
        <v>2.74207222469344E-005</v>
      </c>
      <c r="M183" s="39" t="n">
        <f aca="false">MY_PH(M$2,$A183)</f>
        <v>2.74209525540863E-005</v>
      </c>
      <c r="N183" s="39" t="n">
        <f aca="false">MY_PH(N$2,$A183)</f>
        <v>2.74211828642421E-005</v>
      </c>
      <c r="O183" s="39" t="n">
        <f aca="false">MY_PH(O$2,$A183)</f>
        <v>2.74214131774015E-005</v>
      </c>
      <c r="P183" s="39" t="n">
        <f aca="false">MY_PH(P$2,$A183)</f>
        <v>2.74237164740811E-005</v>
      </c>
      <c r="Q183" s="39" t="n">
        <f aca="false">MY_PH(Q$2,$A183)</f>
        <v>2.7426020070577E-005</v>
      </c>
      <c r="R183" s="39" t="n">
        <f aca="false">MY_PH(R$2,$A183)</f>
        <v>2.74283239664037E-005</v>
      </c>
      <c r="S183" s="39" t="n">
        <f aca="false">MY_PH(S$2,$A183)</f>
        <v>2.74306281610765E-005</v>
      </c>
      <c r="T183" s="39" t="n">
        <f aca="false">MY_PH(T$2,$A183)</f>
        <v>2.74329326541111E-005</v>
      </c>
      <c r="U183" s="39" t="n">
        <f aca="false">MY_PH(U$2,$A183)</f>
        <v>2.74352374450237E-005</v>
      </c>
      <c r="V183" s="39" t="n">
        <f aca="false">MY_PH(V$2,$A183)</f>
        <v>2.74375425333311E-005</v>
      </c>
      <c r="W183" s="39" t="n">
        <f aca="false">MY_PH(W$2,$A183)</f>
        <v>2.74398479185506E-005</v>
      </c>
      <c r="X183" s="39" t="n">
        <f aca="false">MY_PH(X$2,$A183)</f>
        <v>2.74421536001998E-005</v>
      </c>
      <c r="Y183" s="39" t="n">
        <f aca="false">MY_PH(Y$2,$A183)</f>
        <v>2.7465226614605E-005</v>
      </c>
      <c r="Z183" s="39" t="n">
        <f aca="false">MY_PH(Z$2,$A183)</f>
        <v>2.74883287453252E-005</v>
      </c>
      <c r="AA183" s="39" t="n">
        <f aca="false">MY_PH(AA$2,$A183)</f>
        <v>2.75114595185451E-005</v>
      </c>
      <c r="AB183" s="39" t="n">
        <f aca="false">MY_PH(AB$2,$A183)</f>
        <v>2.7534618465535E-005</v>
      </c>
      <c r="AC183" s="39" t="n">
        <f aca="false">MY_PH(AC$2,$A183)</f>
        <v>2.75578051226354E-005</v>
      </c>
      <c r="AD183" s="39" t="n">
        <f aca="false">MY_PH(AD$2,$A183)</f>
        <v>2.75810190312427E-005</v>
      </c>
      <c r="AE183" s="39" t="n">
        <f aca="false">MY_PH(AE$2,$A183)</f>
        <v>2.76042597377933E-005</v>
      </c>
      <c r="AF183" s="39" t="n">
        <f aca="false">MY_PH(AF$2,$A183)</f>
        <v>2.76275267937485E-005</v>
      </c>
      <c r="AG183" s="39" t="n">
        <f aca="false">MY_PH(AG$2,$A183)</f>
        <v>2.76508197555779E-005</v>
      </c>
      <c r="AH183" s="39" t="n">
        <f aca="false">MY_PH(AH$2,$A183)</f>
        <v>2.78850801676987E-005</v>
      </c>
      <c r="AI183" s="39" t="n">
        <f aca="false">MY_PH(AI$2,$A183)</f>
        <v>2.81214798045996E-005</v>
      </c>
      <c r="AJ183" s="39" t="n">
        <f aca="false">MY_PH(AJ$2,$A183)</f>
        <v>2.83599449366744E-005</v>
      </c>
      <c r="AK183" s="39" t="n">
        <f aca="false">MY_PH(AK$2,$A183)</f>
        <v>2.85998879565473E-005</v>
      </c>
      <c r="AL183" s="39" t="n">
        <f aca="false">MY_PH(AL$2,$A183)</f>
        <v>2.88417476186079E-005</v>
      </c>
      <c r="AM183" s="39" t="n">
        <f aca="false">MY_PH(AM$2,$A183)</f>
        <v>2.90853899531461E-005</v>
      </c>
      <c r="AN183" s="39" t="n">
        <f aca="false">MY_PH(AN$2,$A183)</f>
        <v>2.93306936876734E-005</v>
      </c>
      <c r="AO183" s="39" t="n">
        <f aca="false">MY_PH(AO$2,$A183)</f>
        <v>2.95775481487983E-005</v>
      </c>
      <c r="AP183" s="39" t="n">
        <f aca="false">MY_PH(AP$2,$A183)</f>
        <v>2.98258514642079E-005</v>
      </c>
      <c r="AQ183" s="39" t="n">
        <f aca="false">MY_PH(AQ$2,$A183)</f>
        <v>3.23700224361907E-005</v>
      </c>
      <c r="AR183" s="39" t="n">
        <f aca="false">MY_PH(AR$2,$A183)</f>
        <v>3.29049895159519E-005</v>
      </c>
      <c r="AS183" s="39" t="n">
        <f aca="false">MY_PH(AS$2,$A183)</f>
        <v>3.31483175366078E-005</v>
      </c>
    </row>
    <row r="184" customFormat="false" ht="13.8" hidden="false" customHeight="false" outlineLevel="0" collapsed="false">
      <c r="A184" s="0" t="n">
        <v>3440</v>
      </c>
      <c r="B184" s="39" t="n">
        <f aca="false">MY_PH(B$2,$A184)</f>
        <v>2.76135083421058E-005</v>
      </c>
      <c r="C184" s="39" t="n">
        <f aca="false">MY_PH(C$2,$A184)</f>
        <v>2.76135311069569E-005</v>
      </c>
      <c r="D184" s="39" t="n">
        <f aca="false">MY_PH(D$2,$A184)</f>
        <v>2.76135538718375E-005</v>
      </c>
      <c r="E184" s="39" t="n">
        <f aca="false">MY_PH(E$2,$A184)</f>
        <v>2.76135766367475E-005</v>
      </c>
      <c r="F184" s="39" t="n">
        <f aca="false">MY_PH(F$2,$A184)</f>
        <v>2.76135994016868E-005</v>
      </c>
      <c r="G184" s="39" t="n">
        <f aca="false">MY_PH(G$2,$A184)</f>
        <v>2.76138270526982E-005</v>
      </c>
      <c r="H184" s="39" t="n">
        <f aca="false">MY_PH(H$2,$A184)</f>
        <v>2.76140547066503E-005</v>
      </c>
      <c r="I184" s="39" t="n">
        <f aca="false">MY_PH(I$2,$A184)</f>
        <v>2.76142823635429E-005</v>
      </c>
      <c r="J184" s="39" t="n">
        <f aca="false">MY_PH(J$2,$A184)</f>
        <v>2.76145100233754E-005</v>
      </c>
      <c r="K184" s="39" t="n">
        <f aca="false">MY_PH(K$2,$A184)</f>
        <v>2.76147376861474E-005</v>
      </c>
      <c r="L184" s="39" t="n">
        <f aca="false">MY_PH(L$2,$A184)</f>
        <v>2.76149653518583E-005</v>
      </c>
      <c r="M184" s="39" t="n">
        <f aca="false">MY_PH(M$2,$A184)</f>
        <v>2.76151930205078E-005</v>
      </c>
      <c r="N184" s="39" t="n">
        <f aca="false">MY_PH(N$2,$A184)</f>
        <v>2.76154206920955E-005</v>
      </c>
      <c r="O184" s="39" t="n">
        <f aca="false">MY_PH(O$2,$A184)</f>
        <v>2.76156483666207E-005</v>
      </c>
      <c r="P184" s="39" t="n">
        <f aca="false">MY_PH(P$2,$A184)</f>
        <v>2.76179252733418E-005</v>
      </c>
      <c r="Q184" s="39" t="n">
        <f aca="false">MY_PH(Q$2,$A184)</f>
        <v>2.76202024733218E-005</v>
      </c>
      <c r="R184" s="39" t="n">
        <f aca="false">MY_PH(R$2,$A184)</f>
        <v>2.76224799661026E-005</v>
      </c>
      <c r="S184" s="39" t="n">
        <f aca="false">MY_PH(S$2,$A184)</f>
        <v>2.76247577512267E-005</v>
      </c>
      <c r="T184" s="39" t="n">
        <f aca="false">MY_PH(T$2,$A184)</f>
        <v>2.76270358282372E-005</v>
      </c>
      <c r="U184" s="39" t="n">
        <f aca="false">MY_PH(U$2,$A184)</f>
        <v>2.76293141966775E-005</v>
      </c>
      <c r="V184" s="39" t="n">
        <f aca="false">MY_PH(V$2,$A184)</f>
        <v>2.76315928560913E-005</v>
      </c>
      <c r="W184" s="39" t="n">
        <f aca="false">MY_PH(W$2,$A184)</f>
        <v>2.76338718060233E-005</v>
      </c>
      <c r="X184" s="39" t="n">
        <f aca="false">MY_PH(X$2,$A184)</f>
        <v>2.7636151046018E-005</v>
      </c>
      <c r="Y184" s="39" t="n">
        <f aca="false">MY_PH(Y$2,$A184)</f>
        <v>2.76589592996131E-005</v>
      </c>
      <c r="Z184" s="39" t="n">
        <f aca="false">MY_PH(Z$2,$A184)</f>
        <v>2.76817960622287E-005</v>
      </c>
      <c r="AA184" s="39" t="n">
        <f aca="false">MY_PH(AA$2,$A184)</f>
        <v>2.77046608863053E-005</v>
      </c>
      <c r="AB184" s="39" t="n">
        <f aca="false">MY_PH(AB$2,$A184)</f>
        <v>2.77275533288842E-005</v>
      </c>
      <c r="AC184" s="39" t="n">
        <f aca="false">MY_PH(AC$2,$A184)</f>
        <v>2.77504729515932E-005</v>
      </c>
      <c r="AD184" s="39" t="n">
        <f aca="false">MY_PH(AD$2,$A184)</f>
        <v>2.7773419320633E-005</v>
      </c>
      <c r="AE184" s="39" t="n">
        <f aca="false">MY_PH(AE$2,$A184)</f>
        <v>2.77963920067627E-005</v>
      </c>
      <c r="AF184" s="39" t="n">
        <f aca="false">MY_PH(AF$2,$A184)</f>
        <v>2.78193905852851E-005</v>
      </c>
      <c r="AG184" s="39" t="n">
        <f aca="false">MY_PH(AG$2,$A184)</f>
        <v>2.78424146360318E-005</v>
      </c>
      <c r="AH184" s="39" t="n">
        <f aca="false">MY_PH(AH$2,$A184)</f>
        <v>2.8073966885485E-005</v>
      </c>
      <c r="AI184" s="39" t="n">
        <f aca="false">MY_PH(AI$2,$A184)</f>
        <v>2.83076371794764E-005</v>
      </c>
      <c r="AJ184" s="39" t="n">
        <f aca="false">MY_PH(AJ$2,$A184)</f>
        <v>2.85433660411908E-005</v>
      </c>
      <c r="AK184" s="39" t="n">
        <f aca="false">MY_PH(AK$2,$A184)</f>
        <v>2.87805366965624E-005</v>
      </c>
      <c r="AL184" s="39" t="n">
        <f aca="false">MY_PH(AL$2,$A184)</f>
        <v>2.9019625063758E-005</v>
      </c>
      <c r="AM184" s="39" t="n">
        <f aca="false">MY_PH(AM$2,$A184)</f>
        <v>2.92605002909662E-005</v>
      </c>
      <c r="AN184" s="39" t="n">
        <f aca="false">MY_PH(AN$2,$A184)</f>
        <v>2.95030434926756E-005</v>
      </c>
      <c r="AO184" s="39" t="n">
        <f aca="false">MY_PH(AO$2,$A184)</f>
        <v>2.97471458199937E-005</v>
      </c>
      <c r="AP184" s="39" t="n">
        <f aca="false">MY_PH(AP$2,$A184)</f>
        <v>2.99927068003611E-005</v>
      </c>
      <c r="AQ184" s="39" t="n">
        <f aca="false">MY_PH(AQ$2,$A184)</f>
        <v>3.25101635374115E-005</v>
      </c>
      <c r="AR184" s="39" t="n">
        <f aca="false">MY_PH(AR$2,$A184)</f>
        <v>3.30398076298477E-005</v>
      </c>
      <c r="AS184" s="39" t="n">
        <f aca="false">MY_PH(AS$2,$A184)</f>
        <v>3.32807462773855E-005</v>
      </c>
    </row>
    <row r="185" customFormat="false" ht="13.8" hidden="false" customHeight="false" outlineLevel="0" collapsed="false">
      <c r="A185" s="0" t="n">
        <v>3450</v>
      </c>
      <c r="B185" s="39" t="n">
        <f aca="false">MY_PH(B$2,$A185)</f>
        <v>2.78073089940731E-005</v>
      </c>
      <c r="C185" s="39" t="n">
        <f aca="false">MY_PH(C$2,$A185)</f>
        <v>2.78073315002998E-005</v>
      </c>
      <c r="D185" s="39" t="n">
        <f aca="false">MY_PH(D$2,$A185)</f>
        <v>2.78073540065552E-005</v>
      </c>
      <c r="E185" s="39" t="n">
        <f aca="false">MY_PH(E$2,$A185)</f>
        <v>2.78073765128395E-005</v>
      </c>
      <c r="F185" s="39" t="n">
        <f aca="false">MY_PH(F$2,$A185)</f>
        <v>2.78073990191525E-005</v>
      </c>
      <c r="G185" s="39" t="n">
        <f aca="false">MY_PH(G$2,$A185)</f>
        <v>2.78076240838653E-005</v>
      </c>
      <c r="H185" s="39" t="n">
        <f aca="false">MY_PH(H$2,$A185)</f>
        <v>2.78078491514555E-005</v>
      </c>
      <c r="I185" s="39" t="n">
        <f aca="false">MY_PH(I$2,$A185)</f>
        <v>2.78080742219226E-005</v>
      </c>
      <c r="J185" s="39" t="n">
        <f aca="false">MY_PH(J$2,$A185)</f>
        <v>2.78082992952663E-005</v>
      </c>
      <c r="K185" s="39" t="n">
        <f aca="false">MY_PH(K$2,$A185)</f>
        <v>2.7808524371486E-005</v>
      </c>
      <c r="L185" s="39" t="n">
        <f aca="false">MY_PH(L$2,$A185)</f>
        <v>2.78087494505814E-005</v>
      </c>
      <c r="M185" s="39" t="n">
        <f aca="false">MY_PH(M$2,$A185)</f>
        <v>2.78089745325521E-005</v>
      </c>
      <c r="N185" s="39" t="n">
        <f aca="false">MY_PH(N$2,$A185)</f>
        <v>2.78091996173975E-005</v>
      </c>
      <c r="O185" s="39" t="n">
        <f aca="false">MY_PH(O$2,$A185)</f>
        <v>2.78094247051173E-005</v>
      </c>
      <c r="P185" s="39" t="n">
        <f aca="false">MY_PH(P$2,$A185)</f>
        <v>2.78116757403095E-005</v>
      </c>
      <c r="Q185" s="39" t="n">
        <f aca="false">MY_PH(Q$2,$A185)</f>
        <v>2.78139270624614E-005</v>
      </c>
      <c r="R185" s="39" t="n">
        <f aca="false">MY_PH(R$2,$A185)</f>
        <v>2.78161786711404E-005</v>
      </c>
      <c r="S185" s="39" t="n">
        <f aca="false">MY_PH(S$2,$A185)</f>
        <v>2.78184305659147E-005</v>
      </c>
      <c r="T185" s="39" t="n">
        <f aca="false">MY_PH(T$2,$A185)</f>
        <v>2.78206827463525E-005</v>
      </c>
      <c r="U185" s="39" t="n">
        <f aca="false">MY_PH(U$2,$A185)</f>
        <v>2.78229352120228E-005</v>
      </c>
      <c r="V185" s="39" t="n">
        <f aca="false">MY_PH(V$2,$A185)</f>
        <v>2.78251879624947E-005</v>
      </c>
      <c r="W185" s="39" t="n">
        <f aca="false">MY_PH(W$2,$A185)</f>
        <v>2.7827440997338E-005</v>
      </c>
      <c r="X185" s="39" t="n">
        <f aca="false">MY_PH(X$2,$A185)</f>
        <v>2.78296943161228E-005</v>
      </c>
      <c r="Y185" s="39" t="n">
        <f aca="false">MY_PH(Y$2,$A185)</f>
        <v>2.78522430264702E-005</v>
      </c>
      <c r="Z185" s="39" t="n">
        <f aca="false">MY_PH(Z$2,$A185)</f>
        <v>2.78748196611742E-005</v>
      </c>
      <c r="AA185" s="39" t="n">
        <f aca="false">MY_PH(AA$2,$A185)</f>
        <v>2.78974237972294E-005</v>
      </c>
      <c r="AB185" s="39" t="n">
        <f aca="false">MY_PH(AB$2,$A185)</f>
        <v>2.79200550157981E-005</v>
      </c>
      <c r="AC185" s="39" t="n">
        <f aca="false">MY_PH(AC$2,$A185)</f>
        <v>2.79427129021973E-005</v>
      </c>
      <c r="AD185" s="39" t="n">
        <f aca="false">MY_PH(AD$2,$A185)</f>
        <v>2.79653970458852E-005</v>
      </c>
      <c r="AE185" s="39" t="n">
        <f aca="false">MY_PH(AE$2,$A185)</f>
        <v>2.79881070404484E-005</v>
      </c>
      <c r="AF185" s="39" t="n">
        <f aca="false">MY_PH(AF$2,$A185)</f>
        <v>2.80108424835873E-005</v>
      </c>
      <c r="AG185" s="39" t="n">
        <f aca="false">MY_PH(AG$2,$A185)</f>
        <v>2.80336029771029E-005</v>
      </c>
      <c r="AH185" s="39" t="n">
        <f aca="false">MY_PH(AH$2,$A185)</f>
        <v>2.82625009817094E-005</v>
      </c>
      <c r="AI185" s="39" t="n">
        <f aca="false">MY_PH(AI$2,$A185)</f>
        <v>2.8493495876009E-005</v>
      </c>
      <c r="AJ185" s="39" t="n">
        <f aca="false">MY_PH(AJ$2,$A185)</f>
        <v>2.87265412540058E-005</v>
      </c>
      <c r="AK185" s="39" t="n">
        <f aca="false">MY_PH(AK$2,$A185)</f>
        <v>2.89609950554731E-005</v>
      </c>
      <c r="AL185" s="39" t="n">
        <f aca="false">MY_PH(AL$2,$A185)</f>
        <v>2.91973661614142E-005</v>
      </c>
      <c r="AM185" s="39" t="n">
        <f aca="false">MY_PH(AM$2,$A185)</f>
        <v>2.94355267875547E-005</v>
      </c>
      <c r="AN185" s="39" t="n">
        <f aca="false">MY_PH(AN$2,$A185)</f>
        <v>2.96753604282746E-005</v>
      </c>
      <c r="AO185" s="39" t="n">
        <f aca="false">MY_PH(AO$2,$A185)</f>
        <v>2.99167600812606E-005</v>
      </c>
      <c r="AP185" s="39" t="n">
        <f aca="false">MY_PH(AP$2,$A185)</f>
        <v>3.01596267141777E-005</v>
      </c>
      <c r="AQ185" s="39" t="n">
        <f aca="false">MY_PH(AQ$2,$A185)</f>
        <v>3.26507793920135E-005</v>
      </c>
      <c r="AR185" s="39" t="n">
        <f aca="false">MY_PH(AR$2,$A185)</f>
        <v>3.31751716415706E-005</v>
      </c>
      <c r="AS185" s="39" t="n">
        <f aca="false">MY_PH(AS$2,$A185)</f>
        <v>3.34137518457141E-005</v>
      </c>
    </row>
    <row r="186" customFormat="false" ht="13.8" hidden="false" customHeight="false" outlineLevel="0" collapsed="false">
      <c r="A186" s="0" t="n">
        <v>3460</v>
      </c>
      <c r="B186" s="39" t="n">
        <f aca="false">MY_PH(B$2,$A186)</f>
        <v>2.80006479694251E-005</v>
      </c>
      <c r="C186" s="39" t="n">
        <f aca="false">MY_PH(C$2,$A186)</f>
        <v>2.8000670222024E-005</v>
      </c>
      <c r="D186" s="39" t="n">
        <f aca="false">MY_PH(D$2,$A186)</f>
        <v>2.8000692474651E-005</v>
      </c>
      <c r="E186" s="39" t="n">
        <f aca="false">MY_PH(E$2,$A186)</f>
        <v>2.80007147273061E-005</v>
      </c>
      <c r="F186" s="39" t="n">
        <f aca="false">MY_PH(F$2,$A186)</f>
        <v>2.80007369799895E-005</v>
      </c>
      <c r="G186" s="39" t="n">
        <f aca="false">MY_PH(G$2,$A186)</f>
        <v>2.80009595083721E-005</v>
      </c>
      <c r="H186" s="39" t="n">
        <f aca="false">MY_PH(H$2,$A186)</f>
        <v>2.80011820395711E-005</v>
      </c>
      <c r="I186" s="39" t="n">
        <f aca="false">MY_PH(I$2,$A186)</f>
        <v>2.80014045735862E-005</v>
      </c>
      <c r="J186" s="39" t="n">
        <f aca="false">MY_PH(J$2,$A186)</f>
        <v>2.80016271104168E-005</v>
      </c>
      <c r="K186" s="39" t="n">
        <f aca="false">MY_PH(K$2,$A186)</f>
        <v>2.80018496500627E-005</v>
      </c>
      <c r="L186" s="39" t="n">
        <f aca="false">MY_PH(L$2,$A186)</f>
        <v>2.80020721925234E-005</v>
      </c>
      <c r="M186" s="39" t="n">
        <f aca="false">MY_PH(M$2,$A186)</f>
        <v>2.80022947377984E-005</v>
      </c>
      <c r="N186" s="39" t="n">
        <f aca="false">MY_PH(N$2,$A186)</f>
        <v>2.80025172858875E-005</v>
      </c>
      <c r="O186" s="39" t="n">
        <f aca="false">MY_PH(O$2,$A186)</f>
        <v>2.80027398367901E-005</v>
      </c>
      <c r="P186" s="39" t="n">
        <f aca="false">MY_PH(P$2,$A186)</f>
        <v>2.80049655004724E-005</v>
      </c>
      <c r="Q186" s="39" t="n">
        <f aca="false">MY_PH(Q$2,$A186)</f>
        <v>2.80071914450616E-005</v>
      </c>
      <c r="R186" s="39" t="n">
        <f aca="false">MY_PH(R$2,$A186)</f>
        <v>2.80094176701493E-005</v>
      </c>
      <c r="S186" s="39" t="n">
        <f aca="false">MY_PH(S$2,$A186)</f>
        <v>2.80116441753272E-005</v>
      </c>
      <c r="T186" s="39" t="n">
        <f aca="false">MY_PH(T$2,$A186)</f>
        <v>2.80138709601875E-005</v>
      </c>
      <c r="U186" s="39" t="n">
        <f aca="false">MY_PH(U$2,$A186)</f>
        <v>2.80160980243228E-005</v>
      </c>
      <c r="V186" s="39" t="n">
        <f aca="false">MY_PH(V$2,$A186)</f>
        <v>2.8018325367326E-005</v>
      </c>
      <c r="W186" s="39" t="n">
        <f aca="false">MY_PH(W$2,$A186)</f>
        <v>2.80205529887904E-005</v>
      </c>
      <c r="X186" s="39" t="n">
        <f aca="false">MY_PH(X$2,$A186)</f>
        <v>2.80227808883099E-005</v>
      </c>
      <c r="Y186" s="39" t="n">
        <f aca="false">MY_PH(Y$2,$A186)</f>
        <v>2.80450750874164E-005</v>
      </c>
      <c r="Z186" s="39" t="n">
        <f aca="false">MY_PH(Z$2,$A186)</f>
        <v>2.80673966479259E-005</v>
      </c>
      <c r="AA186" s="39" t="n">
        <f aca="false">MY_PH(AA$2,$A186)</f>
        <v>2.80897451698136E-005</v>
      </c>
      <c r="AB186" s="39" t="n">
        <f aca="false">MY_PH(AB$2,$A186)</f>
        <v>2.81121202568348E-005</v>
      </c>
      <c r="AC186" s="39" t="n">
        <f aca="false">MY_PH(AC$2,$A186)</f>
        <v>2.81345215165135E-005</v>
      </c>
      <c r="AD186" s="39" t="n">
        <f aca="false">MY_PH(AD$2,$A186)</f>
        <v>2.81569485601293E-005</v>
      </c>
      <c r="AE186" s="39" t="n">
        <f aca="false">MY_PH(AE$2,$A186)</f>
        <v>2.81794010027053E-005</v>
      </c>
      <c r="AF186" s="39" t="n">
        <f aca="false">MY_PH(AF$2,$A186)</f>
        <v>2.82018784629949E-005</v>
      </c>
      <c r="AG186" s="39" t="n">
        <f aca="false">MY_PH(AG$2,$A186)</f>
        <v>2.8224380563469E-005</v>
      </c>
      <c r="AH186" s="39" t="n">
        <f aca="false">MY_PH(AH$2,$A186)</f>
        <v>2.84506763527234E-005</v>
      </c>
      <c r="AI186" s="39" t="n">
        <f aca="false">MY_PH(AI$2,$A186)</f>
        <v>2.867904794763E-005</v>
      </c>
      <c r="AJ186" s="39" t="n">
        <f aca="false">MY_PH(AJ$2,$A186)</f>
        <v>2.89094608704444E-005</v>
      </c>
      <c r="AK186" s="39" t="n">
        <f aca="false">MY_PH(AK$2,$A186)</f>
        <v>2.91412516090786E-005</v>
      </c>
      <c r="AL186" s="39" t="n">
        <f aca="false">MY_PH(AL$2,$A186)</f>
        <v>2.93749579076703E-005</v>
      </c>
      <c r="AM186" s="39" t="n">
        <f aca="false">MY_PH(AM$2,$A186)</f>
        <v>2.96104549957238E-005</v>
      </c>
      <c r="AN186" s="39" t="n">
        <f aca="false">MY_PH(AN$2,$A186)</f>
        <v>2.98476287342485E-005</v>
      </c>
      <c r="AO186" s="39" t="n">
        <f aca="false">MY_PH(AO$2,$A186)</f>
        <v>3.00863739818793E-005</v>
      </c>
      <c r="AP186" s="39" t="n">
        <f aca="false">MY_PH(AP$2,$A186)</f>
        <v>3.03265931786036E-005</v>
      </c>
      <c r="AQ186" s="39" t="n">
        <f aca="false">MY_PH(AQ$2,$A186)</f>
        <v>3.27918458503849E-005</v>
      </c>
      <c r="AR186" s="39" t="n">
        <f aca="false">MY_PH(AR$2,$A186)</f>
        <v>3.33110568665063E-005</v>
      </c>
      <c r="AS186" s="39" t="n">
        <f aca="false">MY_PH(AS$2,$A186)</f>
        <v>3.35473093651532E-005</v>
      </c>
    </row>
    <row r="187" customFormat="false" ht="13.8" hidden="false" customHeight="false" outlineLevel="0" collapsed="false">
      <c r="A187" s="0" t="n">
        <v>3470</v>
      </c>
      <c r="B187" s="39" t="n">
        <f aca="false">MY_PH(B$2,$A187)</f>
        <v>2.81935230890847E-005</v>
      </c>
      <c r="C187" s="39" t="n">
        <f aca="false">MY_PH(C$2,$A187)</f>
        <v>2.81935450928767E-005</v>
      </c>
      <c r="D187" s="39" t="n">
        <f aca="false">MY_PH(D$2,$A187)</f>
        <v>2.81935670966963E-005</v>
      </c>
      <c r="E187" s="39" t="n">
        <f aca="false">MY_PH(E$2,$A187)</f>
        <v>2.81935891005435E-005</v>
      </c>
      <c r="F187" s="39" t="n">
        <f aca="false">MY_PH(F$2,$A187)</f>
        <v>2.81936111044182E-005</v>
      </c>
      <c r="G187" s="39" t="n">
        <f aca="false">MY_PH(G$2,$A187)</f>
        <v>2.81938311446827E-005</v>
      </c>
      <c r="H187" s="39" t="n">
        <f aca="false">MY_PH(H$2,$A187)</f>
        <v>2.81940511877051E-005</v>
      </c>
      <c r="I187" s="39" t="n">
        <f aca="false">MY_PH(I$2,$A187)</f>
        <v>2.81942712334849E-005</v>
      </c>
      <c r="J187" s="39" t="n">
        <f aca="false">MY_PH(J$2,$A187)</f>
        <v>2.81944912820218E-005</v>
      </c>
      <c r="K187" s="39" t="n">
        <f aca="false">MY_PH(K$2,$A187)</f>
        <v>2.81947113333155E-005</v>
      </c>
      <c r="L187" s="39" t="n">
        <f aca="false">MY_PH(L$2,$A187)</f>
        <v>2.81949313873655E-005</v>
      </c>
      <c r="M187" s="39" t="n">
        <f aca="false">MY_PH(M$2,$A187)</f>
        <v>2.81951514441714E-005</v>
      </c>
      <c r="N187" s="39" t="n">
        <f aca="false">MY_PH(N$2,$A187)</f>
        <v>2.81953715037328E-005</v>
      </c>
      <c r="O187" s="39" t="n">
        <f aca="false">MY_PH(O$2,$A187)</f>
        <v>2.81955915660494E-005</v>
      </c>
      <c r="P187" s="39" t="n">
        <f aca="false">MY_PH(P$2,$A187)</f>
        <v>2.81977923406639E-005</v>
      </c>
      <c r="Q187" s="39" t="n">
        <f aca="false">MY_PH(Q$2,$A187)</f>
        <v>2.81999933903691E-005</v>
      </c>
      <c r="R187" s="39" t="n">
        <f aca="false">MY_PH(R$2,$A187)</f>
        <v>2.82021947147785E-005</v>
      </c>
      <c r="S187" s="39" t="n">
        <f aca="false">MY_PH(S$2,$A187)</f>
        <v>2.82043963135064E-005</v>
      </c>
      <c r="T187" s="39" t="n">
        <f aca="false">MY_PH(T$2,$A187)</f>
        <v>2.8206598186167E-005</v>
      </c>
      <c r="U187" s="39" t="n">
        <f aca="false">MY_PH(U$2,$A187)</f>
        <v>2.82088003323753E-005</v>
      </c>
      <c r="V187" s="39" t="n">
        <f aca="false">MY_PH(V$2,$A187)</f>
        <v>2.82110027517462E-005</v>
      </c>
      <c r="W187" s="39" t="n">
        <f aca="false">MY_PH(W$2,$A187)</f>
        <v>2.82132054438953E-005</v>
      </c>
      <c r="X187" s="39" t="n">
        <f aca="false">MY_PH(X$2,$A187)</f>
        <v>2.82154084084383E-005</v>
      </c>
      <c r="Y187" s="39" t="n">
        <f aca="false">MY_PH(Y$2,$A187)</f>
        <v>2.82374529512618E-005</v>
      </c>
      <c r="Z187" s="39" t="n">
        <f aca="false">MY_PH(Z$2,$A187)</f>
        <v>2.82595243134352E-005</v>
      </c>
      <c r="AA187" s="39" t="n">
        <f aca="false">MY_PH(AA$2,$A187)</f>
        <v>2.82816221164564E-005</v>
      </c>
      <c r="AB187" s="39" t="n">
        <f aca="false">MY_PH(AB$2,$A187)</f>
        <v>2.83037459852573E-005</v>
      </c>
      <c r="AC187" s="39" t="n">
        <f aca="false">MY_PH(AC$2,$A187)</f>
        <v>2.83258955481929E-005</v>
      </c>
      <c r="AD187" s="39" t="n">
        <f aca="false">MY_PH(AD$2,$A187)</f>
        <v>2.83480704370287E-005</v>
      </c>
      <c r="AE187" s="39" t="n">
        <f aca="false">MY_PH(AE$2,$A187)</f>
        <v>2.83702702869296E-005</v>
      </c>
      <c r="AF187" s="39" t="n">
        <f aca="false">MY_PH(AF$2,$A187)</f>
        <v>2.83924947364476E-005</v>
      </c>
      <c r="AG187" s="39" t="n">
        <f aca="false">MY_PH(AG$2,$A187)</f>
        <v>2.84147434275094E-005</v>
      </c>
      <c r="AH187" s="39" t="n">
        <f aca="false">MY_PH(AH$2,$A187)</f>
        <v>2.86384872347725E-005</v>
      </c>
      <c r="AI187" s="39" t="n">
        <f aca="false">MY_PH(AI$2,$A187)</f>
        <v>2.88642858805474E-005</v>
      </c>
      <c r="AJ187" s="39" t="n">
        <f aca="false">MY_PH(AJ$2,$A187)</f>
        <v>2.90921157246531E-005</v>
      </c>
      <c r="AK187" s="39" t="n">
        <f aca="false">MY_PH(AK$2,$A187)</f>
        <v>2.9321295531459E-005</v>
      </c>
      <c r="AL187" s="39" t="n">
        <f aca="false">MY_PH(AL$2,$A187)</f>
        <v>2.95523879450301E-005</v>
      </c>
      <c r="AM187" s="39" t="n">
        <f aca="false">MY_PH(AM$2,$A187)</f>
        <v>2.97852711522523E-005</v>
      </c>
      <c r="AN187" s="39" t="n">
        <f aca="false">MY_PH(AN$2,$A187)</f>
        <v>3.00198333622769E-005</v>
      </c>
      <c r="AO187" s="39" t="n">
        <f aca="false">MY_PH(AO$2,$A187)</f>
        <v>3.02559713023739E-005</v>
      </c>
      <c r="AP187" s="39" t="n">
        <f aca="false">MY_PH(AP$2,$A187)</f>
        <v>3.04935889096114E-005</v>
      </c>
      <c r="AQ187" s="39" t="n">
        <f aca="false">MY_PH(AQ$2,$A187)</f>
        <v>3.29333393958178E-005</v>
      </c>
      <c r="AR187" s="39" t="n">
        <f aca="false">MY_PH(AR$2,$A187)</f>
        <v>3.34474392157669E-005</v>
      </c>
      <c r="AS187" s="39" t="n">
        <f aca="false">MY_PH(AS$2,$A187)</f>
        <v>3.36813945401351E-005</v>
      </c>
    </row>
    <row r="188" customFormat="false" ht="13.8" hidden="false" customHeight="false" outlineLevel="0" collapsed="false">
      <c r="A188" s="0" t="n">
        <v>3480</v>
      </c>
      <c r="B188" s="39" t="n">
        <f aca="false">MY_PH(B$2,$A188)</f>
        <v>2.83859323280758E-005</v>
      </c>
      <c r="C188" s="39" t="n">
        <f aca="false">MY_PH(C$2,$A188)</f>
        <v>2.83859540877144E-005</v>
      </c>
      <c r="D188" s="39" t="n">
        <f aca="false">MY_PH(D$2,$A188)</f>
        <v>2.83859758473799E-005</v>
      </c>
      <c r="E188" s="39" t="n">
        <f aca="false">MY_PH(E$2,$A188)</f>
        <v>2.83859976070725E-005</v>
      </c>
      <c r="F188" s="39" t="n">
        <f aca="false">MY_PH(F$2,$A188)</f>
        <v>2.8386019366792E-005</v>
      </c>
      <c r="G188" s="39" t="n">
        <f aca="false">MY_PH(G$2,$A188)</f>
        <v>2.83862369654738E-005</v>
      </c>
      <c r="H188" s="39" t="n">
        <f aca="false">MY_PH(H$2,$A188)</f>
        <v>2.83864545668573E-005</v>
      </c>
      <c r="I188" s="39" t="n">
        <f aca="false">MY_PH(I$2,$A188)</f>
        <v>2.83866721709419E-005</v>
      </c>
      <c r="J188" s="39" t="n">
        <f aca="false">MY_PH(J$2,$A188)</f>
        <v>2.83868897777274E-005</v>
      </c>
      <c r="K188" s="39" t="n">
        <f aca="false">MY_PH(K$2,$A188)</f>
        <v>2.83871073872134E-005</v>
      </c>
      <c r="L188" s="39" t="n">
        <f aca="false">MY_PH(L$2,$A188)</f>
        <v>2.83873249993995E-005</v>
      </c>
      <c r="M188" s="39" t="n">
        <f aca="false">MY_PH(M$2,$A188)</f>
        <v>2.83875426142854E-005</v>
      </c>
      <c r="N188" s="39" t="n">
        <f aca="false">MY_PH(N$2,$A188)</f>
        <v>2.83877602318707E-005</v>
      </c>
      <c r="O188" s="39" t="n">
        <f aca="false">MY_PH(O$2,$A188)</f>
        <v>2.8387977852155E-005</v>
      </c>
      <c r="P188" s="39" t="n">
        <f aca="false">MY_PH(P$2,$A188)</f>
        <v>2.83901542033648E-005</v>
      </c>
      <c r="Q188" s="39" t="n">
        <f aca="false">MY_PH(Q$2,$A188)</f>
        <v>2.83923308240758E-005</v>
      </c>
      <c r="R188" s="39" t="n">
        <f aca="false">MY_PH(R$2,$A188)</f>
        <v>2.83945077139226E-005</v>
      </c>
      <c r="S188" s="39" t="n">
        <f aca="false">MY_PH(S$2,$A188)</f>
        <v>2.83966848725402E-005</v>
      </c>
      <c r="T188" s="39" t="n">
        <f aca="false">MY_PH(T$2,$A188)</f>
        <v>2.83988622995637E-005</v>
      </c>
      <c r="U188" s="39" t="n">
        <f aca="false">MY_PH(U$2,$A188)</f>
        <v>2.84010399946286E-005</v>
      </c>
      <c r="V188" s="39" t="n">
        <f aca="false">MY_PH(V$2,$A188)</f>
        <v>2.8403217957371E-005</v>
      </c>
      <c r="W188" s="39" t="n">
        <f aca="false">MY_PH(W$2,$A188)</f>
        <v>2.8405396187427E-005</v>
      </c>
      <c r="X188" s="39" t="n">
        <f aca="false">MY_PH(X$2,$A188)</f>
        <v>2.8407574684433E-005</v>
      </c>
      <c r="Y188" s="39" t="n">
        <f aca="false">MY_PH(Y$2,$A188)</f>
        <v>2.84293742569988E-005</v>
      </c>
      <c r="Z188" s="39" t="n">
        <f aca="false">MY_PH(Z$2,$A188)</f>
        <v>2.8451200127045E-005</v>
      </c>
      <c r="AA188" s="39" t="n">
        <f aca="false">MY_PH(AA$2,$A188)</f>
        <v>2.8473051936241E-005</v>
      </c>
      <c r="AB188" s="39" t="n">
        <f aca="false">MY_PH(AB$2,$A188)</f>
        <v>2.84949293293802E-005</v>
      </c>
      <c r="AC188" s="39" t="n">
        <f aca="false">MY_PH(AC$2,$A188)</f>
        <v>2.85168319543693E-005</v>
      </c>
      <c r="AD188" s="39" t="n">
        <f aca="false">MY_PH(AD$2,$A188)</f>
        <v>2.85387594622168E-005</v>
      </c>
      <c r="AE188" s="39" t="n">
        <f aca="false">MY_PH(AE$2,$A188)</f>
        <v>2.85607115070227E-005</v>
      </c>
      <c r="AF188" s="39" t="n">
        <f aca="false">MY_PH(AF$2,$A188)</f>
        <v>2.85826877459662E-005</v>
      </c>
      <c r="AG188" s="39" t="n">
        <f aca="false">MY_PH(AG$2,$A188)</f>
        <v>2.86046878392953E-005</v>
      </c>
      <c r="AH188" s="39" t="n">
        <f aca="false">MY_PH(AH$2,$A188)</f>
        <v>2.88259281886934E-005</v>
      </c>
      <c r="AI188" s="39" t="n">
        <f aca="false">MY_PH(AI$2,$A188)</f>
        <v>2.90492025726373E-005</v>
      </c>
      <c r="AJ188" s="39" t="n">
        <f aca="false">MY_PH(AJ$2,$A188)</f>
        <v>2.92744971616489E-005</v>
      </c>
      <c r="AK188" s="39" t="n">
        <f aca="false">MY_PH(AK$2,$A188)</f>
        <v>2.95011165659719E-005</v>
      </c>
      <c r="AL188" s="39" t="n">
        <f aca="false">MY_PH(AL$2,$A188)</f>
        <v>2.97296445331969E-005</v>
      </c>
      <c r="AM188" s="39" t="n">
        <f aca="false">MY_PH(AM$2,$A188)</f>
        <v>2.99599621491958E-005</v>
      </c>
      <c r="AN188" s="39" t="n">
        <f aca="false">MY_PH(AN$2,$A188)</f>
        <v>3.01919599483719E-005</v>
      </c>
      <c r="AO188" s="39" t="n">
        <f aca="false">MY_PH(AO$2,$A188)</f>
        <v>3.04255365285348E-005</v>
      </c>
      <c r="AP188" s="39" t="n">
        <f aca="false">MY_PH(AP$2,$A188)</f>
        <v>3.06605973421615E-005</v>
      </c>
      <c r="AQ188" s="39" t="n">
        <f aca="false">MY_PH(AQ$2,$A188)</f>
        <v>3.30752371383346E-005</v>
      </c>
      <c r="AR188" s="39" t="n">
        <f aca="false">MY_PH(AR$2,$A188)</f>
        <v>3.35842951898233E-005</v>
      </c>
      <c r="AS188" s="39" t="n">
        <f aca="false">MY_PH(AS$2,$A188)</f>
        <v>3.38159836488249E-005</v>
      </c>
    </row>
    <row r="189" customFormat="false" ht="13.8" hidden="false" customHeight="false" outlineLevel="0" collapsed="false">
      <c r="A189" s="0" t="n">
        <v>3490</v>
      </c>
      <c r="B189" s="39" t="n">
        <f aca="false">MY_PH(B$2,$A189)</f>
        <v>2.85778738100936E-005</v>
      </c>
      <c r="C189" s="39" t="n">
        <f aca="false">MY_PH(C$2,$A189)</f>
        <v>2.85778953300719E-005</v>
      </c>
      <c r="D189" s="39" t="n">
        <f aca="false">MY_PH(D$2,$A189)</f>
        <v>2.85779168500767E-005</v>
      </c>
      <c r="E189" s="39" t="n">
        <f aca="false">MY_PH(E$2,$A189)</f>
        <v>2.8577938370108E-005</v>
      </c>
      <c r="F189" s="39" t="n">
        <f aca="false">MY_PH(F$2,$A189)</f>
        <v>2.85779598901658E-005</v>
      </c>
      <c r="G189" s="39" t="n">
        <f aca="false">MY_PH(G$2,$A189)</f>
        <v>2.85781750921999E-005</v>
      </c>
      <c r="H189" s="39" t="n">
        <f aca="false">MY_PH(H$2,$A189)</f>
        <v>2.85783902968814E-005</v>
      </c>
      <c r="I189" s="39" t="n">
        <f aca="false">MY_PH(I$2,$A189)</f>
        <v>2.85786055042102E-005</v>
      </c>
      <c r="J189" s="39" t="n">
        <f aca="false">MY_PH(J$2,$A189)</f>
        <v>2.85788207141859E-005</v>
      </c>
      <c r="K189" s="39" t="n">
        <f aca="false">MY_PH(K$2,$A189)</f>
        <v>2.8579035926808E-005</v>
      </c>
      <c r="L189" s="39" t="n">
        <f aca="false">MY_PH(L$2,$A189)</f>
        <v>2.85792511420763E-005</v>
      </c>
      <c r="M189" s="39" t="n">
        <f aca="false">MY_PH(M$2,$A189)</f>
        <v>2.85794663599904E-005</v>
      </c>
      <c r="N189" s="39" t="n">
        <f aca="false">MY_PH(N$2,$A189)</f>
        <v>2.85796815805499E-005</v>
      </c>
      <c r="O189" s="39" t="n">
        <f aca="false">MY_PH(O$2,$A189)</f>
        <v>2.85798968037546E-005</v>
      </c>
      <c r="P189" s="39" t="n">
        <f aca="false">MY_PH(P$2,$A189)</f>
        <v>2.85820491812064E-005</v>
      </c>
      <c r="Q189" s="39" t="n">
        <f aca="false">MY_PH(Q$2,$A189)</f>
        <v>2.85842018227887E-005</v>
      </c>
      <c r="R189" s="39" t="n">
        <f aca="false">MY_PH(R$2,$A189)</f>
        <v>2.8586354728156E-005</v>
      </c>
      <c r="S189" s="39" t="n">
        <f aca="false">MY_PH(S$2,$A189)</f>
        <v>2.85885078969624E-005</v>
      </c>
      <c r="T189" s="39" t="n">
        <f aca="false">MY_PH(T$2,$A189)</f>
        <v>2.85906613288628E-005</v>
      </c>
      <c r="U189" s="39" t="n">
        <f aca="false">MY_PH(U$2,$A189)</f>
        <v>2.85928150235122E-005</v>
      </c>
      <c r="V189" s="39" t="n">
        <f aca="false">MY_PH(V$2,$A189)</f>
        <v>2.85949689805659E-005</v>
      </c>
      <c r="W189" s="39" t="n">
        <f aca="false">MY_PH(W$2,$A189)</f>
        <v>2.85971231996794E-005</v>
      </c>
      <c r="X189" s="39" t="n">
        <f aca="false">MY_PH(X$2,$A189)</f>
        <v>2.85992776805087E-005</v>
      </c>
      <c r="Y189" s="39" t="n">
        <f aca="false">MY_PH(Y$2,$A189)</f>
        <v>2.86208368076628E-005</v>
      </c>
      <c r="Z189" s="39" t="n">
        <f aca="false">MY_PH(Z$2,$A189)</f>
        <v>2.86424217299731E-005</v>
      </c>
      <c r="AA189" s="39" t="n">
        <f aca="false">MY_PH(AA$2,$A189)</f>
        <v>2.86640321080266E-005</v>
      </c>
      <c r="AB189" s="39" t="n">
        <f aca="false">MY_PH(AB$2,$A189)</f>
        <v>2.86856676052559E-005</v>
      </c>
      <c r="AC189" s="39" t="n">
        <f aca="false">MY_PH(AC$2,$A189)</f>
        <v>2.87073278879293E-005</v>
      </c>
      <c r="AD189" s="39" t="n">
        <f aca="false">MY_PH(AD$2,$A189)</f>
        <v>2.87290126251404E-005</v>
      </c>
      <c r="AE189" s="39" t="n">
        <f aca="false">MY_PH(AE$2,$A189)</f>
        <v>2.87507214887977E-005</v>
      </c>
      <c r="AF189" s="39" t="n">
        <f aca="false">MY_PH(AF$2,$A189)</f>
        <v>2.87724541536138E-005</v>
      </c>
      <c r="AG189" s="39" t="n">
        <f aca="false">MY_PH(AG$2,$A189)</f>
        <v>2.87942102970955E-005</v>
      </c>
      <c r="AH189" s="39" t="n">
        <f aca="false">MY_PH(AH$2,$A189)</f>
        <v>2.90129940855262E-005</v>
      </c>
      <c r="AI189" s="39" t="n">
        <f aca="false">MY_PH(AI$2,$A189)</f>
        <v>2.92337913136512E-005</v>
      </c>
      <c r="AJ189" s="39" t="n">
        <f aca="false">MY_PH(AJ$2,$A189)</f>
        <v>2.94565970107113E-005</v>
      </c>
      <c r="AK189" s="39" t="n">
        <f aca="false">MY_PH(AK$2,$A189)</f>
        <v>2.96807049974426E-005</v>
      </c>
      <c r="AL189" s="39" t="n">
        <f aca="false">MY_PH(AL$2,$A189)</f>
        <v>2.99067165208511E-005</v>
      </c>
      <c r="AM189" s="39" t="n">
        <f aca="false">MY_PH(AM$2,$A189)</f>
        <v>3.01345155059429E-005</v>
      </c>
      <c r="AN189" s="39" t="n">
        <f aca="false">MY_PH(AN$2,$A189)</f>
        <v>3.0363994785792E-005</v>
      </c>
      <c r="AO189" s="39" t="n">
        <f aca="false">MY_PH(AO$2,$A189)</f>
        <v>3.05950548256551E-005</v>
      </c>
      <c r="AP189" s="39" t="n">
        <f aca="false">MY_PH(AP$2,$A189)</f>
        <v>3.08276026061149E-005</v>
      </c>
      <c r="AQ189" s="39" t="n">
        <f aca="false">MY_PH(AQ$2,$A189)</f>
        <v>3.32175168079727E-005</v>
      </c>
      <c r="AR189" s="39" t="n">
        <f aca="false">MY_PH(AR$2,$A189)</f>
        <v>3.37216018721227E-005</v>
      </c>
      <c r="AS189" s="39" t="n">
        <f aca="false">MY_PH(AS$2,$A189)</f>
        <v>3.39510535362566E-005</v>
      </c>
    </row>
    <row r="190" customFormat="false" ht="13.8" hidden="false" customHeight="false" outlineLevel="0" collapsed="false">
      <c r="A190" s="0" t="n">
        <v>3500</v>
      </c>
      <c r="B190" s="39" t="n">
        <f aca="false">MY_PH(B$2,$A190)</f>
        <v>2.87693458022638E-005</v>
      </c>
      <c r="C190" s="39" t="n">
        <f aca="false">MY_PH(C$2,$A190)</f>
        <v>2.87693670869225E-005</v>
      </c>
      <c r="D190" s="39" t="n">
        <f aca="false">MY_PH(D$2,$A190)</f>
        <v>2.87693883716072E-005</v>
      </c>
      <c r="E190" s="39" t="n">
        <f aca="false">MY_PH(E$2,$A190)</f>
        <v>2.87694096563178E-005</v>
      </c>
      <c r="F190" s="39" t="n">
        <f aca="false">MY_PH(F$2,$A190)</f>
        <v>2.87694309410544E-005</v>
      </c>
      <c r="G190" s="39" t="n">
        <f aca="false">MY_PH(G$2,$A190)</f>
        <v>2.87696437898482E-005</v>
      </c>
      <c r="H190" s="39" t="n">
        <f aca="false">MY_PH(H$2,$A190)</f>
        <v>2.87698566412375E-005</v>
      </c>
      <c r="I190" s="39" t="n">
        <f aca="false">MY_PH(I$2,$A190)</f>
        <v>2.87700694952222E-005</v>
      </c>
      <c r="J190" s="39" t="n">
        <f aca="false">MY_PH(J$2,$A190)</f>
        <v>2.87702823518018E-005</v>
      </c>
      <c r="K190" s="39" t="n">
        <f aca="false">MY_PH(K$2,$A190)</f>
        <v>2.8770495210976E-005</v>
      </c>
      <c r="L190" s="39" t="n">
        <f aca="false">MY_PH(L$2,$A190)</f>
        <v>2.87707080727446E-005</v>
      </c>
      <c r="M190" s="39" t="n">
        <f aca="false">MY_PH(M$2,$A190)</f>
        <v>2.87709209371071E-005</v>
      </c>
      <c r="N190" s="39" t="n">
        <f aca="false">MY_PH(N$2,$A190)</f>
        <v>2.87711338040633E-005</v>
      </c>
      <c r="O190" s="39" t="n">
        <f aca="false">MY_PH(O$2,$A190)</f>
        <v>2.87713466736127E-005</v>
      </c>
      <c r="P190" s="39" t="n">
        <f aca="false">MY_PH(P$2,$A190)</f>
        <v>2.87734755116681E-005</v>
      </c>
      <c r="Q190" s="39" t="n">
        <f aca="false">MY_PH(Q$2,$A190)</f>
        <v>2.87756046086951E-005</v>
      </c>
      <c r="R190" s="39" t="n">
        <f aca="false">MY_PH(R$2,$A190)</f>
        <v>2.8777733964366E-005</v>
      </c>
      <c r="S190" s="39" t="n">
        <f aca="false">MY_PH(S$2,$A190)</f>
        <v>2.87798635783536E-005</v>
      </c>
      <c r="T190" s="39" t="n">
        <f aca="false">MY_PH(T$2,$A190)</f>
        <v>2.87819934503309E-005</v>
      </c>
      <c r="U190" s="39" t="n">
        <f aca="false">MY_PH(U$2,$A190)</f>
        <v>2.87841235799711E-005</v>
      </c>
      <c r="V190" s="39" t="n">
        <f aca="false">MY_PH(V$2,$A190)</f>
        <v>2.87862539669478E-005</v>
      </c>
      <c r="W190" s="39" t="n">
        <f aca="false">MY_PH(W$2,$A190)</f>
        <v>2.87883846109348E-005</v>
      </c>
      <c r="X190" s="39" t="n">
        <f aca="false">MY_PH(X$2,$A190)</f>
        <v>2.8790515511606E-005</v>
      </c>
      <c r="Y190" s="39" t="n">
        <f aca="false">MY_PH(Y$2,$A190)</f>
        <v>2.88118385644273E-005</v>
      </c>
      <c r="Z190" s="39" t="n">
        <f aca="false">MY_PH(Z$2,$A190)</f>
        <v>2.88331869290541E-005</v>
      </c>
      <c r="AA190" s="39" t="n">
        <f aca="false">MY_PH(AA$2,$A190)</f>
        <v>2.88545602838252E-005</v>
      </c>
      <c r="AB190" s="39" t="n">
        <f aca="false">MY_PH(AB$2,$A190)</f>
        <v>2.88759583096755E-005</v>
      </c>
      <c r="AC190" s="39" t="n">
        <f aca="false">MY_PH(AC$2,$A190)</f>
        <v>2.88973806901266E-005</v>
      </c>
      <c r="AD190" s="39" t="n">
        <f aca="false">MY_PH(AD$2,$A190)</f>
        <v>2.8918827111277E-005</v>
      </c>
      <c r="AE190" s="39" t="n">
        <f aca="false">MY_PH(AE$2,$A190)</f>
        <v>2.89402972617921E-005</v>
      </c>
      <c r="AF190" s="39" t="n">
        <f aca="false">MY_PH(AF$2,$A190)</f>
        <v>2.89617908328948E-005</v>
      </c>
      <c r="AG190" s="39" t="n">
        <f aca="false">MY_PH(AG$2,$A190)</f>
        <v>2.89833075183553E-005</v>
      </c>
      <c r="AH190" s="39" t="n">
        <f aca="false">MY_PH(AH$2,$A190)</f>
        <v>2.91996800929615E-005</v>
      </c>
      <c r="AI190" s="39" t="n">
        <f aca="false">MY_PH(AI$2,$A190)</f>
        <v>2.94180457666404E-005</v>
      </c>
      <c r="AJ190" s="39" t="n">
        <f aca="false">MY_PH(AJ$2,$A190)</f>
        <v>2.96384075600801E-005</v>
      </c>
      <c r="AK190" s="39" t="n">
        <f aca="false">MY_PH(AK$2,$A190)</f>
        <v>2.98600516255303E-005</v>
      </c>
      <c r="AL190" s="39" t="n">
        <f aca="false">MY_PH(AL$2,$A190)</f>
        <v>3.00835933184268E-005</v>
      </c>
      <c r="AM190" s="39" t="n">
        <f aca="false">MY_PH(AM$2,$A190)</f>
        <v>3.03089193420562E-005</v>
      </c>
      <c r="AN190" s="39" t="n">
        <f aca="false">MY_PH(AN$2,$A190)</f>
        <v>3.05359247985026E-005</v>
      </c>
      <c r="AO190" s="39" t="n">
        <f aca="false">MY_PH(AO$2,$A190)</f>
        <v>3.07645120130662E-005</v>
      </c>
      <c r="AP190" s="39" t="n">
        <f aca="false">MY_PH(AP$2,$A190)</f>
        <v>3.09945895022001E-005</v>
      </c>
      <c r="AQ190" s="39" t="n">
        <f aca="false">MY_PH(AQ$2,$A190)</f>
        <v>3.33601567475531E-005</v>
      </c>
      <c r="AR190" s="39" t="n">
        <f aca="false">MY_PH(AR$2,$A190)</f>
        <v>3.38593369226668E-005</v>
      </c>
      <c r="AS190" s="39" t="n">
        <f aca="false">MY_PH(AS$2,$A190)</f>
        <v>3.40865816077064E-005</v>
      </c>
    </row>
    <row r="191" customFormat="false" ht="13.8" hidden="false" customHeight="false" outlineLevel="0" collapsed="false">
      <c r="A191" s="0" t="n">
        <v>3510</v>
      </c>
      <c r="B191" s="39" t="n">
        <f aca="false">MY_PH(B$2,$A191)</f>
        <v>2.89603467100856E-005</v>
      </c>
      <c r="C191" s="39" t="n">
        <f aca="false">MY_PH(C$2,$A191)</f>
        <v>2.89603677636195E-005</v>
      </c>
      <c r="D191" s="39" t="n">
        <f aca="false">MY_PH(D$2,$A191)</f>
        <v>2.89603888171789E-005</v>
      </c>
      <c r="E191" s="39" t="n">
        <f aca="false">MY_PH(E$2,$A191)</f>
        <v>2.89604098707638E-005</v>
      </c>
      <c r="F191" s="39" t="n">
        <f aca="false">MY_PH(F$2,$A191)</f>
        <v>2.89604309243741E-005</v>
      </c>
      <c r="G191" s="39" t="n">
        <f aca="false">MY_PH(G$2,$A191)</f>
        <v>2.89606414618774E-005</v>
      </c>
      <c r="H191" s="39" t="n">
        <f aca="false">MY_PH(H$2,$A191)</f>
        <v>2.89608520019266E-005</v>
      </c>
      <c r="I191" s="39" t="n">
        <f aca="false">MY_PH(I$2,$A191)</f>
        <v>2.89610625445211E-005</v>
      </c>
      <c r="J191" s="39" t="n">
        <f aca="false">MY_PH(J$2,$A191)</f>
        <v>2.89612730896608E-005</v>
      </c>
      <c r="K191" s="39" t="n">
        <f aca="false">MY_PH(K$2,$A191)</f>
        <v>2.89614836373454E-005</v>
      </c>
      <c r="L191" s="39" t="n">
        <f aca="false">MY_PH(L$2,$A191)</f>
        <v>2.89616941875745E-005</v>
      </c>
      <c r="M191" s="39" t="n">
        <f aca="false">MY_PH(M$2,$A191)</f>
        <v>2.89619047403477E-005</v>
      </c>
      <c r="N191" s="39" t="n">
        <f aca="false">MY_PH(N$2,$A191)</f>
        <v>2.89621152956649E-005</v>
      </c>
      <c r="O191" s="39" t="n">
        <f aca="false">MY_PH(O$2,$A191)</f>
        <v>2.89623258535256E-005</v>
      </c>
      <c r="P191" s="39" t="n">
        <f aca="false">MY_PH(P$2,$A191)</f>
        <v>2.89644315719622E-005</v>
      </c>
      <c r="Q191" s="39" t="n">
        <f aca="false">MY_PH(Q$2,$A191)</f>
        <v>2.89665375444157E-005</v>
      </c>
      <c r="R191" s="39" t="n">
        <f aca="false">MY_PH(R$2,$A191)</f>
        <v>2.89686437705759E-005</v>
      </c>
      <c r="S191" s="39" t="n">
        <f aca="false">MY_PH(S$2,$A191)</f>
        <v>2.89707502501327E-005</v>
      </c>
      <c r="T191" s="39" t="n">
        <f aca="false">MY_PH(T$2,$A191)</f>
        <v>2.89728569827762E-005</v>
      </c>
      <c r="U191" s="39" t="n">
        <f aca="false">MY_PH(U$2,$A191)</f>
        <v>2.89749639681967E-005</v>
      </c>
      <c r="V191" s="39" t="n">
        <f aca="false">MY_PH(V$2,$A191)</f>
        <v>2.89770712060849E-005</v>
      </c>
      <c r="W191" s="39" t="n">
        <f aca="false">MY_PH(W$2,$A191)</f>
        <v>2.89791786961315E-005</v>
      </c>
      <c r="X191" s="39" t="n">
        <f aca="false">MY_PH(X$2,$A191)</f>
        <v>2.89812864380277E-005</v>
      </c>
      <c r="Y191" s="39" t="n">
        <f aca="false">MY_PH(Y$2,$A191)</f>
        <v>2.90023776409218E-005</v>
      </c>
      <c r="Z191" s="39" t="n">
        <f aca="false">MY_PH(Z$2,$A191)</f>
        <v>2.90234936907256E-005</v>
      </c>
      <c r="AA191" s="39" t="n">
        <f aca="false">MY_PH(AA$2,$A191)</f>
        <v>2.9044634282446E-005</v>
      </c>
      <c r="AB191" s="39" t="n">
        <f aca="false">MY_PH(AB$2,$A191)</f>
        <v>2.90657991134615E-005</v>
      </c>
      <c r="AC191" s="39" t="n">
        <f aca="false">MY_PH(AC$2,$A191)</f>
        <v>2.90869878835137E-005</v>
      </c>
      <c r="AD191" s="39" t="n">
        <f aca="false">MY_PH(AD$2,$A191)</f>
        <v>2.91082002946977E-005</v>
      </c>
      <c r="AE191" s="39" t="n">
        <f aca="false">MY_PH(AE$2,$A191)</f>
        <v>2.91294360514534E-005</v>
      </c>
      <c r="AF191" s="39" t="n">
        <f aca="false">MY_PH(AF$2,$A191)</f>
        <v>2.91506948605558E-005</v>
      </c>
      <c r="AG191" s="39" t="n">
        <f aca="false">MY_PH(AG$2,$A191)</f>
        <v>2.91719764311062E-005</v>
      </c>
      <c r="AH191" s="39" t="n">
        <f aca="false">MY_PH(AH$2,$A191)</f>
        <v>2.93859816625472E-005</v>
      </c>
      <c r="AI191" s="39" t="n">
        <f aca="false">MY_PH(AI$2,$A191)</f>
        <v>2.9601959950499E-005</v>
      </c>
      <c r="AJ191" s="39" t="n">
        <f aca="false">MY_PH(AJ$2,$A191)</f>
        <v>2.98199215329119E-005</v>
      </c>
      <c r="AK191" s="39" t="n">
        <f aca="false">MY_PH(AK$2,$A191)</f>
        <v>3.00391477392497E-005</v>
      </c>
      <c r="AL191" s="39" t="n">
        <f aca="false">MY_PH(AL$2,$A191)</f>
        <v>3.02602648718899E-005</v>
      </c>
      <c r="AM191" s="39" t="n">
        <f aca="false">MY_PH(AM$2,$A191)</f>
        <v>3.0483162350925E-005</v>
      </c>
      <c r="AN191" s="39" t="n">
        <f aca="false">MY_PH(AN$2,$A191)</f>
        <v>3.07077375152364E-005</v>
      </c>
      <c r="AO191" s="39" t="n">
        <f aca="false">MY_PH(AO$2,$A191)</f>
        <v>3.09338945390472E-005</v>
      </c>
      <c r="AP191" s="39" t="n">
        <f aca="false">MY_PH(AP$2,$A191)</f>
        <v>3.11615434781292E-005</v>
      </c>
      <c r="AQ191" s="39" t="n">
        <f aca="false">MY_PH(AQ$2,$A191)</f>
        <v>3.35031359049551E-005</v>
      </c>
      <c r="AR191" s="39" t="n">
        <f aca="false">MY_PH(AR$2,$A191)</f>
        <v>3.39974785715245E-005</v>
      </c>
      <c r="AS191" s="39" t="n">
        <f aca="false">MY_PH(AS$2,$A191)</f>
        <v>3.42225458222565E-005</v>
      </c>
    </row>
    <row r="192" customFormat="false" ht="13.8" hidden="false" customHeight="false" outlineLevel="0" collapsed="false">
      <c r="A192" s="0" t="n">
        <v>3520</v>
      </c>
      <c r="B192" s="39" t="n">
        <f aca="false">MY_PH(B$2,$A192)</f>
        <v>2.91508750725494E-005</v>
      </c>
      <c r="C192" s="39" t="n">
        <f aca="false">MY_PH(C$2,$A192)</f>
        <v>2.91508958990143E-005</v>
      </c>
      <c r="D192" s="39" t="n">
        <f aca="false">MY_PH(D$2,$A192)</f>
        <v>2.91509167255042E-005</v>
      </c>
      <c r="E192" s="39" t="n">
        <f aca="false">MY_PH(E$2,$A192)</f>
        <v>2.91509375520191E-005</v>
      </c>
      <c r="F192" s="39" t="n">
        <f aca="false">MY_PH(F$2,$A192)</f>
        <v>2.9150958378559E-005</v>
      </c>
      <c r="G192" s="39" t="n">
        <f aca="false">MY_PH(G$2,$A192)</f>
        <v>2.91511666453315E-005</v>
      </c>
      <c r="H192" s="39" t="n">
        <f aca="false">MY_PH(H$2,$A192)</f>
        <v>2.91513749146019E-005</v>
      </c>
      <c r="I192" s="39" t="n">
        <f aca="false">MY_PH(I$2,$A192)</f>
        <v>2.915158318637E-005</v>
      </c>
      <c r="J192" s="39" t="n">
        <f aca="false">MY_PH(J$2,$A192)</f>
        <v>2.91517914606354E-005</v>
      </c>
      <c r="K192" s="39" t="n">
        <f aca="false">MY_PH(K$2,$A192)</f>
        <v>2.91519997373978E-005</v>
      </c>
      <c r="L192" s="39" t="n">
        <f aca="false">MY_PH(L$2,$A192)</f>
        <v>2.9152208016657E-005</v>
      </c>
      <c r="M192" s="39" t="n">
        <f aca="false">MY_PH(M$2,$A192)</f>
        <v>2.91524162984126E-005</v>
      </c>
      <c r="N192" s="39" t="n">
        <f aca="false">MY_PH(N$2,$A192)</f>
        <v>2.91526245826643E-005</v>
      </c>
      <c r="O192" s="39" t="n">
        <f aca="false">MY_PH(O$2,$A192)</f>
        <v>2.91528328694119E-005</v>
      </c>
      <c r="P192" s="39" t="n">
        <f aca="false">MY_PH(P$2,$A192)</f>
        <v>2.91549158740947E-005</v>
      </c>
      <c r="Q192" s="39" t="n">
        <f aca="false">MY_PH(Q$2,$A192)</f>
        <v>2.91569991280387E-005</v>
      </c>
      <c r="R192" s="39" t="n">
        <f aca="false">MY_PH(R$2,$A192)</f>
        <v>2.91590826309495E-005</v>
      </c>
      <c r="S192" s="39" t="n">
        <f aca="false">MY_PH(S$2,$A192)</f>
        <v>2.91611663825331E-005</v>
      </c>
      <c r="T192" s="39" t="n">
        <f aca="false">MY_PH(T$2,$A192)</f>
        <v>2.91632503824957E-005</v>
      </c>
      <c r="U192" s="39" t="n">
        <f aca="false">MY_PH(U$2,$A192)</f>
        <v>2.91653346305437E-005</v>
      </c>
      <c r="V192" s="39" t="n">
        <f aca="false">MY_PH(V$2,$A192)</f>
        <v>2.91674191263839E-005</v>
      </c>
      <c r="W192" s="39" t="n">
        <f aca="false">MY_PH(W$2,$A192)</f>
        <v>2.91695038697229E-005</v>
      </c>
      <c r="X192" s="39" t="n">
        <f aca="false">MY_PH(X$2,$A192)</f>
        <v>2.91715888602679E-005</v>
      </c>
      <c r="Y192" s="39" t="n">
        <f aca="false">MY_PH(Y$2,$A192)</f>
        <v>2.91924522977583E-005</v>
      </c>
      <c r="Z192" s="39" t="n">
        <f aca="false">MY_PH(Z$2,$A192)</f>
        <v>2.92133401352435E-005</v>
      </c>
      <c r="AA192" s="39" t="n">
        <f aca="false">MY_PH(AA$2,$A192)</f>
        <v>2.92342520833894E-005</v>
      </c>
      <c r="AB192" s="39" t="n">
        <f aca="false">MY_PH(AB$2,$A192)</f>
        <v>2.92551878550318E-005</v>
      </c>
      <c r="AC192" s="39" t="n">
        <f aca="false">MY_PH(AC$2,$A192)</f>
        <v>2.92761471651681E-005</v>
      </c>
      <c r="AD192" s="39" t="n">
        <f aca="false">MY_PH(AD$2,$A192)</f>
        <v>2.92971297309484E-005</v>
      </c>
      <c r="AE192" s="39" t="n">
        <f aca="false">MY_PH(AE$2,$A192)</f>
        <v>2.93181352716677E-005</v>
      </c>
      <c r="AF192" s="39" t="n">
        <f aca="false">MY_PH(AF$2,$A192)</f>
        <v>2.93391635087562E-005</v>
      </c>
      <c r="AG192" s="39" t="n">
        <f aca="false">MY_PH(AG$2,$A192)</f>
        <v>2.93602141657715E-005</v>
      </c>
      <c r="AH192" s="39" t="n">
        <f aca="false">MY_PH(AH$2,$A192)</f>
        <v>2.95718945175885E-005</v>
      </c>
      <c r="AI192" s="39" t="n">
        <f aca="false">MY_PH(AI$2,$A192)</f>
        <v>2.97855282235362E-005</v>
      </c>
      <c r="AJ192" s="39" t="n">
        <f aca="false">MY_PH(AJ$2,$A192)</f>
        <v>3.00011320644536E-005</v>
      </c>
      <c r="AK192" s="39" t="n">
        <f aca="false">MY_PH(AK$2,$A192)</f>
        <v>3.02179850926241E-005</v>
      </c>
      <c r="AL192" s="39" t="n">
        <f aca="false">MY_PH(AL$2,$A192)</f>
        <v>3.04367216375174E-005</v>
      </c>
      <c r="AM192" s="39" t="n">
        <f aca="false">MY_PH(AM$2,$A192)</f>
        <v>3.06572337742532E-005</v>
      </c>
      <c r="AN192" s="39" t="n">
        <f aca="false">MY_PH(AN$2,$A192)</f>
        <v>3.08794210441968E-005</v>
      </c>
      <c r="AO192" s="39" t="n">
        <f aca="false">MY_PH(AO$2,$A192)</f>
        <v>3.11031894561757E-005</v>
      </c>
      <c r="AP192" s="39" t="n">
        <f aca="false">MY_PH(AP$2,$A192)</f>
        <v>3.13284506049473E-005</v>
      </c>
      <c r="AQ192" s="39" t="n">
        <f aca="false">MY_PH(AQ$2,$A192)</f>
        <v>3.36464338249216E-005</v>
      </c>
      <c r="AR192" s="39" t="n">
        <f aca="false">MY_PH(AR$2,$A192)</f>
        <v>3.41360056122513E-005</v>
      </c>
      <c r="AS192" s="39" t="n">
        <f aca="false">MY_PH(AS$2,$A192)</f>
        <v>3.43589246864973E-005</v>
      </c>
    </row>
    <row r="193" customFormat="false" ht="13.8" hidden="false" customHeight="false" outlineLevel="0" collapsed="false">
      <c r="A193" s="0" t="n">
        <v>3530</v>
      </c>
      <c r="B193" s="39" t="n">
        <f aca="false">MY_PH(B$2,$A193)</f>
        <v>2.93409295574236E-005</v>
      </c>
      <c r="C193" s="39" t="n">
        <f aca="false">MY_PH(C$2,$A193)</f>
        <v>2.93409501607427E-005</v>
      </c>
      <c r="D193" s="39" t="n">
        <f aca="false">MY_PH(D$2,$A193)</f>
        <v>2.93409707640863E-005</v>
      </c>
      <c r="E193" s="39" t="n">
        <f aca="false">MY_PH(E$2,$A193)</f>
        <v>2.93409913674544E-005</v>
      </c>
      <c r="F193" s="39" t="n">
        <f aca="false">MY_PH(F$2,$A193)</f>
        <v>2.93410119708471E-005</v>
      </c>
      <c r="G193" s="39" t="n">
        <f aca="false">MY_PH(G$2,$A193)</f>
        <v>2.93412180061224E-005</v>
      </c>
      <c r="H193" s="39" t="n">
        <f aca="false">MY_PH(H$2,$A193)</f>
        <v>2.93414240438497E-005</v>
      </c>
      <c r="I193" s="39" t="n">
        <f aca="false">MY_PH(I$2,$A193)</f>
        <v>2.93416300840288E-005</v>
      </c>
      <c r="J193" s="39" t="n">
        <f aca="false">MY_PH(J$2,$A193)</f>
        <v>2.93418361266593E-005</v>
      </c>
      <c r="K193" s="39" t="n">
        <f aca="false">MY_PH(K$2,$A193)</f>
        <v>2.9342042171741E-005</v>
      </c>
      <c r="L193" s="39" t="n">
        <f aca="false">MY_PH(L$2,$A193)</f>
        <v>2.93422482192735E-005</v>
      </c>
      <c r="M193" s="39" t="n">
        <f aca="false">MY_PH(M$2,$A193)</f>
        <v>2.93424542692567E-005</v>
      </c>
      <c r="N193" s="39" t="n">
        <f aca="false">MY_PH(N$2,$A193)</f>
        <v>2.93426603216902E-005</v>
      </c>
      <c r="O193" s="39" t="n">
        <f aca="false">MY_PH(O$2,$A193)</f>
        <v>2.93428663765738E-005</v>
      </c>
      <c r="P193" s="39" t="n">
        <f aca="false">MY_PH(P$2,$A193)</f>
        <v>2.93449270601008E-005</v>
      </c>
      <c r="Q193" s="39" t="n">
        <f aca="false">MY_PH(Q$2,$A193)</f>
        <v>2.93469879883258E-005</v>
      </c>
      <c r="R193" s="39" t="n">
        <f aca="false">MY_PH(R$2,$A193)</f>
        <v>2.93490491609697E-005</v>
      </c>
      <c r="S193" s="39" t="n">
        <f aca="false">MY_PH(S$2,$A193)</f>
        <v>2.93511105777536E-005</v>
      </c>
      <c r="T193" s="39" t="n">
        <f aca="false">MY_PH(T$2,$A193)</f>
        <v>2.93531722383986E-005</v>
      </c>
      <c r="U193" s="39" t="n">
        <f aca="false">MY_PH(U$2,$A193)</f>
        <v>2.93552341426265E-005</v>
      </c>
      <c r="V193" s="39" t="n">
        <f aca="false">MY_PH(V$2,$A193)</f>
        <v>2.93572962901587E-005</v>
      </c>
      <c r="W193" s="39" t="n">
        <f aca="false">MY_PH(W$2,$A193)</f>
        <v>2.93593586807172E-005</v>
      </c>
      <c r="X193" s="39" t="n">
        <f aca="false">MY_PH(X$2,$A193)</f>
        <v>2.93614213140241E-005</v>
      </c>
      <c r="Y193" s="39" t="n">
        <f aca="false">MY_PH(Y$2,$A193)</f>
        <v>2.93820609372574E-005</v>
      </c>
      <c r="Z193" s="39" t="n">
        <f aca="false">MY_PH(Z$2,$A193)</f>
        <v>2.94027245311128E-005</v>
      </c>
      <c r="AA193" s="39" t="n">
        <f aca="false">MY_PH(AA$2,$A193)</f>
        <v>2.94234118209752E-005</v>
      </c>
      <c r="AB193" s="39" t="n">
        <f aca="false">MY_PH(AB$2,$A193)</f>
        <v>2.94441225342175E-005</v>
      </c>
      <c r="AC193" s="39" t="n">
        <f aca="false">MY_PH(AC$2,$A193)</f>
        <v>2.94648564001926E-005</v>
      </c>
      <c r="AD193" s="39" t="n">
        <f aca="false">MY_PH(AD$2,$A193)</f>
        <v>2.94856131502255E-005</v>
      </c>
      <c r="AE193" s="39" t="n">
        <f aca="false">MY_PH(AE$2,$A193)</f>
        <v>2.95063925176056E-005</v>
      </c>
      <c r="AF193" s="39" t="n">
        <f aca="false">MY_PH(AF$2,$A193)</f>
        <v>2.9527194237578E-005</v>
      </c>
      <c r="AG193" s="39" t="n">
        <f aca="false">MY_PH(AG$2,$A193)</f>
        <v>2.95480180473357E-005</v>
      </c>
      <c r="AH193" s="39" t="n">
        <f aca="false">MY_PH(AH$2,$A193)</f>
        <v>2.97574146416792E-005</v>
      </c>
      <c r="AI193" s="39" t="n">
        <f aca="false">MY_PH(AI$2,$A193)</f>
        <v>2.99687452679936E-005</v>
      </c>
      <c r="AJ193" s="39" t="n">
        <f aca="false">MY_PH(AJ$2,$A193)</f>
        <v>3.01820326803852E-005</v>
      </c>
      <c r="AK193" s="39" t="n">
        <f aca="false">MY_PH(AK$2,$A193)</f>
        <v>3.03965558814416E-005</v>
      </c>
      <c r="AL193" s="39" t="n">
        <f aca="false">MY_PH(AL$2,$A193)</f>
        <v>3.06129545576703E-005</v>
      </c>
      <c r="AM193" s="39" t="n">
        <f aca="false">MY_PH(AM$2,$A193)</f>
        <v>3.08311233773968E-005</v>
      </c>
      <c r="AN193" s="39" t="n">
        <f aca="false">MY_PH(AN$2,$A193)</f>
        <v>3.10509640484441E-005</v>
      </c>
      <c r="AO193" s="39" t="n">
        <f aca="false">MY_PH(AO$2,$A193)</f>
        <v>3.12723843971762E-005</v>
      </c>
      <c r="AP193" s="39" t="n">
        <f aca="false">MY_PH(AP$2,$A193)</f>
        <v>3.14952975536912E-005</v>
      </c>
      <c r="AQ193" s="39" t="n">
        <f aca="false">MY_PH(AQ$2,$A193)</f>
        <v>3.37900306404192E-005</v>
      </c>
      <c r="AR193" s="39" t="n">
        <f aca="false">MY_PH(AR$2,$A193)</f>
        <v>3.4274897395184E-005</v>
      </c>
      <c r="AS193" s="39" t="n">
        <f aca="false">MY_PH(AS$2,$A193)</f>
        <v>3.44956972483161E-005</v>
      </c>
    </row>
    <row r="194" customFormat="false" ht="13.8" hidden="false" customHeight="false" outlineLevel="0" collapsed="false">
      <c r="A194" s="0" t="n">
        <v>3540</v>
      </c>
      <c r="B194" s="39" t="n">
        <f aca="false">MY_PH(B$2,$A194)</f>
        <v>2.95305089567039E-005</v>
      </c>
      <c r="C194" s="39" t="n">
        <f aca="false">MY_PH(C$2,$A194)</f>
        <v>2.9530529340674E-005</v>
      </c>
      <c r="D194" s="39" t="n">
        <f aca="false">MY_PH(D$2,$A194)</f>
        <v>2.95305497246682E-005</v>
      </c>
      <c r="E194" s="39" t="n">
        <f aca="false">MY_PH(E$2,$A194)</f>
        <v>2.95305701086864E-005</v>
      </c>
      <c r="F194" s="39" t="n">
        <f aca="false">MY_PH(F$2,$A194)</f>
        <v>2.95305904927287E-005</v>
      </c>
      <c r="G194" s="39" t="n">
        <f aca="false">MY_PH(G$2,$A194)</f>
        <v>2.95307943344762E-005</v>
      </c>
      <c r="H194" s="39" t="n">
        <f aca="false">MY_PH(H$2,$A194)</f>
        <v>2.95309981786318E-005</v>
      </c>
      <c r="I194" s="39" t="n">
        <f aca="false">MY_PH(I$2,$A194)</f>
        <v>2.95312020251951E-005</v>
      </c>
      <c r="J194" s="39" t="n">
        <f aca="false">MY_PH(J$2,$A194)</f>
        <v>2.95314058741658E-005</v>
      </c>
      <c r="K194" s="39" t="n">
        <f aca="false">MY_PH(K$2,$A194)</f>
        <v>2.95316097255438E-005</v>
      </c>
      <c r="L194" s="39" t="n">
        <f aca="false">MY_PH(L$2,$A194)</f>
        <v>2.95318135793287E-005</v>
      </c>
      <c r="M194" s="39" t="n">
        <f aca="false">MY_PH(M$2,$A194)</f>
        <v>2.95320174355203E-005</v>
      </c>
      <c r="N194" s="39" t="n">
        <f aca="false">MY_PH(N$2,$A194)</f>
        <v>2.95322212941182E-005</v>
      </c>
      <c r="O194" s="39" t="n">
        <f aca="false">MY_PH(O$2,$A194)</f>
        <v>2.95324251551223E-005</v>
      </c>
      <c r="P194" s="39" t="n">
        <f aca="false">MY_PH(P$2,$A194)</f>
        <v>2.95344638974427E-005</v>
      </c>
      <c r="Q194" s="39" t="n">
        <f aca="false">MY_PH(Q$2,$A194)</f>
        <v>2.95365028800856E-005</v>
      </c>
      <c r="R194" s="39" t="n">
        <f aca="false">MY_PH(R$2,$A194)</f>
        <v>2.95385421027859E-005</v>
      </c>
      <c r="S194" s="39" t="n">
        <f aca="false">MY_PH(S$2,$A194)</f>
        <v>2.95405815652789E-005</v>
      </c>
      <c r="T194" s="39" t="n">
        <f aca="false">MY_PH(T$2,$A194)</f>
        <v>2.95426212673003E-005</v>
      </c>
      <c r="U194" s="39" t="n">
        <f aca="false">MY_PH(U$2,$A194)</f>
        <v>2.95446612085855E-005</v>
      </c>
      <c r="V194" s="39" t="n">
        <f aca="false">MY_PH(V$2,$A194)</f>
        <v>2.95467013888704E-005</v>
      </c>
      <c r="W194" s="39" t="n">
        <f aca="false">MY_PH(W$2,$A194)</f>
        <v>2.95487418078911E-005</v>
      </c>
      <c r="X194" s="39" t="n">
        <f aca="false">MY_PH(X$2,$A194)</f>
        <v>2.95507824653837E-005</v>
      </c>
      <c r="Y194" s="39" t="n">
        <f aca="false">MY_PH(Y$2,$A194)</f>
        <v>2.9571202098363E-005</v>
      </c>
      <c r="Z194" s="39" t="n">
        <f aca="false">MY_PH(Z$2,$A194)</f>
        <v>2.95916452897231E-005</v>
      </c>
      <c r="AA194" s="39" t="n">
        <f aca="false">MY_PH(AA$2,$A194)</f>
        <v>2.96121117786909E-005</v>
      </c>
      <c r="AB194" s="39" t="n">
        <f aca="false">MY_PH(AB$2,$A194)</f>
        <v>2.96326013063174E-005</v>
      </c>
      <c r="AC194" s="39" t="n">
        <f aca="false">MY_PH(AC$2,$A194)</f>
        <v>2.96531136154701E-005</v>
      </c>
      <c r="AD194" s="39" t="n">
        <f aca="false">MY_PH(AD$2,$A194)</f>
        <v>2.96736484508254E-005</v>
      </c>
      <c r="AE194" s="39" t="n">
        <f aca="false">MY_PH(AE$2,$A194)</f>
        <v>2.96942055588613E-005</v>
      </c>
      <c r="AF194" s="39" t="n">
        <f aca="false">MY_PH(AF$2,$A194)</f>
        <v>2.97147846878494E-005</v>
      </c>
      <c r="AG194" s="39" t="n">
        <f aca="false">MY_PH(AG$2,$A194)</f>
        <v>2.97353855878478E-005</v>
      </c>
      <c r="AH194" s="39" t="n">
        <f aca="false">MY_PH(AH$2,$A194)</f>
        <v>2.99425382678094E-005</v>
      </c>
      <c r="AI194" s="39" t="n">
        <f aca="false">MY_PH(AI$2,$A194)</f>
        <v>3.0151606075427E-005</v>
      </c>
      <c r="AJ194" s="39" t="n">
        <f aca="false">MY_PH(AJ$2,$A194)</f>
        <v>3.03626172762856E-005</v>
      </c>
      <c r="AK194" s="39" t="n">
        <f aca="false">MY_PH(AK$2,$A194)</f>
        <v>3.05748527210858E-005</v>
      </c>
      <c r="AL194" s="39" t="n">
        <f aca="false">MY_PH(AL$2,$A194)</f>
        <v>3.07889550375503E-005</v>
      </c>
      <c r="AM194" s="39" t="n">
        <f aca="false">MY_PH(AM$2,$A194)</f>
        <v>3.10048214255617E-005</v>
      </c>
      <c r="AN194" s="39" t="n">
        <f aca="false">MY_PH(AN$2,$A194)</f>
        <v>3.12223557219922E-005</v>
      </c>
      <c r="AO194" s="39" t="n">
        <f aca="false">MY_PH(AO$2,$A194)</f>
        <v>3.14414675513148E-005</v>
      </c>
      <c r="AP194" s="39" t="n">
        <f aca="false">MY_PH(AP$2,$A194)</f>
        <v>3.16620715724221E-005</v>
      </c>
      <c r="AQ194" s="39" t="n">
        <f aca="false">MY_PH(AQ$2,$A194)</f>
        <v>3.39339070635789E-005</v>
      </c>
      <c r="AR194" s="39" t="n">
        <f aca="false">MY_PH(AR$2,$A194)</f>
        <v>3.44141338205851E-005</v>
      </c>
      <c r="AS194" s="39" t="n">
        <f aca="false">MY_PH(AS$2,$A194)</f>
        <v>3.46328430907155E-005</v>
      </c>
    </row>
    <row r="195" customFormat="false" ht="13.8" hidden="false" customHeight="false" outlineLevel="0" collapsed="false">
      <c r="A195" s="0" t="n">
        <v>3550</v>
      </c>
      <c r="B195" s="39" t="n">
        <f aca="false">MY_PH(B$2,$A195)</f>
        <v>2.97196121822197E-005</v>
      </c>
      <c r="C195" s="39" t="n">
        <f aca="false">MY_PH(C$2,$A195)</f>
        <v>2.9719632350517E-005</v>
      </c>
      <c r="D195" s="39" t="n">
        <f aca="false">MY_PH(D$2,$A195)</f>
        <v>2.9719652518838E-005</v>
      </c>
      <c r="E195" s="39" t="n">
        <f aca="false">MY_PH(E$2,$A195)</f>
        <v>2.97196726871827E-005</v>
      </c>
      <c r="F195" s="39" t="n">
        <f aca="false">MY_PH(F$2,$A195)</f>
        <v>2.9719692855551E-005</v>
      </c>
      <c r="G195" s="39" t="n">
        <f aca="false">MY_PH(G$2,$A195)</f>
        <v>2.97198945405354E-005</v>
      </c>
      <c r="H195" s="39" t="n">
        <f aca="false">MY_PH(H$2,$A195)</f>
        <v>2.97200962278857E-005</v>
      </c>
      <c r="I195" s="39" t="n">
        <f aca="false">MY_PH(I$2,$A195)</f>
        <v>2.97202979176016E-005</v>
      </c>
      <c r="J195" s="39" t="n">
        <f aca="false">MY_PH(J$2,$A195)</f>
        <v>2.97204996096827E-005</v>
      </c>
      <c r="K195" s="39" t="n">
        <f aca="false">MY_PH(K$2,$A195)</f>
        <v>2.9720701304129E-005</v>
      </c>
      <c r="L195" s="39" t="n">
        <f aca="false">MY_PH(L$2,$A195)</f>
        <v>2.972090300094E-005</v>
      </c>
      <c r="M195" s="39" t="n">
        <f aca="false">MY_PH(M$2,$A195)</f>
        <v>2.97211047001156E-005</v>
      </c>
      <c r="N195" s="39" t="n">
        <f aca="false">MY_PH(N$2,$A195)</f>
        <v>2.97213064016556E-005</v>
      </c>
      <c r="O195" s="39" t="n">
        <f aca="false">MY_PH(O$2,$A195)</f>
        <v>2.97215081055596E-005</v>
      </c>
      <c r="P195" s="39" t="n">
        <f aca="false">MY_PH(P$2,$A195)</f>
        <v>2.97235252745676E-005</v>
      </c>
      <c r="Q195" s="39" t="n">
        <f aca="false">MY_PH(Q$2,$A195)</f>
        <v>2.97255426797049E-005</v>
      </c>
      <c r="R195" s="39" t="n">
        <f aca="false">MY_PH(R$2,$A195)</f>
        <v>2.972756032072E-005</v>
      </c>
      <c r="S195" s="39" t="n">
        <f aca="false">MY_PH(S$2,$A195)</f>
        <v>2.97295781973616E-005</v>
      </c>
      <c r="T195" s="39" t="n">
        <f aca="false">MY_PH(T$2,$A195)</f>
        <v>2.97315963093783E-005</v>
      </c>
      <c r="U195" s="39" t="n">
        <f aca="false">MY_PH(U$2,$A195)</f>
        <v>2.97336146565193E-005</v>
      </c>
      <c r="V195" s="39" t="n">
        <f aca="false">MY_PH(V$2,$A195)</f>
        <v>2.97356332385335E-005</v>
      </c>
      <c r="W195" s="39" t="n">
        <f aca="false">MY_PH(W$2,$A195)</f>
        <v>2.97376520551703E-005</v>
      </c>
      <c r="X195" s="39" t="n">
        <f aca="false">MY_PH(X$2,$A195)</f>
        <v>2.97396711061792E-005</v>
      </c>
      <c r="Y195" s="39" t="n">
        <f aca="false">MY_PH(Y$2,$A195)</f>
        <v>2.97598744517374E-005</v>
      </c>
      <c r="Z195" s="39" t="n">
        <f aca="false">MY_PH(Z$2,$A195)</f>
        <v>2.9780100960176E-005</v>
      </c>
      <c r="AA195" s="39" t="n">
        <f aca="false">MY_PH(AA$2,$A195)</f>
        <v>2.9800350383746E-005</v>
      </c>
      <c r="AB195" s="39" t="n">
        <f aca="false">MY_PH(AB$2,$A195)</f>
        <v>2.98206224763743E-005</v>
      </c>
      <c r="AC195" s="39" t="n">
        <f aca="false">MY_PH(AC$2,$A195)</f>
        <v>2.98409169936561E-005</v>
      </c>
      <c r="AD195" s="39" t="n">
        <f aca="false">MY_PH(AD$2,$A195)</f>
        <v>2.98612336928486E-005</v>
      </c>
      <c r="AE195" s="39" t="n">
        <f aca="false">MY_PH(AE$2,$A195)</f>
        <v>2.9881572332863E-005</v>
      </c>
      <c r="AF195" s="39" t="n">
        <f aca="false">MY_PH(AF$2,$A195)</f>
        <v>2.99019326742583E-005</v>
      </c>
      <c r="AG195" s="39" t="n">
        <f aca="false">MY_PH(AG$2,$A195)</f>
        <v>2.99223144792337E-005</v>
      </c>
      <c r="AH195" s="39" t="n">
        <f aca="false">MY_PH(AH$2,$A195)</f>
        <v>3.0127261868E-005</v>
      </c>
      <c r="AI195" s="39" t="n">
        <f aca="false">MY_PH(AI$2,$A195)</f>
        <v>3.03341059328816E-005</v>
      </c>
      <c r="AJ195" s="39" t="n">
        <f aca="false">MY_PH(AJ$2,$A195)</f>
        <v>3.05428800981752E-005</v>
      </c>
      <c r="AK195" s="39" t="n">
        <f aca="false">MY_PH(AK$2,$A195)</f>
        <v>3.07528686254087E-005</v>
      </c>
      <c r="AL195" s="39" t="n">
        <f aca="false">MY_PH(AL$2,$A195)</f>
        <v>3.09647149229256E-005</v>
      </c>
      <c r="AM195" s="39" t="n">
        <f aca="false">MY_PH(AM$2,$A195)</f>
        <v>3.11783186608652E-005</v>
      </c>
      <c r="AN195" s="39" t="n">
        <f aca="false">MY_PH(AN$2,$A195)</f>
        <v>3.13935857666402E-005</v>
      </c>
      <c r="AO195" s="39" t="n">
        <f aca="false">MY_PH(AO$2,$A195)</f>
        <v>3.16104276413832E-005</v>
      </c>
      <c r="AP195" s="39" t="n">
        <f aca="false">MY_PH(AP$2,$A195)</f>
        <v>3.18287604636906E-005</v>
      </c>
      <c r="AQ195" s="39" t="n">
        <f aca="false">MY_PH(AQ$2,$A195)</f>
        <v>3.4078044376242E-005</v>
      </c>
      <c r="AR195" s="39" t="n">
        <f aca="false">MY_PH(AR$2,$A195)</f>
        <v>3.45536953316094E-005</v>
      </c>
      <c r="AS195" s="39" t="n">
        <f aca="false">MY_PH(AS$2,$A195)</f>
        <v>3.4770342325613E-005</v>
      </c>
    </row>
    <row r="196" customFormat="false" ht="13.8" hidden="false" customHeight="false" outlineLevel="0" collapsed="false">
      <c r="A196" s="0" t="n">
        <v>3560</v>
      </c>
      <c r="B196" s="39" t="n">
        <f aca="false">MY_PH(B$2,$A196)</f>
        <v>2.99082382613899E-005</v>
      </c>
      <c r="C196" s="39" t="n">
        <f aca="false">MY_PH(C$2,$A196)</f>
        <v>2.9908258217576E-005</v>
      </c>
      <c r="D196" s="39" t="n">
        <f aca="false">MY_PH(D$2,$A196)</f>
        <v>2.99082781737854E-005</v>
      </c>
      <c r="E196" s="39" t="n">
        <f aca="false">MY_PH(E$2,$A196)</f>
        <v>2.9908298130018E-005</v>
      </c>
      <c r="F196" s="39" t="n">
        <f aca="false">MY_PH(F$2,$A196)</f>
        <v>2.9908318086274E-005</v>
      </c>
      <c r="G196" s="39" t="n">
        <f aca="false">MY_PH(G$2,$A196)</f>
        <v>2.99085176501121E-005</v>
      </c>
      <c r="H196" s="39" t="n">
        <f aca="false">MY_PH(H$2,$A196)</f>
        <v>2.99087172162756E-005</v>
      </c>
      <c r="I196" s="39" t="n">
        <f aca="false">MY_PH(I$2,$A196)</f>
        <v>2.99089167847644E-005</v>
      </c>
      <c r="J196" s="39" t="n">
        <f aca="false">MY_PH(J$2,$A196)</f>
        <v>2.99091163555781E-005</v>
      </c>
      <c r="K196" s="39" t="n">
        <f aca="false">MY_PH(K$2,$A196)</f>
        <v>2.99093159287165E-005</v>
      </c>
      <c r="L196" s="39" t="n">
        <f aca="false">MY_PH(L$2,$A196)</f>
        <v>2.99095155041795E-005</v>
      </c>
      <c r="M196" s="39" t="n">
        <f aca="false">MY_PH(M$2,$A196)</f>
        <v>2.99097150819666E-005</v>
      </c>
      <c r="N196" s="39" t="n">
        <f aca="false">MY_PH(N$2,$A196)</f>
        <v>2.99099146620778E-005</v>
      </c>
      <c r="O196" s="39" t="n">
        <f aca="false">MY_PH(O$2,$A196)</f>
        <v>2.99101142445128E-005</v>
      </c>
      <c r="P196" s="39" t="n">
        <f aca="false">MY_PH(P$2,$A196)</f>
        <v>2.99121101966172E-005</v>
      </c>
      <c r="Q196" s="39" t="n">
        <f aca="false">MY_PH(Q$2,$A196)</f>
        <v>2.99141063808356E-005</v>
      </c>
      <c r="R196" s="39" t="n">
        <f aca="false">MY_PH(R$2,$A196)</f>
        <v>2.9916102796929E-005</v>
      </c>
      <c r="S196" s="39" t="n">
        <f aca="false">MY_PH(S$2,$A196)</f>
        <v>2.99180994446587E-005</v>
      </c>
      <c r="T196" s="39" t="n">
        <f aca="false">MY_PH(T$2,$A196)</f>
        <v>2.99200963237859E-005</v>
      </c>
      <c r="U196" s="39" t="n">
        <f aca="false">MY_PH(U$2,$A196)</f>
        <v>2.99220934340722E-005</v>
      </c>
      <c r="V196" s="39" t="n">
        <f aca="false">MY_PH(V$2,$A196)</f>
        <v>2.99240907752791E-005</v>
      </c>
      <c r="W196" s="39" t="n">
        <f aca="false">MY_PH(W$2,$A196)</f>
        <v>2.99260883471685E-005</v>
      </c>
      <c r="X196" s="39" t="n">
        <f aca="false">MY_PH(X$2,$A196)</f>
        <v>2.99280861495024E-005</v>
      </c>
      <c r="Y196" s="39" t="n">
        <f aca="false">MY_PH(Y$2,$A196)</f>
        <v>2.9948076795026E-005</v>
      </c>
      <c r="Z196" s="39" t="n">
        <f aca="false">MY_PH(Z$2,$A196)</f>
        <v>2.99680902242957E-005</v>
      </c>
      <c r="AA196" s="39" t="n">
        <f aca="false">MY_PH(AA$2,$A196)</f>
        <v>2.99881262018228E-005</v>
      </c>
      <c r="AB196" s="39" t="n">
        <f aca="false">MY_PH(AB$2,$A196)</f>
        <v>3.00081844936597E-005</v>
      </c>
      <c r="AC196" s="39" t="n">
        <f aca="false">MY_PH(AC$2,$A196)</f>
        <v>3.00282648673938E-005</v>
      </c>
      <c r="AD196" s="39" t="n">
        <f aca="false">MY_PH(AD$2,$A196)</f>
        <v>3.00483670921405E-005</v>
      </c>
      <c r="AE196" s="39" t="n">
        <f aca="false">MY_PH(AE$2,$A196)</f>
        <v>3.00684909385368E-005</v>
      </c>
      <c r="AF196" s="39" t="n">
        <f aca="false">MY_PH(AF$2,$A196)</f>
        <v>3.00886361787346E-005</v>
      </c>
      <c r="AG196" s="39" t="n">
        <f aca="false">MY_PH(AG$2,$A196)</f>
        <v>3.01088025863941E-005</v>
      </c>
      <c r="AH196" s="39" t="n">
        <f aca="false">MY_PH(AH$2,$A196)</f>
        <v>3.0311582143418E-005</v>
      </c>
      <c r="AI196" s="39" t="n">
        <f aca="false">MY_PH(AI$2,$A196)</f>
        <v>3.05162404097922E-005</v>
      </c>
      <c r="AJ196" s="39" t="n">
        <f aca="false">MY_PH(AJ$2,$A196)</f>
        <v>3.07228157240877E-005</v>
      </c>
      <c r="AK196" s="39" t="n">
        <f aca="false">MY_PH(AK$2,$A196)</f>
        <v>3.09305969866137E-005</v>
      </c>
      <c r="AL196" s="39" t="n">
        <f aca="false">MY_PH(AL$2,$A196)</f>
        <v>3.114022647881E-005</v>
      </c>
      <c r="AM196" s="39" t="n">
        <f aca="false">MY_PH(AM$2,$A196)</f>
        <v>3.13516062802623E-005</v>
      </c>
      <c r="AN196" s="39" t="n">
        <f aca="false">MY_PH(AN$2,$A196)</f>
        <v>3.15646443695557E-005</v>
      </c>
      <c r="AO196" s="39" t="n">
        <f aca="false">MY_PH(AO$2,$A196)</f>
        <v>3.17792539013039E-005</v>
      </c>
      <c r="AP196" s="39" t="n">
        <f aca="false">MY_PH(AP$2,$A196)</f>
        <v>3.19953525624836E-005</v>
      </c>
      <c r="AQ196" s="39" t="n">
        <f aca="false">MY_PH(AQ$2,$A196)</f>
        <v>3.42224244201408E-005</v>
      </c>
      <c r="AR196" s="39" t="n">
        <f aca="false">MY_PH(AR$2,$A196)</f>
        <v>3.46935629070715E-005</v>
      </c>
      <c r="AS196" s="39" t="n">
        <f aca="false">MY_PH(AS$2,$A196)</f>
        <v>3.49081755875708E-005</v>
      </c>
    </row>
    <row r="197" customFormat="false" ht="13.8" hidden="false" customHeight="false" outlineLevel="0" collapsed="false">
      <c r="A197" s="0" t="n">
        <v>3570</v>
      </c>
      <c r="B197" s="39" t="n">
        <f aca="false">MY_PH(B$2,$A197)</f>
        <v>3.00963863331252E-005</v>
      </c>
      <c r="C197" s="39" t="n">
        <f aca="false">MY_PH(C$2,$A197)</f>
        <v>3.00964060806523E-005</v>
      </c>
      <c r="D197" s="39" t="n">
        <f aca="false">MY_PH(D$2,$A197)</f>
        <v>3.00964258282023E-005</v>
      </c>
      <c r="E197" s="39" t="n">
        <f aca="false">MY_PH(E$2,$A197)</f>
        <v>3.00964455757752E-005</v>
      </c>
      <c r="F197" s="39" t="n">
        <f aca="false">MY_PH(F$2,$A197)</f>
        <v>3.00964653233709E-005</v>
      </c>
      <c r="G197" s="39" t="n">
        <f aca="false">MY_PH(G$2,$A197)</f>
        <v>3.00966628005862E-005</v>
      </c>
      <c r="H197" s="39" t="n">
        <f aca="false">MY_PH(H$2,$A197)</f>
        <v>3.00968602800882E-005</v>
      </c>
      <c r="I197" s="39" t="n">
        <f aca="false">MY_PH(I$2,$A197)</f>
        <v>3.00970577618768E-005</v>
      </c>
      <c r="J197" s="39" t="n">
        <f aca="false">MY_PH(J$2,$A197)</f>
        <v>3.00972552459518E-005</v>
      </c>
      <c r="K197" s="39" t="n">
        <f aca="false">MY_PH(K$2,$A197)</f>
        <v>3.00974527323129E-005</v>
      </c>
      <c r="L197" s="39" t="n">
        <f aca="false">MY_PH(L$2,$A197)</f>
        <v>3.00976502209599E-005</v>
      </c>
      <c r="M197" s="39" t="n">
        <f aca="false">MY_PH(M$2,$A197)</f>
        <v>3.00978477118926E-005</v>
      </c>
      <c r="N197" s="39" t="n">
        <f aca="false">MY_PH(N$2,$A197)</f>
        <v>3.00980452051107E-005</v>
      </c>
      <c r="O197" s="39" t="n">
        <f aca="false">MY_PH(O$2,$A197)</f>
        <v>3.0098242700614E-005</v>
      </c>
      <c r="P197" s="39" t="n">
        <f aca="false">MY_PH(P$2,$A197)</f>
        <v>3.01002177812845E-005</v>
      </c>
      <c r="Q197" s="39" t="n">
        <f aca="false">MY_PH(Q$2,$A197)</f>
        <v>3.01021930902269E-005</v>
      </c>
      <c r="R197" s="39" t="n">
        <f aca="false">MY_PH(R$2,$A197)</f>
        <v>3.01041686272141E-005</v>
      </c>
      <c r="S197" s="39" t="n">
        <f aca="false">MY_PH(S$2,$A197)</f>
        <v>3.01061443920189E-005</v>
      </c>
      <c r="T197" s="39" t="n">
        <f aca="false">MY_PH(T$2,$A197)</f>
        <v>3.01081203844146E-005</v>
      </c>
      <c r="U197" s="39" t="n">
        <f aca="false">MY_PH(U$2,$A197)</f>
        <v>3.01100966041744E-005</v>
      </c>
      <c r="V197" s="39" t="n">
        <f aca="false">MY_PH(V$2,$A197)</f>
        <v>3.01120730510717E-005</v>
      </c>
      <c r="W197" s="39" t="n">
        <f aca="false">MY_PH(W$2,$A197)</f>
        <v>3.01140497248801E-005</v>
      </c>
      <c r="X197" s="39" t="n">
        <f aca="false">MY_PH(X$2,$A197)</f>
        <v>3.01160266253734E-005</v>
      </c>
      <c r="Y197" s="39" t="n">
        <f aca="false">MY_PH(Y$2,$A197)</f>
        <v>3.01358080482862E-005</v>
      </c>
      <c r="Z197" s="39" t="n">
        <f aca="false">MY_PH(Z$2,$A197)</f>
        <v>3.01556118918128E-005</v>
      </c>
      <c r="AA197" s="39" t="n">
        <f aca="false">MY_PH(AA$2,$A197)</f>
        <v>3.01754379320102E-005</v>
      </c>
      <c r="AB197" s="39" t="n">
        <f aca="false">MY_PH(AB$2,$A197)</f>
        <v>3.01952859463551E-005</v>
      </c>
      <c r="AC197" s="39" t="n">
        <f aca="false">MY_PH(AC$2,$A197)</f>
        <v>3.02151557137376E-005</v>
      </c>
      <c r="AD197" s="39" t="n">
        <f aca="false">MY_PH(AD$2,$A197)</f>
        <v>3.0235047014455E-005</v>
      </c>
      <c r="AE197" s="39" t="n">
        <f aca="false">MY_PH(AE$2,$A197)</f>
        <v>3.02549596302057E-005</v>
      </c>
      <c r="AF197" s="39" t="n">
        <f aca="false">MY_PH(AF$2,$A197)</f>
        <v>3.02748933440827E-005</v>
      </c>
      <c r="AG197" s="39" t="n">
        <f aca="false">MY_PH(AG$2,$A197)</f>
        <v>3.02948479405676E-005</v>
      </c>
      <c r="AH197" s="39" t="n">
        <f aca="false">MY_PH(AH$2,$A197)</f>
        <v>3.04954960149332E-005</v>
      </c>
      <c r="AI197" s="39" t="n">
        <f aca="false">MY_PH(AI$2,$A197)</f>
        <v>3.06980053455461E-005</v>
      </c>
      <c r="AJ197" s="39" t="n">
        <f aca="false">MY_PH(AJ$2,$A197)</f>
        <v>3.09024190466246E-005</v>
      </c>
      <c r="AK197" s="39" t="n">
        <f aca="false">MY_PH(AK$2,$A197)</f>
        <v>3.11080315561132E-005</v>
      </c>
      <c r="AL197" s="39" t="n">
        <f aca="false">MY_PH(AL$2,$A197)</f>
        <v>3.13154823690741E-005</v>
      </c>
      <c r="AM197" s="39" t="n">
        <f aca="false">MY_PH(AM$2,$A197)</f>
        <v>3.15246759143325E-005</v>
      </c>
      <c r="AN197" s="39" t="n">
        <f aca="false">MY_PH(AN$2,$A197)</f>
        <v>3.17355221816231E-005</v>
      </c>
      <c r="AO197" s="39" t="n">
        <f aca="false">MY_PH(AO$2,$A197)</f>
        <v>3.19479360543856E-005</v>
      </c>
      <c r="AP197" s="39" t="n">
        <f aca="false">MY_PH(AP$2,$A197)</f>
        <v>3.21618367146944E-005</v>
      </c>
      <c r="AQ197" s="39" t="n">
        <f aca="false">MY_PH(AQ$2,$A197)</f>
        <v>3.43670295867399E-005</v>
      </c>
      <c r="AR197" s="39" t="n">
        <f aca="false">MY_PH(AR$2,$A197)</f>
        <v>3.4833718053995E-005</v>
      </c>
      <c r="AS197" s="39" t="n">
        <f aca="false">MY_PH(AS$2,$A197)</f>
        <v>3.50463240274137E-005</v>
      </c>
    </row>
    <row r="198" customFormat="false" ht="13.8" hidden="false" customHeight="false" outlineLevel="0" collapsed="false">
      <c r="A198" s="0" t="n">
        <v>3580</v>
      </c>
      <c r="B198" s="39" t="n">
        <f aca="false">MY_PH(B$2,$A198)</f>
        <v>3.02840556438693E-005</v>
      </c>
      <c r="C198" s="39" t="n">
        <f aca="false">MY_PH(C$2,$A198)</f>
        <v>3.02840751860855E-005</v>
      </c>
      <c r="D198" s="39" t="n">
        <f aca="false">MY_PH(D$2,$A198)</f>
        <v>3.02840947283243E-005</v>
      </c>
      <c r="E198" s="39" t="n">
        <f aca="false">MY_PH(E$2,$A198)</f>
        <v>3.02841142705855E-005</v>
      </c>
      <c r="F198" s="39" t="n">
        <f aca="false">MY_PH(F$2,$A198)</f>
        <v>3.02841338128693E-005</v>
      </c>
      <c r="G198" s="39" t="n">
        <f aca="false">MY_PH(G$2,$A198)</f>
        <v>3.02843292369442E-005</v>
      </c>
      <c r="H198" s="39" t="n">
        <f aca="false">MY_PH(H$2,$A198)</f>
        <v>3.02845246632689E-005</v>
      </c>
      <c r="I198" s="39" t="n">
        <f aca="false">MY_PH(I$2,$A198)</f>
        <v>3.02847200918434E-005</v>
      </c>
      <c r="J198" s="39" t="n">
        <f aca="false">MY_PH(J$2,$A198)</f>
        <v>3.02849155226673E-005</v>
      </c>
      <c r="K198" s="39" t="n">
        <f aca="false">MY_PH(K$2,$A198)</f>
        <v>3.02851109557404E-005</v>
      </c>
      <c r="L198" s="39" t="n">
        <f aca="false">MY_PH(L$2,$A198)</f>
        <v>3.02853063910626E-005</v>
      </c>
      <c r="M198" s="39" t="n">
        <f aca="false">MY_PH(M$2,$A198)</f>
        <v>3.02855018286335E-005</v>
      </c>
      <c r="N198" s="39" t="n">
        <f aca="false">MY_PH(N$2,$A198)</f>
        <v>3.0285697268453E-005</v>
      </c>
      <c r="O198" s="39" t="n">
        <f aca="false">MY_PH(O$2,$A198)</f>
        <v>3.02858927105208E-005</v>
      </c>
      <c r="P198" s="39" t="n">
        <f aca="false">MY_PH(P$2,$A198)</f>
        <v>3.02878472548119E-005</v>
      </c>
      <c r="Q198" s="39" t="n">
        <f aca="false">MY_PH(Q$2,$A198)</f>
        <v>3.02898020237014E-005</v>
      </c>
      <c r="R198" s="39" t="n">
        <f aca="false">MY_PH(R$2,$A198)</f>
        <v>3.02917570169735E-005</v>
      </c>
      <c r="S198" s="39" t="n">
        <f aca="false">MY_PH(S$2,$A198)</f>
        <v>3.0293712234412E-005</v>
      </c>
      <c r="T198" s="39" t="n">
        <f aca="false">MY_PH(T$2,$A198)</f>
        <v>3.02956676758014E-005</v>
      </c>
      <c r="U198" s="39" t="n">
        <f aca="false">MY_PH(U$2,$A198)</f>
        <v>3.02976233409259E-005</v>
      </c>
      <c r="V198" s="39" t="n">
        <f aca="false">MY_PH(V$2,$A198)</f>
        <v>3.02995792295701E-005</v>
      </c>
      <c r="W198" s="39" t="n">
        <f aca="false">MY_PH(W$2,$A198)</f>
        <v>3.03015353415186E-005</v>
      </c>
      <c r="X198" s="39" t="n">
        <f aca="false">MY_PH(X$2,$A198)</f>
        <v>3.03034916765561E-005</v>
      </c>
      <c r="Y198" s="39" t="n">
        <f aca="false">MY_PH(Y$2,$A198)</f>
        <v>3.03230672495722E-005</v>
      </c>
      <c r="Z198" s="39" t="n">
        <f aca="false">MY_PH(Z$2,$A198)</f>
        <v>3.0342664895713E-005</v>
      </c>
      <c r="AA198" s="39" t="n">
        <f aca="false">MY_PH(AA$2,$A198)</f>
        <v>3.03622844019136E-005</v>
      </c>
      <c r="AB198" s="39" t="n">
        <f aca="false">MY_PH(AB$2,$A198)</f>
        <v>3.03819255564181E-005</v>
      </c>
      <c r="AC198" s="39" t="n">
        <f aca="false">MY_PH(AC$2,$A198)</f>
        <v>3.04015881487739E-005</v>
      </c>
      <c r="AD198" s="39" t="n">
        <f aca="false">MY_PH(AD$2,$A198)</f>
        <v>3.04212719698255E-005</v>
      </c>
      <c r="AE198" s="39" t="n">
        <f aca="false">MY_PH(AE$2,$A198)</f>
        <v>3.04409768117091E-005</v>
      </c>
      <c r="AF198" s="39" t="n">
        <f aca="false">MY_PH(AF$2,$A198)</f>
        <v>3.04607024678467E-005</v>
      </c>
      <c r="AG198" s="39" t="n">
        <f aca="false">MY_PH(AG$2,$A198)</f>
        <v>3.04804487329401E-005</v>
      </c>
      <c r="AH198" s="39" t="n">
        <f aca="false">MY_PH(AH$2,$A198)</f>
        <v>3.06790006140794E-005</v>
      </c>
      <c r="AI198" s="39" t="n">
        <f aca="false">MY_PH(AI$2,$A198)</f>
        <v>3.08793968376539E-005</v>
      </c>
      <c r="AJ198" s="39" t="n">
        <f aca="false">MY_PH(AJ$2,$A198)</f>
        <v>3.10816852564481E-005</v>
      </c>
      <c r="AK198" s="39" t="n">
        <f aca="false">MY_PH(AK$2,$A198)</f>
        <v>3.12851664263277E-005</v>
      </c>
      <c r="AL198" s="39" t="n">
        <f aca="false">MY_PH(AL$2,$A198)</f>
        <v>3.14904756369671E-005</v>
      </c>
      <c r="AM198" s="39" t="n">
        <f aca="false">MY_PH(AM$2,$A198)</f>
        <v>3.16975196069182E-005</v>
      </c>
      <c r="AN198" s="39" t="n">
        <f aca="false">MY_PH(AN$2,$A198)</f>
        <v>3.1906210296561E-005</v>
      </c>
      <c r="AO198" s="39" t="n">
        <f aca="false">MY_PH(AO$2,$A198)</f>
        <v>3.21164642922498E-005</v>
      </c>
      <c r="AP198" s="39" t="n">
        <f aca="false">MY_PH(AP$2,$A198)</f>
        <v>3.23282022561516E-005</v>
      </c>
      <c r="AQ198" s="39" t="n">
        <f aca="false">MY_PH(AQ$2,$A198)</f>
        <v>3.45118428067691E-005</v>
      </c>
      <c r="AR198" s="39" t="n">
        <f aca="false">MY_PH(AR$2,$A198)</f>
        <v>3.49741427999287E-005</v>
      </c>
      <c r="AS198" s="39" t="n">
        <f aca="false">MY_PH(AS$2,$A198)</f>
        <v>3.51847693056964E-005</v>
      </c>
    </row>
    <row r="199" customFormat="false" ht="13.8" hidden="false" customHeight="false" outlineLevel="0" collapsed="false">
      <c r="A199" s="0" t="n">
        <v>3590</v>
      </c>
      <c r="B199" s="39" t="n">
        <f aca="false">MY_PH(B$2,$A199)</f>
        <v>3.04712455437752E-005</v>
      </c>
      <c r="C199" s="39" t="n">
        <f aca="false">MY_PH(C$2,$A199)</f>
        <v>3.04712648839296E-005</v>
      </c>
      <c r="D199" s="39" t="n">
        <f aca="false">MY_PH(D$2,$A199)</f>
        <v>3.04712842241062E-005</v>
      </c>
      <c r="E199" s="39" t="n">
        <f aca="false">MY_PH(E$2,$A199)</f>
        <v>3.04713035643048E-005</v>
      </c>
      <c r="F199" s="39" t="n">
        <f aca="false">MY_PH(F$2,$A199)</f>
        <v>3.04713229045257E-005</v>
      </c>
      <c r="G199" s="39" t="n">
        <f aca="false">MY_PH(G$2,$A199)</f>
        <v>3.04715163079521E-005</v>
      </c>
      <c r="H199" s="39" t="n">
        <f aca="false">MY_PH(H$2,$A199)</f>
        <v>3.04717097135931E-005</v>
      </c>
      <c r="I199" s="39" t="n">
        <f aca="false">MY_PH(I$2,$A199)</f>
        <v>3.04719031214485E-005</v>
      </c>
      <c r="J199" s="39" t="n">
        <f aca="false">MY_PH(J$2,$A199)</f>
        <v>3.04720965315181E-005</v>
      </c>
      <c r="K199" s="39" t="n">
        <f aca="false">MY_PH(K$2,$A199)</f>
        <v>3.04722899438017E-005</v>
      </c>
      <c r="L199" s="39" t="n">
        <f aca="false">MY_PH(L$2,$A199)</f>
        <v>3.0472483358299E-005</v>
      </c>
      <c r="M199" s="39" t="n">
        <f aca="false">MY_PH(M$2,$A199)</f>
        <v>3.04726767750099E-005</v>
      </c>
      <c r="N199" s="39" t="n">
        <f aca="false">MY_PH(N$2,$A199)</f>
        <v>3.04728701939342E-005</v>
      </c>
      <c r="O199" s="39" t="n">
        <f aca="false">MY_PH(O$2,$A199)</f>
        <v>3.04730636150716E-005</v>
      </c>
      <c r="P199" s="39" t="n">
        <f aca="false">MY_PH(P$2,$A199)</f>
        <v>3.04749979481244E-005</v>
      </c>
      <c r="Q199" s="39" t="n">
        <f aca="false">MY_PH(Q$2,$A199)</f>
        <v>3.04769325022665E-005</v>
      </c>
      <c r="R199" s="39" t="n">
        <f aca="false">MY_PH(R$2,$A199)</f>
        <v>3.04788672772926E-005</v>
      </c>
      <c r="S199" s="39" t="n">
        <f aca="false">MY_PH(S$2,$A199)</f>
        <v>3.04808022729972E-005</v>
      </c>
      <c r="T199" s="39" t="n">
        <f aca="false">MY_PH(T$2,$A199)</f>
        <v>3.0482737489175E-005</v>
      </c>
      <c r="U199" s="39" t="n">
        <f aca="false">MY_PH(U$2,$A199)</f>
        <v>3.04846729256207E-005</v>
      </c>
      <c r="V199" s="39" t="n">
        <f aca="false">MY_PH(V$2,$A199)</f>
        <v>3.04866085821295E-005</v>
      </c>
      <c r="W199" s="39" t="n">
        <f aca="false">MY_PH(W$2,$A199)</f>
        <v>3.04885444584962E-005</v>
      </c>
      <c r="X199" s="39" t="n">
        <f aca="false">MY_PH(X$2,$A199)</f>
        <v>3.0490480554516E-005</v>
      </c>
      <c r="Y199" s="39" t="n">
        <f aca="false">MY_PH(Y$2,$A199)</f>
        <v>3.05098535506675E-005</v>
      </c>
      <c r="Z199" s="39" t="n">
        <f aca="false">MY_PH(Z$2,$A199)</f>
        <v>3.05292482877427E-005</v>
      </c>
      <c r="AA199" s="39" t="n">
        <f aca="false">MY_PH(AA$2,$A199)</f>
        <v>3.05486645629294E-005</v>
      </c>
      <c r="AB199" s="39" t="n">
        <f aca="false">MY_PH(AB$2,$A199)</f>
        <v>3.05681021746241E-005</v>
      </c>
      <c r="AC199" s="39" t="n">
        <f aca="false">MY_PH(AC$2,$A199)</f>
        <v>3.05875609224259E-005</v>
      </c>
      <c r="AD199" s="39" t="n">
        <f aca="false">MY_PH(AD$2,$A199)</f>
        <v>3.06070406071314E-005</v>
      </c>
      <c r="AE199" s="39" t="n">
        <f aca="false">MY_PH(AE$2,$A199)</f>
        <v>3.06265410307294E-005</v>
      </c>
      <c r="AF199" s="39" t="n">
        <f aca="false">MY_PH(AF$2,$A199)</f>
        <v>3.06460619963949E-005</v>
      </c>
      <c r="AG199" s="39" t="n">
        <f aca="false">MY_PH(AG$2,$A199)</f>
        <v>3.06656033084841E-005</v>
      </c>
      <c r="AH199" s="39" t="n">
        <f aca="false">MY_PH(AH$2,$A199)</f>
        <v>3.08620932743881E-005</v>
      </c>
      <c r="AI199" s="39" t="n">
        <f aca="false">MY_PH(AI$2,$A199)</f>
        <v>3.10604112304755E-005</v>
      </c>
      <c r="AJ199" s="39" t="n">
        <f aca="false">MY_PH(AJ$2,$A199)</f>
        <v>3.12606098266661E-005</v>
      </c>
      <c r="AK199" s="39" t="n">
        <f aca="false">MY_PH(AK$2,$A199)</f>
        <v>3.146199601339E-005</v>
      </c>
      <c r="AL199" s="39" t="n">
        <f aca="false">MY_PH(AL$2,$A199)</f>
        <v>3.16651996865266E-005</v>
      </c>
      <c r="AM199" s="39" t="n">
        <f aca="false">MY_PH(AM$2,$A199)</f>
        <v>3.18701297956055E-005</v>
      </c>
      <c r="AN199" s="39" t="n">
        <f aca="false">MY_PH(AN$2,$A199)</f>
        <v>3.20767002308141E-005</v>
      </c>
      <c r="AO199" s="39" t="n">
        <f aca="false">MY_PH(AO$2,$A199)</f>
        <v>3.22848292544436E-005</v>
      </c>
      <c r="AP199" s="39" t="n">
        <f aca="false">MY_PH(AP$2,$A199)</f>
        <v>3.24944389922347E-005</v>
      </c>
      <c r="AQ199" s="39" t="n">
        <f aca="false">MY_PH(AQ$2,$A199)</f>
        <v>3.46568475394763E-005</v>
      </c>
      <c r="AR199" s="39" t="n">
        <f aca="false">MY_PH(AR$2,$A199)</f>
        <v>3.51148196850205E-005</v>
      </c>
      <c r="AS199" s="39" t="n">
        <f aca="false">MY_PH(AS$2,$A199)</f>
        <v>3.53234935859866E-005</v>
      </c>
    </row>
    <row r="200" customFormat="false" ht="13.8" hidden="false" customHeight="false" outlineLevel="0" collapsed="false">
      <c r="A200" s="0" t="n">
        <v>3600</v>
      </c>
      <c r="B200" s="39" t="n">
        <f aca="false">MY_PH(B$2,$A200)</f>
        <v>3.06579554830115E-005</v>
      </c>
      <c r="C200" s="39" t="n">
        <f aca="false">MY_PH(C$2,$A200)</f>
        <v>3.06579746242588E-005</v>
      </c>
      <c r="D200" s="39" t="n">
        <f aca="false">MY_PH(D$2,$A200)</f>
        <v>3.06579937655279E-005</v>
      </c>
      <c r="E200" s="39" t="n">
        <f aca="false">MY_PH(E$2,$A200)</f>
        <v>3.06580129068189E-005</v>
      </c>
      <c r="F200" s="39" t="n">
        <f aca="false">MY_PH(F$2,$A200)</f>
        <v>3.06580320481316E-005</v>
      </c>
      <c r="G200" s="39" t="n">
        <f aca="false">MY_PH(G$2,$A200)</f>
        <v>3.06582234624587E-005</v>
      </c>
      <c r="H200" s="39" t="n">
        <f aca="false">MY_PH(H$2,$A200)</f>
        <v>3.06584148789666E-005</v>
      </c>
      <c r="I200" s="39" t="n">
        <f aca="false">MY_PH(I$2,$A200)</f>
        <v>3.06586062976554E-005</v>
      </c>
      <c r="J200" s="39" t="n">
        <f aca="false">MY_PH(J$2,$A200)</f>
        <v>3.06587977185246E-005</v>
      </c>
      <c r="K200" s="39" t="n">
        <f aca="false">MY_PH(K$2,$A200)</f>
        <v>3.06589891415742E-005</v>
      </c>
      <c r="L200" s="39" t="n">
        <f aca="false">MY_PH(L$2,$A200)</f>
        <v>3.0659180566804E-005</v>
      </c>
      <c r="M200" s="39" t="n">
        <f aca="false">MY_PH(M$2,$A200)</f>
        <v>3.06593719942137E-005</v>
      </c>
      <c r="N200" s="39" t="n">
        <f aca="false">MY_PH(N$2,$A200)</f>
        <v>3.06595634238031E-005</v>
      </c>
      <c r="O200" s="39" t="n">
        <f aca="false">MY_PH(O$2,$A200)</f>
        <v>3.06597548555721E-005</v>
      </c>
      <c r="P200" s="39" t="n">
        <f aca="false">MY_PH(P$2,$A200)</f>
        <v>3.06616692930949E-005</v>
      </c>
      <c r="Q200" s="39" t="n">
        <f aca="false">MY_PH(Q$2,$A200)</f>
        <v>3.06635839483581E-005</v>
      </c>
      <c r="R200" s="39" t="n">
        <f aca="false">MY_PH(R$2,$A200)</f>
        <v>3.06654988211663E-005</v>
      </c>
      <c r="S200" s="39" t="n">
        <f aca="false">MY_PH(S$2,$A200)</f>
        <v>3.06674139113237E-005</v>
      </c>
      <c r="T200" s="39" t="n">
        <f aca="false">MY_PH(T$2,$A200)</f>
        <v>3.06693292186349E-005</v>
      </c>
      <c r="U200" s="39" t="n">
        <f aca="false">MY_PH(U$2,$A200)</f>
        <v>3.06712447429046E-005</v>
      </c>
      <c r="V200" s="39" t="n">
        <f aca="false">MY_PH(V$2,$A200)</f>
        <v>3.06731604839376E-005</v>
      </c>
      <c r="W200" s="39" t="n">
        <f aca="false">MY_PH(W$2,$A200)</f>
        <v>3.06750764415388E-005</v>
      </c>
      <c r="X200" s="39" t="n">
        <f aca="false">MY_PH(X$2,$A200)</f>
        <v>3.06769926155131E-005</v>
      </c>
      <c r="Y200" s="39" t="n">
        <f aca="false">MY_PH(Y$2,$A200)</f>
        <v>3.06961662129617E-005</v>
      </c>
      <c r="Z200" s="39" t="n">
        <f aca="false">MY_PH(Z$2,$A200)</f>
        <v>3.07153612340651E-005</v>
      </c>
      <c r="AA200" s="39" t="n">
        <f aca="false">MY_PH(AA$2,$A200)</f>
        <v>3.07345774856784E-005</v>
      </c>
      <c r="AB200" s="39" t="n">
        <f aca="false">MY_PH(AB$2,$A200)</f>
        <v>3.07538147757738E-005</v>
      </c>
      <c r="AC200" s="39" t="n">
        <f aca="false">MY_PH(AC$2,$A200)</f>
        <v>3.07730729134345E-005</v>
      </c>
      <c r="AD200" s="39" t="n">
        <f aca="false">MY_PH(AD$2,$A200)</f>
        <v>3.07923517088502E-005</v>
      </c>
      <c r="AE200" s="39" t="n">
        <f aca="false">MY_PH(AE$2,$A200)</f>
        <v>3.08116509733121E-005</v>
      </c>
      <c r="AF200" s="39" t="n">
        <f aca="false">MY_PH(AF$2,$A200)</f>
        <v>3.08309705192073E-005</v>
      </c>
      <c r="AG200" s="39" t="n">
        <f aca="false">MY_PH(AG$2,$A200)</f>
        <v>3.08503101600138E-005</v>
      </c>
      <c r="AH200" s="39" t="n">
        <f aca="false">MY_PH(AH$2,$A200)</f>
        <v>3.10447715230652E-005</v>
      </c>
      <c r="AI200" s="39" t="n">
        <f aca="false">MY_PH(AI$2,$A200)</f>
        <v>3.12410451044561E-005</v>
      </c>
      <c r="AJ200" s="39" t="n">
        <f aca="false">MY_PH(AJ$2,$A200)</f>
        <v>3.14391884980671E-005</v>
      </c>
      <c r="AK200" s="39" t="n">
        <f aca="false">MY_PH(AK$2,$A200)</f>
        <v>3.16385150407197E-005</v>
      </c>
      <c r="AL200" s="39" t="n">
        <f aca="false">MY_PH(AL$2,$A200)</f>
        <v>3.18396482648496E-005</v>
      </c>
      <c r="AM200" s="39" t="n">
        <f aca="false">MY_PH(AM$2,$A200)</f>
        <v>3.20424992930319E-005</v>
      </c>
      <c r="AN200" s="39" t="n">
        <f aca="false">MY_PH(AN$2,$A200)</f>
        <v>3.2246983904216E-005</v>
      </c>
      <c r="AO200" s="39" t="n">
        <f aca="false">MY_PH(AO$2,$A200)</f>
        <v>3.24530220087503E-005</v>
      </c>
      <c r="AP200" s="39" t="n">
        <f aca="false">MY_PH(AP$2,$A200)</f>
        <v>3.26605371780996E-005</v>
      </c>
      <c r="AQ200" s="39" t="n">
        <f aca="false">MY_PH(AQ$2,$A200)</f>
        <v>3.48020277616322E-005</v>
      </c>
      <c r="AR200" s="39" t="n">
        <f aca="false">MY_PH(AR$2,$A200)</f>
        <v>3.5255731753843E-005</v>
      </c>
      <c r="AS200" s="39" t="n">
        <f aca="false">MY_PH(AS$2,$A200)</f>
        <v>3.54624795279383E-005</v>
      </c>
    </row>
    <row r="201" customFormat="false" ht="13.8" hidden="false" customHeight="false" outlineLevel="0" collapsed="false">
      <c r="A201" s="0" t="n">
        <v>3610</v>
      </c>
      <c r="B201" s="39" t="n">
        <f aca="false">MY_PH(B$2,$A201)</f>
        <v>3.08441850081933E-005</v>
      </c>
      <c r="C201" s="39" t="n">
        <f aca="false">MY_PH(C$2,$A201)</f>
        <v>3.08442039535986E-005</v>
      </c>
      <c r="D201" s="39" t="n">
        <f aca="false">MY_PH(D$2,$A201)</f>
        <v>3.08442228990255E-005</v>
      </c>
      <c r="E201" s="39" t="n">
        <f aca="false">MY_PH(E$2,$A201)</f>
        <v>3.08442418444738E-005</v>
      </c>
      <c r="F201" s="39" t="n">
        <f aca="false">MY_PH(F$2,$A201)</f>
        <v>3.08442607899436E-005</v>
      </c>
      <c r="G201" s="39" t="n">
        <f aca="false">MY_PH(G$2,$A201)</f>
        <v>3.08444502458237E-005</v>
      </c>
      <c r="H201" s="39" t="n">
        <f aca="false">MY_PH(H$2,$A201)</f>
        <v>3.08446397038527E-005</v>
      </c>
      <c r="I201" s="39" t="n">
        <f aca="false">MY_PH(I$2,$A201)</f>
        <v>3.08448291640303E-005</v>
      </c>
      <c r="J201" s="39" t="n">
        <f aca="false">MY_PH(J$2,$A201)</f>
        <v>3.08450186263564E-005</v>
      </c>
      <c r="K201" s="39" t="n">
        <f aca="false">MY_PH(K$2,$A201)</f>
        <v>3.08452080908307E-005</v>
      </c>
      <c r="L201" s="39" t="n">
        <f aca="false">MY_PH(L$2,$A201)</f>
        <v>3.08453975574531E-005</v>
      </c>
      <c r="M201" s="39" t="n">
        <f aca="false">MY_PH(M$2,$A201)</f>
        <v>3.08455870262234E-005</v>
      </c>
      <c r="N201" s="39" t="n">
        <f aca="false">MY_PH(N$2,$A201)</f>
        <v>3.08457764971414E-005</v>
      </c>
      <c r="O201" s="39" t="n">
        <f aca="false">MY_PH(O$2,$A201)</f>
        <v>3.0845965970207E-005</v>
      </c>
      <c r="P201" s="39" t="n">
        <f aca="false">MY_PH(P$2,$A201)</f>
        <v>3.08478608189353E-005</v>
      </c>
      <c r="Q201" s="39" t="n">
        <f aca="false">MY_PH(Q$2,$A201)</f>
        <v>3.0849755882211E-005</v>
      </c>
      <c r="R201" s="39" t="n">
        <f aca="false">MY_PH(R$2,$A201)</f>
        <v>3.08516511598477E-005</v>
      </c>
      <c r="S201" s="39" t="n">
        <f aca="false">MY_PH(S$2,$A201)</f>
        <v>3.08535466516592E-005</v>
      </c>
      <c r="T201" s="39" t="n">
        <f aca="false">MY_PH(T$2,$A201)</f>
        <v>3.08554423574593E-005</v>
      </c>
      <c r="U201" s="39" t="n">
        <f aca="false">MY_PH(U$2,$A201)</f>
        <v>3.08573382770619E-005</v>
      </c>
      <c r="V201" s="39" t="n">
        <f aca="false">MY_PH(V$2,$A201)</f>
        <v>3.08592344102811E-005</v>
      </c>
      <c r="W201" s="39" t="n">
        <f aca="false">MY_PH(W$2,$A201)</f>
        <v>3.08611307569311E-005</v>
      </c>
      <c r="X201" s="39" t="n">
        <f aca="false">MY_PH(X$2,$A201)</f>
        <v>3.0863027316826E-005</v>
      </c>
      <c r="Y201" s="39" t="n">
        <f aca="false">MY_PH(Y$2,$A201)</f>
        <v>3.08820046034628E-005</v>
      </c>
      <c r="Z201" s="39" t="n">
        <f aca="false">MY_PH(Z$2,$A201)</f>
        <v>3.09010030110592E-005</v>
      </c>
      <c r="AA201" s="39" t="n">
        <f aca="false">MY_PH(AA$2,$A201)</f>
        <v>3.09200223555891E-005</v>
      </c>
      <c r="AB201" s="39" t="n">
        <f aca="false">MY_PH(AB$2,$A201)</f>
        <v>3.09390624540592E-005</v>
      </c>
      <c r="AC201" s="39" t="n">
        <f aca="false">MY_PH(AC$2,$A201)</f>
        <v>3.09581231245044E-005</v>
      </c>
      <c r="AD201" s="39" t="n">
        <f aca="false">MY_PH(AD$2,$A201)</f>
        <v>3.09772041859827E-005</v>
      </c>
      <c r="AE201" s="39" t="n">
        <f aca="false">MY_PH(AE$2,$A201)</f>
        <v>3.09963054585703E-005</v>
      </c>
      <c r="AF201" s="39" t="n">
        <f aca="false">MY_PH(AF$2,$A201)</f>
        <v>3.10154267633574E-005</v>
      </c>
      <c r="AG201" s="39" t="n">
        <f aca="false">MY_PH(AG$2,$A201)</f>
        <v>3.10345679224426E-005</v>
      </c>
      <c r="AH201" s="39" t="n">
        <f aca="false">MY_PH(AH$2,$A201)</f>
        <v>3.12270330729852E-005</v>
      </c>
      <c r="AI201" s="39" t="n">
        <f aca="false">MY_PH(AI$2,$A201)</f>
        <v>3.14212952658294E-005</v>
      </c>
      <c r="AJ201" s="39" t="n">
        <f aca="false">MY_PH(AJ$2,$A201)</f>
        <v>3.16174172651608E-005</v>
      </c>
      <c r="AK201" s="39" t="n">
        <f aca="false">MY_PH(AK$2,$A201)</f>
        <v>3.1814718523433E-005</v>
      </c>
      <c r="AL201" s="39" t="n">
        <f aca="false">MY_PH(AL$2,$A201)</f>
        <v>3.20138154451986E-005</v>
      </c>
      <c r="AM201" s="39" t="n">
        <f aca="false">MY_PH(AM$2,$A201)</f>
        <v>3.22146212690061E-005</v>
      </c>
      <c r="AN201" s="39" t="n">
        <f aca="false">MY_PH(AN$2,$A201)</f>
        <v>3.24170536214181E-005</v>
      </c>
      <c r="AO201" s="39" t="n">
        <f aca="false">MY_PH(AO$2,$A201)</f>
        <v>3.2621034032204E-005</v>
      </c>
      <c r="AP201" s="39" t="n">
        <f aca="false">MY_PH(AP$2,$A201)</f>
        <v>3.28264874995305E-005</v>
      </c>
      <c r="AQ201" s="39" t="n">
        <f aca="false">MY_PH(AQ$2,$A201)</f>
        <v>3.49473679563167E-005</v>
      </c>
      <c r="AR201" s="39" t="n">
        <f aca="false">MY_PH(AR$2,$A201)</f>
        <v>3.53968625469686E-005</v>
      </c>
      <c r="AS201" s="39" t="n">
        <f aca="false">MY_PH(AS$2,$A201)</f>
        <v>3.56017102801346E-005</v>
      </c>
    </row>
    <row r="202" customFormat="false" ht="13.8" hidden="false" customHeight="false" outlineLevel="0" collapsed="false">
      <c r="A202" s="0" t="n">
        <v>3620</v>
      </c>
      <c r="B202" s="39" t="n">
        <f aca="false">MY_PH(B$2,$A202)</f>
        <v>3.10299337589348E-005</v>
      </c>
      <c r="C202" s="39" t="n">
        <f aca="false">MY_PH(C$2,$A202)</f>
        <v>3.1029952511478E-005</v>
      </c>
      <c r="D202" s="39" t="n">
        <f aca="false">MY_PH(D$2,$A202)</f>
        <v>3.10299712640424E-005</v>
      </c>
      <c r="E202" s="39" t="n">
        <f aca="false">MY_PH(E$2,$A202)</f>
        <v>3.1029990016628E-005</v>
      </c>
      <c r="F202" s="39" t="n">
        <f aca="false">MY_PH(F$2,$A202)</f>
        <v>3.10300087692348E-005</v>
      </c>
      <c r="G202" s="39" t="n">
        <f aca="false">MY_PH(G$2,$A202)</f>
        <v>3.10301962964677E-005</v>
      </c>
      <c r="H202" s="39" t="n">
        <f aca="false">MY_PH(H$2,$A202)</f>
        <v>3.10303838258188E-005</v>
      </c>
      <c r="I202" s="39" t="n">
        <f aca="false">MY_PH(I$2,$A202)</f>
        <v>3.1030571357288E-005</v>
      </c>
      <c r="J202" s="39" t="n">
        <f aca="false">MY_PH(J$2,$A202)</f>
        <v>3.10307588908751E-005</v>
      </c>
      <c r="K202" s="39" t="n">
        <f aca="false">MY_PH(K$2,$A202)</f>
        <v>3.103094642658E-005</v>
      </c>
      <c r="L202" s="39" t="n">
        <f aca="false">MY_PH(L$2,$A202)</f>
        <v>3.10311339644024E-005</v>
      </c>
      <c r="M202" s="39" t="n">
        <f aca="false">MY_PH(M$2,$A202)</f>
        <v>3.10313215043421E-005</v>
      </c>
      <c r="N202" s="39" t="n">
        <f aca="false">MY_PH(N$2,$A202)</f>
        <v>3.10315090463991E-005</v>
      </c>
      <c r="O202" s="39" t="n">
        <f aca="false">MY_PH(O$2,$A202)</f>
        <v>3.1031696590573E-005</v>
      </c>
      <c r="P202" s="39" t="n">
        <f aca="false">MY_PH(P$2,$A202)</f>
        <v>3.10335721487092E-005</v>
      </c>
      <c r="Q202" s="39" t="n">
        <f aca="false">MY_PH(Q$2,$A202)</f>
        <v>3.10354479183512E-005</v>
      </c>
      <c r="R202" s="39" t="n">
        <f aca="false">MY_PH(R$2,$A202)</f>
        <v>3.10373238993213E-005</v>
      </c>
      <c r="S202" s="39" t="n">
        <f aca="false">MY_PH(S$2,$A202)</f>
        <v>3.10392000914422E-005</v>
      </c>
      <c r="T202" s="39" t="n">
        <f aca="false">MY_PH(T$2,$A202)</f>
        <v>3.10410764945364E-005</v>
      </c>
      <c r="U202" s="39" t="n">
        <f aca="false">MY_PH(U$2,$A202)</f>
        <v>3.10429531084266E-005</v>
      </c>
      <c r="V202" s="39" t="n">
        <f aca="false">MY_PH(V$2,$A202)</f>
        <v>3.10448299329356E-005</v>
      </c>
      <c r="W202" s="39" t="n">
        <f aca="false">MY_PH(W$2,$A202)</f>
        <v>3.10467069678863E-005</v>
      </c>
      <c r="X202" s="39" t="n">
        <f aca="false">MY_PH(X$2,$A202)</f>
        <v>3.10485842131018E-005</v>
      </c>
      <c r="Y202" s="39" t="n">
        <f aca="false">MY_PH(Y$2,$A202)</f>
        <v>3.10673681909412E-005</v>
      </c>
      <c r="Z202" s="39" t="n">
        <f aca="false">MY_PH(Z$2,$A202)</f>
        <v>3.10861730012561E-005</v>
      </c>
      <c r="AA202" s="39" t="n">
        <f aca="false">MY_PH(AA$2,$A202)</f>
        <v>3.11049984686244E-005</v>
      </c>
      <c r="AB202" s="39" t="n">
        <f aca="false">MY_PH(AB$2,$A202)</f>
        <v>3.11238444185802E-005</v>
      </c>
      <c r="AC202" s="39" t="n">
        <f aca="false">MY_PH(AC$2,$A202)</f>
        <v>3.11427106776093E-005</v>
      </c>
      <c r="AD202" s="39" t="n">
        <f aca="false">MY_PH(AD$2,$A202)</f>
        <v>3.11615970731446E-005</v>
      </c>
      <c r="AE202" s="39" t="n">
        <f aca="false">MY_PH(AE$2,$A202)</f>
        <v>3.11805034335618E-005</v>
      </c>
      <c r="AF202" s="39" t="n">
        <f aca="false">MY_PH(AF$2,$A202)</f>
        <v>3.11994295881745E-005</v>
      </c>
      <c r="AG202" s="39" t="n">
        <f aca="false">MY_PH(AG$2,$A202)</f>
        <v>3.121837536723E-005</v>
      </c>
      <c r="AH202" s="39" t="n">
        <f aca="false">MY_PH(AH$2,$A202)</f>
        <v>3.14088758149806E-005</v>
      </c>
      <c r="AI202" s="39" t="n">
        <f aca="false">MY_PH(AI$2,$A202)</f>
        <v>3.16011587367518E-005</v>
      </c>
      <c r="AJ202" s="39" t="n">
        <f aca="false">MY_PH(AJ$2,$A202)</f>
        <v>3.17952923629858E-005</v>
      </c>
      <c r="AK202" s="39" t="n">
        <f aca="false">MY_PH(AK$2,$A202)</f>
        <v>3.19906017535514E-005</v>
      </c>
      <c r="AL202" s="39" t="n">
        <f aca="false">MY_PH(AL$2,$A202)</f>
        <v>3.21876956109179E-005</v>
      </c>
      <c r="AM202" s="39" t="n">
        <f aca="false">MY_PH(AM$2,$A202)</f>
        <v>3.2386489233421E-005</v>
      </c>
      <c r="AN202" s="39" t="n">
        <f aca="false">MY_PH(AN$2,$A202)</f>
        <v>3.25869020540778E-005</v>
      </c>
      <c r="AO202" s="39" t="n">
        <f aca="false">MY_PH(AO$2,$A202)</f>
        <v>3.27888571928088E-005</v>
      </c>
      <c r="AP202" s="39" t="n">
        <f aca="false">MY_PH(AP$2,$A202)</f>
        <v>3.29922810544304E-005</v>
      </c>
      <c r="AQ202" s="39" t="n">
        <f aca="false">MY_PH(AQ$2,$A202)</f>
        <v>3.50928531015189E-005</v>
      </c>
      <c r="AR202" s="39" t="n">
        <f aca="false">MY_PH(AR$2,$A202)</f>
        <v>3.55381960922991E-005</v>
      </c>
      <c r="AS202" s="39" t="n">
        <f aca="false">MY_PH(AS$2,$A202)</f>
        <v>3.57411694726851E-005</v>
      </c>
    </row>
    <row r="203" customFormat="false" ht="13.8" hidden="false" customHeight="false" outlineLevel="0" collapsed="false">
      <c r="A203" s="0" t="n">
        <v>3630</v>
      </c>
      <c r="B203" s="39" t="n">
        <f aca="false">MY_PH(B$2,$A203)</f>
        <v>3.12152014645176E-005</v>
      </c>
      <c r="C203" s="39" t="n">
        <f aca="false">MY_PH(C$2,$A203)</f>
        <v>3.12152200270975E-005</v>
      </c>
      <c r="D203" s="39" t="n">
        <f aca="false">MY_PH(D$2,$A203)</f>
        <v>3.12152385896982E-005</v>
      </c>
      <c r="E203" s="39" t="n">
        <f aca="false">MY_PH(E$2,$A203)</f>
        <v>3.12152571523199E-005</v>
      </c>
      <c r="F203" s="39" t="n">
        <f aca="false">MY_PH(F$2,$A203)</f>
        <v>3.12152757149624E-005</v>
      </c>
      <c r="G203" s="39" t="n">
        <f aca="false">MY_PH(G$2,$A203)</f>
        <v>3.1215461342537E-005</v>
      </c>
      <c r="H203" s="39" t="n">
        <f aca="false">MY_PH(H$2,$A203)</f>
        <v>3.12156469722007E-005</v>
      </c>
      <c r="I203" s="39" t="n">
        <f aca="false">MY_PH(I$2,$A203)</f>
        <v>3.12158326039534E-005</v>
      </c>
      <c r="J203" s="39" t="n">
        <f aca="false">MY_PH(J$2,$A203)</f>
        <v>3.1216018237795E-005</v>
      </c>
      <c r="K203" s="39" t="n">
        <f aca="false">MY_PH(K$2,$A203)</f>
        <v>3.12162038737252E-005</v>
      </c>
      <c r="L203" s="39" t="n">
        <f aca="false">MY_PH(L$2,$A203)</f>
        <v>3.12163895117439E-005</v>
      </c>
      <c r="M203" s="39" t="n">
        <f aca="false">MY_PH(M$2,$A203)</f>
        <v>3.12165751518509E-005</v>
      </c>
      <c r="N203" s="39" t="n">
        <f aca="false">MY_PH(N$2,$A203)</f>
        <v>3.1216760794046E-005</v>
      </c>
      <c r="O203" s="39" t="n">
        <f aca="false">MY_PH(O$2,$A203)</f>
        <v>3.12169464383291E-005</v>
      </c>
      <c r="P203" s="39" t="n">
        <f aca="false">MY_PH(P$2,$A203)</f>
        <v>3.1218802995962E-005</v>
      </c>
      <c r="Q203" s="39" t="n">
        <f aca="false">MY_PH(Q$2,$A203)</f>
        <v>3.12206597622062E-005</v>
      </c>
      <c r="R203" s="39" t="n">
        <f aca="false">MY_PH(R$2,$A203)</f>
        <v>3.12225167368927E-005</v>
      </c>
      <c r="S203" s="39" t="n">
        <f aca="false">MY_PH(S$2,$A203)</f>
        <v>3.1224373919852E-005</v>
      </c>
      <c r="T203" s="39" t="n">
        <f aca="false">MY_PH(T$2,$A203)</f>
        <v>3.12262313109152E-005</v>
      </c>
      <c r="U203" s="39" t="n">
        <f aca="false">MY_PH(U$2,$A203)</f>
        <v>3.12280889099132E-005</v>
      </c>
      <c r="V203" s="39" t="n">
        <f aca="false">MY_PH(V$2,$A203)</f>
        <v>3.12299467166769E-005</v>
      </c>
      <c r="W203" s="39" t="n">
        <f aca="false">MY_PH(W$2,$A203)</f>
        <v>3.12318047310377E-005</v>
      </c>
      <c r="X203" s="39" t="n">
        <f aca="false">MY_PH(X$2,$A203)</f>
        <v>3.12336629528266E-005</v>
      </c>
      <c r="Y203" s="39" t="n">
        <f aca="false">MY_PH(Y$2,$A203)</f>
        <v>3.12522565422003E-005</v>
      </c>
      <c r="Z203" s="39" t="n">
        <f aca="false">MY_PH(Z$2,$A203)</f>
        <v>3.12708706894074E-005</v>
      </c>
      <c r="AA203" s="39" t="n">
        <f aca="false">MY_PH(AA$2,$A203)</f>
        <v>3.1289505227147E-005</v>
      </c>
      <c r="AB203" s="39" t="n">
        <f aca="false">MY_PH(AB$2,$A203)</f>
        <v>3.13081599890042E-005</v>
      </c>
      <c r="AC203" s="39" t="n">
        <f aca="false">MY_PH(AC$2,$A203)</f>
        <v>3.13268348094457E-005</v>
      </c>
      <c r="AD203" s="39" t="n">
        <f aca="false">MY_PH(AD$2,$A203)</f>
        <v>3.13455295238157E-005</v>
      </c>
      <c r="AE203" s="39" t="n">
        <f aca="false">MY_PH(AE$2,$A203)</f>
        <v>3.13642439683316E-005</v>
      </c>
      <c r="AF203" s="39" t="n">
        <f aca="false">MY_PH(AF$2,$A203)</f>
        <v>3.13829779800796E-005</v>
      </c>
      <c r="AG203" s="39" t="n">
        <f aca="false">MY_PH(AG$2,$A203)</f>
        <v>3.14017313970108E-005</v>
      </c>
      <c r="AH203" s="39" t="n">
        <f aca="false">MY_PH(AH$2,$A203)</f>
        <v>3.15902978104047E-005</v>
      </c>
      <c r="AI203" s="39" t="n">
        <f aca="false">MY_PH(AI$2,$A203)</f>
        <v>3.17806327458328E-005</v>
      </c>
      <c r="AJ203" s="39" t="n">
        <f aca="false">MY_PH(AJ$2,$A203)</f>
        <v>3.19728102546423E-005</v>
      </c>
      <c r="AK203" s="39" t="n">
        <f aca="false">MY_PH(AK$2,$A203)</f>
        <v>3.21661602859773E-005</v>
      </c>
      <c r="AL203" s="39" t="n">
        <f aca="false">MY_PH(AL$2,$A203)</f>
        <v>3.23612834401283E-005</v>
      </c>
      <c r="AM203" s="39" t="n">
        <f aca="false">MY_PH(AM$2,$A203)</f>
        <v>3.25580970199409E-005</v>
      </c>
      <c r="AN203" s="39" t="n">
        <f aca="false">MY_PH(AN$2,$A203)</f>
        <v>3.27565222237923E-005</v>
      </c>
      <c r="AO203" s="39" t="n">
        <f aca="false">MY_PH(AO$2,$A203)</f>
        <v>3.29564837319623E-005</v>
      </c>
      <c r="AP203" s="39" t="n">
        <f aca="false">MY_PH(AP$2,$A203)</f>
        <v>3.31579093349586E-005</v>
      </c>
      <c r="AQ203" s="39" t="n">
        <f aca="false">MY_PH(AQ$2,$A203)</f>
        <v>3.52384686585827E-005</v>
      </c>
      <c r="AR203" s="39" t="n">
        <f aca="false">MY_PH(AR$2,$A203)</f>
        <v>3.56797168961546E-005</v>
      </c>
      <c r="AS203" s="39" t="n">
        <f aca="false">MY_PH(AS$2,$A203)</f>
        <v>3.58808412095703E-005</v>
      </c>
    </row>
    <row r="204" customFormat="false" ht="13.8" hidden="false" customHeight="false" outlineLevel="0" collapsed="false">
      <c r="A204" s="0" t="n">
        <v>3640</v>
      </c>
      <c r="B204" s="39" t="n">
        <f aca="false">MY_PH(B$2,$A204)</f>
        <v>3.13999879406719E-005</v>
      </c>
      <c r="C204" s="39" t="n">
        <f aca="false">MY_PH(C$2,$A204)</f>
        <v>3.14000063161101E-005</v>
      </c>
      <c r="D204" s="39" t="n">
        <f aca="false">MY_PH(D$2,$A204)</f>
        <v>3.14000246915689E-005</v>
      </c>
      <c r="E204" s="39" t="n">
        <f aca="false">MY_PH(E$2,$A204)</f>
        <v>3.14000430670484E-005</v>
      </c>
      <c r="F204" s="39" t="n">
        <f aca="false">MY_PH(F$2,$A204)</f>
        <v>3.14000614425484E-005</v>
      </c>
      <c r="G204" s="39" t="n">
        <f aca="false">MY_PH(G$2,$A204)</f>
        <v>3.14002451986828E-005</v>
      </c>
      <c r="H204" s="39" t="n">
        <f aca="false">MY_PH(H$2,$A204)</f>
        <v>3.14004289568788E-005</v>
      </c>
      <c r="I204" s="39" t="n">
        <f aca="false">MY_PH(I$2,$A204)</f>
        <v>3.14006127171361E-005</v>
      </c>
      <c r="J204" s="39" t="n">
        <f aca="false">MY_PH(J$2,$A204)</f>
        <v>3.14007964794545E-005</v>
      </c>
      <c r="K204" s="39" t="n">
        <f aca="false">MY_PH(K$2,$A204)</f>
        <v>3.1400980243834E-005</v>
      </c>
      <c r="L204" s="39" t="n">
        <f aca="false">MY_PH(L$2,$A204)</f>
        <v>3.14011640102744E-005</v>
      </c>
      <c r="M204" s="39" t="n">
        <f aca="false">MY_PH(M$2,$A204)</f>
        <v>3.14013477787755E-005</v>
      </c>
      <c r="N204" s="39" t="n">
        <f aca="false">MY_PH(N$2,$A204)</f>
        <v>3.14015315493371E-005</v>
      </c>
      <c r="O204" s="39" t="n">
        <f aca="false">MY_PH(O$2,$A204)</f>
        <v>3.1401715321959E-005</v>
      </c>
      <c r="P204" s="39" t="n">
        <f aca="false">MY_PH(P$2,$A204)</f>
        <v>3.14035531614641E-005</v>
      </c>
      <c r="Q204" s="39" t="n">
        <f aca="false">MY_PH(Q$2,$A204)</f>
        <v>3.14053912068293E-005</v>
      </c>
      <c r="R204" s="39" t="n">
        <f aca="false">MY_PH(R$2,$A204)</f>
        <v>3.14072294578931E-005</v>
      </c>
      <c r="S204" s="39" t="n">
        <f aca="false">MY_PH(S$2,$A204)</f>
        <v>3.14090679144941E-005</v>
      </c>
      <c r="T204" s="39" t="n">
        <f aca="false">MY_PH(T$2,$A204)</f>
        <v>3.1410906576471E-005</v>
      </c>
      <c r="U204" s="39" t="n">
        <f aca="false">MY_PH(U$2,$A204)</f>
        <v>3.14127454436625E-005</v>
      </c>
      <c r="V204" s="39" t="n">
        <f aca="false">MY_PH(V$2,$A204)</f>
        <v>3.14145845159074E-005</v>
      </c>
      <c r="W204" s="39" t="n">
        <f aca="false">MY_PH(W$2,$A204)</f>
        <v>3.14164237930448E-005</v>
      </c>
      <c r="X204" s="39" t="n">
        <f aca="false">MY_PH(X$2,$A204)</f>
        <v>3.14182632749135E-005</v>
      </c>
      <c r="Y204" s="39" t="n">
        <f aca="false">MY_PH(Y$2,$A204)</f>
        <v>3.14366693184675E-005</v>
      </c>
      <c r="Z204" s="39" t="n">
        <f aca="false">MY_PH(Z$2,$A204)</f>
        <v>3.14550956586791E-005</v>
      </c>
      <c r="AA204" s="39" t="n">
        <f aca="false">MY_PH(AA$2,$A204)</f>
        <v>3.14735421359153E-005</v>
      </c>
      <c r="AB204" s="39" t="n">
        <f aca="false">MY_PH(AB$2,$A204)</f>
        <v>3.14920085913645E-005</v>
      </c>
      <c r="AC204" s="39" t="n">
        <f aca="false">MY_PH(AC$2,$A204)</f>
        <v>3.15104948670324E-005</v>
      </c>
      <c r="AD204" s="39" t="n">
        <f aca="false">MY_PH(AD$2,$A204)</f>
        <v>3.15290008057382E-005</v>
      </c>
      <c r="AE204" s="39" t="n">
        <f aca="false">MY_PH(AE$2,$A204)</f>
        <v>3.15475262511106E-005</v>
      </c>
      <c r="AF204" s="39" t="n">
        <f aca="false">MY_PH(AF$2,$A204)</f>
        <v>3.15660710475838E-005</v>
      </c>
      <c r="AG204" s="39" t="n">
        <f aca="false">MY_PH(AG$2,$A204)</f>
        <v>3.15846350403933E-005</v>
      </c>
      <c r="AH204" s="39" t="n">
        <f aca="false">MY_PH(AH$2,$A204)</f>
        <v>3.17712972839516E-005</v>
      </c>
      <c r="AI204" s="39" t="n">
        <f aca="false">MY_PH(AI$2,$A204)</f>
        <v>3.19597147190325E-005</v>
      </c>
      <c r="AJ204" s="39" t="n">
        <f aca="false">MY_PH(AJ$2,$A204)</f>
        <v>3.21499676195126E-005</v>
      </c>
      <c r="AK204" s="39" t="n">
        <f aca="false">MY_PH(AK$2,$A204)</f>
        <v>3.23413899251997E-005</v>
      </c>
      <c r="AL204" s="39" t="n">
        <f aca="false">MY_PH(AL$2,$A204)</f>
        <v>3.25345738911753E-005</v>
      </c>
      <c r="AM204" s="39" t="n">
        <f aca="false">MY_PH(AM$2,$A204)</f>
        <v>3.27294387704397E-005</v>
      </c>
      <c r="AN204" s="39" t="n">
        <f aca="false">MY_PH(AN$2,$A204)</f>
        <v>3.29259074857675E-005</v>
      </c>
      <c r="AO204" s="39" t="n">
        <f aca="false">MY_PH(AO$2,$A204)</f>
        <v>3.31239062475782E-005</v>
      </c>
      <c r="AP204" s="39" t="n">
        <f aca="false">MY_PH(AP$2,$A204)</f>
        <v>3.33233642103173E-005</v>
      </c>
      <c r="AQ204" s="39" t="n">
        <f aca="false">MY_PH(AQ$2,$A204)</f>
        <v>3.53842005605274E-005</v>
      </c>
      <c r="AR204" s="39" t="n">
        <f aca="false">MY_PH(AR$2,$A204)</f>
        <v>3.58214099341336E-005</v>
      </c>
      <c r="AS204" s="39" t="n">
        <f aca="false">MY_PH(AS$2,$A204)</f>
        <v>3.60207100607292E-005</v>
      </c>
    </row>
    <row r="205" customFormat="false" ht="13.8" hidden="false" customHeight="false" outlineLevel="0" collapsed="false">
      <c r="A205" s="0" t="n">
        <v>3650</v>
      </c>
      <c r="B205" s="39" t="n">
        <f aca="false">MY_PH(B$2,$A205)</f>
        <v>3.15842930864656E-005</v>
      </c>
      <c r="C205" s="39" t="n">
        <f aca="false">MY_PH(C$2,$A205)</f>
        <v>3.15843112775106E-005</v>
      </c>
      <c r="D205" s="39" t="n">
        <f aca="false">MY_PH(D$2,$A205)</f>
        <v>3.15843294685759E-005</v>
      </c>
      <c r="E205" s="39" t="n">
        <f aca="false">MY_PH(E$2,$A205)</f>
        <v>3.15843476596616E-005</v>
      </c>
      <c r="F205" s="39" t="n">
        <f aca="false">MY_PH(F$2,$A205)</f>
        <v>3.15843658507677E-005</v>
      </c>
      <c r="G205" s="39" t="n">
        <f aca="false">MY_PH(G$2,$A205)</f>
        <v>3.15845477629476E-005</v>
      </c>
      <c r="H205" s="39" t="n">
        <f aca="false">MY_PH(H$2,$A205)</f>
        <v>3.15847296771627E-005</v>
      </c>
      <c r="I205" s="39" t="n">
        <f aca="false">MY_PH(I$2,$A205)</f>
        <v>3.15849115934129E-005</v>
      </c>
      <c r="J205" s="39" t="n">
        <f aca="false">MY_PH(J$2,$A205)</f>
        <v>3.15850935116981E-005</v>
      </c>
      <c r="K205" s="39" t="n">
        <f aca="false">MY_PH(K$2,$A205)</f>
        <v>3.15852754320181E-005</v>
      </c>
      <c r="L205" s="39" t="n">
        <f aca="false">MY_PH(L$2,$A205)</f>
        <v>3.15854573543727E-005</v>
      </c>
      <c r="M205" s="39" t="n">
        <f aca="false">MY_PH(M$2,$A205)</f>
        <v>3.15856392787618E-005</v>
      </c>
      <c r="N205" s="39" t="n">
        <f aca="false">MY_PH(N$2,$A205)</f>
        <v>3.15858212051852E-005</v>
      </c>
      <c r="O205" s="39" t="n">
        <f aca="false">MY_PH(O$2,$A205)</f>
        <v>3.15860031336427E-005</v>
      </c>
      <c r="P205" s="39" t="n">
        <f aca="false">MY_PH(P$2,$A205)</f>
        <v>3.15878225300639E-005</v>
      </c>
      <c r="Q205" s="39" t="n">
        <f aca="false">MY_PH(Q$2,$A205)</f>
        <v>3.15896421297324E-005</v>
      </c>
      <c r="R205" s="39" t="n">
        <f aca="false">MY_PH(R$2,$A205)</f>
        <v>3.15914619324942E-005</v>
      </c>
      <c r="S205" s="39" t="n">
        <f aca="false">MY_PH(S$2,$A205)</f>
        <v>3.15932819381952E-005</v>
      </c>
      <c r="T205" s="39" t="n">
        <f aca="false">MY_PH(T$2,$A205)</f>
        <v>3.15951021466814E-005</v>
      </c>
      <c r="U205" s="39" t="n">
        <f aca="false">MY_PH(U$2,$A205)</f>
        <v>3.1596922557799E-005</v>
      </c>
      <c r="V205" s="39" t="n">
        <f aca="false">MY_PH(V$2,$A205)</f>
        <v>3.15987431713942E-005</v>
      </c>
      <c r="W205" s="39" t="n">
        <f aca="false">MY_PH(W$2,$A205)</f>
        <v>3.16005639873131E-005</v>
      </c>
      <c r="X205" s="39" t="n">
        <f aca="false">MY_PH(X$2,$A205)</f>
        <v>3.16023850054023E-005</v>
      </c>
      <c r="Y205" s="39" t="n">
        <f aca="false">MY_PH(Y$2,$A205)</f>
        <v>3.1620606271903E-005</v>
      </c>
      <c r="Z205" s="39" t="n">
        <f aca="false">MY_PH(Z$2,$A205)</f>
        <v>3.16388475869683E-005</v>
      </c>
      <c r="AA205" s="39" t="n">
        <f aca="false">MY_PH(AA$2,$A205)</f>
        <v>3.16571087982071E-005</v>
      </c>
      <c r="AB205" s="39" t="n">
        <f aca="false">MY_PH(AB$2,$A205)</f>
        <v>3.167538975399E-005</v>
      </c>
      <c r="AC205" s="39" t="n">
        <f aca="false">MY_PH(AC$2,$A205)</f>
        <v>3.16936903034464E-005</v>
      </c>
      <c r="AD205" s="39" t="n">
        <f aca="false">MY_PH(AD$2,$A205)</f>
        <v>3.17120102964599E-005</v>
      </c>
      <c r="AE205" s="39" t="n">
        <f aca="false">MY_PH(AE$2,$A205)</f>
        <v>3.17303495836653E-005</v>
      </c>
      <c r="AF205" s="39" t="n">
        <f aca="false">MY_PH(AF$2,$A205)</f>
        <v>3.17487080164441E-005</v>
      </c>
      <c r="AG205" s="39" t="n">
        <f aca="false">MY_PH(AG$2,$A205)</f>
        <v>3.17670854469215E-005</v>
      </c>
      <c r="AH205" s="39" t="n">
        <f aca="false">MY_PH(AH$2,$A205)</f>
        <v>3.19518726167162E-005</v>
      </c>
      <c r="AI205" s="39" t="n">
        <f aca="false">MY_PH(AI$2,$A205)</f>
        <v>3.21384022708997E-005</v>
      </c>
      <c r="AJ205" s="39" t="n">
        <f aca="false">MY_PH(AJ$2,$A205)</f>
        <v>3.23267613421339E-005</v>
      </c>
      <c r="AK205" s="39" t="n">
        <f aca="false">MY_PH(AK$2,$A205)</f>
        <v>3.25162867126984E-005</v>
      </c>
      <c r="AL205" s="39" t="n">
        <f aca="false">MY_PH(AL$2,$A205)</f>
        <v>3.27075621888007E-005</v>
      </c>
      <c r="AM205" s="39" t="n">
        <f aca="false">MY_PH(AM$2,$A205)</f>
        <v>3.29005089201708E-005</v>
      </c>
      <c r="AN205" s="39" t="n">
        <f aca="false">MY_PH(AN$2,$A205)</f>
        <v>3.30950515132043E-005</v>
      </c>
      <c r="AO205" s="39" t="n">
        <f aca="false">MY_PH(AO$2,$A205)</f>
        <v>3.32911176778997E-005</v>
      </c>
      <c r="AP205" s="39" t="n">
        <f aca="false">MY_PH(AP$2,$A205)</f>
        <v>3.34886379101887E-005</v>
      </c>
      <c r="AQ205" s="39" t="n">
        <f aca="false">MY_PH(AQ$2,$A205)</f>
        <v>3.55300352002755E-005</v>
      </c>
      <c r="AR205" s="39" t="n">
        <f aca="false">MY_PH(AR$2,$A205)</f>
        <v>3.59632606417568E-005</v>
      </c>
      <c r="AS205" s="39" t="n">
        <f aca="false">MY_PH(AS$2,$A205)</f>
        <v>3.6160761053892E-005</v>
      </c>
    </row>
    <row r="206" customFormat="false" ht="13.8" hidden="false" customHeight="false" outlineLevel="0" collapsed="false">
      <c r="A206" s="0" t="n">
        <v>3660</v>
      </c>
      <c r="B206" s="39" t="n">
        <f aca="false">MY_PH(B$2,$A206)</f>
        <v>3.17681168812985E-005</v>
      </c>
      <c r="C206" s="39" t="n">
        <f aca="false">MY_PH(C$2,$A206)</f>
        <v>3.17681348906291E-005</v>
      </c>
      <c r="D206" s="39" t="n">
        <f aca="false">MY_PH(D$2,$A206)</f>
        <v>3.17681528999798E-005</v>
      </c>
      <c r="E206" s="39" t="n">
        <f aca="false">MY_PH(E$2,$A206)</f>
        <v>3.17681709093505E-005</v>
      </c>
      <c r="F206" s="39" t="n">
        <f aca="false">MY_PH(F$2,$A206)</f>
        <v>3.17681889187414E-005</v>
      </c>
      <c r="G206" s="39" t="n">
        <f aca="false">MY_PH(G$2,$A206)</f>
        <v>3.17683690137561E-005</v>
      </c>
      <c r="H206" s="39" t="n">
        <f aca="false">MY_PH(H$2,$A206)</f>
        <v>3.17685491107811E-005</v>
      </c>
      <c r="I206" s="39" t="n">
        <f aca="false">MY_PH(I$2,$A206)</f>
        <v>3.17687292098163E-005</v>
      </c>
      <c r="J206" s="39" t="n">
        <f aca="false">MY_PH(J$2,$A206)</f>
        <v>3.17689093108615E-005</v>
      </c>
      <c r="K206" s="39" t="n">
        <f aca="false">MY_PH(K$2,$A206)</f>
        <v>3.17690894139166E-005</v>
      </c>
      <c r="L206" s="39" t="n">
        <f aca="false">MY_PH(L$2,$A206)</f>
        <v>3.17692695189815E-005</v>
      </c>
      <c r="M206" s="39" t="n">
        <f aca="false">MY_PH(M$2,$A206)</f>
        <v>3.17694496260559E-005</v>
      </c>
      <c r="N206" s="39" t="n">
        <f aca="false">MY_PH(N$2,$A206)</f>
        <v>3.17696297351399E-005</v>
      </c>
      <c r="O206" s="39" t="n">
        <f aca="false">MY_PH(O$2,$A206)</f>
        <v>3.17698098462331E-005</v>
      </c>
      <c r="P206" s="39" t="n">
        <f aca="false">MY_PH(P$2,$A206)</f>
        <v>3.17716110676451E-005</v>
      </c>
      <c r="Q206" s="39" t="n">
        <f aca="false">MY_PH(Q$2,$A206)</f>
        <v>3.17734124898259E-005</v>
      </c>
      <c r="R206" s="39" t="n">
        <f aca="false">MY_PH(R$2,$A206)</f>
        <v>3.17752141126284E-005</v>
      </c>
      <c r="S206" s="39" t="n">
        <f aca="false">MY_PH(S$2,$A206)</f>
        <v>3.17770159359055E-005</v>
      </c>
      <c r="T206" s="39" t="n">
        <f aca="false">MY_PH(T$2,$A206)</f>
        <v>3.17788179595103E-005</v>
      </c>
      <c r="U206" s="39" t="n">
        <f aca="false">MY_PH(U$2,$A206)</f>
        <v>3.17806201832957E-005</v>
      </c>
      <c r="V206" s="39" t="n">
        <f aca="false">MY_PH(V$2,$A206)</f>
        <v>3.1782422607115E-005</v>
      </c>
      <c r="W206" s="39" t="n">
        <f aca="false">MY_PH(W$2,$A206)</f>
        <v>3.17842252308212E-005</v>
      </c>
      <c r="X206" s="39" t="n">
        <f aca="false">MY_PH(X$2,$A206)</f>
        <v>3.17860280542678E-005</v>
      </c>
      <c r="Y206" s="39" t="n">
        <f aca="false">MY_PH(Y$2,$A206)</f>
        <v>3.18040672422212E-005</v>
      </c>
      <c r="Z206" s="39" t="n">
        <f aca="false">MY_PH(Z$2,$A206)</f>
        <v>3.18221262433367E-005</v>
      </c>
      <c r="AA206" s="39" t="n">
        <f aca="false">MY_PH(AA$2,$A206)</f>
        <v>3.18402049120646E-005</v>
      </c>
      <c r="AB206" s="39" t="n">
        <f aca="false">MY_PH(AB$2,$A206)</f>
        <v>3.18583031035624E-005</v>
      </c>
      <c r="AC206" s="39" t="n">
        <f aca="false">MY_PH(AC$2,$A206)</f>
        <v>3.18764206736917E-005</v>
      </c>
      <c r="AD206" s="39" t="n">
        <f aca="false">MY_PH(AD$2,$A206)</f>
        <v>3.18945574790143E-005</v>
      </c>
      <c r="AE206" s="39" t="n">
        <f aca="false">MY_PH(AE$2,$A206)</f>
        <v>3.19127133767889E-005</v>
      </c>
      <c r="AF206" s="39" t="n">
        <f aca="false">MY_PH(AF$2,$A206)</f>
        <v>3.19308882249676E-005</v>
      </c>
      <c r="AG206" s="39" t="n">
        <f aca="false">MY_PH(AG$2,$A206)</f>
        <v>3.19490818821925E-005</v>
      </c>
      <c r="AH206" s="39" t="n">
        <f aca="false">MY_PH(AH$2,$A206)</f>
        <v>3.21320223394818E-005</v>
      </c>
      <c r="AI206" s="39" t="n">
        <f aca="false">MY_PH(AI$2,$A206)</f>
        <v>3.23166931961271E-005</v>
      </c>
      <c r="AJ206" s="39" t="n">
        <f aca="false">MY_PH(AJ$2,$A206)</f>
        <v>3.25031885016855E-005</v>
      </c>
      <c r="AK206" s="39" t="n">
        <f aca="false">MY_PH(AK$2,$A206)</f>
        <v>3.26908469150139E-005</v>
      </c>
      <c r="AL206" s="39" t="n">
        <f aca="false">MY_PH(AL$2,$A206)</f>
        <v>3.28802438110102E-005</v>
      </c>
      <c r="AM206" s="39" t="n">
        <f aca="false">MY_PH(AM$2,$A206)</f>
        <v>3.30713021836423E-005</v>
      </c>
      <c r="AN206" s="39" t="n">
        <f aca="false">MY_PH(AN$2,$A206)</f>
        <v>3.32639482823869E-005</v>
      </c>
      <c r="AO206" s="39" t="n">
        <f aca="false">MY_PH(AO$2,$A206)</f>
        <v>3.3458111285993E-005</v>
      </c>
      <c r="AP206" s="39" t="n">
        <f aca="false">MY_PH(AP$2,$A206)</f>
        <v>3.36537230088188E-005</v>
      </c>
      <c r="AQ206" s="39" t="n">
        <f aca="false">MY_PH(AQ$2,$A206)</f>
        <v>3.5675959418819E-005</v>
      </c>
      <c r="AR206" s="39" t="n">
        <f aca="false">MY_PH(AR$2,$A206)</f>
        <v>3.6105254904913E-005</v>
      </c>
      <c r="AS206" s="39" t="n">
        <f aca="false">MY_PH(AS$2,$A206)</f>
        <v>3.63009796661664E-005</v>
      </c>
    </row>
    <row r="207" customFormat="false" ht="13.8" hidden="false" customHeight="false" outlineLevel="0" collapsed="false">
      <c r="A207" s="0" t="n">
        <v>3670</v>
      </c>
      <c r="B207" s="39" t="n">
        <f aca="false">MY_PH(B$2,$A207)</f>
        <v>3.19514593819973E-005</v>
      </c>
      <c r="C207" s="39" t="n">
        <f aca="false">MY_PH(C$2,$A207)</f>
        <v>3.19514772122261E-005</v>
      </c>
      <c r="D207" s="39" t="n">
        <f aca="false">MY_PH(D$2,$A207)</f>
        <v>3.19514950424748E-005</v>
      </c>
      <c r="E207" s="39" t="n">
        <f aca="false">MY_PH(E$2,$A207)</f>
        <v>3.19515128727433E-005</v>
      </c>
      <c r="F207" s="39" t="n">
        <f aca="false">MY_PH(F$2,$A207)</f>
        <v>3.19515307030317E-005</v>
      </c>
      <c r="G207" s="39" t="n">
        <f aca="false">MY_PH(G$2,$A207)</f>
        <v>3.19517090070085E-005</v>
      </c>
      <c r="H207" s="39" t="n">
        <f aca="false">MY_PH(H$2,$A207)</f>
        <v>3.19518873129721E-005</v>
      </c>
      <c r="I207" s="39" t="n">
        <f aca="false">MY_PH(I$2,$A207)</f>
        <v>3.19520656209223E-005</v>
      </c>
      <c r="J207" s="39" t="n">
        <f aca="false">MY_PH(J$2,$A207)</f>
        <v>3.19522439308589E-005</v>
      </c>
      <c r="K207" s="39" t="n">
        <f aca="false">MY_PH(K$2,$A207)</f>
        <v>3.19524222427818E-005</v>
      </c>
      <c r="L207" s="39" t="n">
        <f aca="false">MY_PH(L$2,$A207)</f>
        <v>3.19526005566909E-005</v>
      </c>
      <c r="M207" s="39" t="n">
        <f aca="false">MY_PH(M$2,$A207)</f>
        <v>3.1952778872586E-005</v>
      </c>
      <c r="N207" s="39" t="n">
        <f aca="false">MY_PH(N$2,$A207)</f>
        <v>3.1952957190467E-005</v>
      </c>
      <c r="O207" s="39" t="n">
        <f aca="false">MY_PH(O$2,$A207)</f>
        <v>3.19531355103337E-005</v>
      </c>
      <c r="P207" s="39" t="n">
        <f aca="false">MY_PH(P$2,$A207)</f>
        <v>3.19549188181865E-005</v>
      </c>
      <c r="Q207" s="39" t="n">
        <f aca="false">MY_PH(Q$2,$A207)</f>
        <v>3.19567023244594E-005</v>
      </c>
      <c r="R207" s="39" t="n">
        <f aca="false">MY_PH(R$2,$A207)</f>
        <v>3.19584860290118E-005</v>
      </c>
      <c r="S207" s="39" t="n">
        <f aca="false">MY_PH(S$2,$A207)</f>
        <v>3.19602699317033E-005</v>
      </c>
      <c r="T207" s="39" t="n">
        <f aca="false">MY_PH(T$2,$A207)</f>
        <v>3.19620540323934E-005</v>
      </c>
      <c r="U207" s="39" t="n">
        <f aca="false">MY_PH(U$2,$A207)</f>
        <v>3.19638383309418E-005</v>
      </c>
      <c r="V207" s="39" t="n">
        <f aca="false">MY_PH(V$2,$A207)</f>
        <v>3.19656228272081E-005</v>
      </c>
      <c r="W207" s="39" t="n">
        <f aca="false">MY_PH(W$2,$A207)</f>
        <v>3.19674075210521E-005</v>
      </c>
      <c r="X207" s="39" t="n">
        <f aca="false">MY_PH(X$2,$A207)</f>
        <v>3.19691924123335E-005</v>
      </c>
      <c r="Y207" s="39" t="n">
        <f aca="false">MY_PH(Y$2,$A207)</f>
        <v>3.19870521534202E-005</v>
      </c>
      <c r="Z207" s="39" t="n">
        <f aca="false">MY_PH(Z$2,$A207)</f>
        <v>3.20049314845566E-005</v>
      </c>
      <c r="AA207" s="39" t="n">
        <f aca="false">MY_PH(AA$2,$A207)</f>
        <v>3.20228302666576E-005</v>
      </c>
      <c r="AB207" s="39" t="n">
        <f aca="false">MY_PH(AB$2,$A207)</f>
        <v>3.20407483612952E-005</v>
      </c>
      <c r="AC207" s="39" t="n">
        <f aca="false">MY_PH(AC$2,$A207)</f>
        <v>3.2058685630695E-005</v>
      </c>
      <c r="AD207" s="39" t="n">
        <f aca="false">MY_PH(AD$2,$A207)</f>
        <v>3.20766419377331E-005</v>
      </c>
      <c r="AE207" s="39" t="n">
        <f aca="false">MY_PH(AE$2,$A207)</f>
        <v>3.20946171459324E-005</v>
      </c>
      <c r="AF207" s="39" t="n">
        <f aca="false">MY_PH(AF$2,$A207)</f>
        <v>3.21126111194597E-005</v>
      </c>
      <c r="AG207" s="39" t="n">
        <f aca="false">MY_PH(AG$2,$A207)</f>
        <v>3.21306237231226E-005</v>
      </c>
      <c r="AH207" s="39" t="n">
        <f aca="false">MY_PH(AH$2,$A207)</f>
        <v>3.23117451262212E-005</v>
      </c>
      <c r="AI207" s="39" t="n">
        <f aca="false">MY_PH(AI$2,$A207)</f>
        <v>3.24945854614027E-005</v>
      </c>
      <c r="AJ207" s="39" t="n">
        <f aca="false">MY_PH(AJ$2,$A207)</f>
        <v>3.26792463620595E-005</v>
      </c>
      <c r="AK207" s="39" t="n">
        <f aca="false">MY_PH(AK$2,$A207)</f>
        <v>3.28650670124509E-005</v>
      </c>
      <c r="AL207" s="39" t="n">
        <f aca="false">MY_PH(AL$2,$A207)</f>
        <v>3.3052614476607E-005</v>
      </c>
      <c r="AM207" s="39" t="n">
        <f aca="false">MY_PH(AM$2,$A207)</f>
        <v>3.32418135411763E-005</v>
      </c>
      <c r="AN207" s="39" t="n">
        <f aca="false">MY_PH(AN$2,$A207)</f>
        <v>3.34325920584539E-005</v>
      </c>
      <c r="AO207" s="39" t="n">
        <f aca="false">MY_PH(AO$2,$A207)</f>
        <v>3.36248806449105E-005</v>
      </c>
      <c r="AP207" s="39" t="n">
        <f aca="false">MY_PH(AP$2,$A207)</f>
        <v>3.38186124097418E-005</v>
      </c>
      <c r="AQ207" s="39" t="n">
        <f aca="false">MY_PH(AQ$2,$A207)</f>
        <v>3.58219604933512E-005</v>
      </c>
      <c r="AR207" s="39" t="n">
        <f aca="false">MY_PH(AR$2,$A207)</f>
        <v>3.62473790501236E-005</v>
      </c>
      <c r="AS207" s="39" t="n">
        <f aca="false">MY_PH(AS$2,$A207)</f>
        <v>3.64413518153854E-005</v>
      </c>
    </row>
    <row r="208" customFormat="false" ht="13.8" hidden="false" customHeight="false" outlineLevel="0" collapsed="false">
      <c r="A208" s="0" t="n">
        <v>3680</v>
      </c>
      <c r="B208" s="39" t="n">
        <f aca="false">MY_PH(B$2,$A208)</f>
        <v>3.21343207200082E-005</v>
      </c>
      <c r="C208" s="39" t="n">
        <f aca="false">MY_PH(C$2,$A208)</f>
        <v>3.21343383736849E-005</v>
      </c>
      <c r="D208" s="39" t="n">
        <f aca="false">MY_PH(D$2,$A208)</f>
        <v>3.21343560273813E-005</v>
      </c>
      <c r="E208" s="39" t="n">
        <f aca="false">MY_PH(E$2,$A208)</f>
        <v>3.21343736810973E-005</v>
      </c>
      <c r="F208" s="39" t="n">
        <f aca="false">MY_PH(F$2,$A208)</f>
        <v>3.2134391334833E-005</v>
      </c>
      <c r="G208" s="39" t="n">
        <f aca="false">MY_PH(G$2,$A208)</f>
        <v>3.21345678732702E-005</v>
      </c>
      <c r="H208" s="39" t="n">
        <f aca="false">MY_PH(H$2,$A208)</f>
        <v>3.21347444136719E-005</v>
      </c>
      <c r="I208" s="39" t="n">
        <f aca="false">MY_PH(I$2,$A208)</f>
        <v>3.21349209560377E-005</v>
      </c>
      <c r="J208" s="39" t="n">
        <f aca="false">MY_PH(J$2,$A208)</f>
        <v>3.21350975003677E-005</v>
      </c>
      <c r="K208" s="39" t="n">
        <f aca="false">MY_PH(K$2,$A208)</f>
        <v>3.21352740466616E-005</v>
      </c>
      <c r="L208" s="39" t="n">
        <f aca="false">MY_PH(L$2,$A208)</f>
        <v>3.21354505949195E-005</v>
      </c>
      <c r="M208" s="39" t="n">
        <f aca="false">MY_PH(M$2,$A208)</f>
        <v>3.2135627145141E-005</v>
      </c>
      <c r="N208" s="39" t="n">
        <f aca="false">MY_PH(N$2,$A208)</f>
        <v>3.21358036973261E-005</v>
      </c>
      <c r="O208" s="39" t="n">
        <f aca="false">MY_PH(O$2,$A208)</f>
        <v>3.21359802514746E-005</v>
      </c>
      <c r="P208" s="39" t="n">
        <f aca="false">MY_PH(P$2,$A208)</f>
        <v>3.213774590092E-005</v>
      </c>
      <c r="Q208" s="39" t="n">
        <f aca="false">MY_PH(Q$2,$A208)</f>
        <v>3.21395117465622E-005</v>
      </c>
      <c r="R208" s="39" t="n">
        <f aca="false">MY_PH(R$2,$A208)</f>
        <v>3.21412777882666E-005</v>
      </c>
      <c r="S208" s="39" t="n">
        <f aca="false">MY_PH(S$2,$A208)</f>
        <v>3.21430440258991E-005</v>
      </c>
      <c r="T208" s="39" t="n">
        <f aca="false">MY_PH(T$2,$A208)</f>
        <v>3.21448104593253E-005</v>
      </c>
      <c r="U208" s="39" t="n">
        <f aca="false">MY_PH(U$2,$A208)</f>
        <v>3.21465770884112E-005</v>
      </c>
      <c r="V208" s="39" t="n">
        <f aca="false">MY_PH(V$2,$A208)</f>
        <v>3.21483439130227E-005</v>
      </c>
      <c r="W208" s="39" t="n">
        <f aca="false">MY_PH(W$2,$A208)</f>
        <v>3.21501109330255E-005</v>
      </c>
      <c r="X208" s="39" t="n">
        <f aca="false">MY_PH(X$2,$A208)</f>
        <v>3.21518781482859E-005</v>
      </c>
      <c r="Y208" s="39" t="n">
        <f aca="false">MY_PH(Y$2,$A208)</f>
        <v>3.21695610106174E-005</v>
      </c>
      <c r="Z208" s="39" t="n">
        <f aca="false">MY_PH(Z$2,$A208)</f>
        <v>3.21872632517668E-005</v>
      </c>
      <c r="AA208" s="39" t="n">
        <f aca="false">MY_PH(AA$2,$A208)</f>
        <v>3.22049847387595E-005</v>
      </c>
      <c r="AB208" s="39" t="n">
        <f aca="false">MY_PH(AB$2,$A208)</f>
        <v>3.22227253392311E-005</v>
      </c>
      <c r="AC208" s="39" t="n">
        <f aca="false">MY_PH(AC$2,$A208)</f>
        <v>3.22404849214246E-005</v>
      </c>
      <c r="AD208" s="39" t="n">
        <f aca="false">MY_PH(AD$2,$A208)</f>
        <v>3.22582633541871E-005</v>
      </c>
      <c r="AE208" s="39" t="n">
        <f aca="false">MY_PH(AE$2,$A208)</f>
        <v>3.22760605069668E-005</v>
      </c>
      <c r="AF208" s="39" t="n">
        <f aca="false">MY_PH(AF$2,$A208)</f>
        <v>3.22938762498098E-005</v>
      </c>
      <c r="AG208" s="39" t="n">
        <f aca="false">MY_PH(AG$2,$A208)</f>
        <v>3.23117104533571E-005</v>
      </c>
      <c r="AH208" s="39" t="n">
        <f aca="false">MY_PH(AH$2,$A208)</f>
        <v>3.24910397878028E-005</v>
      </c>
      <c r="AI208" s="39" t="n">
        <f aca="false">MY_PH(AI$2,$A208)</f>
        <v>3.26720771975399E-005</v>
      </c>
      <c r="AJ208" s="39" t="n">
        <f aca="false">MY_PH(AJ$2,$A208)</f>
        <v>3.28549323624815E-005</v>
      </c>
      <c r="AK208" s="39" t="n">
        <f aca="false">MY_PH(AK$2,$A208)</f>
        <v>3.30389436883846E-005</v>
      </c>
      <c r="AL208" s="39" t="n">
        <f aca="false">MY_PH(AL$2,$A208)</f>
        <v>3.32246701333649E-005</v>
      </c>
      <c r="AM208" s="39" t="n">
        <f aca="false">MY_PH(AM$2,$A208)</f>
        <v>3.34120382261261E-005</v>
      </c>
      <c r="AN208" s="39" t="n">
        <f aca="false">MY_PH(AN$2,$A208)</f>
        <v>3.36009773818318E-005</v>
      </c>
      <c r="AO208" s="39" t="n">
        <f aca="false">MY_PH(AO$2,$A208)</f>
        <v>3.37914196235063E-005</v>
      </c>
      <c r="AP208" s="39" t="n">
        <f aca="false">MY_PH(AP$2,$A208)</f>
        <v>3.39832993311359E-005</v>
      </c>
      <c r="AQ208" s="39" t="n">
        <f aca="false">MY_PH(AQ$2,$A208)</f>
        <v>3.59680261253951E-005</v>
      </c>
      <c r="AR208" s="39" t="n">
        <f aca="false">MY_PH(AR$2,$A208)</f>
        <v>3.63896198346494E-005</v>
      </c>
      <c r="AS208" s="39" t="n">
        <f aca="false">MY_PH(AS$2,$A208)</f>
        <v>3.65818638512346E-005</v>
      </c>
    </row>
    <row r="209" customFormat="false" ht="13.8" hidden="false" customHeight="false" outlineLevel="0" collapsed="false">
      <c r="A209" s="0" t="n">
        <v>3690</v>
      </c>
      <c r="B209" s="39" t="n">
        <f aca="false">MY_PH(B$2,$A209)</f>
        <v>3.23167010986834E-005</v>
      </c>
      <c r="C209" s="39" t="n">
        <f aca="false">MY_PH(C$2,$A209)</f>
        <v>3.2316718578298E-005</v>
      </c>
      <c r="D209" s="39" t="n">
        <f aca="false">MY_PH(D$2,$A209)</f>
        <v>3.2316736057932E-005</v>
      </c>
      <c r="E209" s="39" t="n">
        <f aca="false">MY_PH(E$2,$A209)</f>
        <v>3.23167535375855E-005</v>
      </c>
      <c r="F209" s="39" t="n">
        <f aca="false">MY_PH(F$2,$A209)</f>
        <v>3.23167710172583E-005</v>
      </c>
      <c r="G209" s="39" t="n">
        <f aca="false">MY_PH(G$2,$A209)</f>
        <v>3.23169458150558E-005</v>
      </c>
      <c r="H209" s="39" t="n">
        <f aca="false">MY_PH(H$2,$A209)</f>
        <v>3.23171206147966E-005</v>
      </c>
      <c r="I209" s="39" t="n">
        <f aca="false">MY_PH(I$2,$A209)</f>
        <v>3.23172954164805E-005</v>
      </c>
      <c r="J209" s="39" t="n">
        <f aca="false">MY_PH(J$2,$A209)</f>
        <v>3.23174702201074E-005</v>
      </c>
      <c r="K209" s="39" t="n">
        <f aca="false">MY_PH(K$2,$A209)</f>
        <v>3.23176450256772E-005</v>
      </c>
      <c r="L209" s="39" t="n">
        <f aca="false">MY_PH(L$2,$A209)</f>
        <v>3.23178198331897E-005</v>
      </c>
      <c r="M209" s="39" t="n">
        <f aca="false">MY_PH(M$2,$A209)</f>
        <v>3.23179946426448E-005</v>
      </c>
      <c r="N209" s="39" t="n">
        <f aca="false">MY_PH(N$2,$A209)</f>
        <v>3.23181694540424E-005</v>
      </c>
      <c r="O209" s="39" t="n">
        <f aca="false">MY_PH(O$2,$A209)</f>
        <v>3.23183442673824E-005</v>
      </c>
      <c r="P209" s="39" t="n">
        <f aca="false">MY_PH(P$2,$A209)</f>
        <v>3.23200925075831E-005</v>
      </c>
      <c r="Q209" s="39" t="n">
        <f aca="false">MY_PH(Q$2,$A209)</f>
        <v>3.23218409418778E-005</v>
      </c>
      <c r="R209" s="39" t="n">
        <f aca="false">MY_PH(R$2,$A209)</f>
        <v>3.2323589570138E-005</v>
      </c>
      <c r="S209" s="39" t="n">
        <f aca="false">MY_PH(S$2,$A209)</f>
        <v>3.23253383922352E-005</v>
      </c>
      <c r="T209" s="39" t="n">
        <f aca="false">MY_PH(T$2,$A209)</f>
        <v>3.23270874080412E-005</v>
      </c>
      <c r="U209" s="39" t="n">
        <f aca="false">MY_PH(U$2,$A209)</f>
        <v>3.23288366174275E-005</v>
      </c>
      <c r="V209" s="39" t="n">
        <f aca="false">MY_PH(V$2,$A209)</f>
        <v>3.23305860202659E-005</v>
      </c>
      <c r="W209" s="39" t="n">
        <f aca="false">MY_PH(W$2,$A209)</f>
        <v>3.23323356164282E-005</v>
      </c>
      <c r="X209" s="39" t="n">
        <f aca="false">MY_PH(X$2,$A209)</f>
        <v>3.23340854057863E-005</v>
      </c>
      <c r="Y209" s="39" t="n">
        <f aca="false">MY_PH(Y$2,$A209)</f>
        <v>3.23515938969857E-005</v>
      </c>
      <c r="Z209" s="39" t="n">
        <f aca="false">MY_PH(Z$2,$A209)</f>
        <v>3.23691215672342E-005</v>
      </c>
      <c r="AA209" s="39" t="n">
        <f aca="false">MY_PH(AA$2,$A209)</f>
        <v>3.23866682893337E-005</v>
      </c>
      <c r="AB209" s="39" t="n">
        <f aca="false">MY_PH(AB$2,$A209)</f>
        <v>3.24042339366536E-005</v>
      </c>
      <c r="AC209" s="39" t="n">
        <f aca="false">MY_PH(AC$2,$A209)</f>
        <v>3.24218183831273E-005</v>
      </c>
      <c r="AD209" s="39" t="n">
        <f aca="false">MY_PH(AD$2,$A209)</f>
        <v>3.24394215032498E-005</v>
      </c>
      <c r="AE209" s="39" t="n">
        <f aca="false">MY_PH(AE$2,$A209)</f>
        <v>3.24570431720744E-005</v>
      </c>
      <c r="AF209" s="39" t="n">
        <f aca="false">MY_PH(AF$2,$A209)</f>
        <v>3.24746832652101E-005</v>
      </c>
      <c r="AG209" s="39" t="n">
        <f aca="false">MY_PH(AG$2,$A209)</f>
        <v>3.24923416588185E-005</v>
      </c>
      <c r="AH209" s="39" t="n">
        <f aca="false">MY_PH(AH$2,$A209)</f>
        <v>3.26699052658909E-005</v>
      </c>
      <c r="AI209" s="39" t="n">
        <f aca="false">MY_PH(AI$2,$A209)</f>
        <v>3.28491666918707E-005</v>
      </c>
      <c r="AJ209" s="39" t="n">
        <f aca="false">MY_PH(AJ$2,$A209)</f>
        <v>3.30302441086504E-005</v>
      </c>
      <c r="AK209" s="39" t="n">
        <f aca="false">MY_PH(AK$2,$A209)</f>
        <v>3.32124738191416E-005</v>
      </c>
      <c r="AL209" s="39" t="n">
        <f aca="false">MY_PH(AL$2,$A209)</f>
        <v>3.33964069468134E-005</v>
      </c>
      <c r="AM209" s="39" t="n">
        <f aca="false">MY_PH(AM$2,$A209)</f>
        <v>3.35819717127272E-005</v>
      </c>
      <c r="AN209" s="39" t="n">
        <f aca="false">MY_PH(AN$2,$A209)</f>
        <v>3.37690990553121E-005</v>
      </c>
      <c r="AO209" s="39" t="n">
        <f aca="false">MY_PH(AO$2,$A209)</f>
        <v>3.3957722372891E-005</v>
      </c>
      <c r="AP209" s="39" t="n">
        <f aca="false">MY_PH(AP$2,$A209)</f>
        <v>3.41477772918021E-005</v>
      </c>
      <c r="AQ209" s="39" t="n">
        <f aca="false">MY_PH(AQ$2,$A209)</f>
        <v>3.61141444289562E-005</v>
      </c>
      <c r="AR209" s="39" t="n">
        <f aca="false">MY_PH(AR$2,$A209)</f>
        <v>3.65319644364602E-005</v>
      </c>
      <c r="AS209" s="39" t="n">
        <f aca="false">MY_PH(AS$2,$A209)</f>
        <v>3.67225025461743E-005</v>
      </c>
    </row>
    <row r="210" customFormat="false" ht="13.8" hidden="false" customHeight="false" outlineLevel="0" collapsed="false">
      <c r="A210" s="0" t="n">
        <v>3700</v>
      </c>
      <c r="B210" s="39" t="n">
        <f aca="false">MY_PH(B$2,$A210)</f>
        <v>3.24986007906591E-005</v>
      </c>
      <c r="C210" s="39" t="n">
        <f aca="false">MY_PH(C$2,$A210)</f>
        <v>3.24986180986445E-005</v>
      </c>
      <c r="D210" s="39" t="n">
        <f aca="false">MY_PH(D$2,$A210)</f>
        <v>3.24986354066491E-005</v>
      </c>
      <c r="E210" s="39" t="n">
        <f aca="false">MY_PH(E$2,$A210)</f>
        <v>3.24986527146729E-005</v>
      </c>
      <c r="F210" s="39" t="n">
        <f aca="false">MY_PH(F$2,$A210)</f>
        <v>3.2498670022716E-005</v>
      </c>
      <c r="G210" s="39" t="n">
        <f aca="false">MY_PH(G$2,$A210)</f>
        <v>3.24988431042047E-005</v>
      </c>
      <c r="H210" s="39" t="n">
        <f aca="false">MY_PH(H$2,$A210)</f>
        <v>3.24990161876166E-005</v>
      </c>
      <c r="I210" s="39" t="n">
        <f aca="false">MY_PH(I$2,$A210)</f>
        <v>3.24991892729517E-005</v>
      </c>
      <c r="J210" s="39" t="n">
        <f aca="false">MY_PH(J$2,$A210)</f>
        <v>3.24993623602098E-005</v>
      </c>
      <c r="K210" s="39" t="n">
        <f aca="false">MY_PH(K$2,$A210)</f>
        <v>3.24995354493908E-005</v>
      </c>
      <c r="L210" s="39" t="n">
        <f aca="false">MY_PH(L$2,$A210)</f>
        <v>3.24997085404947E-005</v>
      </c>
      <c r="M210" s="39" t="n">
        <f aca="false">MY_PH(M$2,$A210)</f>
        <v>3.24998816335212E-005</v>
      </c>
      <c r="N210" s="39" t="n">
        <f aca="false">MY_PH(N$2,$A210)</f>
        <v>3.25000547284703E-005</v>
      </c>
      <c r="O210" s="39" t="n">
        <f aca="false">MY_PH(O$2,$A210)</f>
        <v>3.25002278253417E-005</v>
      </c>
      <c r="P210" s="39" t="n">
        <f aca="false">MY_PH(P$2,$A210)</f>
        <v>3.2501958899763E-005</v>
      </c>
      <c r="Q210" s="39" t="n">
        <f aca="false">MY_PH(Q$2,$A210)</f>
        <v>3.25036901662916E-005</v>
      </c>
      <c r="R210" s="39" t="n">
        <f aca="false">MY_PH(R$2,$A210)</f>
        <v>3.25054216248047E-005</v>
      </c>
      <c r="S210" s="39" t="n">
        <f aca="false">MY_PH(S$2,$A210)</f>
        <v>3.25071532751792E-005</v>
      </c>
      <c r="T210" s="39" t="n">
        <f aca="false">MY_PH(T$2,$A210)</f>
        <v>3.25088851172925E-005</v>
      </c>
      <c r="U210" s="39" t="n">
        <f aca="false">MY_PH(U$2,$A210)</f>
        <v>3.25106171510218E-005</v>
      </c>
      <c r="V210" s="39" t="n">
        <f aca="false">MY_PH(V$2,$A210)</f>
        <v>3.25123493762442E-005</v>
      </c>
      <c r="W210" s="39" t="n">
        <f aca="false">MY_PH(W$2,$A210)</f>
        <v>3.25140817928373E-005</v>
      </c>
      <c r="X210" s="39" t="n">
        <f aca="false">MY_PH(X$2,$A210)</f>
        <v>3.25158144006782E-005</v>
      </c>
      <c r="Y210" s="39" t="n">
        <f aca="false">MY_PH(Y$2,$A210)</f>
        <v>3.25331509707887E-005</v>
      </c>
      <c r="Z210" s="39" t="n">
        <f aca="false">MY_PH(Z$2,$A210)</f>
        <v>3.25505065312167E-005</v>
      </c>
      <c r="AA210" s="39" t="n">
        <f aca="false">MY_PH(AA$2,$A210)</f>
        <v>3.25678809602263E-005</v>
      </c>
      <c r="AB210" s="39" t="n">
        <f aca="false">MY_PH(AB$2,$A210)</f>
        <v>3.25852741366092E-005</v>
      </c>
      <c r="AC210" s="39" t="n">
        <f aca="false">MY_PH(AC$2,$A210)</f>
        <v>3.26026859396814E-005</v>
      </c>
      <c r="AD210" s="39" t="n">
        <f aca="false">MY_PH(AD$2,$A210)</f>
        <v>3.26201162492806E-005</v>
      </c>
      <c r="AE210" s="39" t="n">
        <f aca="false">MY_PH(AE$2,$A210)</f>
        <v>3.26375649457636E-005</v>
      </c>
      <c r="AF210" s="39" t="n">
        <f aca="false">MY_PH(AF$2,$A210)</f>
        <v>3.26550319100036E-005</v>
      </c>
      <c r="AG210" s="39" t="n">
        <f aca="false">MY_PH(AG$2,$A210)</f>
        <v>3.26725170233872E-005</v>
      </c>
      <c r="AH210" s="39" t="n">
        <f aca="false">MY_PH(AH$2,$A210)</f>
        <v>3.2848340627033E-005</v>
      </c>
      <c r="AI210" s="39" t="n">
        <f aca="false">MY_PH(AI$2,$A210)</f>
        <v>3.30258523808871E-005</v>
      </c>
      <c r="AJ210" s="39" t="n">
        <f aca="false">MY_PH(AJ$2,$A210)</f>
        <v>3.32051793643696E-005</v>
      </c>
      <c r="AK210" s="39" t="n">
        <f aca="false">MY_PH(AK$2,$A210)</f>
        <v>3.33856544644235E-005</v>
      </c>
      <c r="AL210" s="39" t="n">
        <f aca="false">MY_PH(AL$2,$A210)</f>
        <v>3.35678212896051E-005</v>
      </c>
      <c r="AM210" s="39" t="n">
        <f aca="false">MY_PH(AM$2,$A210)</f>
        <v>3.37516097045588E-005</v>
      </c>
      <c r="AN210" s="39" t="n">
        <f aca="false">MY_PH(AN$2,$A210)</f>
        <v>3.39369521317494E-005</v>
      </c>
      <c r="AO210" s="39" t="n">
        <f aca="false">MY_PH(AO$2,$A210)</f>
        <v>3.41237833135066E-005</v>
      </c>
      <c r="AP210" s="39" t="n">
        <f aca="false">MY_PH(AP$2,$A210)</f>
        <v>3.43120400977506E-005</v>
      </c>
      <c r="AQ210" s="39" t="n">
        <f aca="false">MY_PH(AQ$2,$A210)</f>
        <v>3.62603039187245E-005</v>
      </c>
      <c r="AR210" s="39" t="n">
        <f aca="false">MY_PH(AR$2,$A210)</f>
        <v>3.66744004440927E-005</v>
      </c>
      <c r="AS210" s="39" t="n">
        <f aca="false">MY_PH(AS$2,$A210)</f>
        <v>3.68632550861771E-005</v>
      </c>
    </row>
    <row r="211" customFormat="false" ht="13.8" hidden="false" customHeight="false" outlineLevel="0" collapsed="false">
      <c r="A211" s="0" t="n">
        <v>3710</v>
      </c>
      <c r="B211" s="39" t="n">
        <f aca="false">MY_PH(B$2,$A211)</f>
        <v>3.26800201353205E-005</v>
      </c>
      <c r="C211" s="39" t="n">
        <f aca="false">MY_PH(C$2,$A211)</f>
        <v>3.26800372740555E-005</v>
      </c>
      <c r="D211" s="39" t="n">
        <f aca="false">MY_PH(D$2,$A211)</f>
        <v>3.26800544128095E-005</v>
      </c>
      <c r="E211" s="39" t="n">
        <f aca="false">MY_PH(E$2,$A211)</f>
        <v>3.26800715515826E-005</v>
      </c>
      <c r="F211" s="39" t="n">
        <f aca="false">MY_PH(F$2,$A211)</f>
        <v>3.26800886903748E-005</v>
      </c>
      <c r="G211" s="39" t="n">
        <f aca="false">MY_PH(G$2,$A211)</f>
        <v>3.26802600793437E-005</v>
      </c>
      <c r="H211" s="39" t="n">
        <f aca="false">MY_PH(H$2,$A211)</f>
        <v>3.26804314702171E-005</v>
      </c>
      <c r="I211" s="39" t="n">
        <f aca="false">MY_PH(I$2,$A211)</f>
        <v>3.26806028629947E-005</v>
      </c>
      <c r="J211" s="39" t="n">
        <f aca="false">MY_PH(J$2,$A211)</f>
        <v>3.26807742576766E-005</v>
      </c>
      <c r="K211" s="39" t="n">
        <f aca="false">MY_PH(K$2,$A211)</f>
        <v>3.26809456542626E-005</v>
      </c>
      <c r="L211" s="39" t="n">
        <f aca="false">MY_PH(L$2,$A211)</f>
        <v>3.26811170527525E-005</v>
      </c>
      <c r="M211" s="39" t="n">
        <f aca="false">MY_PH(M$2,$A211)</f>
        <v>3.26812884531463E-005</v>
      </c>
      <c r="N211" s="39" t="n">
        <f aca="false">MY_PH(N$2,$A211)</f>
        <v>3.26814598554439E-005</v>
      </c>
      <c r="O211" s="39" t="n">
        <f aca="false">MY_PH(O$2,$A211)</f>
        <v>3.2681631259645E-005</v>
      </c>
      <c r="P211" s="39" t="n">
        <f aca="false">MY_PH(P$2,$A211)</f>
        <v>3.26833454063295E-005</v>
      </c>
      <c r="Q211" s="39" t="n">
        <f aca="false">MY_PH(Q$2,$A211)</f>
        <v>3.26850597432462E-005</v>
      </c>
      <c r="R211" s="39" t="n">
        <f aca="false">MY_PH(R$2,$A211)</f>
        <v>3.26867742702774E-005</v>
      </c>
      <c r="S211" s="39" t="n">
        <f aca="false">MY_PH(S$2,$A211)</f>
        <v>3.26884889873054E-005</v>
      </c>
      <c r="T211" s="39" t="n">
        <f aca="false">MY_PH(T$2,$A211)</f>
        <v>3.26902038942127E-005</v>
      </c>
      <c r="U211" s="39" t="n">
        <f aca="false">MY_PH(U$2,$A211)</f>
        <v>3.26919189908818E-005</v>
      </c>
      <c r="V211" s="39" t="n">
        <f aca="false">MY_PH(V$2,$A211)</f>
        <v>3.26936342771951E-005</v>
      </c>
      <c r="W211" s="39" t="n">
        <f aca="false">MY_PH(W$2,$A211)</f>
        <v>3.26953497530352E-005</v>
      </c>
      <c r="X211" s="39" t="n">
        <f aca="false">MY_PH(X$2,$A211)</f>
        <v>3.26970654182848E-005</v>
      </c>
      <c r="Y211" s="39" t="n">
        <f aca="false">MY_PH(Y$2,$A211)</f>
        <v>3.27142324625111E-005</v>
      </c>
      <c r="Z211" s="39" t="n">
        <f aca="false">MY_PH(Z$2,$A211)</f>
        <v>3.27314183189266E-005</v>
      </c>
      <c r="AA211" s="39" t="n">
        <f aca="false">MY_PH(AA$2,$A211)</f>
        <v>3.27486228709618E-005</v>
      </c>
      <c r="AB211" s="39" t="n">
        <f aca="false">MY_PH(AB$2,$A211)</f>
        <v>3.27658460025369E-005</v>
      </c>
      <c r="AC211" s="39" t="n">
        <f aca="false">MY_PH(AC$2,$A211)</f>
        <v>3.27830875980601E-005</v>
      </c>
      <c r="AD211" s="39" t="n">
        <f aca="false">MY_PH(AD$2,$A211)</f>
        <v>3.28003475424242E-005</v>
      </c>
      <c r="AE211" s="39" t="n">
        <f aca="false">MY_PH(AE$2,$A211)</f>
        <v>3.28176257210046E-005</v>
      </c>
      <c r="AF211" s="39" t="n">
        <f aca="false">MY_PH(AF$2,$A211)</f>
        <v>3.28349220196567E-005</v>
      </c>
      <c r="AG211" s="39" t="n">
        <f aca="false">MY_PH(AG$2,$A211)</f>
        <v>3.28522363247131E-005</v>
      </c>
      <c r="AH211" s="39" t="n">
        <f aca="false">MY_PH(AH$2,$A211)</f>
        <v>3.30263450569273E-005</v>
      </c>
      <c r="AI211" s="39" t="n">
        <f aca="false">MY_PH(AI$2,$A211)</f>
        <v>3.32021328431207E-005</v>
      </c>
      <c r="AJ211" s="39" t="n">
        <f aca="false">MY_PH(AJ$2,$A211)</f>
        <v>3.33797360436401E-005</v>
      </c>
      <c r="AK211" s="39" t="n">
        <f aca="false">MY_PH(AK$2,$A211)</f>
        <v>3.35584828582491E-005</v>
      </c>
      <c r="AL211" s="39" t="n">
        <f aca="false">MY_PH(AL$2,$A211)</f>
        <v>3.37389097314421E-005</v>
      </c>
      <c r="AM211" s="39" t="n">
        <f aca="false">MY_PH(AM$2,$A211)</f>
        <v>3.39209481235886E-005</v>
      </c>
      <c r="AN211" s="39" t="n">
        <f aca="false">MY_PH(AN$2,$A211)</f>
        <v>3.41045319023585E-005</v>
      </c>
      <c r="AO211" s="39" t="n">
        <f aca="false">MY_PH(AO$2,$A211)</f>
        <v>3.42895971228043E-005</v>
      </c>
      <c r="AP211" s="39" t="n">
        <f aca="false">MY_PH(AP$2,$A211)</f>
        <v>3.44760818293825E-005</v>
      </c>
      <c r="AQ211" s="39" t="n">
        <f aca="false">MY_PH(AQ$2,$A211)</f>
        <v>3.64064934983532E-005</v>
      </c>
      <c r="AR211" s="39" t="n">
        <f aca="false">MY_PH(AR$2,$A211)</f>
        <v>3.68169158464206E-005</v>
      </c>
      <c r="AS211" s="39" t="n">
        <f aca="false">MY_PH(AS$2,$A211)</f>
        <v>3.70041090613051E-005</v>
      </c>
    </row>
    <row r="212" customFormat="false" ht="13.8" hidden="false" customHeight="false" outlineLevel="0" collapsed="false">
      <c r="A212" s="0" t="n">
        <v>3720</v>
      </c>
      <c r="B212" s="39" t="n">
        <f aca="false">MY_PH(B$2,$A212)</f>
        <v>3.28609595363521E-005</v>
      </c>
      <c r="C212" s="39" t="n">
        <f aca="false">MY_PH(C$2,$A212)</f>
        <v>3.2860976508164E-005</v>
      </c>
      <c r="D212" s="39" t="n">
        <f aca="false">MY_PH(D$2,$A212)</f>
        <v>3.28609934799948E-005</v>
      </c>
      <c r="E212" s="39" t="n">
        <f aca="false">MY_PH(E$2,$A212)</f>
        <v>3.28610104518444E-005</v>
      </c>
      <c r="F212" s="39" t="n">
        <f aca="false">MY_PH(F$2,$A212)</f>
        <v>3.28610274237129E-005</v>
      </c>
      <c r="G212" s="39" t="n">
        <f aca="false">MY_PH(G$2,$A212)</f>
        <v>3.28611971434355E-005</v>
      </c>
      <c r="H212" s="39" t="n">
        <f aca="false">MY_PH(H$2,$A212)</f>
        <v>3.28613668650448E-005</v>
      </c>
      <c r="I212" s="39" t="n">
        <f aca="false">MY_PH(I$2,$A212)</f>
        <v>3.28615365885406E-005</v>
      </c>
      <c r="J212" s="39" t="n">
        <f aca="false">MY_PH(J$2,$A212)</f>
        <v>3.28617063139229E-005</v>
      </c>
      <c r="K212" s="39" t="n">
        <f aca="false">MY_PH(K$2,$A212)</f>
        <v>3.28618760411915E-005</v>
      </c>
      <c r="L212" s="39" t="n">
        <f aca="false">MY_PH(L$2,$A212)</f>
        <v>3.28620457703463E-005</v>
      </c>
      <c r="M212" s="39" t="n">
        <f aca="false">MY_PH(M$2,$A212)</f>
        <v>3.28622155013873E-005</v>
      </c>
      <c r="N212" s="39" t="n">
        <f aca="false">MY_PH(N$2,$A212)</f>
        <v>3.28623852343142E-005</v>
      </c>
      <c r="O212" s="39" t="n">
        <f aca="false">MY_PH(O$2,$A212)</f>
        <v>3.28625549691269E-005</v>
      </c>
      <c r="P212" s="39" t="n">
        <f aca="false">MY_PH(P$2,$A212)</f>
        <v>3.28642524209533E-005</v>
      </c>
      <c r="Q212" s="39" t="n">
        <f aca="false">MY_PH(Q$2,$A212)</f>
        <v>3.28659500612435E-005</v>
      </c>
      <c r="R212" s="39" t="n">
        <f aca="false">MY_PH(R$2,$A212)</f>
        <v>3.28676478898846E-005</v>
      </c>
      <c r="S212" s="39" t="n">
        <f aca="false">MY_PH(S$2,$A212)</f>
        <v>3.2869345906764E-005</v>
      </c>
      <c r="T212" s="39" t="n">
        <f aca="false">MY_PH(T$2,$A212)</f>
        <v>3.28710441117692E-005</v>
      </c>
      <c r="U212" s="39" t="n">
        <f aca="false">MY_PH(U$2,$A212)</f>
        <v>3.28727425047875E-005</v>
      </c>
      <c r="V212" s="39" t="n">
        <f aca="false">MY_PH(V$2,$A212)</f>
        <v>3.28744410857063E-005</v>
      </c>
      <c r="W212" s="39" t="n">
        <f aca="false">MY_PH(W$2,$A212)</f>
        <v>3.28761398544133E-005</v>
      </c>
      <c r="X212" s="39" t="n">
        <f aca="false">MY_PH(X$2,$A212)</f>
        <v>3.2877838810796E-005</v>
      </c>
      <c r="Y212" s="39" t="n">
        <f aca="false">MY_PH(Y$2,$A212)</f>
        <v>3.28948386720804E-005</v>
      </c>
      <c r="Z212" s="39" t="n">
        <f aca="false">MY_PH(Z$2,$A212)</f>
        <v>3.2911857177589E-005</v>
      </c>
      <c r="AA212" s="39" t="n">
        <f aca="false">MY_PH(AA$2,$A212)</f>
        <v>3.29288942156386E-005</v>
      </c>
      <c r="AB212" s="39" t="n">
        <f aca="false">MY_PH(AB$2,$A212)</f>
        <v>3.29459496750016E-005</v>
      </c>
      <c r="AC212" s="39" t="n">
        <f aca="false">MY_PH(AC$2,$A212)</f>
        <v>3.29630234449041E-005</v>
      </c>
      <c r="AD212" s="39" t="n">
        <f aca="false">MY_PH(AD$2,$A212)</f>
        <v>3.29801154150224E-005</v>
      </c>
      <c r="AE212" s="39" t="n">
        <f aca="false">MY_PH(AE$2,$A212)</f>
        <v>3.29972254754819E-005</v>
      </c>
      <c r="AF212" s="39" t="n">
        <f aca="false">MY_PH(AF$2,$A212)</f>
        <v>3.30143535168537E-005</v>
      </c>
      <c r="AG212" s="39" t="n">
        <f aca="false">MY_PH(AG$2,$A212)</f>
        <v>3.30314994301526E-005</v>
      </c>
      <c r="AH212" s="39" t="n">
        <f aca="false">MY_PH(AH$2,$A212)</f>
        <v>3.32039178548637E-005</v>
      </c>
      <c r="AI212" s="39" t="n">
        <f aca="false">MY_PH(AI$2,$A212)</f>
        <v>3.33780067922493E-005</v>
      </c>
      <c r="AJ212" s="39" t="n">
        <f aca="false">MY_PH(AJ$2,$A212)</f>
        <v>3.35539122031911E-005</v>
      </c>
      <c r="AK212" s="39" t="n">
        <f aca="false">MY_PH(AK$2,$A212)</f>
        <v>3.3730956400386E-005</v>
      </c>
      <c r="AL212" s="39" t="n">
        <f aca="false">MY_PH(AL$2,$A212)</f>
        <v>3.39096690295328E-005</v>
      </c>
      <c r="AM212" s="39" t="n">
        <f aca="false">MY_PH(AM$2,$A212)</f>
        <v>3.4089983099779E-005</v>
      </c>
      <c r="AN212" s="39" t="n">
        <f aca="false">MY_PH(AN$2,$A212)</f>
        <v>3.42718338855901E-005</v>
      </c>
      <c r="AO212" s="39" t="n">
        <f aca="false">MY_PH(AO$2,$A212)</f>
        <v>3.44551587235066E-005</v>
      </c>
      <c r="AP212" s="39" t="n">
        <f aca="false">MY_PH(AP$2,$A212)</f>
        <v>3.46398968292512E-005</v>
      </c>
      <c r="AQ212" s="39" t="n">
        <f aca="false">MY_PH(AQ$2,$A212)</f>
        <v>3.6552702448837E-005</v>
      </c>
      <c r="AR212" s="39" t="n">
        <f aca="false">MY_PH(AR$2,$A212)</f>
        <v>3.69594990223624E-005</v>
      </c>
      <c r="AS212" s="39" t="n">
        <f aca="false">MY_PH(AS$2,$A212)</f>
        <v>3.71450524561486E-005</v>
      </c>
    </row>
    <row r="213" customFormat="false" ht="13.8" hidden="false" customHeight="false" outlineLevel="0" collapsed="false">
      <c r="A213" s="0" t="n">
        <v>3730</v>
      </c>
      <c r="B213" s="39" t="n">
        <f aca="false">MY_PH(B$2,$A213)</f>
        <v>3.30414194593703E-005</v>
      </c>
      <c r="C213" s="39" t="n">
        <f aca="false">MY_PH(C$2,$A213)</f>
        <v>3.30414362665371E-005</v>
      </c>
      <c r="D213" s="39" t="n">
        <f aca="false">MY_PH(D$2,$A213)</f>
        <v>3.30414530737227E-005</v>
      </c>
      <c r="E213" s="39" t="n">
        <f aca="false">MY_PH(E$2,$A213)</f>
        <v>3.3041469880927E-005</v>
      </c>
      <c r="F213" s="39" t="n">
        <f aca="false">MY_PH(F$2,$A213)</f>
        <v>3.30414866881499E-005</v>
      </c>
      <c r="G213" s="39" t="n">
        <f aca="false">MY_PH(G$2,$A213)</f>
        <v>3.30416547614081E-005</v>
      </c>
      <c r="H213" s="39" t="n">
        <f aca="false">MY_PH(H$2,$A213)</f>
        <v>3.30418228365362E-005</v>
      </c>
      <c r="I213" s="39" t="n">
        <f aca="false">MY_PH(I$2,$A213)</f>
        <v>3.30419909135342E-005</v>
      </c>
      <c r="J213" s="39" t="n">
        <f aca="false">MY_PH(J$2,$A213)</f>
        <v>3.30421589924018E-005</v>
      </c>
      <c r="K213" s="39" t="n">
        <f aca="false">MY_PH(K$2,$A213)</f>
        <v>3.3042327073139E-005</v>
      </c>
      <c r="L213" s="39" t="n">
        <f aca="false">MY_PH(L$2,$A213)</f>
        <v>3.30424951557457E-005</v>
      </c>
      <c r="M213" s="39" t="n">
        <f aca="false">MY_PH(M$2,$A213)</f>
        <v>3.30426632402218E-005</v>
      </c>
      <c r="N213" s="39" t="n">
        <f aca="false">MY_PH(N$2,$A213)</f>
        <v>3.30428313265672E-005</v>
      </c>
      <c r="O213" s="39" t="n">
        <f aca="false">MY_PH(O$2,$A213)</f>
        <v>3.30429994147817E-005</v>
      </c>
      <c r="P213" s="39" t="n">
        <f aca="false">MY_PH(P$2,$A213)</f>
        <v>3.30446803997069E-005</v>
      </c>
      <c r="Q213" s="39" t="n">
        <f aca="false">MY_PH(Q$2,$A213)</f>
        <v>3.30463615714293E-005</v>
      </c>
      <c r="R213" s="39" t="n">
        <f aca="false">MY_PH(R$2,$A213)</f>
        <v>3.3048042929841E-005</v>
      </c>
      <c r="S213" s="39" t="n">
        <f aca="false">MY_PH(S$2,$A213)</f>
        <v>3.30497244748338E-005</v>
      </c>
      <c r="T213" s="39" t="n">
        <f aca="false">MY_PH(T$2,$A213)</f>
        <v>3.30514062063E-005</v>
      </c>
      <c r="U213" s="39" t="n">
        <f aca="false">MY_PH(U$2,$A213)</f>
        <v>3.30530881241315E-005</v>
      </c>
      <c r="V213" s="39" t="n">
        <f aca="false">MY_PH(V$2,$A213)</f>
        <v>3.30547702282206E-005</v>
      </c>
      <c r="W213" s="39" t="n">
        <f aca="false">MY_PH(W$2,$A213)</f>
        <v>3.30564525184595E-005</v>
      </c>
      <c r="X213" s="39" t="n">
        <f aca="false">MY_PH(X$2,$A213)</f>
        <v>3.30581349947403E-005</v>
      </c>
      <c r="Y213" s="39" t="n">
        <f aca="false">MY_PH(Y$2,$A213)</f>
        <v>3.30749699661797E-005</v>
      </c>
      <c r="Z213" s="39" t="n">
        <f aca="false">MY_PH(Z$2,$A213)</f>
        <v>3.30918234235939E-005</v>
      </c>
      <c r="AA213" s="39" t="n">
        <f aca="false">MY_PH(AA$2,$A213)</f>
        <v>3.31086952599227E-005</v>
      </c>
      <c r="AB213" s="39" t="n">
        <f aca="false">MY_PH(AB$2,$A213)</f>
        <v>3.31255853685296E-005</v>
      </c>
      <c r="AC213" s="39" t="n">
        <f aca="false">MY_PH(AC$2,$A213)</f>
        <v>3.31424936431995E-005</v>
      </c>
      <c r="AD213" s="39" t="n">
        <f aca="false">MY_PH(AD$2,$A213)</f>
        <v>3.31594199781364E-005</v>
      </c>
      <c r="AE213" s="39" t="n">
        <f aca="false">MY_PH(AE$2,$A213)</f>
        <v>3.31763642679612E-005</v>
      </c>
      <c r="AF213" s="39" t="n">
        <f aca="false">MY_PH(AF$2,$A213)</f>
        <v>3.31933264077093E-005</v>
      </c>
      <c r="AG213" s="39" t="n">
        <f aca="false">MY_PH(AG$2,$A213)</f>
        <v>3.32103062928285E-005</v>
      </c>
      <c r="AH213" s="39" t="n">
        <f aca="false">MY_PH(AH$2,$A213)</f>
        <v>3.33810584283341E-005</v>
      </c>
      <c r="AI213" s="39" t="n">
        <f aca="false">MY_PH(AI$2,$A213)</f>
        <v>3.35534730704212E-005</v>
      </c>
      <c r="AJ213" s="39" t="n">
        <f aca="false">MY_PH(AJ$2,$A213)</f>
        <v>3.37277060354215E-005</v>
      </c>
      <c r="AK213" s="39" t="n">
        <f aca="false">MY_PH(AK$2,$A213)</f>
        <v>3.39030726482469E-005</v>
      </c>
      <c r="AL213" s="39" t="n">
        <f aca="false">MY_PH(AL$2,$A213)</f>
        <v>3.4080096119555E-005</v>
      </c>
      <c r="AM213" s="39" t="n">
        <f aca="false">MY_PH(AM$2,$A213)</f>
        <v>3.42587109612284E-005</v>
      </c>
      <c r="AN213" s="39" t="n">
        <f aca="false">MY_PH(AN$2,$A213)</f>
        <v>3.44388538165608E-005</v>
      </c>
      <c r="AO213" s="39" t="n">
        <f aca="false">MY_PH(AO$2,$A213)</f>
        <v>3.46204632724329E-005</v>
      </c>
      <c r="AP213" s="39" t="n">
        <f aca="false">MY_PH(AP$2,$A213)</f>
        <v>3.48034796903871E-005</v>
      </c>
      <c r="AQ213" s="39" t="n">
        <f aca="false">MY_PH(AQ$2,$A213)</f>
        <v>3.66989204170129E-005</v>
      </c>
      <c r="AR213" s="39" t="n">
        <f aca="false">MY_PH(AR$2,$A213)</f>
        <v>3.71021387305525E-005</v>
      </c>
      <c r="AS213" s="39" t="n">
        <f aca="false">MY_PH(AS$2,$A213)</f>
        <v>3.7286073640153E-005</v>
      </c>
    </row>
    <row r="214" customFormat="false" ht="13.8" hidden="false" customHeight="false" outlineLevel="0" collapsed="false">
      <c r="A214" s="0" t="n">
        <v>3740</v>
      </c>
      <c r="B214" s="39" t="n">
        <f aca="false">MY_PH(B$2,$A214)</f>
        <v>3.32214004296341E-005</v>
      </c>
      <c r="C214" s="39" t="n">
        <f aca="false">MY_PH(C$2,$A214)</f>
        <v>3.32214170743872E-005</v>
      </c>
      <c r="D214" s="39" t="n">
        <f aca="false">MY_PH(D$2,$A214)</f>
        <v>3.32214337191588E-005</v>
      </c>
      <c r="E214" s="39" t="n">
        <f aca="false">MY_PH(E$2,$A214)</f>
        <v>3.32214503639489E-005</v>
      </c>
      <c r="F214" s="39" t="n">
        <f aca="false">MY_PH(F$2,$A214)</f>
        <v>3.32214670087576E-005</v>
      </c>
      <c r="G214" s="39" t="n">
        <f aca="false">MY_PH(G$2,$A214)</f>
        <v>3.32216334578644E-005</v>
      </c>
      <c r="H214" s="39" t="n">
        <f aca="false">MY_PH(H$2,$A214)</f>
        <v>3.32217999088254E-005</v>
      </c>
      <c r="I214" s="39" t="n">
        <f aca="false">MY_PH(I$2,$A214)</f>
        <v>3.32219663616404E-005</v>
      </c>
      <c r="J214" s="39" t="n">
        <f aca="false">MY_PH(J$2,$A214)</f>
        <v>3.32221328163093E-005</v>
      </c>
      <c r="K214" s="39" t="n">
        <f aca="false">MY_PH(K$2,$A214)</f>
        <v>3.32222992728321E-005</v>
      </c>
      <c r="L214" s="39" t="n">
        <f aca="false">MY_PH(L$2,$A214)</f>
        <v>3.32224657312086E-005</v>
      </c>
      <c r="M214" s="39" t="n">
        <f aca="false">MY_PH(M$2,$A214)</f>
        <v>3.32226321914387E-005</v>
      </c>
      <c r="N214" s="39" t="n">
        <f aca="false">MY_PH(N$2,$A214)</f>
        <v>3.32227986535223E-005</v>
      </c>
      <c r="O214" s="39" t="n">
        <f aca="false">MY_PH(O$2,$A214)</f>
        <v>3.32229651174594E-005</v>
      </c>
      <c r="P214" s="39" t="n">
        <f aca="false">MY_PH(P$2,$A214)</f>
        <v>3.32246298587452E-005</v>
      </c>
      <c r="Q214" s="39" t="n">
        <f aca="false">MY_PH(Q$2,$A214)</f>
        <v>3.32262947852589E-005</v>
      </c>
      <c r="R214" s="39" t="n">
        <f aca="false">MY_PH(R$2,$A214)</f>
        <v>3.32279598968969E-005</v>
      </c>
      <c r="S214" s="39" t="n">
        <f aca="false">MY_PH(S$2,$A214)</f>
        <v>3.32296251935558E-005</v>
      </c>
      <c r="T214" s="39" t="n">
        <f aca="false">MY_PH(T$2,$A214)</f>
        <v>3.32312906751318E-005</v>
      </c>
      <c r="U214" s="39" t="n">
        <f aca="false">MY_PH(U$2,$A214)</f>
        <v>3.32329563415217E-005</v>
      </c>
      <c r="V214" s="39" t="n">
        <f aca="false">MY_PH(V$2,$A214)</f>
        <v>3.3234622192622E-005</v>
      </c>
      <c r="W214" s="39" t="n">
        <f aca="false">MY_PH(W$2,$A214)</f>
        <v>3.32362882283293E-005</v>
      </c>
      <c r="X214" s="39" t="n">
        <f aca="false">MY_PH(X$2,$A214)</f>
        <v>3.32379544485403E-005</v>
      </c>
      <c r="Y214" s="39" t="n">
        <f aca="false">MY_PH(Y$2,$A214)</f>
        <v>3.32546267756458E-005</v>
      </c>
      <c r="Z214" s="39" t="n">
        <f aca="false">MY_PH(Z$2,$A214)</f>
        <v>3.32713174397396E-005</v>
      </c>
      <c r="AA214" s="39" t="n">
        <f aca="false">MY_PH(AA$2,$A214)</f>
        <v>3.32880263381358E-005</v>
      </c>
      <c r="AB214" s="39" t="n">
        <f aca="false">MY_PH(AB$2,$A214)</f>
        <v>3.33047533685425E-005</v>
      </c>
      <c r="AC214" s="39" t="n">
        <f aca="false">MY_PH(AC$2,$A214)</f>
        <v>3.33214984290593E-005</v>
      </c>
      <c r="AD214" s="39" t="n">
        <f aca="false">MY_PH(AD$2,$A214)</f>
        <v>3.33382614181753E-005</v>
      </c>
      <c r="AE214" s="39" t="n">
        <f aca="false">MY_PH(AE$2,$A214)</f>
        <v>3.33550422347672E-005</v>
      </c>
      <c r="AF214" s="39" t="n">
        <f aca="false">MY_PH(AF$2,$A214)</f>
        <v>3.33718407780972E-005</v>
      </c>
      <c r="AG214" s="39" t="n">
        <f aca="false">MY_PH(AG$2,$A214)</f>
        <v>3.33886569478105E-005</v>
      </c>
      <c r="AH214" s="39" t="n">
        <f aca="false">MY_PH(AH$2,$A214)</f>
        <v>3.35577662878069E-005</v>
      </c>
      <c r="AI214" s="39" t="n">
        <f aca="false">MY_PH(AI$2,$A214)</f>
        <v>3.37285306417921E-005</v>
      </c>
      <c r="AJ214" s="39" t="n">
        <f aca="false">MY_PH(AJ$2,$A214)</f>
        <v>3.39011158617303E-005</v>
      </c>
      <c r="AK214" s="39" t="n">
        <f aca="false">MY_PH(AK$2,$A214)</f>
        <v>3.40748293092257E-005</v>
      </c>
      <c r="AL214" s="39" t="n">
        <f aca="false">MY_PH(AL$2,$A214)</f>
        <v>3.42501881071005E-005</v>
      </c>
      <c r="AM214" s="39" t="n">
        <f aca="false">MY_PH(AM$2,$A214)</f>
        <v>3.44271282248257E-005</v>
      </c>
      <c r="AN214" s="39" t="n">
        <f aca="false">MY_PH(AN$2,$A214)</f>
        <v>3.46055876370166E-005</v>
      </c>
      <c r="AO214" s="39" t="n">
        <f aca="false">MY_PH(AO$2,$A214)</f>
        <v>3.47855061498692E-005</v>
      </c>
      <c r="AP214" s="39" t="n">
        <f aca="false">MY_PH(AP$2,$A214)</f>
        <v>3.49668252451676E-005</v>
      </c>
      <c r="AQ214" s="39" t="n">
        <f aca="false">MY_PH(AQ$2,$A214)</f>
        <v>3.68451374042052E-005</v>
      </c>
      <c r="AR214" s="39" t="n">
        <f aca="false">MY_PH(AR$2,$A214)</f>
        <v>3.72448240990012E-005</v>
      </c>
      <c r="AS214" s="39" t="n">
        <f aca="false">MY_PH(AS$2,$A214)</f>
        <v>3.74271613578599E-005</v>
      </c>
    </row>
    <row r="215" customFormat="false" ht="13.8" hidden="false" customHeight="false" outlineLevel="0" collapsed="false">
      <c r="A215" s="0" t="n">
        <v>3750</v>
      </c>
      <c r="B215" s="39" t="n">
        <f aca="false">MY_PH(B$2,$A215)</f>
        <v>3.34009030298335E-005</v>
      </c>
      <c r="C215" s="39" t="n">
        <f aca="false">MY_PH(C$2,$A215)</f>
        <v>3.34009195143592E-005</v>
      </c>
      <c r="D215" s="39" t="n">
        <f aca="false">MY_PH(D$2,$A215)</f>
        <v>3.34009359989033E-005</v>
      </c>
      <c r="E215" s="39" t="n">
        <f aca="false">MY_PH(E$2,$A215)</f>
        <v>3.34009524834658E-005</v>
      </c>
      <c r="F215" s="39" t="n">
        <f aca="false">MY_PH(F$2,$A215)</f>
        <v>3.34009689680467E-005</v>
      </c>
      <c r="G215" s="39" t="n">
        <f aca="false">MY_PH(G$2,$A215)</f>
        <v>3.34011338148674E-005</v>
      </c>
      <c r="H215" s="39" t="n">
        <f aca="false">MY_PH(H$2,$A215)</f>
        <v>3.34012986635274E-005</v>
      </c>
      <c r="I215" s="39" t="n">
        <f aca="false">MY_PH(I$2,$A215)</f>
        <v>3.34014635140266E-005</v>
      </c>
      <c r="J215" s="39" t="n">
        <f aca="false">MY_PH(J$2,$A215)</f>
        <v>3.34016283663649E-005</v>
      </c>
      <c r="K215" s="39" t="n">
        <f aca="false">MY_PH(K$2,$A215)</f>
        <v>3.34017932205422E-005</v>
      </c>
      <c r="L215" s="39" t="n">
        <f aca="false">MY_PH(L$2,$A215)</f>
        <v>3.34019580765585E-005</v>
      </c>
      <c r="M215" s="39" t="n">
        <f aca="false">MY_PH(M$2,$A215)</f>
        <v>3.34021229344135E-005</v>
      </c>
      <c r="N215" s="39" t="n">
        <f aca="false">MY_PH(N$2,$A215)</f>
        <v>3.34022877941072E-005</v>
      </c>
      <c r="O215" s="39" t="n">
        <f aca="false">MY_PH(O$2,$A215)</f>
        <v>3.34024526556395E-005</v>
      </c>
      <c r="P215" s="39" t="n">
        <f aca="false">MY_PH(P$2,$A215)</f>
        <v>3.34041013720638E-005</v>
      </c>
      <c r="Q215" s="39" t="n">
        <f aca="false">MY_PH(Q$2,$A215)</f>
        <v>3.34057502722391E-005</v>
      </c>
      <c r="R215" s="39" t="n">
        <f aca="false">MY_PH(R$2,$A215)</f>
        <v>3.34073993560659E-005</v>
      </c>
      <c r="S215" s="39" t="n">
        <f aca="false">MY_PH(S$2,$A215)</f>
        <v>3.34090486234448E-005</v>
      </c>
      <c r="T215" s="39" t="n">
        <f aca="false">MY_PH(T$2,$A215)</f>
        <v>3.34106980742767E-005</v>
      </c>
      <c r="U215" s="39" t="n">
        <f aca="false">MY_PH(U$2,$A215)</f>
        <v>3.34123477084621E-005</v>
      </c>
      <c r="V215" s="39" t="n">
        <f aca="false">MY_PH(V$2,$A215)</f>
        <v>3.34139975259019E-005</v>
      </c>
      <c r="W215" s="39" t="n">
        <f aca="false">MY_PH(W$2,$A215)</f>
        <v>3.34156475264969E-005</v>
      </c>
      <c r="X215" s="39" t="n">
        <f aca="false">MY_PH(X$2,$A215)</f>
        <v>3.34172977101479E-005</v>
      </c>
      <c r="Y215" s="39" t="n">
        <f aca="false">MY_PH(Y$2,$A215)</f>
        <v>3.34338095929521E-005</v>
      </c>
      <c r="Z215" s="39" t="n">
        <f aca="false">MY_PH(Z$2,$A215)</f>
        <v>3.34503396725636E-005</v>
      </c>
      <c r="AA215" s="39" t="n">
        <f aca="false">MY_PH(AA$2,$A215)</f>
        <v>3.34668878504357E-005</v>
      </c>
      <c r="AB215" s="39" t="n">
        <f aca="false">MY_PH(AB$2,$A215)</f>
        <v>3.3483454028388E-005</v>
      </c>
      <c r="AC215" s="39" t="n">
        <f aca="false">MY_PH(AC$2,$A215)</f>
        <v>3.35000381086042E-005</v>
      </c>
      <c r="AD215" s="39" t="n">
        <f aca="false">MY_PH(AD$2,$A215)</f>
        <v>3.35166399936302E-005</v>
      </c>
      <c r="AE215" s="39" t="n">
        <f aca="false">MY_PH(AE$2,$A215)</f>
        <v>3.35332595863715E-005</v>
      </c>
      <c r="AF215" s="39" t="n">
        <f aca="false">MY_PH(AF$2,$A215)</f>
        <v>3.35498967900922E-005</v>
      </c>
      <c r="AG215" s="39" t="n">
        <f aca="false">MY_PH(AG$2,$A215)</f>
        <v>3.35665515084121E-005</v>
      </c>
      <c r="AH215" s="39" t="n">
        <f aca="false">MY_PH(AH$2,$A215)</f>
        <v>3.37340410416628E-005</v>
      </c>
      <c r="AI215" s="39" t="n">
        <f aca="false">MY_PH(AI$2,$A215)</f>
        <v>3.39031785862658E-005</v>
      </c>
      <c r="AJ215" s="39" t="n">
        <f aca="false">MY_PH(AJ$2,$A215)</f>
        <v>3.40741401262118E-005</v>
      </c>
      <c r="AK215" s="39" t="n">
        <f aca="false">MY_PH(AK$2,$A215)</f>
        <v>3.42462242334507E-005</v>
      </c>
      <c r="AL215" s="39" t="n">
        <f aca="false">MY_PH(AL$2,$A215)</f>
        <v>3.44199422595765E-005</v>
      </c>
      <c r="AM215" s="39" t="n">
        <f aca="false">MY_PH(AM$2,$A215)</f>
        <v>3.45952315873926E-005</v>
      </c>
      <c r="AN215" s="39" t="n">
        <f aca="false">MY_PH(AN$2,$A215)</f>
        <v>3.47720314858071E-005</v>
      </c>
      <c r="AO215" s="39" t="n">
        <f aca="false">MY_PH(AO$2,$A215)</f>
        <v>3.49502829494616E-005</v>
      </c>
      <c r="AP215" s="39" t="n">
        <f aca="false">MY_PH(AP$2,$A215)</f>
        <v>3.51299285547158E-005</v>
      </c>
      <c r="AQ215" s="39" t="n">
        <f aca="false">MY_PH(AQ$2,$A215)</f>
        <v>3.69913437550327E-005</v>
      </c>
      <c r="AR215" s="39" t="n">
        <f aca="false">MY_PH(AR$2,$A215)</f>
        <v>3.73875446147681E-005</v>
      </c>
      <c r="AS215" s="39" t="n">
        <f aca="false">MY_PH(AS$2,$A215)</f>
        <v>3.75683047190884E-005</v>
      </c>
    </row>
    <row r="216" customFormat="false" ht="13.8" hidden="false" customHeight="false" outlineLevel="0" collapsed="false">
      <c r="A216" s="0" t="n">
        <v>3760</v>
      </c>
      <c r="B216" s="39" t="n">
        <f aca="false">MY_PH(B$2,$A216)</f>
        <v>3.35799278979508E-005</v>
      </c>
      <c r="C216" s="39" t="n">
        <f aca="false">MY_PH(C$2,$A216)</f>
        <v>3.35799442243928E-005</v>
      </c>
      <c r="D216" s="39" t="n">
        <f aca="false">MY_PH(D$2,$A216)</f>
        <v>3.35799605508531E-005</v>
      </c>
      <c r="E216" s="39" t="n">
        <f aca="false">MY_PH(E$2,$A216)</f>
        <v>3.35799768773316E-005</v>
      </c>
      <c r="F216" s="39" t="n">
        <f aca="false">MY_PH(F$2,$A216)</f>
        <v>3.35799932038284E-005</v>
      </c>
      <c r="G216" s="39" t="n">
        <f aca="false">MY_PH(G$2,$A216)</f>
        <v>3.35801564698002E-005</v>
      </c>
      <c r="H216" s="39" t="n">
        <f aca="false">MY_PH(H$2,$A216)</f>
        <v>3.35803197375973E-005</v>
      </c>
      <c r="I216" s="39" t="n">
        <f aca="false">MY_PH(I$2,$A216)</f>
        <v>3.35804830072197E-005</v>
      </c>
      <c r="J216" s="39" t="n">
        <f aca="false">MY_PH(J$2,$A216)</f>
        <v>3.35806462786672E-005</v>
      </c>
      <c r="K216" s="39" t="n">
        <f aca="false">MY_PH(K$2,$A216)</f>
        <v>3.35808095519398E-005</v>
      </c>
      <c r="L216" s="39" t="n">
        <f aca="false">MY_PH(L$2,$A216)</f>
        <v>3.35809728270373E-005</v>
      </c>
      <c r="M216" s="39" t="n">
        <f aca="false">MY_PH(M$2,$A216)</f>
        <v>3.35811361039596E-005</v>
      </c>
      <c r="N216" s="39" t="n">
        <f aca="false">MY_PH(N$2,$A216)</f>
        <v>3.35812993827067E-005</v>
      </c>
      <c r="O216" s="39" t="n">
        <f aca="false">MY_PH(O$2,$A216)</f>
        <v>3.35814626632785E-005</v>
      </c>
      <c r="P216" s="39" t="n">
        <f aca="false">MY_PH(P$2,$A216)</f>
        <v>3.35830955693318E-005</v>
      </c>
      <c r="Q216" s="39" t="n">
        <f aca="false">MY_PH(Q$2,$A216)</f>
        <v>3.35847286577465E-005</v>
      </c>
      <c r="R216" s="39" t="n">
        <f aca="false">MY_PH(R$2,$A216)</f>
        <v>3.35863619284271E-005</v>
      </c>
      <c r="S216" s="39" t="n">
        <f aca="false">MY_PH(S$2,$A216)</f>
        <v>3.35879953812783E-005</v>
      </c>
      <c r="T216" s="39" t="n">
        <f aca="false">MY_PH(T$2,$A216)</f>
        <v>3.35896290162048E-005</v>
      </c>
      <c r="U216" s="39" t="n">
        <f aca="false">MY_PH(U$2,$A216)</f>
        <v>3.35912628331112E-005</v>
      </c>
      <c r="V216" s="39" t="n">
        <f aca="false">MY_PH(V$2,$A216)</f>
        <v>3.35928968319024E-005</v>
      </c>
      <c r="W216" s="39" t="n">
        <f aca="false">MY_PH(W$2,$A216)</f>
        <v>3.3594531012483E-005</v>
      </c>
      <c r="X216" s="39" t="n">
        <f aca="false">MY_PH(X$2,$A216)</f>
        <v>3.35961653747579E-005</v>
      </c>
      <c r="Y216" s="39" t="n">
        <f aca="false">MY_PH(Y$2,$A216)</f>
        <v>3.36125189697742E-005</v>
      </c>
      <c r="Z216" s="39" t="n">
        <f aca="false">MY_PH(Z$2,$A216)</f>
        <v>3.36288906297599E-005</v>
      </c>
      <c r="AA216" s="39" t="n">
        <f aca="false">MY_PH(AA$2,$A216)</f>
        <v>3.36452802600862E-005</v>
      </c>
      <c r="AB216" s="39" t="n">
        <f aca="false">MY_PH(AB$2,$A216)</f>
        <v>3.36616877664643E-005</v>
      </c>
      <c r="AC216" s="39" t="n">
        <f aca="false">MY_PH(AC$2,$A216)</f>
        <v>3.36781130549438E-005</v>
      </c>
      <c r="AD216" s="39" t="n">
        <f aca="false">MY_PH(AD$2,$A216)</f>
        <v>3.36945560319108E-005</v>
      </c>
      <c r="AE216" s="39" t="n">
        <f aca="false">MY_PH(AE$2,$A216)</f>
        <v>3.37110166040859E-005</v>
      </c>
      <c r="AF216" s="39" t="n">
        <f aca="false">MY_PH(AF$2,$A216)</f>
        <v>3.37274946785224E-005</v>
      </c>
      <c r="AG216" s="39" t="n">
        <f aca="false">MY_PH(AG$2,$A216)</f>
        <v>3.37439901626043E-005</v>
      </c>
      <c r="AH216" s="39" t="n">
        <f aca="false">MY_PH(AH$2,$A216)</f>
        <v>3.39098823912882E-005</v>
      </c>
      <c r="AI216" s="39" t="n">
        <f aca="false">MY_PH(AI$2,$A216)</f>
        <v>3.4077416093435E-005</v>
      </c>
      <c r="AJ216" s="39" t="n">
        <f aca="false">MY_PH(AJ$2,$A216)</f>
        <v>3.42467773896965E-005</v>
      </c>
      <c r="AK216" s="39" t="n">
        <f aca="false">MY_PH(AK$2,$A216)</f>
        <v>3.44172554069315E-005</v>
      </c>
      <c r="AL216" s="39" t="n">
        <f aca="false">MY_PH(AL$2,$A216)</f>
        <v>3.45893559985424E-005</v>
      </c>
      <c r="AM216" s="39" t="n">
        <f aca="false">MY_PH(AM$2,$A216)</f>
        <v>3.47630179172929E-005</v>
      </c>
      <c r="AN216" s="39" t="n">
        <f aca="false">MY_PH(AN$2,$A216)</f>
        <v>3.49381816898487E-005</v>
      </c>
      <c r="AO216" s="39" t="n">
        <f aca="false">MY_PH(AO$2,$A216)</f>
        <v>3.51147894686138E-005</v>
      </c>
      <c r="AP216" s="39" t="n">
        <f aca="false">MY_PH(AP$2,$A216)</f>
        <v>3.52927848988084E-005</v>
      </c>
      <c r="AQ216" s="39" t="n">
        <f aca="false">MY_PH(AQ$2,$A216)</f>
        <v>3.71375301463984E-005</v>
      </c>
      <c r="AR216" s="39" t="n">
        <f aca="false">MY_PH(AR$2,$A216)</f>
        <v>3.75302901136737E-005</v>
      </c>
      <c r="AS216" s="39" t="n">
        <f aca="false">MY_PH(AS$2,$A216)</f>
        <v>3.77094931890831E-005</v>
      </c>
    </row>
    <row r="217" customFormat="false" ht="13.8" hidden="false" customHeight="false" outlineLevel="0" collapsed="false">
      <c r="A217" s="0" t="n">
        <v>3770</v>
      </c>
      <c r="B217" s="39" t="n">
        <f aca="false">MY_PH(B$2,$A217)</f>
        <v>3.37584757251941E-005</v>
      </c>
      <c r="C217" s="39" t="n">
        <f aca="false">MY_PH(C$2,$A217)</f>
        <v>3.37584918956551E-005</v>
      </c>
      <c r="D217" s="39" t="n">
        <f aca="false">MY_PH(D$2,$A217)</f>
        <v>3.37585080661342E-005</v>
      </c>
      <c r="E217" s="39" t="n">
        <f aca="false">MY_PH(E$2,$A217)</f>
        <v>3.37585242366314E-005</v>
      </c>
      <c r="F217" s="39" t="n">
        <f aca="false">MY_PH(F$2,$A217)</f>
        <v>3.37585404071467E-005</v>
      </c>
      <c r="G217" s="39" t="n">
        <f aca="false">MY_PH(G$2,$A217)</f>
        <v>3.37587021132969E-005</v>
      </c>
      <c r="H217" s="39" t="n">
        <f aca="false">MY_PH(H$2,$A217)</f>
        <v>3.37588638212593E-005</v>
      </c>
      <c r="I217" s="39" t="n">
        <f aca="false">MY_PH(I$2,$A217)</f>
        <v>3.37590255310337E-005</v>
      </c>
      <c r="J217" s="39" t="n">
        <f aca="false">MY_PH(J$2,$A217)</f>
        <v>3.37591872426202E-005</v>
      </c>
      <c r="K217" s="39" t="n">
        <f aca="false">MY_PH(K$2,$A217)</f>
        <v>3.37593489560186E-005</v>
      </c>
      <c r="L217" s="39" t="n">
        <f aca="false">MY_PH(L$2,$A217)</f>
        <v>3.37595106712288E-005</v>
      </c>
      <c r="M217" s="39" t="n">
        <f aca="false">MY_PH(M$2,$A217)</f>
        <v>3.37596723882508E-005</v>
      </c>
      <c r="N217" s="39" t="n">
        <f aca="false">MY_PH(N$2,$A217)</f>
        <v>3.37598341070844E-005</v>
      </c>
      <c r="O217" s="39" t="n">
        <f aca="false">MY_PH(O$2,$A217)</f>
        <v>3.37599958277295E-005</v>
      </c>
      <c r="P217" s="39" t="n">
        <f aca="false">MY_PH(P$2,$A217)</f>
        <v>3.37616131337963E-005</v>
      </c>
      <c r="Q217" s="39" t="n">
        <f aca="false">MY_PH(Q$2,$A217)</f>
        <v>3.37632306209175E-005</v>
      </c>
      <c r="R217" s="39" t="n">
        <f aca="false">MY_PH(R$2,$A217)</f>
        <v>3.37648482890015E-005</v>
      </c>
      <c r="S217" s="39" t="n">
        <f aca="false">MY_PH(S$2,$A217)</f>
        <v>3.37664661379567E-005</v>
      </c>
      <c r="T217" s="39" t="n">
        <f aca="false">MY_PH(T$2,$A217)</f>
        <v>3.37680841676916E-005</v>
      </c>
      <c r="U217" s="39" t="n">
        <f aca="false">MY_PH(U$2,$A217)</f>
        <v>3.37697023781144E-005</v>
      </c>
      <c r="V217" s="39" t="n">
        <f aca="false">MY_PH(V$2,$A217)</f>
        <v>3.37713207691339E-005</v>
      </c>
      <c r="W217" s="39" t="n">
        <f aca="false">MY_PH(W$2,$A217)</f>
        <v>3.37729393406584E-005</v>
      </c>
      <c r="X217" s="39" t="n">
        <f aca="false">MY_PH(X$2,$A217)</f>
        <v>3.37745580925966E-005</v>
      </c>
      <c r="Y217" s="39" t="n">
        <f aca="false">MY_PH(Y$2,$A217)</f>
        <v>3.37907555146333E-005</v>
      </c>
      <c r="Z217" s="39" t="n">
        <f aca="false">MY_PH(Z$2,$A217)</f>
        <v>3.38069708776802E-005</v>
      </c>
      <c r="AA217" s="39" t="n">
        <f aca="false">MY_PH(AA$2,$A217)</f>
        <v>3.38232040908164E-005</v>
      </c>
      <c r="AB217" s="39" t="n">
        <f aca="false">MY_PH(AB$2,$A217)</f>
        <v>3.3839455063437E-005</v>
      </c>
      <c r="AC217" s="39" t="n">
        <f aca="false">MY_PH(AC$2,$A217)</f>
        <v>3.38557237052517E-005</v>
      </c>
      <c r="AD217" s="39" t="n">
        <f aca="false">MY_PH(AD$2,$A217)</f>
        <v>3.38720099262823E-005</v>
      </c>
      <c r="AE217" s="39" t="n">
        <f aca="false">MY_PH(AE$2,$A217)</f>
        <v>3.38883136368617E-005</v>
      </c>
      <c r="AF217" s="39" t="n">
        <f aca="false">MY_PH(AF$2,$A217)</f>
        <v>3.39046347476315E-005</v>
      </c>
      <c r="AG217" s="39" t="n">
        <f aca="false">MY_PH(AG$2,$A217)</f>
        <v>3.39209731695407E-005</v>
      </c>
      <c r="AH217" s="39" t="n">
        <f aca="false">MY_PH(AH$2,$A217)</f>
        <v>3.40852901263229E-005</v>
      </c>
      <c r="AI217" s="39" t="n">
        <f aca="false">MY_PH(AI$2,$A217)</f>
        <v>3.42512424567177E-005</v>
      </c>
      <c r="AJ217" s="39" t="n">
        <f aca="false">MY_PH(AJ$2,$A217)</f>
        <v>3.4419026324116E-005</v>
      </c>
      <c r="AK217" s="39" t="n">
        <f aca="false">MY_PH(AK$2,$A217)</f>
        <v>3.45879209450786E-005</v>
      </c>
      <c r="AL217" s="39" t="n">
        <f aca="false">MY_PH(AL$2,$A217)</f>
        <v>3.47584268924585E-005</v>
      </c>
      <c r="AM217" s="39" t="n">
        <f aca="false">MY_PH(AM$2,$A217)</f>
        <v>3.49304842464847E-005</v>
      </c>
      <c r="AN217" s="39" t="n">
        <f aca="false">MY_PH(AN$2,$A217)</f>
        <v>3.51040347555543E-005</v>
      </c>
      <c r="AO217" s="39" t="n">
        <f aca="false">MY_PH(AO$2,$A217)</f>
        <v>3.52790216993662E-005</v>
      </c>
      <c r="AP217" s="39" t="n">
        <f aca="false">MY_PH(AP$2,$A217)</f>
        <v>3.54553897662751E-005</v>
      </c>
      <c r="AQ217" s="39" t="n">
        <f aca="false">MY_PH(AQ$2,$A217)</f>
        <v>3.72836875766757E-005</v>
      </c>
      <c r="AR217" s="39" t="n">
        <f aca="false">MY_PH(AR$2,$A217)</f>
        <v>3.76730507700724E-005</v>
      </c>
      <c r="AS217" s="39" t="n">
        <f aca="false">MY_PH(AS$2,$A217)</f>
        <v>3.78507165786561E-005</v>
      </c>
    </row>
    <row r="218" customFormat="false" ht="13.8" hidden="false" customHeight="false" outlineLevel="0" collapsed="false">
      <c r="A218" s="0" t="n">
        <v>3780</v>
      </c>
      <c r="B218" s="39" t="n">
        <f aca="false">MY_PH(B$2,$A218)</f>
        <v>3.39365472539994E-005</v>
      </c>
      <c r="C218" s="39" t="n">
        <f aca="false">MY_PH(C$2,$A218)</f>
        <v>3.39365632705426E-005</v>
      </c>
      <c r="D218" s="39" t="n">
        <f aca="false">MY_PH(D$2,$A218)</f>
        <v>3.39365792871039E-005</v>
      </c>
      <c r="E218" s="39" t="n">
        <f aca="false">MY_PH(E$2,$A218)</f>
        <v>3.39365953036832E-005</v>
      </c>
      <c r="F218" s="39" t="n">
        <f aca="false">MY_PH(F$2,$A218)</f>
        <v>3.39366113202804E-005</v>
      </c>
      <c r="G218" s="39" t="n">
        <f aca="false">MY_PH(G$2,$A218)</f>
        <v>3.39367714872431E-005</v>
      </c>
      <c r="H218" s="39" t="n">
        <f aca="false">MY_PH(H$2,$A218)</f>
        <v>3.39369316560056E-005</v>
      </c>
      <c r="I218" s="39" t="n">
        <f aca="false">MY_PH(I$2,$A218)</f>
        <v>3.39370918265678E-005</v>
      </c>
      <c r="J218" s="39" t="n">
        <f aca="false">MY_PH(J$2,$A218)</f>
        <v>3.39372519989297E-005</v>
      </c>
      <c r="K218" s="39" t="n">
        <f aca="false">MY_PH(K$2,$A218)</f>
        <v>3.39374121730912E-005</v>
      </c>
      <c r="L218" s="39" t="n">
        <f aca="false">MY_PH(L$2,$A218)</f>
        <v>3.39375723490521E-005</v>
      </c>
      <c r="M218" s="39" t="n">
        <f aca="false">MY_PH(M$2,$A218)</f>
        <v>3.39377325268125E-005</v>
      </c>
      <c r="N218" s="39" t="n">
        <f aca="false">MY_PH(N$2,$A218)</f>
        <v>3.39378927063722E-005</v>
      </c>
      <c r="O218" s="39" t="n">
        <f aca="false">MY_PH(O$2,$A218)</f>
        <v>3.3938052887731E-005</v>
      </c>
      <c r="P218" s="39" t="n">
        <f aca="false">MY_PH(P$2,$A218)</f>
        <v>3.39396548002577E-005</v>
      </c>
      <c r="Q218" s="39" t="n">
        <f aca="false">MY_PH(Q$2,$A218)</f>
        <v>3.39412568926095E-005</v>
      </c>
      <c r="R218" s="39" t="n">
        <f aca="false">MY_PH(R$2,$A218)</f>
        <v>3.39428591646986E-005</v>
      </c>
      <c r="S218" s="39" t="n">
        <f aca="false">MY_PH(S$2,$A218)</f>
        <v>3.39444616164367E-005</v>
      </c>
      <c r="T218" s="39" t="n">
        <f aca="false">MY_PH(T$2,$A218)</f>
        <v>3.39460642477359E-005</v>
      </c>
      <c r="U218" s="39" t="n">
        <f aca="false">MY_PH(U$2,$A218)</f>
        <v>3.39476670585082E-005</v>
      </c>
      <c r="V218" s="39" t="n">
        <f aca="false">MY_PH(V$2,$A218)</f>
        <v>3.39492700486656E-005</v>
      </c>
      <c r="W218" s="39" t="n">
        <f aca="false">MY_PH(W$2,$A218)</f>
        <v>3.39508732181202E-005</v>
      </c>
      <c r="X218" s="39" t="n">
        <f aca="false">MY_PH(X$2,$A218)</f>
        <v>3.39524765667841E-005</v>
      </c>
      <c r="Y218" s="39" t="n">
        <f aca="false">MY_PH(Y$2,$A218)</f>
        <v>3.39685198906189E-005</v>
      </c>
      <c r="Z218" s="39" t="n">
        <f aca="false">MY_PH(Z$2,$A218)</f>
        <v>3.39845810389159E-005</v>
      </c>
      <c r="AA218" s="39" t="n">
        <f aca="false">MY_PH(AA$2,$A218)</f>
        <v>3.40006599242642E-005</v>
      </c>
      <c r="AB218" s="39" t="n">
        <f aca="false">MY_PH(AB$2,$A218)</f>
        <v>3.40167564595464E-005</v>
      </c>
      <c r="AC218" s="39" t="n">
        <f aca="false">MY_PH(AC$2,$A218)</f>
        <v>3.4032870557937E-005</v>
      </c>
      <c r="AD218" s="39" t="n">
        <f aca="false">MY_PH(AD$2,$A218)</f>
        <v>3.40490021329007E-005</v>
      </c>
      <c r="AE218" s="39" t="n">
        <f aca="false">MY_PH(AE$2,$A218)</f>
        <v>3.40651510981907E-005</v>
      </c>
      <c r="AF218" s="39" t="n">
        <f aca="false">MY_PH(AF$2,$A218)</f>
        <v>3.40813173678472E-005</v>
      </c>
      <c r="AG218" s="39" t="n">
        <f aca="false">MY_PH(AG$2,$A218)</f>
        <v>3.40975008561957E-005</v>
      </c>
      <c r="AH218" s="39" t="n">
        <f aca="false">MY_PH(AH$2,$A218)</f>
        <v>3.4260264120062E-005</v>
      </c>
      <c r="AI218" s="39" t="n">
        <f aca="false">MY_PH(AI$2,$A218)</f>
        <v>3.44246570676848E-005</v>
      </c>
      <c r="AJ218" s="39" t="n">
        <f aca="false">MY_PH(AJ$2,$A218)</f>
        <v>3.45908857071747E-005</v>
      </c>
      <c r="AK218" s="39" t="n">
        <f aca="false">MY_PH(AK$2,$A218)</f>
        <v>3.47582190865751E-005</v>
      </c>
      <c r="AL218" s="39" t="n">
        <f aca="false">MY_PH(AL$2,$A218)</f>
        <v>3.49271526498247E-005</v>
      </c>
      <c r="AM218" s="39" t="n">
        <f aca="false">MY_PH(AM$2,$A218)</f>
        <v>3.50976277629951E-005</v>
      </c>
      <c r="AN218" s="39" t="n">
        <f aca="false">MY_PH(AN$2,$A218)</f>
        <v>3.52695873607099E-005</v>
      </c>
      <c r="AO218" s="39" t="n">
        <f aca="false">MY_PH(AO$2,$A218)</f>
        <v>3.54429758197387E-005</v>
      </c>
      <c r="AP218" s="39" t="n">
        <f aca="false">MY_PH(AP$2,$A218)</f>
        <v>3.56177388458696E-005</v>
      </c>
      <c r="AQ218" s="39" t="n">
        <f aca="false">MY_PH(AQ$2,$A218)</f>
        <v>3.74298073551079E-005</v>
      </c>
      <c r="AR218" s="39" t="n">
        <f aca="false">MY_PH(AR$2,$A218)</f>
        <v>3.781581708671E-005</v>
      </c>
      <c r="AS218" s="39" t="n">
        <f aca="false">MY_PH(AS$2,$A218)</f>
        <v>3.79919650343467E-005</v>
      </c>
    </row>
    <row r="219" customFormat="false" ht="13.8" hidden="false" customHeight="false" outlineLevel="0" collapsed="false">
      <c r="A219" s="0" t="n">
        <v>3790</v>
      </c>
      <c r="B219" s="39" t="n">
        <f aca="false">MY_PH(B$2,$A219)</f>
        <v>3.41141432760993E-005</v>
      </c>
      <c r="C219" s="39" t="n">
        <f aca="false">MY_PH(C$2,$A219)</f>
        <v>3.41141591407505E-005</v>
      </c>
      <c r="D219" s="39" t="n">
        <f aca="false">MY_PH(D$2,$A219)</f>
        <v>3.41141750054195E-005</v>
      </c>
      <c r="E219" s="39" t="n">
        <f aca="false">MY_PH(E$2,$A219)</f>
        <v>3.41141908701064E-005</v>
      </c>
      <c r="F219" s="39" t="n">
        <f aca="false">MY_PH(F$2,$A219)</f>
        <v>3.41142067348112E-005</v>
      </c>
      <c r="G219" s="39" t="n">
        <f aca="false">MY_PH(G$2,$A219)</f>
        <v>3.41143653828427E-005</v>
      </c>
      <c r="H219" s="39" t="n">
        <f aca="false">MY_PH(H$2,$A219)</f>
        <v>3.41145240326624E-005</v>
      </c>
      <c r="I219" s="39" t="n">
        <f aca="false">MY_PH(I$2,$A219)</f>
        <v>3.41146826842702E-005</v>
      </c>
      <c r="J219" s="39" t="n">
        <f aca="false">MY_PH(J$2,$A219)</f>
        <v>3.41148413376661E-005</v>
      </c>
      <c r="K219" s="39" t="n">
        <f aca="false">MY_PH(K$2,$A219)</f>
        <v>3.41149999928499E-005</v>
      </c>
      <c r="L219" s="39" t="n">
        <f aca="false">MY_PH(L$2,$A219)</f>
        <v>3.41151586498216E-005</v>
      </c>
      <c r="M219" s="39" t="n">
        <f aca="false">MY_PH(M$2,$A219)</f>
        <v>3.41153173085811E-005</v>
      </c>
      <c r="N219" s="39" t="n">
        <f aca="false">MY_PH(N$2,$A219)</f>
        <v>3.41154759691282E-005</v>
      </c>
      <c r="O219" s="39" t="n">
        <f aca="false">MY_PH(O$2,$A219)</f>
        <v>3.41156346314631E-005</v>
      </c>
      <c r="P219" s="39" t="n">
        <f aca="false">MY_PH(P$2,$A219)</f>
        <v>3.41172213531117E-005</v>
      </c>
      <c r="Q219" s="39" t="n">
        <f aca="false">MY_PH(Q$2,$A219)</f>
        <v>3.41188082534291E-005</v>
      </c>
      <c r="R219" s="39" t="n">
        <f aca="false">MY_PH(R$2,$A219)</f>
        <v>3.41203953323307E-005</v>
      </c>
      <c r="S219" s="39" t="n">
        <f aca="false">MY_PH(S$2,$A219)</f>
        <v>3.41219825897317E-005</v>
      </c>
      <c r="T219" s="39" t="n">
        <f aca="false">MY_PH(T$2,$A219)</f>
        <v>3.41235700255476E-005</v>
      </c>
      <c r="U219" s="39" t="n">
        <f aca="false">MY_PH(U$2,$A219)</f>
        <v>3.41251576396937E-005</v>
      </c>
      <c r="V219" s="39" t="n">
        <f aca="false">MY_PH(V$2,$A219)</f>
        <v>3.41267454320853E-005</v>
      </c>
      <c r="W219" s="39" t="n">
        <f aca="false">MY_PH(W$2,$A219)</f>
        <v>3.4128333402638E-005</v>
      </c>
      <c r="X219" s="39" t="n">
        <f aca="false">MY_PH(X$2,$A219)</f>
        <v>3.41299215512671E-005</v>
      </c>
      <c r="Y219" s="39" t="n">
        <f aca="false">MY_PH(Y$2,$A219)</f>
        <v>3.41458128131855E-005</v>
      </c>
      <c r="Z219" s="39" t="n">
        <f aca="false">MY_PH(Z$2,$A219)</f>
        <v>3.41617217899608E-005</v>
      </c>
      <c r="AA219" s="39" t="n">
        <f aca="false">MY_PH(AA$2,$A219)</f>
        <v>3.41776483975048E-005</v>
      </c>
      <c r="AB219" s="39" t="n">
        <f aca="false">MY_PH(AB$2,$A219)</f>
        <v>3.41935925520017E-005</v>
      </c>
      <c r="AC219" s="39" t="n">
        <f aca="false">MY_PH(AC$2,$A219)</f>
        <v>3.42095541699069E-005</v>
      </c>
      <c r="AD219" s="39" t="n">
        <f aca="false">MY_PH(AD$2,$A219)</f>
        <v>3.4225533167945E-005</v>
      </c>
      <c r="AE219" s="39" t="n">
        <f aca="false">MY_PH(AE$2,$A219)</f>
        <v>3.42415294631084E-005</v>
      </c>
      <c r="AF219" s="39" t="n">
        <f aca="false">MY_PH(AF$2,$A219)</f>
        <v>3.42575429726558E-005</v>
      </c>
      <c r="AG219" s="39" t="n">
        <f aca="false">MY_PH(AG$2,$A219)</f>
        <v>3.42735736141109E-005</v>
      </c>
      <c r="AH219" s="39" t="n">
        <f aca="false">MY_PH(AH$2,$A219)</f>
        <v>3.44348043250072E-005</v>
      </c>
      <c r="AI219" s="39" t="n">
        <f aca="false">MY_PH(AI$2,$A219)</f>
        <v>3.45976594105774E-005</v>
      </c>
      <c r="AJ219" s="39" t="n">
        <f aca="false">MY_PH(AJ$2,$A219)</f>
        <v>3.47623544173088E-005</v>
      </c>
      <c r="AK219" s="39" t="n">
        <f aca="false">MY_PH(AK$2,$A219)</f>
        <v>3.49281481875812E-005</v>
      </c>
      <c r="AL219" s="39" t="n">
        <f aca="false">MY_PH(AL$2,$A219)</f>
        <v>3.50955311126912E-005</v>
      </c>
      <c r="AM219" s="39" t="n">
        <f aca="false">MY_PH(AM$2,$A219)</f>
        <v>3.52644458037956E-005</v>
      </c>
      <c r="AN219" s="39" t="n">
        <f aca="false">MY_PH(AN$2,$A219)</f>
        <v>3.54348363467754E-005</v>
      </c>
      <c r="AO219" s="39" t="n">
        <f aca="false">MY_PH(AO$2,$A219)</f>
        <v>3.5606648185515E-005</v>
      </c>
      <c r="AP219" s="39" t="n">
        <f aca="false">MY_PH(AP$2,$A219)</f>
        <v>3.57798280175946E-005</v>
      </c>
      <c r="AQ219" s="39" t="n">
        <f aca="false">MY_PH(AQ$2,$A219)</f>
        <v>3.75758810914331E-005</v>
      </c>
      <c r="AR219" s="39" t="n">
        <f aca="false">MY_PH(AR$2,$A219)</f>
        <v>3.79585798846866E-005</v>
      </c>
      <c r="AS219" s="39" t="n">
        <f aca="false">MY_PH(AS$2,$A219)</f>
        <v>3.81332290286262E-005</v>
      </c>
    </row>
    <row r="220" customFormat="false" ht="13.8" hidden="false" customHeight="false" outlineLevel="0" collapsed="false">
      <c r="A220" s="0" t="n">
        <v>3800</v>
      </c>
      <c r="B220" s="39" t="n">
        <f aca="false">MY_PH(B$2,$A220)</f>
        <v>3.42912646306571E-005</v>
      </c>
      <c r="C220" s="39" t="n">
        <f aca="false">MY_PH(C$2,$A220)</f>
        <v>3.42912803454053E-005</v>
      </c>
      <c r="D220" s="39" t="n">
        <f aca="false">MY_PH(D$2,$A220)</f>
        <v>3.42912960601713E-005</v>
      </c>
      <c r="E220" s="39" t="n">
        <f aca="false">MY_PH(E$2,$A220)</f>
        <v>3.42913117749551E-005</v>
      </c>
      <c r="F220" s="39" t="n">
        <f aca="false">MY_PH(F$2,$A220)</f>
        <v>3.42913274897566E-005</v>
      </c>
      <c r="G220" s="39" t="n">
        <f aca="false">MY_PH(G$2,$A220)</f>
        <v>3.42914846387496E-005</v>
      </c>
      <c r="H220" s="39" t="n">
        <f aca="false">MY_PH(H$2,$A220)</f>
        <v>3.42916417895198E-005</v>
      </c>
      <c r="I220" s="39" t="n">
        <f aca="false">MY_PH(I$2,$A220)</f>
        <v>3.42917989420672E-005</v>
      </c>
      <c r="J220" s="39" t="n">
        <f aca="false">MY_PH(J$2,$A220)</f>
        <v>3.42919560963917E-005</v>
      </c>
      <c r="K220" s="39" t="n">
        <f aca="false">MY_PH(K$2,$A220)</f>
        <v>3.42921132524932E-005</v>
      </c>
      <c r="L220" s="39" t="n">
        <f aca="false">MY_PH(L$2,$A220)</f>
        <v>3.42922704103717E-005</v>
      </c>
      <c r="M220" s="39" t="n">
        <f aca="false">MY_PH(M$2,$A220)</f>
        <v>3.42924275700271E-005</v>
      </c>
      <c r="N220" s="39" t="n">
        <f aca="false">MY_PH(N$2,$A220)</f>
        <v>3.42925847314592E-005</v>
      </c>
      <c r="O220" s="39" t="n">
        <f aca="false">MY_PH(O$2,$A220)</f>
        <v>3.42927418946681E-005</v>
      </c>
      <c r="P220" s="39" t="n">
        <f aca="false">MY_PH(P$2,$A220)</f>
        <v>3.42943136244571E-005</v>
      </c>
      <c r="Q220" s="39" t="n">
        <f aca="false">MY_PH(Q$2,$A220)</f>
        <v>3.42958855318266E-005</v>
      </c>
      <c r="R220" s="39" t="n">
        <f aca="false">MY_PH(R$2,$A220)</f>
        <v>3.4297457616695E-005</v>
      </c>
      <c r="S220" s="39" t="n">
        <f aca="false">MY_PH(S$2,$A220)</f>
        <v>3.42990298789808E-005</v>
      </c>
      <c r="T220" s="39" t="n">
        <f aca="false">MY_PH(T$2,$A220)</f>
        <v>3.43006023186025E-005</v>
      </c>
      <c r="U220" s="39" t="n">
        <f aca="false">MY_PH(U$2,$A220)</f>
        <v>3.43021749354788E-005</v>
      </c>
      <c r="V220" s="39" t="n">
        <f aca="false">MY_PH(V$2,$A220)</f>
        <v>3.43037477295282E-005</v>
      </c>
      <c r="W220" s="39" t="n">
        <f aca="false">MY_PH(W$2,$A220)</f>
        <v>3.43053207006693E-005</v>
      </c>
      <c r="X220" s="39" t="n">
        <f aca="false">MY_PH(X$2,$A220)</f>
        <v>3.43068938488207E-005</v>
      </c>
      <c r="Y220" s="39" t="n">
        <f aca="false">MY_PH(Y$2,$A220)</f>
        <v>3.43226350480228E-005</v>
      </c>
      <c r="Z220" s="39" t="n">
        <f aca="false">MY_PH(Z$2,$A220)</f>
        <v>3.43383938589502E-005</v>
      </c>
      <c r="AA220" s="39" t="n">
        <f aca="false">MY_PH(AA$2,$A220)</f>
        <v>3.43541702006603E-005</v>
      </c>
      <c r="AB220" s="39" t="n">
        <f aca="false">MY_PH(AB$2,$A220)</f>
        <v>3.43699639924633E-005</v>
      </c>
      <c r="AC220" s="39" t="n">
        <f aca="false">MY_PH(AC$2,$A220)</f>
        <v>3.43857751539211E-005</v>
      </c>
      <c r="AD220" s="39" t="n">
        <f aca="false">MY_PH(AD$2,$A220)</f>
        <v>3.44016036048451E-005</v>
      </c>
      <c r="AE220" s="39" t="n">
        <f aca="false">MY_PH(AE$2,$A220)</f>
        <v>3.44174492652956E-005</v>
      </c>
      <c r="AF220" s="39" t="n">
        <f aca="false">MY_PH(AF$2,$A220)</f>
        <v>3.44333120555797E-005</v>
      </c>
      <c r="AG220" s="39" t="n">
        <f aca="false">MY_PH(AG$2,$A220)</f>
        <v>3.44491918962503E-005</v>
      </c>
      <c r="AH220" s="39" t="n">
        <f aca="false">MY_PH(AH$2,$A220)</f>
        <v>3.46089107685683E-005</v>
      </c>
      <c r="AI220" s="39" t="n">
        <f aca="false">MY_PH(AI$2,$A220)</f>
        <v>3.47702490570096E-005</v>
      </c>
      <c r="AJ220" s="39" t="n">
        <f aca="false">MY_PH(AJ$2,$A220)</f>
        <v>3.49334314289175E-005</v>
      </c>
      <c r="AK220" s="39" t="n">
        <f aca="false">MY_PH(AK$2,$A220)</f>
        <v>3.50977067162523E-005</v>
      </c>
      <c r="AL220" s="39" t="n">
        <f aca="false">MY_PH(AL$2,$A220)</f>
        <v>3.52635602505177E-005</v>
      </c>
      <c r="AM220" s="39" t="n">
        <f aca="false">MY_PH(AM$2,$A220)</f>
        <v>3.54309358480585E-005</v>
      </c>
      <c r="AN220" s="39" t="n">
        <f aca="false">MY_PH(AN$2,$A220)</f>
        <v>3.55997787115903E-005</v>
      </c>
      <c r="AO220" s="39" t="n">
        <f aca="false">MY_PH(AO$2,$A220)</f>
        <v>3.57700353224501E-005</v>
      </c>
      <c r="AP220" s="39" t="n">
        <f aca="false">MY_PH(AP$2,$A220)</f>
        <v>3.59416533444601E-005</v>
      </c>
      <c r="AQ220" s="39" t="n">
        <f aca="false">MY_PH(AQ$2,$A220)</f>
        <v>3.77219006857458E-005</v>
      </c>
      <c r="AR220" s="39" t="n">
        <f aca="false">MY_PH(AR$2,$A220)</f>
        <v>3.81013302935458E-005</v>
      </c>
      <c r="AS220" s="39" t="n">
        <f aca="false">MY_PH(AS$2,$A220)</f>
        <v>3.8274499350169E-005</v>
      </c>
    </row>
    <row r="221" customFormat="false" ht="13.8" hidden="false" customHeight="false" outlineLevel="0" collapsed="false">
      <c r="A221" s="0" t="n">
        <v>3810</v>
      </c>
      <c r="B221" s="39" t="n">
        <f aca="false">MY_PH(B$2,$A221)</f>
        <v>3.44679122024618E-005</v>
      </c>
      <c r="C221" s="39" t="n">
        <f aca="false">MY_PH(C$2,$A221)</f>
        <v>3.44679277692612E-005</v>
      </c>
      <c r="D221" s="39" t="n">
        <f aca="false">MY_PH(D$2,$A221)</f>
        <v>3.44679433360783E-005</v>
      </c>
      <c r="E221" s="39" t="n">
        <f aca="false">MY_PH(E$2,$A221)</f>
        <v>3.4467958902913E-005</v>
      </c>
      <c r="F221" s="39" t="n">
        <f aca="false">MY_PH(F$2,$A221)</f>
        <v>3.44679744697655E-005</v>
      </c>
      <c r="G221" s="39" t="n">
        <f aca="false">MY_PH(G$2,$A221)</f>
        <v>3.44681301392616E-005</v>
      </c>
      <c r="H221" s="39" t="n">
        <f aca="false">MY_PH(H$2,$A221)</f>
        <v>3.44682858105247E-005</v>
      </c>
      <c r="I221" s="39" t="n">
        <f aca="false">MY_PH(I$2,$A221)</f>
        <v>3.44684414835547E-005</v>
      </c>
      <c r="J221" s="39" t="n">
        <f aca="false">MY_PH(J$2,$A221)</f>
        <v>3.44685971583515E-005</v>
      </c>
      <c r="K221" s="39" t="n">
        <f aca="false">MY_PH(K$2,$A221)</f>
        <v>3.44687528349151E-005</v>
      </c>
      <c r="L221" s="39" t="n">
        <f aca="false">MY_PH(L$2,$A221)</f>
        <v>3.44689085132452E-005</v>
      </c>
      <c r="M221" s="39" t="n">
        <f aca="false">MY_PH(M$2,$A221)</f>
        <v>3.4469064193342E-005</v>
      </c>
      <c r="N221" s="39" t="n">
        <f aca="false">MY_PH(N$2,$A221)</f>
        <v>3.44692198752052E-005</v>
      </c>
      <c r="O221" s="39" t="n">
        <f aca="false">MY_PH(O$2,$A221)</f>
        <v>3.44693755588349E-005</v>
      </c>
      <c r="P221" s="39" t="n">
        <f aca="false">MY_PH(P$2,$A221)</f>
        <v>3.4470932492267E-005</v>
      </c>
      <c r="Q221" s="39" t="n">
        <f aca="false">MY_PH(Q$2,$A221)</f>
        <v>3.44724896022543E-005</v>
      </c>
      <c r="R221" s="39" t="n">
        <f aca="false">MY_PH(R$2,$A221)</f>
        <v>3.44740468887181E-005</v>
      </c>
      <c r="S221" s="39" t="n">
        <f aca="false">MY_PH(S$2,$A221)</f>
        <v>3.44756043515801E-005</v>
      </c>
      <c r="T221" s="39" t="n">
        <f aca="false">MY_PH(T$2,$A221)</f>
        <v>3.44771619907618E-005</v>
      </c>
      <c r="U221" s="39" t="n">
        <f aca="false">MY_PH(U$2,$A221)</f>
        <v>3.44787198061848E-005</v>
      </c>
      <c r="V221" s="39" t="n">
        <f aca="false">MY_PH(V$2,$A221)</f>
        <v>3.44802777977706E-005</v>
      </c>
      <c r="W221" s="39" t="n">
        <f aca="false">MY_PH(W$2,$A221)</f>
        <v>3.44818359654409E-005</v>
      </c>
      <c r="X221" s="39" t="n">
        <f aca="false">MY_PH(X$2,$A221)</f>
        <v>3.44833943091173E-005</v>
      </c>
      <c r="Y221" s="39" t="n">
        <f aca="false">MY_PH(Y$2,$A221)</f>
        <v>3.44989874089977E-005</v>
      </c>
      <c r="Z221" s="39" t="n">
        <f aca="false">MY_PH(Z$2,$A221)</f>
        <v>3.45145980234769E-005</v>
      </c>
      <c r="AA221" s="39" t="n">
        <f aca="false">MY_PH(AA$2,$A221)</f>
        <v>3.45302260745904E-005</v>
      </c>
      <c r="AB221" s="39" t="n">
        <f aca="false">MY_PH(AB$2,$A221)</f>
        <v>3.45458714846084E-005</v>
      </c>
      <c r="AC221" s="39" t="n">
        <f aca="false">MY_PH(AC$2,$A221)</f>
        <v>3.4561534176034E-005</v>
      </c>
      <c r="AD221" s="39" t="n">
        <f aca="false">MY_PH(AD$2,$A221)</f>
        <v>3.45772140716022E-005</v>
      </c>
      <c r="AE221" s="39" t="n">
        <f aca="false">MY_PH(AE$2,$A221)</f>
        <v>3.45929110942787E-005</v>
      </c>
      <c r="AF221" s="39" t="n">
        <f aca="false">MY_PH(AF$2,$A221)</f>
        <v>3.46086251672578E-005</v>
      </c>
      <c r="AG221" s="39" t="n">
        <f aca="false">MY_PH(AG$2,$A221)</f>
        <v>3.46243562139619E-005</v>
      </c>
      <c r="AH221" s="39" t="n">
        <f aca="false">MY_PH(AH$2,$A221)</f>
        <v>3.47825835489115E-005</v>
      </c>
      <c r="AI221" s="39" t="n">
        <f aca="false">MY_PH(AI$2,$A221)</f>
        <v>3.49424256608555E-005</v>
      </c>
      <c r="AJ221" s="39" t="n">
        <f aca="false">MY_PH(AJ$2,$A221)</f>
        <v>3.51041158078498E-005</v>
      </c>
      <c r="AK221" s="39" t="n">
        <f aca="false">MY_PH(AK$2,$A221)</f>
        <v>3.52668932475549E-005</v>
      </c>
      <c r="AL221" s="39" t="n">
        <f aca="false">MY_PH(AL$2,$A221)</f>
        <v>3.54312381543661E-005</v>
      </c>
      <c r="AM221" s="39" t="n">
        <f aca="false">MY_PH(AM$2,$A221)</f>
        <v>3.55970955107739E-005</v>
      </c>
      <c r="AN221" s="39" t="n">
        <f aca="false">MY_PH(AN$2,$A221)</f>
        <v>3.57644116024644E-005</v>
      </c>
      <c r="AO221" s="39" t="n">
        <f aca="false">MY_PH(AO$2,$A221)</f>
        <v>3.59331339188805E-005</v>
      </c>
      <c r="AP221" s="39" t="n">
        <f aca="false">MY_PH(AP$2,$A221)</f>
        <v>3.61032110646592E-005</v>
      </c>
      <c r="AQ221" s="39" t="n">
        <f aca="false">MY_PH(AQ$2,$A221)</f>
        <v>3.78678583186071E-005</v>
      </c>
      <c r="AR221" s="39" t="n">
        <f aca="false">MY_PH(AR$2,$A221)</f>
        <v>3.82440597415074E-005</v>
      </c>
      <c r="AS221" s="39" t="n">
        <f aca="false">MY_PH(AS$2,$A221)</f>
        <v>3.84157670942151E-005</v>
      </c>
    </row>
    <row r="222" customFormat="false" ht="13.8" hidden="false" customHeight="false" outlineLevel="0" collapsed="false">
      <c r="A222" s="0" t="n">
        <v>3820</v>
      </c>
      <c r="B222" s="39" t="n">
        <f aca="false">MY_PH(B$2,$A222)</f>
        <v>3.46440869201848E-005</v>
      </c>
      <c r="C222" s="39" t="n">
        <f aca="false">MY_PH(C$2,$A222)</f>
        <v>3.46441023409556E-005</v>
      </c>
      <c r="D222" s="39" t="n">
        <f aca="false">MY_PH(D$2,$A222)</f>
        <v>3.4644117761744E-005</v>
      </c>
      <c r="E222" s="39" t="n">
        <f aca="false">MY_PH(E$2,$A222)</f>
        <v>3.46441331825499E-005</v>
      </c>
      <c r="F222" s="39" t="n">
        <f aca="false">MY_PH(F$2,$A222)</f>
        <v>3.46441486033734E-005</v>
      </c>
      <c r="G222" s="39" t="n">
        <f aca="false">MY_PH(G$2,$A222)</f>
        <v>3.46443028125751E-005</v>
      </c>
      <c r="H222" s="39" t="n">
        <f aca="false">MY_PH(H$2,$A222)</f>
        <v>3.4644457023534E-005</v>
      </c>
      <c r="I222" s="39" t="n">
        <f aca="false">MY_PH(I$2,$A222)</f>
        <v>3.46446112362501E-005</v>
      </c>
      <c r="J222" s="39" t="n">
        <f aca="false">MY_PH(J$2,$A222)</f>
        <v>3.46447654507233E-005</v>
      </c>
      <c r="K222" s="39" t="n">
        <f aca="false">MY_PH(K$2,$A222)</f>
        <v>3.46449196669535E-005</v>
      </c>
      <c r="L222" s="39" t="n">
        <f aca="false">MY_PH(L$2,$A222)</f>
        <v>3.46450738849406E-005</v>
      </c>
      <c r="M222" s="39" t="n">
        <f aca="false">MY_PH(M$2,$A222)</f>
        <v>3.46452281046846E-005</v>
      </c>
      <c r="N222" s="39" t="n">
        <f aca="false">MY_PH(N$2,$A222)</f>
        <v>3.46453823261854E-005</v>
      </c>
      <c r="O222" s="39" t="n">
        <f aca="false">MY_PH(O$2,$A222)</f>
        <v>3.46455365494429E-005</v>
      </c>
      <c r="P222" s="39" t="n">
        <f aca="false">MY_PH(P$2,$A222)</f>
        <v>3.46470788786205E-005</v>
      </c>
      <c r="Q222" s="39" t="n">
        <f aca="false">MY_PH(Q$2,$A222)</f>
        <v>3.46486213833861E-005</v>
      </c>
      <c r="R222" s="39" t="n">
        <f aca="false">MY_PH(R$2,$A222)</f>
        <v>3.46501640636641E-005</v>
      </c>
      <c r="S222" s="39" t="n">
        <f aca="false">MY_PH(S$2,$A222)</f>
        <v>3.4651706919379E-005</v>
      </c>
      <c r="T222" s="39" t="n">
        <f aca="false">MY_PH(T$2,$A222)</f>
        <v>3.4653249950455E-005</v>
      </c>
      <c r="U222" s="39" t="n">
        <f aca="false">MY_PH(U$2,$A222)</f>
        <v>3.46547931568166E-005</v>
      </c>
      <c r="V222" s="39" t="n">
        <f aca="false">MY_PH(V$2,$A222)</f>
        <v>3.46563365383884E-005</v>
      </c>
      <c r="W222" s="39" t="n">
        <f aca="false">MY_PH(W$2,$A222)</f>
        <v>3.46578800950947E-005</v>
      </c>
      <c r="X222" s="39" t="n">
        <f aca="false">MY_PH(X$2,$A222)</f>
        <v>3.465942382686E-005</v>
      </c>
      <c r="Y222" s="39" t="n">
        <f aca="false">MY_PH(Y$2,$A222)</f>
        <v>3.46748707561649E-005</v>
      </c>
      <c r="Z222" s="39" t="n">
        <f aca="false">MY_PH(Z$2,$A222)</f>
        <v>3.46903351084803E-005</v>
      </c>
      <c r="AA222" s="39" t="n">
        <f aca="false">MY_PH(AA$2,$A222)</f>
        <v>3.47058168086611E-005</v>
      </c>
      <c r="AB222" s="39" t="n">
        <f aca="false">MY_PH(AB$2,$A222)</f>
        <v>3.472131578178E-005</v>
      </c>
      <c r="AC222" s="39" t="n">
        <f aca="false">MY_PH(AC$2,$A222)</f>
        <v>3.47368319531257E-005</v>
      </c>
      <c r="AD222" s="39" t="n">
        <f aca="false">MY_PH(AD$2,$A222)</f>
        <v>3.47523652482017E-005</v>
      </c>
      <c r="AE222" s="39" t="n">
        <f aca="false">MY_PH(AE$2,$A222)</f>
        <v>3.47679155927254E-005</v>
      </c>
      <c r="AF222" s="39" t="n">
        <f aca="false">MY_PH(AF$2,$A222)</f>
        <v>3.47834829126261E-005</v>
      </c>
      <c r="AG222" s="39" t="n">
        <f aca="false">MY_PH(AG$2,$A222)</f>
        <v>3.47990671340443E-005</v>
      </c>
      <c r="AH222" s="39" t="n">
        <f aca="false">MY_PH(AH$2,$A222)</f>
        <v>3.49558228309551E-005</v>
      </c>
      <c r="AI222" s="39" t="n">
        <f aca="false">MY_PH(AI$2,$A222)</f>
        <v>3.51141889533196E-005</v>
      </c>
      <c r="AJ222" s="39" t="n">
        <f aca="false">MY_PH(AJ$2,$A222)</f>
        <v>3.52744067071323E-005</v>
      </c>
      <c r="AK222" s="39" t="n">
        <f aca="false">MY_PH(AK$2,$A222)</f>
        <v>3.54357064583604E-005</v>
      </c>
      <c r="AL222" s="39" t="n">
        <f aca="false">MY_PH(AL$2,$A222)</f>
        <v>3.55985630314053E-005</v>
      </c>
      <c r="AM222" s="39" t="n">
        <f aca="false">MY_PH(AM$2,$A222)</f>
        <v>3.57629225367095E-005</v>
      </c>
      <c r="AN222" s="39" t="n">
        <f aca="false">MY_PH(AN$2,$A222)</f>
        <v>3.59287323096338E-005</v>
      </c>
      <c r="AO222" s="39" t="n">
        <f aca="false">MY_PH(AO$2,$A222)</f>
        <v>3.60959408187186E-005</v>
      </c>
      <c r="AP222" s="39" t="n">
        <f aca="false">MY_PH(AP$2,$A222)</f>
        <v>3.62644975841397E-005</v>
      </c>
      <c r="AQ222" s="39" t="n">
        <f aca="false">MY_PH(AQ$2,$A222)</f>
        <v>3.80137464414095E-005</v>
      </c>
      <c r="AR222" s="39" t="n">
        <f aca="false">MY_PH(AR$2,$A222)</f>
        <v>3.8386759945863E-005</v>
      </c>
      <c r="AS222" s="39" t="n">
        <f aca="false">MY_PH(AS$2,$A222)</f>
        <v>3.85570236530436E-005</v>
      </c>
    </row>
    <row r="223" customFormat="false" ht="13.8" hidden="false" customHeight="false" outlineLevel="0" collapsed="false">
      <c r="A223" s="0" t="n">
        <v>3830</v>
      </c>
      <c r="B223" s="39" t="n">
        <f aca="false">MY_PH(B$2,$A223)</f>
        <v>3.48197897546941E-005</v>
      </c>
      <c r="C223" s="39" t="n">
        <f aca="false">MY_PH(C$2,$A223)</f>
        <v>3.48198050313236E-005</v>
      </c>
      <c r="D223" s="39" t="n">
        <f aca="false">MY_PH(D$2,$A223)</f>
        <v>3.48198203079705E-005</v>
      </c>
      <c r="E223" s="39" t="n">
        <f aca="false">MY_PH(E$2,$A223)</f>
        <v>3.4819835584635E-005</v>
      </c>
      <c r="F223" s="39" t="n">
        <f aca="false">MY_PH(F$2,$A223)</f>
        <v>3.48198508613169E-005</v>
      </c>
      <c r="G223" s="39" t="n">
        <f aca="false">MY_PH(G$2,$A223)</f>
        <v>3.48200036290974E-005</v>
      </c>
      <c r="H223" s="39" t="n">
        <f aca="false">MY_PH(H$2,$A223)</f>
        <v>3.4820156398626E-005</v>
      </c>
      <c r="I223" s="39" t="n">
        <f aca="false">MY_PH(I$2,$A223)</f>
        <v>3.48203091699026E-005</v>
      </c>
      <c r="J223" s="39" t="n">
        <f aca="false">MY_PH(J$2,$A223)</f>
        <v>3.4820461942927E-005</v>
      </c>
      <c r="K223" s="39" t="n">
        <f aca="false">MY_PH(K$2,$A223)</f>
        <v>3.48206147176994E-005</v>
      </c>
      <c r="L223" s="39" t="n">
        <f aca="false">MY_PH(L$2,$A223)</f>
        <v>3.48207674942195E-005</v>
      </c>
      <c r="M223" s="39" t="n">
        <f aca="false">MY_PH(M$2,$A223)</f>
        <v>3.48209202724872E-005</v>
      </c>
      <c r="N223" s="39" t="n">
        <f aca="false">MY_PH(N$2,$A223)</f>
        <v>3.48210730525026E-005</v>
      </c>
      <c r="O223" s="39" t="n">
        <f aca="false">MY_PH(O$2,$A223)</f>
        <v>3.48212258342656E-005</v>
      </c>
      <c r="P223" s="39" t="n">
        <f aca="false">MY_PH(P$2,$A223)</f>
        <v>3.48227537479941E-005</v>
      </c>
      <c r="Q223" s="39" t="n">
        <f aca="false">MY_PH(Q$2,$A223)</f>
        <v>3.48242818363971E-005</v>
      </c>
      <c r="R223" s="39" t="n">
        <f aca="false">MY_PH(R$2,$A223)</f>
        <v>3.48258100994016E-005</v>
      </c>
      <c r="S223" s="39" t="n">
        <f aca="false">MY_PH(S$2,$A223)</f>
        <v>3.48273385369347E-005</v>
      </c>
      <c r="T223" s="39" t="n">
        <f aca="false">MY_PH(T$2,$A223)</f>
        <v>3.48288671489235E-005</v>
      </c>
      <c r="U223" s="39" t="n">
        <f aca="false">MY_PH(U$2,$A223)</f>
        <v>3.48303959352952E-005</v>
      </c>
      <c r="V223" s="39" t="n">
        <f aca="false">MY_PH(V$2,$A223)</f>
        <v>3.48319248959768E-005</v>
      </c>
      <c r="W223" s="39" t="n">
        <f aca="false">MY_PH(W$2,$A223)</f>
        <v>3.48334540308956E-005</v>
      </c>
      <c r="X223" s="39" t="n">
        <f aca="false">MY_PH(X$2,$A223)</f>
        <v>3.48349833399788E-005</v>
      </c>
      <c r="Y223" s="39" t="n">
        <f aca="false">MY_PH(Y$2,$A223)</f>
        <v>3.4850285993846E-005</v>
      </c>
      <c r="Z223" s="39" t="n">
        <f aca="false">MY_PH(Z$2,$A223)</f>
        <v>3.48656059842081E-005</v>
      </c>
      <c r="AA223" s="39" t="n">
        <f aca="false">MY_PH(AA$2,$A223)</f>
        <v>3.48809432385899E-005</v>
      </c>
      <c r="AB223" s="39" t="n">
        <f aca="false">MY_PH(AB$2,$A223)</f>
        <v>3.48962976847177E-005</v>
      </c>
      <c r="AC223" s="39" t="n">
        <f aca="false">MY_PH(AC$2,$A223)</f>
        <v>3.49116692505181E-005</v>
      </c>
      <c r="AD223" s="39" t="n">
        <f aca="false">MY_PH(AD$2,$A223)</f>
        <v>3.49270578641167E-005</v>
      </c>
      <c r="AE223" s="39" t="n">
        <f aca="false">MY_PH(AE$2,$A223)</f>
        <v>3.49424634538368E-005</v>
      </c>
      <c r="AF223" s="39" t="n">
        <f aca="false">MY_PH(AF$2,$A223)</f>
        <v>3.49578859481984E-005</v>
      </c>
      <c r="AG223" s="39" t="n">
        <f aca="false">MY_PH(AG$2,$A223)</f>
        <v>3.49733252759171E-005</v>
      </c>
      <c r="AH223" s="39" t="n">
        <f aca="false">MY_PH(AH$2,$A223)</f>
        <v>3.51286288425094E-005</v>
      </c>
      <c r="AI223" s="39" t="n">
        <f aca="false">MY_PH(AI$2,$A223)</f>
        <v>3.52855387381874E-005</v>
      </c>
      <c r="AJ223" s="39" t="n">
        <f aca="false">MY_PH(AJ$2,$A223)</f>
        <v>3.54443033629232E-005</v>
      </c>
      <c r="AK223" s="39" t="n">
        <f aca="false">MY_PH(AK$2,$A223)</f>
        <v>3.56041451228051E-005</v>
      </c>
      <c r="AL223" s="39" t="n">
        <f aca="false">MY_PH(AL$2,$A223)</f>
        <v>3.57655331997134E-005</v>
      </c>
      <c r="AM223" s="39" t="n">
        <f aca="false">MY_PH(AM$2,$A223)</f>
        <v>3.59284147946939E-005</v>
      </c>
      <c r="AN223" s="39" t="n">
        <f aca="false">MY_PH(AN$2,$A223)</f>
        <v>3.60927382600643E-005</v>
      </c>
      <c r="AO223" s="39" t="n">
        <f aca="false">MY_PH(AO$2,$A223)</f>
        <v>3.62584530148121E-005</v>
      </c>
      <c r="AP223" s="39" t="n">
        <f aca="false">MY_PH(AP$2,$A223)</f>
        <v>3.64255094695557E-005</v>
      </c>
      <c r="AQ223" s="39" t="n">
        <f aca="false">MY_PH(AQ$2,$A223)</f>
        <v>3.8159557767006E-005</v>
      </c>
      <c r="AR223" s="39" t="n">
        <f aca="false">MY_PH(AR$2,$A223)</f>
        <v>3.85294229035492E-005</v>
      </c>
      <c r="AS223" s="39" t="n">
        <f aca="false">MY_PH(AS$2,$A223)</f>
        <v>3.86982607065783E-005</v>
      </c>
    </row>
    <row r="224" customFormat="false" ht="13.8" hidden="false" customHeight="false" outlineLevel="0" collapsed="false">
      <c r="A224" s="0" t="n">
        <v>3840</v>
      </c>
      <c r="B224" s="39" t="n">
        <f aca="false">MY_PH(B$2,$A224)</f>
        <v>3.4995021717425E-005</v>
      </c>
      <c r="C224" s="39" t="n">
        <f aca="false">MY_PH(C$2,$A224)</f>
        <v>3.49950368517685E-005</v>
      </c>
      <c r="D224" s="39" t="n">
        <f aca="false">MY_PH(D$2,$A224)</f>
        <v>3.49950519861293E-005</v>
      </c>
      <c r="E224" s="39" t="n">
        <f aca="false">MY_PH(E$2,$A224)</f>
        <v>3.49950671205075E-005</v>
      </c>
      <c r="F224" s="39" t="n">
        <f aca="false">MY_PH(F$2,$A224)</f>
        <v>3.49950822549031E-005</v>
      </c>
      <c r="G224" s="39" t="n">
        <f aca="false">MY_PH(G$2,$A224)</f>
        <v>3.4995233599816E-005</v>
      </c>
      <c r="H224" s="39" t="n">
        <f aca="false">MY_PH(H$2,$A224)</f>
        <v>3.49953849464683E-005</v>
      </c>
      <c r="I224" s="39" t="n">
        <f aca="false">MY_PH(I$2,$A224)</f>
        <v>3.49955362948598E-005</v>
      </c>
      <c r="J224" s="39" t="n">
        <f aca="false">MY_PH(J$2,$A224)</f>
        <v>3.49956876449905E-005</v>
      </c>
      <c r="K224" s="39" t="n">
        <f aca="false">MY_PH(K$2,$A224)</f>
        <v>3.49958389968604E-005</v>
      </c>
      <c r="L224" s="39" t="n">
        <f aca="false">MY_PH(L$2,$A224)</f>
        <v>3.49959903504694E-005</v>
      </c>
      <c r="M224" s="39" t="n">
        <f aca="false">MY_PH(M$2,$A224)</f>
        <v>3.49961417058174E-005</v>
      </c>
      <c r="N224" s="39" t="n">
        <f aca="false">MY_PH(N$2,$A224)</f>
        <v>3.49962930629044E-005</v>
      </c>
      <c r="O224" s="39" t="n">
        <f aca="false">MY_PH(O$2,$A224)</f>
        <v>3.49964444217302E-005</v>
      </c>
      <c r="P224" s="39" t="n">
        <f aca="false">MY_PH(P$2,$A224)</f>
        <v>3.49979581056106E-005</v>
      </c>
      <c r="Q224" s="39" t="n">
        <f aca="false">MY_PH(Q$2,$A224)</f>
        <v>3.49994719633005E-005</v>
      </c>
      <c r="R224" s="39" t="n">
        <f aca="false">MY_PH(R$2,$A224)</f>
        <v>3.50009859947296E-005</v>
      </c>
      <c r="S224" s="39" t="n">
        <f aca="false">MY_PH(S$2,$A224)</f>
        <v>3.50025001998275E-005</v>
      </c>
      <c r="T224" s="39" t="n">
        <f aca="false">MY_PH(T$2,$A224)</f>
        <v>3.5004014578524E-005</v>
      </c>
      <c r="U224" s="39" t="n">
        <f aca="false">MY_PH(U$2,$A224)</f>
        <v>3.50055291307486E-005</v>
      </c>
      <c r="V224" s="39" t="n">
        <f aca="false">MY_PH(V$2,$A224)</f>
        <v>3.5007043856431E-005</v>
      </c>
      <c r="W224" s="39" t="n">
        <f aca="false">MY_PH(W$2,$A224)</f>
        <v>3.50085587555011E-005</v>
      </c>
      <c r="X224" s="39" t="n">
        <f aca="false">MY_PH(X$2,$A224)</f>
        <v>3.50100738278885E-005</v>
      </c>
      <c r="Y224" s="39" t="n">
        <f aca="false">MY_PH(Y$2,$A224)</f>
        <v>3.50252340687731E-005</v>
      </c>
      <c r="Z224" s="39" t="n">
        <f aca="false">MY_PH(Z$2,$A224)</f>
        <v>3.50404115642483E-005</v>
      </c>
      <c r="AA224" s="39" t="n">
        <f aca="false">MY_PH(AA$2,$A224)</f>
        <v>3.50556062443669E-005</v>
      </c>
      <c r="AB224" s="39" t="n">
        <f aca="false">MY_PH(AB$2,$A224)</f>
        <v>3.50708180393679E-005</v>
      </c>
      <c r="AC224" s="39" t="n">
        <f aca="false">MY_PH(AC$2,$A224)</f>
        <v>3.50860468796758E-005</v>
      </c>
      <c r="AD224" s="39" t="n">
        <f aca="false">MY_PH(AD$2,$A224)</f>
        <v>3.51012926958996E-005</v>
      </c>
      <c r="AE224" s="39" t="n">
        <f aca="false">MY_PH(AE$2,$A224)</f>
        <v>3.51165554188311E-005</v>
      </c>
      <c r="AF224" s="39" t="n">
        <f aca="false">MY_PH(AF$2,$A224)</f>
        <v>3.51318349794443E-005</v>
      </c>
      <c r="AG224" s="39" t="n">
        <f aca="false">MY_PH(AG$2,$A224)</f>
        <v>3.5147131308894E-005</v>
      </c>
      <c r="AH224" s="39" t="n">
        <f aca="false">MY_PH(AH$2,$A224)</f>
        <v>3.53010018705613E-005</v>
      </c>
      <c r="AI224" s="39" t="n">
        <f aca="false">MY_PH(AI$2,$A224)</f>
        <v>3.54564748872563E-005</v>
      </c>
      <c r="AJ224" s="39" t="n">
        <f aca="false">MY_PH(AJ$2,$A224)</f>
        <v>3.56138050906815E-005</v>
      </c>
      <c r="AK224" s="39" t="n">
        <f aca="false">MY_PH(AK$2,$A224)</f>
        <v>3.57722081078964E-005</v>
      </c>
      <c r="AL224" s="39" t="n">
        <f aca="false">MY_PH(AL$2,$A224)</f>
        <v>3.59321470833584E-005</v>
      </c>
      <c r="AM224" s="39" t="n">
        <f aca="false">MY_PH(AM$2,$A224)</f>
        <v>3.60935702722063E-005</v>
      </c>
      <c r="AN224" s="39" t="n">
        <f aca="false">MY_PH(AN$2,$A224)</f>
        <v>3.62564270115834E-005</v>
      </c>
      <c r="AO224" s="39" t="n">
        <f aca="false">MY_PH(AO$2,$A224)</f>
        <v>3.64206676426511E-005</v>
      </c>
      <c r="AP224" s="39" t="n">
        <f aca="false">MY_PH(AP$2,$A224)</f>
        <v>3.65862434415806E-005</v>
      </c>
      <c r="AQ224" s="39" t="n">
        <f aca="false">MY_PH(AQ$2,$A224)</f>
        <v>3.83052852606077E-005</v>
      </c>
      <c r="AR224" s="39" t="n">
        <f aca="false">MY_PH(AR$2,$A224)</f>
        <v>3.86720408819119E-005</v>
      </c>
      <c r="AS224" s="39" t="n">
        <f aca="false">MY_PH(AS$2,$A224)</f>
        <v>3.88394702131435E-005</v>
      </c>
    </row>
    <row r="225" customFormat="false" ht="13.8" hidden="false" customHeight="false" outlineLevel="0" collapsed="false">
      <c r="A225" s="0" t="n">
        <v>3850</v>
      </c>
      <c r="B225" s="39" t="n">
        <f aca="false">MY_PH(B$2,$A225)</f>
        <v>3.51697838588054E-005</v>
      </c>
      <c r="C225" s="39" t="n">
        <f aca="false">MY_PH(C$2,$A225)</f>
        <v>3.51697988526869E-005</v>
      </c>
      <c r="D225" s="39" t="n">
        <f aca="false">MY_PH(D$2,$A225)</f>
        <v>3.51698138465858E-005</v>
      </c>
      <c r="E225" s="39" t="n">
        <f aca="false">MY_PH(E$2,$A225)</f>
        <v>3.5169828840502E-005</v>
      </c>
      <c r="F225" s="39" t="n">
        <f aca="false">MY_PH(F$2,$A225)</f>
        <v>3.51698438344355E-005</v>
      </c>
      <c r="G225" s="39" t="n">
        <f aca="false">MY_PH(G$2,$A225)</f>
        <v>3.51699937747225E-005</v>
      </c>
      <c r="H225" s="39" t="n">
        <f aca="false">MY_PH(H$2,$A225)</f>
        <v>3.51701437167406E-005</v>
      </c>
      <c r="I225" s="39" t="n">
        <f aca="false">MY_PH(I$2,$A225)</f>
        <v>3.51702936604898E-005</v>
      </c>
      <c r="J225" s="39" t="n">
        <f aca="false">MY_PH(J$2,$A225)</f>
        <v>3.51704436059699E-005</v>
      </c>
      <c r="K225" s="39" t="n">
        <f aca="false">MY_PH(K$2,$A225)</f>
        <v>3.51705935531809E-005</v>
      </c>
      <c r="L225" s="39" t="n">
        <f aca="false">MY_PH(L$2,$A225)</f>
        <v>3.51707435021228E-005</v>
      </c>
      <c r="M225" s="39" t="n">
        <f aca="false">MY_PH(M$2,$A225)</f>
        <v>3.51708934527955E-005</v>
      </c>
      <c r="N225" s="39" t="n">
        <f aca="false">MY_PH(N$2,$A225)</f>
        <v>3.51710434051988E-005</v>
      </c>
      <c r="O225" s="39" t="n">
        <f aca="false">MY_PH(O$2,$A225)</f>
        <v>3.51711933593328E-005</v>
      </c>
      <c r="P225" s="39" t="n">
        <f aca="false">MY_PH(P$2,$A225)</f>
        <v>3.51726929958425E-005</v>
      </c>
      <c r="Q225" s="39" t="n">
        <f aca="false">MY_PH(Q$2,$A225)</f>
        <v>3.51741928053409E-005</v>
      </c>
      <c r="R225" s="39" t="n">
        <f aca="false">MY_PH(R$2,$A225)</f>
        <v>3.51756927877599E-005</v>
      </c>
      <c r="S225" s="39" t="n">
        <f aca="false">MY_PH(S$2,$A225)</f>
        <v>3.51771929430316E-005</v>
      </c>
      <c r="T225" s="39" t="n">
        <f aca="false">MY_PH(T$2,$A225)</f>
        <v>3.51786932710882E-005</v>
      </c>
      <c r="U225" s="39" t="n">
        <f aca="false">MY_PH(U$2,$A225)</f>
        <v>3.51801937718617E-005</v>
      </c>
      <c r="V225" s="39" t="n">
        <f aca="false">MY_PH(V$2,$A225)</f>
        <v>3.51816944452842E-005</v>
      </c>
      <c r="W225" s="39" t="n">
        <f aca="false">MY_PH(W$2,$A225)</f>
        <v>3.5183195291288E-005</v>
      </c>
      <c r="X225" s="39" t="n">
        <f aca="false">MY_PH(X$2,$A225)</f>
        <v>3.51846963098051E-005</v>
      </c>
      <c r="Y225" s="39" t="n">
        <f aca="false">MY_PH(Y$2,$A225)</f>
        <v>3.51997159682979E-005</v>
      </c>
      <c r="Z225" s="39" t="n">
        <f aca="false">MY_PH(Z$2,$A225)</f>
        <v>3.52147528036306E-005</v>
      </c>
      <c r="AA225" s="39" t="n">
        <f aca="false">MY_PH(AA$2,$A225)</f>
        <v>3.5229806748249E-005</v>
      </c>
      <c r="AB225" s="39" t="n">
        <f aca="false">MY_PH(AB$2,$A225)</f>
        <v>3.5244877734772E-005</v>
      </c>
      <c r="AC225" s="39" t="n">
        <f aca="false">MY_PH(AC$2,$A225)</f>
        <v>3.52599656959897E-005</v>
      </c>
      <c r="AD225" s="39" t="n">
        <f aca="false">MY_PH(AD$2,$A225)</f>
        <v>3.52750705648629E-005</v>
      </c>
      <c r="AE225" s="39" t="n">
        <f aca="false">MY_PH(AE$2,$A225)</f>
        <v>3.52901922745216E-005</v>
      </c>
      <c r="AF225" s="39" t="n">
        <f aca="false">MY_PH(AF$2,$A225)</f>
        <v>3.53053307582643E-005</v>
      </c>
      <c r="AG225" s="39" t="n">
        <f aca="false">MY_PH(AG$2,$A225)</f>
        <v>3.53204859495566E-005</v>
      </c>
      <c r="AH225" s="39" t="n">
        <f aca="false">MY_PH(AH$2,$A225)</f>
        <v>3.54729422577023E-005</v>
      </c>
      <c r="AI225" s="39" t="n">
        <f aca="false">MY_PH(AI$2,$A225)</f>
        <v>3.5626997335945E-005</v>
      </c>
      <c r="AJ225" s="39" t="n">
        <f aca="false">MY_PH(AJ$2,$A225)</f>
        <v>3.5782911281536E-005</v>
      </c>
      <c r="AK225" s="39" t="n">
        <f aca="false">MY_PH(AK$2,$A225)</f>
        <v>3.59398943693566E-005</v>
      </c>
      <c r="AL225" s="39" t="n">
        <f aca="false">MY_PH(AL$2,$A225)</f>
        <v>3.6098403207745E-005</v>
      </c>
      <c r="AM225" s="39" t="n">
        <f aca="false">MY_PH(AM$2,$A225)</f>
        <v>3.62583870702566E-005</v>
      </c>
      <c r="AN225" s="39" t="n">
        <f aca="false">MY_PH(AN$2,$A225)</f>
        <v>3.64197962473242E-005</v>
      </c>
      <c r="AO225" s="39" t="n">
        <f aca="false">MY_PH(AO$2,$A225)</f>
        <v>3.65825819744054E-005</v>
      </c>
      <c r="AP225" s="39" t="n">
        <f aca="false">MY_PH(AP$2,$A225)</f>
        <v>3.67466963685644E-005</v>
      </c>
      <c r="AQ225" s="39" t="n">
        <f aca="false">MY_PH(AQ$2,$A225)</f>
        <v>3.84509221309541E-005</v>
      </c>
      <c r="AR225" s="39" t="n">
        <f aca="false">MY_PH(AR$2,$A225)</f>
        <v>3.8814606409677E-005</v>
      </c>
      <c r="AS225" s="39" t="n">
        <f aca="false">MY_PH(AS$2,$A225)</f>
        <v>3.89806444003859E-005</v>
      </c>
    </row>
    <row r="226" customFormat="false" ht="13.8" hidden="false" customHeight="false" outlineLevel="0" collapsed="false">
      <c r="A226" s="0" t="n">
        <v>3860</v>
      </c>
      <c r="B226" s="39" t="n">
        <f aca="false">MY_PH(B$2,$A226)</f>
        <v>3.53440772667335E-005</v>
      </c>
      <c r="C226" s="39" t="n">
        <f aca="false">MY_PH(C$2,$A226)</f>
        <v>3.53440921219468E-005</v>
      </c>
      <c r="D226" s="39" t="n">
        <f aca="false">MY_PH(D$2,$A226)</f>
        <v>3.53441069771774E-005</v>
      </c>
      <c r="E226" s="39" t="n">
        <f aca="false">MY_PH(E$2,$A226)</f>
        <v>3.53441218324252E-005</v>
      </c>
      <c r="F226" s="39" t="n">
        <f aca="false">MY_PH(F$2,$A226)</f>
        <v>3.53441366876902E-005</v>
      </c>
      <c r="G226" s="39" t="n">
        <f aca="false">MY_PH(G$2,$A226)</f>
        <v>3.53442852412885E-005</v>
      </c>
      <c r="H226" s="39" t="n">
        <f aca="false">MY_PH(H$2,$A226)</f>
        <v>3.53444337966101E-005</v>
      </c>
      <c r="I226" s="39" t="n">
        <f aca="false">MY_PH(I$2,$A226)</f>
        <v>3.53445823536548E-005</v>
      </c>
      <c r="J226" s="39" t="n">
        <f aca="false">MY_PH(J$2,$A226)</f>
        <v>3.53447309124227E-005</v>
      </c>
      <c r="K226" s="39" t="n">
        <f aca="false">MY_PH(K$2,$A226)</f>
        <v>3.53448794729136E-005</v>
      </c>
      <c r="L226" s="39" t="n">
        <f aca="false">MY_PH(L$2,$A226)</f>
        <v>3.53450280351275E-005</v>
      </c>
      <c r="M226" s="39" t="n">
        <f aca="false">MY_PH(M$2,$A226)</f>
        <v>3.53451765990643E-005</v>
      </c>
      <c r="N226" s="39" t="n">
        <f aca="false">MY_PH(N$2,$A226)</f>
        <v>3.5345325164724E-005</v>
      </c>
      <c r="O226" s="39" t="n">
        <f aca="false">MY_PH(O$2,$A226)</f>
        <v>3.53454737321065E-005</v>
      </c>
      <c r="P226" s="39" t="n">
        <f aca="false">MY_PH(P$2,$A226)</f>
        <v>3.53469595006703E-005</v>
      </c>
      <c r="Q226" s="39" t="n">
        <f aca="false">MY_PH(Q$2,$A226)</f>
        <v>3.53484454414412E-005</v>
      </c>
      <c r="R226" s="39" t="n">
        <f aca="false">MY_PH(R$2,$A226)</f>
        <v>3.53499315543534E-005</v>
      </c>
      <c r="S226" s="39" t="n">
        <f aca="false">MY_PH(S$2,$A226)</f>
        <v>3.53514178393413E-005</v>
      </c>
      <c r="T226" s="39" t="n">
        <f aca="false">MY_PH(T$2,$A226)</f>
        <v>3.53529042963393E-005</v>
      </c>
      <c r="U226" s="39" t="n">
        <f aca="false">MY_PH(U$2,$A226)</f>
        <v>3.53543909252818E-005</v>
      </c>
      <c r="V226" s="39" t="n">
        <f aca="false">MY_PH(V$2,$A226)</f>
        <v>3.53558777261031E-005</v>
      </c>
      <c r="W226" s="39" t="n">
        <f aca="false">MY_PH(W$2,$A226)</f>
        <v>3.53573646987378E-005</v>
      </c>
      <c r="X226" s="39" t="n">
        <f aca="false">MY_PH(X$2,$A226)</f>
        <v>3.53588518431203E-005</v>
      </c>
      <c r="Y226" s="39" t="n">
        <f aca="false">MY_PH(Y$2,$A226)</f>
        <v>3.53737327186626E-005</v>
      </c>
      <c r="Z226" s="39" t="n">
        <f aca="false">MY_PH(Z$2,$A226)</f>
        <v>3.53886306969938E-005</v>
      </c>
      <c r="AA226" s="39" t="n">
        <f aca="false">MY_PH(AA$2,$A226)</f>
        <v>3.54035457128263E-005</v>
      </c>
      <c r="AB226" s="39" t="n">
        <f aca="false">MY_PH(AB$2,$A226)</f>
        <v>3.54184777010322E-005</v>
      </c>
      <c r="AC226" s="39" t="n">
        <f aca="false">MY_PH(AC$2,$A226)</f>
        <v>3.54334265966421E-005</v>
      </c>
      <c r="AD226" s="39" t="n">
        <f aca="false">MY_PH(AD$2,$A226)</f>
        <v>3.54483923348442E-005</v>
      </c>
      <c r="AE226" s="39" t="n">
        <f aca="false">MY_PH(AE$2,$A226)</f>
        <v>3.54633748509833E-005</v>
      </c>
      <c r="AF226" s="39" t="n">
        <f aca="false">MY_PH(AF$2,$A226)</f>
        <v>3.54783740805597E-005</v>
      </c>
      <c r="AG226" s="39" t="n">
        <f aca="false">MY_PH(AG$2,$A226)</f>
        <v>3.54933899592286E-005</v>
      </c>
      <c r="AH226" s="39" t="n">
        <f aca="false">MY_PH(AH$2,$A226)</f>
        <v>3.56444503986972E-005</v>
      </c>
      <c r="AI226" s="39" t="n">
        <f aca="false">MY_PH(AI$2,$A226)</f>
        <v>3.57971060790803E-005</v>
      </c>
      <c r="AJ226" s="39" t="n">
        <f aca="false">MY_PH(AJ$2,$A226)</f>
        <v>3.59516213988451E-005</v>
      </c>
      <c r="AK226" s="39" t="n">
        <f aca="false">MY_PH(AK$2,$A226)</f>
        <v>3.61072029476853E-005</v>
      </c>
      <c r="AL226" s="39" t="n">
        <f aca="false">MY_PH(AL$2,$A226)</f>
        <v>3.62643001952086E-005</v>
      </c>
      <c r="AM226" s="39" t="n">
        <f aca="false">MY_PH(AM$2,$A226)</f>
        <v>3.64228633985389E-005</v>
      </c>
      <c r="AN226" s="39" t="n">
        <f aca="false">MY_PH(AN$2,$A226)</f>
        <v>3.65828437704646E-005</v>
      </c>
      <c r="AO226" s="39" t="n">
        <f aca="false">MY_PH(AO$2,$A226)</f>
        <v>3.67441934132735E-005</v>
      </c>
      <c r="AP226" s="39" t="n">
        <f aca="false">MY_PH(AP$2,$A226)</f>
        <v>3.69068652605175E-005</v>
      </c>
      <c r="AQ226" s="39" t="n">
        <f aca="false">MY_PH(AQ$2,$A226)</f>
        <v>3.85964618217612E-005</v>
      </c>
      <c r="AR226" s="39" t="n">
        <f aca="false">MY_PH(AR$2,$A226)</f>
        <v>3.89571122681356E-005</v>
      </c>
      <c r="AS226" s="39" t="n">
        <f aca="false">MY_PH(AS$2,$A226)</f>
        <v>3.91217757563799E-005</v>
      </c>
    </row>
    <row r="227" customFormat="false" ht="13.8" hidden="false" customHeight="false" outlineLevel="0" collapsed="false">
      <c r="A227" s="0" t="n">
        <v>3870</v>
      </c>
      <c r="B227" s="39" t="n">
        <f aca="false">MY_PH(B$2,$A227)</f>
        <v>3.55179030651069E-005</v>
      </c>
      <c r="C227" s="39" t="n">
        <f aca="false">MY_PH(C$2,$A227)</f>
        <v>3.55179177834158E-005</v>
      </c>
      <c r="D227" s="39" t="n">
        <f aca="false">MY_PH(D$2,$A227)</f>
        <v>3.5517932501742E-005</v>
      </c>
      <c r="E227" s="39" t="n">
        <f aca="false">MY_PH(E$2,$A227)</f>
        <v>3.55179472200853E-005</v>
      </c>
      <c r="F227" s="39" t="n">
        <f aca="false">MY_PH(F$2,$A227)</f>
        <v>3.55179619384457E-005</v>
      </c>
      <c r="G227" s="39" t="n">
        <f aca="false">MY_PH(G$2,$A227)</f>
        <v>3.55181091229939E-005</v>
      </c>
      <c r="H227" s="39" t="n">
        <f aca="false">MY_PH(H$2,$A227)</f>
        <v>3.55182563092578E-005</v>
      </c>
      <c r="I227" s="39" t="n">
        <f aca="false">MY_PH(I$2,$A227)</f>
        <v>3.55184034972374E-005</v>
      </c>
      <c r="J227" s="39" t="n">
        <f aca="false">MY_PH(J$2,$A227)</f>
        <v>3.55185506869326E-005</v>
      </c>
      <c r="K227" s="39" t="n">
        <f aca="false">MY_PH(K$2,$A227)</f>
        <v>3.55186978783434E-005</v>
      </c>
      <c r="L227" s="39" t="n">
        <f aca="false">MY_PH(L$2,$A227)</f>
        <v>3.55188450714696E-005</v>
      </c>
      <c r="M227" s="39" t="n">
        <f aca="false">MY_PH(M$2,$A227)</f>
        <v>3.55189922663113E-005</v>
      </c>
      <c r="N227" s="39" t="n">
        <f aca="false">MY_PH(N$2,$A227)</f>
        <v>3.55191394628684E-005</v>
      </c>
      <c r="O227" s="39" t="n">
        <f aca="false">MY_PH(O$2,$A227)</f>
        <v>3.55192866611407E-005</v>
      </c>
      <c r="P227" s="39" t="n">
        <f aca="false">MY_PH(P$2,$A227)</f>
        <v>3.55207587381916E-005</v>
      </c>
      <c r="Q227" s="39" t="n">
        <f aca="false">MY_PH(Q$2,$A227)</f>
        <v>3.55222309867027E-005</v>
      </c>
      <c r="R227" s="39" t="n">
        <f aca="false">MY_PH(R$2,$A227)</f>
        <v>3.55237034066103E-005</v>
      </c>
      <c r="S227" s="39" t="n">
        <f aca="false">MY_PH(S$2,$A227)</f>
        <v>3.5525175997851E-005</v>
      </c>
      <c r="T227" s="39" t="n">
        <f aca="false">MY_PH(T$2,$A227)</f>
        <v>3.55266487603615E-005</v>
      </c>
      <c r="U227" s="39" t="n">
        <f aca="false">MY_PH(U$2,$A227)</f>
        <v>3.55281216940782E-005</v>
      </c>
      <c r="V227" s="39" t="n">
        <f aca="false">MY_PH(V$2,$A227)</f>
        <v>3.55295947989377E-005</v>
      </c>
      <c r="W227" s="39" t="n">
        <f aca="false">MY_PH(W$2,$A227)</f>
        <v>3.55310680748767E-005</v>
      </c>
      <c r="X227" s="39" t="n">
        <f aca="false">MY_PH(X$2,$A227)</f>
        <v>3.55325415218318E-005</v>
      </c>
      <c r="Y227" s="39" t="n">
        <f aca="false">MY_PH(Y$2,$A227)</f>
        <v>3.55472853833308E-005</v>
      </c>
      <c r="Z227" s="39" t="n">
        <f aca="false">MY_PH(Z$2,$A227)</f>
        <v>3.55620462768203E-005</v>
      </c>
      <c r="AA227" s="39" t="n">
        <f aca="false">MY_PH(AA$2,$A227)</f>
        <v>3.55768241391587E-005</v>
      </c>
      <c r="AB227" s="39" t="n">
        <f aca="false">MY_PH(AB$2,$A227)</f>
        <v>3.55916189073518E-005</v>
      </c>
      <c r="AC227" s="39" t="n">
        <f aca="false">MY_PH(AC$2,$A227)</f>
        <v>3.56064305185521E-005</v>
      </c>
      <c r="AD227" s="39" t="n">
        <f aca="false">MY_PH(AD$2,$A227)</f>
        <v>3.56212589100575E-005</v>
      </c>
      <c r="AE227" s="39" t="n">
        <f aca="false">MY_PH(AE$2,$A227)</f>
        <v>3.56361040193106E-005</v>
      </c>
      <c r="AF227" s="39" t="n">
        <f aca="false">MY_PH(AF$2,$A227)</f>
        <v>3.56509657838979E-005</v>
      </c>
      <c r="AG227" s="39" t="n">
        <f aca="false">MY_PH(AG$2,$A227)</f>
        <v>3.56658441415482E-005</v>
      </c>
      <c r="AH227" s="39" t="n">
        <f aca="false">MY_PH(AH$2,$A227)</f>
        <v>3.58155267371949E-005</v>
      </c>
      <c r="AI227" s="39" t="n">
        <f aca="false">MY_PH(AI$2,$A227)</f>
        <v>3.59668011668613E-005</v>
      </c>
      <c r="AJ227" s="39" t="n">
        <f aca="false">MY_PH(AJ$2,$A227)</f>
        <v>3.6119934974935E-005</v>
      </c>
      <c r="AK227" s="39" t="n">
        <f aca="false">MY_PH(AK$2,$A227)</f>
        <v>3.62741329644314E-005</v>
      </c>
      <c r="AL227" s="39" t="n">
        <f aca="false">MY_PH(AL$2,$A227)</f>
        <v>3.64298367608452E-005</v>
      </c>
      <c r="AM227" s="39" t="n">
        <f aca="false">MY_PH(AM$2,$A227)</f>
        <v>3.65869975708438E-005</v>
      </c>
      <c r="AN227" s="39" t="n">
        <f aca="false">MY_PH(AN$2,$A227)</f>
        <v>3.67455674992453E-005</v>
      </c>
      <c r="AO227" s="39" t="n">
        <f aca="false">MY_PH(AO$2,$A227)</f>
        <v>3.69054994881294E-005</v>
      </c>
      <c r="AP227" s="39" t="n">
        <f aca="false">MY_PH(AP$2,$A227)</f>
        <v>3.70667472634069E-005</v>
      </c>
      <c r="AQ227" s="39" t="n">
        <f aca="false">MY_PH(AQ$2,$A227)</f>
        <v>3.87418980034469E-005</v>
      </c>
      <c r="AR227" s="39" t="n">
        <f aca="false">MY_PH(AR$2,$A227)</f>
        <v>3.90995514825559E-005</v>
      </c>
      <c r="AS227" s="39" t="n">
        <f aca="false">MY_PH(AS$2,$A227)</f>
        <v>3.92628570209283E-005</v>
      </c>
    </row>
    <row r="228" customFormat="false" ht="13.8" hidden="false" customHeight="false" outlineLevel="0" collapsed="false">
      <c r="A228" s="0" t="n">
        <v>3880</v>
      </c>
      <c r="B228" s="39" t="n">
        <f aca="false">MY_PH(B$2,$A228)</f>
        <v>3.56912624124005E-005</v>
      </c>
      <c r="C228" s="39" t="n">
        <f aca="false">MY_PH(C$2,$A228)</f>
        <v>3.56912769955396E-005</v>
      </c>
      <c r="D228" s="39" t="n">
        <f aca="false">MY_PH(D$2,$A228)</f>
        <v>3.56912915786958E-005</v>
      </c>
      <c r="E228" s="39" t="n">
        <f aca="false">MY_PH(E$2,$A228)</f>
        <v>3.56913061618691E-005</v>
      </c>
      <c r="F228" s="39" t="n">
        <f aca="false">MY_PH(F$2,$A228)</f>
        <v>3.56913207450594E-005</v>
      </c>
      <c r="G228" s="39" t="n">
        <f aca="false">MY_PH(G$2,$A228)</f>
        <v>3.56914665779026E-005</v>
      </c>
      <c r="H228" s="39" t="n">
        <f aca="false">MY_PH(H$2,$A228)</f>
        <v>3.56916124124544E-005</v>
      </c>
      <c r="I228" s="39" t="n">
        <f aca="false">MY_PH(I$2,$A228)</f>
        <v>3.56917582487146E-005</v>
      </c>
      <c r="J228" s="39" t="n">
        <f aca="false">MY_PH(J$2,$A228)</f>
        <v>3.56919040866832E-005</v>
      </c>
      <c r="K228" s="39" t="n">
        <f aca="false">MY_PH(K$2,$A228)</f>
        <v>3.56920499263602E-005</v>
      </c>
      <c r="L228" s="39" t="n">
        <f aca="false">MY_PH(L$2,$A228)</f>
        <v>3.56921957677455E-005</v>
      </c>
      <c r="M228" s="39" t="n">
        <f aca="false">MY_PH(M$2,$A228)</f>
        <v>3.5692341610839E-005</v>
      </c>
      <c r="N228" s="39" t="n">
        <f aca="false">MY_PH(N$2,$A228)</f>
        <v>3.56924874556407E-005</v>
      </c>
      <c r="O228" s="39" t="n">
        <f aca="false">MY_PH(O$2,$A228)</f>
        <v>3.56926333021505E-005</v>
      </c>
      <c r="P228" s="39" t="n">
        <f aca="false">MY_PH(P$2,$A228)</f>
        <v>3.56940918611809E-005</v>
      </c>
      <c r="Q228" s="39" t="n">
        <f aca="false">MY_PH(Q$2,$A228)</f>
        <v>3.56955505909546E-005</v>
      </c>
      <c r="R228" s="39" t="n">
        <f aca="false">MY_PH(R$2,$A228)</f>
        <v>3.56970094914103E-005</v>
      </c>
      <c r="S228" s="39" t="n">
        <f aca="false">MY_PH(S$2,$A228)</f>
        <v>3.56984685624865E-005</v>
      </c>
      <c r="T228" s="39" t="n">
        <f aca="false">MY_PH(T$2,$A228)</f>
        <v>3.56999278041219E-005</v>
      </c>
      <c r="U228" s="39" t="n">
        <f aca="false">MY_PH(U$2,$A228)</f>
        <v>3.5701387216255E-005</v>
      </c>
      <c r="V228" s="39" t="n">
        <f aca="false">MY_PH(V$2,$A228)</f>
        <v>3.57028467988244E-005</v>
      </c>
      <c r="W228" s="39" t="n">
        <f aca="false">MY_PH(W$2,$A228)</f>
        <v>3.5704306551769E-005</v>
      </c>
      <c r="X228" s="39" t="n">
        <f aca="false">MY_PH(X$2,$A228)</f>
        <v>3.57057664750272E-005</v>
      </c>
      <c r="Y228" s="39" t="n">
        <f aca="false">MY_PH(Y$2,$A228)</f>
        <v>3.57203750613791E-005</v>
      </c>
      <c r="Z228" s="39" t="n">
        <f aca="false">MY_PH(Z$2,$A228)</f>
        <v>3.57350006117339E-005</v>
      </c>
      <c r="AA228" s="39" t="n">
        <f aca="false">MY_PH(AA$2,$A228)</f>
        <v>3.5749643064982E-005</v>
      </c>
      <c r="AB228" s="39" t="n">
        <f aca="false">MY_PH(AB$2,$A228)</f>
        <v>3.57643023601499E-005</v>
      </c>
      <c r="AC228" s="39" t="n">
        <f aca="false">MY_PH(AC$2,$A228)</f>
        <v>3.57789784363995E-005</v>
      </c>
      <c r="AD228" s="39" t="n">
        <f aca="false">MY_PH(AD$2,$A228)</f>
        <v>3.57936712330272E-005</v>
      </c>
      <c r="AE228" s="39" t="n">
        <f aca="false">MY_PH(AE$2,$A228)</f>
        <v>3.58083806894625E-005</v>
      </c>
      <c r="AF228" s="39" t="n">
        <f aca="false">MY_PH(AF$2,$A228)</f>
        <v>3.58231067452681E-005</v>
      </c>
      <c r="AG228" s="39" t="n">
        <f aca="false">MY_PH(AG$2,$A228)</f>
        <v>3.58378493401379E-005</v>
      </c>
      <c r="AH228" s="39" t="n">
        <f aca="false">MY_PH(AH$2,$A228)</f>
        <v>3.59861717625783E-005</v>
      </c>
      <c r="AI228" s="39" t="n">
        <f aca="false">MY_PH(AI$2,$A228)</f>
        <v>3.61360827009975E-005</v>
      </c>
      <c r="AJ228" s="39" t="n">
        <f aca="false">MY_PH(AJ$2,$A228)</f>
        <v>3.62878516080064E-005</v>
      </c>
      <c r="AK228" s="39" t="n">
        <f aca="false">MY_PH(AK$2,$A228)</f>
        <v>3.64406836186617E-005</v>
      </c>
      <c r="AL228" s="39" t="n">
        <f aca="false">MY_PH(AL$2,$A228)</f>
        <v>3.65950117085633E-005</v>
      </c>
      <c r="AM228" s="39" t="n">
        <f aca="false">MY_PH(AM$2,$A228)</f>
        <v>3.67507880007144E-005</v>
      </c>
      <c r="AN228" s="39" t="n">
        <f aca="false">MY_PH(AN$2,$A228)</f>
        <v>3.69079654622514E-005</v>
      </c>
      <c r="AO228" s="39" t="n">
        <f aca="false">MY_PH(AO$2,$A228)</f>
        <v>3.70664978484491E-005</v>
      </c>
      <c r="AP228" s="39" t="n">
        <f aca="false">MY_PH(AP$2,$A228)</f>
        <v>3.72263396537455E-005</v>
      </c>
      <c r="AQ228" s="39" t="n">
        <f aca="false">MY_PH(AQ$2,$A228)</f>
        <v>3.8887224565136E-005</v>
      </c>
      <c r="AR228" s="39" t="n">
        <f aca="false">MY_PH(AR$2,$A228)</f>
        <v>3.92419173138291E-005</v>
      </c>
      <c r="AS228" s="39" t="n">
        <f aca="false">MY_PH(AS$2,$A228)</f>
        <v>3.940388117707E-005</v>
      </c>
    </row>
    <row r="229" customFormat="false" ht="13.8" hidden="false" customHeight="false" outlineLevel="0" collapsed="false">
      <c r="A229" s="0" t="n">
        <v>3890</v>
      </c>
      <c r="B229" s="39" t="n">
        <f aca="false">MY_PH(B$2,$A229)</f>
        <v>3.58641565002926E-005</v>
      </c>
      <c r="C229" s="39" t="n">
        <f aca="false">MY_PH(C$2,$A229)</f>
        <v>3.58641709499674E-005</v>
      </c>
      <c r="D229" s="39" t="n">
        <f aca="false">MY_PH(D$2,$A229)</f>
        <v>3.58641853996592E-005</v>
      </c>
      <c r="E229" s="39" t="n">
        <f aca="false">MY_PH(E$2,$A229)</f>
        <v>3.5864199849368E-005</v>
      </c>
      <c r="F229" s="39" t="n">
        <f aca="false">MY_PH(F$2,$A229)</f>
        <v>3.58642142990938E-005</v>
      </c>
      <c r="G229" s="39" t="n">
        <f aca="false">MY_PH(G$2,$A229)</f>
        <v>3.5864358797288E-005</v>
      </c>
      <c r="H229" s="39" t="n">
        <f aca="false">MY_PH(H$2,$A229)</f>
        <v>3.58645032971837E-005</v>
      </c>
      <c r="I229" s="39" t="n">
        <f aca="false">MY_PH(I$2,$A229)</f>
        <v>3.5864647798781E-005</v>
      </c>
      <c r="J229" s="39" t="n">
        <f aca="false">MY_PH(J$2,$A229)</f>
        <v>3.58647923020798E-005</v>
      </c>
      <c r="K229" s="39" t="n">
        <f aca="false">MY_PH(K$2,$A229)</f>
        <v>3.586493680708E-005</v>
      </c>
      <c r="L229" s="39" t="n">
        <f aca="false">MY_PH(L$2,$A229)</f>
        <v>3.58650813137815E-005</v>
      </c>
      <c r="M229" s="39" t="n">
        <f aca="false">MY_PH(M$2,$A229)</f>
        <v>3.58652258221844E-005</v>
      </c>
      <c r="N229" s="39" t="n">
        <f aca="false">MY_PH(N$2,$A229)</f>
        <v>3.58653703322885E-005</v>
      </c>
      <c r="O229" s="39" t="n">
        <f aca="false">MY_PH(O$2,$A229)</f>
        <v>3.58655148440937E-005</v>
      </c>
      <c r="P229" s="39" t="n">
        <f aca="false">MY_PH(P$2,$A229)</f>
        <v>3.58669600556979E-005</v>
      </c>
      <c r="Q229" s="39" t="n">
        <f aca="false">MY_PH(Q$2,$A229)</f>
        <v>3.58684054373545E-005</v>
      </c>
      <c r="R229" s="39" t="n">
        <f aca="false">MY_PH(R$2,$A229)</f>
        <v>3.58698509890039E-005</v>
      </c>
      <c r="S229" s="39" t="n">
        <f aca="false">MY_PH(S$2,$A229)</f>
        <v>3.58712967105867E-005</v>
      </c>
      <c r="T229" s="39" t="n">
        <f aca="false">MY_PH(T$2,$A229)</f>
        <v>3.58727426020435E-005</v>
      </c>
      <c r="U229" s="39" t="n">
        <f aca="false">MY_PH(U$2,$A229)</f>
        <v>3.58741886633148E-005</v>
      </c>
      <c r="V229" s="39" t="n">
        <f aca="false">MY_PH(V$2,$A229)</f>
        <v>3.58756348943413E-005</v>
      </c>
      <c r="W229" s="39" t="n">
        <f aca="false">MY_PH(W$2,$A229)</f>
        <v>3.58770812950634E-005</v>
      </c>
      <c r="X229" s="39" t="n">
        <f aca="false">MY_PH(X$2,$A229)</f>
        <v>3.58785278654218E-005</v>
      </c>
      <c r="Y229" s="39" t="n">
        <f aca="false">MY_PH(Y$2,$A229)</f>
        <v>3.58930028859455E-005</v>
      </c>
      <c r="Z229" s="39" t="n">
        <f aca="false">MY_PH(Z$2,$A229)</f>
        <v>3.59074948048603E-005</v>
      </c>
      <c r="AA229" s="39" t="n">
        <f aca="false">MY_PH(AA$2,$A229)</f>
        <v>3.5922003562981E-005</v>
      </c>
      <c r="AB229" s="39" t="n">
        <f aca="false">MY_PH(AB$2,$A229)</f>
        <v>3.59365291012478E-005</v>
      </c>
      <c r="AC229" s="39" t="n">
        <f aca="false">MY_PH(AC$2,$A229)</f>
        <v>3.59510713607257E-005</v>
      </c>
      <c r="AD229" s="39" t="n">
        <f aca="false">MY_PH(AD$2,$A229)</f>
        <v>3.59656302826036E-005</v>
      </c>
      <c r="AE229" s="39" t="n">
        <f aca="false">MY_PH(AE$2,$A229)</f>
        <v>3.59802058081937E-005</v>
      </c>
      <c r="AF229" s="39" t="n">
        <f aca="false">MY_PH(AF$2,$A229)</f>
        <v>3.59947978789305E-005</v>
      </c>
      <c r="AG229" s="39" t="n">
        <f aca="false">MY_PH(AG$2,$A229)</f>
        <v>3.60094064363698E-005</v>
      </c>
      <c r="AH229" s="39" t="n">
        <f aca="false">MY_PH(AH$2,$A229)</f>
        <v>3.61563860069532E-005</v>
      </c>
      <c r="AI229" s="39" t="n">
        <f aca="false">MY_PH(AI$2,$A229)</f>
        <v>3.63049508310225E-005</v>
      </c>
      <c r="AJ229" s="39" t="n">
        <f aca="false">MY_PH(AJ$2,$A229)</f>
        <v>3.64553709591998E-005</v>
      </c>
      <c r="AK229" s="39" t="n">
        <f aca="false">MY_PH(AK$2,$A229)</f>
        <v>3.66068541836137E-005</v>
      </c>
      <c r="AL229" s="39" t="n">
        <f aca="false">MY_PH(AL$2,$A229)</f>
        <v>3.67598239273439E-005</v>
      </c>
      <c r="AM229" s="39" t="n">
        <f aca="false">MY_PH(AM$2,$A229)</f>
        <v>3.6914233197333E-005</v>
      </c>
      <c r="AN229" s="39" t="n">
        <f aca="false">MY_PH(AN$2,$A229)</f>
        <v>3.70700357939434E-005</v>
      </c>
      <c r="AO229" s="39" t="n">
        <f aca="false">MY_PH(AO$2,$A229)</f>
        <v>3.72271862595036E-005</v>
      </c>
      <c r="AP229" s="39" t="n">
        <f aca="false">MY_PH(AP$2,$A229)</f>
        <v>3.7385639833463E-005</v>
      </c>
      <c r="AQ229" s="39" t="n">
        <f aca="false">MY_PH(AQ$2,$A229)</f>
        <v>3.90324356069443E-005</v>
      </c>
      <c r="AR229" s="39" t="n">
        <f aca="false">MY_PH(AR$2,$A229)</f>
        <v>3.93842032503555E-005</v>
      </c>
      <c r="AS229" s="39" t="n">
        <f aca="false">MY_PH(AS$2,$A229)</f>
        <v>3.95448414428074E-005</v>
      </c>
    </row>
    <row r="230" customFormat="false" ht="13.8" hidden="false" customHeight="false" outlineLevel="0" collapsed="false">
      <c r="A230" s="0" t="n">
        <v>3900</v>
      </c>
      <c r="B230" s="39" t="n">
        <f aca="false">MY_PH(B$2,$A230)</f>
        <v>3.6036586552336E-005</v>
      </c>
      <c r="C230" s="39" t="n">
        <f aca="false">MY_PH(C$2,$A230)</f>
        <v>3.60366008702234E-005</v>
      </c>
      <c r="D230" s="39" t="n">
        <f aca="false">MY_PH(D$2,$A230)</f>
        <v>3.60366151881279E-005</v>
      </c>
      <c r="E230" s="39" t="n">
        <f aca="false">MY_PH(E$2,$A230)</f>
        <v>3.60366295060492E-005</v>
      </c>
      <c r="F230" s="39" t="n">
        <f aca="false">MY_PH(F$2,$A230)</f>
        <v>3.60366438239875E-005</v>
      </c>
      <c r="G230" s="39" t="n">
        <f aca="false">MY_PH(G$2,$A230)</f>
        <v>3.60367870043028E-005</v>
      </c>
      <c r="H230" s="39" t="n">
        <f aca="false">MY_PH(H$2,$A230)</f>
        <v>3.60369301863129E-005</v>
      </c>
      <c r="I230" s="39" t="n">
        <f aca="false">MY_PH(I$2,$A230)</f>
        <v>3.60370733700178E-005</v>
      </c>
      <c r="J230" s="39" t="n">
        <f aca="false">MY_PH(J$2,$A230)</f>
        <v>3.60372165554175E-005</v>
      </c>
      <c r="K230" s="39" t="n">
        <f aca="false">MY_PH(K$2,$A230)</f>
        <v>3.60373597425119E-005</v>
      </c>
      <c r="L230" s="39" t="n">
        <f aca="false">MY_PH(L$2,$A230)</f>
        <v>3.60375029313009E-005</v>
      </c>
      <c r="M230" s="39" t="n">
        <f aca="false">MY_PH(M$2,$A230)</f>
        <v>3.60376461217845E-005</v>
      </c>
      <c r="N230" s="39" t="n">
        <f aca="false">MY_PH(N$2,$A230)</f>
        <v>3.60377893139625E-005</v>
      </c>
      <c r="O230" s="39" t="n">
        <f aca="false">MY_PH(O$2,$A230)</f>
        <v>3.60379325078351E-005</v>
      </c>
      <c r="P230" s="39" t="n">
        <f aca="false">MY_PH(P$2,$A230)</f>
        <v>3.60393645397433E-005</v>
      </c>
      <c r="Q230" s="39" t="n">
        <f aca="false">MY_PH(Q$2,$A230)</f>
        <v>3.60407967410342E-005</v>
      </c>
      <c r="R230" s="39" t="n">
        <f aca="false">MY_PH(R$2,$A230)</f>
        <v>3.60422291116502E-005</v>
      </c>
      <c r="S230" s="39" t="n">
        <f aca="false">MY_PH(S$2,$A230)</f>
        <v>3.60436616515335E-005</v>
      </c>
      <c r="T230" s="39" t="n">
        <f aca="false">MY_PH(T$2,$A230)</f>
        <v>3.60450943606267E-005</v>
      </c>
      <c r="U230" s="39" t="n">
        <f aca="false">MY_PH(U$2,$A230)</f>
        <v>3.60465272388721E-005</v>
      </c>
      <c r="V230" s="39" t="n">
        <f aca="false">MY_PH(V$2,$A230)</f>
        <v>3.60479602862122E-005</v>
      </c>
      <c r="W230" s="39" t="n">
        <f aca="false">MY_PH(W$2,$A230)</f>
        <v>3.60493935025894E-005</v>
      </c>
      <c r="X230" s="39" t="n">
        <f aca="false">MY_PH(X$2,$A230)</f>
        <v>3.60508268879461E-005</v>
      </c>
      <c r="Y230" s="39" t="n">
        <f aca="false">MY_PH(Y$2,$A230)</f>
        <v>3.60651700227332E-005</v>
      </c>
      <c r="Z230" s="39" t="n">
        <f aca="false">MY_PH(Z$2,$A230)</f>
        <v>3.60795299922486E-005</v>
      </c>
      <c r="AA230" s="39" t="n">
        <f aca="false">MY_PH(AA$2,$A230)</f>
        <v>3.6093906739129E-005</v>
      </c>
      <c r="AB230" s="39" t="n">
        <f aca="false">MY_PH(AB$2,$A230)</f>
        <v>3.6108300206127E-005</v>
      </c>
      <c r="AC230" s="39" t="n">
        <f aca="false">MY_PH(AC$2,$A230)</f>
        <v>3.612271033611E-005</v>
      </c>
      <c r="AD230" s="39" t="n">
        <f aca="false">MY_PH(AD$2,$A230)</f>
        <v>3.61371370720599E-005</v>
      </c>
      <c r="AE230" s="39" t="n">
        <f aca="false">MY_PH(AE$2,$A230)</f>
        <v>3.61515803570719E-005</v>
      </c>
      <c r="AF230" s="39" t="n">
        <f aca="false">MY_PH(AF$2,$A230)</f>
        <v>3.6166040134354E-005</v>
      </c>
      <c r="AG230" s="39" t="n">
        <f aca="false">MY_PH(AG$2,$A230)</f>
        <v>3.6180516347226E-005</v>
      </c>
      <c r="AH230" s="39" t="n">
        <f aca="false">MY_PH(AH$2,$A230)</f>
        <v>3.63261700422729E-005</v>
      </c>
      <c r="AI230" s="39" t="n">
        <f aca="false">MY_PH(AI$2,$A230)</f>
        <v>3.64734057507797E-005</v>
      </c>
      <c r="AJ230" s="39" t="n">
        <f aca="false">MY_PH(AJ$2,$A230)</f>
        <v>3.66224927498104E-005</v>
      </c>
      <c r="AK230" s="39" t="n">
        <f aca="false">MY_PH(AK$2,$A230)</f>
        <v>3.67726440035229E-005</v>
      </c>
      <c r="AL230" s="39" t="n">
        <f aca="false">MY_PH(AL$2,$A230)</f>
        <v>3.69242723876969E-005</v>
      </c>
      <c r="AM230" s="39" t="n">
        <f aca="false">MY_PH(AM$2,$A230)</f>
        <v>3.70773317616239E-005</v>
      </c>
      <c r="AN230" s="39" t="n">
        <f aca="false">MY_PH(AN$2,$A230)</f>
        <v>3.72317767304233E-005</v>
      </c>
      <c r="AO230" s="39" t="n">
        <f aca="false">MY_PH(AO$2,$A230)</f>
        <v>3.7387562597802E-005</v>
      </c>
      <c r="AP230" s="39" t="n">
        <f aca="false">MY_PH(AP$2,$A230)</f>
        <v>3.75446453250404E-005</v>
      </c>
      <c r="AQ230" s="39" t="n">
        <f aca="false">MY_PH(AQ$2,$A230)</f>
        <v>3.9177525432541E-005</v>
      </c>
      <c r="AR230" s="39" t="n">
        <f aca="false">MY_PH(AR$2,$A230)</f>
        <v>3.95264030001777E-005</v>
      </c>
      <c r="AS230" s="39" t="n">
        <f aca="false">MY_PH(AS$2,$A230)</f>
        <v>3.96857312630599E-005</v>
      </c>
    </row>
    <row r="231" customFormat="false" ht="13.8" hidden="false" customHeight="false" outlineLevel="0" collapsed="false">
      <c r="A231" s="0" t="n">
        <v>3910</v>
      </c>
      <c r="B231" s="39" t="n">
        <f aca="false">MY_PH(B$2,$A231)</f>
        <v>3.62085538226748E-005</v>
      </c>
      <c r="C231" s="39" t="n">
        <f aca="false">MY_PH(C$2,$A231)</f>
        <v>3.62085680104236E-005</v>
      </c>
      <c r="D231" s="39" t="n">
        <f aca="false">MY_PH(D$2,$A231)</f>
        <v>3.62085821981894E-005</v>
      </c>
      <c r="E231" s="39" t="n">
        <f aca="false">MY_PH(E$2,$A231)</f>
        <v>3.62085963859719E-005</v>
      </c>
      <c r="F231" s="39" t="n">
        <f aca="false">MY_PH(F$2,$A231)</f>
        <v>3.62086105737714E-005</v>
      </c>
      <c r="G231" s="39" t="n">
        <f aca="false">MY_PH(G$2,$A231)</f>
        <v>3.62087524526946E-005</v>
      </c>
      <c r="H231" s="39" t="n">
        <f aca="false">MY_PH(H$2,$A231)</f>
        <v>3.62088943333062E-005</v>
      </c>
      <c r="I231" s="39" t="n">
        <f aca="false">MY_PH(I$2,$A231)</f>
        <v>3.6209036215606E-005</v>
      </c>
      <c r="J231" s="39" t="n">
        <f aca="false">MY_PH(J$2,$A231)</f>
        <v>3.6209178099594E-005</v>
      </c>
      <c r="K231" s="39" t="n">
        <f aca="false">MY_PH(K$2,$A231)</f>
        <v>3.62093199852701E-005</v>
      </c>
      <c r="L231" s="39" t="n">
        <f aca="false">MY_PH(L$2,$A231)</f>
        <v>3.62094618726344E-005</v>
      </c>
      <c r="M231" s="39" t="n">
        <f aca="false">MY_PH(M$2,$A231)</f>
        <v>3.62096037616866E-005</v>
      </c>
      <c r="N231" s="39" t="n">
        <f aca="false">MY_PH(N$2,$A231)</f>
        <v>3.62097456524268E-005</v>
      </c>
      <c r="O231" s="39" t="n">
        <f aca="false">MY_PH(O$2,$A231)</f>
        <v>3.62098875448549E-005</v>
      </c>
      <c r="P231" s="39" t="n">
        <f aca="false">MY_PH(P$2,$A231)</f>
        <v>3.62113065619593E-005</v>
      </c>
      <c r="Q231" s="39" t="n">
        <f aca="false">MY_PH(Q$2,$A231)</f>
        <v>3.62127257477937E-005</v>
      </c>
      <c r="R231" s="39" t="n">
        <f aca="false">MY_PH(R$2,$A231)</f>
        <v>3.62141451023023E-005</v>
      </c>
      <c r="S231" s="39" t="n">
        <f aca="false">MY_PH(S$2,$A231)</f>
        <v>3.62155646254292E-005</v>
      </c>
      <c r="T231" s="39" t="n">
        <f aca="false">MY_PH(T$2,$A231)</f>
        <v>3.62169843171186E-005</v>
      </c>
      <c r="U231" s="39" t="n">
        <f aca="false">MY_PH(U$2,$A231)</f>
        <v>3.62184041773145E-005</v>
      </c>
      <c r="V231" s="39" t="n">
        <f aca="false">MY_PH(V$2,$A231)</f>
        <v>3.62198242059612E-005</v>
      </c>
      <c r="W231" s="39" t="n">
        <f aca="false">MY_PH(W$2,$A231)</f>
        <v>3.62212444030028E-005</v>
      </c>
      <c r="X231" s="39" t="n">
        <f aca="false">MY_PH(X$2,$A231)</f>
        <v>3.62226647683836E-005</v>
      </c>
      <c r="Y231" s="39" t="n">
        <f aca="false">MY_PH(Y$2,$A231)</f>
        <v>3.62368776685706E-005</v>
      </c>
      <c r="Z231" s="39" t="n">
        <f aca="false">MY_PH(Z$2,$A231)</f>
        <v>3.62511073413525E-005</v>
      </c>
      <c r="AA231" s="39" t="n">
        <f aca="false">MY_PH(AA$2,$A231)</f>
        <v>3.62653537310913E-005</v>
      </c>
      <c r="AB231" s="39" t="n">
        <f aca="false">MY_PH(AB$2,$A231)</f>
        <v>3.6279616782256E-005</v>
      </c>
      <c r="AC231" s="39" t="n">
        <f aca="false">MY_PH(AC$2,$A231)</f>
        <v>3.62938964394213E-005</v>
      </c>
      <c r="AD231" s="39" t="n">
        <f aca="false">MY_PH(AD$2,$A231)</f>
        <v>3.63081926472672E-005</v>
      </c>
      <c r="AE231" s="39" t="n">
        <f aca="false">MY_PH(AE$2,$A231)</f>
        <v>3.63225053505783E-005</v>
      </c>
      <c r="AF231" s="39" t="n">
        <f aca="false">MY_PH(AF$2,$A231)</f>
        <v>3.63368344942426E-005</v>
      </c>
      <c r="AG231" s="39" t="n">
        <f aca="false">MY_PH(AG$2,$A231)</f>
        <v>3.63511800232514E-005</v>
      </c>
      <c r="AH231" s="39" t="n">
        <f aca="false">MY_PH(AH$2,$A231)</f>
        <v>3.64955244776003E-005</v>
      </c>
      <c r="AI231" s="39" t="n">
        <f aca="false">MY_PH(AI$2,$A231)</f>
        <v>3.66414476950797E-005</v>
      </c>
      <c r="AJ231" s="39" t="n">
        <f aca="false">MY_PH(AJ$2,$A231)</f>
        <v>3.67892167586446E-005</v>
      </c>
      <c r="AK231" s="39" t="n">
        <f aca="false">MY_PH(AK$2,$A231)</f>
        <v>3.69380524906144E-005</v>
      </c>
      <c r="AL231" s="39" t="n">
        <f aca="false">MY_PH(AL$2,$A231)</f>
        <v>3.70883561383038E-005</v>
      </c>
      <c r="AM231" s="39" t="n">
        <f aca="false">MY_PH(AM$2,$A231)</f>
        <v>3.72400823825619E-005</v>
      </c>
      <c r="AN231" s="39" t="n">
        <f aca="false">MY_PH(AN$2,$A231)</f>
        <v>3.73931866054221E-005</v>
      </c>
      <c r="AO231" s="39" t="n">
        <f aca="false">MY_PH(AO$2,$A231)</f>
        <v>3.75476248467729E-005</v>
      </c>
      <c r="AP231" s="39" t="n">
        <f aca="false">MY_PH(AP$2,$A231)</f>
        <v>3.77033537668957E-005</v>
      </c>
      <c r="AQ231" s="39" t="n">
        <f aca="false">MY_PH(AQ$2,$A231)</f>
        <v>3.93224885419855E-005</v>
      </c>
      <c r="AR231" s="39" t="n">
        <f aca="false">MY_PH(AR$2,$A231)</f>
        <v>3.96685104833628E-005</v>
      </c>
      <c r="AS231" s="39" t="n">
        <f aca="false">MY_PH(AS$2,$A231)</f>
        <v>3.98265443018518E-005</v>
      </c>
    </row>
    <row r="232" customFormat="false" ht="13.8" hidden="false" customHeight="false" outlineLevel="0" collapsed="false">
      <c r="A232" s="0" t="n">
        <v>3920</v>
      </c>
      <c r="B232" s="39" t="n">
        <f aca="false">MY_PH(B$2,$A232)</f>
        <v>3.63800595948039E-005</v>
      </c>
      <c r="C232" s="39" t="n">
        <f aca="false">MY_PH(C$2,$A232)</f>
        <v>3.63800736540346E-005</v>
      </c>
      <c r="D232" s="39" t="n">
        <f aca="false">MY_PH(D$2,$A232)</f>
        <v>3.63800877132821E-005</v>
      </c>
      <c r="E232" s="39" t="n">
        <f aca="false">MY_PH(E$2,$A232)</f>
        <v>3.63801017725465E-005</v>
      </c>
      <c r="F232" s="39" t="n">
        <f aca="false">MY_PH(F$2,$A232)</f>
        <v>3.63801158318276E-005</v>
      </c>
      <c r="G232" s="39" t="n">
        <f aca="false">MY_PH(G$2,$A232)</f>
        <v>3.63802564255644E-005</v>
      </c>
      <c r="H232" s="39" t="n">
        <f aca="false">MY_PH(H$2,$A232)</f>
        <v>3.6380397020983E-005</v>
      </c>
      <c r="I232" s="39" t="n">
        <f aca="false">MY_PH(I$2,$A232)</f>
        <v>3.63805376180835E-005</v>
      </c>
      <c r="J232" s="39" t="n">
        <f aca="false">MY_PH(J$2,$A232)</f>
        <v>3.63806782168657E-005</v>
      </c>
      <c r="K232" s="39" t="n">
        <f aca="false">MY_PH(K$2,$A232)</f>
        <v>3.63808188173296E-005</v>
      </c>
      <c r="L232" s="39" t="n">
        <f aca="false">MY_PH(L$2,$A232)</f>
        <v>3.63809594194753E-005</v>
      </c>
      <c r="M232" s="39" t="n">
        <f aca="false">MY_PH(M$2,$A232)</f>
        <v>3.63811000233025E-005</v>
      </c>
      <c r="N232" s="39" t="n">
        <f aca="false">MY_PH(N$2,$A232)</f>
        <v>3.63812406288112E-005</v>
      </c>
      <c r="O232" s="39" t="n">
        <f aca="false">MY_PH(O$2,$A232)</f>
        <v>3.63813812360015E-005</v>
      </c>
      <c r="P232" s="39" t="n">
        <f aca="false">MY_PH(P$2,$A232)</f>
        <v>3.63827874003747E-005</v>
      </c>
      <c r="Q232" s="39" t="n">
        <f aca="false">MY_PH(Q$2,$A232)</f>
        <v>3.63841937328382E-005</v>
      </c>
      <c r="R232" s="39" t="n">
        <f aca="false">MY_PH(R$2,$A232)</f>
        <v>3.63856002333377E-005</v>
      </c>
      <c r="S232" s="39" t="n">
        <f aca="false">MY_PH(S$2,$A232)</f>
        <v>3.63870069018191E-005</v>
      </c>
      <c r="T232" s="39" t="n">
        <f aca="false">MY_PH(T$2,$A232)</f>
        <v>3.63884137382281E-005</v>
      </c>
      <c r="U232" s="39" t="n">
        <f aca="false">MY_PH(U$2,$A232)</f>
        <v>3.63898207425106E-005</v>
      </c>
      <c r="V232" s="39" t="n">
        <f aca="false">MY_PH(V$2,$A232)</f>
        <v>3.63912279146123E-005</v>
      </c>
      <c r="W232" s="39" t="n">
        <f aca="false">MY_PH(W$2,$A232)</f>
        <v>3.6392635254479E-005</v>
      </c>
      <c r="X232" s="39" t="n">
        <f aca="false">MY_PH(X$2,$A232)</f>
        <v>3.63940427620567E-005</v>
      </c>
      <c r="Y232" s="39" t="n">
        <f aca="false">MY_PH(Y$2,$A232)</f>
        <v>3.64081270500232E-005</v>
      </c>
      <c r="Z232" s="39" t="n">
        <f aca="false">MY_PH(Z$2,$A232)</f>
        <v>3.64222280495696E-005</v>
      </c>
      <c r="AA232" s="39" t="n">
        <f aca="false">MY_PH(AA$2,$A232)</f>
        <v>3.64363457066921E-005</v>
      </c>
      <c r="AB232" s="39" t="n">
        <f aca="false">MY_PH(AB$2,$A232)</f>
        <v>3.64504799674852E-005</v>
      </c>
      <c r="AC232" s="39" t="n">
        <f aca="false">MY_PH(AC$2,$A232)</f>
        <v>3.64646307781408E-005</v>
      </c>
      <c r="AD232" s="39" t="n">
        <f aca="false">MY_PH(AD$2,$A232)</f>
        <v>3.64787980849474E-005</v>
      </c>
      <c r="AE232" s="39" t="n">
        <f aca="false">MY_PH(AE$2,$A232)</f>
        <v>3.64929818342899E-005</v>
      </c>
      <c r="AF232" s="39" t="n">
        <f aca="false">MY_PH(AF$2,$A232)</f>
        <v>3.65071819726485E-005</v>
      </c>
      <c r="AG232" s="39" t="n">
        <f aca="false">MY_PH(AG$2,$A232)</f>
        <v>3.65213984465981E-005</v>
      </c>
      <c r="AH232" s="39" t="n">
        <f aca="false">MY_PH(AH$2,$A232)</f>
        <v>3.66644499565027E-005</v>
      </c>
      <c r="AI232" s="39" t="n">
        <f aca="false">MY_PH(AI$2,$A232)</f>
        <v>3.68090769365272E-005</v>
      </c>
      <c r="AJ232" s="39" t="n">
        <f aca="false">MY_PH(AJ$2,$A232)</f>
        <v>3.69555428195088E-005</v>
      </c>
      <c r="AK232" s="39" t="n">
        <f aca="false">MY_PH(AK$2,$A232)</f>
        <v>3.71030791222485E-005</v>
      </c>
      <c r="AL232" s="39" t="n">
        <f aca="false">MY_PH(AL$2,$A232)</f>
        <v>3.72520743028336E-005</v>
      </c>
      <c r="AM232" s="39" t="n">
        <f aca="false">MY_PH(AM$2,$A232)</f>
        <v>3.74024838336716E-005</v>
      </c>
      <c r="AN232" s="39" t="n">
        <f aca="false">MY_PH(AN$2,$A232)</f>
        <v>3.75542638464965E-005</v>
      </c>
      <c r="AO232" s="39" t="n">
        <f aca="false">MY_PH(AO$2,$A232)</f>
        <v>3.77073710926686E-005</v>
      </c>
      <c r="AP232" s="39" t="n">
        <f aca="false">MY_PH(AP$2,$A232)</f>
        <v>3.78617629090069E-005</v>
      </c>
      <c r="AQ232" s="39" t="n">
        <f aca="false">MY_PH(AQ$2,$A232)</f>
        <v>3.94673196248383E-005</v>
      </c>
      <c r="AR232" s="39" t="n">
        <f aca="false">MY_PH(AR$2,$A232)</f>
        <v>3.98105198246392E-005</v>
      </c>
      <c r="AS232" s="39" t="n">
        <f aca="false">MY_PH(AS$2,$A232)</f>
        <v>3.99672744347406E-005</v>
      </c>
    </row>
    <row r="233" customFormat="false" ht="13.8" hidden="false" customHeight="false" outlineLevel="0" collapsed="false">
      <c r="A233" s="0" t="n">
        <v>3930</v>
      </c>
      <c r="B233" s="39" t="n">
        <f aca="false">MY_PH(B$2,$A233)</f>
        <v>3.65511051803693E-005</v>
      </c>
      <c r="C233" s="39" t="n">
        <f aca="false">MY_PH(C$2,$A233)</f>
        <v>3.65511191126744E-005</v>
      </c>
      <c r="D233" s="39" t="n">
        <f aca="false">MY_PH(D$2,$A233)</f>
        <v>3.65511330449963E-005</v>
      </c>
      <c r="E233" s="39" t="n">
        <f aca="false">MY_PH(E$2,$A233)</f>
        <v>3.6551146977335E-005</v>
      </c>
      <c r="F233" s="39" t="n">
        <f aca="false">MY_PH(F$2,$A233)</f>
        <v>3.65511609096903E-005</v>
      </c>
      <c r="G233" s="39" t="n">
        <f aca="false">MY_PH(G$2,$A233)</f>
        <v>3.65513002341659E-005</v>
      </c>
      <c r="H233" s="39" t="n">
        <f aca="false">MY_PH(H$2,$A233)</f>
        <v>3.6551439560317E-005</v>
      </c>
      <c r="I233" s="39" t="n">
        <f aca="false">MY_PH(I$2,$A233)</f>
        <v>3.65515788881436E-005</v>
      </c>
      <c r="J233" s="39" t="n">
        <f aca="false">MY_PH(J$2,$A233)</f>
        <v>3.65517182176456E-005</v>
      </c>
      <c r="K233" s="39" t="n">
        <f aca="false">MY_PH(K$2,$A233)</f>
        <v>3.65518575488231E-005</v>
      </c>
      <c r="L233" s="39" t="n">
        <f aca="false">MY_PH(L$2,$A233)</f>
        <v>3.65519968816758E-005</v>
      </c>
      <c r="M233" s="39" t="n">
        <f aca="false">MY_PH(M$2,$A233)</f>
        <v>3.65521362162038E-005</v>
      </c>
      <c r="N233" s="39" t="n">
        <f aca="false">MY_PH(N$2,$A233)</f>
        <v>3.65522755524071E-005</v>
      </c>
      <c r="O233" s="39" t="n">
        <f aca="false">MY_PH(O$2,$A233)</f>
        <v>3.65524148902855E-005</v>
      </c>
      <c r="P233" s="39" t="n">
        <f aca="false">MY_PH(P$2,$A233)</f>
        <v>3.65538083611925E-005</v>
      </c>
      <c r="Q233" s="39" t="n">
        <f aca="false">MY_PH(Q$2,$A233)</f>
        <v>3.65552019995587E-005</v>
      </c>
      <c r="R233" s="39" t="n">
        <f aca="false">MY_PH(R$2,$A233)</f>
        <v>3.65565958053316E-005</v>
      </c>
      <c r="S233" s="39" t="n">
        <f aca="false">MY_PH(S$2,$A233)</f>
        <v>3.65579897784584E-005</v>
      </c>
      <c r="T233" s="39" t="n">
        <f aca="false">MY_PH(T$2,$A233)</f>
        <v>3.65593839188865E-005</v>
      </c>
      <c r="U233" s="39" t="n">
        <f aca="false">MY_PH(U$2,$A233)</f>
        <v>3.65607782265632E-005</v>
      </c>
      <c r="V233" s="39" t="n">
        <f aca="false">MY_PH(V$2,$A233)</f>
        <v>3.6562172701436E-005</v>
      </c>
      <c r="W233" s="39" t="n">
        <f aca="false">MY_PH(W$2,$A233)</f>
        <v>3.65635673434522E-005</v>
      </c>
      <c r="X233" s="39" t="n">
        <f aca="false">MY_PH(X$2,$A233)</f>
        <v>3.65649621525592E-005</v>
      </c>
      <c r="Y233" s="39" t="n">
        <f aca="false">MY_PH(Y$2,$A233)</f>
        <v>3.65789194220572E-005</v>
      </c>
      <c r="Z233" s="39" t="n">
        <f aca="false">MY_PH(Z$2,$A233)</f>
        <v>3.65928933428373E-005</v>
      </c>
      <c r="AA233" s="39" t="n">
        <f aca="false">MY_PH(AA$2,$A233)</f>
        <v>3.6606883862443E-005</v>
      </c>
      <c r="AB233" s="39" t="n">
        <f aca="false">MY_PH(AB$2,$A233)</f>
        <v>3.66208909285084E-005</v>
      </c>
      <c r="AC233" s="39" t="n">
        <f aca="false">MY_PH(AC$2,$A233)</f>
        <v>3.66349144887572E-005</v>
      </c>
      <c r="AD233" s="39" t="n">
        <f aca="false">MY_PH(AD$2,$A233)</f>
        <v>3.6648954491002E-005</v>
      </c>
      <c r="AE233" s="39" t="n">
        <f aca="false">MY_PH(AE$2,$A233)</f>
        <v>3.66630108831437E-005</v>
      </c>
      <c r="AF233" s="39" t="n">
        <f aca="false">MY_PH(AF$2,$A233)</f>
        <v>3.66770836131711E-005</v>
      </c>
      <c r="AG233" s="39" t="n">
        <f aca="false">MY_PH(AG$2,$A233)</f>
        <v>3.66911726291597E-005</v>
      </c>
      <c r="AH233" s="39" t="n">
        <f aca="false">MY_PH(AH$2,$A233)</f>
        <v>3.68329471545788E-005</v>
      </c>
      <c r="AI233" s="39" t="n">
        <f aca="false">MY_PH(AI$2,$A233)</f>
        <v>3.69762937825158E-005</v>
      </c>
      <c r="AJ233" s="39" t="n">
        <f aca="false">MY_PH(AJ$2,$A233)</f>
        <v>3.71214708188238E-005</v>
      </c>
      <c r="AK233" s="39" t="n">
        <f aca="false">MY_PH(AK$2,$A233)</f>
        <v>3.72677234382121E-005</v>
      </c>
      <c r="AL233" s="39" t="n">
        <f aca="false">MY_PH(AL$2,$A233)</f>
        <v>3.74154260769232E-005</v>
      </c>
      <c r="AM233" s="39" t="n">
        <f aca="false">MY_PH(AM$2,$A233)</f>
        <v>3.75645349697097E-005</v>
      </c>
      <c r="AN233" s="39" t="n">
        <f aca="false">MY_PH(AN$2,$A233)</f>
        <v>3.77150069714226E-005</v>
      </c>
      <c r="AO233" s="39" t="n">
        <f aca="false">MY_PH(AO$2,$A233)</f>
        <v>3.78667995206811E-005</v>
      </c>
      <c r="AP233" s="39" t="n">
        <f aca="false">MY_PH(AP$2,$A233)</f>
        <v>3.80198706087587E-005</v>
      </c>
      <c r="AQ233" s="39" t="n">
        <f aca="false">MY_PH(AQ$2,$A233)</f>
        <v>3.96120135535398E-005</v>
      </c>
      <c r="AR233" s="39" t="n">
        <f aca="false">MY_PH(AR$2,$A233)</f>
        <v>3.99524253462863E-005</v>
      </c>
      <c r="AS233" s="39" t="n">
        <f aca="false">MY_PH(AS$2,$A233)</f>
        <v>4.010791574149E-005</v>
      </c>
    </row>
    <row r="234" customFormat="false" ht="13.8" hidden="false" customHeight="false" outlineLevel="0" collapsed="false">
      <c r="A234" s="0" t="n">
        <v>3940</v>
      </c>
      <c r="B234" s="39" t="n">
        <f aca="false">MY_PH(B$2,$A234)</f>
        <v>3.67216919180102E-005</v>
      </c>
      <c r="C234" s="39" t="n">
        <f aca="false">MY_PH(C$2,$A234)</f>
        <v>3.67217057249543E-005</v>
      </c>
      <c r="D234" s="39" t="n">
        <f aca="false">MY_PH(D$2,$A234)</f>
        <v>3.67217195319151E-005</v>
      </c>
      <c r="E234" s="39" t="n">
        <f aca="false">MY_PH(E$2,$A234)</f>
        <v>3.67217333388926E-005</v>
      </c>
      <c r="F234" s="39" t="n">
        <f aca="false">MY_PH(F$2,$A234)</f>
        <v>3.67217471458867E-005</v>
      </c>
      <c r="G234" s="39" t="n">
        <f aca="false">MY_PH(G$2,$A234)</f>
        <v>3.67218852167467E-005</v>
      </c>
      <c r="H234" s="39" t="n">
        <f aca="false">MY_PH(H$2,$A234)</f>
        <v>3.67220232892759E-005</v>
      </c>
      <c r="I234" s="39" t="n">
        <f aca="false">MY_PH(I$2,$A234)</f>
        <v>3.67221613634744E-005</v>
      </c>
      <c r="J234" s="39" t="n">
        <f aca="false">MY_PH(J$2,$A234)</f>
        <v>3.6722299439342E-005</v>
      </c>
      <c r="K234" s="39" t="n">
        <f aca="false">MY_PH(K$2,$A234)</f>
        <v>3.67224375168786E-005</v>
      </c>
      <c r="L234" s="39" t="n">
        <f aca="false">MY_PH(L$2,$A234)</f>
        <v>3.67225755960843E-005</v>
      </c>
      <c r="M234" s="39" t="n">
        <f aca="false">MY_PH(M$2,$A234)</f>
        <v>3.67227136769591E-005</v>
      </c>
      <c r="N234" s="39" t="n">
        <f aca="false">MY_PH(N$2,$A234)</f>
        <v>3.67228517595027E-005</v>
      </c>
      <c r="O234" s="39" t="n">
        <f aca="false">MY_PH(O$2,$A234)</f>
        <v>3.67229898437153E-005</v>
      </c>
      <c r="P234" s="39" t="n">
        <f aca="false">MY_PH(P$2,$A234)</f>
        <v>3.67243707776186E-005</v>
      </c>
      <c r="Q234" s="39" t="n">
        <f aca="false">MY_PH(Q$2,$A234)</f>
        <v>3.67257518783549E-005</v>
      </c>
      <c r="R234" s="39" t="n">
        <f aca="false">MY_PH(R$2,$A234)</f>
        <v>3.6727133145873E-005</v>
      </c>
      <c r="S234" s="39" t="n">
        <f aca="false">MY_PH(S$2,$A234)</f>
        <v>3.67285145801217E-005</v>
      </c>
      <c r="T234" s="39" t="n">
        <f aca="false">MY_PH(T$2,$A234)</f>
        <v>3.67298961810498E-005</v>
      </c>
      <c r="U234" s="39" t="n">
        <f aca="false">MY_PH(U$2,$A234)</f>
        <v>3.67312779486062E-005</v>
      </c>
      <c r="V234" s="39" t="n">
        <f aca="false">MY_PH(V$2,$A234)</f>
        <v>3.67326598827398E-005</v>
      </c>
      <c r="W234" s="39" t="n">
        <f aca="false">MY_PH(W$2,$A234)</f>
        <v>3.67340419833994E-005</v>
      </c>
      <c r="X234" s="39" t="n">
        <f aca="false">MY_PH(X$2,$A234)</f>
        <v>3.67354242505338E-005</v>
      </c>
      <c r="Y234" s="39" t="n">
        <f aca="false">MY_PH(Y$2,$A234)</f>
        <v>3.67492560667543E-005</v>
      </c>
      <c r="Z234" s="39" t="n">
        <f aca="false">MY_PH(Z$2,$A234)</f>
        <v>3.67631044742835E-005</v>
      </c>
      <c r="AA234" s="39" t="n">
        <f aca="false">MY_PH(AA$2,$A234)</f>
        <v>3.67769694221307E-005</v>
      </c>
      <c r="AB234" s="39" t="n">
        <f aca="false">MY_PH(AB$2,$A234)</f>
        <v>3.67908508593883E-005</v>
      </c>
      <c r="AC234" s="39" t="n">
        <f aca="false">MY_PH(AC$2,$A234)</f>
        <v>3.68047487352309E-005</v>
      </c>
      <c r="AD234" s="39" t="n">
        <f aca="false">MY_PH(AD$2,$A234)</f>
        <v>3.6818662998915E-005</v>
      </c>
      <c r="AE234" s="39" t="n">
        <f aca="false">MY_PH(AE$2,$A234)</f>
        <v>3.68325935997781E-005</v>
      </c>
      <c r="AF234" s="39" t="n">
        <f aca="false">MY_PH(AF$2,$A234)</f>
        <v>3.68465404872382E-005</v>
      </c>
      <c r="AG234" s="39" t="n">
        <f aca="false">MY_PH(AG$2,$A234)</f>
        <v>3.68605036107934E-005</v>
      </c>
      <c r="AH234" s="39" t="n">
        <f aca="false">MY_PH(AH$2,$A234)</f>
        <v>3.70010167771171E-005</v>
      </c>
      <c r="AI234" s="39" t="n">
        <f aca="false">MY_PH(AI$2,$A234)</f>
        <v>3.71430985723887E-005</v>
      </c>
      <c r="AJ234" s="39" t="n">
        <f aca="false">MY_PH(AJ$2,$A234)</f>
        <v>3.7287000693358E-005</v>
      </c>
      <c r="AK234" s="39" t="n">
        <f aca="false">MY_PH(AK$2,$A234)</f>
        <v>3.74319850381469E-005</v>
      </c>
      <c r="AL234" s="39" t="n">
        <f aca="false">MY_PH(AL$2,$A234)</f>
        <v>3.75784107253122E-005</v>
      </c>
      <c r="AM234" s="39" t="n">
        <f aca="false">MY_PH(AM$2,$A234)</f>
        <v>3.77262347235162E-005</v>
      </c>
      <c r="AN234" s="39" t="n">
        <f aca="false">MY_PH(AN$2,$A234)</f>
        <v>3.78754145847753E-005</v>
      </c>
      <c r="AO234" s="39" t="n">
        <f aca="false">MY_PH(AO$2,$A234)</f>
        <v>3.80259084112574E-005</v>
      </c>
      <c r="AP234" s="39" t="n">
        <f aca="false">MY_PH(AP$2,$A234)</f>
        <v>3.81776748270009E-005</v>
      </c>
      <c r="AQ234" s="39" t="n">
        <f aca="false">MY_PH(AQ$2,$A234)</f>
        <v>3.97565653770546E-005</v>
      </c>
      <c r="AR234" s="39" t="n">
        <f aca="false">MY_PH(AR$2,$A234)</f>
        <v>4.0094221561281E-005</v>
      </c>
      <c r="AS234" s="39" t="n">
        <f aca="false">MY_PH(AS$2,$A234)</f>
        <v>4.02484624989897E-005</v>
      </c>
    </row>
    <row r="235" customFormat="false" ht="13.8" hidden="false" customHeight="false" outlineLevel="0" collapsed="false">
      <c r="A235" s="0" t="n">
        <v>3950</v>
      </c>
      <c r="B235" s="39" t="n">
        <f aca="false">MY_PH(B$2,$A235)</f>
        <v>3.68918211722385E-005</v>
      </c>
      <c r="C235" s="39" t="n">
        <f aca="false">MY_PH(C$2,$A235)</f>
        <v>3.68918348553581E-005</v>
      </c>
      <c r="D235" s="39" t="n">
        <f aca="false">MY_PH(D$2,$A235)</f>
        <v>3.68918485384945E-005</v>
      </c>
      <c r="E235" s="39" t="n">
        <f aca="false">MY_PH(E$2,$A235)</f>
        <v>3.68918622216474E-005</v>
      </c>
      <c r="F235" s="39" t="n">
        <f aca="false">MY_PH(F$2,$A235)</f>
        <v>3.68918759048169E-005</v>
      </c>
      <c r="G235" s="39" t="n">
        <f aca="false">MY_PH(G$2,$A235)</f>
        <v>3.68920127374272E-005</v>
      </c>
      <c r="H235" s="39" t="n">
        <f aca="false">MY_PH(H$2,$A235)</f>
        <v>3.68921495717003E-005</v>
      </c>
      <c r="I235" s="39" t="n">
        <f aca="false">MY_PH(I$2,$A235)</f>
        <v>3.68922864076364E-005</v>
      </c>
      <c r="J235" s="39" t="n">
        <f aca="false">MY_PH(J$2,$A235)</f>
        <v>3.68924232452354E-005</v>
      </c>
      <c r="K235" s="39" t="n">
        <f aca="false">MY_PH(K$2,$A235)</f>
        <v>3.68925600844972E-005</v>
      </c>
      <c r="L235" s="39" t="n">
        <f aca="false">MY_PH(L$2,$A235)</f>
        <v>3.68926969254218E-005</v>
      </c>
      <c r="M235" s="39" t="n">
        <f aca="false">MY_PH(M$2,$A235)</f>
        <v>3.68928337680091E-005</v>
      </c>
      <c r="N235" s="39" t="n">
        <f aca="false">MY_PH(N$2,$A235)</f>
        <v>3.6892970612259E-005</v>
      </c>
      <c r="O235" s="39" t="n">
        <f aca="false">MY_PH(O$2,$A235)</f>
        <v>3.68931074581716E-005</v>
      </c>
      <c r="P235" s="39" t="n">
        <f aca="false">MY_PH(P$2,$A235)</f>
        <v>3.68944760087308E-005</v>
      </c>
      <c r="Q235" s="39" t="n">
        <f aca="false">MY_PH(Q$2,$A235)</f>
        <v>3.68958447254975E-005</v>
      </c>
      <c r="R235" s="39" t="n">
        <f aca="false">MY_PH(R$2,$A235)</f>
        <v>3.68972136084218E-005</v>
      </c>
      <c r="S235" s="39" t="n">
        <f aca="false">MY_PH(S$2,$A235)</f>
        <v>3.68985826574541E-005</v>
      </c>
      <c r="T235" s="39" t="n">
        <f aca="false">MY_PH(T$2,$A235)</f>
        <v>3.68999518725447E-005</v>
      </c>
      <c r="U235" s="39" t="n">
        <f aca="false">MY_PH(U$2,$A235)</f>
        <v>3.69013212536436E-005</v>
      </c>
      <c r="V235" s="39" t="n">
        <f aca="false">MY_PH(V$2,$A235)</f>
        <v>3.69026908007012E-005</v>
      </c>
      <c r="W235" s="39" t="n">
        <f aca="false">MY_PH(W$2,$A235)</f>
        <v>3.69040605136678E-005</v>
      </c>
      <c r="X235" s="39" t="n">
        <f aca="false">MY_PH(X$2,$A235)</f>
        <v>3.69054303924936E-005</v>
      </c>
      <c r="Y235" s="39" t="n">
        <f aca="false">MY_PH(Y$2,$A235)</f>
        <v>3.6919138292074E-005</v>
      </c>
      <c r="Z235" s="39" t="n">
        <f aca="false">MY_PH(Z$2,$A235)</f>
        <v>3.69328627229318E-005</v>
      </c>
      <c r="AA235" s="39" t="n">
        <f aca="false">MY_PH(AA$2,$A235)</f>
        <v>3.69466036354647E-005</v>
      </c>
      <c r="AB235" s="39" t="n">
        <f aca="false">MY_PH(AB$2,$A235)</f>
        <v>3.69603609801464E-005</v>
      </c>
      <c r="AC235" s="39" t="n">
        <f aca="false">MY_PH(AC$2,$A235)</f>
        <v>3.69741347075263E-005</v>
      </c>
      <c r="AD235" s="39" t="n">
        <f aca="false">MY_PH(AD$2,$A235)</f>
        <v>3.69879247682288E-005</v>
      </c>
      <c r="AE235" s="39" t="n">
        <f aca="false">MY_PH(AE$2,$A235)</f>
        <v>3.70017311129528E-005</v>
      </c>
      <c r="AF235" s="39" t="n">
        <f aca="false">MY_PH(AF$2,$A235)</f>
        <v>3.70155536924709E-005</v>
      </c>
      <c r="AG235" s="39" t="n">
        <f aca="false">MY_PH(AG$2,$A235)</f>
        <v>3.70293924576292E-005</v>
      </c>
      <c r="AH235" s="39" t="n">
        <f aca="false">MY_PH(AH$2,$A235)</f>
        <v>3.7168659556881E-005</v>
      </c>
      <c r="AI235" s="39" t="n">
        <f aca="false">MY_PH(AI$2,$A235)</f>
        <v>3.73094916747624E-005</v>
      </c>
      <c r="AJ235" s="39" t="n">
        <f aca="false">MY_PH(AJ$2,$A235)</f>
        <v>3.7452132428071E-005</v>
      </c>
      <c r="AK235" s="39" t="n">
        <f aca="false">MY_PH(AK$2,$A235)</f>
        <v>3.75958635791069E-005</v>
      </c>
      <c r="AL235" s="39" t="n">
        <f aca="false">MY_PH(AL$2,$A235)</f>
        <v>3.77410275791233E-005</v>
      </c>
      <c r="AM235" s="39" t="n">
        <f aca="false">MY_PH(AM$2,$A235)</f>
        <v>3.78875821030275E-005</v>
      </c>
      <c r="AN235" s="39" t="n">
        <f aca="false">MY_PH(AN$2,$A235)</f>
        <v>3.80354853746811E-005</v>
      </c>
      <c r="AO235" s="39" t="n">
        <f aca="false">MY_PH(AO$2,$A235)</f>
        <v>3.81846961366013E-005</v>
      </c>
      <c r="AP235" s="39" t="n">
        <f aca="false">MY_PH(AP$2,$A235)</f>
        <v>3.83351736243062E-005</v>
      </c>
      <c r="AQ235" s="39" t="n">
        <f aca="false">MY_PH(AQ$2,$A235)</f>
        <v>3.99009703147746E-005</v>
      </c>
      <c r="AR235" s="39" t="n">
        <f aca="false">MY_PH(AR$2,$A235)</f>
        <v>4.02359031666971E-005</v>
      </c>
      <c r="AS235" s="39" t="n">
        <f aca="false">MY_PH(AS$2,$A235)</f>
        <v>4.03889091744262E-005</v>
      </c>
    </row>
    <row r="236" customFormat="false" ht="13.8" hidden="false" customHeight="false" outlineLevel="0" collapsed="false">
      <c r="A236" s="0" t="n">
        <v>3960</v>
      </c>
      <c r="B236" s="39" t="n">
        <f aca="false">MY_PH(B$2,$A236)</f>
        <v>3.70614943323571E-005</v>
      </c>
      <c r="C236" s="39" t="n">
        <f aca="false">MY_PH(C$2,$A236)</f>
        <v>3.70615078931608E-005</v>
      </c>
      <c r="D236" s="39" t="n">
        <f aca="false">MY_PH(D$2,$A236)</f>
        <v>3.70615214539812E-005</v>
      </c>
      <c r="E236" s="39" t="n">
        <f aca="false">MY_PH(E$2,$A236)</f>
        <v>3.70615350148181E-005</v>
      </c>
      <c r="F236" s="39" t="n">
        <f aca="false">MY_PH(F$2,$A236)</f>
        <v>3.70615485756715E-005</v>
      </c>
      <c r="G236" s="39" t="n">
        <f aca="false">MY_PH(G$2,$A236)</f>
        <v>3.70616841851174E-005</v>
      </c>
      <c r="H236" s="39" t="n">
        <f aca="false">MY_PH(H$2,$A236)</f>
        <v>3.706181979622E-005</v>
      </c>
      <c r="I236" s="39" t="n">
        <f aca="false">MY_PH(I$2,$A236)</f>
        <v>3.70619554089791E-005</v>
      </c>
      <c r="J236" s="39" t="n">
        <f aca="false">MY_PH(J$2,$A236)</f>
        <v>3.70620910233949E-005</v>
      </c>
      <c r="K236" s="39" t="n">
        <f aca="false">MY_PH(K$2,$A236)</f>
        <v>3.70622266394671E-005</v>
      </c>
      <c r="L236" s="39" t="n">
        <f aca="false">MY_PH(L$2,$A236)</f>
        <v>3.70623622571958E-005</v>
      </c>
      <c r="M236" s="39" t="n">
        <f aca="false">MY_PH(M$2,$A236)</f>
        <v>3.7062497876581E-005</v>
      </c>
      <c r="N236" s="39" t="n">
        <f aca="false">MY_PH(N$2,$A236)</f>
        <v>3.70626334976225E-005</v>
      </c>
      <c r="O236" s="39" t="n">
        <f aca="false">MY_PH(O$2,$A236)</f>
        <v>3.70627691203203E-005</v>
      </c>
      <c r="P236" s="39" t="n">
        <f aca="false">MY_PH(P$2,$A236)</f>
        <v>3.70641254383857E-005</v>
      </c>
      <c r="Q236" s="39" t="n">
        <f aca="false">MY_PH(Q$2,$A236)</f>
        <v>3.70654819220302E-005</v>
      </c>
      <c r="R236" s="39" t="n">
        <f aca="false">MY_PH(R$2,$A236)</f>
        <v>3.70668385712053E-005</v>
      </c>
      <c r="S236" s="39" t="n">
        <f aca="false">MY_PH(S$2,$A236)</f>
        <v>3.70681953858625E-005</v>
      </c>
      <c r="T236" s="39" t="n">
        <f aca="false">MY_PH(T$2,$A236)</f>
        <v>3.70695523659535E-005</v>
      </c>
      <c r="U236" s="39" t="n">
        <f aca="false">MY_PH(U$2,$A236)</f>
        <v>3.70709095114298E-005</v>
      </c>
      <c r="V236" s="39" t="n">
        <f aca="false">MY_PH(V$2,$A236)</f>
        <v>3.7072266822243E-005</v>
      </c>
      <c r="W236" s="39" t="n">
        <f aca="false">MY_PH(W$2,$A236)</f>
        <v>3.70736242983446E-005</v>
      </c>
      <c r="X236" s="39" t="n">
        <f aca="false">MY_PH(X$2,$A236)</f>
        <v>3.70749819396863E-005</v>
      </c>
      <c r="Y236" s="39" t="n">
        <f aca="false">MY_PH(Y$2,$A236)</f>
        <v>3.7088567430664E-005</v>
      </c>
      <c r="Z236" s="39" t="n">
        <f aca="false">MY_PH(Z$2,$A236)</f>
        <v>3.71021693924578E-005</v>
      </c>
      <c r="AA236" s="39" t="n">
        <f aca="false">MY_PH(AA$2,$A236)</f>
        <v>3.71157877767802E-005</v>
      </c>
      <c r="AB236" s="39" t="n">
        <f aca="false">MY_PH(AB$2,$A236)</f>
        <v>3.71294225354138E-005</v>
      </c>
      <c r="AC236" s="39" t="n">
        <f aca="false">MY_PH(AC$2,$A236)</f>
        <v>3.71430736202106E-005</v>
      </c>
      <c r="AD236" s="39" t="n">
        <f aca="false">MY_PH(AD$2,$A236)</f>
        <v>3.71567409830911E-005</v>
      </c>
      <c r="AE236" s="39" t="n">
        <f aca="false">MY_PH(AE$2,$A236)</f>
        <v>3.71704245760444E-005</v>
      </c>
      <c r="AF236" s="39" t="n">
        <f aca="false">MY_PH(AF$2,$A236)</f>
        <v>3.71841243511269E-005</v>
      </c>
      <c r="AG236" s="39" t="n">
        <f aca="false">MY_PH(AG$2,$A236)</f>
        <v>3.71978402604626E-005</v>
      </c>
      <c r="AH236" s="39" t="n">
        <f aca="false">MY_PH(AH$2,$A236)</f>
        <v>3.73358762520203E-005</v>
      </c>
      <c r="AI236" s="39" t="n">
        <f aca="false">MY_PH(AI$2,$A236)</f>
        <v>3.7475473485011E-005</v>
      </c>
      <c r="AJ236" s="39" t="n">
        <f aca="false">MY_PH(AJ$2,$A236)</f>
        <v>3.76168660540638E-005</v>
      </c>
      <c r="AK236" s="39" t="n">
        <f aca="false">MY_PH(AK$2,$A236)</f>
        <v>3.77593587732364E-005</v>
      </c>
      <c r="AL236" s="39" t="n">
        <f aca="false">MY_PH(AL$2,$A236)</f>
        <v>3.7903276033278E-005</v>
      </c>
      <c r="AM236" s="39" t="n">
        <f aca="false">MY_PH(AM$2,$A236)</f>
        <v>3.8048576188439E-005</v>
      </c>
      <c r="AN236" s="39" t="n">
        <f aca="false">MY_PH(AN$2,$A236)</f>
        <v>3.81952181097366E-005</v>
      </c>
      <c r="AO236" s="39" t="n">
        <f aca="false">MY_PH(AO$2,$A236)</f>
        <v>3.83431611573532E-005</v>
      </c>
      <c r="AP236" s="39" t="n">
        <f aca="false">MY_PH(AP$2,$A236)</f>
        <v>3.84923651574165E-005</v>
      </c>
      <c r="AQ236" s="39" t="n">
        <f aca="false">MY_PH(AQ$2,$A236)</f>
        <v>4.00452237506765E-005</v>
      </c>
      <c r="AR236" s="39" t="n">
        <f aca="false">MY_PH(AR$2,$A236)</f>
        <v>4.03774650373584E-005</v>
      </c>
      <c r="AS236" s="39" t="n">
        <f aca="false">MY_PH(AS$2,$A236)</f>
        <v>4.05292504187013E-005</v>
      </c>
    </row>
    <row r="237" customFormat="false" ht="13.8" hidden="false" customHeight="false" outlineLevel="0" collapsed="false">
      <c r="A237" s="0" t="n">
        <v>3970</v>
      </c>
      <c r="B237" s="39" t="n">
        <f aca="false">MY_PH(B$2,$A237)</f>
        <v>3.72307128114137E-005</v>
      </c>
      <c r="C237" s="39" t="n">
        <f aca="false">MY_PH(C$2,$A237)</f>
        <v>3.72307262513819E-005</v>
      </c>
      <c r="D237" s="39" t="n">
        <f aca="false">MY_PH(D$2,$A237)</f>
        <v>3.72307396913667E-005</v>
      </c>
      <c r="E237" s="39" t="n">
        <f aca="false">MY_PH(E$2,$A237)</f>
        <v>3.7230753131368E-005</v>
      </c>
      <c r="F237" s="39" t="n">
        <f aca="false">MY_PH(F$2,$A237)</f>
        <v>3.72307665713857E-005</v>
      </c>
      <c r="G237" s="39" t="n">
        <f aca="false">MY_PH(G$2,$A237)</f>
        <v>3.72309009724712E-005</v>
      </c>
      <c r="H237" s="39" t="n">
        <f aca="false">MY_PH(H$2,$A237)</f>
        <v>3.7231035375207E-005</v>
      </c>
      <c r="I237" s="39" t="n">
        <f aca="false">MY_PH(I$2,$A237)</f>
        <v>3.7231169779593E-005</v>
      </c>
      <c r="J237" s="39" t="n">
        <f aca="false">MY_PH(J$2,$A237)</f>
        <v>3.72313041856292E-005</v>
      </c>
      <c r="K237" s="39" t="n">
        <f aca="false">MY_PH(K$2,$A237)</f>
        <v>3.72314385933156E-005</v>
      </c>
      <c r="L237" s="39" t="n">
        <f aca="false">MY_PH(L$2,$A237)</f>
        <v>3.72315730026521E-005</v>
      </c>
      <c r="M237" s="39" t="n">
        <f aca="false">MY_PH(M$2,$A237)</f>
        <v>3.72317074136386E-005</v>
      </c>
      <c r="N237" s="39" t="n">
        <f aca="false">MY_PH(N$2,$A237)</f>
        <v>3.72318418262751E-005</v>
      </c>
      <c r="O237" s="39" t="n">
        <f aca="false">MY_PH(O$2,$A237)</f>
        <v>3.72319762405616E-005</v>
      </c>
      <c r="P237" s="39" t="n">
        <f aca="false">MY_PH(P$2,$A237)</f>
        <v>3.72333204741636E-005</v>
      </c>
      <c r="Q237" s="39" t="n">
        <f aca="false">MY_PH(Q$2,$A237)</f>
        <v>3.72346648727097E-005</v>
      </c>
      <c r="R237" s="39" t="n">
        <f aca="false">MY_PH(R$2,$A237)</f>
        <v>3.72360094361524E-005</v>
      </c>
      <c r="S237" s="39" t="n">
        <f aca="false">MY_PH(S$2,$A237)</f>
        <v>3.72373541644448E-005</v>
      </c>
      <c r="T237" s="39" t="n">
        <f aca="false">MY_PH(T$2,$A237)</f>
        <v>3.72386990575396E-005</v>
      </c>
      <c r="U237" s="39" t="n">
        <f aca="false">MY_PH(U$2,$A237)</f>
        <v>3.72400441153896E-005</v>
      </c>
      <c r="V237" s="39" t="n">
        <f aca="false">MY_PH(V$2,$A237)</f>
        <v>3.72413893379477E-005</v>
      </c>
      <c r="W237" s="39" t="n">
        <f aca="false">MY_PH(W$2,$A237)</f>
        <v>3.72427347251667E-005</v>
      </c>
      <c r="X237" s="39" t="n">
        <f aca="false">MY_PH(X$2,$A237)</f>
        <v>3.72440802769995E-005</v>
      </c>
      <c r="Y237" s="39" t="n">
        <f aca="false">MY_PH(Y$2,$A237)</f>
        <v>3.72575448387169E-005</v>
      </c>
      <c r="Z237" s="39" t="n">
        <f aca="false">MY_PH(Z$2,$A237)</f>
        <v>3.72710258099969E-005</v>
      </c>
      <c r="AA237" s="39" t="n">
        <f aca="false">MY_PH(AA$2,$A237)</f>
        <v>3.7284523143798E-005</v>
      </c>
      <c r="AB237" s="39" t="n">
        <f aca="false">MY_PH(AB$2,$A237)</f>
        <v>3.72980367931427E-005</v>
      </c>
      <c r="AC237" s="39" t="n">
        <f aca="false">MY_PH(AC$2,$A237)</f>
        <v>3.73115667111171E-005</v>
      </c>
      <c r="AD237" s="39" t="n">
        <f aca="false">MY_PH(AD$2,$A237)</f>
        <v>3.73251128508705E-005</v>
      </c>
      <c r="AE237" s="39" t="n">
        <f aca="false">MY_PH(AE$2,$A237)</f>
        <v>3.73386751656145E-005</v>
      </c>
      <c r="AF237" s="39" t="n">
        <f aca="false">MY_PH(AF$2,$A237)</f>
        <v>3.73522536086229E-005</v>
      </c>
      <c r="AG237" s="39" t="n">
        <f aca="false">MY_PH(AG$2,$A237)</f>
        <v>3.73658481332308E-005</v>
      </c>
      <c r="AH237" s="39" t="n">
        <f aca="false">MY_PH(AH$2,$A237)</f>
        <v>3.75026676441068E-005</v>
      </c>
      <c r="AI237" s="39" t="n">
        <f aca="false">MY_PH(AI$2,$A237)</f>
        <v>3.76410444229088E-005</v>
      </c>
      <c r="AJ237" s="39" t="n">
        <f aca="false">MY_PH(AJ$2,$A237)</f>
        <v>3.77812016466277E-005</v>
      </c>
      <c r="AK237" s="39" t="n">
        <f aca="false">MY_PH(AK$2,$A237)</f>
        <v>3.79224703855634E-005</v>
      </c>
      <c r="AL237" s="39" t="n">
        <f aca="false">MY_PH(AL$2,$A237)</f>
        <v>3.80651555440427E-005</v>
      </c>
      <c r="AM237" s="39" t="n">
        <f aca="false">MY_PH(AM$2,$A237)</f>
        <v>3.82092161295106E-005</v>
      </c>
      <c r="AN237" s="39" t="n">
        <f aca="false">MY_PH(AN$2,$A237)</f>
        <v>3.83546116360804E-005</v>
      </c>
      <c r="AO237" s="39" t="n">
        <f aca="false">MY_PH(AO$2,$A237)</f>
        <v>3.85013020194351E-005</v>
      </c>
      <c r="AP237" s="39" t="n">
        <f aca="false">MY_PH(AP$2,$A237)</f>
        <v>3.8649247675866E-005</v>
      </c>
      <c r="AQ237" s="39" t="n">
        <f aca="false">MY_PH(AQ$2,$A237)</f>
        <v>4.01893212277269E-005</v>
      </c>
      <c r="AR237" s="39" t="n">
        <f aca="false">MY_PH(AR$2,$A237)</f>
        <v>4.05189022197423E-005</v>
      </c>
      <c r="AS237" s="39" t="n">
        <f aca="false">MY_PH(AS$2,$A237)</f>
        <v>4.06694810601026E-005</v>
      </c>
    </row>
    <row r="238" customFormat="false" ht="13.8" hidden="false" customHeight="false" outlineLevel="0" collapsed="false">
      <c r="A238" s="0" t="n">
        <v>3980</v>
      </c>
      <c r="B238" s="39" t="n">
        <f aca="false">MY_PH(B$2,$A238)</f>
        <v>3.73994780451903E-005</v>
      </c>
      <c r="C238" s="39" t="n">
        <f aca="false">MY_PH(C$2,$A238)</f>
        <v>3.73994913657751E-005</v>
      </c>
      <c r="D238" s="39" t="n">
        <f aca="false">MY_PH(D$2,$A238)</f>
        <v>3.73995046863765E-005</v>
      </c>
      <c r="E238" s="39" t="n">
        <f aca="false">MY_PH(E$2,$A238)</f>
        <v>3.73995180069942E-005</v>
      </c>
      <c r="F238" s="39" t="n">
        <f aca="false">MY_PH(F$2,$A238)</f>
        <v>3.73995313276284E-005</v>
      </c>
      <c r="G238" s="39" t="n">
        <f aca="false">MY_PH(G$2,$A238)</f>
        <v>3.73996645348743E-005</v>
      </c>
      <c r="H238" s="39" t="n">
        <f aca="false">MY_PH(H$2,$A238)</f>
        <v>3.73997977437641E-005</v>
      </c>
      <c r="I238" s="39" t="n">
        <f aca="false">MY_PH(I$2,$A238)</f>
        <v>3.73999309542977E-005</v>
      </c>
      <c r="J238" s="39" t="n">
        <f aca="false">MY_PH(J$2,$A238)</f>
        <v>3.74000641664749E-005</v>
      </c>
      <c r="K238" s="39" t="n">
        <f aca="false">MY_PH(K$2,$A238)</f>
        <v>3.74001973802958E-005</v>
      </c>
      <c r="L238" s="39" t="n">
        <f aca="false">MY_PH(L$2,$A238)</f>
        <v>3.74003305957604E-005</v>
      </c>
      <c r="M238" s="39" t="n">
        <f aca="false">MY_PH(M$2,$A238)</f>
        <v>3.74004638128685E-005</v>
      </c>
      <c r="N238" s="39" t="n">
        <f aca="false">MY_PH(N$2,$A238)</f>
        <v>3.74005970316202E-005</v>
      </c>
      <c r="O238" s="39" t="n">
        <f aca="false">MY_PH(O$2,$A238)</f>
        <v>3.74007302520154E-005</v>
      </c>
      <c r="P238" s="39" t="n">
        <f aca="false">MY_PH(P$2,$A238)</f>
        <v>3.74020625463491E-005</v>
      </c>
      <c r="Q238" s="39" t="n">
        <f aca="false">MY_PH(Q$2,$A238)</f>
        <v>3.74033950049814E-005</v>
      </c>
      <c r="R238" s="39" t="n">
        <f aca="false">MY_PH(R$2,$A238)</f>
        <v>3.74047276278663E-005</v>
      </c>
      <c r="S238" s="39" t="n">
        <f aca="false">MY_PH(S$2,$A238)</f>
        <v>3.74060604149578E-005</v>
      </c>
      <c r="T238" s="39" t="n">
        <f aca="false">MY_PH(T$2,$A238)</f>
        <v>3.740739336621E-005</v>
      </c>
      <c r="U238" s="39" t="n">
        <f aca="false">MY_PH(U$2,$A238)</f>
        <v>3.74087264815768E-005</v>
      </c>
      <c r="V238" s="39" t="n">
        <f aca="false">MY_PH(V$2,$A238)</f>
        <v>3.74100597610123E-005</v>
      </c>
      <c r="W238" s="39" t="n">
        <f aca="false">MY_PH(W$2,$A238)</f>
        <v>3.74113932044705E-005</v>
      </c>
      <c r="X238" s="39" t="n">
        <f aca="false">MY_PH(X$2,$A238)</f>
        <v>3.74127268119055E-005</v>
      </c>
      <c r="Y238" s="39" t="n">
        <f aca="false">MY_PH(Y$2,$A238)</f>
        <v>3.74260718948707E-005</v>
      </c>
      <c r="Z238" s="39" t="n">
        <f aca="false">MY_PH(Z$2,$A238)</f>
        <v>3.74394333250016E-005</v>
      </c>
      <c r="AA238" s="39" t="n">
        <f aca="false">MY_PH(AA$2,$A238)</f>
        <v>3.74528110564373E-005</v>
      </c>
      <c r="AB238" s="39" t="n">
        <f aca="false">MY_PH(AB$2,$A238)</f>
        <v>3.74662050433754E-005</v>
      </c>
      <c r="AC238" s="39" t="n">
        <f aca="false">MY_PH(AC$2,$A238)</f>
        <v>3.74796152400718E-005</v>
      </c>
      <c r="AD238" s="39" t="n">
        <f aca="false">MY_PH(AD$2,$A238)</f>
        <v>3.74930416008402E-005</v>
      </c>
      <c r="AE238" s="39" t="n">
        <f aca="false">MY_PH(AE$2,$A238)</f>
        <v>3.75064840800514E-005</v>
      </c>
      <c r="AF238" s="39" t="n">
        <f aca="false">MY_PH(AF$2,$A238)</f>
        <v>3.7519942632133E-005</v>
      </c>
      <c r="AG238" s="39" t="n">
        <f aca="false">MY_PH(AG$2,$A238)</f>
        <v>3.75334172115691E-005</v>
      </c>
      <c r="AH238" s="39" t="n">
        <f aca="false">MY_PH(AH$2,$A238)</f>
        <v>3.7669034536289E-005</v>
      </c>
      <c r="AI238" s="39" t="n">
        <f aca="false">MY_PH(AI$2,$A238)</f>
        <v>3.78062049304268E-005</v>
      </c>
      <c r="AJ238" s="39" t="n">
        <f aca="false">MY_PH(AJ$2,$A238)</f>
        <v>3.79451393233863E-005</v>
      </c>
      <c r="AK238" s="39" t="n">
        <f aca="false">MY_PH(AK$2,$A238)</f>
        <v>3.80851982318998E-005</v>
      </c>
      <c r="AL238" s="39" t="n">
        <f aca="false">MY_PH(AL$2,$A238)</f>
        <v>3.82266656266938E-005</v>
      </c>
      <c r="AM238" s="39" t="n">
        <f aca="false">MY_PH(AM$2,$A238)</f>
        <v>3.8369501143005E-005</v>
      </c>
      <c r="AN238" s="39" t="n">
        <f aca="false">MY_PH(AN$2,$A238)</f>
        <v>3.85136648746103E-005</v>
      </c>
      <c r="AO238" s="39" t="n">
        <f aca="false">MY_PH(AO$2,$A238)</f>
        <v>3.86591173510524E-005</v>
      </c>
      <c r="AP238" s="39" t="n">
        <f aca="false">MY_PH(AP$2,$A238)</f>
        <v>3.88058195187718E-005</v>
      </c>
      <c r="AQ238" s="39" t="n">
        <f aca="false">MY_PH(AQ$2,$A238)</f>
        <v>4.0333258442529E-005</v>
      </c>
      <c r="AR238" s="39" t="n">
        <f aca="false">MY_PH(AR$2,$A238)</f>
        <v>4.06602099261299E-005</v>
      </c>
      <c r="AS238" s="39" t="n">
        <f aca="false">MY_PH(AS$2,$A238)</f>
        <v>4.08095960982203E-005</v>
      </c>
    </row>
    <row r="239" customFormat="false" ht="13.8" hidden="false" customHeight="false" outlineLevel="0" collapsed="false">
      <c r="A239" s="0" t="n">
        <v>3990</v>
      </c>
      <c r="B239" s="39" t="n">
        <f aca="false">MY_PH(B$2,$A239)</f>
        <v>3.75677914912267E-005</v>
      </c>
      <c r="C239" s="39" t="n">
        <f aca="false">MY_PH(C$2,$A239)</f>
        <v>3.75678046938518E-005</v>
      </c>
      <c r="D239" s="39" t="n">
        <f aca="false">MY_PH(D$2,$A239)</f>
        <v>3.75678178964932E-005</v>
      </c>
      <c r="E239" s="39" t="n">
        <f aca="false">MY_PH(E$2,$A239)</f>
        <v>3.7567831099151E-005</v>
      </c>
      <c r="F239" s="39" t="n">
        <f aca="false">MY_PH(F$2,$A239)</f>
        <v>3.75678443018252E-005</v>
      </c>
      <c r="G239" s="39" t="n">
        <f aca="false">MY_PH(G$2,$A239)</f>
        <v>3.75679763294675E-005</v>
      </c>
      <c r="H239" s="39" t="n">
        <f aca="false">MY_PH(H$2,$A239)</f>
        <v>3.7568108358747E-005</v>
      </c>
      <c r="I239" s="39" t="n">
        <f aca="false">MY_PH(I$2,$A239)</f>
        <v>3.75682403896636E-005</v>
      </c>
      <c r="J239" s="39" t="n">
        <f aca="false">MY_PH(J$2,$A239)</f>
        <v>3.75683724222173E-005</v>
      </c>
      <c r="K239" s="39" t="n">
        <f aca="false">MY_PH(K$2,$A239)</f>
        <v>3.75685044564082E-005</v>
      </c>
      <c r="L239" s="39" t="n">
        <f aca="false">MY_PH(L$2,$A239)</f>
        <v>3.7568636492236E-005</v>
      </c>
      <c r="M239" s="39" t="n">
        <f aca="false">MY_PH(M$2,$A239)</f>
        <v>3.75687685297008E-005</v>
      </c>
      <c r="N239" s="39" t="n">
        <f aca="false">MY_PH(N$2,$A239)</f>
        <v>3.75689005688026E-005</v>
      </c>
      <c r="O239" s="39" t="n">
        <f aca="false">MY_PH(O$2,$A239)</f>
        <v>3.75690326095412E-005</v>
      </c>
      <c r="P239" s="39" t="n">
        <f aca="false">MY_PH(P$2,$A239)</f>
        <v>3.75703531069467E-005</v>
      </c>
      <c r="Q239" s="39" t="n">
        <f aca="false">MY_PH(Q$2,$A239)</f>
        <v>3.75716737679917E-005</v>
      </c>
      <c r="R239" s="39" t="n">
        <f aca="false">MY_PH(R$2,$A239)</f>
        <v>3.75729945926313E-005</v>
      </c>
      <c r="S239" s="39" t="n">
        <f aca="false">MY_PH(S$2,$A239)</f>
        <v>3.75743155808208E-005</v>
      </c>
      <c r="T239" s="39" t="n">
        <f aca="false">MY_PH(T$2,$A239)</f>
        <v>3.75756367325152E-005</v>
      </c>
      <c r="U239" s="39" t="n">
        <f aca="false">MY_PH(U$2,$A239)</f>
        <v>3.75769580476698E-005</v>
      </c>
      <c r="V239" s="39" t="n">
        <f aca="false">MY_PH(V$2,$A239)</f>
        <v>3.75782795262396E-005</v>
      </c>
      <c r="W239" s="39" t="n">
        <f aca="false">MY_PH(W$2,$A239)</f>
        <v>3.75796011681798E-005</v>
      </c>
      <c r="X239" s="39" t="n">
        <f aca="false">MY_PH(X$2,$A239)</f>
        <v>3.75809229734457E-005</v>
      </c>
      <c r="Y239" s="39" t="n">
        <f aca="false">MY_PH(Y$2,$A239)</f>
        <v>3.7594149999153E-005</v>
      </c>
      <c r="Z239" s="39" t="n">
        <f aca="false">MY_PH(Z$2,$A239)</f>
        <v>3.76073933081456E-005</v>
      </c>
      <c r="AA239" s="39" t="n">
        <f aca="false">MY_PH(AA$2,$A239)</f>
        <v>3.76206528556813E-005</v>
      </c>
      <c r="AB239" s="39" t="n">
        <f aca="false">MY_PH(AB$2,$A239)</f>
        <v>3.76339285970715E-005</v>
      </c>
      <c r="AC239" s="39" t="n">
        <f aca="false">MY_PH(AC$2,$A239)</f>
        <v>3.76472204876809E-005</v>
      </c>
      <c r="AD239" s="39" t="n">
        <f aca="false">MY_PH(AD$2,$A239)</f>
        <v>3.76605284829271E-005</v>
      </c>
      <c r="AE239" s="39" t="n">
        <f aca="false">MY_PH(AE$2,$A239)</f>
        <v>3.76738525382801E-005</v>
      </c>
      <c r="AF239" s="39" t="n">
        <f aca="false">MY_PH(AF$2,$A239)</f>
        <v>3.76871926092617E-005</v>
      </c>
      <c r="AG239" s="39" t="n">
        <f aca="false">MY_PH(AG$2,$A239)</f>
        <v>3.77005486514455E-005</v>
      </c>
      <c r="AH239" s="39" t="n">
        <f aca="false">MY_PH(AH$2,$A239)</f>
        <v>3.78349777515658E-005</v>
      </c>
      <c r="AI239" s="39" t="n">
        <f aca="false">MY_PH(AI$2,$A239)</f>
        <v>3.79709554696812E-005</v>
      </c>
      <c r="AJ239" s="39" t="n">
        <f aca="false">MY_PH(AJ$2,$A239)</f>
        <v>3.81086792425272E-005</v>
      </c>
      <c r="AK239" s="39" t="n">
        <f aca="false">MY_PH(AK$2,$A239)</f>
        <v>3.82475421768431E-005</v>
      </c>
      <c r="AL239" s="39" t="n">
        <f aca="false">MY_PH(AL$2,$A239)</f>
        <v>3.83878058532971E-005</v>
      </c>
      <c r="AM239" s="39" t="n">
        <f aca="false">MY_PH(AM$2,$A239)</f>
        <v>3.85294305102512E-005</v>
      </c>
      <c r="AN239" s="39" t="n">
        <f aca="false">MY_PH(AN$2,$A239)</f>
        <v>3.86723768183372E-005</v>
      </c>
      <c r="AO239" s="39" t="n">
        <f aca="false">MY_PH(AO$2,$A239)</f>
        <v>3.88166058598425E-005</v>
      </c>
      <c r="AP239" s="39" t="n">
        <f aca="false">MY_PH(AP$2,$A239)</f>
        <v>3.89620791117812E-005</v>
      </c>
      <c r="AQ239" s="39" t="n">
        <f aca="false">MY_PH(AQ$2,$A239)</f>
        <v>4.04770312402036E-005</v>
      </c>
      <c r="AR239" s="39" t="n">
        <f aca="false">MY_PH(AR$2,$A239)</f>
        <v>4.08013835289996E-005</v>
      </c>
      <c r="AS239" s="39" t="n">
        <f aca="false">MY_PH(AS$2,$A239)</f>
        <v>4.09495906981099E-005</v>
      </c>
    </row>
    <row r="240" customFormat="false" ht="13.8" hidden="false" customHeight="false" outlineLevel="0" collapsed="false">
      <c r="A240" s="0" t="n">
        <v>4000</v>
      </c>
      <c r="B240" s="39" t="n">
        <f aca="false">MY_PH(B$2,$A240)</f>
        <v>3.77356546278765E-005</v>
      </c>
      <c r="C240" s="39" t="n">
        <f aca="false">MY_PH(C$2,$A240)</f>
        <v>3.77356677139366E-005</v>
      </c>
      <c r="D240" s="39" t="n">
        <f aca="false">MY_PH(D$2,$A240)</f>
        <v>3.77356808000131E-005</v>
      </c>
      <c r="E240" s="39" t="n">
        <f aca="false">MY_PH(E$2,$A240)</f>
        <v>3.77356938861058E-005</v>
      </c>
      <c r="F240" s="39" t="n">
        <f aca="false">MY_PH(F$2,$A240)</f>
        <v>3.77357069722148E-005</v>
      </c>
      <c r="G240" s="39" t="n">
        <f aca="false">MY_PH(G$2,$A240)</f>
        <v>3.7735837834202E-005</v>
      </c>
      <c r="H240" s="39" t="n">
        <f aca="false">MY_PH(H$2,$A240)</f>
        <v>3.77359686978195E-005</v>
      </c>
      <c r="I240" s="39" t="n">
        <f aca="false">MY_PH(I$2,$A240)</f>
        <v>3.77360995630675E-005</v>
      </c>
      <c r="J240" s="39" t="n">
        <f aca="false">MY_PH(J$2,$A240)</f>
        <v>3.77362304299457E-005</v>
      </c>
      <c r="K240" s="39" t="n">
        <f aca="false">MY_PH(K$2,$A240)</f>
        <v>3.77363612984543E-005</v>
      </c>
      <c r="L240" s="39" t="n">
        <f aca="false">MY_PH(L$2,$A240)</f>
        <v>3.77364921685931E-005</v>
      </c>
      <c r="M240" s="39" t="n">
        <f aca="false">MY_PH(M$2,$A240)</f>
        <v>3.77366230403621E-005</v>
      </c>
      <c r="N240" s="39" t="n">
        <f aca="false">MY_PH(N$2,$A240)</f>
        <v>3.77367539137613E-005</v>
      </c>
      <c r="O240" s="39" t="n">
        <f aca="false">MY_PH(O$2,$A240)</f>
        <v>3.77368847887905E-005</v>
      </c>
      <c r="P240" s="39" t="n">
        <f aca="false">MY_PH(P$2,$A240)</f>
        <v>3.77381936287301E-005</v>
      </c>
      <c r="Q240" s="39" t="n">
        <f aca="false">MY_PH(Q$2,$A240)</f>
        <v>3.77395026316331E-005</v>
      </c>
      <c r="R240" s="39" t="n">
        <f aca="false">MY_PH(R$2,$A240)</f>
        <v>3.77408117974556E-005</v>
      </c>
      <c r="S240" s="39" t="n">
        <f aca="false">MY_PH(S$2,$A240)</f>
        <v>3.77421211261541E-005</v>
      </c>
      <c r="T240" s="39" t="n">
        <f aca="false">MY_PH(T$2,$A240)</f>
        <v>3.77434306176845E-005</v>
      </c>
      <c r="U240" s="39" t="n">
        <f aca="false">MY_PH(U$2,$A240)</f>
        <v>3.77447402720032E-005</v>
      </c>
      <c r="V240" s="39" t="n">
        <f aca="false">MY_PH(V$2,$A240)</f>
        <v>3.77460500890664E-005</v>
      </c>
      <c r="W240" s="39" t="n">
        <f aca="false">MY_PH(W$2,$A240)</f>
        <v>3.77473600688302E-005</v>
      </c>
      <c r="X240" s="39" t="n">
        <f aca="false">MY_PH(X$2,$A240)</f>
        <v>3.77486702112511E-005</v>
      </c>
      <c r="Y240" s="39" t="n">
        <f aca="false">MY_PH(Y$2,$A240)</f>
        <v>3.77617805719673E-005</v>
      </c>
      <c r="Z240" s="39" t="n">
        <f aca="false">MY_PH(Z$2,$A240)</f>
        <v>3.77749071502754E-005</v>
      </c>
      <c r="AA240" s="39" t="n">
        <f aca="false">MY_PH(AA$2,$A240)</f>
        <v>3.77880499024936E-005</v>
      </c>
      <c r="AB240" s="39" t="n">
        <f aca="false">MY_PH(AB$2,$A240)</f>
        <v>3.78012087849891E-005</v>
      </c>
      <c r="AC240" s="39" t="n">
        <f aca="false">MY_PH(AC$2,$A240)</f>
        <v>3.78143837541779E-005</v>
      </c>
      <c r="AD240" s="39" t="n">
        <f aca="false">MY_PH(AD$2,$A240)</f>
        <v>3.78275747665247E-005</v>
      </c>
      <c r="AE240" s="39" t="n">
        <f aca="false">MY_PH(AE$2,$A240)</f>
        <v>3.78407817785415E-005</v>
      </c>
      <c r="AF240" s="39" t="n">
        <f aca="false">MY_PH(AF$2,$A240)</f>
        <v>3.78540047467883E-005</v>
      </c>
      <c r="AG240" s="39" t="n">
        <f aca="false">MY_PH(AG$2,$A240)</f>
        <v>3.78672436278721E-005</v>
      </c>
      <c r="AH240" s="39" t="n">
        <f aca="false">MY_PH(AH$2,$A240)</f>
        <v>3.80004981311741E-005</v>
      </c>
      <c r="AI240" s="39" t="n">
        <f aca="false">MY_PH(AI$2,$A240)</f>
        <v>3.8135296521028E-005</v>
      </c>
      <c r="AJ240" s="39" t="n">
        <f aca="false">MY_PH(AJ$2,$A240)</f>
        <v>3.82718216011168E-005</v>
      </c>
      <c r="AK240" s="39" t="n">
        <f aca="false">MY_PH(AK$2,$A240)</f>
        <v>3.84095021318738E-005</v>
      </c>
      <c r="AL240" s="39" t="n">
        <f aca="false">MY_PH(AL$2,$A240)</f>
        <v>3.85485758505946E-005</v>
      </c>
      <c r="AM240" s="39" t="n">
        <f aca="false">MY_PH(AM$2,$A240)</f>
        <v>3.86890035748255E-005</v>
      </c>
      <c r="AN240" s="39" t="n">
        <f aca="false">MY_PH(AN$2,$A240)</f>
        <v>3.88307465298669E-005</v>
      </c>
      <c r="AO240" s="39" t="n">
        <f aca="false">MY_PH(AO$2,$A240)</f>
        <v>3.89737663301618E-005</v>
      </c>
      <c r="AP240" s="39" t="n">
        <f aca="false">MY_PH(AP$2,$A240)</f>
        <v>3.91180249641675E-005</v>
      </c>
      <c r="AQ240" s="39" t="n">
        <f aca="false">MY_PH(AQ$2,$A240)</f>
        <v>4.06206356094979E-005</v>
      </c>
      <c r="AR240" s="39" t="n">
        <f aca="false">MY_PH(AR$2,$A240)</f>
        <v>4.09424185556585E-005</v>
      </c>
      <c r="AS240" s="39" t="n">
        <f aca="false">MY_PH(AS$2,$A240)</f>
        <v>4.10894601846976E-005</v>
      </c>
    </row>
    <row r="241" customFormat="false" ht="13.8" hidden="false" customHeight="false" outlineLevel="0" collapsed="false">
      <c r="A241" s="0" t="n">
        <v>4010</v>
      </c>
      <c r="B241" s="39" t="n">
        <f aca="false">MY_PH(B$2,$A241)</f>
        <v>3.79030689533952E-005</v>
      </c>
      <c r="C241" s="39" t="n">
        <f aca="false">MY_PH(C$2,$A241)</f>
        <v>3.79030819242562E-005</v>
      </c>
      <c r="D241" s="39" t="n">
        <f aca="false">MY_PH(D$2,$A241)</f>
        <v>3.79030948951335E-005</v>
      </c>
      <c r="E241" s="39" t="n">
        <f aca="false">MY_PH(E$2,$A241)</f>
        <v>3.79031078660271E-005</v>
      </c>
      <c r="F241" s="39" t="n">
        <f aca="false">MY_PH(F$2,$A241)</f>
        <v>3.79031208369368E-005</v>
      </c>
      <c r="G241" s="39" t="n">
        <f aca="false">MY_PH(G$2,$A241)</f>
        <v>3.79032505469274E-005</v>
      </c>
      <c r="H241" s="39" t="n">
        <f aca="false">MY_PH(H$2,$A241)</f>
        <v>3.79033802585414E-005</v>
      </c>
      <c r="I241" s="39" t="n">
        <f aca="false">MY_PH(I$2,$A241)</f>
        <v>3.79035099717788E-005</v>
      </c>
      <c r="J241" s="39" t="n">
        <f aca="false">MY_PH(J$2,$A241)</f>
        <v>3.79036396866396E-005</v>
      </c>
      <c r="K241" s="39" t="n">
        <f aca="false">MY_PH(K$2,$A241)</f>
        <v>3.79037694031237E-005</v>
      </c>
      <c r="L241" s="39" t="n">
        <f aca="false">MY_PH(L$2,$A241)</f>
        <v>3.7903899121231E-005</v>
      </c>
      <c r="M241" s="39" t="n">
        <f aca="false">MY_PH(M$2,$A241)</f>
        <v>3.79040288409616E-005</v>
      </c>
      <c r="N241" s="39" t="n">
        <f aca="false">MY_PH(N$2,$A241)</f>
        <v>3.79041585623154E-005</v>
      </c>
      <c r="O241" s="39" t="n">
        <f aca="false">MY_PH(O$2,$A241)</f>
        <v>3.79042882852923E-005</v>
      </c>
      <c r="P241" s="39" t="n">
        <f aca="false">MY_PH(P$2,$A241)</f>
        <v>3.79055856043245E-005</v>
      </c>
      <c r="Q241" s="39" t="n">
        <f aca="false">MY_PH(Q$2,$A241)</f>
        <v>3.79068830856237E-005</v>
      </c>
      <c r="R241" s="39" t="n">
        <f aca="false">MY_PH(R$2,$A241)</f>
        <v>3.79081807291471E-005</v>
      </c>
      <c r="S241" s="39" t="n">
        <f aca="false">MY_PH(S$2,$A241)</f>
        <v>3.79094785348519E-005</v>
      </c>
      <c r="T241" s="39" t="n">
        <f aca="false">MY_PH(T$2,$A241)</f>
        <v>3.79107765026953E-005</v>
      </c>
      <c r="U241" s="39" t="n">
        <f aca="false">MY_PH(U$2,$A241)</f>
        <v>3.79120746326346E-005</v>
      </c>
      <c r="V241" s="39" t="n">
        <f aca="false">MY_PH(V$2,$A241)</f>
        <v>3.7913372924627E-005</v>
      </c>
      <c r="W241" s="39" t="n">
        <f aca="false">MY_PH(W$2,$A241)</f>
        <v>3.79146713786298E-005</v>
      </c>
      <c r="X241" s="39" t="n">
        <f aca="false">MY_PH(X$2,$A241)</f>
        <v>3.79159699946001E-005</v>
      </c>
      <c r="Y241" s="39" t="n">
        <f aca="false">MY_PH(Y$2,$A241)</f>
        <v>3.79289650531195E-005</v>
      </c>
      <c r="Z241" s="39" t="n">
        <f aca="false">MY_PH(Z$2,$A241)</f>
        <v>3.7941976261406E-005</v>
      </c>
      <c r="AA241" s="39" t="n">
        <f aca="false">MY_PH(AA$2,$A241)</f>
        <v>3.79550035767832E-005</v>
      </c>
      <c r="AB241" s="39" t="n">
        <f aca="false">MY_PH(AB$2,$A241)</f>
        <v>3.79680469566198E-005</v>
      </c>
      <c r="AC241" s="39" t="n">
        <f aca="false">MY_PH(AC$2,$A241)</f>
        <v>3.79811063583286E-005</v>
      </c>
      <c r="AD241" s="39" t="n">
        <f aca="false">MY_PH(AD$2,$A241)</f>
        <v>3.79941817393673E-005</v>
      </c>
      <c r="AE241" s="39" t="n">
        <f aca="false">MY_PH(AE$2,$A241)</f>
        <v>3.80072730572369E-005</v>
      </c>
      <c r="AF241" s="39" t="n">
        <f aca="false">MY_PH(AF$2,$A241)</f>
        <v>3.80203802694819E-005</v>
      </c>
      <c r="AG241" s="39" t="n">
        <f aca="false">MY_PH(AG$2,$A241)</f>
        <v>3.80335033336901E-005</v>
      </c>
      <c r="AH241" s="39" t="n">
        <f aca="false">MY_PH(AH$2,$A241)</f>
        <v>3.8165596533088E-005</v>
      </c>
      <c r="AI241" s="39" t="n">
        <f aca="false">MY_PH(AI$2,$A241)</f>
        <v>3.82992285813021E-005</v>
      </c>
      <c r="AJ241" s="39" t="n">
        <f aca="false">MY_PH(AJ$2,$A241)</f>
        <v>3.84345666334931E-005</v>
      </c>
      <c r="AK241" s="39" t="n">
        <f aca="false">MY_PH(AK$2,$A241)</f>
        <v>3.85710780535423E-005</v>
      </c>
      <c r="AL241" s="39" t="n">
        <f aca="false">MY_PH(AL$2,$A241)</f>
        <v>3.87089752979902E-005</v>
      </c>
      <c r="AM241" s="39" t="n">
        <f aca="false">MY_PH(AM$2,$A241)</f>
        <v>3.88482197403441E-005</v>
      </c>
      <c r="AN241" s="39" t="n">
        <f aca="false">MY_PH(AN$2,$A241)</f>
        <v>3.89887731390021E-005</v>
      </c>
      <c r="AO241" s="39" t="n">
        <f aca="false">MY_PH(AO$2,$A241)</f>
        <v>3.91305976205029E-005</v>
      </c>
      <c r="AP241" s="39" t="n">
        <f aca="false">MY_PH(AP$2,$A241)</f>
        <v>3.92736556660642E-005</v>
      </c>
      <c r="AQ241" s="39" t="n">
        <f aca="false">MY_PH(AQ$2,$A241)</f>
        <v>4.07640676781133E-005</v>
      </c>
      <c r="AR241" s="39" t="n">
        <f aca="false">MY_PH(AR$2,$A241)</f>
        <v>4.10833106831079E-005</v>
      </c>
      <c r="AS241" s="39" t="n">
        <f aca="false">MY_PH(AS$2,$A241)</f>
        <v>4.12292000374235E-005</v>
      </c>
    </row>
    <row r="242" customFormat="false" ht="13.8" hidden="false" customHeight="false" outlineLevel="0" collapsed="false">
      <c r="A242" s="0" t="n">
        <v>4020</v>
      </c>
      <c r="B242" s="39" t="n">
        <f aca="false">MY_PH(B$2,$A242)</f>
        <v>3.80700359850586E-005</v>
      </c>
      <c r="C242" s="39" t="n">
        <f aca="false">MY_PH(C$2,$A242)</f>
        <v>3.80700488420572E-005</v>
      </c>
      <c r="D242" s="39" t="n">
        <f aca="false">MY_PH(D$2,$A242)</f>
        <v>3.8070061699072E-005</v>
      </c>
      <c r="E242" s="39" t="n">
        <f aca="false">MY_PH(E$2,$A242)</f>
        <v>3.80700745561029E-005</v>
      </c>
      <c r="F242" s="39" t="n">
        <f aca="false">MY_PH(F$2,$A242)</f>
        <v>3.807008741315E-005</v>
      </c>
      <c r="G242" s="39" t="n">
        <f aca="false">MY_PH(G$2,$A242)</f>
        <v>3.80702159845098E-005</v>
      </c>
      <c r="H242" s="39" t="n">
        <f aca="false">MY_PH(H$2,$A242)</f>
        <v>3.80703445574858E-005</v>
      </c>
      <c r="I242" s="39" t="n">
        <f aca="false">MY_PH(I$2,$A242)</f>
        <v>3.8070473132078E-005</v>
      </c>
      <c r="J242" s="39" t="n">
        <f aca="false">MY_PH(J$2,$A242)</f>
        <v>3.80706017082864E-005</v>
      </c>
      <c r="K242" s="39" t="n">
        <f aca="false">MY_PH(K$2,$A242)</f>
        <v>3.80707302861108E-005</v>
      </c>
      <c r="L242" s="39" t="n">
        <f aca="false">MY_PH(L$2,$A242)</f>
        <v>3.80708588655513E-005</v>
      </c>
      <c r="M242" s="39" t="n">
        <f aca="false">MY_PH(M$2,$A242)</f>
        <v>3.80709874466078E-005</v>
      </c>
      <c r="N242" s="39" t="n">
        <f aca="false">MY_PH(N$2,$A242)</f>
        <v>3.80711160292803E-005</v>
      </c>
      <c r="O242" s="39" t="n">
        <f aca="false">MY_PH(O$2,$A242)</f>
        <v>3.80712446135687E-005</v>
      </c>
      <c r="P242" s="39" t="n">
        <f aca="false">MY_PH(P$2,$A242)</f>
        <v>3.80725305453198E-005</v>
      </c>
      <c r="Q242" s="39" t="n">
        <f aca="false">MY_PH(Q$2,$A242)</f>
        <v>3.80738166386179E-005</v>
      </c>
      <c r="R242" s="39" t="n">
        <f aca="false">MY_PH(R$2,$A242)</f>
        <v>3.80751028934213E-005</v>
      </c>
      <c r="S242" s="39" t="n">
        <f aca="false">MY_PH(S$2,$A242)</f>
        <v>3.80763893096882E-005</v>
      </c>
      <c r="T242" s="39" t="n">
        <f aca="false">MY_PH(T$2,$A242)</f>
        <v>3.80776758873766E-005</v>
      </c>
      <c r="U242" s="39" t="n">
        <f aca="false">MY_PH(U$2,$A242)</f>
        <v>3.80789626264449E-005</v>
      </c>
      <c r="V242" s="39" t="n">
        <f aca="false">MY_PH(V$2,$A242)</f>
        <v>3.80802495268512E-005</v>
      </c>
      <c r="W242" s="39" t="n">
        <f aca="false">MY_PH(W$2,$A242)</f>
        <v>3.80815365885538E-005</v>
      </c>
      <c r="X242" s="39" t="n">
        <f aca="false">MY_PH(X$2,$A242)</f>
        <v>3.80828238115108E-005</v>
      </c>
      <c r="Y242" s="39" t="n">
        <f aca="false">MY_PH(Y$2,$A242)</f>
        <v>3.80957049008835E-005</v>
      </c>
      <c r="Z242" s="39" t="n">
        <f aca="false">MY_PH(Z$2,$A242)</f>
        <v>3.81086020697603E-005</v>
      </c>
      <c r="AA242" s="39" t="n">
        <f aca="false">MY_PH(AA$2,$A242)</f>
        <v>3.81215152764183E-005</v>
      </c>
      <c r="AB242" s="39" t="n">
        <f aca="false">MY_PH(AB$2,$A242)</f>
        <v>3.81344444791756E-005</v>
      </c>
      <c r="AC242" s="39" t="n">
        <f aca="false">MY_PH(AC$2,$A242)</f>
        <v>3.81473896363914E-005</v>
      </c>
      <c r="AD242" s="39" t="n">
        <f aca="false">MY_PH(AD$2,$A242)</f>
        <v>3.8160350706465E-005</v>
      </c>
      <c r="AE242" s="39" t="n">
        <f aca="false">MY_PH(AE$2,$A242)</f>
        <v>3.81733276478361E-005</v>
      </c>
      <c r="AF242" s="39" t="n">
        <f aca="false">MY_PH(AF$2,$A242)</f>
        <v>3.81863204189837E-005</v>
      </c>
      <c r="AG242" s="39" t="n">
        <f aca="false">MY_PH(AG$2,$A242)</f>
        <v>3.81993289784265E-005</v>
      </c>
      <c r="AH242" s="39" t="n">
        <f aca="false">MY_PH(AH$2,$A242)</f>
        <v>3.8330273830626E-005</v>
      </c>
      <c r="AI242" s="39" t="n">
        <f aca="false">MY_PH(AI$2,$A242)</f>
        <v>3.84627521621941E-005</v>
      </c>
      <c r="AJ242" s="39" t="n">
        <f aca="false">MY_PH(AJ$2,$A242)</f>
        <v>3.85969146097347E-005</v>
      </c>
      <c r="AK242" s="39" t="n">
        <f aca="false">MY_PH(AK$2,$A242)</f>
        <v>3.87322699417405E-005</v>
      </c>
      <c r="AL242" s="39" t="n">
        <f aca="false">MY_PH(AL$2,$A242)</f>
        <v>3.88690039256313E-005</v>
      </c>
      <c r="AM242" s="39" t="n">
        <f aca="false">MY_PH(AM$2,$A242)</f>
        <v>3.9007078468358E-005</v>
      </c>
      <c r="AN242" s="39" t="n">
        <f aca="false">MY_PH(AN$2,$A242)</f>
        <v>3.91464558404578E-005</v>
      </c>
      <c r="AO242" s="39" t="n">
        <f aca="false">MY_PH(AO$2,$A242)</f>
        <v>3.92870986610322E-005</v>
      </c>
      <c r="AP242" s="39" t="n">
        <f aca="false">MY_PH(AP$2,$A242)</f>
        <v>3.942896988583E-005</v>
      </c>
      <c r="AQ242" s="39" t="n">
        <f aca="false">MY_PH(AQ$2,$A242)</f>
        <v>4.09073237082469E-005</v>
      </c>
      <c r="AR242" s="39" t="n">
        <f aca="false">MY_PH(AR$2,$A242)</f>
        <v>4.12240557331342E-005</v>
      </c>
      <c r="AS242" s="39" t="n">
        <f aca="false">MY_PH(AS$2,$A242)</f>
        <v>4.13688058851179E-005</v>
      </c>
    </row>
    <row r="243" customFormat="false" ht="13.8" hidden="false" customHeight="false" outlineLevel="0" collapsed="false">
      <c r="A243" s="0" t="n">
        <v>4030</v>
      </c>
      <c r="B243" s="39" t="n">
        <f aca="false">MY_PH(B$2,$A243)</f>
        <v>3.82365572583118E-005</v>
      </c>
      <c r="C243" s="39" t="n">
        <f aca="false">MY_PH(C$2,$A243)</f>
        <v>3.82365700027549E-005</v>
      </c>
      <c r="D243" s="39" t="n">
        <f aca="false">MY_PH(D$2,$A243)</f>
        <v>3.82365827472141E-005</v>
      </c>
      <c r="E243" s="39" t="n">
        <f aca="false">MY_PH(E$2,$A243)</f>
        <v>3.82365954916894E-005</v>
      </c>
      <c r="F243" s="39" t="n">
        <f aca="false">MY_PH(F$2,$A243)</f>
        <v>3.82366082361808E-005</v>
      </c>
      <c r="G243" s="39" t="n">
        <f aca="false">MY_PH(G$2,$A243)</f>
        <v>3.82367356819797E-005</v>
      </c>
      <c r="H243" s="39" t="n">
        <f aca="false">MY_PH(H$2,$A243)</f>
        <v>3.82368631293873E-005</v>
      </c>
      <c r="I243" s="39" t="n">
        <f aca="false">MY_PH(I$2,$A243)</f>
        <v>3.82369905784036E-005</v>
      </c>
      <c r="J243" s="39" t="n">
        <f aca="false">MY_PH(J$2,$A243)</f>
        <v>3.82371180290286E-005</v>
      </c>
      <c r="K243" s="39" t="n">
        <f aca="false">MY_PH(K$2,$A243)</f>
        <v>3.82372454812621E-005</v>
      </c>
      <c r="L243" s="39" t="n">
        <f aca="false">MY_PH(L$2,$A243)</f>
        <v>3.82373729351043E-005</v>
      </c>
      <c r="M243" s="39" t="n">
        <f aca="false">MY_PH(M$2,$A243)</f>
        <v>3.8237500390555E-005</v>
      </c>
      <c r="N243" s="39" t="n">
        <f aca="false">MY_PH(N$2,$A243)</f>
        <v>3.82376278476142E-005</v>
      </c>
      <c r="O243" s="39" t="n">
        <f aca="false">MY_PH(O$2,$A243)</f>
        <v>3.82377553062818E-005</v>
      </c>
      <c r="P243" s="39" t="n">
        <f aca="false">MY_PH(P$2,$A243)</f>
        <v>3.82390299814145E-005</v>
      </c>
      <c r="Q243" s="39" t="n">
        <f aca="false">MY_PH(Q$2,$A243)</f>
        <v>3.82403048173479E-005</v>
      </c>
      <c r="R243" s="39" t="n">
        <f aca="false">MY_PH(R$2,$A243)</f>
        <v>3.82415798140411E-005</v>
      </c>
      <c r="S243" s="39" t="n">
        <f aca="false">MY_PH(S$2,$A243)</f>
        <v>3.82428549714533E-005</v>
      </c>
      <c r="T243" s="39" t="n">
        <f aca="false">MY_PH(T$2,$A243)</f>
        <v>3.82441302895434E-005</v>
      </c>
      <c r="U243" s="39" t="n">
        <f aca="false">MY_PH(U$2,$A243)</f>
        <v>3.82454057682707E-005</v>
      </c>
      <c r="V243" s="39" t="n">
        <f aca="false">MY_PH(V$2,$A243)</f>
        <v>3.82466814075943E-005</v>
      </c>
      <c r="W243" s="39" t="n">
        <f aca="false">MY_PH(W$2,$A243)</f>
        <v>3.82479572074731E-005</v>
      </c>
      <c r="X243" s="39" t="n">
        <f aca="false">MY_PH(X$2,$A243)</f>
        <v>3.82492331678665E-005</v>
      </c>
      <c r="Y243" s="39" t="n">
        <f aca="false">MY_PH(Y$2,$A243)</f>
        <v>3.82620015911052E-005</v>
      </c>
      <c r="Z243" s="39" t="n">
        <f aca="false">MY_PH(Z$2,$A243)</f>
        <v>3.82747860208505E-005</v>
      </c>
      <c r="AA243" s="39" t="n">
        <f aca="false">MY_PH(AA$2,$A243)</f>
        <v>3.82875864162842E-005</v>
      </c>
      <c r="AB243" s="39" t="n">
        <f aca="false">MY_PH(AB$2,$A243)</f>
        <v>3.83004027366256E-005</v>
      </c>
      <c r="AC243" s="39" t="n">
        <f aca="false">MY_PH(AC$2,$A243)</f>
        <v>3.83132349411315E-005</v>
      </c>
      <c r="AD243" s="39" t="n">
        <f aca="false">MY_PH(AD$2,$A243)</f>
        <v>3.83260829890955E-005</v>
      </c>
      <c r="AE243" s="39" t="n">
        <f aca="false">MY_PH(AE$2,$A243)</f>
        <v>3.83389468398478E-005</v>
      </c>
      <c r="AF243" s="39" t="n">
        <f aca="false">MY_PH(AF$2,$A243)</f>
        <v>3.83518264527551E-005</v>
      </c>
      <c r="AG243" s="39" t="n">
        <f aca="false">MY_PH(AG$2,$A243)</f>
        <v>3.83647217872199E-005</v>
      </c>
      <c r="AH243" s="39" t="n">
        <f aca="false">MY_PH(AH$2,$A243)</f>
        <v>3.84945309111616E-005</v>
      </c>
      <c r="AI243" s="39" t="n">
        <f aca="false">MY_PH(AI$2,$A243)</f>
        <v>3.86258677887625E-005</v>
      </c>
      <c r="AJ243" s="39" t="n">
        <f aca="false">MY_PH(AJ$2,$A243)</f>
        <v>3.87588658341986E-005</v>
      </c>
      <c r="AK243" s="39" t="n">
        <f aca="false">MY_PH(AK$2,$A243)</f>
        <v>3.88930778380532E-005</v>
      </c>
      <c r="AL243" s="39" t="n">
        <f aca="false">MY_PH(AL$2,$A243)</f>
        <v>3.90286615125781E-005</v>
      </c>
      <c r="AM243" s="39" t="n">
        <f aca="false">MY_PH(AM$2,$A243)</f>
        <v>3.91655792763464E-005</v>
      </c>
      <c r="AN243" s="39" t="n">
        <f aca="false">MY_PH(AN$2,$A243)</f>
        <v>3.93037938916826E-005</v>
      </c>
      <c r="AO243" s="39" t="n">
        <f aca="false">MY_PH(AO$2,$A243)</f>
        <v>3.94432684512444E-005</v>
      </c>
      <c r="AP243" s="39" t="n">
        <f aca="false">MY_PH(AP$2,$A243)</f>
        <v>3.95839663675369E-005</v>
      </c>
      <c r="AQ243" s="39" t="n">
        <f aca="false">MY_PH(AQ$2,$A243)</f>
        <v>4.10504000923366E-005</v>
      </c>
      <c r="AR243" s="39" t="n">
        <f aca="false">MY_PH(AR$2,$A243)</f>
        <v>4.13646496676225E-005</v>
      </c>
      <c r="AS243" s="39" t="n">
        <f aca="false">MY_PH(AS$2,$A243)</f>
        <v>4.15082735011059E-005</v>
      </c>
    </row>
    <row r="244" customFormat="false" ht="13.8" hidden="false" customHeight="false" outlineLevel="0" collapsed="false">
      <c r="A244" s="0" t="n">
        <v>4040</v>
      </c>
      <c r="B244" s="39" t="n">
        <f aca="false">MY_PH(B$2,$A244)</f>
        <v>3.84026343259452E-005</v>
      </c>
      <c r="C244" s="39" t="n">
        <f aca="false">MY_PH(C$2,$A244)</f>
        <v>3.84026469591099E-005</v>
      </c>
      <c r="D244" s="39" t="n">
        <f aca="false">MY_PH(D$2,$A244)</f>
        <v>3.84026595922907E-005</v>
      </c>
      <c r="E244" s="39" t="n">
        <f aca="false">MY_PH(E$2,$A244)</f>
        <v>3.84026722254875E-005</v>
      </c>
      <c r="F244" s="39" t="n">
        <f aca="false">MY_PH(F$2,$A244)</f>
        <v>3.84026848587003E-005</v>
      </c>
      <c r="G244" s="39" t="n">
        <f aca="false">MY_PH(G$2,$A244)</f>
        <v>3.84028111917088E-005</v>
      </c>
      <c r="H244" s="39" t="n">
        <f aca="false">MY_PH(H$2,$A244)</f>
        <v>3.84029375263183E-005</v>
      </c>
      <c r="I244" s="39" t="n">
        <f aca="false">MY_PH(I$2,$A244)</f>
        <v>3.84030638625288E-005</v>
      </c>
      <c r="J244" s="39" t="n">
        <f aca="false">MY_PH(J$2,$A244)</f>
        <v>3.84031902003401E-005</v>
      </c>
      <c r="K244" s="39" t="n">
        <f aca="false">MY_PH(K$2,$A244)</f>
        <v>3.84033165397523E-005</v>
      </c>
      <c r="L244" s="39" t="n">
        <f aca="false">MY_PH(L$2,$A244)</f>
        <v>3.84034428807652E-005</v>
      </c>
      <c r="M244" s="39" t="n">
        <f aca="false">MY_PH(M$2,$A244)</f>
        <v>3.8403569223379E-005</v>
      </c>
      <c r="N244" s="39" t="n">
        <f aca="false">MY_PH(N$2,$A244)</f>
        <v>3.84036955675935E-005</v>
      </c>
      <c r="O244" s="39" t="n">
        <f aca="false">MY_PH(O$2,$A244)</f>
        <v>3.84038219134086E-005</v>
      </c>
      <c r="P244" s="39" t="n">
        <f aca="false">MY_PH(P$2,$A244)</f>
        <v>3.84050854595896E-005</v>
      </c>
      <c r="Q244" s="39" t="n">
        <f aca="false">MY_PH(Q$2,$A244)</f>
        <v>3.84063491657955E-005</v>
      </c>
      <c r="R244" s="39" t="n">
        <f aca="false">MY_PH(R$2,$A244)</f>
        <v>3.84076130319865E-005</v>
      </c>
      <c r="S244" s="39" t="n">
        <f aca="false">MY_PH(S$2,$A244)</f>
        <v>3.84088770581224E-005</v>
      </c>
      <c r="T244" s="39" t="n">
        <f aca="false">MY_PH(T$2,$A244)</f>
        <v>3.84101412441632E-005</v>
      </c>
      <c r="U244" s="39" t="n">
        <f aca="false">MY_PH(U$2,$A244)</f>
        <v>3.84114055900689E-005</v>
      </c>
      <c r="V244" s="39" t="n">
        <f aca="false">MY_PH(V$2,$A244)</f>
        <v>3.84126700957995E-005</v>
      </c>
      <c r="W244" s="39" t="n">
        <f aca="false">MY_PH(W$2,$A244)</f>
        <v>3.84139347613149E-005</v>
      </c>
      <c r="X244" s="39" t="n">
        <f aca="false">MY_PH(X$2,$A244)</f>
        <v>3.84151995865752E-005</v>
      </c>
      <c r="Y244" s="39" t="n">
        <f aca="false">MY_PH(Y$2,$A244)</f>
        <v>3.84278566163423E-005</v>
      </c>
      <c r="Z244" s="39" t="n">
        <f aca="false">MY_PH(Z$2,$A244)</f>
        <v>3.84405295765996E-005</v>
      </c>
      <c r="AA244" s="39" t="n">
        <f aca="false">MY_PH(AA$2,$A244)</f>
        <v>3.84532184273873E-005</v>
      </c>
      <c r="AB244" s="39" t="n">
        <f aca="false">MY_PH(AB$2,$A244)</f>
        <v>3.84659231287803E-005</v>
      </c>
      <c r="AC244" s="39" t="n">
        <f aca="false">MY_PH(AC$2,$A244)</f>
        <v>3.84786436408875E-005</v>
      </c>
      <c r="AD244" s="39" t="n">
        <f aca="false">MY_PH(AD$2,$A244)</f>
        <v>3.84913799238516E-005</v>
      </c>
      <c r="AE244" s="39" t="n">
        <f aca="false">MY_PH(AE$2,$A244)</f>
        <v>3.85041319378487E-005</v>
      </c>
      <c r="AF244" s="39" t="n">
        <f aca="false">MY_PH(AF$2,$A244)</f>
        <v>3.85168996430883E-005</v>
      </c>
      <c r="AG244" s="39" t="n">
        <f aca="false">MY_PH(AG$2,$A244)</f>
        <v>3.85296829998127E-005</v>
      </c>
      <c r="AH244" s="39" t="n">
        <f aca="false">MY_PH(AH$2,$A244)</f>
        <v>3.86583686749354E-005</v>
      </c>
      <c r="AI244" s="39" t="n">
        <f aca="false">MY_PH(AI$2,$A244)</f>
        <v>3.8788575998074E-005</v>
      </c>
      <c r="AJ244" s="39" t="n">
        <f aca="false">MY_PH(AJ$2,$A244)</f>
        <v>3.89204206441257E-005</v>
      </c>
      <c r="AK244" s="39" t="n">
        <f aca="false">MY_PH(AK$2,$A244)</f>
        <v>3.90535018241843E-005</v>
      </c>
      <c r="AL244" s="39" t="n">
        <f aca="false">MY_PH(AL$2,$A244)</f>
        <v>3.91879478850565E-005</v>
      </c>
      <c r="AM244" s="39" t="n">
        <f aca="false">MY_PH(AM$2,$A244)</f>
        <v>3.93237217358015E-005</v>
      </c>
      <c r="AN244" s="39" t="n">
        <f aca="false">MY_PH(AN$2,$A244)</f>
        <v>3.94607866107793E-005</v>
      </c>
      <c r="AO244" s="39" t="n">
        <f aca="false">MY_PH(AO$2,$A244)</f>
        <v>3.95991060577219E-005</v>
      </c>
      <c r="AP244" s="39" t="n">
        <f aca="false">MY_PH(AP$2,$A244)</f>
        <v>3.97386439285735E-005</v>
      </c>
      <c r="AQ244" s="39" t="n">
        <f aca="false">MY_PH(AQ$2,$A244)</f>
        <v>4.11932933490026E-005</v>
      </c>
      <c r="AR244" s="39" t="n">
        <f aca="false">MY_PH(AR$2,$A244)</f>
        <v>4.15050885840835E-005</v>
      </c>
      <c r="AS244" s="39" t="n">
        <f aca="false">MY_PH(AS$2,$A244)</f>
        <v>4.16475987985336E-005</v>
      </c>
    </row>
    <row r="245" customFormat="false" ht="13.8" hidden="false" customHeight="false" outlineLevel="0" collapsed="false">
      <c r="A245" s="0" t="n">
        <v>4050</v>
      </c>
      <c r="B245" s="39" t="n">
        <f aca="false">MY_PH(B$2,$A245)</f>
        <v>3.85682687573001E-005</v>
      </c>
      <c r="C245" s="39" t="n">
        <f aca="false">MY_PH(C$2,$A245)</f>
        <v>3.85682812804333E-005</v>
      </c>
      <c r="D245" s="39" t="n">
        <f aca="false">MY_PH(D$2,$A245)</f>
        <v>3.85682938035824E-005</v>
      </c>
      <c r="E245" s="39" t="n">
        <f aca="false">MY_PH(E$2,$A245)</f>
        <v>3.85683063267475E-005</v>
      </c>
      <c r="F245" s="39" t="n">
        <f aca="false">MY_PH(F$2,$A245)</f>
        <v>3.85683188499285E-005</v>
      </c>
      <c r="G245" s="39" t="n">
        <f aca="false">MY_PH(G$2,$A245)</f>
        <v>3.85684440826147E-005</v>
      </c>
      <c r="H245" s="39" t="n">
        <f aca="false">MY_PH(H$2,$A245)</f>
        <v>3.85685693168937E-005</v>
      </c>
      <c r="I245" s="39" t="n">
        <f aca="false">MY_PH(I$2,$A245)</f>
        <v>3.85686945527656E-005</v>
      </c>
      <c r="J245" s="39" t="n">
        <f aca="false">MY_PH(J$2,$A245)</f>
        <v>3.85688197902303E-005</v>
      </c>
      <c r="K245" s="39" t="n">
        <f aca="false">MY_PH(K$2,$A245)</f>
        <v>3.85689450292877E-005</v>
      </c>
      <c r="L245" s="39" t="n">
        <f aca="false">MY_PH(L$2,$A245)</f>
        <v>3.85690702699379E-005</v>
      </c>
      <c r="M245" s="39" t="n">
        <f aca="false">MY_PH(M$2,$A245)</f>
        <v>3.85691955121808E-005</v>
      </c>
      <c r="N245" s="39" t="n">
        <f aca="false">MY_PH(N$2,$A245)</f>
        <v>3.85693207560163E-005</v>
      </c>
      <c r="O245" s="39" t="n">
        <f aca="false">MY_PH(O$2,$A245)</f>
        <v>3.85694460014443E-005</v>
      </c>
      <c r="P245" s="39" t="n">
        <f aca="false">MY_PH(P$2,$A245)</f>
        <v>3.85706985433099E-005</v>
      </c>
      <c r="Q245" s="39" t="n">
        <f aca="false">MY_PH(Q$2,$A245)</f>
        <v>3.85719512443926E-005</v>
      </c>
      <c r="R245" s="39" t="n">
        <f aca="false">MY_PH(R$2,$A245)</f>
        <v>3.85732041046533E-005</v>
      </c>
      <c r="S245" s="39" t="n">
        <f aca="false">MY_PH(S$2,$A245)</f>
        <v>3.85744571240527E-005</v>
      </c>
      <c r="T245" s="39" t="n">
        <f aca="false">MY_PH(T$2,$A245)</f>
        <v>3.85757103025517E-005</v>
      </c>
      <c r="U245" s="39" t="n">
        <f aca="false">MY_PH(U$2,$A245)</f>
        <v>3.8576963640111E-005</v>
      </c>
      <c r="V245" s="39" t="n">
        <f aca="false">MY_PH(V$2,$A245)</f>
        <v>3.85782171366915E-005</v>
      </c>
      <c r="W245" s="39" t="n">
        <f aca="false">MY_PH(W$2,$A245)</f>
        <v>3.85794707922539E-005</v>
      </c>
      <c r="X245" s="39" t="n">
        <f aca="false">MY_PH(X$2,$A245)</f>
        <v>3.85807246067591E-005</v>
      </c>
      <c r="Y245" s="39" t="n">
        <f aca="false">MY_PH(Y$2,$A245)</f>
        <v>3.85932714850402E-005</v>
      </c>
      <c r="Z245" s="39" t="n">
        <f aca="false">MY_PH(Z$2,$A245)</f>
        <v>3.86058342145023E-005</v>
      </c>
      <c r="AA245" s="39" t="n">
        <f aca="false">MY_PH(AA$2,$A245)</f>
        <v>3.86184127560009E-005</v>
      </c>
      <c r="AB245" s="39" t="n">
        <f aca="false">MY_PH(AB$2,$A245)</f>
        <v>3.86310070704232E-005</v>
      </c>
      <c r="AC245" s="39" t="n">
        <f aca="false">MY_PH(AC$2,$A245)</f>
        <v>3.86436171186874E-005</v>
      </c>
      <c r="AD245" s="39" t="n">
        <f aca="false">MY_PH(AD$2,$A245)</f>
        <v>3.86562428617428E-005</v>
      </c>
      <c r="AE245" s="39" t="n">
        <f aca="false">MY_PH(AE$2,$A245)</f>
        <v>3.86688842605695E-005</v>
      </c>
      <c r="AF245" s="39" t="n">
        <f aca="false">MY_PH(AF$2,$A245)</f>
        <v>3.86815412761777E-005</v>
      </c>
      <c r="AG245" s="39" t="n">
        <f aca="false">MY_PH(AG$2,$A245)</f>
        <v>3.86942138696079E-005</v>
      </c>
      <c r="AH245" s="39" t="n">
        <f aca="false">MY_PH(AH$2,$A245)</f>
        <v>3.88217880339623E-005</v>
      </c>
      <c r="AI245" s="39" t="n">
        <f aca="false">MY_PH(AI$2,$A245)</f>
        <v>3.8950877337969E-005</v>
      </c>
      <c r="AJ245" s="39" t="n">
        <f aca="false">MY_PH(AJ$2,$A245)</f>
        <v>3.90815794083083E-005</v>
      </c>
      <c r="AK245" s="39" t="n">
        <f aca="false">MY_PH(AK$2,$A245)</f>
        <v>3.9213542020454E-005</v>
      </c>
      <c r="AL245" s="39" t="n">
        <f aca="false">MY_PH(AL$2,$A245)</f>
        <v>3.934686291479E-005</v>
      </c>
      <c r="AM245" s="39" t="n">
        <f aca="false">MY_PH(AM$2,$A245)</f>
        <v>3.94815054703991E-005</v>
      </c>
      <c r="AN245" s="39" t="n">
        <f aca="false">MY_PH(AN$2,$A245)</f>
        <v>3.96174333745192E-005</v>
      </c>
      <c r="AO245" s="39" t="n">
        <f aca="false">MY_PH(AO$2,$A245)</f>
        <v>3.97546106119972E-005</v>
      </c>
      <c r="AP245" s="39" t="n">
        <f aca="false">MY_PH(AP$2,$A245)</f>
        <v>3.98930014573559E-005</v>
      </c>
      <c r="AQ245" s="39" t="n">
        <f aca="false">MY_PH(AQ$2,$A245)</f>
        <v>4.1336000119179E-005</v>
      </c>
      <c r="AR245" s="39" t="n">
        <f aca="false">MY_PH(AR$2,$A245)</f>
        <v>4.16453687113872E-005</v>
      </c>
      <c r="AS245" s="39" t="n">
        <f aca="false">MY_PH(AS$2,$A245)</f>
        <v>4.17867778259106E-005</v>
      </c>
    </row>
    <row r="246" customFormat="false" ht="13.8" hidden="false" customHeight="false" outlineLevel="0" collapsed="false">
      <c r="A246" s="0" t="n">
        <v>4060</v>
      </c>
      <c r="B246" s="39" t="n">
        <f aca="false">MY_PH(B$2,$A246)</f>
        <v>3.87334621374995E-005</v>
      </c>
      <c r="C246" s="39" t="n">
        <f aca="false">MY_PH(C$2,$A246)</f>
        <v>3.87334745518174E-005</v>
      </c>
      <c r="D246" s="39" t="n">
        <f aca="false">MY_PH(D$2,$A246)</f>
        <v>3.87334869661511E-005</v>
      </c>
      <c r="E246" s="39" t="n">
        <f aca="false">MY_PH(E$2,$A246)</f>
        <v>3.87334993805007E-005</v>
      </c>
      <c r="F246" s="39" t="n">
        <f aca="false">MY_PH(F$2,$A246)</f>
        <v>3.87335117948661E-005</v>
      </c>
      <c r="G246" s="39" t="n">
        <f aca="false">MY_PH(G$2,$A246)</f>
        <v>3.87336359393917E-005</v>
      </c>
      <c r="H246" s="39" t="n">
        <f aca="false">MY_PH(H$2,$A246)</f>
        <v>3.87337600855017E-005</v>
      </c>
      <c r="I246" s="39" t="n">
        <f aca="false">MY_PH(I$2,$A246)</f>
        <v>3.87338842331961E-005</v>
      </c>
      <c r="J246" s="39" t="n">
        <f aca="false">MY_PH(J$2,$A246)</f>
        <v>3.87340083824749E-005</v>
      </c>
      <c r="K246" s="39" t="n">
        <f aca="false">MY_PH(K$2,$A246)</f>
        <v>3.8734132533338E-005</v>
      </c>
      <c r="L246" s="39" t="n">
        <f aca="false">MY_PH(L$2,$A246)</f>
        <v>3.87342566857854E-005</v>
      </c>
      <c r="M246" s="39" t="n">
        <f aca="false">MY_PH(M$2,$A246)</f>
        <v>3.8734380839817E-005</v>
      </c>
      <c r="N246" s="39" t="n">
        <f aca="false">MY_PH(N$2,$A246)</f>
        <v>3.87345049954328E-005</v>
      </c>
      <c r="O246" s="39" t="n">
        <f aca="false">MY_PH(O$2,$A246)</f>
        <v>3.87346291526328E-005</v>
      </c>
      <c r="P246" s="39" t="n">
        <f aca="false">MY_PH(P$2,$A246)</f>
        <v>3.87358708117536E-005</v>
      </c>
      <c r="Q246" s="39" t="n">
        <f aca="false">MY_PH(Q$2,$A246)</f>
        <v>3.8737112629249E-005</v>
      </c>
      <c r="R246" s="39" t="n">
        <f aca="false">MY_PH(R$2,$A246)</f>
        <v>3.87383546050804E-005</v>
      </c>
      <c r="S246" s="39" t="n">
        <f aca="false">MY_PH(S$2,$A246)</f>
        <v>3.87395967392095E-005</v>
      </c>
      <c r="T246" s="39" t="n">
        <f aca="false">MY_PH(T$2,$A246)</f>
        <v>3.87408390315979E-005</v>
      </c>
      <c r="U246" s="39" t="n">
        <f aca="false">MY_PH(U$2,$A246)</f>
        <v>3.8742081482207E-005</v>
      </c>
      <c r="V246" s="39" t="n">
        <f aca="false">MY_PH(V$2,$A246)</f>
        <v>3.87433240909986E-005</v>
      </c>
      <c r="W246" s="39" t="n">
        <f aca="false">MY_PH(W$2,$A246)</f>
        <v>3.87445668579341E-005</v>
      </c>
      <c r="X246" s="39" t="n">
        <f aca="false">MY_PH(X$2,$A246)</f>
        <v>3.87458097829751E-005</v>
      </c>
      <c r="Y246" s="39" t="n">
        <f aca="false">MY_PH(Y$2,$A246)</f>
        <v>3.87582477207409E-005</v>
      </c>
      <c r="Z246" s="39" t="n">
        <f aca="false">MY_PH(Z$2,$A246)</f>
        <v>3.87707014268231E-005</v>
      </c>
      <c r="AA246" s="39" t="n">
        <f aca="false">MY_PH(AA$2,$A246)</f>
        <v>3.87831708628516E-005</v>
      </c>
      <c r="AB246" s="39" t="n">
        <f aca="false">MY_PH(AB$2,$A246)</f>
        <v>3.87956559904855E-005</v>
      </c>
      <c r="AC246" s="39" t="n">
        <f aca="false">MY_PH(AC$2,$A246)</f>
        <v>3.88081567714122E-005</v>
      </c>
      <c r="AD246" s="39" t="n">
        <f aca="false">MY_PH(AD$2,$A246)</f>
        <v>3.88206731673477E-005</v>
      </c>
      <c r="AE246" s="39" t="n">
        <f aca="false">MY_PH(AE$2,$A246)</f>
        <v>3.88332051400361E-005</v>
      </c>
      <c r="AF246" s="39" t="n">
        <f aca="false">MY_PH(AF$2,$A246)</f>
        <v>3.88457526512491E-005</v>
      </c>
      <c r="AG246" s="39" t="n">
        <f aca="false">MY_PH(AG$2,$A246)</f>
        <v>3.88583156627862E-005</v>
      </c>
      <c r="AH246" s="39" t="n">
        <f aca="false">MY_PH(AH$2,$A246)</f>
        <v>3.89847899110314E-005</v>
      </c>
      <c r="AI246" s="39" t="n">
        <f aca="false">MY_PH(AI$2,$A246)</f>
        <v>3.91127723659445E-005</v>
      </c>
      <c r="AJ246" s="39" t="n">
        <f aca="false">MY_PH(AJ$2,$A246)</f>
        <v>3.92423425258179E-005</v>
      </c>
      <c r="AK246" s="39" t="n">
        <f aca="false">MY_PH(AK$2,$A246)</f>
        <v>3.93731985843625E-005</v>
      </c>
      <c r="AL246" s="39" t="n">
        <f aca="false">MY_PH(AL$2,$A246)</f>
        <v>3.95054065174044E-005</v>
      </c>
      <c r="AM246" s="39" t="n">
        <f aca="false">MY_PH(AM$2,$A246)</f>
        <v>3.963893015425E-005</v>
      </c>
      <c r="AN246" s="39" t="n">
        <f aca="false">MY_PH(AN$2,$A246)</f>
        <v>3.97737336164445E-005</v>
      </c>
      <c r="AO246" s="39" t="n">
        <f aca="false">MY_PH(AO$2,$A246)</f>
        <v>3.99097813085085E-005</v>
      </c>
      <c r="AP246" s="39" t="n">
        <f aca="false">MY_PH(AP$2,$A246)</f>
        <v>4.00470379111416E-005</v>
      </c>
      <c r="AQ246" s="39" t="n">
        <f aca="false">MY_PH(AQ$2,$A246)</f>
        <v>4.1478517162425E-005</v>
      </c>
      <c r="AR246" s="39" t="n">
        <f aca="false">MY_PH(AR$2,$A246)</f>
        <v>2015</v>
      </c>
      <c r="AS246" s="39" t="n">
        <f aca="false">MY_PH(AS$2,$A246)</f>
        <v>2015</v>
      </c>
    </row>
    <row r="247" customFormat="false" ht="13.8" hidden="false" customHeight="false" outlineLevel="0" collapsed="false">
      <c r="A247" s="0" t="n">
        <v>4070</v>
      </c>
      <c r="B247" s="39" t="n">
        <f aca="false">MY_PH(B$2,$A247)</f>
        <v>3.8898216066706E-005</v>
      </c>
      <c r="C247" s="39" t="n">
        <f aca="false">MY_PH(C$2,$A247)</f>
        <v>3.88982283733937E-005</v>
      </c>
      <c r="D247" s="39" t="n">
        <f aca="false">MY_PH(D$2,$A247)</f>
        <v>3.88982406800973E-005</v>
      </c>
      <c r="E247" s="39" t="n">
        <f aca="false">MY_PH(E$2,$A247)</f>
        <v>3.88982529868165E-005</v>
      </c>
      <c r="F247" s="39" t="n">
        <f aca="false">MY_PH(F$2,$A247)</f>
        <v>3.88982652935516E-005</v>
      </c>
      <c r="G247" s="39" t="n">
        <f aca="false">MY_PH(G$2,$A247)</f>
        <v>3.88983883617685E-005</v>
      </c>
      <c r="H247" s="39" t="n">
        <f aca="false">MY_PH(H$2,$A247)</f>
        <v>3.8898511431561E-005</v>
      </c>
      <c r="I247" s="39" t="n">
        <f aca="false">MY_PH(I$2,$A247)</f>
        <v>3.88986345029292E-005</v>
      </c>
      <c r="J247" s="39" t="n">
        <f aca="false">MY_PH(J$2,$A247)</f>
        <v>3.88987575758728E-005</v>
      </c>
      <c r="K247" s="39" t="n">
        <f aca="false">MY_PH(K$2,$A247)</f>
        <v>3.8898880650392E-005</v>
      </c>
      <c r="L247" s="39" t="n">
        <f aca="false">MY_PH(L$2,$A247)</f>
        <v>3.88990037264867E-005</v>
      </c>
      <c r="M247" s="39" t="n">
        <f aca="false">MY_PH(M$2,$A247)</f>
        <v>3.88991268041568E-005</v>
      </c>
      <c r="N247" s="39" t="n">
        <f aca="false">MY_PH(N$2,$A247)</f>
        <v>3.88992498834023E-005</v>
      </c>
      <c r="O247" s="39" t="n">
        <f aca="false">MY_PH(O$2,$A247)</f>
        <v>3.88993729642231E-005</v>
      </c>
      <c r="P247" s="39" t="n">
        <f aca="false">MY_PH(P$2,$A247)</f>
        <v>3.89006038590682E-005</v>
      </c>
      <c r="Q247" s="39" t="n">
        <f aca="false">MY_PH(Q$2,$A247)</f>
        <v>3.89018349114078E-005</v>
      </c>
      <c r="R247" s="39" t="n">
        <f aca="false">MY_PH(R$2,$A247)</f>
        <v>3.89030661212042E-005</v>
      </c>
      <c r="S247" s="39" t="n">
        <f aca="false">MY_PH(S$2,$A247)</f>
        <v>3.89042974884197E-005</v>
      </c>
      <c r="T247" s="39" t="n">
        <f aca="false">MY_PH(T$2,$A247)</f>
        <v>3.89055290130166E-005</v>
      </c>
      <c r="U247" s="39" t="n">
        <f aca="false">MY_PH(U$2,$A247)</f>
        <v>3.89067606949574E-005</v>
      </c>
      <c r="V247" s="39" t="n">
        <f aca="false">MY_PH(V$2,$A247)</f>
        <v>3.89079925342041E-005</v>
      </c>
      <c r="W247" s="39" t="n">
        <f aca="false">MY_PH(W$2,$A247)</f>
        <v>3.89092245307193E-005</v>
      </c>
      <c r="X247" s="39" t="n">
        <f aca="false">MY_PH(X$2,$A247)</f>
        <v>3.89104566844651E-005</v>
      </c>
      <c r="Y247" s="39" t="n">
        <f aca="false">MY_PH(Y$2,$A247)</f>
        <v>3.89227868613254E-005</v>
      </c>
      <c r="Z247" s="39" t="n">
        <f aca="false">MY_PH(Z$2,$A247)</f>
        <v>3.89351327198303E-005</v>
      </c>
      <c r="AA247" s="39" t="n">
        <f aca="false">MY_PH(AA$2,$A247)</f>
        <v>3.89474942223459E-005</v>
      </c>
      <c r="AB247" s="39" t="n">
        <f aca="false">MY_PH(AB$2,$A247)</f>
        <v>3.8959871331265E-005</v>
      </c>
      <c r="AC247" s="39" t="n">
        <f aca="false">MY_PH(AC$2,$A247)</f>
        <v>3.89722640090065E-005</v>
      </c>
      <c r="AD247" s="39" t="n">
        <f aca="false">MY_PH(AD$2,$A247)</f>
        <v>3.89846722180155E-005</v>
      </c>
      <c r="AE247" s="39" t="n">
        <f aca="false">MY_PH(AE$2,$A247)</f>
        <v>3.89970959207627E-005</v>
      </c>
      <c r="AF247" s="39" t="n">
        <f aca="false">MY_PH(AF$2,$A247)</f>
        <v>3.90095350797445E-005</v>
      </c>
      <c r="AG247" s="39" t="n">
        <f aca="false">MY_PH(AG$2,$A247)</f>
        <v>3.90219896574825E-005</v>
      </c>
      <c r="AH247" s="39" t="n">
        <f aca="false">MY_PH(AH$2,$A247)</f>
        <v>3.91473752387929E-005</v>
      </c>
      <c r="AI247" s="39" t="n">
        <f aca="false">MY_PH(AI$2,$A247)</f>
        <v>3.92742616481512E-005</v>
      </c>
      <c r="AJ247" s="39" t="n">
        <f aca="false">MY_PH(AJ$2,$A247)</f>
        <v>3.94027104247882E-005</v>
      </c>
      <c r="AK247" s="39" t="n">
        <f aca="false">MY_PH(AK$2,$A247)</f>
        <v>3.95324717092168E-005</v>
      </c>
      <c r="AL247" s="39" t="n">
        <f aca="false">MY_PH(AL$2,$A247)</f>
        <v>3.96635786509027E-005</v>
      </c>
      <c r="AM247" s="39" t="n">
        <f aca="false">MY_PH(AM$2,$A247)</f>
        <v>3.97959955102274E-005</v>
      </c>
      <c r="AN247" s="39" t="n">
        <f aca="false">MY_PH(AN$2,$A247)</f>
        <v>3.99296868250521E-005</v>
      </c>
      <c r="AO247" s="39" t="n">
        <f aca="false">MY_PH(AO$2,$A247)</f>
        <v>4.0064617402645E-005</v>
      </c>
      <c r="AP247" s="39" t="n">
        <f aca="false">MY_PH(AP$2,$A247)</f>
        <v>4.02007523139369E-005</v>
      </c>
      <c r="AQ247" s="39" t="n">
        <f aca="false">MY_PH(AQ$2,$A247)</f>
        <v>2015</v>
      </c>
      <c r="AR247" s="39" t="n">
        <f aca="false">MY_PH(AR$2,$A247)</f>
        <v>2015</v>
      </c>
      <c r="AS247" s="39" t="n">
        <f aca="false">MY_PH(AS$2,$A247)</f>
        <v>2015</v>
      </c>
    </row>
    <row r="248" customFormat="false" ht="13.8" hidden="false" customHeight="false" outlineLevel="0" collapsed="false">
      <c r="A248" s="0" t="n">
        <v>4080</v>
      </c>
      <c r="B248" s="39" t="n">
        <f aca="false">MY_PH(B$2,$A248)</f>
        <v>3.90625321594031E-005</v>
      </c>
      <c r="C248" s="39" t="n">
        <f aca="false">MY_PH(C$2,$A248)</f>
        <v>3.90625443596147E-005</v>
      </c>
      <c r="D248" s="39" t="n">
        <f aca="false">MY_PH(D$2,$A248)</f>
        <v>3.90625565598418E-005</v>
      </c>
      <c r="E248" s="39" t="n">
        <f aca="false">MY_PH(E$2,$A248)</f>
        <v>3.90625687600847E-005</v>
      </c>
      <c r="F248" s="39" t="n">
        <f aca="false">MY_PH(F$2,$A248)</f>
        <v>3.90625809603432E-005</v>
      </c>
      <c r="G248" s="39" t="n">
        <f aca="false">MY_PH(G$2,$A248)</f>
        <v>3.90627029637899E-005</v>
      </c>
      <c r="H248" s="39" t="n">
        <f aca="false">MY_PH(H$2,$A248)</f>
        <v>3.90628249688031E-005</v>
      </c>
      <c r="I248" s="39" t="n">
        <f aca="false">MY_PH(I$2,$A248)</f>
        <v>3.90629469753826E-005</v>
      </c>
      <c r="J248" s="39" t="n">
        <f aca="false">MY_PH(J$2,$A248)</f>
        <v>3.90630689835284E-005</v>
      </c>
      <c r="K248" s="39" t="n">
        <f aca="false">MY_PH(K$2,$A248)</f>
        <v>3.90631909932405E-005</v>
      </c>
      <c r="L248" s="39" t="n">
        <f aca="false">MY_PH(L$2,$A248)</f>
        <v>3.9063313004519E-005</v>
      </c>
      <c r="M248" s="39" t="n">
        <f aca="false">MY_PH(M$2,$A248)</f>
        <v>3.90634350173636E-005</v>
      </c>
      <c r="N248" s="39" t="n">
        <f aca="false">MY_PH(N$2,$A248)</f>
        <v>3.90635570317744E-005</v>
      </c>
      <c r="O248" s="39" t="n">
        <f aca="false">MY_PH(O$2,$A248)</f>
        <v>3.90636790477514E-005</v>
      </c>
      <c r="P248" s="39" t="n">
        <f aca="false">MY_PH(P$2,$A248)</f>
        <v>3.90648992936515E-005</v>
      </c>
      <c r="Q248" s="39" t="n">
        <f aca="false">MY_PH(Q$2,$A248)</f>
        <v>3.90661196961263E-005</v>
      </c>
      <c r="R248" s="39" t="n">
        <f aca="false">MY_PH(R$2,$A248)</f>
        <v>3.90673402551387E-005</v>
      </c>
      <c r="S248" s="39" t="n">
        <f aca="false">MY_PH(S$2,$A248)</f>
        <v>3.90685609706518E-005</v>
      </c>
      <c r="T248" s="39" t="n">
        <f aca="false">MY_PH(T$2,$A248)</f>
        <v>3.90697818426286E-005</v>
      </c>
      <c r="U248" s="39" t="n">
        <f aca="false">MY_PH(U$2,$A248)</f>
        <v>3.90710028710321E-005</v>
      </c>
      <c r="V248" s="39" t="n">
        <f aca="false">MY_PH(V$2,$A248)</f>
        <v>3.90722240558254E-005</v>
      </c>
      <c r="W248" s="39" t="n">
        <f aca="false">MY_PH(W$2,$A248)</f>
        <v>3.90734453969714E-005</v>
      </c>
      <c r="X248" s="39" t="n">
        <f aca="false">MY_PH(X$2,$A248)</f>
        <v>3.90746668944331E-005</v>
      </c>
      <c r="Y248" s="39" t="n">
        <f aca="false">MY_PH(Y$2,$A248)</f>
        <v>3.90868904582865E-005</v>
      </c>
      <c r="Z248" s="39" t="n">
        <f aca="false">MY_PH(Z$2,$A248)</f>
        <v>3.90991296130645E-005</v>
      </c>
      <c r="AA248" s="39" t="n">
        <f aca="false">MY_PH(AA$2,$A248)</f>
        <v>3.91113843218335E-005</v>
      </c>
      <c r="AB248" s="39" t="n">
        <f aca="false">MY_PH(AB$2,$A248)</f>
        <v>3.91236545476841E-005</v>
      </c>
      <c r="AC248" s="39" t="n">
        <f aca="false">MY_PH(AC$2,$A248)</f>
        <v>3.91359402537314E-005</v>
      </c>
      <c r="AD248" s="39" t="n">
        <f aca="false">MY_PH(AD$2,$A248)</f>
        <v>3.91482414031141E-005</v>
      </c>
      <c r="AE248" s="39" t="n">
        <f aca="false">MY_PH(AE$2,$A248)</f>
        <v>3.91605579589947E-005</v>
      </c>
      <c r="AF248" s="39" t="n">
        <f aca="false">MY_PH(AF$2,$A248)</f>
        <v>3.91728898845594E-005</v>
      </c>
      <c r="AG248" s="39" t="n">
        <f aca="false">MY_PH(AG$2,$A248)</f>
        <v>3.91852371430174E-005</v>
      </c>
      <c r="AH248" s="39" t="n">
        <f aca="false">MY_PH(AH$2,$A248)</f>
        <v>3.9309544958929E-005</v>
      </c>
      <c r="AI248" s="39" t="n">
        <f aca="false">MY_PH(AI$2,$A248)</f>
        <v>3.94353457584963E-005</v>
      </c>
      <c r="AJ248" s="39" t="n">
        <f aca="false">MY_PH(AJ$2,$A248)</f>
        <v>3.95626835612521E-005</v>
      </c>
      <c r="AK248" s="39" t="n">
        <f aca="false">MY_PH(AK$2,$A248)</f>
        <v>3.9691361622816E-005</v>
      </c>
      <c r="AL248" s="39" t="n">
        <f aca="false">MY_PH(AL$2,$A248)</f>
        <v>3.98213793142047E-005</v>
      </c>
      <c r="AM248" s="39" t="n">
        <f aca="false">MY_PH(AM$2,$A248)</f>
        <v>3.99527013083653E-005</v>
      </c>
      <c r="AN248" s="39" t="n">
        <f aca="false">MY_PH(AN$2,$A248)</f>
        <v>4.00852925420552E-005</v>
      </c>
      <c r="AO248" s="39" t="n">
        <f aca="false">MY_PH(AO$2,$A248)</f>
        <v>4.02191182088743E-005</v>
      </c>
      <c r="AP248" s="39" t="n">
        <f aca="false">MY_PH(AP$2,$A248)</f>
        <v>4.0354143754495E-005</v>
      </c>
      <c r="AQ248" s="39" t="n">
        <f aca="false">MY_PH(AQ$2,$A248)</f>
        <v>2015</v>
      </c>
      <c r="AR248" s="39" t="n">
        <f aca="false">MY_PH(AR$2,$A248)</f>
        <v>2015</v>
      </c>
      <c r="AS248" s="39" t="n">
        <f aca="false">MY_PH(AS$2,$A248)</f>
        <v>2015</v>
      </c>
    </row>
    <row r="249" customFormat="false" ht="13.8" hidden="false" customHeight="false" outlineLevel="0" collapsed="false">
      <c r="A249" s="0" t="n">
        <v>4090</v>
      </c>
      <c r="B249" s="39" t="n">
        <f aca="false">MY_PH(B$2,$A249)</f>
        <v>3.92264120437026E-005</v>
      </c>
      <c r="C249" s="39" t="n">
        <f aca="false">MY_PH(C$2,$A249)</f>
        <v>3.922642413856E-005</v>
      </c>
      <c r="D249" s="39" t="n">
        <f aca="false">MY_PH(D$2,$A249)</f>
        <v>3.9226436233433E-005</v>
      </c>
      <c r="E249" s="39" t="n">
        <f aca="false">MY_PH(E$2,$A249)</f>
        <v>3.92264483283216E-005</v>
      </c>
      <c r="F249" s="39" t="n">
        <f aca="false">MY_PH(F$2,$A249)</f>
        <v>3.92264604232257E-005</v>
      </c>
      <c r="G249" s="39" t="n">
        <f aca="false">MY_PH(G$2,$A249)</f>
        <v>3.92265813731236E-005</v>
      </c>
      <c r="H249" s="39" t="n">
        <f aca="false">MY_PH(H$2,$A249)</f>
        <v>3.92267023245781E-005</v>
      </c>
      <c r="I249" s="39" t="n">
        <f aca="false">MY_PH(I$2,$A249)</f>
        <v>3.92268232775894E-005</v>
      </c>
      <c r="J249" s="39" t="n">
        <f aca="false">MY_PH(J$2,$A249)</f>
        <v>3.92269442321574E-005</v>
      </c>
      <c r="K249" s="39" t="n">
        <f aca="false">MY_PH(K$2,$A249)</f>
        <v>3.92270651882822E-005</v>
      </c>
      <c r="L249" s="39" t="n">
        <f aca="false">MY_PH(L$2,$A249)</f>
        <v>3.92271861459635E-005</v>
      </c>
      <c r="M249" s="39" t="n">
        <f aca="false">MY_PH(M$2,$A249)</f>
        <v>3.92273071052014E-005</v>
      </c>
      <c r="N249" s="39" t="n">
        <f aca="false">MY_PH(N$2,$A249)</f>
        <v>3.92274280659959E-005</v>
      </c>
      <c r="O249" s="39" t="n">
        <f aca="false">MY_PH(O$2,$A249)</f>
        <v>3.92275490283469E-005</v>
      </c>
      <c r="P249" s="39" t="n">
        <f aca="false">MY_PH(P$2,$A249)</f>
        <v>3.9228758737458E-005</v>
      </c>
      <c r="Q249" s="39" t="n">
        <f aca="false">MY_PH(Q$2,$A249)</f>
        <v>3.92299686021816E-005</v>
      </c>
      <c r="R249" s="39" t="n">
        <f aca="false">MY_PH(R$2,$A249)</f>
        <v>3.92311786224816E-005</v>
      </c>
      <c r="S249" s="39" t="n">
        <f aca="false">MY_PH(S$2,$A249)</f>
        <v>3.92323887983216E-005</v>
      </c>
      <c r="T249" s="39" t="n">
        <f aca="false">MY_PH(T$2,$A249)</f>
        <v>3.92335991296653E-005</v>
      </c>
      <c r="U249" s="39" t="n">
        <f aca="false">MY_PH(U$2,$A249)</f>
        <v>3.92348096164763E-005</v>
      </c>
      <c r="V249" s="39" t="n">
        <f aca="false">MY_PH(V$2,$A249)</f>
        <v>3.92360202587184E-005</v>
      </c>
      <c r="W249" s="39" t="n">
        <f aca="false">MY_PH(W$2,$A249)</f>
        <v>3.92372310563553E-005</v>
      </c>
      <c r="X249" s="39" t="n">
        <f aca="false">MY_PH(X$2,$A249)</f>
        <v>3.92384420093505E-005</v>
      </c>
      <c r="Y249" s="39" t="n">
        <f aca="false">MY_PH(Y$2,$A249)</f>
        <v>3.92505600760324E-005</v>
      </c>
      <c r="Z249" s="39" t="n">
        <f aca="false">MY_PH(Z$2,$A249)</f>
        <v>3.92626936386404E-005</v>
      </c>
      <c r="AA249" s="39" t="n">
        <f aca="false">MY_PH(AA$2,$A249)</f>
        <v>3.9274842660907E-005</v>
      </c>
      <c r="AB249" s="39" t="n">
        <f aca="false">MY_PH(AB$2,$A249)</f>
        <v>3.92870071065876E-005</v>
      </c>
      <c r="AC249" s="39" t="n">
        <f aca="false">MY_PH(AC$2,$A249)</f>
        <v>3.92991869394597E-005</v>
      </c>
      <c r="AD249" s="39" t="n">
        <f aca="false">MY_PH(AD$2,$A249)</f>
        <v>3.93113821233228E-005</v>
      </c>
      <c r="AE249" s="39" t="n">
        <f aca="false">MY_PH(AE$2,$A249)</f>
        <v>3.93235926219986E-005</v>
      </c>
      <c r="AF249" s="39" t="n">
        <f aca="false">MY_PH(AF$2,$A249)</f>
        <v>3.933581839933E-005</v>
      </c>
      <c r="AG249" s="39" t="n">
        <f aca="false">MY_PH(AG$2,$A249)</f>
        <v>3.93480594191817E-005</v>
      </c>
      <c r="AH249" s="39" t="n">
        <f aca="false">MY_PH(AH$2,$A249)</f>
        <v>3.94713000214021E-005</v>
      </c>
      <c r="AI249" s="39" t="n">
        <f aca="false">MY_PH(AI$2,$A249)</f>
        <v>3.95960252778477E-005</v>
      </c>
      <c r="AJ249" s="39" t="n">
        <f aca="false">MY_PH(AJ$2,$A249)</f>
        <v>3.97222624180288E-005</v>
      </c>
      <c r="AK249" s="39" t="n">
        <f aca="false">MY_PH(AK$2,$A249)</f>
        <v>3.98498685861931E-005</v>
      </c>
      <c r="AL249" s="39" t="n">
        <f aca="false">MY_PH(AL$2,$A249)</f>
        <v>3.99788085457482E-005</v>
      </c>
      <c r="AM249" s="39" t="n">
        <f aca="false">MY_PH(AM$2,$A249)</f>
        <v>4.01090473643238E-005</v>
      </c>
      <c r="AN249" s="39" t="n">
        <f aca="false">MY_PH(AN$2,$A249)</f>
        <v>4.02405503607172E-005</v>
      </c>
      <c r="AO249" s="39" t="n">
        <f aca="false">MY_PH(AO$2,$A249)</f>
        <v>4.03732830989496E-005</v>
      </c>
      <c r="AP249" s="39" t="n">
        <f aca="false">MY_PH(AP$2,$A249)</f>
        <v>4.05072113843978E-005</v>
      </c>
      <c r="AQ249" s="39" t="n">
        <f aca="false">MY_PH(AQ$2,$A249)</f>
        <v>2015</v>
      </c>
      <c r="AR249" s="39" t="n">
        <f aca="false">MY_PH(AR$2,$A249)</f>
        <v>2015</v>
      </c>
      <c r="AS249" s="39" t="n">
        <f aca="false">MY_PH(AS$2,$A249)</f>
        <v>2015</v>
      </c>
    </row>
    <row r="250" customFormat="false" ht="13.8" hidden="false" customHeight="false" outlineLevel="0" collapsed="false">
      <c r="A250" s="0" t="n">
        <v>4100</v>
      </c>
      <c r="B250" s="39" t="n">
        <f aca="false">MY_PH(B$2,$A250)</f>
        <v>3.9389857360673E-005</v>
      </c>
      <c r="C250" s="39" t="n">
        <f aca="false">MY_PH(C$2,$A250)</f>
        <v>3.93898693512665E-005</v>
      </c>
      <c r="D250" s="39" t="n">
        <f aca="false">MY_PH(D$2,$A250)</f>
        <v>3.93898813418754E-005</v>
      </c>
      <c r="E250" s="39" t="n">
        <f aca="false">MY_PH(E$2,$A250)</f>
        <v>3.93898933324998E-005</v>
      </c>
      <c r="F250" s="39" t="n">
        <f aca="false">MY_PH(F$2,$A250)</f>
        <v>3.93899053231397E-005</v>
      </c>
      <c r="G250" s="39" t="n">
        <f aca="false">MY_PH(G$2,$A250)</f>
        <v>3.9390025230389E-005</v>
      </c>
      <c r="H250" s="39" t="n">
        <f aca="false">MY_PH(H$2,$A250)</f>
        <v>3.9390145139185E-005</v>
      </c>
      <c r="I250" s="39" t="n">
        <f aca="false">MY_PH(I$2,$A250)</f>
        <v>3.93902650495277E-005</v>
      </c>
      <c r="J250" s="39" t="n">
        <f aca="false">MY_PH(J$2,$A250)</f>
        <v>3.9390384961417E-005</v>
      </c>
      <c r="K250" s="39" t="n">
        <f aca="false">MY_PH(K$2,$A250)</f>
        <v>3.93905048748529E-005</v>
      </c>
      <c r="L250" s="39" t="n">
        <f aca="false">MY_PH(L$2,$A250)</f>
        <v>3.93906247898354E-005</v>
      </c>
      <c r="M250" s="39" t="n">
        <f aca="false">MY_PH(M$2,$A250)</f>
        <v>3.93907447063644E-005</v>
      </c>
      <c r="N250" s="39" t="n">
        <f aca="false">MY_PH(N$2,$A250)</f>
        <v>3.93908646244399E-005</v>
      </c>
      <c r="O250" s="39" t="n">
        <f aca="false">MY_PH(O$2,$A250)</f>
        <v>3.93909845440618E-005</v>
      </c>
      <c r="P250" s="39" t="n">
        <f aca="false">MY_PH(P$2,$A250)</f>
        <v>3.93921838253284E-005</v>
      </c>
      <c r="Q250" s="39" t="n">
        <f aca="false">MY_PH(Q$2,$A250)</f>
        <v>3.93933832612012E-005</v>
      </c>
      <c r="R250" s="39" t="n">
        <f aca="false">MY_PH(R$2,$A250)</f>
        <v>3.93945828516445E-005</v>
      </c>
      <c r="S250" s="39" t="n">
        <f aca="false">MY_PH(S$2,$A250)</f>
        <v>3.93957825966226E-005</v>
      </c>
      <c r="T250" s="39" t="n">
        <f aca="false">MY_PH(T$2,$A250)</f>
        <v>3.93969824960998E-005</v>
      </c>
      <c r="U250" s="39" t="n">
        <f aca="false">MY_PH(U$2,$A250)</f>
        <v>3.93981825500406E-005</v>
      </c>
      <c r="V250" s="39" t="n">
        <f aca="false">MY_PH(V$2,$A250)</f>
        <v>3.93993827584091E-005</v>
      </c>
      <c r="W250" s="39" t="n">
        <f aca="false">MY_PH(W$2,$A250)</f>
        <v>3.94005831211698E-005</v>
      </c>
      <c r="X250" s="39" t="n">
        <f aca="false">MY_PH(X$2,$A250)</f>
        <v>3.9401783638287E-005</v>
      </c>
      <c r="Y250" s="39" t="n">
        <f aca="false">MY_PH(Y$2,$A250)</f>
        <v>3.94137972912189E-005</v>
      </c>
      <c r="Z250" s="39" t="n">
        <f aca="false">MY_PH(Z$2,$A250)</f>
        <v>3.94258263405794E-005</v>
      </c>
      <c r="AA250" s="39" t="n">
        <f aca="false">MY_PH(AA$2,$A250)</f>
        <v>3.94378707507359E-005</v>
      </c>
      <c r="AB250" s="39" t="n">
        <f aca="false">MY_PH(AB$2,$A250)</f>
        <v>3.94499304860767E-005</v>
      </c>
      <c r="AC250" s="39" t="n">
        <f aca="false">MY_PH(AC$2,$A250)</f>
        <v>3.94620055110108E-005</v>
      </c>
      <c r="AD250" s="39" t="n">
        <f aca="false">MY_PH(AD$2,$A250)</f>
        <v>3.94740957899676E-005</v>
      </c>
      <c r="AE250" s="39" t="n">
        <f aca="false">MY_PH(AE$2,$A250)</f>
        <v>3.94862012873967E-005</v>
      </c>
      <c r="AF250" s="39" t="n">
        <f aca="false">MY_PH(AF$2,$A250)</f>
        <v>3.94983219677679E-005</v>
      </c>
      <c r="AG250" s="39" t="n">
        <f aca="false">MY_PH(AG$2,$A250)</f>
        <v>3.95104577955705E-005</v>
      </c>
      <c r="AH250" s="39" t="n">
        <f aca="false">MY_PH(AH$2,$A250)</f>
        <v>3.96326413837774E-005</v>
      </c>
      <c r="AI250" s="39" t="n">
        <f aca="false">MY_PH(AI$2,$A250)</f>
        <v>3.97563007933325E-005</v>
      </c>
      <c r="AJ250" s="39" t="n">
        <f aca="false">MY_PH(AJ$2,$A250)</f>
        <v>3.98814475036578E-005</v>
      </c>
      <c r="AK250" s="39" t="n">
        <f aca="false">MY_PH(AK$2,$A250)</f>
        <v>4.00079928924094E-005</v>
      </c>
      <c r="AL250" s="39" t="n">
        <f aca="false">MY_PH(AL$2,$A250)</f>
        <v>4.01358664221478E-005</v>
      </c>
      <c r="AM250" s="39" t="n">
        <f aca="false">MY_PH(AM$2,$A250)</f>
        <v>4.02650335379176E-005</v>
      </c>
      <c r="AN250" s="39" t="n">
        <f aca="false">MY_PH(AN$2,$A250)</f>
        <v>4.03954599242537E-005</v>
      </c>
      <c r="AO250" s="39" t="n">
        <f aca="false">MY_PH(AO$2,$A250)</f>
        <v>4.05271115001885E-005</v>
      </c>
      <c r="AP250" s="39" t="n">
        <f aca="false">MY_PH(AP$2,$A250)</f>
        <v>4.06599544162157E-005</v>
      </c>
      <c r="AQ250" s="39" t="n">
        <f aca="false">MY_PH(AQ$2,$A250)</f>
        <v>2015</v>
      </c>
      <c r="AR250" s="39" t="n">
        <f aca="false">MY_PH(AR$2,$A250)</f>
        <v>2015</v>
      </c>
      <c r="AS250" s="39" t="n">
        <f aca="false">MY_PH(AS$2,$A250)</f>
        <v>2015</v>
      </c>
    </row>
    <row r="251" customFormat="false" ht="13.8" hidden="false" customHeight="false" outlineLevel="0" collapsed="false">
      <c r="A251" s="0" t="n">
        <v>4110</v>
      </c>
      <c r="B251" s="39" t="n">
        <f aca="false">MY_PH(B$2,$A251)</f>
        <v>3.95528697636927E-005</v>
      </c>
      <c r="C251" s="39" t="n">
        <f aca="false">MY_PH(C$2,$A251)</f>
        <v>3.95528816510798E-005</v>
      </c>
      <c r="D251" s="39" t="n">
        <f aca="false">MY_PH(D$2,$A251)</f>
        <v>3.95528935384823E-005</v>
      </c>
      <c r="E251" s="39" t="n">
        <f aca="false">MY_PH(E$2,$A251)</f>
        <v>3.95529054259001E-005</v>
      </c>
      <c r="F251" s="39" t="n">
        <f aca="false">MY_PH(F$2,$A251)</f>
        <v>3.95529173133333E-005</v>
      </c>
      <c r="G251" s="39" t="n">
        <f aca="false">MY_PH(G$2,$A251)</f>
        <v>3.95530361885101E-005</v>
      </c>
      <c r="H251" s="39" t="n">
        <f aca="false">MY_PH(H$2,$A251)</f>
        <v>3.95531550652231E-005</v>
      </c>
      <c r="I251" s="39" t="n">
        <f aca="false">MY_PH(I$2,$A251)</f>
        <v>3.95532739434722E-005</v>
      </c>
      <c r="J251" s="39" t="n">
        <f aca="false">MY_PH(J$2,$A251)</f>
        <v>3.95533928232574E-005</v>
      </c>
      <c r="K251" s="39" t="n">
        <f aca="false">MY_PH(K$2,$A251)</f>
        <v>3.95535117045787E-005</v>
      </c>
      <c r="L251" s="39" t="n">
        <f aca="false">MY_PH(L$2,$A251)</f>
        <v>3.9553630587436E-005</v>
      </c>
      <c r="M251" s="39" t="n">
        <f aca="false">MY_PH(M$2,$A251)</f>
        <v>3.95537494718293E-005</v>
      </c>
      <c r="N251" s="39" t="n">
        <f aca="false">MY_PH(N$2,$A251)</f>
        <v>3.95538683577585E-005</v>
      </c>
      <c r="O251" s="39" t="n">
        <f aca="false">MY_PH(O$2,$A251)</f>
        <v>3.95539872452237E-005</v>
      </c>
      <c r="P251" s="39" t="n">
        <f aca="false">MY_PH(P$2,$A251)</f>
        <v>3.95551762043429E-005</v>
      </c>
      <c r="Q251" s="39" t="n">
        <f aca="false">MY_PH(Q$2,$A251)</f>
        <v>3.95563653170154E-005</v>
      </c>
      <c r="R251" s="39" t="n">
        <f aca="false">MY_PH(R$2,$A251)</f>
        <v>3.95575545832059E-005</v>
      </c>
      <c r="S251" s="39" t="n">
        <f aca="false">MY_PH(S$2,$A251)</f>
        <v>3.95587440028795E-005</v>
      </c>
      <c r="T251" s="39" t="n">
        <f aca="false">MY_PH(T$2,$A251)</f>
        <v>3.95599335760012E-005</v>
      </c>
      <c r="U251" s="39" t="n">
        <f aca="false">MY_PH(U$2,$A251)</f>
        <v>3.95611233025357E-005</v>
      </c>
      <c r="V251" s="39" t="n">
        <f aca="false">MY_PH(V$2,$A251)</f>
        <v>3.9562313182448E-005</v>
      </c>
      <c r="W251" s="39" t="n">
        <f aca="false">MY_PH(W$2,$A251)</f>
        <v>3.95635032157032E-005</v>
      </c>
      <c r="X251" s="39" t="n">
        <f aca="false">MY_PH(X$2,$A251)</f>
        <v>3.95646934022661E-005</v>
      </c>
      <c r="Y251" s="39" t="n">
        <f aca="false">MY_PH(Y$2,$A251)</f>
        <v>3.95766036921085E-005</v>
      </c>
      <c r="Z251" s="39" t="n">
        <f aca="false">MY_PH(Z$2,$A251)</f>
        <v>3.9588529274173E-005</v>
      </c>
      <c r="AA251" s="39" t="n">
        <f aca="false">MY_PH(AA$2,$A251)</f>
        <v>3.96004701134322E-005</v>
      </c>
      <c r="AB251" s="39" t="n">
        <f aca="false">MY_PH(AB$2,$A251)</f>
        <v>3.96124261748783E-005</v>
      </c>
      <c r="AC251" s="39" t="n">
        <f aca="false">MY_PH(AC$2,$A251)</f>
        <v>3.96243974235225E-005</v>
      </c>
      <c r="AD251" s="39" t="n">
        <f aca="false">MY_PH(AD$2,$A251)</f>
        <v>3.96363838243949E-005</v>
      </c>
      <c r="AE251" s="39" t="n">
        <f aca="false">MY_PH(AE$2,$A251)</f>
        <v>3.96483853425446E-005</v>
      </c>
      <c r="AF251" s="39" t="n">
        <f aca="false">MY_PH(AF$2,$A251)</f>
        <v>3.96604019430392E-005</v>
      </c>
      <c r="AG251" s="39" t="n">
        <f aca="false">MY_PH(AG$2,$A251)</f>
        <v>3.96724335909646E-005</v>
      </c>
      <c r="AH251" s="39" t="n">
        <f aca="false">MY_PH(AH$2,$A251)</f>
        <v>3.97935700106136E-005</v>
      </c>
      <c r="AI251" s="39" t="n">
        <f aca="false">MY_PH(AI$2,$A251)</f>
        <v>3.99161728977228E-005</v>
      </c>
      <c r="AJ251" s="39" t="n">
        <f aca="false">MY_PH(AJ$2,$A251)</f>
        <v>4.00402393513788E-005</v>
      </c>
      <c r="AK251" s="39" t="n">
        <f aca="false">MY_PH(AK$2,$A251)</f>
        <v>4.01657348653985E-005</v>
      </c>
      <c r="AL251" s="39" t="n">
        <f aca="false">MY_PH(AL$2,$A251)</f>
        <v>4.02925530569083E-005</v>
      </c>
      <c r="AM251" s="39" t="n">
        <f aca="false">MY_PH(AM$2,$A251)</f>
        <v>4.0420659731703E-005</v>
      </c>
      <c r="AN251" s="39" t="n">
        <f aca="false">MY_PH(AN$2,$A251)</f>
        <v>4.05500209242986E-005</v>
      </c>
      <c r="AO251" s="39" t="n">
        <f aca="false">MY_PH(AO$2,$A251)</f>
        <v>4.06806028938213E-005</v>
      </c>
      <c r="AP251" s="39" t="n">
        <f aca="false">MY_PH(AP$2,$A251)</f>
        <v>4.08123721217417E-005</v>
      </c>
      <c r="AQ251" s="39" t="n">
        <f aca="false">MY_PH(AQ$2,$A251)</f>
        <v>2015</v>
      </c>
      <c r="AR251" s="39" t="n">
        <f aca="false">MY_PH(AR$2,$A251)</f>
        <v>2015</v>
      </c>
      <c r="AS251" s="39" t="n">
        <f aca="false">MY_PH(AS$2,$A251)</f>
        <v>2015</v>
      </c>
    </row>
    <row r="252" customFormat="false" ht="13.8" hidden="false" customHeight="false" outlineLevel="0" collapsed="false">
      <c r="A252" s="0" t="n">
        <v>4120</v>
      </c>
      <c r="B252" s="39" t="n">
        <f aca="false">MY_PH(B$2,$A252)</f>
        <v>3.97154509178227E-005</v>
      </c>
      <c r="C252" s="39" t="n">
        <f aca="false">MY_PH(C$2,$A252)</f>
        <v>3.97154627030283E-005</v>
      </c>
      <c r="D252" s="39" t="n">
        <f aca="false">MY_PH(D$2,$A252)</f>
        <v>3.97154744882491E-005</v>
      </c>
      <c r="E252" s="39" t="n">
        <f aca="false">MY_PH(E$2,$A252)</f>
        <v>3.97154862734852E-005</v>
      </c>
      <c r="F252" s="39" t="n">
        <f aca="false">MY_PH(F$2,$A252)</f>
        <v>3.97154980587366E-005</v>
      </c>
      <c r="G252" s="39" t="n">
        <f aca="false">MY_PH(G$2,$A252)</f>
        <v>3.97156159120889E-005</v>
      </c>
      <c r="H252" s="39" t="n">
        <f aca="false">MY_PH(H$2,$A252)</f>
        <v>3.97157337669663E-005</v>
      </c>
      <c r="I252" s="39" t="n">
        <f aca="false">MY_PH(I$2,$A252)</f>
        <v>3.97158516233689E-005</v>
      </c>
      <c r="J252" s="39" t="n">
        <f aca="false">MY_PH(J$2,$A252)</f>
        <v>3.97159694812965E-005</v>
      </c>
      <c r="K252" s="39" t="n">
        <f aca="false">MY_PH(K$2,$A252)</f>
        <v>3.97160873407492E-005</v>
      </c>
      <c r="L252" s="39" t="n">
        <f aca="false">MY_PH(L$2,$A252)</f>
        <v>3.97162052017269E-005</v>
      </c>
      <c r="M252" s="39" t="n">
        <f aca="false">MY_PH(M$2,$A252)</f>
        <v>3.97163230642295E-005</v>
      </c>
      <c r="N252" s="39" t="n">
        <f aca="false">MY_PH(N$2,$A252)</f>
        <v>3.9716440928257E-005</v>
      </c>
      <c r="O252" s="39" t="n">
        <f aca="false">MY_PH(O$2,$A252)</f>
        <v>3.97165587938095E-005</v>
      </c>
      <c r="P252" s="39" t="n">
        <f aca="false">MY_PH(P$2,$A252)</f>
        <v>3.97177375331956E-005</v>
      </c>
      <c r="Q252" s="39" t="n">
        <f aca="false">MY_PH(Q$2,$A252)</f>
        <v>3.97189164250334E-005</v>
      </c>
      <c r="R252" s="39" t="n">
        <f aca="false">MY_PH(R$2,$A252)</f>
        <v>3.97200954692882E-005</v>
      </c>
      <c r="S252" s="39" t="n">
        <f aca="false">MY_PH(S$2,$A252)</f>
        <v>3.97212746659257E-005</v>
      </c>
      <c r="T252" s="39" t="n">
        <f aca="false">MY_PH(T$2,$A252)</f>
        <v>3.97224540149113E-005</v>
      </c>
      <c r="U252" s="39" t="n">
        <f aca="false">MY_PH(U$2,$A252)</f>
        <v>3.97236335162106E-005</v>
      </c>
      <c r="V252" s="39" t="n">
        <f aca="false">MY_PH(V$2,$A252)</f>
        <v>3.97248131697891E-005</v>
      </c>
      <c r="W252" s="39" t="n">
        <f aca="false">MY_PH(W$2,$A252)</f>
        <v>3.97259929756122E-005</v>
      </c>
      <c r="X252" s="39" t="n">
        <f aca="false">MY_PH(X$2,$A252)</f>
        <v>3.97271729336456E-005</v>
      </c>
      <c r="Y252" s="39" t="n">
        <f aca="false">MY_PH(Y$2,$A252)</f>
        <v>3.97389808779564E-005</v>
      </c>
      <c r="Z252" s="39" t="n">
        <f aca="false">MY_PH(Z$2,$A252)</f>
        <v>3.97508040053737E-005</v>
      </c>
      <c r="AA252" s="39" t="n">
        <f aca="false">MY_PH(AA$2,$A252)</f>
        <v>3.97626422814479E-005</v>
      </c>
      <c r="AB252" s="39" t="n">
        <f aca="false">MY_PH(AB$2,$A252)</f>
        <v>3.97744956717472E-005</v>
      </c>
      <c r="AC252" s="39" t="n">
        <f aca="false">MY_PH(AC$2,$A252)</f>
        <v>3.97863641418579E-005</v>
      </c>
      <c r="AD252" s="39" t="n">
        <f aca="false">MY_PH(AD$2,$A252)</f>
        <v>3.97982476573839E-005</v>
      </c>
      <c r="AE252" s="39" t="n">
        <f aca="false">MY_PH(AE$2,$A252)</f>
        <v>3.98101461839466E-005</v>
      </c>
      <c r="AF252" s="39" t="n">
        <f aca="false">MY_PH(AF$2,$A252)</f>
        <v>3.98220596871848E-005</v>
      </c>
      <c r="AG252" s="39" t="n">
        <f aca="false">MY_PH(AG$2,$A252)</f>
        <v>3.98339881327544E-005</v>
      </c>
      <c r="AH252" s="39" t="n">
        <f aca="false">MY_PH(AH$2,$A252)</f>
        <v>3.99540868729174E-005</v>
      </c>
      <c r="AI252" s="39" t="n">
        <f aca="false">MY_PH(AI$2,$A252)</f>
        <v>4.00756421889032E-005</v>
      </c>
      <c r="AJ252" s="39" t="n">
        <f aca="false">MY_PH(AJ$2,$A252)</f>
        <v>4.01986385181539E-005</v>
      </c>
      <c r="AK252" s="39" t="n">
        <f aca="false">MY_PH(AK$2,$A252)</f>
        <v>4.03230948588565E-005</v>
      </c>
      <c r="AL252" s="39" t="n">
        <f aca="false">MY_PH(AL$2,$A252)</f>
        <v>4.04488685991889E-005</v>
      </c>
      <c r="AM252" s="39" t="n">
        <f aca="false">MY_PH(AM$2,$A252)</f>
        <v>4.05759258896207E-005</v>
      </c>
      <c r="AN252" s="39" t="n">
        <f aca="false">MY_PH(AN$2,$A252)</f>
        <v>4.07042330994289E-005</v>
      </c>
      <c r="AO252" s="39" t="n">
        <f aca="false">MY_PH(AO$2,$A252)</f>
        <v>4.08337845693449E-005</v>
      </c>
      <c r="AP252" s="39" t="n">
        <f aca="false">MY_PH(AP$2,$A252)</f>
        <v>2015</v>
      </c>
      <c r="AQ252" s="39" t="n">
        <f aca="false">MY_PH(AQ$2,$A252)</f>
        <v>2015</v>
      </c>
      <c r="AR252" s="39" t="n">
        <f aca="false">MY_PH(AR$2,$A252)</f>
        <v>2015</v>
      </c>
      <c r="AS252" s="39" t="n">
        <f aca="false">MY_PH(AS$2,$A252)</f>
        <v>2015</v>
      </c>
    </row>
    <row r="253" customFormat="false" ht="13.8" hidden="false" customHeight="false" outlineLevel="0" collapsed="false">
      <c r="A253" s="0" t="n">
        <v>4130</v>
      </c>
      <c r="B253" s="39" t="n">
        <f aca="false">MY_PH(B$2,$A253)</f>
        <v>3.98776024992018E-005</v>
      </c>
      <c r="C253" s="39" t="n">
        <f aca="false">MY_PH(C$2,$A253)</f>
        <v>3.98776141832175E-005</v>
      </c>
      <c r="D253" s="39" t="n">
        <f aca="false">MY_PH(D$2,$A253)</f>
        <v>3.98776258672484E-005</v>
      </c>
      <c r="E253" s="39" t="n">
        <f aca="false">MY_PH(E$2,$A253)</f>
        <v>3.98776375512945E-005</v>
      </c>
      <c r="F253" s="39" t="n">
        <f aca="false">MY_PH(F$2,$A253)</f>
        <v>3.98776492353556E-005</v>
      </c>
      <c r="G253" s="39" t="n">
        <f aca="false">MY_PH(G$2,$A253)</f>
        <v>3.98777660768E-005</v>
      </c>
      <c r="H253" s="39" t="n">
        <f aca="false">MY_PH(H$2,$A253)</f>
        <v>3.98778829197578E-005</v>
      </c>
      <c r="I253" s="39" t="n">
        <f aca="false">MY_PH(I$2,$A253)</f>
        <v>3.98779997642293E-005</v>
      </c>
      <c r="J253" s="39" t="n">
        <f aca="false">MY_PH(J$2,$A253)</f>
        <v>3.98781166102143E-005</v>
      </c>
      <c r="K253" s="39" t="n">
        <f aca="false">MY_PH(K$2,$A253)</f>
        <v>3.98782334577128E-005</v>
      </c>
      <c r="L253" s="39" t="n">
        <f aca="false">MY_PH(L$2,$A253)</f>
        <v>3.98783503067248E-005</v>
      </c>
      <c r="M253" s="39" t="n">
        <f aca="false">MY_PH(M$2,$A253)</f>
        <v>3.98784671572502E-005</v>
      </c>
      <c r="N253" s="39" t="n">
        <f aca="false">MY_PH(N$2,$A253)</f>
        <v>3.98785840092891E-005</v>
      </c>
      <c r="O253" s="39" t="n">
        <f aca="false">MY_PH(O$2,$A253)</f>
        <v>3.98787008628412E-005</v>
      </c>
      <c r="P253" s="39" t="n">
        <f aca="false">MY_PH(P$2,$A253)</f>
        <v>3.98798694815909E-005</v>
      </c>
      <c r="Q253" s="39" t="n">
        <f aca="false">MY_PH(Q$2,$A253)</f>
        <v>3.98810382516401E-005</v>
      </c>
      <c r="R253" s="39" t="n">
        <f aca="false">MY_PH(R$2,$A253)</f>
        <v>3.98822071729548E-005</v>
      </c>
      <c r="S253" s="39" t="n">
        <f aca="false">MY_PH(S$2,$A253)</f>
        <v>3.98833762455012E-005</v>
      </c>
      <c r="T253" s="39" t="n">
        <f aca="false">MY_PH(T$2,$A253)</f>
        <v>3.98845454692452E-005</v>
      </c>
      <c r="U253" s="39" t="n">
        <f aca="false">MY_PH(U$2,$A253)</f>
        <v>3.98857148441531E-005</v>
      </c>
      <c r="V253" s="39" t="n">
        <f aca="false">MY_PH(V$2,$A253)</f>
        <v>3.98868843701907E-005</v>
      </c>
      <c r="W253" s="39" t="n">
        <f aca="false">MY_PH(W$2,$A253)</f>
        <v>3.98880540473242E-005</v>
      </c>
      <c r="X253" s="39" t="n">
        <f aca="false">MY_PH(X$2,$A253)</f>
        <v>3.98892238755198E-005</v>
      </c>
      <c r="Y253" s="39" t="n">
        <f aca="false">MY_PH(Y$2,$A253)</f>
        <v>3.99009304584212E-005</v>
      </c>
      <c r="Z253" s="39" t="n">
        <f aca="false">MY_PH(Z$2,$A253)</f>
        <v>3.9912652110214E-005</v>
      </c>
      <c r="AA253" s="39" t="n">
        <f aca="false">MY_PH(AA$2,$A253)</f>
        <v>3.99243887970003E-005</v>
      </c>
      <c r="AB253" s="39" t="n">
        <f aca="false">MY_PH(AB$2,$A253)</f>
        <v>3.99361404848989E-005</v>
      </c>
      <c r="AC253" s="39" t="n">
        <f aca="false">MY_PH(AC$2,$A253)</f>
        <v>3.99479071400457E-005</v>
      </c>
      <c r="AD253" s="39" t="n">
        <f aca="false">MY_PH(AD$2,$A253)</f>
        <v>3.99596887285928E-005</v>
      </c>
      <c r="AE253" s="39" t="n">
        <f aca="false">MY_PH(AE$2,$A253)</f>
        <v>3.99714852167092E-005</v>
      </c>
      <c r="AF253" s="39" t="n">
        <f aca="false">MY_PH(AF$2,$A253)</f>
        <v>3.99832965705798E-005</v>
      </c>
      <c r="AG253" s="39" t="n">
        <f aca="false">MY_PH(AG$2,$A253)</f>
        <v>3.99951227564057E-005</v>
      </c>
      <c r="AH253" s="39" t="n">
        <f aca="false">MY_PH(AH$2,$A253)</f>
        <v>4.01141929476562E-005</v>
      </c>
      <c r="AI253" s="39" t="n">
        <f aca="false">MY_PH(AI$2,$A253)</f>
        <v>4.02347092694113E-005</v>
      </c>
      <c r="AJ253" s="39" t="n">
        <f aca="false">MY_PH(AJ$2,$A253)</f>
        <v>4.03566455837298E-005</v>
      </c>
      <c r="AK253" s="39" t="n">
        <f aca="false">MY_PH(AK$2,$A253)</f>
        <v>4.04800732551779E-005</v>
      </c>
      <c r="AL253" s="39" t="n">
        <f aca="false">MY_PH(AL$2,$A253)</f>
        <v>4.0604813232616E-005</v>
      </c>
      <c r="AM253" s="39" t="n">
        <f aca="false">MY_PH(AM$2,$A253)</f>
        <v>4.07308505932751E-005</v>
      </c>
      <c r="AN253" s="39" t="n">
        <f aca="false">MY_PH(AN$2,$A253)</f>
        <v>4.08581738897265E-005</v>
      </c>
      <c r="AO253" s="39" t="n">
        <f aca="false">MY_PH(AO$2,$A253)</f>
        <v>4.0986722097824E-005</v>
      </c>
      <c r="AP253" s="39" t="n">
        <f aca="false">MY_PH(AP$2,$A253)</f>
        <v>2015</v>
      </c>
      <c r="AQ253" s="39" t="n">
        <f aca="false">MY_PH(AQ$2,$A253)</f>
        <v>2015</v>
      </c>
      <c r="AR253" s="39" t="n">
        <f aca="false">MY_PH(AR$2,$A253)</f>
        <v>2015</v>
      </c>
      <c r="AS253" s="39" t="n">
        <f aca="false">MY_PH(AS$2,$A253)</f>
        <v>2015</v>
      </c>
    </row>
    <row r="254" customFormat="false" ht="13.8" hidden="false" customHeight="false" outlineLevel="0" collapsed="false">
      <c r="A254" s="0" t="n">
        <v>4140</v>
      </c>
      <c r="B254" s="39" t="n">
        <f aca="false">MY_PH(B$2,$A254)</f>
        <v>4.00393261944609E-005</v>
      </c>
      <c r="C254" s="39" t="n">
        <f aca="false">MY_PH(C$2,$A254)</f>
        <v>4.00393377782451E-005</v>
      </c>
      <c r="D254" s="39" t="n">
        <f aca="false">MY_PH(D$2,$A254)</f>
        <v>4.00393493620442E-005</v>
      </c>
      <c r="E254" s="39" t="n">
        <f aca="false">MY_PH(E$2,$A254)</f>
        <v>4.00393609458584E-005</v>
      </c>
      <c r="F254" s="39" t="n">
        <f aca="false">MY_PH(F$2,$A254)</f>
        <v>4.00393725296876E-005</v>
      </c>
      <c r="G254" s="39" t="n">
        <f aca="false">MY_PH(G$2,$A254)</f>
        <v>4.00394883688055E-005</v>
      </c>
      <c r="H254" s="39" t="n">
        <f aca="false">MY_PH(H$2,$A254)</f>
        <v>4.00396042094249E-005</v>
      </c>
      <c r="I254" s="39" t="n">
        <f aca="false">MY_PH(I$2,$A254)</f>
        <v>4.00397200515459E-005</v>
      </c>
      <c r="J254" s="39" t="n">
        <f aca="false">MY_PH(J$2,$A254)</f>
        <v>4.00398358951683E-005</v>
      </c>
      <c r="K254" s="39" t="n">
        <f aca="false">MY_PH(K$2,$A254)</f>
        <v>4.00399517402922E-005</v>
      </c>
      <c r="L254" s="39" t="n">
        <f aca="false">MY_PH(L$2,$A254)</f>
        <v>4.00400675869175E-005</v>
      </c>
      <c r="M254" s="39" t="n">
        <f aca="false">MY_PH(M$2,$A254)</f>
        <v>4.00401834350442E-005</v>
      </c>
      <c r="N254" s="39" t="n">
        <f aca="false">MY_PH(N$2,$A254)</f>
        <v>4.00402992846723E-005</v>
      </c>
      <c r="O254" s="39" t="n">
        <f aca="false">MY_PH(O$2,$A254)</f>
        <v>4.00404151358016E-005</v>
      </c>
      <c r="P254" s="39" t="n">
        <f aca="false">MY_PH(P$2,$A254)</f>
        <v>4.00415737296603E-005</v>
      </c>
      <c r="Q254" s="39" t="n">
        <f aca="false">MY_PH(Q$2,$A254)</f>
        <v>4.0042732473614E-005</v>
      </c>
      <c r="R254" s="39" t="n">
        <f aca="false">MY_PH(R$2,$A254)</f>
        <v>4.00438913676293E-005</v>
      </c>
      <c r="S254" s="39" t="n">
        <f aca="false">MY_PH(S$2,$A254)</f>
        <v>4.00450504116728E-005</v>
      </c>
      <c r="T254" s="39" t="n">
        <f aca="false">MY_PH(T$2,$A254)</f>
        <v>4.00462096057112E-005</v>
      </c>
      <c r="U254" s="39" t="n">
        <f aca="false">MY_PH(U$2,$A254)</f>
        <v>4.00473689497109E-005</v>
      </c>
      <c r="V254" s="39" t="n">
        <f aca="false">MY_PH(V$2,$A254)</f>
        <v>4.00485284436386E-005</v>
      </c>
      <c r="W254" s="39" t="n">
        <f aca="false">MY_PH(W$2,$A254)</f>
        <v>4.00496880874609E-005</v>
      </c>
      <c r="X254" s="39" t="n">
        <f aca="false">MY_PH(X$2,$A254)</f>
        <v>4.00508478811444E-005</v>
      </c>
      <c r="Y254" s="39" t="n">
        <f aca="false">MY_PH(Y$2,$A254)</f>
        <v>4.00624540529994E-005</v>
      </c>
      <c r="Z254" s="39" t="n">
        <f aca="false">MY_PH(Z$2,$A254)</f>
        <v>4.00740751742499E-005</v>
      </c>
      <c r="AA254" s="39" t="n">
        <f aca="false">MY_PH(AA$2,$A254)</f>
        <v>4.00857112115254E-005</v>
      </c>
      <c r="AB254" s="39" t="n">
        <f aca="false">MY_PH(AB$2,$A254)</f>
        <v>4.00973621314717E-005</v>
      </c>
      <c r="AC254" s="39" t="n">
        <f aca="false">MY_PH(AC$2,$A254)</f>
        <v>4.01090279007503E-005</v>
      </c>
      <c r="AD254" s="39" t="n">
        <f aca="false">MY_PH(AD$2,$A254)</f>
        <v>4.01207084860383E-005</v>
      </c>
      <c r="AE254" s="39" t="n">
        <f aca="false">MY_PH(AE$2,$A254)</f>
        <v>4.01324038540285E-005</v>
      </c>
      <c r="AF254" s="39" t="n">
        <f aca="false">MY_PH(AF$2,$A254)</f>
        <v>4.01441139714288E-005</v>
      </c>
      <c r="AG254" s="39" t="n">
        <f aca="false">MY_PH(AG$2,$A254)</f>
        <v>4.01558388049625E-005</v>
      </c>
      <c r="AH254" s="39" t="n">
        <f aca="false">MY_PH(AH$2,$A254)</f>
        <v>4.02738892173242E-005</v>
      </c>
      <c r="AI254" s="39" t="n">
        <f aca="false">MY_PH(AI$2,$A254)</f>
        <v>4.03933747460462E-005</v>
      </c>
      <c r="AJ254" s="39" t="n">
        <f aca="false">MY_PH(AJ$2,$A254)</f>
        <v>4.05142611497386E-005</v>
      </c>
      <c r="AK254" s="39" t="n">
        <f aca="false">MY_PH(AK$2,$A254)</f>
        <v>4.06367508109187E-005</v>
      </c>
      <c r="AL254" s="39" t="n">
        <f aca="false">MY_PH(AL$2,$A254)</f>
        <v>4.07604759021626E-005</v>
      </c>
      <c r="AM254" s="39" t="n">
        <f aca="false">MY_PH(AM$2,$A254)</f>
        <v>4.08855090414934E-005</v>
      </c>
      <c r="AN254" s="39" t="n">
        <f aca="false">MY_PH(AN$2,$A254)</f>
        <v>4.10118050761605E-005</v>
      </c>
      <c r="AO254" s="39" t="n">
        <f aca="false">MY_PH(AO$2,$A254)</f>
        <v>4.11393186048955E-005</v>
      </c>
      <c r="AP254" s="39" t="n">
        <f aca="false">MY_PH(AP$2,$A254)</f>
        <v>2015</v>
      </c>
      <c r="AQ254" s="39" t="n">
        <f aca="false">MY_PH(AQ$2,$A254)</f>
        <v>2015</v>
      </c>
      <c r="AR254" s="39" t="n">
        <f aca="false">MY_PH(AR$2,$A254)</f>
        <v>2015</v>
      </c>
      <c r="AS254" s="39" t="n">
        <f aca="false">MY_PH(AS$2,$A254)</f>
        <v>2015</v>
      </c>
    </row>
    <row r="255" customFormat="false" ht="13.8" hidden="false" customHeight="false" outlineLevel="0" collapsed="false">
      <c r="A255" s="0" t="n">
        <v>4150</v>
      </c>
      <c r="B255" s="39" t="n">
        <f aca="false">MY_PH(B$2,$A255)</f>
        <v>4.02006237001578E-005</v>
      </c>
      <c r="C255" s="39" t="n">
        <f aca="false">MY_PH(C$2,$A255)</f>
        <v>4.02006351846347E-005</v>
      </c>
      <c r="D255" s="39" t="n">
        <f aca="false">MY_PH(D$2,$A255)</f>
        <v>4.02006466691265E-005</v>
      </c>
      <c r="E255" s="39" t="n">
        <f aca="false">MY_PH(E$2,$A255)</f>
        <v>4.02006581536332E-005</v>
      </c>
      <c r="F255" s="39" t="n">
        <f aca="false">MY_PH(F$2,$A255)</f>
        <v>4.02006696381548E-005</v>
      </c>
      <c r="G255" s="39" t="n">
        <f aca="false">MY_PH(G$2,$A255)</f>
        <v>4.02007844841898E-005</v>
      </c>
      <c r="H255" s="39" t="n">
        <f aca="false">MY_PH(H$2,$A255)</f>
        <v>4.02008993317137E-005</v>
      </c>
      <c r="I255" s="39" t="n">
        <f aca="false">MY_PH(I$2,$A255)</f>
        <v>4.02010141807265E-005</v>
      </c>
      <c r="J255" s="39" t="n">
        <f aca="false">MY_PH(J$2,$A255)</f>
        <v>4.02011290312283E-005</v>
      </c>
      <c r="K255" s="39" t="n">
        <f aca="false">MY_PH(K$2,$A255)</f>
        <v>4.02012438832188E-005</v>
      </c>
      <c r="L255" s="39" t="n">
        <f aca="false">MY_PH(L$2,$A255)</f>
        <v>4.02013587366982E-005</v>
      </c>
      <c r="M255" s="39" t="n">
        <f aca="false">MY_PH(M$2,$A255)</f>
        <v>4.02014735916664E-005</v>
      </c>
      <c r="N255" s="39" t="n">
        <f aca="false">MY_PH(N$2,$A255)</f>
        <v>4.02015884481234E-005</v>
      </c>
      <c r="O255" s="39" t="n">
        <f aca="false">MY_PH(O$2,$A255)</f>
        <v>4.02017033060691E-005</v>
      </c>
      <c r="P255" s="39" t="n">
        <f aca="false">MY_PH(P$2,$A255)</f>
        <v>4.02028519673986E-005</v>
      </c>
      <c r="Q255" s="39" t="n">
        <f aca="false">MY_PH(Q$2,$A255)</f>
        <v>4.02040007775646E-005</v>
      </c>
      <c r="R255" s="39" t="n">
        <f aca="false">MY_PH(R$2,$A255)</f>
        <v>4.0205149736534E-005</v>
      </c>
      <c r="S255" s="39" t="n">
        <f aca="false">MY_PH(S$2,$A255)</f>
        <v>4.02062988442741E-005</v>
      </c>
      <c r="T255" s="39" t="n">
        <f aca="false">MY_PH(T$2,$A255)</f>
        <v>4.02074481007519E-005</v>
      </c>
      <c r="U255" s="39" t="n">
        <f aca="false">MY_PH(U$2,$A255)</f>
        <v>4.02085975059345E-005</v>
      </c>
      <c r="V255" s="39" t="n">
        <f aca="false">MY_PH(V$2,$A255)</f>
        <v>4.0209747059789E-005</v>
      </c>
      <c r="W255" s="39" t="n">
        <f aca="false">MY_PH(W$2,$A255)</f>
        <v>4.02108967622826E-005</v>
      </c>
      <c r="X255" s="39" t="n">
        <f aca="false">MY_PH(X$2,$A255)</f>
        <v>4.02120466133823E-005</v>
      </c>
      <c r="Y255" s="39" t="n">
        <f aca="false">MY_PH(Y$2,$A255)</f>
        <v>4.02235532904824E-005</v>
      </c>
      <c r="Z255" s="39" t="n">
        <f aca="false">MY_PH(Z$2,$A255)</f>
        <v>4.02350747920289E-005</v>
      </c>
      <c r="AA255" s="39" t="n">
        <f aca="false">MY_PH(AA$2,$A255)</f>
        <v>4.02466110851566E-005</v>
      </c>
      <c r="AB255" s="39" t="n">
        <f aca="false">MY_PH(AB$2,$A255)</f>
        <v>4.02581621370158E-005</v>
      </c>
      <c r="AC255" s="39" t="n">
        <f aca="false">MY_PH(AC$2,$A255)</f>
        <v>4.02697279147716E-005</v>
      </c>
      <c r="AD255" s="39" t="n">
        <f aca="false">MY_PH(AD$2,$A255)</f>
        <v>4.02813083856042E-005</v>
      </c>
      <c r="AE255" s="39" t="n">
        <f aca="false">MY_PH(AE$2,$A255)</f>
        <v>4.02929035167083E-005</v>
      </c>
      <c r="AF255" s="39" t="n">
        <f aca="false">MY_PH(AF$2,$A255)</f>
        <v>4.03045132752933E-005</v>
      </c>
      <c r="AG255" s="39" t="n">
        <f aca="false">MY_PH(AG$2,$A255)</f>
        <v>4.03161376285831E-005</v>
      </c>
      <c r="AH255" s="39" t="n">
        <f aca="false">MY_PH(AH$2,$A255)</f>
        <v>4.04331766695557E-005</v>
      </c>
      <c r="AI255" s="39" t="n">
        <f aca="false">MY_PH(AI$2,$A255)</f>
        <v>4.05517039842137E-005</v>
      </c>
      <c r="AJ255" s="39" t="n">
        <f aca="false">MY_PH(AJ$2,$A255)</f>
        <v>4.0671687860931E-005</v>
      </c>
      <c r="AK255" s="39" t="n">
        <f aca="false">MY_PH(AK$2,$A255)</f>
        <v>4.0793063995731E-005</v>
      </c>
      <c r="AL255" s="39" t="n">
        <f aca="false">MY_PH(AL$2,$A255)</f>
        <v>4.09157860788516E-005</v>
      </c>
      <c r="AM255" s="39" t="n">
        <f aca="false">MY_PH(AM$2,$A255)</f>
        <v>4.10398083022667E-005</v>
      </c>
      <c r="AN255" s="39" t="n">
        <f aca="false">MY_PH(AN$2,$A255)</f>
        <v>4.11650859854618E-005</v>
      </c>
      <c r="AO255" s="39" t="n">
        <f aca="false">MY_PH(AO$2,$A255)</f>
        <v>4.12915738680423E-005</v>
      </c>
      <c r="AP255" s="39" t="n">
        <f aca="false">MY_PH(AP$2,$A255)</f>
        <v>2015</v>
      </c>
      <c r="AQ255" s="39" t="n">
        <f aca="false">MY_PH(AQ$2,$A255)</f>
        <v>2015</v>
      </c>
      <c r="AR255" s="39" t="n">
        <f aca="false">MY_PH(AR$2,$A255)</f>
        <v>2015</v>
      </c>
      <c r="AS255" s="39" t="n">
        <f aca="false">MY_PH(AS$2,$A255)</f>
        <v>2015</v>
      </c>
    </row>
    <row r="256" customFormat="false" ht="13.8" hidden="false" customHeight="false" outlineLevel="0" collapsed="false">
      <c r="A256" s="0" t="n">
        <v>4160</v>
      </c>
      <c r="B256" s="39" t="n">
        <f aca="false">MY_PH(B$2,$A256)</f>
        <v>4.03614967222294E-005</v>
      </c>
      <c r="C256" s="39" t="n">
        <f aca="false">MY_PH(C$2,$A256)</f>
        <v>4.03615081082894E-005</v>
      </c>
      <c r="D256" s="39" t="n">
        <f aca="false">MY_PH(D$2,$A256)</f>
        <v>4.03615194943641E-005</v>
      </c>
      <c r="E256" s="39" t="n">
        <f aca="false">MY_PH(E$2,$A256)</f>
        <v>4.03615308804536E-005</v>
      </c>
      <c r="F256" s="39" t="n">
        <f aca="false">MY_PH(F$2,$A256)</f>
        <v>4.03615422665578E-005</v>
      </c>
      <c r="G256" s="39" t="n">
        <f aca="false">MY_PH(G$2,$A256)</f>
        <v>4.03616561284121E-005</v>
      </c>
      <c r="H256" s="39" t="n">
        <f aca="false">MY_PH(H$2,$A256)</f>
        <v>4.03617699917422E-005</v>
      </c>
      <c r="I256" s="39" t="n">
        <f aca="false">MY_PH(I$2,$A256)</f>
        <v>4.0361883856548E-005</v>
      </c>
      <c r="J256" s="39" t="n">
        <f aca="false">MY_PH(J$2,$A256)</f>
        <v>4.03619977228296E-005</v>
      </c>
      <c r="K256" s="39" t="n">
        <f aca="false">MY_PH(K$2,$A256)</f>
        <v>4.03621115905869E-005</v>
      </c>
      <c r="L256" s="39" t="n">
        <f aca="false">MY_PH(L$2,$A256)</f>
        <v>4.03622254598198E-005</v>
      </c>
      <c r="M256" s="39" t="n">
        <f aca="false">MY_PH(M$2,$A256)</f>
        <v>4.03623393305284E-005</v>
      </c>
      <c r="N256" s="39" t="n">
        <f aca="false">MY_PH(N$2,$A256)</f>
        <v>4.03624532027126E-005</v>
      </c>
      <c r="O256" s="39" t="n">
        <f aca="false">MY_PH(O$2,$A256)</f>
        <v>4.03625670763724E-005</v>
      </c>
      <c r="P256" s="39" t="n">
        <f aca="false">MY_PH(P$2,$A256)</f>
        <v>4.03637058941198E-005</v>
      </c>
      <c r="Q256" s="39" t="n">
        <f aca="false">MY_PH(Q$2,$A256)</f>
        <v>4.03648448593893E-005</v>
      </c>
      <c r="R256" s="39" t="n">
        <f aca="false">MY_PH(R$2,$A256)</f>
        <v>4.03659839721483E-005</v>
      </c>
      <c r="S256" s="39" t="n">
        <f aca="false">MY_PH(S$2,$A256)</f>
        <v>4.03671232323645E-005</v>
      </c>
      <c r="T256" s="39" t="n">
        <f aca="false">MY_PH(T$2,$A256)</f>
        <v>4.03682626400055E-005</v>
      </c>
      <c r="U256" s="39" t="n">
        <f aca="false">MY_PH(U$2,$A256)</f>
        <v>4.03694021950389E-005</v>
      </c>
      <c r="V256" s="39" t="n">
        <f aca="false">MY_PH(V$2,$A256)</f>
        <v>4.03705418974322E-005</v>
      </c>
      <c r="W256" s="39" t="n">
        <f aca="false">MY_PH(W$2,$A256)</f>
        <v>4.0371681747153E-005</v>
      </c>
      <c r="X256" s="39" t="n">
        <f aca="false">MY_PH(X$2,$A256)</f>
        <v>4.03728217441691E-005</v>
      </c>
      <c r="Y256" s="39" t="n">
        <f aca="false">MY_PH(Y$2,$A256)</f>
        <v>4.03841374860723E-005</v>
      </c>
      <c r="Z256" s="39" t="n">
        <f aca="false">MY_PH(Z$2,$A256)</f>
        <v>4.0395556720656E-005</v>
      </c>
      <c r="AA256" s="39" t="n">
        <f aca="false">MY_PH(AA$2,$A256)</f>
        <v>4.04069916426559E-005</v>
      </c>
      <c r="AB256" s="39" t="n">
        <f aca="false">MY_PH(AB$2,$A256)</f>
        <v>4.04184418838915E-005</v>
      </c>
      <c r="AC256" s="39" t="n">
        <f aca="false">MY_PH(AC$2,$A256)</f>
        <v>4.0429907748841E-005</v>
      </c>
      <c r="AD256" s="39" t="n">
        <f aca="false">MY_PH(AD$2,$A256)</f>
        <v>4.04413888693864E-005</v>
      </c>
      <c r="AE256" s="39" t="n">
        <f aca="false">MY_PH(AE$2,$A256)</f>
        <v>4.04528853818392E-005</v>
      </c>
      <c r="AF256" s="39" t="n">
        <f aca="false">MY_PH(AF$2,$A256)</f>
        <v>4.0464397422443E-005</v>
      </c>
      <c r="AG256" s="39" t="n">
        <f aca="false">MY_PH(AG$2,$A256)</f>
        <v>4.04759244551043E-005</v>
      </c>
      <c r="AH256" s="39" t="n">
        <f aca="false">MY_PH(AH$2,$A256)</f>
        <v>4.05920266297808E-005</v>
      </c>
      <c r="AI256" s="39" t="n">
        <f aca="false">MY_PH(AI$2,$A256)</f>
        <v>4.07096044287756E-005</v>
      </c>
      <c r="AJ256" s="39" t="n">
        <f aca="false">MY_PH(AJ$2,$A256)</f>
        <v>4.0828611536023E-005</v>
      </c>
      <c r="AK256" s="39" t="n">
        <f aca="false">MY_PH(AK$2,$A256)</f>
        <v>4.0949001555274E-005</v>
      </c>
      <c r="AL256" s="39" t="n">
        <f aca="false">MY_PH(AL$2,$A256)</f>
        <v>4.1070728969422E-005</v>
      </c>
      <c r="AM256" s="39" t="n">
        <f aca="false">MY_PH(AM$2,$A256)</f>
        <v>4.11937487608964E-005</v>
      </c>
      <c r="AN256" s="39" t="n">
        <f aca="false">MY_PH(AN$2,$A256)</f>
        <v>4.13180167038555E-005</v>
      </c>
      <c r="AO256" s="39" t="n">
        <f aca="false">MY_PH(AO$2,$A256)</f>
        <v>4.1443488327051E-005</v>
      </c>
      <c r="AP256" s="39" t="n">
        <f aca="false">MY_PH(AP$2,$A256)</f>
        <v>2015</v>
      </c>
      <c r="AQ256" s="39" t="n">
        <f aca="false">MY_PH(AQ$2,$A256)</f>
        <v>2015</v>
      </c>
      <c r="AR256" s="39" t="n">
        <f aca="false">MY_PH(AR$2,$A256)</f>
        <v>2015</v>
      </c>
      <c r="AS256" s="39" t="n">
        <f aca="false">MY_PH(AS$2,$A256)</f>
        <v>2015</v>
      </c>
    </row>
    <row r="257" customFormat="false" ht="13.8" hidden="false" customHeight="false" outlineLevel="0" collapsed="false">
      <c r="A257" s="0" t="n">
        <v>4170</v>
      </c>
      <c r="B257" s="39" t="n">
        <f aca="false">MY_PH(B$2,$A257)</f>
        <v>4.0521772938128E-005</v>
      </c>
      <c r="C257" s="39" t="n">
        <f aca="false">MY_PH(C$2,$A257)</f>
        <v>4.05217841094892E-005</v>
      </c>
      <c r="D257" s="39" t="n">
        <f aca="false">MY_PH(D$2,$A257)</f>
        <v>4.05217952808697E-005</v>
      </c>
      <c r="E257" s="39" t="n">
        <f aca="false">MY_PH(E$2,$A257)</f>
        <v>4.05218067882693E-005</v>
      </c>
      <c r="F257" s="39" t="n">
        <f aca="false">MY_PH(F$2,$A257)</f>
        <v>4.05218179596884E-005</v>
      </c>
      <c r="G257" s="39" t="n">
        <f aca="false">MY_PH(G$2,$A257)</f>
        <v>4.05219310189397E-005</v>
      </c>
      <c r="H257" s="39" t="n">
        <f aca="false">MY_PH(H$2,$A257)</f>
        <v>4.05220437441213E-005</v>
      </c>
      <c r="I257" s="39" t="n">
        <f aca="false">MY_PH(I$2,$A257)</f>
        <v>4.05221564712331E-005</v>
      </c>
      <c r="J257" s="39" t="n">
        <f aca="false">MY_PH(J$2,$A257)</f>
        <v>4.05222695362733E-005</v>
      </c>
      <c r="K257" s="39" t="n">
        <f aca="false">MY_PH(K$2,$A257)</f>
        <v>4.05223822672448E-005</v>
      </c>
      <c r="L257" s="39" t="n">
        <f aca="false">MY_PH(L$2,$A257)</f>
        <v>4.0522495336144E-005</v>
      </c>
      <c r="M257" s="39" t="n">
        <f aca="false">MY_PH(M$2,$A257)</f>
        <v>4.0522608070975E-005</v>
      </c>
      <c r="N257" s="39" t="n">
        <f aca="false">MY_PH(N$2,$A257)</f>
        <v>4.05227211437332E-005</v>
      </c>
      <c r="O257" s="39" t="n">
        <f aca="false">MY_PH(O$2,$A257)</f>
        <v>4.05228338824237E-005</v>
      </c>
      <c r="P257" s="39" t="n">
        <f aca="false">MY_PH(P$2,$A257)</f>
        <v>4.05239627194394E-005</v>
      </c>
      <c r="Q257" s="39" t="n">
        <f aca="false">MY_PH(Q$2,$A257)</f>
        <v>4.05250917493812E-005</v>
      </c>
      <c r="R257" s="39" t="n">
        <f aca="false">MY_PH(R$2,$A257)</f>
        <v>4.05262209722166E-005</v>
      </c>
      <c r="S257" s="39" t="n">
        <f aca="false">MY_PH(S$2,$A257)</f>
        <v>4.05273503879132E-005</v>
      </c>
      <c r="T257" s="39" t="n">
        <f aca="false">MY_PH(T$2,$A257)</f>
        <v>4.05284799964385E-005</v>
      </c>
      <c r="U257" s="39" t="n">
        <f aca="false">MY_PH(U$2,$A257)</f>
        <v>4.052960979776E-005</v>
      </c>
      <c r="V257" s="39" t="n">
        <f aca="false">MY_PH(V$2,$A257)</f>
        <v>4.05307394558702E-005</v>
      </c>
      <c r="W257" s="39" t="n">
        <f aca="false">MY_PH(W$2,$A257)</f>
        <v>4.05318696426898E-005</v>
      </c>
      <c r="X257" s="39" t="n">
        <f aca="false">MY_PH(X$2,$A257)</f>
        <v>4.05329996862395E-005</v>
      </c>
      <c r="Y257" s="39" t="n">
        <f aca="false">MY_PH(Y$2,$A257)</f>
        <v>4.05443097055593E-005</v>
      </c>
      <c r="Z257" s="39" t="n">
        <f aca="false">MY_PH(Z$2,$A257)</f>
        <v>4.05556352648881E-005</v>
      </c>
      <c r="AA257" s="39" t="n">
        <f aca="false">MY_PH(AA$2,$A257)</f>
        <v>4.05669763327883E-005</v>
      </c>
      <c r="AB257" s="39" t="n">
        <f aca="false">MY_PH(AB$2,$A257)</f>
        <v>4.05783328778218E-005</v>
      </c>
      <c r="AC257" s="39" t="n">
        <f aca="false">MY_PH(AC$2,$A257)</f>
        <v>4.05897045327433E-005</v>
      </c>
      <c r="AD257" s="39" t="n">
        <f aca="false">MY_PH(AD$2,$A257)</f>
        <v>4.06010916019847E-005</v>
      </c>
      <c r="AE257" s="39" t="n">
        <f aca="false">MY_PH(AE$2,$A257)</f>
        <v>4.06124940541029E-005</v>
      </c>
      <c r="AF257" s="39" t="n">
        <f aca="false">MY_PH(AF$2,$A257)</f>
        <v>4.06239118576513E-005</v>
      </c>
      <c r="AG257" s="39" t="n">
        <f aca="false">MY_PH(AG$2,$A257)</f>
        <v>4.06353446455111E-005</v>
      </c>
      <c r="AH257" s="39" t="n">
        <f aca="false">MY_PH(AH$2,$A257)</f>
        <v>4.07504968033901E-005</v>
      </c>
      <c r="AI257" s="39" t="n">
        <f aca="false">MY_PH(AI$2,$A257)</f>
        <v>4.08671145273455E-005</v>
      </c>
      <c r="AJ257" s="39" t="n">
        <f aca="false">MY_PH(AJ$2,$A257)</f>
        <v>4.09851519428208E-005</v>
      </c>
      <c r="AK257" s="39" t="n">
        <f aca="false">MY_PH(AK$2,$A257)</f>
        <v>4.1104563762944E-005</v>
      </c>
      <c r="AL257" s="39" t="n">
        <f aca="false">MY_PH(AL$2,$A257)</f>
        <v>4.12253045748321E-005</v>
      </c>
      <c r="AM257" s="39" t="n">
        <f aca="false">MY_PH(AM$2,$A257)</f>
        <v>4.13473304660083E-005</v>
      </c>
      <c r="AN257" s="39" t="n">
        <f aca="false">MY_PH(AN$2,$A257)</f>
        <v>4.14705976467641E-005</v>
      </c>
      <c r="AO257" s="39" t="n">
        <f aca="false">MY_PH(AO$2,$A257)</f>
        <v>4.15950620840047E-005</v>
      </c>
      <c r="AP257" s="39" t="n">
        <f aca="false">MY_PH(AP$2,$A257)</f>
        <v>2015</v>
      </c>
      <c r="AQ257" s="39" t="n">
        <f aca="false">MY_PH(AQ$2,$A257)</f>
        <v>2015</v>
      </c>
      <c r="AR257" s="39" t="n">
        <f aca="false">MY_PH(AR$2,$A257)</f>
        <v>2015</v>
      </c>
      <c r="AS257" s="39" t="n">
        <f aca="false">MY_PH(AS$2,$A257)</f>
        <v>2015</v>
      </c>
    </row>
    <row r="258" customFormat="false" ht="13.8" hidden="false" customHeight="false" outlineLevel="0" collapsed="false">
      <c r="A258" s="0" t="n">
        <v>4180</v>
      </c>
      <c r="B258" s="39" t="n">
        <f aca="false">MY_PH(B$2,$A258)</f>
        <v>4.06817222493946E-005</v>
      </c>
      <c r="C258" s="39" t="n">
        <f aca="false">MY_PH(C$2,$A258)</f>
        <v>4.0681733405692E-005</v>
      </c>
      <c r="D258" s="39" t="n">
        <f aca="false">MY_PH(D$2,$A258)</f>
        <v>4.06817445620086E-005</v>
      </c>
      <c r="E258" s="39" t="n">
        <f aca="false">MY_PH(E$2,$A258)</f>
        <v>4.06817557183443E-005</v>
      </c>
      <c r="F258" s="39" t="n">
        <f aca="false">MY_PH(F$2,$A258)</f>
        <v>4.06817668746992E-005</v>
      </c>
      <c r="G258" s="39" t="n">
        <f aca="false">MY_PH(G$2,$A258)</f>
        <v>4.06818787748474E-005</v>
      </c>
      <c r="H258" s="39" t="n">
        <f aca="false">MY_PH(H$2,$A258)</f>
        <v>4.06819906769076E-005</v>
      </c>
      <c r="I258" s="39" t="n">
        <f aca="false">MY_PH(I$2,$A258)</f>
        <v>4.06821025808797E-005</v>
      </c>
      <c r="J258" s="39" t="n">
        <f aca="false">MY_PH(J$2,$A258)</f>
        <v>4.0682214654537E-005</v>
      </c>
      <c r="K258" s="39" t="n">
        <f aca="false">MY_PH(K$2,$A258)</f>
        <v>4.06823267301059E-005</v>
      </c>
      <c r="L258" s="39" t="n">
        <f aca="false">MY_PH(L$2,$A258)</f>
        <v>4.06824386398134E-005</v>
      </c>
      <c r="M258" s="39" t="n">
        <f aca="false">MY_PH(M$2,$A258)</f>
        <v>4.06825505514326E-005</v>
      </c>
      <c r="N258" s="39" t="n">
        <f aca="false">MY_PH(N$2,$A258)</f>
        <v>4.06826624649636E-005</v>
      </c>
      <c r="O258" s="39" t="n">
        <f aca="false">MY_PH(O$2,$A258)</f>
        <v>4.06827743804064E-005</v>
      </c>
      <c r="P258" s="39" t="n">
        <f aca="false">MY_PH(P$2,$A258)</f>
        <v>4.06838939755152E-005</v>
      </c>
      <c r="Q258" s="39" t="n">
        <f aca="false">MY_PH(Q$2,$A258)</f>
        <v>4.06850137617574E-005</v>
      </c>
      <c r="R258" s="39" t="n">
        <f aca="false">MY_PH(R$2,$A258)</f>
        <v>4.06861337391009E-005</v>
      </c>
      <c r="S258" s="39" t="n">
        <f aca="false">MY_PH(S$2,$A258)</f>
        <v>4.06872539075135E-005</v>
      </c>
      <c r="T258" s="39" t="n">
        <f aca="false">MY_PH(T$2,$A258)</f>
        <v>4.06883742669633E-005</v>
      </c>
      <c r="U258" s="39" t="n">
        <f aca="false">MY_PH(U$2,$A258)</f>
        <v>4.06894944818926E-005</v>
      </c>
      <c r="V258" s="39" t="n">
        <f aca="false">MY_PH(V$2,$A258)</f>
        <v>4.06906152233236E-005</v>
      </c>
      <c r="W258" s="39" t="n">
        <f aca="false">MY_PH(W$2,$A258)</f>
        <v>4.06917358201764E-005</v>
      </c>
      <c r="X258" s="39" t="n">
        <f aca="false">MY_PH(X$2,$A258)</f>
        <v>4.06928566079445E-005</v>
      </c>
      <c r="Y258" s="39" t="n">
        <f aca="false">MY_PH(Y$2,$A258)</f>
        <v>4.07040739724566E-005</v>
      </c>
      <c r="Z258" s="39" t="n">
        <f aca="false">MY_PH(Z$2,$A258)</f>
        <v>4.07153063679893E-005</v>
      </c>
      <c r="AA258" s="39" t="n">
        <f aca="false">MY_PH(AA$2,$A258)</f>
        <v>4.07265544344622E-005</v>
      </c>
      <c r="AB258" s="39" t="n">
        <f aca="false">MY_PH(AB$2,$A258)</f>
        <v>4.07378174699989E-005</v>
      </c>
      <c r="AC258" s="39" t="n">
        <f aca="false">MY_PH(AC$2,$A258)</f>
        <v>4.0749096114382E-005</v>
      </c>
      <c r="AD258" s="39" t="n">
        <f aca="false">MY_PH(AD$2,$A258)</f>
        <v>4.07603896658686E-005</v>
      </c>
      <c r="AE258" s="39" t="n">
        <f aca="false">MY_PH(AE$2,$A258)</f>
        <v>4.07716984288222E-005</v>
      </c>
      <c r="AF258" s="39" t="n">
        <f aca="false">MY_PH(AF$2,$A258)</f>
        <v>4.07830223722216E-005</v>
      </c>
      <c r="AG258" s="39" t="n">
        <f aca="false">MY_PH(AG$2,$A258)</f>
        <v>4.07943614650418E-005</v>
      </c>
      <c r="AH258" s="39" t="n">
        <f aca="false">MY_PH(AH$2,$A258)</f>
        <v>4.09085704110042E-005</v>
      </c>
      <c r="AI258" s="39" t="n">
        <f aca="false">MY_PH(AI$2,$A258)</f>
        <v>4.10242350557241E-005</v>
      </c>
      <c r="AJ258" s="39" t="n">
        <f aca="false">MY_PH(AJ$2,$A258)</f>
        <v>4.11413102823596E-005</v>
      </c>
      <c r="AK258" s="39" t="n">
        <f aca="false">MY_PH(AK$2,$A258)</f>
        <v>4.12597515592797E-005</v>
      </c>
      <c r="AL258" s="39" t="n">
        <f aca="false">MY_PH(AL$2,$A258)</f>
        <v>4.13795138948772E-005</v>
      </c>
      <c r="AM258" s="39" t="n">
        <f aca="false">MY_PH(AM$2,$A258)</f>
        <v>4.15005541292949E-005</v>
      </c>
      <c r="AN258" s="39" t="n">
        <f aca="false">MY_PH(AN$2,$A258)</f>
        <v>4.16228288928771E-005</v>
      </c>
      <c r="AO258" s="39" t="n">
        <f aca="false">MY_PH(AO$2,$A258)</f>
        <v>4.17462952372033E-005</v>
      </c>
      <c r="AP258" s="39" t="n">
        <f aca="false">MY_PH(AP$2,$A258)</f>
        <v>2015</v>
      </c>
      <c r="AQ258" s="39" t="n">
        <f aca="false">MY_PH(AQ$2,$A258)</f>
        <v>2015</v>
      </c>
      <c r="AR258" s="39" t="n">
        <f aca="false">MY_PH(AR$2,$A258)</f>
        <v>2015</v>
      </c>
      <c r="AS258" s="39" t="n">
        <f aca="false">MY_PH(AS$2,$A258)</f>
        <v>2015</v>
      </c>
    </row>
    <row r="259" customFormat="false" ht="13.8" hidden="false" customHeight="false" outlineLevel="0" collapsed="false">
      <c r="A259" s="0" t="n">
        <v>4190</v>
      </c>
      <c r="B259" s="39" t="n">
        <f aca="false">MY_PH(B$2,$A259)</f>
        <v>4.08412633512288E-005</v>
      </c>
      <c r="C259" s="39" t="n">
        <f aca="false">MY_PH(C$2,$A259)</f>
        <v>4.08412744917606E-005</v>
      </c>
      <c r="D259" s="39" t="n">
        <f aca="false">MY_PH(D$2,$A259)</f>
        <v>4.08412856323113E-005</v>
      </c>
      <c r="E259" s="39" t="n">
        <f aca="false">MY_PH(E$2,$A259)</f>
        <v>4.08412967728809E-005</v>
      </c>
      <c r="F259" s="39" t="n">
        <f aca="false">MY_PH(F$2,$A259)</f>
        <v>4.08413079134695E-005</v>
      </c>
      <c r="G259" s="39" t="n">
        <f aca="false">MY_PH(G$2,$A259)</f>
        <v>4.0841418650204E-005</v>
      </c>
      <c r="H259" s="39" t="n">
        <f aca="false">MY_PH(H$2,$A259)</f>
        <v>4.08415297239296E-005</v>
      </c>
      <c r="I259" s="39" t="n">
        <f aca="false">MY_PH(I$2,$A259)</f>
        <v>4.08416407995497E-005</v>
      </c>
      <c r="J259" s="39" t="n">
        <f aca="false">MY_PH(J$2,$A259)</f>
        <v>4.08417518770642E-005</v>
      </c>
      <c r="K259" s="39" t="n">
        <f aca="false">MY_PH(K$2,$A259)</f>
        <v>4.08418629564729E-005</v>
      </c>
      <c r="L259" s="39" t="n">
        <f aca="false">MY_PH(L$2,$A259)</f>
        <v>4.0841974037776E-005</v>
      </c>
      <c r="M259" s="39" t="n">
        <f aca="false">MY_PH(M$2,$A259)</f>
        <v>4.08420847858789E-005</v>
      </c>
      <c r="N259" s="39" t="n">
        <f aca="false">MY_PH(N$2,$A259)</f>
        <v>4.08421958709708E-005</v>
      </c>
      <c r="O259" s="39" t="n">
        <f aca="false">MY_PH(O$2,$A259)</f>
        <v>4.0842306957957E-005</v>
      </c>
      <c r="P259" s="39" t="n">
        <f aca="false">MY_PH(P$2,$A259)</f>
        <v>4.08434172618119E-005</v>
      </c>
      <c r="Q259" s="39" t="n">
        <f aca="false">MY_PH(Q$2,$A259)</f>
        <v>4.08445280901531E-005</v>
      </c>
      <c r="R259" s="39" t="n">
        <f aca="false">MY_PH(R$2,$A259)</f>
        <v>4.08456387727716E-005</v>
      </c>
      <c r="S259" s="39" t="n">
        <f aca="false">MY_PH(S$2,$A259)</f>
        <v>4.08467496447259E-005</v>
      </c>
      <c r="T259" s="39" t="n">
        <f aca="false">MY_PH(T$2,$A259)</f>
        <v>4.08478607059844E-005</v>
      </c>
      <c r="U259" s="39" t="n">
        <f aca="false">MY_PH(U$2,$A259)</f>
        <v>4.08489717889785E-005</v>
      </c>
      <c r="V259" s="39" t="n">
        <f aca="false">MY_PH(V$2,$A259)</f>
        <v>4.08500830612168E-005</v>
      </c>
      <c r="W259" s="39" t="n">
        <f aca="false">MY_PH(W$2,$A259)</f>
        <v>4.08511946902007E-005</v>
      </c>
      <c r="X259" s="39" t="n">
        <f aca="false">MY_PH(X$2,$A259)</f>
        <v>4.08523061732987E-005</v>
      </c>
      <c r="Y259" s="39" t="n">
        <f aca="false">MY_PH(Y$2,$A259)</f>
        <v>4.08634310673917E-005</v>
      </c>
      <c r="Z259" s="39" t="n">
        <f aca="false">MY_PH(Z$2,$A259)</f>
        <v>4.08745711601114E-005</v>
      </c>
      <c r="AA259" s="39" t="n">
        <f aca="false">MY_PH(AA$2,$A259)</f>
        <v>4.08857267558136E-005</v>
      </c>
      <c r="AB259" s="39" t="n">
        <f aca="false">MY_PH(AB$2,$A259)</f>
        <v>4.0896897153941E-005</v>
      </c>
      <c r="AC259" s="39" t="n">
        <f aca="false">MY_PH(AC$2,$A259)</f>
        <v>4.09080829937704E-005</v>
      </c>
      <c r="AD259" s="39" t="n">
        <f aca="false">MY_PH(AD$2,$A259)</f>
        <v>4.09192839097348E-005</v>
      </c>
      <c r="AE259" s="39" t="n">
        <f aca="false">MY_PH(AE$2,$A259)</f>
        <v>4.09304998712238E-005</v>
      </c>
      <c r="AF259" s="39" t="n">
        <f aca="false">MY_PH(AF$2,$A259)</f>
        <v>4.09417308476233E-005</v>
      </c>
      <c r="AG259" s="39" t="n">
        <f aca="false">MY_PH(AG$2,$A259)</f>
        <v>4.0952976473575E-005</v>
      </c>
      <c r="AH259" s="39" t="n">
        <f aca="false">MY_PH(AH$2,$A259)</f>
        <v>4.10662484616658E-005</v>
      </c>
      <c r="AI259" s="39" t="n">
        <f aca="false">MY_PH(AI$2,$A259)</f>
        <v>4.1180967125724E-005</v>
      </c>
      <c r="AJ259" s="39" t="n">
        <f aca="false">MY_PH(AJ$2,$A259)</f>
        <v>4.12970874191828E-005</v>
      </c>
      <c r="AK259" s="39" t="n">
        <f aca="false">MY_PH(AK$2,$A259)</f>
        <v>4.1414565548146E-005</v>
      </c>
      <c r="AL259" s="39" t="n">
        <f aca="false">MY_PH(AL$2,$A259)</f>
        <v>4.15333575910166E-005</v>
      </c>
      <c r="AM259" s="39" t="n">
        <f aca="false">MY_PH(AM$2,$A259)</f>
        <v>4.16534204568225E-005</v>
      </c>
      <c r="AN259" s="39" t="n">
        <f aca="false">MY_PH(AN$2,$A259)</f>
        <v>4.17747111805448E-005</v>
      </c>
      <c r="AO259" s="39" t="n">
        <f aca="false">MY_PH(AO$2,$A259)</f>
        <v>4.18971878813203E-005</v>
      </c>
      <c r="AP259" s="39" t="n">
        <f aca="false">MY_PH(AP$2,$A259)</f>
        <v>2015</v>
      </c>
      <c r="AQ259" s="39" t="n">
        <f aca="false">MY_PH(AQ$2,$A259)</f>
        <v>2015</v>
      </c>
      <c r="AR259" s="39" t="n">
        <f aca="false">MY_PH(AR$2,$A259)</f>
        <v>2015</v>
      </c>
      <c r="AS259" s="39" t="n">
        <f aca="false">MY_PH(AS$2,$A259)</f>
        <v>2015</v>
      </c>
    </row>
    <row r="260" customFormat="false" ht="13.8" hidden="false" customHeight="false" outlineLevel="0" collapsed="false">
      <c r="A260" s="0" t="n">
        <v>4200</v>
      </c>
      <c r="B260" s="39" t="n">
        <f aca="false">MY_PH(B$2,$A260)</f>
        <v>4.10003980111612E-005</v>
      </c>
      <c r="C260" s="39" t="n">
        <f aca="false">MY_PH(C$2,$A260)</f>
        <v>4.10004088005979E-005</v>
      </c>
      <c r="D260" s="39" t="n">
        <f aca="false">MY_PH(D$2,$A260)</f>
        <v>4.10004199246995E-005</v>
      </c>
      <c r="E260" s="39" t="n">
        <f aca="false">MY_PH(E$2,$A260)</f>
        <v>4.10004310488199E-005</v>
      </c>
      <c r="F260" s="39" t="n">
        <f aca="false">MY_PH(F$2,$A260)</f>
        <v>4.10004418383129E-005</v>
      </c>
      <c r="G260" s="39" t="n">
        <f aca="false">MY_PH(G$2,$A260)</f>
        <v>4.1000552076799E-005</v>
      </c>
      <c r="H260" s="39" t="n">
        <f aca="false">MY_PH(H$2,$A260)</f>
        <v>4.1000661982517E-005</v>
      </c>
      <c r="I260" s="39" t="n">
        <f aca="false">MY_PH(I$2,$A260)</f>
        <v>4.10007722247582E-005</v>
      </c>
      <c r="J260" s="39" t="n">
        <f aca="false">MY_PH(J$2,$A260)</f>
        <v>4.10008824688767E-005</v>
      </c>
      <c r="K260" s="39" t="n">
        <f aca="false">MY_PH(K$2,$A260)</f>
        <v>4.10009923802283E-005</v>
      </c>
      <c r="L260" s="39" t="n">
        <f aca="false">MY_PH(L$2,$A260)</f>
        <v>4.10011026281019E-005</v>
      </c>
      <c r="M260" s="39" t="n">
        <f aca="false">MY_PH(M$2,$A260)</f>
        <v>4.10012125432091E-005</v>
      </c>
      <c r="N260" s="39" t="n">
        <f aca="false">MY_PH(N$2,$A260)</f>
        <v>4.10013227948375E-005</v>
      </c>
      <c r="O260" s="39" t="n">
        <f aca="false">MY_PH(O$2,$A260)</f>
        <v>4.10014330483432E-005</v>
      </c>
      <c r="P260" s="39" t="n">
        <f aca="false">MY_PH(P$2,$A260)</f>
        <v>4.10025340134428E-005</v>
      </c>
      <c r="Q260" s="39" t="n">
        <f aca="false">MY_PH(Q$2,$A260)</f>
        <v>4.10036355009006E-005</v>
      </c>
      <c r="R260" s="39" t="n">
        <f aca="false">MY_PH(R$2,$A260)</f>
        <v>4.10047371760424E-005</v>
      </c>
      <c r="S260" s="39" t="n">
        <f aca="false">MY_PH(S$2,$A260)</f>
        <v>4.10058387042079E-005</v>
      </c>
      <c r="T260" s="39" t="n">
        <f aca="false">MY_PH(T$2,$A260)</f>
        <v>4.1006940754627E-005</v>
      </c>
      <c r="U260" s="39" t="n">
        <f aca="false">MY_PH(U$2,$A260)</f>
        <v>4.1008042658014E-005</v>
      </c>
      <c r="V260" s="39" t="n">
        <f aca="false">MY_PH(V$2,$A260)</f>
        <v>4.10091449162757E-005</v>
      </c>
      <c r="W260" s="39" t="n">
        <f aca="false">MY_PH(W$2,$A260)</f>
        <v>4.1010247362068E-005</v>
      </c>
      <c r="X260" s="39" t="n">
        <f aca="false">MY_PH(X$2,$A260)</f>
        <v>4.10113498280539E-005</v>
      </c>
      <c r="Y260" s="39" t="n">
        <f aca="false">MY_PH(Y$2,$A260)</f>
        <v>4.10223827862047E-005</v>
      </c>
      <c r="Z260" s="39" t="n">
        <f aca="false">MY_PH(Z$2,$A260)</f>
        <v>4.10334311151319E-005</v>
      </c>
      <c r="AA260" s="39" t="n">
        <f aca="false">MY_PH(AA$2,$A260)</f>
        <v>4.10444947845156E-005</v>
      </c>
      <c r="AB260" s="39" t="n">
        <f aca="false">MY_PH(AB$2,$A260)</f>
        <v>4.10555730950999E-005</v>
      </c>
      <c r="AC260" s="39" t="n">
        <f aca="false">MY_PH(AC$2,$A260)</f>
        <v>4.10666668528554E-005</v>
      </c>
      <c r="AD260" s="39" t="n">
        <f aca="false">MY_PH(AD$2,$A260)</f>
        <v>4.10777755258099E-005</v>
      </c>
      <c r="AE260" s="39" t="n">
        <f aca="false">MY_PH(AE$2,$A260)</f>
        <v>4.10888989165669E-005</v>
      </c>
      <c r="AF260" s="39" t="n">
        <f aca="false">MY_PH(AF$2,$A260)</f>
        <v>4.11000374964352E-005</v>
      </c>
      <c r="AG260" s="39" t="n">
        <f aca="false">MY_PH(AG$2,$A260)</f>
        <v>4.11111909007956E-005</v>
      </c>
      <c r="AH260" s="39" t="n">
        <f aca="false">MY_PH(AH$2,$A260)</f>
        <v>4.12235326358224E-005</v>
      </c>
      <c r="AI260" s="39" t="n">
        <f aca="false">MY_PH(AI$2,$A260)</f>
        <v>4.13373115157831E-005</v>
      </c>
      <c r="AJ260" s="39" t="n">
        <f aca="false">MY_PH(AJ$2,$A260)</f>
        <v>4.14524842167582E-005</v>
      </c>
      <c r="AK260" s="39" t="n">
        <f aca="false">MY_PH(AK$2,$A260)</f>
        <v>4.15690066641762E-005</v>
      </c>
      <c r="AL260" s="39" t="n">
        <f aca="false">MY_PH(AL$2,$A260)</f>
        <v>4.16868359890359E-005</v>
      </c>
      <c r="AM260" s="39" t="n">
        <f aca="false">MY_PH(AM$2,$A260)</f>
        <v>4.18059294865674E-005</v>
      </c>
      <c r="AN260" s="39" t="n">
        <f aca="false">MY_PH(AN$2,$A260)</f>
        <v>4.19262449106532E-005</v>
      </c>
      <c r="AO260" s="39" t="n">
        <f aca="false">MY_PH(AO$2,$A260)</f>
        <v>4.20477407676205E-005</v>
      </c>
      <c r="AP260" s="39" t="n">
        <f aca="false">MY_PH(AP$2,$A260)</f>
        <v>2015</v>
      </c>
      <c r="AQ260" s="39" t="n">
        <f aca="false">MY_PH(AQ$2,$A260)</f>
        <v>2015</v>
      </c>
      <c r="AR260" s="39" t="n">
        <f aca="false">MY_PH(AR$2,$A260)</f>
        <v>2015</v>
      </c>
      <c r="AS260" s="39" t="n">
        <f aca="false">MY_PH(AS$2,$A260)</f>
        <v>2015</v>
      </c>
    </row>
    <row r="261" customFormat="false" ht="13.8" hidden="false" customHeight="false" outlineLevel="0" collapsed="false">
      <c r="A261" s="0" t="n">
        <v>4210</v>
      </c>
      <c r="B261" s="39" t="n">
        <f aca="false">MY_PH(B$2,$A261)</f>
        <v>4.11591270007279E-005</v>
      </c>
      <c r="C261" s="39" t="n">
        <f aca="false">MY_PH(C$2,$A261)</f>
        <v>4.1159137773501E-005</v>
      </c>
      <c r="D261" s="39" t="n">
        <f aca="false">MY_PH(D$2,$A261)</f>
        <v>4.11591488804887E-005</v>
      </c>
      <c r="E261" s="39" t="n">
        <f aca="false">MY_PH(E$2,$A261)</f>
        <v>4.11591596532991E-005</v>
      </c>
      <c r="F261" s="39" t="n">
        <f aca="false">MY_PH(F$2,$A261)</f>
        <v>4.11591705932261E-005</v>
      </c>
      <c r="G261" s="39" t="n">
        <f aca="false">MY_PH(G$2,$A261)</f>
        <v>4.11592798264215E-005</v>
      </c>
      <c r="H261" s="39" t="n">
        <f aca="false">MY_PH(H$2,$A261)</f>
        <v>4.11593888943806E-005</v>
      </c>
      <c r="I261" s="39" t="n">
        <f aca="false">MY_PH(I$2,$A261)</f>
        <v>4.11594982983963E-005</v>
      </c>
      <c r="J261" s="39" t="n">
        <f aca="false">MY_PH(J$2,$A261)</f>
        <v>4.11596073700785E-005</v>
      </c>
      <c r="K261" s="39" t="n">
        <f aca="false">MY_PH(K$2,$A261)</f>
        <v>4.11597164436222E-005</v>
      </c>
      <c r="L261" s="39" t="n">
        <f aca="false">MY_PH(L$2,$A261)</f>
        <v>4.11598258532213E-005</v>
      </c>
      <c r="M261" s="39" t="n">
        <f aca="false">MY_PH(M$2,$A261)</f>
        <v>4.11599349304879E-005</v>
      </c>
      <c r="N261" s="39" t="n">
        <f aca="false">MY_PH(N$2,$A261)</f>
        <v>4.1160044343809E-005</v>
      </c>
      <c r="O261" s="39" t="n">
        <f aca="false">MY_PH(O$2,$A261)</f>
        <v>4.11601534247982E-005</v>
      </c>
      <c r="P261" s="39" t="n">
        <f aca="false">MY_PH(P$2,$A261)</f>
        <v>4.11612456738218E-005</v>
      </c>
      <c r="Q261" s="39" t="n">
        <f aca="false">MY_PH(Q$2,$A261)</f>
        <v>4.11623377747465E-005</v>
      </c>
      <c r="R261" s="39" t="n">
        <f aca="false">MY_PH(R$2,$A261)</f>
        <v>4.11634303959155E-005</v>
      </c>
      <c r="S261" s="39" t="n">
        <f aca="false">MY_PH(S$2,$A261)</f>
        <v>4.11645228689308E-005</v>
      </c>
      <c r="T261" s="39" t="n">
        <f aca="false">MY_PH(T$2,$A261)</f>
        <v>4.11656158621211E-005</v>
      </c>
      <c r="U261" s="39" t="n">
        <f aca="false">MY_PH(U$2,$A261)</f>
        <v>4.11667087071028E-005</v>
      </c>
      <c r="V261" s="39" t="n">
        <f aca="false">MY_PH(V$2,$A261)</f>
        <v>4.1167801738023E-005</v>
      </c>
      <c r="W261" s="39" t="n">
        <f aca="false">MY_PH(W$2,$A261)</f>
        <v>4.11688949548507E-005</v>
      </c>
      <c r="X261" s="39" t="n">
        <f aca="false">MY_PH(X$2,$A261)</f>
        <v>4.11699883575548E-005</v>
      </c>
      <c r="Y261" s="39" t="n">
        <f aca="false">MY_PH(Y$2,$A261)</f>
        <v>4.11809302621059E-005</v>
      </c>
      <c r="Z261" s="39" t="n">
        <f aca="false">MY_PH(Z$2,$A261)</f>
        <v>4.11918873797951E-005</v>
      </c>
      <c r="AA261" s="39" t="n">
        <f aca="false">MY_PH(AA$2,$A261)</f>
        <v>4.12028593466257E-005</v>
      </c>
      <c r="AB261" s="39" t="n">
        <f aca="false">MY_PH(AB$2,$A261)</f>
        <v>4.12138466337763E-005</v>
      </c>
      <c r="AC261" s="39" t="n">
        <f aca="false">MY_PH(AC$2,$A261)</f>
        <v>4.12248487102783E-005</v>
      </c>
      <c r="AD261" s="39" t="n">
        <f aca="false">MY_PH(AD$2,$A261)</f>
        <v>4.1235865713257E-005</v>
      </c>
      <c r="AE261" s="39" t="n">
        <f aca="false">MY_PH(AE$2,$A261)</f>
        <v>4.12468974458628E-005</v>
      </c>
      <c r="AF261" s="39" t="n">
        <f aca="false">MY_PH(AF$2,$A261)</f>
        <v>4.12579442121038E-005</v>
      </c>
      <c r="AG261" s="39" t="n">
        <f aca="false">MY_PH(AG$2,$A261)</f>
        <v>4.12690056481941E-005</v>
      </c>
      <c r="AH261" s="39" t="n">
        <f aca="false">MY_PH(AH$2,$A261)</f>
        <v>4.1380423280001E-005</v>
      </c>
      <c r="AI261" s="39" t="n">
        <f aca="false">MY_PH(AI$2,$A261)</f>
        <v>4.14932696721258E-005</v>
      </c>
      <c r="AJ261" s="39" t="n">
        <f aca="false">MY_PH(AJ$2,$A261)</f>
        <v>4.16075015374596E-005</v>
      </c>
      <c r="AK261" s="39" t="n">
        <f aca="false">MY_PH(AK$2,$A261)</f>
        <v>4.17230758383744E-005</v>
      </c>
      <c r="AL261" s="39" t="n">
        <f aca="false">MY_PH(AL$2,$A261)</f>
        <v>4.18399500758228E-005</v>
      </c>
      <c r="AM261" s="39" t="n">
        <f aca="false">MY_PH(AM$2,$A261)</f>
        <v>4.19580822476428E-005</v>
      </c>
      <c r="AN261" s="39" t="n">
        <f aca="false">MY_PH(AN$2,$A261)</f>
        <v>4.2077430479551E-005</v>
      </c>
      <c r="AO261" s="39" t="n">
        <f aca="false">MY_PH(AO$2,$A261)</f>
        <v>4.21979536513215E-005</v>
      </c>
      <c r="AP261" s="39" t="n">
        <f aca="false">MY_PH(AP$2,$A261)</f>
        <v>2015</v>
      </c>
      <c r="AQ261" s="39" t="n">
        <f aca="false">MY_PH(AQ$2,$A261)</f>
        <v>2015</v>
      </c>
      <c r="AR261" s="39" t="n">
        <f aca="false">MY_PH(AR$2,$A261)</f>
        <v>2015</v>
      </c>
      <c r="AS261" s="39" t="n">
        <f aca="false">MY_PH(AS$2,$A261)</f>
        <v>2015</v>
      </c>
    </row>
    <row r="262" customFormat="false" ht="13.8" hidden="false" customHeight="false" outlineLevel="0" collapsed="false">
      <c r="A262" s="0" t="n">
        <v>4220</v>
      </c>
      <c r="B262" s="39" t="n">
        <f aca="false">MY_PH(B$2,$A262)</f>
        <v>4.13174517705085E-005</v>
      </c>
      <c r="C262" s="39" t="n">
        <f aca="false">MY_PH(C$2,$A262)</f>
        <v>4.13174625259705E-005</v>
      </c>
      <c r="D262" s="39" t="n">
        <f aca="false">MY_PH(D$2,$A262)</f>
        <v>4.13174736151975E-005</v>
      </c>
      <c r="E262" s="39" t="n">
        <f aca="false">MY_PH(E$2,$A262)</f>
        <v>4.13174843706965E-005</v>
      </c>
      <c r="F262" s="39" t="n">
        <f aca="false">MY_PH(F$2,$A262)</f>
        <v>4.1317495126214E-005</v>
      </c>
      <c r="G262" s="39" t="n">
        <f aca="false">MY_PH(G$2,$A262)</f>
        <v>4.13176033498965E-005</v>
      </c>
      <c r="H262" s="39" t="n">
        <f aca="false">MY_PH(H$2,$A262)</f>
        <v>4.13177115754249E-005</v>
      </c>
      <c r="I262" s="39" t="n">
        <f aca="false">MY_PH(I$2,$A262)</f>
        <v>4.13178201365443E-005</v>
      </c>
      <c r="J262" s="39" t="n">
        <f aca="false">MY_PH(J$2,$A262)</f>
        <v>4.13179283657639E-005</v>
      </c>
      <c r="K262" s="39" t="n">
        <f aca="false">MY_PH(K$2,$A262)</f>
        <v>4.13180365968292E-005</v>
      </c>
      <c r="L262" s="39" t="n">
        <f aca="false">MY_PH(L$2,$A262)</f>
        <v>4.13181448297401E-005</v>
      </c>
      <c r="M262" s="39" t="n">
        <f aca="false">MY_PH(M$2,$A262)</f>
        <v>4.13182530644968E-005</v>
      </c>
      <c r="N262" s="39" t="n">
        <f aca="false">MY_PH(N$2,$A262)</f>
        <v>4.13183616348424E-005</v>
      </c>
      <c r="O262" s="39" t="n">
        <f aca="false">MY_PH(O$2,$A262)</f>
        <v>4.13184698732899E-005</v>
      </c>
      <c r="P262" s="39" t="n">
        <f aca="false">MY_PH(P$2,$A262)</f>
        <v>4.13195530267444E-005</v>
      </c>
      <c r="Q262" s="39" t="n">
        <f aca="false">MY_PH(Q$2,$A262)</f>
        <v>4.13206360309745E-005</v>
      </c>
      <c r="R262" s="39" t="n">
        <f aca="false">MY_PH(R$2,$A262)</f>
        <v>4.13217195534242E-005</v>
      </c>
      <c r="S262" s="39" t="n">
        <f aca="false">MY_PH(S$2,$A262)</f>
        <v>4.13228032603237E-005</v>
      </c>
      <c r="T262" s="39" t="n">
        <f aca="false">MY_PH(T$2,$A262)</f>
        <v>4.13238868179179E-005</v>
      </c>
      <c r="U262" s="39" t="n">
        <f aca="false">MY_PH(U$2,$A262)</f>
        <v>4.13249708936283E-005</v>
      </c>
      <c r="V262" s="39" t="n">
        <f aca="false">MY_PH(V$2,$A262)</f>
        <v>4.13260548199795E-005</v>
      </c>
      <c r="W262" s="39" t="n">
        <f aca="false">MY_PH(W$2,$A262)</f>
        <v>4.13271389306651E-005</v>
      </c>
      <c r="X262" s="39" t="n">
        <f aca="false">MY_PH(X$2,$A262)</f>
        <v>4.13282232256543E-005</v>
      </c>
      <c r="Y262" s="39" t="n">
        <f aca="false">MY_PH(Y$2,$A262)</f>
        <v>4.13390746371291E-005</v>
      </c>
      <c r="Z262" s="39" t="n">
        <f aca="false">MY_PH(Z$2,$A262)</f>
        <v>4.13499411092112E-005</v>
      </c>
      <c r="AA262" s="39" t="n">
        <f aca="false">MY_PH(AA$2,$A262)</f>
        <v>4.13608226123086E-005</v>
      </c>
      <c r="AB262" s="39" t="n">
        <f aca="false">MY_PH(AB$2,$A262)</f>
        <v>4.13717187832713E-005</v>
      </c>
      <c r="AC262" s="39" t="n">
        <f aca="false">MY_PH(AC$2,$A262)</f>
        <v>4.13826299261361E-005</v>
      </c>
      <c r="AD262" s="39" t="n">
        <f aca="false">MY_PH(AD$2,$A262)</f>
        <v>4.1393556011303E-005</v>
      </c>
      <c r="AE262" s="39" t="n">
        <f aca="false">MY_PH(AE$2,$A262)</f>
        <v>4.14044966757314E-005</v>
      </c>
      <c r="AF262" s="39" t="n">
        <f aca="false">MY_PH(AF$2,$A262)</f>
        <v>4.14154522233291E-005</v>
      </c>
      <c r="AG262" s="39" t="n">
        <f aca="false">MY_PH(AG$2,$A262)</f>
        <v>4.14264222911273E-005</v>
      </c>
      <c r="AH262" s="39" t="n">
        <f aca="false">MY_PH(AH$2,$A262)</f>
        <v>4.15369220794884E-005</v>
      </c>
      <c r="AI262" s="39" t="n">
        <f aca="false">MY_PH(AI$2,$A262)</f>
        <v>4.16488423739786E-005</v>
      </c>
      <c r="AJ262" s="39" t="n">
        <f aca="false">MY_PH(AJ$2,$A262)</f>
        <v>4.17621405745184E-005</v>
      </c>
      <c r="AK262" s="39" t="n">
        <f aca="false">MY_PH(AK$2,$A262)</f>
        <v>4.18767739981678E-005</v>
      </c>
      <c r="AL262" s="39" t="n">
        <f aca="false">MY_PH(AL$2,$A262)</f>
        <v>4.19927008326373E-005</v>
      </c>
      <c r="AM262" s="39" t="n">
        <f aca="false">MY_PH(AM$2,$A262)</f>
        <v>4.21098794316058E-005</v>
      </c>
      <c r="AN262" s="39" t="n">
        <f aca="false">MY_PH(AN$2,$A262)</f>
        <v>4.22282684440175E-005</v>
      </c>
      <c r="AO262" s="39" t="n">
        <f aca="false">MY_PH(AO$2,$A262)</f>
        <v>4.2347827273524E-005</v>
      </c>
      <c r="AP262" s="39" t="n">
        <f aca="false">MY_PH(AP$2,$A262)</f>
        <v>2015</v>
      </c>
      <c r="AQ262" s="39" t="n">
        <f aca="false">MY_PH(AQ$2,$A262)</f>
        <v>2015</v>
      </c>
      <c r="AR262" s="39" t="n">
        <f aca="false">MY_PH(AR$2,$A262)</f>
        <v>2015</v>
      </c>
      <c r="AS262" s="39" t="n">
        <f aca="false">MY_PH(AS$2,$A262)</f>
        <v>2015</v>
      </c>
    </row>
    <row r="263" customFormat="false" ht="13.8" hidden="false" customHeight="false" outlineLevel="0" collapsed="false">
      <c r="A263" s="0" t="n">
        <v>4230</v>
      </c>
      <c r="B263" s="39" t="n">
        <f aca="false">MY_PH(B$2,$A263)</f>
        <v>4.14753737785993E-005</v>
      </c>
      <c r="C263" s="39" t="n">
        <f aca="false">MY_PH(C$2,$A263)</f>
        <v>4.14753845161203E-005</v>
      </c>
      <c r="D263" s="39" t="n">
        <f aca="false">MY_PH(D$2,$A263)</f>
        <v>4.14753952536596E-005</v>
      </c>
      <c r="E263" s="39" t="n">
        <f aca="false">MY_PH(E$2,$A263)</f>
        <v>4.14754059912172E-005</v>
      </c>
      <c r="F263" s="39" t="n">
        <f aca="false">MY_PH(F$2,$A263)</f>
        <v>4.14754167287932E-005</v>
      </c>
      <c r="G263" s="39" t="n">
        <f aca="false">MY_PH(G$2,$A263)</f>
        <v>4.14755241055592E-005</v>
      </c>
      <c r="H263" s="39" t="n">
        <f aca="false">MY_PH(H$2,$A263)</f>
        <v>4.14756314841557E-005</v>
      </c>
      <c r="I263" s="39" t="n">
        <f aca="false">MY_PH(I$2,$A263)</f>
        <v>4.14757390312307E-005</v>
      </c>
      <c r="J263" s="39" t="n">
        <f aca="false">MY_PH(J$2,$A263)</f>
        <v>4.14758465801356E-005</v>
      </c>
      <c r="K263" s="39" t="n">
        <f aca="false">MY_PH(K$2,$A263)</f>
        <v>4.14759539642228E-005</v>
      </c>
      <c r="L263" s="39" t="n">
        <f aca="false">MY_PH(L$2,$A263)</f>
        <v>4.14760613501403E-005</v>
      </c>
      <c r="M263" s="39" t="n">
        <f aca="false">MY_PH(M$2,$A263)</f>
        <v>4.14761687378881E-005</v>
      </c>
      <c r="N263" s="39" t="n">
        <f aca="false">MY_PH(N$2,$A263)</f>
        <v>4.14762761274661E-005</v>
      </c>
      <c r="O263" s="39" t="n">
        <f aca="false">MY_PH(O$2,$A263)</f>
        <v>4.14763835188743E-005</v>
      </c>
      <c r="P263" s="39" t="n">
        <f aca="false">MY_PH(P$2,$A263)</f>
        <v>4.14774575336117E-005</v>
      </c>
      <c r="Q263" s="39" t="n">
        <f aca="false">MY_PH(Q$2,$A263)</f>
        <v>4.14785317313371E-005</v>
      </c>
      <c r="R263" s="39" t="n">
        <f aca="false">MY_PH(R$2,$A263)</f>
        <v>4.14796061120202E-005</v>
      </c>
      <c r="S263" s="39" t="n">
        <f aca="false">MY_PH(S$2,$A263)</f>
        <v>4.14806806756304E-005</v>
      </c>
      <c r="T263" s="39" t="n">
        <f aca="false">MY_PH(T$2,$A263)</f>
        <v>4.14817554221374E-005</v>
      </c>
      <c r="U263" s="39" t="n">
        <f aca="false">MY_PH(U$2,$A263)</f>
        <v>4.14828303515108E-005</v>
      </c>
      <c r="V263" s="39" t="n">
        <f aca="false">MY_PH(V$2,$A263)</f>
        <v>4.14839054637201E-005</v>
      </c>
      <c r="W263" s="39" t="n">
        <f aca="false">MY_PH(W$2,$A263)</f>
        <v>4.1484980758735E-005</v>
      </c>
      <c r="X263" s="39" t="n">
        <f aca="false">MY_PH(X$2,$A263)</f>
        <v>4.1486055903266E-005</v>
      </c>
      <c r="Y263" s="39" t="n">
        <f aca="false">MY_PH(Y$2,$A263)</f>
        <v>4.14968173949444E-005</v>
      </c>
      <c r="Z263" s="39" t="n">
        <f aca="false">MY_PH(Z$2,$A263)</f>
        <v>4.15075937996436E-005</v>
      </c>
      <c r="AA263" s="39" t="n">
        <f aca="false">MY_PH(AA$2,$A263)</f>
        <v>4.15183849215422E-005</v>
      </c>
      <c r="AB263" s="39" t="n">
        <f aca="false">MY_PH(AB$2,$A263)</f>
        <v>4.15291908979979E-005</v>
      </c>
      <c r="AC263" s="39" t="n">
        <f aca="false">MY_PH(AC$2,$A263)</f>
        <v>4.15400118662855E-005</v>
      </c>
      <c r="AD263" s="39" t="n">
        <f aca="false">MY_PH(AD$2,$A263)</f>
        <v>4.15508472975562E-005</v>
      </c>
      <c r="AE263" s="39" t="n">
        <f aca="false">MY_PH(AE$2,$A263)</f>
        <v>4.15616974956482E-005</v>
      </c>
      <c r="AF263" s="39" t="n">
        <f aca="false">MY_PH(AF$2,$A263)</f>
        <v>4.15725624312948E-005</v>
      </c>
      <c r="AG263" s="39" t="n">
        <f aca="false">MY_PH(AG$2,$A263)</f>
        <v>4.15834417423287E-005</v>
      </c>
      <c r="AH263" s="39" t="n">
        <f aca="false">MY_PH(AH$2,$A263)</f>
        <v>4.16930300539612E-005</v>
      </c>
      <c r="AI263" s="39" t="n">
        <f aca="false">MY_PH(AI$2,$A263)</f>
        <v>4.18040309002443E-005</v>
      </c>
      <c r="AJ263" s="39" t="n">
        <f aca="false">MY_PH(AJ$2,$A263)</f>
        <v>4.19164021865938E-005</v>
      </c>
      <c r="AK263" s="39" t="n">
        <f aca="false">MY_PH(AK$2,$A263)</f>
        <v>4.20301020674535E-005</v>
      </c>
      <c r="AL263" s="39" t="n">
        <f aca="false">MY_PH(AL$2,$A263)</f>
        <v>4.21450885744619E-005</v>
      </c>
      <c r="AM263" s="39" t="n">
        <f aca="false">MY_PH(AM$2,$A263)</f>
        <v>4.22613213951446E-005</v>
      </c>
      <c r="AN263" s="39" t="n">
        <f aca="false">MY_PH(AN$2,$A263)</f>
        <v>4.23787593555426E-005</v>
      </c>
      <c r="AO263" s="39" t="n">
        <f aca="false">MY_PH(AO$2,$A263)</f>
        <v>4.24973617111808E-005</v>
      </c>
      <c r="AP263" s="39" t="n">
        <f aca="false">MY_PH(AP$2,$A263)</f>
        <v>2015</v>
      </c>
      <c r="AQ263" s="39" t="n">
        <f aca="false">MY_PH(AQ$2,$A263)</f>
        <v>2015</v>
      </c>
      <c r="AR263" s="39" t="n">
        <f aca="false">MY_PH(AR$2,$A263)</f>
        <v>2015</v>
      </c>
      <c r="AS263" s="39" t="n">
        <f aca="false">MY_PH(AS$2,$A263)</f>
        <v>2015</v>
      </c>
    </row>
    <row r="264" customFormat="false" ht="13.8" hidden="false" customHeight="false" outlineLevel="0" collapsed="false">
      <c r="A264" s="0" t="n">
        <v>4240</v>
      </c>
      <c r="B264" s="39" t="n">
        <f aca="false">MY_PH(B$2,$A264)</f>
        <v>4.1632894490196E-005</v>
      </c>
      <c r="C264" s="39" t="n">
        <f aca="false">MY_PH(C$2,$A264)</f>
        <v>4.16329052091629E-005</v>
      </c>
      <c r="D264" s="39" t="n">
        <f aca="false">MY_PH(D$2,$A264)</f>
        <v>4.16329159281479E-005</v>
      </c>
      <c r="E264" s="39" t="n">
        <f aca="false">MY_PH(E$2,$A264)</f>
        <v>4.16329263143021E-005</v>
      </c>
      <c r="F264" s="39" t="n">
        <f aca="false">MY_PH(F$2,$A264)</f>
        <v>4.16329370333234E-005</v>
      </c>
      <c r="G264" s="39" t="n">
        <f aca="false">MY_PH(G$2,$A264)</f>
        <v>4.16330435588375E-005</v>
      </c>
      <c r="H264" s="39" t="n">
        <f aca="false">MY_PH(H$2,$A264)</f>
        <v>4.16331500861671E-005</v>
      </c>
      <c r="I264" s="39" t="n">
        <f aca="false">MY_PH(I$2,$A264)</f>
        <v>4.16332566153122E-005</v>
      </c>
      <c r="J264" s="39" t="n">
        <f aca="false">MY_PH(J$2,$A264)</f>
        <v>4.16333631462728E-005</v>
      </c>
      <c r="K264" s="39" t="n">
        <f aca="false">MY_PH(K$2,$A264)</f>
        <v>4.16334696790489E-005</v>
      </c>
      <c r="L264" s="39" t="n">
        <f aca="false">MY_PH(L$2,$A264)</f>
        <v>4.16335762136403E-005</v>
      </c>
      <c r="M264" s="39" t="n">
        <f aca="false">MY_PH(M$2,$A264)</f>
        <v>4.16336827500472E-005</v>
      </c>
      <c r="N264" s="39" t="n">
        <f aca="false">MY_PH(N$2,$A264)</f>
        <v>4.16337891218465E-005</v>
      </c>
      <c r="O264" s="39" t="n">
        <f aca="false">MY_PH(O$2,$A264)</f>
        <v>4.16338954954615E-005</v>
      </c>
      <c r="P264" s="39" t="n">
        <f aca="false">MY_PH(P$2,$A264)</f>
        <v>4.16349608292566E-005</v>
      </c>
      <c r="Q264" s="39" t="n">
        <f aca="false">MY_PH(Q$2,$A264)</f>
        <v>4.16360261781368E-005</v>
      </c>
      <c r="R264" s="39" t="n">
        <f aca="false">MY_PH(R$2,$A264)</f>
        <v>4.16370915420778E-005</v>
      </c>
      <c r="S264" s="39" t="n">
        <f aca="false">MY_PH(S$2,$A264)</f>
        <v>4.16381572538851E-005</v>
      </c>
      <c r="T264" s="39" t="n">
        <f aca="false">MY_PH(T$2,$A264)</f>
        <v>4.16392231471098E-005</v>
      </c>
      <c r="U264" s="39" t="n">
        <f aca="false">MY_PH(U$2,$A264)</f>
        <v>4.16402888889002E-005</v>
      </c>
      <c r="V264" s="39" t="n">
        <f aca="false">MY_PH(V$2,$A264)</f>
        <v>4.16413551448733E-005</v>
      </c>
      <c r="W264" s="39" t="n">
        <f aca="false">MY_PH(W$2,$A264)</f>
        <v>4.16424212493599E-005</v>
      </c>
      <c r="X264" s="39" t="n">
        <f aca="false">MY_PH(X$2,$A264)</f>
        <v>4.16434878679609E-005</v>
      </c>
      <c r="Y264" s="39" t="n">
        <f aca="false">MY_PH(Y$2,$A264)</f>
        <v>4.16541596926702E-005</v>
      </c>
      <c r="Z264" s="39" t="n">
        <f aca="false">MY_PH(Z$2,$A264)</f>
        <v>4.16648466204095E-005</v>
      </c>
      <c r="AA264" s="39" t="n">
        <f aca="false">MY_PH(AA$2,$A264)</f>
        <v>4.16755482894454E-005</v>
      </c>
      <c r="AB264" s="39" t="n">
        <f aca="false">MY_PH(AB$2,$A264)</f>
        <v>4.16862643382054E-005</v>
      </c>
      <c r="AC264" s="39" t="n">
        <f aca="false">MY_PH(AC$2,$A264)</f>
        <v>4.16969954030961E-005</v>
      </c>
      <c r="AD264" s="39" t="n">
        <f aca="false">MY_PH(AD$2,$A264)</f>
        <v>4.17077411224981E-005</v>
      </c>
      <c r="AE264" s="39" t="n">
        <f aca="false">MY_PH(AE$2,$A264)</f>
        <v>4.17185014674761E-005</v>
      </c>
      <c r="AF264" s="39" t="n">
        <f aca="false">MY_PH(AF$2,$A264)</f>
        <v>4.17292764090901E-005</v>
      </c>
      <c r="AG264" s="39" t="n">
        <f aca="false">MY_PH(AG$2,$A264)</f>
        <v>4.17400655859596E-005</v>
      </c>
      <c r="AH264" s="39" t="n">
        <f aca="false">MY_PH(AH$2,$A264)</f>
        <v>4.18487483919841E-005</v>
      </c>
      <c r="AI264" s="39" t="n">
        <f aca="false">MY_PH(AI$2,$A264)</f>
        <v>4.19588361970364E-005</v>
      </c>
      <c r="AJ264" s="39" t="n">
        <f aca="false">MY_PH(AJ$2,$A264)</f>
        <v>4.20702875621923E-005</v>
      </c>
      <c r="AK264" s="39" t="n">
        <f aca="false">MY_PH(AK$2,$A264)</f>
        <v>4.21830606361898E-005</v>
      </c>
      <c r="AL264" s="39" t="n">
        <f aca="false">MY_PH(AL$2,$A264)</f>
        <v>4.22971146044855E-005</v>
      </c>
      <c r="AM264" s="39" t="n">
        <f aca="false">MY_PH(AM$2,$A264)</f>
        <v>4.24124091505342E-005</v>
      </c>
      <c r="AN264" s="39" t="n">
        <f aca="false">MY_PH(AN$2,$A264)</f>
        <v>4.2528903431835E-005</v>
      </c>
      <c r="AO264" s="39" t="n">
        <f aca="false">MY_PH(AO$2,$A264)</f>
        <v>4.26465580222151E-005</v>
      </c>
      <c r="AP264" s="39" t="n">
        <f aca="false">MY_PH(AP$2,$A264)</f>
        <v>2015</v>
      </c>
      <c r="AQ264" s="39" t="n">
        <f aca="false">MY_PH(AQ$2,$A264)</f>
        <v>2015</v>
      </c>
      <c r="AR264" s="39" t="n">
        <f aca="false">MY_PH(AR$2,$A264)</f>
        <v>2015</v>
      </c>
      <c r="AS264" s="39" t="n">
        <f aca="false">MY_PH(AS$2,$A264)</f>
        <v>2015</v>
      </c>
    </row>
    <row r="265" customFormat="false" ht="13.8" hidden="false" customHeight="false" outlineLevel="0" collapsed="false">
      <c r="A265" s="0" t="n">
        <v>4250</v>
      </c>
      <c r="B265" s="39" t="n">
        <f aca="false">MY_PH(B$2,$A265)</f>
        <v>4.17900150447875E-005</v>
      </c>
      <c r="C265" s="39" t="n">
        <f aca="false">MY_PH(C$2,$A265)</f>
        <v>4.17900254122024E-005</v>
      </c>
      <c r="D265" s="39" t="n">
        <f aca="false">MY_PH(D$2,$A265)</f>
        <v>4.17900361120368E-005</v>
      </c>
      <c r="E265" s="39" t="n">
        <f aca="false">MY_PH(E$2,$A265)</f>
        <v>4.17900468118891E-005</v>
      </c>
      <c r="F265" s="39" t="n">
        <f aca="false">MY_PH(F$2,$A265)</f>
        <v>4.17900571793582E-005</v>
      </c>
      <c r="G265" s="39" t="n">
        <f aca="false">MY_PH(G$2,$A265)</f>
        <v>4.1790162849447E-005</v>
      </c>
      <c r="H265" s="39" t="n">
        <f aca="false">MY_PH(H$2,$A265)</f>
        <v>4.17902685213369E-005</v>
      </c>
      <c r="I265" s="39" t="n">
        <f aca="false">MY_PH(I$2,$A265)</f>
        <v>4.1790374195028E-005</v>
      </c>
      <c r="J265" s="39" t="n">
        <f aca="false">MY_PH(J$2,$A265)</f>
        <v>4.17904795381205E-005</v>
      </c>
      <c r="K265" s="39" t="n">
        <f aca="false">MY_PH(K$2,$A265)</f>
        <v>4.1790585215414E-005</v>
      </c>
      <c r="L265" s="39" t="n">
        <f aca="false">MY_PH(L$2,$A265)</f>
        <v>4.17906908945087E-005</v>
      </c>
      <c r="M265" s="39" t="n">
        <f aca="false">MY_PH(M$2,$A265)</f>
        <v>4.17907965754043E-005</v>
      </c>
      <c r="N265" s="39" t="n">
        <f aca="false">MY_PH(N$2,$A265)</f>
        <v>4.17909022581008E-005</v>
      </c>
      <c r="O265" s="39" t="n">
        <f aca="false">MY_PH(O$2,$A265)</f>
        <v>4.17910077763995E-005</v>
      </c>
      <c r="P265" s="39" t="n">
        <f aca="false">MY_PH(P$2,$A265)</f>
        <v>4.17920642218308E-005</v>
      </c>
      <c r="Q265" s="39" t="n">
        <f aca="false">MY_PH(Q$2,$A265)</f>
        <v>4.17931206811397E-005</v>
      </c>
      <c r="R265" s="39" t="n">
        <f aca="false">MY_PH(R$2,$A265)</f>
        <v>4.17941773204953E-005</v>
      </c>
      <c r="S265" s="39" t="n">
        <f aca="false">MY_PH(S$2,$A265)</f>
        <v>4.17952338074864E-005</v>
      </c>
      <c r="T265" s="39" t="n">
        <f aca="false">MY_PH(T$2,$A265)</f>
        <v>4.17962908068498E-005</v>
      </c>
      <c r="U265" s="39" t="n">
        <f aca="false">MY_PH(U$2,$A265)</f>
        <v>4.17973479861704E-005</v>
      </c>
      <c r="V265" s="39" t="n">
        <f aca="false">MY_PH(V$2,$A265)</f>
        <v>4.17984050130493E-005</v>
      </c>
      <c r="W265" s="39" t="n">
        <f aca="false">MY_PH(W$2,$A265)</f>
        <v>4.17994625521988E-005</v>
      </c>
      <c r="X265" s="39" t="n">
        <f aca="false">MY_PH(X$2,$A265)</f>
        <v>4.18005199388551E-005</v>
      </c>
      <c r="Y265" s="39" t="n">
        <f aca="false">MY_PH(Y$2,$A265)</f>
        <v>4.18111030273842E-005</v>
      </c>
      <c r="Z265" s="39" t="n">
        <f aca="false">MY_PH(Z$2,$A265)</f>
        <v>4.18217010803272E-005</v>
      </c>
      <c r="AA265" s="39" t="n">
        <f aca="false">MY_PH(AA$2,$A265)</f>
        <v>4.18323134044766E-005</v>
      </c>
      <c r="AB265" s="39" t="n">
        <f aca="false">MY_PH(AB$2,$A265)</f>
        <v>4.18429406357342E-005</v>
      </c>
      <c r="AC265" s="39" t="n">
        <f aca="false">MY_PH(AC$2,$A265)</f>
        <v>4.18535824132074E-005</v>
      </c>
      <c r="AD265" s="39" t="n">
        <f aca="false">MY_PH(AD$2,$A265)</f>
        <v>4.18642390403868E-005</v>
      </c>
      <c r="AE265" s="39" t="n">
        <f aca="false">MY_PH(AE$2,$A265)</f>
        <v>4.18749098243913E-005</v>
      </c>
      <c r="AF265" s="39" t="n">
        <f aca="false">MY_PH(AF$2,$A265)</f>
        <v>4.18855954007682E-005</v>
      </c>
      <c r="AG265" s="39" t="n">
        <f aca="false">MY_PH(AG$2,$A265)</f>
        <v>4.18962950768003E-005</v>
      </c>
      <c r="AH265" s="39" t="n">
        <f aca="false">MY_PH(AH$2,$A265)</f>
        <v>4.20040786154156E-005</v>
      </c>
      <c r="AI265" s="39" t="n">
        <f aca="false">MY_PH(AI$2,$A265)</f>
        <v>4.21132598730784E-005</v>
      </c>
      <c r="AJ265" s="39" t="n">
        <f aca="false">MY_PH(AJ$2,$A265)</f>
        <v>4.2223797556192E-005</v>
      </c>
      <c r="AK265" s="39" t="n">
        <f aca="false">MY_PH(AK$2,$A265)</f>
        <v>4.23356512827399E-005</v>
      </c>
      <c r="AL265" s="39" t="n">
        <f aca="false">MY_PH(AL$2,$A265)</f>
        <v>4.24487798891701E-005</v>
      </c>
      <c r="AM265" s="39" t="n">
        <f aca="false">MY_PH(AM$2,$A265)</f>
        <v>4.25631433743964E-005</v>
      </c>
      <c r="AN265" s="39" t="n">
        <f aca="false">MY_PH(AN$2,$A265)</f>
        <v>4.26787018719819E-005</v>
      </c>
      <c r="AO265" s="39" t="n">
        <f aca="false">MY_PH(AO$2,$A265)</f>
        <v>4.27954162732586E-005</v>
      </c>
      <c r="AP265" s="39" t="n">
        <f aca="false">MY_PH(AP$2,$A265)</f>
        <v>2015</v>
      </c>
      <c r="AQ265" s="39" t="n">
        <f aca="false">MY_PH(AQ$2,$A265)</f>
        <v>2015</v>
      </c>
      <c r="AR265" s="39" t="n">
        <f aca="false">MY_PH(AR$2,$A265)</f>
        <v>2015</v>
      </c>
      <c r="AS265" s="39" t="n">
        <f aca="false">MY_PH(AS$2,$A265)</f>
        <v>2015</v>
      </c>
    </row>
    <row r="266" customFormat="false" ht="13.8" hidden="false" customHeight="false" outlineLevel="0" collapsed="false">
      <c r="A266" s="0" t="n">
        <v>4260</v>
      </c>
      <c r="B266" s="39" t="n">
        <f aca="false">MY_PH(B$2,$A266)</f>
        <v>4.19467367559308E-005</v>
      </c>
      <c r="C266" s="39" t="n">
        <f aca="false">MY_PH(C$2,$A266)</f>
        <v>4.19467472700391E-005</v>
      </c>
      <c r="D266" s="39" t="n">
        <f aca="false">MY_PH(D$2,$A266)</f>
        <v>4.19467576181881E-005</v>
      </c>
      <c r="E266" s="39" t="n">
        <f aca="false">MY_PH(E$2,$A266)</f>
        <v>4.19467682983093E-005</v>
      </c>
      <c r="F266" s="39" t="n">
        <f aca="false">MY_PH(F$2,$A266)</f>
        <v>4.19467786464941E-005</v>
      </c>
      <c r="G266" s="39" t="n">
        <f aca="false">MY_PH(G$2,$A266)</f>
        <v>4.19468834571419E-005</v>
      </c>
      <c r="H266" s="39" t="n">
        <f aca="false">MY_PH(H$2,$A266)</f>
        <v>4.19469882695769E-005</v>
      </c>
      <c r="I266" s="39" t="n">
        <f aca="false">MY_PH(I$2,$A266)</f>
        <v>4.19470927518461E-005</v>
      </c>
      <c r="J266" s="39" t="n">
        <f aca="false">MY_PH(J$2,$A266)</f>
        <v>4.19471975678559E-005</v>
      </c>
      <c r="K266" s="39" t="n">
        <f aca="false">MY_PH(K$2,$A266)</f>
        <v>4.19473023856528E-005</v>
      </c>
      <c r="L266" s="39" t="n">
        <f aca="false">MY_PH(L$2,$A266)</f>
        <v>4.19474072052367E-005</v>
      </c>
      <c r="M266" s="39" t="n">
        <f aca="false">MY_PH(M$2,$A266)</f>
        <v>4.19475116946564E-005</v>
      </c>
      <c r="N266" s="39" t="n">
        <f aca="false">MY_PH(N$2,$A266)</f>
        <v>4.19476165178149E-005</v>
      </c>
      <c r="O266" s="39" t="n">
        <f aca="false">MY_PH(O$2,$A266)</f>
        <v>4.19477213427604E-005</v>
      </c>
      <c r="P266" s="39" t="n">
        <f aca="false">MY_PH(P$2,$A266)</f>
        <v>4.19487686946551E-005</v>
      </c>
      <c r="Q266" s="39" t="n">
        <f aca="false">MY_PH(Q$2,$A266)</f>
        <v>4.19498165571849E-005</v>
      </c>
      <c r="R266" s="39" t="n">
        <f aca="false">MY_PH(R$2,$A266)</f>
        <v>4.19508642664316E-005</v>
      </c>
      <c r="S266" s="39" t="n">
        <f aca="false">MY_PH(S$2,$A266)</f>
        <v>4.19519121543122E-005</v>
      </c>
      <c r="T266" s="39" t="n">
        <f aca="false">MY_PH(T$2,$A266)</f>
        <v>4.19529602207971E-005</v>
      </c>
      <c r="U266" s="39" t="n">
        <f aca="false">MY_PH(U$2,$A266)</f>
        <v>4.19540084658566E-005</v>
      </c>
      <c r="V266" s="39" t="n">
        <f aca="false">MY_PH(V$2,$A266)</f>
        <v>4.19550568894611E-005</v>
      </c>
      <c r="W266" s="39" t="n">
        <f aca="false">MY_PH(W$2,$A266)</f>
        <v>4.19561054915812E-005</v>
      </c>
      <c r="X266" s="39" t="n">
        <f aca="false">MY_PH(X$2,$A266)</f>
        <v>4.19571539402746E-005</v>
      </c>
      <c r="Y266" s="39" t="n">
        <f aca="false">MY_PH(Y$2,$A266)</f>
        <v>4.19676489016341E-005</v>
      </c>
      <c r="Z266" s="39" t="n">
        <f aca="false">MY_PH(Z$2,$A266)</f>
        <v>4.19781583614484E-005</v>
      </c>
      <c r="AA266" s="39" t="n">
        <f aca="false">MY_PH(AA$2,$A266)</f>
        <v>4.19886822914075E-005</v>
      </c>
      <c r="AB266" s="39" t="n">
        <f aca="false">MY_PH(AB$2,$A266)</f>
        <v>4.19992209949416E-005</v>
      </c>
      <c r="AC266" s="39" t="n">
        <f aca="false">MY_PH(AC$2,$A266)</f>
        <v>4.20097742777574E-005</v>
      </c>
      <c r="AD266" s="39" t="n">
        <f aca="false">MY_PH(AD$2,$A266)</f>
        <v>4.2020341945645E-005</v>
      </c>
      <c r="AE266" s="39" t="n">
        <f aca="false">MY_PH(AE$2,$A266)</f>
        <v>4.20309241360884E-005</v>
      </c>
      <c r="AF266" s="39" t="n">
        <f aca="false">MY_PH(AF$2,$A266)</f>
        <v>4.20415206549134E-005</v>
      </c>
      <c r="AG266" s="39" t="n">
        <f aca="false">MY_PH(AG$2,$A266)</f>
        <v>4.20521314737902E-005</v>
      </c>
      <c r="AH266" s="39" t="n">
        <f aca="false">MY_PH(AH$2,$A266)</f>
        <v>4.2159021583737E-005</v>
      </c>
      <c r="AI266" s="39" t="n">
        <f aca="false">MY_PH(AI$2,$A266)</f>
        <v>4.22673025420673E-005</v>
      </c>
      <c r="AJ266" s="39" t="n">
        <f aca="false">MY_PH(AJ$2,$A266)</f>
        <v>4.23769336823373E-005</v>
      </c>
      <c r="AK266" s="39" t="n">
        <f aca="false">MY_PH(AK$2,$A266)</f>
        <v>4.24878745897134E-005</v>
      </c>
      <c r="AL266" s="39" t="n">
        <f aca="false">MY_PH(AL$2,$A266)</f>
        <v>4.26000847319581E-005</v>
      </c>
      <c r="AM266" s="39" t="n">
        <f aca="false">MY_PH(AM$2,$A266)</f>
        <v>4.27135247385999E-005</v>
      </c>
      <c r="AN266" s="39" t="n">
        <f aca="false">MY_PH(AN$2,$A266)</f>
        <v>4.28281553746891E-005</v>
      </c>
      <c r="AO266" s="39" t="n">
        <f aca="false">MY_PH(AO$2,$A266)</f>
        <v>4.29439368552333E-005</v>
      </c>
      <c r="AP266" s="39" t="n">
        <f aca="false">MY_PH(AP$2,$A266)</f>
        <v>2015</v>
      </c>
      <c r="AQ266" s="39" t="n">
        <f aca="false">MY_PH(AQ$2,$A266)</f>
        <v>2015</v>
      </c>
      <c r="AR266" s="39" t="n">
        <f aca="false">MY_PH(AR$2,$A266)</f>
        <v>2015</v>
      </c>
      <c r="AS266" s="39" t="n">
        <f aca="false">MY_PH(AS$2,$A266)</f>
        <v>2015</v>
      </c>
    </row>
    <row r="267" customFormat="false" ht="13.8" hidden="false" customHeight="false" outlineLevel="0" collapsed="false">
      <c r="A267" s="0" t="n">
        <v>4270</v>
      </c>
      <c r="B267" s="39" t="n">
        <f aca="false">MY_PH(B$2,$A267)</f>
        <v>4.21030612755022E-005</v>
      </c>
      <c r="C267" s="39" t="n">
        <f aca="false">MY_PH(C$2,$A267)</f>
        <v>4.21030716037843E-005</v>
      </c>
      <c r="D267" s="39" t="n">
        <f aca="false">MY_PH(D$2,$A267)</f>
        <v>4.21030819320841E-005</v>
      </c>
      <c r="E267" s="39" t="n">
        <f aca="false">MY_PH(E$2,$A267)</f>
        <v>4.21030922604017E-005</v>
      </c>
      <c r="F267" s="39" t="n">
        <f aca="false">MY_PH(F$2,$A267)</f>
        <v>4.21031029202449E-005</v>
      </c>
      <c r="G267" s="39" t="n">
        <f aca="false">MY_PH(G$2,$A267)</f>
        <v>4.21032065360818E-005</v>
      </c>
      <c r="H267" s="39" t="n">
        <f aca="false">MY_PH(H$2,$A267)</f>
        <v>4.21033104852003E-005</v>
      </c>
      <c r="I267" s="39" t="n">
        <f aca="false">MY_PH(I$2,$A267)</f>
        <v>4.21034144360925E-005</v>
      </c>
      <c r="J267" s="39" t="n">
        <f aca="false">MY_PH(J$2,$A267)</f>
        <v>4.21035182230053E-005</v>
      </c>
      <c r="K267" s="39" t="n">
        <f aca="false">MY_PH(K$2,$A267)</f>
        <v>4.21036220116922E-005</v>
      </c>
      <c r="L267" s="39" t="n">
        <f aca="false">MY_PH(L$2,$A267)</f>
        <v>4.21037259679058E-005</v>
      </c>
      <c r="M267" s="39" t="n">
        <f aca="false">MY_PH(M$2,$A267)</f>
        <v>4.21038299258931E-005</v>
      </c>
      <c r="N267" s="39" t="n">
        <f aca="false">MY_PH(N$2,$A267)</f>
        <v>4.21039335541494E-005</v>
      </c>
      <c r="O267" s="39" t="n">
        <f aca="false">MY_PH(O$2,$A267)</f>
        <v>4.21040375156841E-005</v>
      </c>
      <c r="P267" s="39" t="n">
        <f aca="false">MY_PH(P$2,$A267)</f>
        <v>4.21050762340704E-005</v>
      </c>
      <c r="Q267" s="39" t="n">
        <f aca="false">MY_PH(Q$2,$A267)</f>
        <v>4.2106115129804E-005</v>
      </c>
      <c r="R267" s="39" t="n">
        <f aca="false">MY_PH(R$2,$A267)</f>
        <v>4.21071542028554E-005</v>
      </c>
      <c r="S267" s="39" t="n">
        <f aca="false">MY_PH(S$2,$A267)</f>
        <v>4.21081934531954E-005</v>
      </c>
      <c r="T267" s="39" t="n">
        <f aca="false">MY_PH(T$2,$A267)</f>
        <v>4.21092325493122E-005</v>
      </c>
      <c r="U267" s="39" t="n">
        <f aca="false">MY_PH(U$2,$A267)</f>
        <v>4.21102721541458E-005</v>
      </c>
      <c r="V267" s="39" t="n">
        <f aca="false">MY_PH(V$2,$A267)</f>
        <v>4.21113116047061E-005</v>
      </c>
      <c r="W267" s="39" t="n">
        <f aca="false">MY_PH(W$2,$A267)</f>
        <v>4.2112351563916E-005</v>
      </c>
      <c r="X267" s="39" t="n">
        <f aca="false">MY_PH(X$2,$A267)</f>
        <v>4.21133913688026E-005</v>
      </c>
      <c r="Y267" s="39" t="n">
        <f aca="false">MY_PH(Y$2,$A267)</f>
        <v>4.21237984916611E-005</v>
      </c>
      <c r="Z267" s="39" t="n">
        <f aca="false">MY_PH(Z$2,$A267)</f>
        <v>4.21342199837201E-005</v>
      </c>
      <c r="AA267" s="39" t="n">
        <f aca="false">MY_PH(AA$2,$A267)</f>
        <v>4.21446561482919E-005</v>
      </c>
      <c r="AB267" s="39" t="n">
        <f aca="false">MY_PH(AB$2,$A267)</f>
        <v>4.21551069572205E-005</v>
      </c>
      <c r="AC267" s="39" t="n">
        <f aca="false">MY_PH(AC$2,$A267)</f>
        <v>4.21655720511007E-005</v>
      </c>
      <c r="AD267" s="39" t="n">
        <f aca="false">MY_PH(AD$2,$A267)</f>
        <v>4.21760517331038E-005</v>
      </c>
      <c r="AE267" s="39" t="n">
        <f aca="false">MY_PH(AE$2,$A267)</f>
        <v>4.21865456439064E-005</v>
      </c>
      <c r="AF267" s="39" t="n">
        <f aca="false">MY_PH(AF$2,$A267)</f>
        <v>4.21970537554718E-005</v>
      </c>
      <c r="AG267" s="39" t="n">
        <f aca="false">MY_PH(AG$2,$A267)</f>
        <v>4.22075763708228E-005</v>
      </c>
      <c r="AH267" s="39" t="n">
        <f aca="false">MY_PH(AH$2,$A267)</f>
        <v>4.23135791514933E-005</v>
      </c>
      <c r="AI267" s="39" t="n">
        <f aca="false">MY_PH(AI$2,$A267)</f>
        <v>4.24209659752585E-005</v>
      </c>
      <c r="AJ267" s="39" t="n">
        <f aca="false">MY_PH(AJ$2,$A267)</f>
        <v>4.25296967902027E-005</v>
      </c>
      <c r="AK267" s="39" t="n">
        <f aca="false">MY_PH(AK$2,$A267)</f>
        <v>4.26397314672913E-005</v>
      </c>
      <c r="AL267" s="39" t="n">
        <f aca="false">MY_PH(AL$2,$A267)</f>
        <v>4.27510304202392E-005</v>
      </c>
      <c r="AM267" s="39" t="n">
        <f aca="false">MY_PH(AM$2,$A267)</f>
        <v>4.28635544020095E-005</v>
      </c>
      <c r="AN267" s="39" t="n">
        <f aca="false">MY_PH(AN$2,$A267)</f>
        <v>4.29772639786692E-005</v>
      </c>
      <c r="AO267" s="39" t="n">
        <f aca="false">MY_PH(AO$2,$A267)</f>
        <v>4.30921208073434E-005</v>
      </c>
      <c r="AP267" s="39" t="n">
        <f aca="false">MY_PH(AP$2,$A267)</f>
        <v>2015</v>
      </c>
      <c r="AQ267" s="39" t="n">
        <f aca="false">MY_PH(AQ$2,$A267)</f>
        <v>2015</v>
      </c>
      <c r="AR267" s="39" t="n">
        <f aca="false">MY_PH(AR$2,$A267)</f>
        <v>2015</v>
      </c>
      <c r="AS267" s="39" t="n">
        <f aca="false">MY_PH(AS$2,$A267)</f>
        <v>2015</v>
      </c>
    </row>
    <row r="268" customFormat="false" ht="13.8" hidden="false" customHeight="false" outlineLevel="0" collapsed="false">
      <c r="A268" s="0" t="n">
        <v>4280</v>
      </c>
      <c r="B268" s="39" t="n">
        <f aca="false">MY_PH(B$2,$A268)</f>
        <v>4.22589899289723E-005</v>
      </c>
      <c r="C268" s="39" t="n">
        <f aca="false">MY_PH(C$2,$A268)</f>
        <v>4.22590002368554E-005</v>
      </c>
      <c r="D268" s="39" t="n">
        <f aca="false">MY_PH(D$2,$A268)</f>
        <v>4.22590105447562E-005</v>
      </c>
      <c r="E268" s="39" t="n">
        <f aca="false">MY_PH(E$2,$A268)</f>
        <v>4.22590208526745E-005</v>
      </c>
      <c r="F268" s="39" t="n">
        <f aca="false">MY_PH(F$2,$A268)</f>
        <v>4.22590311606105E-005</v>
      </c>
      <c r="G268" s="39" t="n">
        <f aca="false">MY_PH(G$2,$A268)</f>
        <v>4.22591340754077E-005</v>
      </c>
      <c r="H268" s="39" t="n">
        <f aca="false">MY_PH(H$2,$A268)</f>
        <v>4.22592369919661E-005</v>
      </c>
      <c r="I268" s="39" t="n">
        <f aca="false">MY_PH(I$2,$A268)</f>
        <v>4.2259340075816E-005</v>
      </c>
      <c r="J268" s="39" t="n">
        <f aca="false">MY_PH(J$2,$A268)</f>
        <v>4.22594431614267E-005</v>
      </c>
      <c r="K268" s="39" t="n">
        <f aca="false">MY_PH(K$2,$A268)</f>
        <v>4.22595459177379E-005</v>
      </c>
      <c r="L268" s="39" t="n">
        <f aca="false">MY_PH(L$2,$A268)</f>
        <v>4.22596490068702E-005</v>
      </c>
      <c r="M268" s="39" t="n">
        <f aca="false">MY_PH(M$2,$A268)</f>
        <v>4.22597520977631E-005</v>
      </c>
      <c r="N268" s="39" t="n">
        <f aca="false">MY_PH(N$2,$A268)</f>
        <v>4.22598548593578E-005</v>
      </c>
      <c r="O268" s="39" t="n">
        <f aca="false">MY_PH(O$2,$A268)</f>
        <v>4.22599579537722E-005</v>
      </c>
      <c r="P268" s="39" t="n">
        <f aca="false">MY_PH(P$2,$A268)</f>
        <v>4.22609880015766E-005</v>
      </c>
      <c r="Q268" s="39" t="n">
        <f aca="false">MY_PH(Q$2,$A268)</f>
        <v>4.22620182254273E-005</v>
      </c>
      <c r="R268" s="39" t="n">
        <f aca="false">MY_PH(R$2,$A268)</f>
        <v>4.22630486252953E-005</v>
      </c>
      <c r="S268" s="39" t="n">
        <f aca="false">MY_PH(S$2,$A268)</f>
        <v>4.22640788701108E-005</v>
      </c>
      <c r="T268" s="39" t="n">
        <f aca="false">MY_PH(T$2,$A268)</f>
        <v>4.22651096219305E-005</v>
      </c>
      <c r="U268" s="39" t="n">
        <f aca="false">MY_PH(U$2,$A268)</f>
        <v>4.22661402186484E-005</v>
      </c>
      <c r="V268" s="39" t="n">
        <f aca="false">MY_PH(V$2,$A268)</f>
        <v>4.22671713223035E-005</v>
      </c>
      <c r="W268" s="39" t="n">
        <f aca="false">MY_PH(W$2,$A268)</f>
        <v>4.22682022708075E-005</v>
      </c>
      <c r="X268" s="39" t="n">
        <f aca="false">MY_PH(X$2,$A268)</f>
        <v>4.22692333951632E-005</v>
      </c>
      <c r="Y268" s="39" t="n">
        <f aca="false">MY_PH(Y$2,$A268)</f>
        <v>4.22795533112422E-005</v>
      </c>
      <c r="Z268" s="39" t="n">
        <f aca="false">MY_PH(Z$2,$A268)</f>
        <v>4.22898874714715E-005</v>
      </c>
      <c r="AA268" s="39" t="n">
        <f aca="false">MY_PH(AA$2,$A268)</f>
        <v>4.23002365098738E-005</v>
      </c>
      <c r="AB268" s="39" t="n">
        <f aca="false">MY_PH(AB$2,$A268)</f>
        <v>4.23105997367514E-005</v>
      </c>
      <c r="AC268" s="39" t="n">
        <f aca="false">MY_PH(AC$2,$A268)</f>
        <v>4.23209771243536E-005</v>
      </c>
      <c r="AD268" s="39" t="n">
        <f aca="false">MY_PH(AD$2,$A268)</f>
        <v>4.23313693064232E-005</v>
      </c>
      <c r="AE268" s="39" t="n">
        <f aca="false">MY_PH(AE$2,$A268)</f>
        <v>4.23417755935242E-005</v>
      </c>
      <c r="AF268" s="39" t="n">
        <f aca="false">MY_PH(AF$2,$A268)</f>
        <v>4.23521959578957E-005</v>
      </c>
      <c r="AG268" s="39" t="n">
        <f aca="false">MY_PH(AG$2,$A268)</f>
        <v>4.23626307023816E-005</v>
      </c>
      <c r="AH268" s="39" t="n">
        <f aca="false">MY_PH(AH$2,$A268)</f>
        <v>4.24677520153402E-005</v>
      </c>
      <c r="AI268" s="39" t="n">
        <f aca="false">MY_PH(AI$2,$A268)</f>
        <v>4.25742512802283E-005</v>
      </c>
      <c r="AJ268" s="39" t="n">
        <f aca="false">MY_PH(AJ$2,$A268)</f>
        <v>4.26820883862676E-005</v>
      </c>
      <c r="AK268" s="39" t="n">
        <f aca="false">MY_PH(AK$2,$A268)</f>
        <v>4.27912236435508E-005</v>
      </c>
      <c r="AL268" s="39" t="n">
        <f aca="false">MY_PH(AL$2,$A268)</f>
        <v>4.29016182343194E-005</v>
      </c>
      <c r="AM268" s="39" t="n">
        <f aca="false">MY_PH(AM$2,$A268)</f>
        <v>4.30132328614189E-005</v>
      </c>
      <c r="AN268" s="39" t="n">
        <f aca="false">MY_PH(AN$2,$A268)</f>
        <v>4.31260290274408E-005</v>
      </c>
      <c r="AO268" s="39" t="n">
        <f aca="false">MY_PH(AO$2,$A268)</f>
        <v>4.32399685084416E-005</v>
      </c>
      <c r="AP268" s="39" t="n">
        <f aca="false">MY_PH(AP$2,$A268)</f>
        <v>2015</v>
      </c>
      <c r="AQ268" s="39" t="n">
        <f aca="false">MY_PH(AQ$2,$A268)</f>
        <v>2015</v>
      </c>
      <c r="AR268" s="39" t="n">
        <f aca="false">MY_PH(AR$2,$A268)</f>
        <v>2015</v>
      </c>
      <c r="AS268" s="39" t="n">
        <f aca="false">MY_PH(AS$2,$A268)</f>
        <v>2015</v>
      </c>
    </row>
    <row r="269" customFormat="false" ht="13.8" hidden="false" customHeight="false" outlineLevel="0" collapsed="false">
      <c r="A269" s="0" t="n">
        <v>4290</v>
      </c>
      <c r="B269" s="39" t="n">
        <f aca="false">MY_PH(B$2,$A269)</f>
        <v>4.24145240478943E-005</v>
      </c>
      <c r="C269" s="39" t="n">
        <f aca="false">MY_PH(C$2,$A269)</f>
        <v>4.24145343348437E-005</v>
      </c>
      <c r="D269" s="39" t="n">
        <f aca="false">MY_PH(D$2,$A269)</f>
        <v>4.24145446218104E-005</v>
      </c>
      <c r="E269" s="39" t="n">
        <f aca="false">MY_PH(E$2,$A269)</f>
        <v>4.24145549087947E-005</v>
      </c>
      <c r="F269" s="39" t="n">
        <f aca="false">MY_PH(F$2,$A269)</f>
        <v>4.24145648651791E-005</v>
      </c>
      <c r="G269" s="39" t="n">
        <f aca="false">MY_PH(G$2,$A269)</f>
        <v>4.24146670749235E-005</v>
      </c>
      <c r="H269" s="39" t="n">
        <f aca="false">MY_PH(H$2,$A269)</f>
        <v>4.24147692864161E-005</v>
      </c>
      <c r="I269" s="39" t="n">
        <f aca="false">MY_PH(I$2,$A269)</f>
        <v>4.24148713343488E-005</v>
      </c>
      <c r="J269" s="39" t="n">
        <f aca="false">MY_PH(J$2,$A269)</f>
        <v>4.24149733840301E-005</v>
      </c>
      <c r="K269" s="39" t="n">
        <f aca="false">MY_PH(K$2,$A269)</f>
        <v>4.24150756007673E-005</v>
      </c>
      <c r="L269" s="39" t="n">
        <f aca="false">MY_PH(L$2,$A269)</f>
        <v>4.24151778192526E-005</v>
      </c>
      <c r="M269" s="39" t="n">
        <f aca="false">MY_PH(M$2,$A269)</f>
        <v>4.24152797088717E-005</v>
      </c>
      <c r="N269" s="39" t="n">
        <f aca="false">MY_PH(N$2,$A269)</f>
        <v>4.24153819308534E-005</v>
      </c>
      <c r="O269" s="39" t="n">
        <f aca="false">MY_PH(O$2,$A269)</f>
        <v>4.2415484154583E-005</v>
      </c>
      <c r="P269" s="39" t="n">
        <f aca="false">MY_PH(P$2,$A269)</f>
        <v>4.24165054961833E-005</v>
      </c>
      <c r="Q269" s="39" t="n">
        <f aca="false">MY_PH(Q$2,$A269)</f>
        <v>4.24175270125727E-005</v>
      </c>
      <c r="R269" s="39" t="n">
        <f aca="false">MY_PH(R$2,$A269)</f>
        <v>4.24185487037222E-005</v>
      </c>
      <c r="S269" s="39" t="n">
        <f aca="false">MY_PH(S$2,$A269)</f>
        <v>4.24195704043055E-005</v>
      </c>
      <c r="T269" s="39" t="n">
        <f aca="false">MY_PH(T$2,$A269)</f>
        <v>4.24205922795959E-005</v>
      </c>
      <c r="U269" s="39" t="n">
        <f aca="false">MY_PH(U$2,$A269)</f>
        <v>4.24216144948575E-005</v>
      </c>
      <c r="V269" s="39" t="n">
        <f aca="false">MY_PH(V$2,$A269)</f>
        <v>4.24226365541824E-005</v>
      </c>
      <c r="W269" s="39" t="n">
        <f aca="false">MY_PH(W$2,$A269)</f>
        <v>4.24236591187094E-005</v>
      </c>
      <c r="X269" s="39" t="n">
        <f aca="false">MY_PH(X$2,$A269)</f>
        <v>4.2424681527251E-005</v>
      </c>
      <c r="Y269" s="39" t="n">
        <f aca="false">MY_PH(Y$2,$A269)</f>
        <v>4.24349145480603E-005</v>
      </c>
      <c r="Z269" s="39" t="n">
        <f aca="false">MY_PH(Z$2,$A269)</f>
        <v>4.24451623530922E-005</v>
      </c>
      <c r="AA269" s="39" t="n">
        <f aca="false">MY_PH(AA$2,$A269)</f>
        <v>4.24554242537177E-005</v>
      </c>
      <c r="AB269" s="39" t="n">
        <f aca="false">MY_PH(AB$2,$A269)</f>
        <v>4.24657005528418E-005</v>
      </c>
      <c r="AC269" s="39" t="n">
        <f aca="false">MY_PH(AC$2,$A269)</f>
        <v>4.24759912228393E-005</v>
      </c>
      <c r="AD269" s="39" t="n">
        <f aca="false">MY_PH(AD$2,$A269)</f>
        <v>4.24862962360813E-005</v>
      </c>
      <c r="AE269" s="39" t="n">
        <f aca="false">MY_PH(AE$2,$A269)</f>
        <v>4.24966155649347E-005</v>
      </c>
      <c r="AF269" s="39" t="n">
        <f aca="false">MY_PH(AF$2,$A269)</f>
        <v>4.25069488515601E-005</v>
      </c>
      <c r="AG269" s="39" t="n">
        <f aca="false">MY_PH(AG$2,$A269)</f>
        <v>4.25172963986113E-005</v>
      </c>
      <c r="AH269" s="39" t="n">
        <f aca="false">MY_PH(AH$2,$A269)</f>
        <v>4.26215418648103E-005</v>
      </c>
      <c r="AI269" s="39" t="n">
        <f aca="false">MY_PH(AI$2,$A269)</f>
        <v>4.27271592346679E-005</v>
      </c>
      <c r="AJ269" s="39" t="n">
        <f aca="false">MY_PH(AJ$2,$A269)</f>
        <v>4.28341089861539E-005</v>
      </c>
      <c r="AK269" s="39" t="n">
        <f aca="false">MY_PH(AK$2,$A269)</f>
        <v>4.29423515263589E-005</v>
      </c>
      <c r="AL269" s="39" t="n">
        <f aca="false">MY_PH(AL$2,$A269)</f>
        <v>4.30518484652996E-005</v>
      </c>
      <c r="AM269" s="39" t="n">
        <f aca="false">MY_PH(AM$2,$A269)</f>
        <v>4.3162561263713E-005</v>
      </c>
      <c r="AN269" s="39" t="n">
        <f aca="false">MY_PH(AN$2,$A269)</f>
        <v>4.32744512027518E-005</v>
      </c>
      <c r="AO269" s="39" t="n">
        <f aca="false">MY_PH(AO$2,$A269)</f>
        <v>4.3387480333064E-005</v>
      </c>
      <c r="AP269" s="39" t="n">
        <f aca="false">MY_PH(AP$2,$A269)</f>
        <v>2015</v>
      </c>
      <c r="AQ269" s="39" t="n">
        <f aca="false">MY_PH(AQ$2,$A269)</f>
        <v>2015</v>
      </c>
      <c r="AR269" s="39" t="n">
        <f aca="false">MY_PH(AR$2,$A269)</f>
        <v>2015</v>
      </c>
      <c r="AS269" s="39" t="n">
        <f aca="false">MY_PH(AS$2,$A269)</f>
        <v>2015</v>
      </c>
    </row>
    <row r="270" customFormat="false" ht="13.8" hidden="false" customHeight="false" outlineLevel="0" collapsed="false">
      <c r="A270" s="0" t="n">
        <v>4300</v>
      </c>
      <c r="B270" s="39" t="n">
        <f aca="false">MY_PH(B$2,$A270)</f>
        <v>4.25696654648149E-005</v>
      </c>
      <c r="C270" s="39" t="n">
        <f aca="false">MY_PH(C$2,$A270)</f>
        <v>4.256967573031E-005</v>
      </c>
      <c r="D270" s="39" t="n">
        <f aca="false">MY_PH(D$2,$A270)</f>
        <v>4.25696856656493E-005</v>
      </c>
      <c r="E270" s="39" t="n">
        <f aca="false">MY_PH(E$2,$A270)</f>
        <v>4.25696959311791E-005</v>
      </c>
      <c r="F270" s="39" t="n">
        <f aca="false">MY_PH(F$2,$A270)</f>
        <v>4.25697058665532E-005</v>
      </c>
      <c r="G270" s="39" t="n">
        <f aca="false">MY_PH(G$2,$A270)</f>
        <v>4.25698072022875E-005</v>
      </c>
      <c r="H270" s="39" t="n">
        <f aca="false">MY_PH(H$2,$A270)</f>
        <v>4.25699085397578E-005</v>
      </c>
      <c r="I270" s="39" t="n">
        <f aca="false">MY_PH(I$2,$A270)</f>
        <v>4.2570009878964E-005</v>
      </c>
      <c r="J270" s="39" t="n">
        <f aca="false">MY_PH(J$2,$A270)</f>
        <v>4.25701108897349E-005</v>
      </c>
      <c r="K270" s="39" t="n">
        <f aca="false">MY_PH(K$2,$A270)</f>
        <v>4.25702122324134E-005</v>
      </c>
      <c r="L270" s="39" t="n">
        <f aca="false">MY_PH(L$2,$A270)</f>
        <v>4.25703135768278E-005</v>
      </c>
      <c r="M270" s="39" t="n">
        <f aca="false">MY_PH(M$2,$A270)</f>
        <v>4.2570414922978E-005</v>
      </c>
      <c r="N270" s="39" t="n">
        <f aca="false">MY_PH(N$2,$A270)</f>
        <v>4.25705159406947E-005</v>
      </c>
      <c r="O270" s="39" t="n">
        <f aca="false">MY_PH(O$2,$A270)</f>
        <v>4.25706172903169E-005</v>
      </c>
      <c r="P270" s="39" t="n">
        <f aca="false">MY_PH(P$2,$A270)</f>
        <v>4.25716302216726E-005</v>
      </c>
      <c r="Q270" s="39" t="n">
        <f aca="false">MY_PH(Q$2,$A270)</f>
        <v>4.25726429964337E-005</v>
      </c>
      <c r="R270" s="39" t="n">
        <f aca="false">MY_PH(R$2,$A270)</f>
        <v>4.25736559447403E-005</v>
      </c>
      <c r="S270" s="39" t="n">
        <f aca="false">MY_PH(S$2,$A270)</f>
        <v>4.2574669066564E-005</v>
      </c>
      <c r="T270" s="39" t="n">
        <f aca="false">MY_PH(T$2,$A270)</f>
        <v>4.2575682692022E-005</v>
      </c>
      <c r="U270" s="39" t="n">
        <f aca="false">MY_PH(U$2,$A270)</f>
        <v>4.25766961607893E-005</v>
      </c>
      <c r="V270" s="39" t="n">
        <f aca="false">MY_PH(V$2,$A270)</f>
        <v>4.25777096379194E-005</v>
      </c>
      <c r="W270" s="39" t="n">
        <f aca="false">MY_PH(W$2,$A270)</f>
        <v>4.25787232884567E-005</v>
      </c>
      <c r="X270" s="39" t="n">
        <f aca="false">MY_PH(X$2,$A270)</f>
        <v>4.25797372774363E-005</v>
      </c>
      <c r="Y270" s="39" t="n">
        <f aca="false">MY_PH(Y$2,$A270)</f>
        <v>4.25898843859363E-005</v>
      </c>
      <c r="Z270" s="39" t="n">
        <f aca="false">MY_PH(Z$2,$A270)</f>
        <v>4.26000458306859E-005</v>
      </c>
      <c r="AA270" s="39" t="n">
        <f aca="false">MY_PH(AA$2,$A270)</f>
        <v>4.26102215843145E-005</v>
      </c>
      <c r="AB270" s="39" t="n">
        <f aca="false">MY_PH(AB$2,$A270)</f>
        <v>4.26204116194496E-005</v>
      </c>
      <c r="AC270" s="39" t="n">
        <f aca="false">MY_PH(AC$2,$A270)</f>
        <v>4.2630615743769E-005</v>
      </c>
      <c r="AD270" s="39" t="n">
        <f aca="false">MY_PH(AD$2,$A270)</f>
        <v>4.26408342598113E-005</v>
      </c>
      <c r="AE270" s="39" t="n">
        <f aca="false">MY_PH(AE$2,$A270)</f>
        <v>4.2651066810325E-005</v>
      </c>
      <c r="AF270" s="39" t="n">
        <f aca="false">MY_PH(AF$2,$A270)</f>
        <v>4.26613136977447E-005</v>
      </c>
      <c r="AG270" s="39" t="n">
        <f aca="false">MY_PH(AG$2,$A270)</f>
        <v>4.26715747297561E-005</v>
      </c>
      <c r="AH270" s="39" t="n">
        <f aca="false">MY_PH(AH$2,$A270)</f>
        <v>4.27749503876087E-005</v>
      </c>
      <c r="AI270" s="39" t="n">
        <f aca="false">MY_PH(AI$2,$A270)</f>
        <v>4.28796919319992E-005</v>
      </c>
      <c r="AJ270" s="39" t="n">
        <f aca="false">MY_PH(AJ$2,$A270)</f>
        <v>4.29857604185696E-005</v>
      </c>
      <c r="AK270" s="39" t="n">
        <f aca="false">MY_PH(AK$2,$A270)</f>
        <v>4.30931168333303E-005</v>
      </c>
      <c r="AL270" s="39" t="n">
        <f aca="false">MY_PH(AL$2,$A270)</f>
        <v>4.32017227109116E-005</v>
      </c>
      <c r="AM270" s="39" t="n">
        <f aca="false">MY_PH(AM$2,$A270)</f>
        <v>4.33115404221782E-005</v>
      </c>
      <c r="AN270" s="39" t="n">
        <f aca="false">MY_PH(AN$2,$A270)</f>
        <v>4.34225311809364E-005</v>
      </c>
      <c r="AO270" s="39" t="n">
        <f aca="false">MY_PH(AO$2,$A270)</f>
        <v>4.35346576262953E-005</v>
      </c>
      <c r="AP270" s="39" t="n">
        <f aca="false">MY_PH(AP$2,$A270)</f>
        <v>2015</v>
      </c>
      <c r="AQ270" s="39" t="n">
        <f aca="false">MY_PH(AQ$2,$A270)</f>
        <v>2015</v>
      </c>
      <c r="AR270" s="39" t="n">
        <f aca="false">MY_PH(AR$2,$A270)</f>
        <v>2015</v>
      </c>
      <c r="AS270" s="39" t="n">
        <f aca="false">MY_PH(AS$2,$A270)</f>
        <v>2015</v>
      </c>
    </row>
    <row r="271" customFormat="false" ht="13.8" hidden="false" customHeight="false" outlineLevel="0" collapsed="false">
      <c r="A271" s="0" t="n">
        <v>4310</v>
      </c>
      <c r="B271" s="39" t="n">
        <f aca="false">MY_PH(B$2,$A271)</f>
        <v>4.27244153555539E-005</v>
      </c>
      <c r="C271" s="39" t="n">
        <f aca="false">MY_PH(C$2,$A271)</f>
        <v>4.2724425269359E-005</v>
      </c>
      <c r="D271" s="39" t="n">
        <f aca="false">MY_PH(D$2,$A271)</f>
        <v>4.27244355129111E-005</v>
      </c>
      <c r="E271" s="39" t="n">
        <f aca="false">MY_PH(E$2,$A271)</f>
        <v>4.27244454267507E-005</v>
      </c>
      <c r="F271" s="39" t="n">
        <f aca="false">MY_PH(F$2,$A271)</f>
        <v>4.27244555054724E-005</v>
      </c>
      <c r="G271" s="39" t="n">
        <f aca="false">MY_PH(G$2,$A271)</f>
        <v>4.27245557990435E-005</v>
      </c>
      <c r="H271" s="39" t="n">
        <f aca="false">MY_PH(H$2,$A271)</f>
        <v>4.27246562592037E-005</v>
      </c>
      <c r="I271" s="39" t="n">
        <f aca="false">MY_PH(I$2,$A271)</f>
        <v>4.2724756721088E-005</v>
      </c>
      <c r="J271" s="39" t="n">
        <f aca="false">MY_PH(J$2,$A271)</f>
        <v>4.27248571846966E-005</v>
      </c>
      <c r="K271" s="39" t="n">
        <f aca="false">MY_PH(K$2,$A271)</f>
        <v>4.27249576500292E-005</v>
      </c>
      <c r="L271" s="39" t="n">
        <f aca="false">MY_PH(L$2,$A271)</f>
        <v>4.27250577873593E-005</v>
      </c>
      <c r="M271" s="39" t="n">
        <f aca="false">MY_PH(M$2,$A271)</f>
        <v>4.27251582561407E-005</v>
      </c>
      <c r="N271" s="39" t="n">
        <f aca="false">MY_PH(N$2,$A271)</f>
        <v>4.27252587266461E-005</v>
      </c>
      <c r="O271" s="39" t="n">
        <f aca="false">MY_PH(O$2,$A271)</f>
        <v>4.27253591988756E-005</v>
      </c>
      <c r="P271" s="39" t="n">
        <f aca="false">MY_PH(P$2,$A271)</f>
        <v>4.27263633565451E-005</v>
      </c>
      <c r="Q271" s="39" t="n">
        <f aca="false">MY_PH(Q$2,$A271)</f>
        <v>4.27273676866059E-005</v>
      </c>
      <c r="R271" s="39" t="n">
        <f aca="false">MY_PH(R$2,$A271)</f>
        <v>4.27283721890298E-005</v>
      </c>
      <c r="S271" s="39" t="n">
        <f aca="false">MY_PH(S$2,$A271)</f>
        <v>4.27293768637883E-005</v>
      </c>
      <c r="T271" s="39" t="n">
        <f aca="false">MY_PH(T$2,$A271)</f>
        <v>4.2730381710853E-005</v>
      </c>
      <c r="U271" s="39" t="n">
        <f aca="false">MY_PH(U$2,$A271)</f>
        <v>4.27313864004984E-005</v>
      </c>
      <c r="V271" s="39" t="n">
        <f aca="false">MY_PH(V$2,$A271)</f>
        <v>4.27323915920951E-005</v>
      </c>
      <c r="W271" s="39" t="n">
        <f aca="false">MY_PH(W$2,$A271)</f>
        <v>4.27333969559128E-005</v>
      </c>
      <c r="X271" s="39" t="n">
        <f aca="false">MY_PH(X$2,$A271)</f>
        <v>4.273440216224E-005</v>
      </c>
      <c r="Y271" s="39" t="n">
        <f aca="false">MY_PH(Y$2,$A271)</f>
        <v>4.27444636903766E-005</v>
      </c>
      <c r="Z271" s="39" t="n">
        <f aca="false">MY_PH(Z$2,$A271)</f>
        <v>4.27545394411754E-005</v>
      </c>
      <c r="AA271" s="39" t="n">
        <f aca="false">MY_PH(AA$2,$A271)</f>
        <v>4.27646293875049E-005</v>
      </c>
      <c r="AB271" s="39" t="n">
        <f aca="false">MY_PH(AB$2,$A271)</f>
        <v>4.27747335022319E-005</v>
      </c>
      <c r="AC271" s="39" t="n">
        <f aca="false">MY_PH(AC$2,$A271)</f>
        <v>4.2784852087665E-005</v>
      </c>
      <c r="AD271" s="39" t="n">
        <f aca="false">MY_PH(AD$2,$A271)</f>
        <v>4.27949844577285E-005</v>
      </c>
      <c r="AE271" s="39" t="n">
        <f aca="false">MY_PH(AE$2,$A271)</f>
        <v>4.28051312441197E-005</v>
      </c>
      <c r="AF271" s="39" t="n">
        <f aca="false">MY_PH(AF$2,$A271)</f>
        <v>4.28152920902476E-005</v>
      </c>
      <c r="AG271" s="39" t="n">
        <f aca="false">MY_PH(AG$2,$A271)</f>
        <v>4.28254668043366E-005</v>
      </c>
      <c r="AH271" s="39" t="n">
        <f aca="false">MY_PH(AH$2,$A271)</f>
        <v>4.2927978283261E-005</v>
      </c>
      <c r="AI271" s="39" t="n">
        <f aca="false">MY_PH(AI$2,$A271)</f>
        <v>4.30318501462965E-005</v>
      </c>
      <c r="AJ271" s="39" t="n">
        <f aca="false">MY_PH(AJ$2,$A271)</f>
        <v>4.31370435222923E-005</v>
      </c>
      <c r="AK271" s="39" t="n">
        <f aca="false">MY_PH(AK$2,$A271)</f>
        <v>4.32435202928682E-005</v>
      </c>
      <c r="AL271" s="39" t="n">
        <f aca="false">MY_PH(AL$2,$A271)</f>
        <v>4.33512419072352E-005</v>
      </c>
      <c r="AM271" s="39" t="n">
        <f aca="false">MY_PH(AM$2,$A271)</f>
        <v>4.3460170981967E-005</v>
      </c>
      <c r="AN271" s="39" t="n">
        <f aca="false">MY_PH(AN$2,$A271)</f>
        <v>4.35702696330239E-005</v>
      </c>
      <c r="AO271" s="39" t="n">
        <f aca="false">MY_PH(AO$2,$A271)</f>
        <v>4.36815005876571E-005</v>
      </c>
      <c r="AP271" s="39" t="n">
        <f aca="false">MY_PH(AP$2,$A271)</f>
        <v>2015</v>
      </c>
      <c r="AQ271" s="39" t="n">
        <f aca="false">MY_PH(AQ$2,$A271)</f>
        <v>2015</v>
      </c>
      <c r="AR271" s="39" t="n">
        <f aca="false">MY_PH(AR$2,$A271)</f>
        <v>2015</v>
      </c>
      <c r="AS271" s="39" t="n">
        <f aca="false">MY_PH(AS$2,$A271)</f>
        <v>2015</v>
      </c>
    </row>
    <row r="272" customFormat="false" ht="13.8" hidden="false" customHeight="false" outlineLevel="0" collapsed="false">
      <c r="A272" s="0" t="n">
        <v>4320</v>
      </c>
      <c r="B272" s="39" t="n">
        <f aca="false">MY_PH(B$2,$A272)</f>
        <v>4.2878775231176E-005</v>
      </c>
      <c r="C272" s="39" t="n">
        <f aca="false">MY_PH(C$2,$A272)</f>
        <v>4.28787851229712E-005</v>
      </c>
      <c r="D272" s="39" t="n">
        <f aca="false">MY_PH(D$2,$A272)</f>
        <v>4.28787953440707E-005</v>
      </c>
      <c r="E272" s="39" t="n">
        <f aca="false">MY_PH(E$2,$A272)</f>
        <v>4.28788052359003E-005</v>
      </c>
      <c r="F272" s="39" t="n">
        <f aca="false">MY_PH(F$2,$A272)</f>
        <v>4.28788151277469E-005</v>
      </c>
      <c r="G272" s="39" t="n">
        <f aca="false">MY_PH(G$2,$A272)</f>
        <v>4.28789147057298E-005</v>
      </c>
      <c r="H272" s="39" t="n">
        <f aca="false">MY_PH(H$2,$A272)</f>
        <v>4.28790142854257E-005</v>
      </c>
      <c r="I272" s="39" t="n">
        <f aca="false">MY_PH(I$2,$A272)</f>
        <v>4.28791138668343E-005</v>
      </c>
      <c r="J272" s="39" t="n">
        <f aca="false">MY_PH(J$2,$A272)</f>
        <v>4.28792134499558E-005</v>
      </c>
      <c r="K272" s="39" t="n">
        <f aca="false">MY_PH(K$2,$A272)</f>
        <v>4.28793130347902E-005</v>
      </c>
      <c r="L272" s="39" t="n">
        <f aca="false">MY_PH(L$2,$A272)</f>
        <v>4.28794124566952E-005</v>
      </c>
      <c r="M272" s="39" t="n">
        <f aca="false">MY_PH(M$2,$A272)</f>
        <v>4.28795118803135E-005</v>
      </c>
      <c r="N272" s="39" t="n">
        <f aca="false">MY_PH(N$2,$A272)</f>
        <v>4.28796114702866E-005</v>
      </c>
      <c r="O272" s="39" t="n">
        <f aca="false">MY_PH(O$2,$A272)</f>
        <v>4.28797110619724E-005</v>
      </c>
      <c r="P272" s="39" t="n">
        <f aca="false">MY_PH(P$2,$A272)</f>
        <v>4.28807067437444E-005</v>
      </c>
      <c r="Q272" s="39" t="n">
        <f aca="false">MY_PH(Q$2,$A272)</f>
        <v>4.28817025967651E-005</v>
      </c>
      <c r="R272" s="39" t="n">
        <f aca="false">MY_PH(R$2,$A272)</f>
        <v>4.28826986210059E-005</v>
      </c>
      <c r="S272" s="39" t="n">
        <f aca="false">MY_PH(S$2,$A272)</f>
        <v>4.2883694816439E-005</v>
      </c>
      <c r="T272" s="39" t="n">
        <f aca="false">MY_PH(T$2,$A272)</f>
        <v>4.28846911830359E-005</v>
      </c>
      <c r="U272" s="39" t="n">
        <f aca="false">MY_PH(U$2,$A272)</f>
        <v>4.28856873915146E-005</v>
      </c>
      <c r="V272" s="39" t="n">
        <f aca="false">MY_PH(V$2,$A272)</f>
        <v>4.28866841003596E-005</v>
      </c>
      <c r="W272" s="39" t="n">
        <f aca="false">MY_PH(W$2,$A272)</f>
        <v>4.28876806510396E-005</v>
      </c>
      <c r="X272" s="39" t="n">
        <f aca="false">MY_PH(X$2,$A272)</f>
        <v>4.28886777020199E-005</v>
      </c>
      <c r="Y272" s="39" t="n">
        <f aca="false">MY_PH(Y$2,$A272)</f>
        <v>4.28986539923242E-005</v>
      </c>
      <c r="Z272" s="39" t="n">
        <f aca="false">MY_PH(Z$2,$A272)</f>
        <v>4.29086443954887E-005</v>
      </c>
      <c r="AA272" s="39" t="n">
        <f aca="false">MY_PH(AA$2,$A272)</f>
        <v>4.29186492137054E-005</v>
      </c>
      <c r="AB272" s="39" t="n">
        <f aca="false">MY_PH(AB$2,$A272)</f>
        <v>4.29286684199237E-005</v>
      </c>
      <c r="AC272" s="39" t="n">
        <f aca="false">MY_PH(AC$2,$A272)</f>
        <v>4.29387013290971E-005</v>
      </c>
      <c r="AD272" s="39" t="n">
        <f aca="false">MY_PH(AD$2,$A272)</f>
        <v>4.29487485723577E-005</v>
      </c>
      <c r="AE272" s="39" t="n">
        <f aca="false">MY_PH(AE$2,$A272)</f>
        <v>4.2958809793747E-005</v>
      </c>
      <c r="AF272" s="39" t="n">
        <f aca="false">MY_PH(AF$2,$A272)</f>
        <v>4.29688851307719E-005</v>
      </c>
      <c r="AG272" s="39" t="n">
        <f aca="false">MY_PH(AG$2,$A272)</f>
        <v>4.29789743920378E-005</v>
      </c>
      <c r="AH272" s="39" t="n">
        <f aca="false">MY_PH(AH$2,$A272)</f>
        <v>4.30806272395487E-005</v>
      </c>
      <c r="AI272" s="39" t="n">
        <f aca="false">MY_PH(AI$2,$A272)</f>
        <v>4.31836351441277E-005</v>
      </c>
      <c r="AJ272" s="39" t="n">
        <f aca="false">MY_PH(AJ$2,$A272)</f>
        <v>4.32879597891108E-005</v>
      </c>
      <c r="AK272" s="39" t="n">
        <f aca="false">MY_PH(AK$2,$A272)</f>
        <v>4.3393562957693E-005</v>
      </c>
      <c r="AL272" s="39" t="n">
        <f aca="false">MY_PH(AL$2,$A272)</f>
        <v>4.35004069855386E-005</v>
      </c>
      <c r="AM272" s="39" t="n">
        <f aca="false">MY_PH(AM$2,$A272)</f>
        <v>4.36084543972996E-005</v>
      </c>
      <c r="AN272" s="39" t="n">
        <f aca="false">MY_PH(AN$2,$A272)</f>
        <v>4.37176678740874E-005</v>
      </c>
      <c r="AO272" s="39" t="n">
        <f aca="false">MY_PH(AO$2,$A272)</f>
        <v>4.38280100615445E-005</v>
      </c>
      <c r="AP272" s="39" t="n">
        <f aca="false">MY_PH(AP$2,$A272)</f>
        <v>2015</v>
      </c>
      <c r="AQ272" s="39" t="n">
        <f aca="false">MY_PH(AQ$2,$A272)</f>
        <v>2015</v>
      </c>
      <c r="AR272" s="39" t="n">
        <f aca="false">MY_PH(AR$2,$A272)</f>
        <v>2015</v>
      </c>
      <c r="AS272" s="39" t="n">
        <f aca="false">MY_PH(AS$2,$A272)</f>
        <v>2015</v>
      </c>
    </row>
    <row r="273" customFormat="false" ht="13.8" hidden="false" customHeight="false" outlineLevel="0" collapsed="false">
      <c r="A273" s="0" t="n">
        <v>4330</v>
      </c>
      <c r="B273" s="39" t="n">
        <f aca="false">MY_PH(B$2,$A273)</f>
        <v>4.30327469354581E-005</v>
      </c>
      <c r="C273" s="39" t="n">
        <f aca="false">MY_PH(C$2,$A273)</f>
        <v>4.3032756804764E-005</v>
      </c>
      <c r="D273" s="39" t="n">
        <f aca="false">MY_PH(D$2,$A273)</f>
        <v>4.3032766674087E-005</v>
      </c>
      <c r="E273" s="39" t="n">
        <f aca="false">MY_PH(E$2,$A273)</f>
        <v>4.3032776543427E-005</v>
      </c>
      <c r="F273" s="39" t="n">
        <f aca="false">MY_PH(F$2,$A273)</f>
        <v>4.3032786412784E-005</v>
      </c>
      <c r="G273" s="39" t="n">
        <f aca="false">MY_PH(G$2,$A273)</f>
        <v>4.30328851072903E-005</v>
      </c>
      <c r="H273" s="39" t="n">
        <f aca="false">MY_PH(H$2,$A273)</f>
        <v>4.30329838034986E-005</v>
      </c>
      <c r="I273" s="39" t="n">
        <f aca="false">MY_PH(I$2,$A273)</f>
        <v>4.30330825014087E-005</v>
      </c>
      <c r="J273" s="39" t="n">
        <f aca="false">MY_PH(J$2,$A273)</f>
        <v>4.30331812010207E-005</v>
      </c>
      <c r="K273" s="39" t="n">
        <f aca="false">MY_PH(K$2,$A273)</f>
        <v>4.30332799023346E-005</v>
      </c>
      <c r="L273" s="39" t="n">
        <f aca="false">MY_PH(L$2,$A273)</f>
        <v>4.30333786053504E-005</v>
      </c>
      <c r="M273" s="39" t="n">
        <f aca="false">MY_PH(M$2,$A273)</f>
        <v>4.30334773100679E-005</v>
      </c>
      <c r="N273" s="39" t="n">
        <f aca="false">MY_PH(N$2,$A273)</f>
        <v>4.30335760164873E-005</v>
      </c>
      <c r="O273" s="39" t="n">
        <f aca="false">MY_PH(O$2,$A273)</f>
        <v>4.30336747246084E-005</v>
      </c>
      <c r="P273" s="39" t="n">
        <f aca="false">MY_PH(P$2,$A273)</f>
        <v>4.30346618994094E-005</v>
      </c>
      <c r="Q273" s="39" t="n">
        <f aca="false">MY_PH(Q$2,$A273)</f>
        <v>4.30356492443549E-005</v>
      </c>
      <c r="R273" s="39" t="n">
        <f aca="false">MY_PH(R$2,$A273)</f>
        <v>4.30366369238298E-005</v>
      </c>
      <c r="S273" s="39" t="n">
        <f aca="false">MY_PH(S$2,$A273)</f>
        <v>4.30376246089777E-005</v>
      </c>
      <c r="T273" s="39" t="n">
        <f aca="false">MY_PH(T$2,$A273)</f>
        <v>4.30386122997779E-005</v>
      </c>
      <c r="U273" s="39" t="n">
        <f aca="false">MY_PH(U$2,$A273)</f>
        <v>4.30396003250212E-005</v>
      </c>
      <c r="V273" s="39" t="n">
        <f aca="false">MY_PH(V$2,$A273)</f>
        <v>4.30405885202689E-005</v>
      </c>
      <c r="W273" s="39" t="n">
        <f aca="false">MY_PH(W$2,$A273)</f>
        <v>4.30415768854931E-005</v>
      </c>
      <c r="X273" s="39" t="n">
        <f aca="false">MY_PH(X$2,$A273)</f>
        <v>4.30425650918688E-005</v>
      </c>
      <c r="Y273" s="39" t="n">
        <f aca="false">MY_PH(Y$2,$A273)</f>
        <v>4.30524568259159E-005</v>
      </c>
      <c r="Z273" s="39" t="n">
        <f aca="false">MY_PH(Z$2,$A273)</f>
        <v>4.30623628952912E-005</v>
      </c>
      <c r="AA273" s="39" t="n">
        <f aca="false">MY_PH(AA$2,$A273)</f>
        <v>4.30722829445138E-005</v>
      </c>
      <c r="AB273" s="39" t="n">
        <f aca="false">MY_PH(AB$2,$A273)</f>
        <v>4.30822172754977E-005</v>
      </c>
      <c r="AC273" s="39" t="n">
        <f aca="false">MY_PH(AC$2,$A273)</f>
        <v>4.30921655328567E-005</v>
      </c>
      <c r="AD273" s="39" t="n">
        <f aca="false">MY_PH(AD$2,$A273)</f>
        <v>4.31021280183997E-005</v>
      </c>
      <c r="AE273" s="39" t="n">
        <f aca="false">MY_PH(AE$2,$A273)</f>
        <v>4.31121043768343E-005</v>
      </c>
      <c r="AF273" s="39" t="n">
        <f aca="false">MY_PH(AF$2,$A273)</f>
        <v>4.31220945814639E-005</v>
      </c>
      <c r="AG273" s="39" t="n">
        <f aca="false">MY_PH(AG$2,$A273)</f>
        <v>4.31320989339344E-005</v>
      </c>
      <c r="AH273" s="39" t="n">
        <f aca="false">MY_PH(AH$2,$A273)</f>
        <v>4.32328986141867E-005</v>
      </c>
      <c r="AI273" s="39" t="n">
        <f aca="false">MY_PH(AI$2,$A273)</f>
        <v>4.33350485173355E-005</v>
      </c>
      <c r="AJ273" s="39" t="n">
        <f aca="false">MY_PH(AJ$2,$A273)</f>
        <v>4.34385103789944E-005</v>
      </c>
      <c r="AK273" s="39" t="n">
        <f aca="false">MY_PH(AK$2,$A273)</f>
        <v>4.35432462024627E-005</v>
      </c>
      <c r="AL273" s="39" t="n">
        <f aca="false">MY_PH(AL$2,$A273)</f>
        <v>4.36492191978021E-005</v>
      </c>
      <c r="AM273" s="39" t="n">
        <f aca="false">MY_PH(AM$2,$A273)</f>
        <v>4.37563914638056E-005</v>
      </c>
      <c r="AN273" s="39" t="n">
        <f aca="false">MY_PH(AN$2,$A273)</f>
        <v>4.38647262377748E-005</v>
      </c>
      <c r="AO273" s="39" t="n">
        <f aca="false">MY_PH(AO$2,$A273)</f>
        <v>4.39741870472205E-005</v>
      </c>
      <c r="AP273" s="39" t="n">
        <f aca="false">MY_PH(AP$2,$A273)</f>
        <v>2015</v>
      </c>
      <c r="AQ273" s="39" t="n">
        <f aca="false">MY_PH(AQ$2,$A273)</f>
        <v>2015</v>
      </c>
      <c r="AR273" s="39" t="n">
        <f aca="false">MY_PH(AR$2,$A273)</f>
        <v>2015</v>
      </c>
      <c r="AS273" s="39" t="n">
        <f aca="false">MY_PH(AS$2,$A273)</f>
        <v>2015</v>
      </c>
    </row>
    <row r="274" customFormat="false" ht="13.8" hidden="false" customHeight="false" outlineLevel="0" collapsed="false">
      <c r="A274" s="0" t="n">
        <v>4340</v>
      </c>
      <c r="B274" s="39" t="n">
        <f aca="false">MY_PH(B$2,$A274)</f>
        <v>4.31863316571666E-005</v>
      </c>
      <c r="C274" s="39" t="n">
        <f aca="false">MY_PH(C$2,$A274)</f>
        <v>4.31863411751128E-005</v>
      </c>
      <c r="D274" s="39" t="n">
        <f aca="false">MY_PH(D$2,$A274)</f>
        <v>4.31863510214802E-005</v>
      </c>
      <c r="E274" s="39" t="n">
        <f aca="false">MY_PH(E$2,$A274)</f>
        <v>4.31863608678643E-005</v>
      </c>
      <c r="F274" s="39" t="n">
        <f aca="false">MY_PH(F$2,$A274)</f>
        <v>4.31863707142654E-005</v>
      </c>
      <c r="G274" s="39" t="n">
        <f aca="false">MY_PH(G$2,$A274)</f>
        <v>4.31864685223986E-005</v>
      </c>
      <c r="H274" s="39" t="n">
        <f aca="false">MY_PH(H$2,$A274)</f>
        <v>4.31865663322232E-005</v>
      </c>
      <c r="I274" s="39" t="n">
        <f aca="false">MY_PH(I$2,$A274)</f>
        <v>4.31866641437391E-005</v>
      </c>
      <c r="J274" s="39" t="n">
        <f aca="false">MY_PH(J$2,$A274)</f>
        <v>4.31867621211473E-005</v>
      </c>
      <c r="K274" s="39" t="n">
        <f aca="false">MY_PH(K$2,$A274)</f>
        <v>4.31868601002464E-005</v>
      </c>
      <c r="L274" s="39" t="n">
        <f aca="false">MY_PH(L$2,$A274)</f>
        <v>4.31869579168357E-005</v>
      </c>
      <c r="M274" s="39" t="n">
        <f aca="false">MY_PH(M$2,$A274)</f>
        <v>4.31870557351162E-005</v>
      </c>
      <c r="N274" s="39" t="n">
        <f aca="false">MY_PH(N$2,$A274)</f>
        <v>4.3187153555088E-005</v>
      </c>
      <c r="O274" s="39" t="n">
        <f aca="false">MY_PH(O$2,$A274)</f>
        <v>4.31872513767509E-005</v>
      </c>
      <c r="P274" s="39" t="n">
        <f aca="false">MY_PH(P$2,$A274)</f>
        <v>4.31882303431788E-005</v>
      </c>
      <c r="Q274" s="39" t="n">
        <f aca="false">MY_PH(Q$2,$A274)</f>
        <v>4.31892094786749E-005</v>
      </c>
      <c r="R274" s="39" t="n">
        <f aca="false">MY_PH(R$2,$A274)</f>
        <v>4.31901884548268E-005</v>
      </c>
      <c r="S274" s="39" t="n">
        <f aca="false">MY_PH(S$2,$A274)</f>
        <v>4.31911679283811E-005</v>
      </c>
      <c r="T274" s="39" t="n">
        <f aca="false">MY_PH(T$2,$A274)</f>
        <v>4.31921472425455E-005</v>
      </c>
      <c r="U274" s="39" t="n">
        <f aca="false">MY_PH(U$2,$A274)</f>
        <v>4.31931267256768E-005</v>
      </c>
      <c r="V274" s="39" t="n">
        <f aca="false">MY_PH(V$2,$A274)</f>
        <v>4.31941063777473E-005</v>
      </c>
      <c r="W274" s="39" t="n">
        <f aca="false">MY_PH(W$2,$A274)</f>
        <v>4.31950861987291E-005</v>
      </c>
      <c r="X274" s="39" t="n">
        <f aca="false">MY_PH(X$2,$A274)</f>
        <v>4.31960661885945E-005</v>
      </c>
      <c r="Y274" s="39" t="n">
        <f aca="false">MY_PH(Y$2,$A274)</f>
        <v>4.3205874056502E-005</v>
      </c>
      <c r="Z274" s="39" t="n">
        <f aca="false">MY_PH(Z$2,$A274)</f>
        <v>4.32156958282632E-005</v>
      </c>
      <c r="AA274" s="39" t="n">
        <f aca="false">MY_PH(AA$2,$A274)</f>
        <v>4.32255318056083E-005</v>
      </c>
      <c r="AB274" s="39" t="n">
        <f aca="false">MY_PH(AB$2,$A274)</f>
        <v>4.32353819619104E-005</v>
      </c>
      <c r="AC274" s="39" t="n">
        <f aca="false">MY_PH(AC$2,$A274)</f>
        <v>4.32452459424366E-005</v>
      </c>
      <c r="AD274" s="39" t="n">
        <f aca="false">MY_PH(AD$2,$A274)</f>
        <v>4.32551240487592E-005</v>
      </c>
      <c r="AE274" s="39" t="n">
        <f aca="false">MY_PH(AE$2,$A274)</f>
        <v>4.32650160902418E-005</v>
      </c>
      <c r="AF274" s="39" t="n">
        <f aca="false">MY_PH(AF$2,$A274)</f>
        <v>4.32749218763468E-005</v>
      </c>
      <c r="AG274" s="39" t="n">
        <f aca="false">MY_PH(AG$2,$A274)</f>
        <v>4.32848418724305E-005</v>
      </c>
      <c r="AH274" s="39" t="n">
        <f aca="false">MY_PH(AH$2,$A274)</f>
        <v>4.33847940917113E-005</v>
      </c>
      <c r="AI274" s="39" t="n">
        <f aca="false">MY_PH(AI$2,$A274)</f>
        <v>4.34860915270339E-005</v>
      </c>
      <c r="AJ274" s="39" t="n">
        <f aca="false">MY_PH(AJ$2,$A274)</f>
        <v>4.35886964486659E-005</v>
      </c>
      <c r="AK274" s="39" t="n">
        <f aca="false">MY_PH(AK$2,$A274)</f>
        <v>4.36925713958055E-005</v>
      </c>
      <c r="AL274" s="39" t="n">
        <f aca="false">MY_PH(AL$2,$A274)</f>
        <v>4.37976791394283E-005</v>
      </c>
      <c r="AM274" s="39" t="n">
        <f aca="false">MY_PH(AM$2,$A274)</f>
        <v>4.39039829721473E-005</v>
      </c>
      <c r="AN274" s="39" t="n">
        <f aca="false">MY_PH(AN$2,$A274)</f>
        <v>4.40114461874558E-005</v>
      </c>
      <c r="AO274" s="39" t="n">
        <f aca="false">MY_PH(AO$2,$A274)</f>
        <v>4.41200322133025E-005</v>
      </c>
      <c r="AP274" s="39" t="n">
        <f aca="false">MY_PH(AP$2,$A274)</f>
        <v>2015</v>
      </c>
      <c r="AQ274" s="39" t="n">
        <f aca="false">MY_PH(AQ$2,$A274)</f>
        <v>2015</v>
      </c>
      <c r="AR274" s="39" t="n">
        <f aca="false">MY_PH(AR$2,$A274)</f>
        <v>2015</v>
      </c>
      <c r="AS274" s="39" t="n">
        <f aca="false">MY_PH(AS$2,$A274)</f>
        <v>2015</v>
      </c>
    </row>
    <row r="275" customFormat="false" ht="13.8" hidden="false" customHeight="false" outlineLevel="0" collapsed="false">
      <c r="A275" s="0" t="n">
        <v>4350</v>
      </c>
      <c r="B275" s="39" t="n">
        <f aca="false">MY_PH(B$2,$A275)</f>
        <v>4.33395309180642E-005</v>
      </c>
      <c r="C275" s="39" t="n">
        <f aca="false">MY_PH(C$2,$A275)</f>
        <v>4.33395404130417E-005</v>
      </c>
      <c r="D275" s="39" t="n">
        <f aca="false">MY_PH(D$2,$A275)</f>
        <v>4.33395502359999E-005</v>
      </c>
      <c r="E275" s="39" t="n">
        <f aca="false">MY_PH(E$2,$A275)</f>
        <v>4.33395600589749E-005</v>
      </c>
      <c r="F275" s="39" t="n">
        <f aca="false">MY_PH(F$2,$A275)</f>
        <v>4.33395695540029E-005</v>
      </c>
      <c r="G275" s="39" t="n">
        <f aca="false">MY_PH(G$2,$A275)</f>
        <v>4.33396668009535E-005</v>
      </c>
      <c r="H275" s="39" t="n">
        <f aca="false">MY_PH(H$2,$A275)</f>
        <v>4.33397637216215E-005</v>
      </c>
      <c r="I275" s="39" t="n">
        <f aca="false">MY_PH(I$2,$A275)</f>
        <v>4.33398606439707E-005</v>
      </c>
      <c r="J275" s="39" t="n">
        <f aca="false">MY_PH(J$2,$A275)</f>
        <v>4.33399578959628E-005</v>
      </c>
      <c r="K275" s="39" t="n">
        <f aca="false">MY_PH(K$2,$A275)</f>
        <v>4.33400548216737E-005</v>
      </c>
      <c r="L275" s="39" t="n">
        <f aca="false">MY_PH(L$2,$A275)</f>
        <v>4.33401517490657E-005</v>
      </c>
      <c r="M275" s="39" t="n">
        <f aca="false">MY_PH(M$2,$A275)</f>
        <v>4.3340249006099E-005</v>
      </c>
      <c r="N275" s="39" t="n">
        <f aca="false">MY_PH(N$2,$A275)</f>
        <v>4.33403459368526E-005</v>
      </c>
      <c r="O275" s="39" t="n">
        <f aca="false">MY_PH(O$2,$A275)</f>
        <v>4.33404428692872E-005</v>
      </c>
      <c r="P275" s="39" t="n">
        <f aca="false">MY_PH(P$2,$A275)</f>
        <v>4.33414135978982E-005</v>
      </c>
      <c r="Q275" s="39" t="n">
        <f aca="false">MY_PH(Q$2,$A275)</f>
        <v>4.33423841665887E-005</v>
      </c>
      <c r="R275" s="39" t="n">
        <f aca="false">MY_PH(R$2,$A275)</f>
        <v>4.33433549032904E-005</v>
      </c>
      <c r="S275" s="39" t="n">
        <f aca="false">MY_PH(S$2,$A275)</f>
        <v>4.33443258079756E-005</v>
      </c>
      <c r="T275" s="39" t="n">
        <f aca="false">MY_PH(T$2,$A275)</f>
        <v>4.33452968806166E-005</v>
      </c>
      <c r="U275" s="39" t="n">
        <f aca="false">MY_PH(U$2,$A275)</f>
        <v>4.33462681211858E-005</v>
      </c>
      <c r="V275" s="39" t="n">
        <f aca="false">MY_PH(V$2,$A275)</f>
        <v>4.33472395296556E-005</v>
      </c>
      <c r="W275" s="39" t="n">
        <f aca="false">MY_PH(W$2,$A275)</f>
        <v>4.33482111059983E-005</v>
      </c>
      <c r="X275" s="39" t="n">
        <f aca="false">MY_PH(X$2,$A275)</f>
        <v>4.33491826862294E-005</v>
      </c>
      <c r="Y275" s="39" t="n">
        <f aca="false">MY_PH(Y$2,$A275)</f>
        <v>4.33589068945715E-005</v>
      </c>
      <c r="Z275" s="39" t="n">
        <f aca="false">MY_PH(Z$2,$A275)</f>
        <v>4.33686450713907E-005</v>
      </c>
      <c r="AA275" s="39" t="n">
        <f aca="false">MY_PH(AA$2,$A275)</f>
        <v>4.33783976819783E-005</v>
      </c>
      <c r="AB275" s="39" t="n">
        <f aca="false">MY_PH(AB$2,$A275)</f>
        <v>4.33881640443319E-005</v>
      </c>
      <c r="AC275" s="39" t="n">
        <f aca="false">MY_PH(AC$2,$A275)</f>
        <v>4.33979441321747E-005</v>
      </c>
      <c r="AD275" s="39" t="n">
        <f aca="false">MY_PH(AD$2,$A275)</f>
        <v>4.34077385744404E-005</v>
      </c>
      <c r="AE275" s="39" t="n">
        <f aca="false">MY_PH(AE$2,$A275)</f>
        <v>4.3417546689428E-005</v>
      </c>
      <c r="AF275" s="39" t="n">
        <f aca="false">MY_PH(AF$2,$A275)</f>
        <v>4.34273687783549E-005</v>
      </c>
      <c r="AG275" s="39" t="n">
        <f aca="false">MY_PH(AG$2,$A275)</f>
        <v>4.34372044873271E-005</v>
      </c>
      <c r="AH275" s="39" t="n">
        <f aca="false">MY_PH(AH$2,$A275)</f>
        <v>4.35363148637978E-005</v>
      </c>
      <c r="AI275" s="39" t="n">
        <f aca="false">MY_PH(AI$2,$A275)</f>
        <v>4.3636765758552E-005</v>
      </c>
      <c r="AJ275" s="39" t="n">
        <f aca="false">MY_PH(AJ$2,$A275)</f>
        <v>4.37385194773368E-005</v>
      </c>
      <c r="AK275" s="39" t="n">
        <f aca="false">MY_PH(AK$2,$A275)</f>
        <v>4.38415395752203E-005</v>
      </c>
      <c r="AL275" s="39" t="n">
        <f aca="false">MY_PH(AL$2,$A275)</f>
        <v>4.39457887011179E-005</v>
      </c>
      <c r="AM275" s="39" t="n">
        <f aca="false">MY_PH(AM$2,$A275)</f>
        <v>4.40512303557765E-005</v>
      </c>
      <c r="AN275" s="39" t="n">
        <f aca="false">MY_PH(AN$2,$A275)</f>
        <v>4.41578282072624E-005</v>
      </c>
      <c r="AO275" s="39" t="n">
        <f aca="false">MY_PH(AO$2,$A275)</f>
        <v>4.42655460615656E-005</v>
      </c>
      <c r="AP275" s="39" t="n">
        <f aca="false">MY_PH(AP$2,$A275)</f>
        <v>2015</v>
      </c>
      <c r="AQ275" s="39" t="n">
        <f aca="false">MY_PH(AQ$2,$A275)</f>
        <v>2015</v>
      </c>
      <c r="AR275" s="39" t="n">
        <f aca="false">MY_PH(AR$2,$A275)</f>
        <v>2015</v>
      </c>
      <c r="AS275" s="39" t="n">
        <f aca="false">MY_PH(AS$2,$A275)</f>
        <v>2015</v>
      </c>
    </row>
    <row r="276" customFormat="false" ht="13.8" hidden="false" customHeight="false" outlineLevel="0" collapsed="false">
      <c r="A276" s="0" t="n">
        <v>4360</v>
      </c>
      <c r="B276" s="39" t="n">
        <f aca="false">MY_PH(B$2,$A276)</f>
        <v>4.34923462428939E-005</v>
      </c>
      <c r="C276" s="39" t="n">
        <f aca="false">MY_PH(C$2,$A276)</f>
        <v>4.34923560419854E-005</v>
      </c>
      <c r="D276" s="39" t="n">
        <f aca="false">MY_PH(D$2,$A276)</f>
        <v>4.34923655135692E-005</v>
      </c>
      <c r="E276" s="39" t="n">
        <f aca="false">MY_PH(E$2,$A276)</f>
        <v>4.34923753126941E-005</v>
      </c>
      <c r="F276" s="39" t="n">
        <f aca="false">MY_PH(F$2,$A276)</f>
        <v>4.34923847843113E-005</v>
      </c>
      <c r="G276" s="39" t="n">
        <f aca="false">MY_PH(G$2,$A276)</f>
        <v>4.3492481139024E-005</v>
      </c>
      <c r="H276" s="39" t="n">
        <f aca="false">MY_PH(H$2,$A276)</f>
        <v>4.34925771678837E-005</v>
      </c>
      <c r="I276" s="39" t="n">
        <f aca="false">MY_PH(I$2,$A276)</f>
        <v>4.34926735259375E-005</v>
      </c>
      <c r="J276" s="39" t="n">
        <f aca="false">MY_PH(J$2,$A276)</f>
        <v>4.34927695581394E-005</v>
      </c>
      <c r="K276" s="39" t="n">
        <f aca="false">MY_PH(K$2,$A276)</f>
        <v>4.34928659195343E-005</v>
      </c>
      <c r="L276" s="39" t="n">
        <f aca="false">MY_PH(L$2,$A276)</f>
        <v>4.34929619550781E-005</v>
      </c>
      <c r="M276" s="39" t="n">
        <f aca="false">MY_PH(M$2,$A276)</f>
        <v>4.34930583198139E-005</v>
      </c>
      <c r="N276" s="39" t="n">
        <f aca="false">MY_PH(N$2,$A276)</f>
        <v>4.34931545224598E-005</v>
      </c>
      <c r="O276" s="39" t="n">
        <f aca="false">MY_PH(O$2,$A276)</f>
        <v>4.34932507267763E-005</v>
      </c>
      <c r="P276" s="39" t="n">
        <f aca="false">MY_PH(P$2,$A276)</f>
        <v>4.34942128618211E-005</v>
      </c>
      <c r="Q276" s="39" t="n">
        <f aca="false">MY_PH(Q$2,$A276)</f>
        <v>4.34951751639007E-005</v>
      </c>
      <c r="R276" s="39" t="n">
        <f aca="false">MY_PH(R$2,$A276)</f>
        <v>4.34961379604921E-005</v>
      </c>
      <c r="S276" s="39" t="n">
        <f aca="false">MY_PH(S$2,$A276)</f>
        <v>4.34971005965539E-005</v>
      </c>
      <c r="T276" s="39" t="n">
        <f aca="false">MY_PH(T$2,$A276)</f>
        <v>4.34980632358211E-005</v>
      </c>
      <c r="U276" s="39" t="n">
        <f aca="false">MY_PH(U$2,$A276)</f>
        <v>4.34990260420184E-005</v>
      </c>
      <c r="V276" s="39" t="n">
        <f aca="false">MY_PH(V$2,$A276)</f>
        <v>4.34999891788603E-005</v>
      </c>
      <c r="W276" s="39" t="n">
        <f aca="false">MY_PH(W$2,$A276)</f>
        <v>4.35009524825722E-005</v>
      </c>
      <c r="X276" s="39" t="n">
        <f aca="false">MY_PH(X$2,$A276)</f>
        <v>4.35019156256531E-005</v>
      </c>
      <c r="Y276" s="39" t="n">
        <f aca="false">MY_PH(Y$2,$A276)</f>
        <v>4.35115568821693E-005</v>
      </c>
      <c r="Z276" s="39" t="n">
        <f aca="false">MY_PH(Z$2,$A276)</f>
        <v>4.35212121745803E-005</v>
      </c>
      <c r="AA276" s="39" t="n">
        <f aca="false">MY_PH(AA$2,$A276)</f>
        <v>4.35308814766479E-005</v>
      </c>
      <c r="AB276" s="39" t="n">
        <f aca="false">MY_PH(AB$2,$A276)</f>
        <v>4.35405647621322E-005</v>
      </c>
      <c r="AC276" s="39" t="n">
        <f aca="false">MY_PH(AC$2,$A276)</f>
        <v>4.35502616775779E-005</v>
      </c>
      <c r="AD276" s="39" t="n">
        <f aca="false">MY_PH(AD$2,$A276)</f>
        <v>4.35599728512209E-005</v>
      </c>
      <c r="AE276" s="39" t="n">
        <f aca="false">MY_PH(AE$2,$A276)</f>
        <v>4.35696976024397E-005</v>
      </c>
      <c r="AF276" s="39" t="n">
        <f aca="false">MY_PH(AF$2,$A276)</f>
        <v>4.35794362321981E-005</v>
      </c>
      <c r="AG276" s="39" t="n">
        <f aca="false">MY_PH(AG$2,$A276)</f>
        <v>4.35891887142421E-005</v>
      </c>
      <c r="AH276" s="39" t="n">
        <f aca="false">MY_PH(AH$2,$A276)</f>
        <v>4.3687462448687E-005</v>
      </c>
      <c r="AI276" s="39" t="n">
        <f aca="false">MY_PH(AI$2,$A276)</f>
        <v>4.37870723043546E-005</v>
      </c>
      <c r="AJ276" s="39" t="n">
        <f aca="false">MY_PH(AJ$2,$A276)</f>
        <v>4.38879809390677E-005</v>
      </c>
      <c r="AK276" s="39" t="n">
        <f aca="false">MY_PH(AK$2,$A276)</f>
        <v>4.399015193648E-005</v>
      </c>
      <c r="AL276" s="39" t="n">
        <f aca="false">MY_PH(AL$2,$A276)</f>
        <v>4.40935484671623E-005</v>
      </c>
      <c r="AM276" s="39" t="n">
        <f aca="false">MY_PH(AM$2,$A276)</f>
        <v>4.41981345544391E-005</v>
      </c>
      <c r="AN276" s="39" t="n">
        <f aca="false">MY_PH(AN$2,$A276)</f>
        <v>4.43038735841856E-005</v>
      </c>
      <c r="AO276" s="39" t="n">
        <f aca="false">MY_PH(AO$2,$A276)</f>
        <v>4.44107300551175E-005</v>
      </c>
      <c r="AP276" s="39" t="n">
        <f aca="false">MY_PH(AP$2,$A276)</f>
        <v>2015</v>
      </c>
      <c r="AQ276" s="39" t="n">
        <f aca="false">MY_PH(AQ$2,$A276)</f>
        <v>2015</v>
      </c>
      <c r="AR276" s="39" t="n">
        <f aca="false">MY_PH(AR$2,$A276)</f>
        <v>2015</v>
      </c>
      <c r="AS276" s="39" t="n">
        <f aca="false">MY_PH(AS$2,$A276)</f>
        <v>2015</v>
      </c>
    </row>
    <row r="277" customFormat="false" ht="13.8" hidden="false" customHeight="false" outlineLevel="0" collapsed="false">
      <c r="A277" s="0" t="n">
        <v>4370</v>
      </c>
      <c r="B277" s="39" t="n">
        <f aca="false">MY_PH(B$2,$A277)</f>
        <v>4.36447798132733E-005</v>
      </c>
      <c r="C277" s="39" t="n">
        <f aca="false">MY_PH(C$2,$A277)</f>
        <v>4.36447892610004E-005</v>
      </c>
      <c r="D277" s="39" t="n">
        <f aca="false">MY_PH(D$2,$A277)</f>
        <v>4.36447987087441E-005</v>
      </c>
      <c r="E277" s="39" t="n">
        <f aca="false">MY_PH(E$2,$A277)</f>
        <v>4.36448083200474E-005</v>
      </c>
      <c r="F277" s="39" t="n">
        <f aca="false">MY_PH(F$2,$A277)</f>
        <v>4.36448179313672E-005</v>
      </c>
      <c r="G277" s="39" t="n">
        <f aca="false">MY_PH(G$2,$A277)</f>
        <v>4.36449133913076E-005</v>
      </c>
      <c r="H277" s="39" t="n">
        <f aca="false">MY_PH(H$2,$A277)</f>
        <v>4.3645008525824E-005</v>
      </c>
      <c r="I277" s="39" t="n">
        <f aca="false">MY_PH(I$2,$A277)</f>
        <v>4.36451039890865E-005</v>
      </c>
      <c r="J277" s="39" t="n">
        <f aca="false">MY_PH(J$2,$A277)</f>
        <v>4.36451994540097E-005</v>
      </c>
      <c r="K277" s="39" t="n">
        <f aca="false">MY_PH(K$2,$A277)</f>
        <v>4.36452947570522E-005</v>
      </c>
      <c r="L277" s="39" t="n">
        <f aca="false">MY_PH(L$2,$A277)</f>
        <v>4.36453900617558E-005</v>
      </c>
      <c r="M277" s="39" t="n">
        <f aca="false">MY_PH(M$2,$A277)</f>
        <v>4.36454855316618E-005</v>
      </c>
      <c r="N277" s="39" t="n">
        <f aca="false">MY_PH(N$2,$A277)</f>
        <v>4.36455810032284E-005</v>
      </c>
      <c r="O277" s="39" t="n">
        <f aca="false">MY_PH(O$2,$A277)</f>
        <v>4.36456763129151E-005</v>
      </c>
      <c r="P277" s="39" t="n">
        <f aca="false">MY_PH(P$2,$A277)</f>
        <v>4.36466303188301E-005</v>
      </c>
      <c r="Q277" s="39" t="n">
        <f aca="false">MY_PH(Q$2,$A277)</f>
        <v>4.36475843272702E-005</v>
      </c>
      <c r="R277" s="39" t="n">
        <f aca="false">MY_PH(R$2,$A277)</f>
        <v>4.36485386652812E-005</v>
      </c>
      <c r="S277" s="39" t="n">
        <f aca="false">MY_PH(S$2,$A277)</f>
        <v>4.36494931692979E-005</v>
      </c>
      <c r="T277" s="39" t="n">
        <f aca="false">MY_PH(T$2,$A277)</f>
        <v>4.36504476757656E-005</v>
      </c>
      <c r="U277" s="39" t="n">
        <f aca="false">MY_PH(U$2,$A277)</f>
        <v>4.36514023481896E-005</v>
      </c>
      <c r="V277" s="39" t="n">
        <f aca="false">MY_PH(V$2,$A277)</f>
        <v>4.36523571865426E-005</v>
      </c>
      <c r="W277" s="39" t="n">
        <f aca="false">MY_PH(W$2,$A277)</f>
        <v>4.36533121907973E-005</v>
      </c>
      <c r="X277" s="39" t="n">
        <f aca="false">MY_PH(X$2,$A277)</f>
        <v>4.36542670338922E-005</v>
      </c>
      <c r="Y277" s="39" t="n">
        <f aca="false">MY_PH(Y$2,$A277)</f>
        <v>4.36638258904281E-005</v>
      </c>
      <c r="Z277" s="39" t="n">
        <f aca="false">MY_PH(Z$2,$A277)</f>
        <v>4.36733983626226E-005</v>
      </c>
      <c r="AA277" s="39" t="n">
        <f aca="false">MY_PH(AA$2,$A277)</f>
        <v>4.36829850783295E-005</v>
      </c>
      <c r="AB277" s="39" t="n">
        <f aca="false">MY_PH(AB$2,$A277)</f>
        <v>4.36925856845081E-005</v>
      </c>
      <c r="AC277" s="39" t="n">
        <f aca="false">MY_PH(AC$2,$A277)</f>
        <v>4.3702200155098E-005</v>
      </c>
      <c r="AD277" s="39" t="n">
        <f aca="false">MY_PH(AD$2,$A277)</f>
        <v>4.37118284640368E-005</v>
      </c>
      <c r="AE277" s="39" t="n">
        <f aca="false">MY_PH(AE$2,$A277)</f>
        <v>4.3721470421928E-005</v>
      </c>
      <c r="AF277" s="39" t="n">
        <f aca="false">MY_PH(AF$2,$A277)</f>
        <v>4.3731126166089E-005</v>
      </c>
      <c r="AG277" s="39" t="n">
        <f aca="false">MY_PH(AG$2,$A277)</f>
        <v>4.37407958337261E-005</v>
      </c>
      <c r="AH277" s="39" t="n">
        <f aca="false">MY_PH(AH$2,$A277)</f>
        <v>4.38382381997858E-005</v>
      </c>
      <c r="AI277" s="39" t="n">
        <f aca="false">MY_PH(AI$2,$A277)</f>
        <v>4.39370125809936E-005</v>
      </c>
      <c r="AJ277" s="39" t="n">
        <f aca="false">MY_PH(AJ$2,$A277)</f>
        <v>4.4037081815534E-005</v>
      </c>
      <c r="AK277" s="39" t="n">
        <f aca="false">MY_PH(AK$2,$A277)</f>
        <v>4.41384096703765E-005</v>
      </c>
      <c r="AL277" s="39" t="n">
        <f aca="false">MY_PH(AL$2,$A277)</f>
        <v>4.42409598281263E-005</v>
      </c>
      <c r="AM277" s="39" t="n">
        <f aca="false">MY_PH(AM$2,$A277)</f>
        <v>4.43446961793215E-005</v>
      </c>
      <c r="AN277" s="39" t="n">
        <f aca="false">MY_PH(AN$2,$A277)</f>
        <v>2015</v>
      </c>
      <c r="AO277" s="39" t="n">
        <f aca="false">MY_PH(AO$2,$A277)</f>
        <v>2015</v>
      </c>
      <c r="AP277" s="39" t="n">
        <f aca="false">MY_PH(AP$2,$A277)</f>
        <v>2015</v>
      </c>
      <c r="AQ277" s="39" t="n">
        <f aca="false">MY_PH(AQ$2,$A277)</f>
        <v>2015</v>
      </c>
      <c r="AR277" s="39" t="n">
        <f aca="false">MY_PH(AR$2,$A277)</f>
        <v>2015</v>
      </c>
      <c r="AS277" s="39" t="n">
        <f aca="false">MY_PH(AS$2,$A277)</f>
        <v>2015</v>
      </c>
    </row>
    <row r="278" customFormat="false" ht="13.8" hidden="false" customHeight="false" outlineLevel="0" collapsed="false">
      <c r="A278" s="0" t="n">
        <v>4380</v>
      </c>
      <c r="B278" s="39" t="n">
        <f aca="false">MY_PH(B$2,$A278)</f>
        <v>4.37968325031599E-005</v>
      </c>
      <c r="C278" s="39" t="n">
        <f aca="false">MY_PH(C$2,$A278)</f>
        <v>4.37968419266295E-005</v>
      </c>
      <c r="D278" s="39" t="n">
        <f aca="false">MY_PH(D$2,$A278)</f>
        <v>4.37968513501156E-005</v>
      </c>
      <c r="E278" s="39" t="n">
        <f aca="false">MY_PH(E$2,$A278)</f>
        <v>4.37968607736183E-005</v>
      </c>
      <c r="F278" s="39" t="n">
        <f aca="false">MY_PH(F$2,$A278)</f>
        <v>4.37968701971374E-005</v>
      </c>
      <c r="G278" s="39" t="n">
        <f aca="false">MY_PH(G$2,$A278)</f>
        <v>4.37969647598857E-005</v>
      </c>
      <c r="H278" s="39" t="n">
        <f aca="false">MY_PH(H$2,$A278)</f>
        <v>4.37970593242857E-005</v>
      </c>
      <c r="I278" s="39" t="n">
        <f aca="false">MY_PH(I$2,$A278)</f>
        <v>4.37971538903373E-005</v>
      </c>
      <c r="J278" s="39" t="n">
        <f aca="false">MY_PH(J$2,$A278)</f>
        <v>4.37972484580405E-005</v>
      </c>
      <c r="K278" s="39" t="n">
        <f aca="false">MY_PH(K$2,$A278)</f>
        <v>4.37973430273953E-005</v>
      </c>
      <c r="L278" s="39" t="n">
        <f aca="false">MY_PH(L$2,$A278)</f>
        <v>4.37974375984018E-005</v>
      </c>
      <c r="M278" s="39" t="n">
        <f aca="false">MY_PH(M$2,$A278)</f>
        <v>4.37975321710597E-005</v>
      </c>
      <c r="N278" s="39" t="n">
        <f aca="false">MY_PH(N$2,$A278)</f>
        <v>4.37976267453692E-005</v>
      </c>
      <c r="O278" s="39" t="n">
        <f aca="false">MY_PH(O$2,$A278)</f>
        <v>4.37977213213302E-005</v>
      </c>
      <c r="P278" s="39" t="n">
        <f aca="false">MY_PH(P$2,$A278)</f>
        <v>4.3798667171766E-005</v>
      </c>
      <c r="Q278" s="39" t="n">
        <f aca="false">MY_PH(Q$2,$A278)</f>
        <v>4.3799613024005E-005</v>
      </c>
      <c r="R278" s="39" t="n">
        <f aca="false">MY_PH(R$2,$A278)</f>
        <v>4.38005590413414E-005</v>
      </c>
      <c r="S278" s="39" t="n">
        <f aca="false">MY_PH(S$2,$A278)</f>
        <v>4.38015053870594E-005</v>
      </c>
      <c r="T278" s="39" t="n">
        <f aca="false">MY_PH(T$2,$A278)</f>
        <v>4.38024515711984E-005</v>
      </c>
      <c r="U278" s="39" t="n">
        <f aca="false">MY_PH(U$2,$A278)</f>
        <v>4.38033980836647E-005</v>
      </c>
      <c r="V278" s="39" t="n">
        <f aca="false">MY_PH(V$2,$A278)</f>
        <v>4.38043447611199E-005</v>
      </c>
      <c r="W278" s="39" t="n">
        <f aca="false">MY_PH(W$2,$A278)</f>
        <v>4.38052914402363E-005</v>
      </c>
      <c r="X278" s="39" t="n">
        <f aca="false">MY_PH(X$2,$A278)</f>
        <v>4.38062382842927E-005</v>
      </c>
      <c r="Y278" s="39" t="n">
        <f aca="false">MY_PH(Y$2,$A278)</f>
        <v>4.38157151374928E-005</v>
      </c>
      <c r="Z278" s="39" t="n">
        <f aca="false">MY_PH(Z$2,$A278)</f>
        <v>4.38252055166181E-005</v>
      </c>
      <c r="AA278" s="39" t="n">
        <f aca="false">MY_PH(AA$2,$A278)</f>
        <v>4.38347100488162E-005</v>
      </c>
      <c r="AB278" s="39" t="n">
        <f aca="false">MY_PH(AB$2,$A278)</f>
        <v>4.38442287080408E-005</v>
      </c>
      <c r="AC278" s="39" t="n">
        <f aca="false">MY_PH(AC$2,$A278)</f>
        <v>4.38537608155867E-005</v>
      </c>
      <c r="AD278" s="39" t="n">
        <f aca="false">MY_PH(AD$2,$A278)</f>
        <v>4.38633068351384E-005</v>
      </c>
      <c r="AE278" s="39" t="n">
        <f aca="false">MY_PH(AE$2,$A278)</f>
        <v>4.38728665776141E-005</v>
      </c>
      <c r="AF278" s="39" t="n">
        <f aca="false">MY_PH(AF$2,$A278)</f>
        <v>4.38824401802026E-005</v>
      </c>
      <c r="AG278" s="39" t="n">
        <f aca="false">MY_PH(AG$2,$A278)</f>
        <v>4.38920274538701E-005</v>
      </c>
      <c r="AH278" s="39" t="n">
        <f aca="false">MY_PH(AH$2,$A278)</f>
        <v>4.39886437950038E-005</v>
      </c>
      <c r="AI278" s="39" t="n">
        <f aca="false">MY_PH(AI$2,$A278)</f>
        <v>4.40865880017798E-005</v>
      </c>
      <c r="AJ278" s="39" t="n">
        <f aca="false">MY_PH(AJ$2,$A278)</f>
        <v>4.41858235725736E-005</v>
      </c>
      <c r="AK278" s="39" t="n">
        <f aca="false">MY_PH(AK$2,$A278)</f>
        <v>4.42863142864754E-005</v>
      </c>
      <c r="AL278" s="39" t="n">
        <f aca="false">MY_PH(AL$2,$A278)</f>
        <v>2015</v>
      </c>
      <c r="AM278" s="39" t="n">
        <f aca="false">MY_PH(AM$2,$A278)</f>
        <v>2015</v>
      </c>
      <c r="AN278" s="39" t="n">
        <f aca="false">MY_PH(AN$2,$A278)</f>
        <v>2015</v>
      </c>
      <c r="AO278" s="39" t="n">
        <f aca="false">MY_PH(AO$2,$A278)</f>
        <v>2015</v>
      </c>
      <c r="AP278" s="39" t="n">
        <f aca="false">MY_PH(AP$2,$A278)</f>
        <v>2015</v>
      </c>
      <c r="AQ278" s="39" t="n">
        <f aca="false">MY_PH(AQ$2,$A278)</f>
        <v>2015</v>
      </c>
      <c r="AR278" s="39" t="n">
        <f aca="false">MY_PH(AR$2,$A278)</f>
        <v>2015</v>
      </c>
      <c r="AS278" s="39" t="n">
        <f aca="false">MY_PH(AS$2,$A278)</f>
        <v>2015</v>
      </c>
    </row>
    <row r="279" customFormat="false" ht="13.8" hidden="false" customHeight="false" outlineLevel="0" collapsed="false">
      <c r="A279" s="0" t="n">
        <v>4390</v>
      </c>
      <c r="B279" s="39" t="n">
        <f aca="false">MY_PH(B$2,$A279)</f>
        <v>4.39485061708245E-005</v>
      </c>
      <c r="C279" s="39" t="n">
        <f aca="false">MY_PH(C$2,$A279)</f>
        <v>4.39485155696307E-005</v>
      </c>
      <c r="D279" s="39" t="n">
        <f aca="false">MY_PH(D$2,$A279)</f>
        <v>4.39485248053476E-005</v>
      </c>
      <c r="E279" s="39" t="n">
        <f aca="false">MY_PH(E$2,$A279)</f>
        <v>4.3948534041081E-005</v>
      </c>
      <c r="F279" s="39" t="n">
        <f aca="false">MY_PH(F$2,$A279)</f>
        <v>4.39485434399366E-005</v>
      </c>
      <c r="G279" s="39" t="n">
        <f aca="false">MY_PH(G$2,$A279)</f>
        <v>4.39486374293946E-005</v>
      </c>
      <c r="H279" s="39" t="n">
        <f aca="false">MY_PH(H$2,$A279)</f>
        <v>4.39487310942843E-005</v>
      </c>
      <c r="I279" s="39" t="n">
        <f aca="false">MY_PH(I$2,$A279)</f>
        <v>4.39488247608168E-005</v>
      </c>
      <c r="J279" s="39" t="n">
        <f aca="false">MY_PH(J$2,$A279)</f>
        <v>4.39489184289921E-005</v>
      </c>
      <c r="K279" s="39" t="n">
        <f aca="false">MY_PH(K$2,$A279)</f>
        <v>4.39490124250188E-005</v>
      </c>
      <c r="L279" s="39" t="n">
        <f aca="false">MY_PH(L$2,$A279)</f>
        <v>4.39491060964791E-005</v>
      </c>
      <c r="M279" s="39" t="n">
        <f aca="false">MY_PH(M$2,$A279)</f>
        <v>4.39491997695821E-005</v>
      </c>
      <c r="N279" s="39" t="n">
        <f aca="false">MY_PH(N$2,$A279)</f>
        <v>4.39492934443279E-005</v>
      </c>
      <c r="O279" s="39" t="n">
        <f aca="false">MY_PH(O$2,$A279)</f>
        <v>4.39493874469228E-005</v>
      </c>
      <c r="P279" s="39" t="n">
        <f aca="false">MY_PH(P$2,$A279)</f>
        <v>4.39503249535452E-005</v>
      </c>
      <c r="Q279" s="39" t="n">
        <f aca="false">MY_PH(Q$2,$A279)</f>
        <v>4.39512626243842E-005</v>
      </c>
      <c r="R279" s="39" t="n">
        <f aca="false">MY_PH(R$2,$A279)</f>
        <v>4.39522006225079E-005</v>
      </c>
      <c r="S279" s="39" t="n">
        <f aca="false">MY_PH(S$2,$A279)</f>
        <v>4.39531387847888E-005</v>
      </c>
      <c r="T279" s="39" t="n">
        <f aca="false">MY_PH(T$2,$A279)</f>
        <v>4.395407694811E-005</v>
      </c>
      <c r="U279" s="39" t="n">
        <f aca="false">MY_PH(U$2,$A279)</f>
        <v>4.39550152755398E-005</v>
      </c>
      <c r="V279" s="39" t="n">
        <f aca="false">MY_PH(V$2,$A279)</f>
        <v>4.3955953767051E-005</v>
      </c>
      <c r="W279" s="39" t="n">
        <f aca="false">MY_PH(W$2,$A279)</f>
        <v>4.39568924226168E-005</v>
      </c>
      <c r="X279" s="39" t="n">
        <f aca="false">MY_PH(X$2,$A279)</f>
        <v>4.39578309160519E-005</v>
      </c>
      <c r="Y279" s="39" t="n">
        <f aca="false">MY_PH(Y$2,$A279)</f>
        <v>4.39672261709824E-005</v>
      </c>
      <c r="Z279" s="39" t="n">
        <f aca="false">MY_PH(Z$2,$A279)</f>
        <v>4.39766351911915E-005</v>
      </c>
      <c r="AA279" s="39" t="n">
        <f aca="false">MY_PH(AA$2,$A279)</f>
        <v>4.39860582769557E-005</v>
      </c>
      <c r="AB279" s="39" t="n">
        <f aca="false">MY_PH(AB$2,$A279)</f>
        <v>4.39954950764497E-005</v>
      </c>
      <c r="AC279" s="39" t="n">
        <f aca="false">MY_PH(AC$2,$A279)</f>
        <v>4.40049455639521E-005</v>
      </c>
      <c r="AD279" s="39" t="n">
        <f aca="false">MY_PH(AD$2,$A279)</f>
        <v>4.40144097137404E-005</v>
      </c>
      <c r="AE279" s="39" t="n">
        <f aca="false">MY_PH(AE$2,$A279)</f>
        <v>4.40238878258671E-005</v>
      </c>
      <c r="AF279" s="39" t="n">
        <f aca="false">MY_PH(AF$2,$A279)</f>
        <v>4.40333795487181E-005</v>
      </c>
      <c r="AG279" s="39" t="n">
        <f aca="false">MY_PH(AG$2,$A279)</f>
        <v>4.40428848565637E-005</v>
      </c>
      <c r="AH279" s="39" t="n">
        <f aca="false">MY_PH(AH$2,$A279)</f>
        <v>4.41386804216365E-005</v>
      </c>
      <c r="AI279" s="39" t="n">
        <f aca="false">MY_PH(AI$2,$A279)</f>
        <v>2015</v>
      </c>
      <c r="AJ279" s="39" t="n">
        <f aca="false">MY_PH(AJ$2,$A279)</f>
        <v>2015</v>
      </c>
      <c r="AK279" s="39" t="n">
        <f aca="false">MY_PH(AK$2,$A279)</f>
        <v>2015</v>
      </c>
      <c r="AL279" s="39" t="n">
        <f aca="false">MY_PH(AL$2,$A279)</f>
        <v>2015</v>
      </c>
      <c r="AM279" s="39" t="n">
        <f aca="false">MY_PH(AM$2,$A279)</f>
        <v>2015</v>
      </c>
      <c r="AN279" s="39" t="n">
        <f aca="false">MY_PH(AN$2,$A279)</f>
        <v>2015</v>
      </c>
      <c r="AO279" s="39" t="n">
        <f aca="false">MY_PH(AO$2,$A279)</f>
        <v>2015</v>
      </c>
      <c r="AP279" s="39" t="n">
        <f aca="false">MY_PH(AP$2,$A279)</f>
        <v>2015</v>
      </c>
      <c r="AQ279" s="39" t="n">
        <f aca="false">MY_PH(AQ$2,$A279)</f>
        <v>2015</v>
      </c>
      <c r="AR279" s="39" t="n">
        <f aca="false">MY_PH(AR$2,$A279)</f>
        <v>2015</v>
      </c>
      <c r="AS279" s="39" t="n">
        <f aca="false">MY_PH(AS$2,$A279)</f>
        <v>2015</v>
      </c>
    </row>
    <row r="280" customFormat="false" ht="13.8" hidden="false" customHeight="false" outlineLevel="0" collapsed="false">
      <c r="A280" s="0" t="n">
        <v>4400</v>
      </c>
      <c r="B280" s="39" t="n">
        <f aca="false">MY_PH(B$2,$A280)</f>
        <v>2015</v>
      </c>
      <c r="C280" s="39" t="n">
        <f aca="false">MY_PH(C$2,$A280)</f>
        <v>2015</v>
      </c>
      <c r="D280" s="39" t="n">
        <f aca="false">MY_PH(D$2,$A280)</f>
        <v>2015</v>
      </c>
      <c r="E280" s="39" t="n">
        <f aca="false">MY_PH(E$2,$A280)</f>
        <v>2015</v>
      </c>
      <c r="F280" s="39" t="n">
        <f aca="false">MY_PH(F$2,$A280)</f>
        <v>2015</v>
      </c>
      <c r="G280" s="39" t="n">
        <f aca="false">MY_PH(G$2,$A280)</f>
        <v>2015</v>
      </c>
      <c r="H280" s="39" t="n">
        <f aca="false">MY_PH(H$2,$A280)</f>
        <v>2015</v>
      </c>
      <c r="I280" s="39" t="n">
        <f aca="false">MY_PH(I$2,$A280)</f>
        <v>2015</v>
      </c>
      <c r="J280" s="39" t="n">
        <f aca="false">MY_PH(J$2,$A280)</f>
        <v>2015</v>
      </c>
      <c r="K280" s="39" t="n">
        <f aca="false">MY_PH(K$2,$A280)</f>
        <v>2015</v>
      </c>
      <c r="L280" s="39" t="n">
        <f aca="false">MY_PH(L$2,$A280)</f>
        <v>2015</v>
      </c>
      <c r="M280" s="39" t="n">
        <f aca="false">MY_PH(M$2,$A280)</f>
        <v>2015</v>
      </c>
      <c r="N280" s="39" t="n">
        <f aca="false">MY_PH(N$2,$A280)</f>
        <v>2015</v>
      </c>
      <c r="O280" s="39" t="n">
        <f aca="false">MY_PH(O$2,$A280)</f>
        <v>2015</v>
      </c>
      <c r="P280" s="39" t="n">
        <f aca="false">MY_PH(P$2,$A280)</f>
        <v>2015</v>
      </c>
      <c r="Q280" s="39" t="n">
        <f aca="false">MY_PH(Q$2,$A280)</f>
        <v>2015</v>
      </c>
      <c r="R280" s="39" t="n">
        <f aca="false">MY_PH(R$2,$A280)</f>
        <v>2015</v>
      </c>
      <c r="S280" s="39" t="n">
        <f aca="false">MY_PH(S$2,$A280)</f>
        <v>2015</v>
      </c>
      <c r="T280" s="39" t="n">
        <f aca="false">MY_PH(T$2,$A280)</f>
        <v>2015</v>
      </c>
      <c r="U280" s="39" t="n">
        <f aca="false">MY_PH(U$2,$A280)</f>
        <v>2015</v>
      </c>
      <c r="V280" s="39" t="n">
        <f aca="false">MY_PH(V$2,$A280)</f>
        <v>2015</v>
      </c>
      <c r="W280" s="39" t="n">
        <f aca="false">MY_PH(W$2,$A280)</f>
        <v>2015</v>
      </c>
      <c r="X280" s="39" t="n">
        <f aca="false">MY_PH(X$2,$A280)</f>
        <v>2015</v>
      </c>
      <c r="Y280" s="39" t="n">
        <f aca="false">MY_PH(Y$2,$A280)</f>
        <v>2015</v>
      </c>
      <c r="Z280" s="39" t="n">
        <f aca="false">MY_PH(Z$2,$A280)</f>
        <v>2015</v>
      </c>
      <c r="AA280" s="39" t="n">
        <f aca="false">MY_PH(AA$2,$A280)</f>
        <v>2015</v>
      </c>
      <c r="AB280" s="39" t="n">
        <f aca="false">MY_PH(AB$2,$A280)</f>
        <v>2015</v>
      </c>
      <c r="AC280" s="39" t="n">
        <f aca="false">MY_PH(AC$2,$A280)</f>
        <v>2015</v>
      </c>
      <c r="AD280" s="39" t="n">
        <f aca="false">MY_PH(AD$2,$A280)</f>
        <v>2015</v>
      </c>
      <c r="AE280" s="39" t="n">
        <f aca="false">MY_PH(AE$2,$A280)</f>
        <v>2015</v>
      </c>
      <c r="AF280" s="39" t="n">
        <f aca="false">MY_PH(AF$2,$A280)</f>
        <v>2015</v>
      </c>
      <c r="AG280" s="39" t="n">
        <f aca="false">MY_PH(AG$2,$A280)</f>
        <v>2015</v>
      </c>
      <c r="AH280" s="39" t="n">
        <f aca="false">MY_PH(AH$2,$A280)</f>
        <v>2015</v>
      </c>
      <c r="AI280" s="39" t="n">
        <f aca="false">MY_PH(AI$2,$A280)</f>
        <v>2015</v>
      </c>
      <c r="AJ280" s="39" t="n">
        <f aca="false">MY_PH(AJ$2,$A280)</f>
        <v>2015</v>
      </c>
      <c r="AK280" s="39" t="n">
        <f aca="false">MY_PH(AK$2,$A280)</f>
        <v>2015</v>
      </c>
      <c r="AL280" s="39" t="n">
        <f aca="false">MY_PH(AL$2,$A280)</f>
        <v>2015</v>
      </c>
      <c r="AM280" s="39" t="n">
        <f aca="false">MY_PH(AM$2,$A280)</f>
        <v>2015</v>
      </c>
      <c r="AN280" s="39" t="n">
        <f aca="false">MY_PH(AN$2,$A280)</f>
        <v>2015</v>
      </c>
      <c r="AO280" s="39" t="n">
        <f aca="false">MY_PH(AO$2,$A280)</f>
        <v>2015</v>
      </c>
      <c r="AP280" s="39" t="n">
        <f aca="false">MY_PH(AP$2,$A280)</f>
        <v>2015</v>
      </c>
      <c r="AQ280" s="39" t="n">
        <f aca="false">MY_PH(AQ$2,$A280)</f>
        <v>2015</v>
      </c>
      <c r="AR280" s="39" t="n">
        <f aca="false">MY_PH(AR$2,$A280)</f>
        <v>2015</v>
      </c>
      <c r="AS280" s="39" t="n">
        <f aca="false">MY_PH(AS$2,$A280)</f>
        <v>2015</v>
      </c>
    </row>
    <row r="281" customFormat="false" ht="13.8" hidden="false" customHeight="false" outlineLevel="0" collapsed="false"/>
    <row r="282" customFormat="false" ht="13.8" hidden="false" customHeight="false" outlineLevel="0" collapsed="false"/>
    <row r="283" customFormat="false" ht="13.8" hidden="false" customHeight="false" outlineLevel="0" collapsed="false"/>
    <row r="284" customFormat="false" ht="13.8" hidden="false" customHeight="false" outlineLevel="0" collapsed="false"/>
    <row r="285" customFormat="false" ht="13.8" hidden="false" customHeight="false" outlineLevel="0" collapsed="false"/>
    <row r="286" customFormat="false" ht="13.8" hidden="false" customHeight="false" outlineLevel="0" collapsed="false"/>
    <row r="287" customFormat="false" ht="13.8" hidden="false" customHeight="false" outlineLevel="0" collapsed="false"/>
    <row r="288" customFormat="false" ht="13.8" hidden="false" customHeight="false" outlineLevel="0" collapsed="false"/>
    <row r="289" customFormat="false" ht="13.8" hidden="false" customHeight="false" outlineLevel="0" collapsed="false"/>
    <row r="290" customFormat="false" ht="13.8" hidden="false" customHeight="false" outlineLevel="0" collapsed="false"/>
    <row r="291" customFormat="false" ht="13.8" hidden="false" customHeight="false" outlineLevel="0" collapsed="false"/>
    <row r="292" customFormat="false" ht="13.8" hidden="false" customHeight="false" outlineLevel="0" collapsed="false"/>
    <row r="293" customFormat="false" ht="13.8" hidden="false" customHeight="false" outlineLevel="0" collapsed="false"/>
    <row r="294" customFormat="false" ht="13.8" hidden="false" customHeight="false" outlineLevel="0" collapsed="false"/>
    <row r="295" customFormat="false" ht="13.8" hidden="false" customHeight="false" outlineLevel="0" collapsed="false"/>
    <row r="296" customFormat="false" ht="13.8" hidden="false" customHeight="false" outlineLevel="0" collapsed="false"/>
    <row r="297" customFormat="false" ht="13.8" hidden="false" customHeight="false" outlineLevel="0" collapsed="false"/>
    <row r="298" customFormat="false" ht="13.8" hidden="false" customHeight="false" outlineLevel="0" collapsed="false"/>
    <row r="299" customFormat="false" ht="13.8" hidden="false" customHeight="false" outlineLevel="0" collapsed="false"/>
    <row r="300" customFormat="false" ht="13.8" hidden="false" customHeight="false" outlineLevel="0" collapsed="false"/>
    <row r="301" customFormat="false" ht="13.8" hidden="false" customHeight="false" outlineLevel="0" collapsed="false"/>
    <row r="302" customFormat="false" ht="13.8" hidden="false" customHeight="false" outlineLevel="0" collapsed="false"/>
    <row r="303" customFormat="false" ht="13.8" hidden="false" customHeight="false" outlineLevel="0" collapsed="false"/>
    <row r="304" customFormat="false" ht="13.8" hidden="false" customHeight="false" outlineLevel="0" collapsed="false"/>
    <row r="305" customFormat="false" ht="13.8" hidden="false" customHeight="false" outlineLevel="0" collapsed="false"/>
    <row r="306" customFormat="false" ht="13.8" hidden="false" customHeight="false" outlineLevel="0" collapsed="false"/>
    <row r="307" customFormat="false" ht="13.8" hidden="false" customHeight="false" outlineLevel="0" collapsed="false"/>
    <row r="308" customFormat="false" ht="13.8" hidden="false" customHeight="false" outlineLevel="0" collapsed="false"/>
    <row r="309" customFormat="false" ht="13.8" hidden="false" customHeight="false" outlineLevel="0" collapsed="false"/>
    <row r="310" customFormat="false" ht="13.8" hidden="false" customHeight="false" outlineLevel="0" collapsed="false"/>
    <row r="311" customFormat="false" ht="13.8" hidden="false" customHeight="false" outlineLevel="0" collapsed="false"/>
    <row r="312" customFormat="false" ht="13.8" hidden="false" customHeight="false" outlineLevel="0" collapsed="false"/>
    <row r="313" customFormat="false" ht="13.8" hidden="false" customHeight="false" outlineLevel="0" collapsed="false"/>
    <row r="314" customFormat="false" ht="13.8" hidden="false" customHeight="false" outlineLevel="0" collapsed="false"/>
    <row r="315" customFormat="false" ht="13.8" hidden="false" customHeight="false" outlineLevel="0" collapsed="false"/>
    <row r="316" customFormat="false" ht="13.8" hidden="false" customHeight="false" outlineLevel="0" collapsed="false"/>
    <row r="317" customFormat="false" ht="13.8" hidden="false" customHeight="false" outlineLevel="0" collapsed="false"/>
    <row r="318" customFormat="false" ht="13.8" hidden="false" customHeight="false" outlineLevel="0" collapsed="false"/>
    <row r="319" customFormat="false" ht="13.8" hidden="false" customHeight="false" outlineLevel="0" collapsed="false"/>
    <row r="320" customFormat="false" ht="13.8" hidden="false" customHeight="false" outlineLevel="0" collapsed="false"/>
    <row r="321" customFormat="false" ht="13.8" hidden="false" customHeight="false" outlineLevel="0" collapsed="false"/>
    <row r="322" customFormat="false" ht="13.8" hidden="false" customHeight="false" outlineLevel="0" collapsed="false"/>
    <row r="323" customFormat="false" ht="13.8" hidden="false" customHeight="false" outlineLevel="0" collapsed="false"/>
    <row r="324" customFormat="false" ht="13.8" hidden="false" customHeight="false" outlineLevel="0" collapsed="false"/>
    <row r="325" customFormat="false" ht="13.8" hidden="false" customHeight="false" outlineLevel="0" collapsed="false"/>
    <row r="326" customFormat="false" ht="13.8" hidden="false" customHeight="false" outlineLevel="0" collapsed="false"/>
    <row r="327" customFormat="false" ht="13.8" hidden="false" customHeight="false" outlineLevel="0" collapsed="false"/>
    <row r="328" customFormat="false" ht="13.8" hidden="false" customHeight="false" outlineLevel="0" collapsed="false"/>
    <row r="329" customFormat="false" ht="13.8" hidden="false" customHeight="false" outlineLevel="0" collapsed="false"/>
    <row r="330" customFormat="false" ht="13.8" hidden="false" customHeight="false" outlineLevel="0" collapsed="false"/>
    <row r="331" customFormat="false" ht="13.8" hidden="false" customHeight="false" outlineLevel="0" collapsed="false"/>
    <row r="332" customFormat="false" ht="13.8" hidden="false" customHeight="false" outlineLevel="0" collapsed="false"/>
    <row r="333" customFormat="false" ht="13.8" hidden="false" customHeight="false" outlineLevel="0" collapsed="false"/>
    <row r="334" customFormat="false" ht="13.8" hidden="false" customHeight="false" outlineLevel="0" collapsed="false"/>
    <row r="335" customFormat="false" ht="13.8" hidden="false" customHeight="false" outlineLevel="0" collapsed="false"/>
    <row r="336" customFormat="false" ht="13.8" hidden="false" customHeight="false" outlineLevel="0" collapsed="false"/>
    <row r="337" customFormat="false" ht="13.8" hidden="false" customHeight="false" outlineLevel="0" collapsed="false"/>
    <row r="338" customFormat="false" ht="13.8" hidden="false" customHeight="false" outlineLevel="0" collapsed="false"/>
    <row r="339" customFormat="false" ht="13.8" hidden="false" customHeight="false" outlineLevel="0" collapsed="false"/>
    <row r="340" customFormat="false" ht="13.8" hidden="false" customHeight="false" outlineLevel="0" collapsed="false"/>
    <row r="341" customFormat="false" ht="13.8" hidden="false" customHeight="false" outlineLevel="0" collapsed="false"/>
    <row r="342" customFormat="false" ht="13.8" hidden="false" customHeight="false" outlineLevel="0" collapsed="false"/>
    <row r="343" customFormat="false" ht="13.8" hidden="false" customHeight="false" outlineLevel="0" collapsed="false"/>
    <row r="344" customFormat="false" ht="13.8" hidden="false" customHeight="false" outlineLevel="0" collapsed="false"/>
    <row r="345" customFormat="false" ht="13.8" hidden="false" customHeight="false" outlineLevel="0" collapsed="false"/>
    <row r="346" customFormat="false" ht="13.8" hidden="false" customHeight="false" outlineLevel="0" collapsed="false"/>
    <row r="347" customFormat="false" ht="13.8" hidden="false" customHeight="false" outlineLevel="0" collapsed="false"/>
    <row r="348" customFormat="false" ht="13.8" hidden="false" customHeight="false" outlineLevel="0" collapsed="false"/>
    <row r="349" customFormat="false" ht="13.8" hidden="false" customHeight="false" outlineLevel="0" collapsed="false"/>
    <row r="350" customFormat="false" ht="13.8" hidden="false" customHeight="false" outlineLevel="0" collapsed="false"/>
    <row r="351" customFormat="false" ht="13.8" hidden="false" customHeight="false" outlineLevel="0" collapsed="false"/>
    <row r="352" customFormat="false" ht="13.8" hidden="false" customHeight="false" outlineLevel="0" collapsed="false"/>
    <row r="353" customFormat="false" ht="13.8" hidden="false" customHeight="false" outlineLevel="0" collapsed="false"/>
    <row r="354" customFormat="false" ht="13.8" hidden="false" customHeight="false" outlineLevel="0" collapsed="false"/>
    <row r="355" customFormat="false" ht="13.8" hidden="false" customHeight="false" outlineLevel="0" collapsed="false"/>
    <row r="356" customFormat="false" ht="13.8" hidden="false" customHeight="false" outlineLevel="0" collapsed="false"/>
    <row r="357" customFormat="false" ht="13.8" hidden="false" customHeight="false" outlineLevel="0" collapsed="false"/>
    <row r="358" customFormat="false" ht="13.8" hidden="false" customHeight="false" outlineLevel="0" collapsed="false"/>
    <row r="359" customFormat="false" ht="13.8" hidden="false" customHeight="false" outlineLevel="0" collapsed="false"/>
    <row r="360" customFormat="false" ht="13.8" hidden="false" customHeight="false" outlineLevel="0" collapsed="false"/>
    <row r="361" customFormat="false" ht="13.8" hidden="false" customHeight="false" outlineLevel="0" collapsed="false"/>
    <row r="362" customFormat="false" ht="13.8" hidden="false" customHeight="false" outlineLevel="0" collapsed="false"/>
    <row r="363" customFormat="false" ht="13.8" hidden="false" customHeight="false" outlineLevel="0" collapsed="false"/>
    <row r="364" customFormat="false" ht="13.8" hidden="false" customHeight="false" outlineLevel="0" collapsed="false"/>
    <row r="365" customFormat="false" ht="13.8" hidden="false" customHeight="false" outlineLevel="0" collapsed="false"/>
    <row r="366" customFormat="false" ht="13.8" hidden="false" customHeight="false" outlineLevel="0" collapsed="false"/>
    <row r="367" customFormat="false" ht="13.8" hidden="false" customHeight="false" outlineLevel="0" collapsed="false"/>
    <row r="368" customFormat="false" ht="13.8" hidden="false" customHeight="false" outlineLevel="0" collapsed="false"/>
    <row r="369" customFormat="false" ht="13.8" hidden="false" customHeight="false" outlineLevel="0" collapsed="false"/>
    <row r="370" customFormat="false" ht="13.8" hidden="false" customHeight="false" outlineLevel="0" collapsed="false"/>
    <row r="371" customFormat="false" ht="13.8" hidden="false" customHeight="false" outlineLevel="0" collapsed="false"/>
    <row r="372" customFormat="false" ht="13.8" hidden="false" customHeight="false" outlineLevel="0" collapsed="false"/>
    <row r="373" customFormat="false" ht="13.8" hidden="false" customHeight="false" outlineLevel="0" collapsed="false"/>
    <row r="374" customFormat="false" ht="13.8" hidden="false" customHeight="false" outlineLevel="0" collapsed="false"/>
    <row r="375" customFormat="false" ht="13.8" hidden="false" customHeight="false" outlineLevel="0" collapsed="false"/>
    <row r="376" customFormat="false" ht="13.8" hidden="false" customHeight="false" outlineLevel="0" collapsed="false"/>
    <row r="377" customFormat="false" ht="13.8" hidden="false" customHeight="false" outlineLevel="0" collapsed="false"/>
    <row r="378" customFormat="false" ht="13.8" hidden="false" customHeight="false" outlineLevel="0" collapsed="false"/>
    <row r="379" customFormat="false" ht="13.8" hidden="false" customHeight="false" outlineLevel="0" collapsed="false"/>
    <row r="380" customFormat="false" ht="13.8" hidden="false" customHeight="false" outlineLevel="0" collapsed="false"/>
    <row r="381" customFormat="false" ht="13.8" hidden="false" customHeight="false" outlineLevel="0" collapsed="false"/>
    <row r="382" customFormat="false" ht="13.8" hidden="false" customHeight="false" outlineLevel="0" collapsed="false"/>
    <row r="383" customFormat="false" ht="13.8" hidden="false" customHeight="false" outlineLevel="0" collapsed="false"/>
    <row r="384" customFormat="false" ht="13.8" hidden="false" customHeight="false" outlineLevel="0" collapsed="false"/>
    <row r="385" customFormat="false" ht="13.8" hidden="false" customHeight="false" outlineLevel="0" collapsed="false"/>
    <row r="386" customFormat="false" ht="13.8" hidden="false" customHeight="false" outlineLevel="0" collapsed="false"/>
    <row r="387" customFormat="false" ht="13.8" hidden="false" customHeight="false" outlineLevel="0" collapsed="false"/>
    <row r="388" customFormat="false" ht="13.8" hidden="false" customHeight="false" outlineLevel="0" collapsed="false"/>
    <row r="389" customFormat="false" ht="13.8" hidden="false" customHeight="false" outlineLevel="0" collapsed="false"/>
    <row r="390" customFormat="false" ht="13.8" hidden="false" customHeight="false" outlineLevel="0" collapsed="false"/>
    <row r="391" customFormat="false" ht="13.8" hidden="false" customHeight="false" outlineLevel="0" collapsed="false"/>
    <row r="392" customFormat="false" ht="13.8" hidden="false" customHeight="false" outlineLevel="0" collapsed="false"/>
    <row r="393" customFormat="false" ht="13.8" hidden="false" customHeight="false" outlineLevel="0" collapsed="false"/>
    <row r="394" customFormat="false" ht="13.8" hidden="false" customHeight="false" outlineLevel="0" collapsed="false"/>
    <row r="395" customFormat="false" ht="13.8" hidden="false" customHeight="false" outlineLevel="0" collapsed="false"/>
    <row r="396" customFormat="false" ht="13.8" hidden="false" customHeight="false" outlineLevel="0" collapsed="false"/>
    <row r="397" customFormat="false" ht="13.8" hidden="false" customHeight="false" outlineLevel="0" collapsed="false"/>
    <row r="398" customFormat="false" ht="13.8" hidden="false" customHeight="false" outlineLevel="0" collapsed="false"/>
    <row r="399" customFormat="false" ht="13.8" hidden="false" customHeight="false" outlineLevel="0" collapsed="false"/>
    <row r="400" customFormat="false" ht="13.8" hidden="false" customHeight="false" outlineLevel="0" collapsed="false"/>
    <row r="401" customFormat="false" ht="13.8" hidden="false" customHeight="false" outlineLevel="0" collapsed="false"/>
    <row r="402" customFormat="false" ht="13.8" hidden="false" customHeight="false" outlineLevel="0" collapsed="false"/>
    <row r="403" customFormat="false" ht="13.8" hidden="false" customHeight="false" outlineLevel="0" collapsed="false"/>
    <row r="404" customFormat="false" ht="13.8" hidden="false" customHeight="false" outlineLevel="0" collapsed="false"/>
    <row r="405" customFormat="false" ht="13.8" hidden="false" customHeight="false" outlineLevel="0" collapsed="false"/>
    <row r="406" customFormat="false" ht="13.8" hidden="false" customHeight="false" outlineLevel="0" collapsed="false"/>
    <row r="407" customFormat="false" ht="13.8" hidden="false" customHeight="false" outlineLevel="0" collapsed="false"/>
    <row r="408" customFormat="false" ht="13.8" hidden="false" customHeight="false" outlineLevel="0" collapsed="false"/>
    <row r="409" customFormat="false" ht="13.8" hidden="false" customHeight="false" outlineLevel="0" collapsed="false"/>
    <row r="410" customFormat="false" ht="13.8" hidden="false" customHeight="false" outlineLevel="0" collapsed="false"/>
    <row r="411" customFormat="false" ht="13.8" hidden="false" customHeight="false" outlineLevel="0" collapsed="false"/>
    <row r="412" customFormat="false" ht="13.8" hidden="false" customHeight="false" outlineLevel="0" collapsed="false"/>
    <row r="413" customFormat="false" ht="13.8" hidden="false" customHeight="false" outlineLevel="0" collapsed="false"/>
    <row r="414" customFormat="false" ht="13.8" hidden="false" customHeight="false" outlineLevel="0" collapsed="false"/>
    <row r="415" customFormat="false" ht="13.8" hidden="false" customHeight="false" outlineLevel="0" collapsed="false"/>
    <row r="416" customFormat="false" ht="13.8" hidden="false" customHeight="false" outlineLevel="0" collapsed="false"/>
    <row r="417" customFormat="false" ht="13.8" hidden="false" customHeight="false" outlineLevel="0" collapsed="false"/>
    <row r="418" customFormat="false" ht="13.8" hidden="false" customHeight="false" outlineLevel="0" collapsed="false"/>
    <row r="419" customFormat="false" ht="13.8" hidden="false" customHeight="false" outlineLevel="0" collapsed="false"/>
    <row r="420" customFormat="false" ht="13.8" hidden="false" customHeight="false" outlineLevel="0" collapsed="false"/>
    <row r="421" customFormat="false" ht="13.8" hidden="false" customHeight="false" outlineLevel="0" collapsed="false"/>
    <row r="422" customFormat="false" ht="13.8" hidden="false" customHeight="false" outlineLevel="0" collapsed="false"/>
    <row r="423" customFormat="false" ht="13.8" hidden="false" customHeight="false" outlineLevel="0" collapsed="false"/>
    <row r="424" customFormat="false" ht="13.8" hidden="false" customHeight="false" outlineLevel="0" collapsed="false"/>
    <row r="425" customFormat="false" ht="13.8" hidden="false" customHeight="false" outlineLevel="0" collapsed="false"/>
    <row r="426" customFormat="false" ht="13.8" hidden="false" customHeight="false" outlineLevel="0" collapsed="false"/>
    <row r="427" customFormat="false" ht="13.8" hidden="false" customHeight="false" outlineLevel="0" collapsed="false"/>
    <row r="428" customFormat="false" ht="13.8" hidden="false" customHeight="false" outlineLevel="0" collapsed="false"/>
    <row r="429" customFormat="false" ht="13.8" hidden="false" customHeight="false" outlineLevel="0" collapsed="false"/>
    <row r="430" customFormat="false" ht="13.8" hidden="false" customHeight="false" outlineLevel="0" collapsed="false"/>
    <row r="431" customFormat="false" ht="13.8" hidden="false" customHeight="false" outlineLevel="0" collapsed="false"/>
    <row r="432" customFormat="false" ht="13.8" hidden="false" customHeight="false" outlineLevel="0" collapsed="false"/>
    <row r="433" customFormat="false" ht="13.8" hidden="false" customHeight="false" outlineLevel="0" collapsed="false"/>
    <row r="434" customFormat="false" ht="13.8" hidden="false" customHeight="false" outlineLevel="0" collapsed="false"/>
    <row r="435" customFormat="false" ht="13.8" hidden="false" customHeight="false" outlineLevel="0" collapsed="false"/>
    <row r="436" customFormat="false" ht="13.8" hidden="false" customHeight="false" outlineLevel="0" collapsed="false"/>
    <row r="437" customFormat="false" ht="13.8" hidden="false" customHeight="false" outlineLevel="0" collapsed="false"/>
    <row r="438" customFormat="false" ht="13.8" hidden="false" customHeight="false" outlineLevel="0" collapsed="false"/>
    <row r="439" customFormat="false" ht="13.8" hidden="false" customHeight="false" outlineLevel="0" collapsed="false"/>
    <row r="440" customFormat="false" ht="13.8" hidden="false" customHeight="false" outlineLevel="0" collapsed="false"/>
    <row r="441" customFormat="false" ht="13.8" hidden="false" customHeight="false" outlineLevel="0" collapsed="false"/>
    <row r="442" customFormat="false" ht="13.8" hidden="false" customHeight="false" outlineLevel="0" collapsed="false"/>
    <row r="443" customFormat="false" ht="13.8" hidden="false" customHeight="false" outlineLevel="0" collapsed="false"/>
    <row r="444" customFormat="false" ht="13.8" hidden="false" customHeight="false" outlineLevel="0" collapsed="false"/>
    <row r="445" customFormat="false" ht="13.8" hidden="false" customHeight="false" outlineLevel="0" collapsed="false"/>
    <row r="446" customFormat="false" ht="13.8" hidden="false" customHeight="false" outlineLevel="0" collapsed="false"/>
    <row r="447" customFormat="false" ht="13.8" hidden="false" customHeight="false" outlineLevel="0" collapsed="false"/>
    <row r="448" customFormat="false" ht="13.8" hidden="false" customHeight="false" outlineLevel="0" collapsed="false"/>
    <row r="449" customFormat="false" ht="13.8" hidden="false" customHeight="false" outlineLevel="0" collapsed="false"/>
    <row r="450" customFormat="false" ht="13.8" hidden="false" customHeight="false" outlineLevel="0" collapsed="false"/>
    <row r="451" customFormat="false" ht="13.8" hidden="false" customHeight="false" outlineLevel="0" collapsed="false"/>
    <row r="452" customFormat="false" ht="13.8" hidden="false" customHeight="false" outlineLevel="0" collapsed="false"/>
    <row r="453" customFormat="false" ht="13.8" hidden="false" customHeight="false" outlineLevel="0" collapsed="false"/>
    <row r="454" customFormat="false" ht="13.8" hidden="false" customHeight="false" outlineLevel="0" collapsed="false"/>
    <row r="455" customFormat="false" ht="13.8" hidden="false" customHeight="false" outlineLevel="0" collapsed="false"/>
    <row r="456" customFormat="false" ht="13.8" hidden="false" customHeight="false" outlineLevel="0" collapsed="false"/>
    <row r="457" customFormat="false" ht="13.8" hidden="false" customHeight="false" outlineLevel="0" collapsed="false"/>
    <row r="458" customFormat="false" ht="13.8" hidden="false" customHeight="false" outlineLevel="0" collapsed="false"/>
    <row r="459" customFormat="false" ht="13.8" hidden="false" customHeight="false" outlineLevel="0" collapsed="false"/>
    <row r="460" customFormat="false" ht="13.8" hidden="false" customHeight="false" outlineLevel="0" collapsed="false"/>
    <row r="461" customFormat="false" ht="13.8" hidden="false" customHeight="false" outlineLevel="0" collapsed="false"/>
    <row r="462" customFormat="false" ht="13.8" hidden="false" customHeight="false" outlineLevel="0" collapsed="false"/>
    <row r="463" customFormat="false" ht="13.8" hidden="false" customHeight="false" outlineLevel="0" collapsed="false"/>
    <row r="464" customFormat="false" ht="13.8" hidden="false" customHeight="false" outlineLevel="0" collapsed="false"/>
    <row r="465" customFormat="false" ht="13.8" hidden="false" customHeight="false" outlineLevel="0" collapsed="false"/>
    <row r="466" customFormat="false" ht="13.8" hidden="false" customHeight="false" outlineLevel="0" collapsed="false"/>
    <row r="467" customFormat="false" ht="13.8" hidden="false" customHeight="false" outlineLevel="0" collapsed="false"/>
    <row r="468" customFormat="false" ht="13.8" hidden="false" customHeight="false" outlineLevel="0" collapsed="false"/>
    <row r="469" customFormat="false" ht="13.8" hidden="false" customHeight="false" outlineLevel="0" collapsed="false"/>
    <row r="470" customFormat="false" ht="13.8" hidden="false" customHeight="false" outlineLevel="0" collapsed="false"/>
    <row r="471" customFormat="false" ht="13.8" hidden="false" customHeight="false" outlineLevel="0" collapsed="false"/>
    <row r="472" customFormat="false" ht="13.8" hidden="false" customHeight="false" outlineLevel="0" collapsed="false"/>
    <row r="473" customFormat="false" ht="13.8" hidden="false" customHeight="false" outlineLevel="0" collapsed="false"/>
    <row r="474" customFormat="false" ht="13.8" hidden="false" customHeight="false" outlineLevel="0" collapsed="false"/>
    <row r="475" customFormat="false" ht="13.8" hidden="false" customHeight="false" outlineLevel="0" collapsed="false"/>
    <row r="476" customFormat="false" ht="13.8" hidden="false" customHeight="false" outlineLevel="0" collapsed="false"/>
    <row r="477" customFormat="false" ht="13.8" hidden="false" customHeight="false" outlineLevel="0" collapsed="false"/>
    <row r="478" customFormat="false" ht="13.8" hidden="false" customHeight="false" outlineLevel="0" collapsed="false"/>
    <row r="479" customFormat="false" ht="13.8" hidden="false" customHeight="false" outlineLevel="0" collapsed="false"/>
    <row r="480" customFormat="false" ht="13.8" hidden="false" customHeight="false" outlineLevel="0" collapsed="false"/>
    <row r="481" customFormat="false" ht="13.8" hidden="false" customHeight="false" outlineLevel="0" collapsed="false"/>
    <row r="482" customFormat="false" ht="13.8" hidden="false" customHeight="false" outlineLevel="0" collapsed="false"/>
    <row r="483" customFormat="false" ht="13.8" hidden="false" customHeight="false" outlineLevel="0" collapsed="false"/>
    <row r="484" customFormat="false" ht="13.8" hidden="false" customHeight="false" outlineLevel="0" collapsed="false"/>
    <row r="485" customFormat="false" ht="13.8" hidden="false" customHeight="false" outlineLevel="0" collapsed="false"/>
    <row r="486" customFormat="false" ht="13.8" hidden="false" customHeight="false" outlineLevel="0" collapsed="false"/>
    <row r="487" customFormat="false" ht="13.8" hidden="false" customHeight="false" outlineLevel="0" collapsed="false"/>
    <row r="488" customFormat="false" ht="13.8" hidden="false" customHeight="false" outlineLevel="0" collapsed="false"/>
    <row r="489" customFormat="false" ht="13.8" hidden="false" customHeight="false" outlineLevel="0" collapsed="false"/>
    <row r="490" customFormat="false" ht="13.8" hidden="false" customHeight="false" outlineLevel="0" collapsed="false"/>
    <row r="491" customFormat="false" ht="13.8" hidden="false" customHeight="false" outlineLevel="0" collapsed="false"/>
    <row r="492" customFormat="false" ht="13.8" hidden="false" customHeight="false" outlineLevel="0" collapsed="false"/>
    <row r="493" customFormat="false" ht="13.8" hidden="false" customHeight="false" outlineLevel="0" collapsed="false"/>
    <row r="494" customFormat="false" ht="13.8" hidden="false" customHeight="false" outlineLevel="0" collapsed="false"/>
    <row r="495" customFormat="false" ht="13.8" hidden="false" customHeight="false" outlineLevel="0" collapsed="false"/>
    <row r="496" customFormat="false" ht="13.8" hidden="false" customHeight="false" outlineLevel="0" collapsed="false"/>
    <row r="497" customFormat="false" ht="13.8" hidden="false" customHeight="false" outlineLevel="0" collapsed="false"/>
    <row r="498" customFormat="false" ht="13.8" hidden="false" customHeight="false" outlineLevel="0" collapsed="false"/>
    <row r="499" customFormat="false" ht="13.8" hidden="false" customHeight="false" outlineLevel="0" collapsed="false"/>
    <row r="500" customFormat="false" ht="13.8" hidden="false" customHeight="false" outlineLevel="0" collapsed="false"/>
    <row r="501" customFormat="false" ht="13.8" hidden="false" customHeight="false" outlineLevel="0" collapsed="false"/>
    <row r="502" customFormat="false" ht="13.8" hidden="false" customHeight="false" outlineLevel="0" collapsed="false"/>
    <row r="503" customFormat="false" ht="13.8" hidden="false" customHeight="false" outlineLevel="0" collapsed="false"/>
    <row r="504" customFormat="false" ht="13.8" hidden="false" customHeight="false" outlineLevel="0" collapsed="false"/>
    <row r="505" customFormat="false" ht="13.8" hidden="false" customHeight="false" outlineLevel="0" collapsed="false"/>
    <row r="506" customFormat="false" ht="13.8" hidden="false" customHeight="false" outlineLevel="0" collapsed="false"/>
    <row r="507" customFormat="false" ht="13.8" hidden="false" customHeight="false" outlineLevel="0" collapsed="false"/>
    <row r="508" customFormat="false" ht="13.8" hidden="false" customHeight="false" outlineLevel="0" collapsed="false"/>
    <row r="509" customFormat="false" ht="13.8" hidden="false" customHeight="false" outlineLevel="0" collapsed="false"/>
    <row r="510" customFormat="false" ht="13.8" hidden="false" customHeight="false" outlineLevel="0" collapsed="false"/>
    <row r="511" customFormat="false" ht="13.8" hidden="false" customHeight="false" outlineLevel="0" collapsed="false"/>
    <row r="512" customFormat="false" ht="13.8" hidden="false" customHeight="false" outlineLevel="0" collapsed="false"/>
    <row r="513" customFormat="false" ht="13.8" hidden="false" customHeight="false" outlineLevel="0" collapsed="false"/>
    <row r="514" customFormat="false" ht="13.8" hidden="false" customHeight="false" outlineLevel="0" collapsed="false"/>
    <row r="515" customFormat="false" ht="13.8" hidden="false" customHeight="false" outlineLevel="0" collapsed="false"/>
    <row r="516" customFormat="false" ht="13.8" hidden="false" customHeight="false" outlineLevel="0" collapsed="false"/>
    <row r="517" customFormat="false" ht="13.8" hidden="false" customHeight="false" outlineLevel="0" collapsed="false"/>
    <row r="518" customFormat="false" ht="13.8" hidden="false" customHeight="false" outlineLevel="0" collapsed="false"/>
    <row r="519" customFormat="false" ht="13.8" hidden="false" customHeight="false" outlineLevel="0" collapsed="false"/>
    <row r="520" customFormat="false" ht="13.8" hidden="false" customHeight="false" outlineLevel="0" collapsed="false"/>
    <row r="521" customFormat="false" ht="13.8" hidden="false" customHeight="false" outlineLevel="0" collapsed="false"/>
    <row r="522" customFormat="false" ht="13.8" hidden="false" customHeight="false" outlineLevel="0" collapsed="false"/>
    <row r="523" customFormat="false" ht="13.8" hidden="false" customHeight="false" outlineLevel="0" collapsed="false"/>
    <row r="524" customFormat="false" ht="13.8" hidden="false" customHeight="false" outlineLevel="0" collapsed="false"/>
    <row r="525" customFormat="false" ht="13.8" hidden="false" customHeight="false" outlineLevel="0" collapsed="false"/>
    <row r="526" customFormat="false" ht="13.8" hidden="false" customHeight="false" outlineLevel="0" collapsed="false"/>
    <row r="527" customFormat="false" ht="13.8" hidden="false" customHeight="false" outlineLevel="0" collapsed="false"/>
    <row r="528" customFormat="false" ht="13.8" hidden="false" customHeight="false" outlineLevel="0" collapsed="false"/>
    <row r="529" customFormat="false" ht="13.8" hidden="false" customHeight="false" outlineLevel="0" collapsed="false"/>
    <row r="530" customFormat="false" ht="13.8" hidden="false" customHeight="false" outlineLevel="0" collapsed="false"/>
    <row r="531" customFormat="false" ht="13.8" hidden="false" customHeight="false" outlineLevel="0" collapsed="false"/>
    <row r="532" customFormat="false" ht="13.8" hidden="false" customHeight="false" outlineLevel="0" collapsed="false"/>
    <row r="533" customFormat="false" ht="13.8" hidden="false" customHeight="false" outlineLevel="0" collapsed="false"/>
    <row r="534" customFormat="false" ht="13.8" hidden="false" customHeight="false" outlineLevel="0" collapsed="false"/>
    <row r="535" customFormat="false" ht="13.8" hidden="false" customHeight="false" outlineLevel="0" collapsed="false"/>
    <row r="536" customFormat="false" ht="13.8" hidden="false" customHeight="false" outlineLevel="0" collapsed="false"/>
    <row r="537" customFormat="false" ht="13.8" hidden="false" customHeight="false" outlineLevel="0" collapsed="false"/>
    <row r="538" customFormat="false" ht="13.8" hidden="false" customHeight="false" outlineLevel="0" collapsed="false"/>
    <row r="539" customFormat="false" ht="13.8" hidden="false" customHeight="false" outlineLevel="0" collapsed="false"/>
    <row r="540" customFormat="false" ht="13.8" hidden="false" customHeight="false" outlineLevel="0" collapsed="false"/>
    <row r="541" customFormat="false" ht="13.8" hidden="false" customHeight="false" outlineLevel="0" collapsed="false"/>
    <row r="542" customFormat="false" ht="13.8" hidden="false" customHeight="false" outlineLevel="0" collapsed="false"/>
    <row r="543" customFormat="false" ht="13.8" hidden="false" customHeight="false" outlineLevel="0" collapsed="false"/>
    <row r="544" customFormat="false" ht="13.8" hidden="false" customHeight="false" outlineLevel="0" collapsed="false"/>
    <row r="545" customFormat="false" ht="13.8" hidden="false" customHeight="false" outlineLevel="0" collapsed="false"/>
    <row r="546" customFormat="false" ht="13.8" hidden="false" customHeight="false" outlineLevel="0" collapsed="false"/>
    <row r="547" customFormat="false" ht="13.8" hidden="false" customHeight="false" outlineLevel="0" collapsed="false"/>
    <row r="548" customFormat="false" ht="13.8" hidden="false" customHeight="false" outlineLevel="0" collapsed="false"/>
    <row r="549" customFormat="false" ht="13.8" hidden="false" customHeight="false" outlineLevel="0" collapsed="false"/>
    <row r="550" customFormat="false" ht="13.8" hidden="false" customHeight="false" outlineLevel="0" collapsed="false"/>
    <row r="551" customFormat="false" ht="13.8" hidden="false" customHeight="false" outlineLevel="0" collapsed="false"/>
    <row r="552" customFormat="false" ht="13.8" hidden="false" customHeight="false" outlineLevel="0" collapsed="false"/>
    <row r="553" customFormat="false" ht="13.8" hidden="false" customHeight="false" outlineLevel="0" collapsed="false"/>
    <row r="554" customFormat="false" ht="13.8" hidden="false" customHeight="false" outlineLevel="0" collapsed="false"/>
    <row r="555" customFormat="false" ht="13.8" hidden="false" customHeight="false" outlineLevel="0" collapsed="false"/>
    <row r="556" customFormat="false" ht="13.8" hidden="false" customHeight="false" outlineLevel="0" collapsed="false"/>
    <row r="557" customFormat="false" ht="13.8" hidden="false" customHeight="false" outlineLevel="0" collapsed="false"/>
    <row r="558" customFormat="false" ht="13.8" hidden="false" customHeight="false" outlineLevel="0" collapsed="false"/>
    <row r="559" customFormat="false" ht="13.8" hidden="false" customHeight="false" outlineLevel="0" collapsed="false"/>
    <row r="560" customFormat="false" ht="13.8" hidden="false" customHeight="false" outlineLevel="0" collapsed="false"/>
    <row r="561" customFormat="false" ht="13.8" hidden="false" customHeight="false" outlineLevel="0" collapsed="false"/>
    <row r="562" customFormat="false" ht="13.8" hidden="false" customHeight="false" outlineLevel="0" collapsed="false"/>
    <row r="563" customFormat="false" ht="13.8" hidden="false" customHeight="false" outlineLevel="0" collapsed="false"/>
    <row r="564" customFormat="false" ht="13.8" hidden="false" customHeight="false" outlineLevel="0" collapsed="false"/>
    <row r="565" customFormat="false" ht="13.8" hidden="false" customHeight="false" outlineLevel="0" collapsed="false"/>
    <row r="566" customFormat="false" ht="13.8" hidden="false" customHeight="false" outlineLevel="0" collapsed="false"/>
    <row r="567" customFormat="false" ht="13.8" hidden="false" customHeight="false" outlineLevel="0" collapsed="false"/>
    <row r="568" customFormat="false" ht="13.8" hidden="false" customHeight="false" outlineLevel="0" collapsed="false"/>
    <row r="569" customFormat="false" ht="13.8" hidden="false" customHeight="false" outlineLevel="0" collapsed="false"/>
    <row r="570" customFormat="false" ht="13.8" hidden="false" customHeight="false" outlineLevel="0" collapsed="false"/>
    <row r="571" customFormat="false" ht="13.8" hidden="false" customHeight="false" outlineLevel="0" collapsed="false"/>
    <row r="572" customFormat="false" ht="13.8" hidden="false" customHeight="false" outlineLevel="0" collapsed="false"/>
    <row r="573" customFormat="false" ht="13.8" hidden="false" customHeight="false" outlineLevel="0" collapsed="false"/>
    <row r="574" customFormat="false" ht="13.8" hidden="false" customHeight="false" outlineLevel="0" collapsed="false"/>
    <row r="575" customFormat="false" ht="13.8" hidden="false" customHeight="false" outlineLevel="0" collapsed="false"/>
    <row r="576" customFormat="false" ht="13.8" hidden="false" customHeight="false" outlineLevel="0" collapsed="false"/>
    <row r="577" customFormat="false" ht="13.8" hidden="false" customHeight="false" outlineLevel="0" collapsed="false"/>
    <row r="578" customFormat="false" ht="13.8" hidden="false" customHeight="false" outlineLevel="0" collapsed="false"/>
    <row r="579" customFormat="false" ht="13.8" hidden="false" customHeight="false" outlineLevel="0" collapsed="false"/>
    <row r="580" customFormat="false" ht="13.8" hidden="false" customHeight="false" outlineLevel="0" collapsed="false"/>
    <row r="581" customFormat="false" ht="13.8" hidden="false" customHeight="false" outlineLevel="0" collapsed="false"/>
    <row r="582" customFormat="false" ht="13.8" hidden="false" customHeight="false" outlineLevel="0" collapsed="false"/>
    <row r="583" customFormat="false" ht="13.8" hidden="false" customHeight="false" outlineLevel="0" collapsed="false"/>
    <row r="584" customFormat="false" ht="13.8" hidden="false" customHeight="false" outlineLevel="0" collapsed="false"/>
    <row r="585" customFormat="false" ht="13.8" hidden="false" customHeight="false" outlineLevel="0" collapsed="false"/>
    <row r="586" customFormat="false" ht="13.8" hidden="false" customHeight="false" outlineLevel="0" collapsed="false"/>
    <row r="587" customFormat="false" ht="13.8" hidden="false" customHeight="false" outlineLevel="0" collapsed="false"/>
    <row r="588" customFormat="false" ht="13.8" hidden="false" customHeight="false" outlineLevel="0" collapsed="false"/>
    <row r="589" customFormat="false" ht="13.8" hidden="false" customHeight="false" outlineLevel="0" collapsed="false"/>
    <row r="590" customFormat="false" ht="13.8" hidden="false" customHeight="false" outlineLevel="0" collapsed="false"/>
    <row r="591" customFormat="false" ht="13.8" hidden="false" customHeight="false" outlineLevel="0" collapsed="false"/>
    <row r="592" customFormat="false" ht="13.8" hidden="false" customHeight="false" outlineLevel="0" collapsed="false"/>
    <row r="593" customFormat="false" ht="13.8" hidden="false" customHeight="false" outlineLevel="0" collapsed="false"/>
    <row r="594" customFormat="false" ht="13.8" hidden="false" customHeight="false" outlineLevel="0" collapsed="false"/>
    <row r="595" customFormat="false" ht="13.8" hidden="false" customHeight="false" outlineLevel="0" collapsed="false"/>
    <row r="596" customFormat="false" ht="13.8" hidden="false" customHeight="false" outlineLevel="0" collapsed="false"/>
    <row r="597" customFormat="false" ht="13.8" hidden="false" customHeight="false" outlineLevel="0" collapsed="false"/>
    <row r="598" customFormat="false" ht="13.8" hidden="false" customHeight="false" outlineLevel="0" collapsed="false"/>
    <row r="599" customFormat="false" ht="13.8" hidden="false" customHeight="false" outlineLevel="0" collapsed="false"/>
    <row r="600" customFormat="false" ht="13.8" hidden="false" customHeight="false" outlineLevel="0" collapsed="false"/>
    <row r="601" customFormat="false" ht="13.8" hidden="false" customHeight="false" outlineLevel="0" collapsed="false"/>
    <row r="602" customFormat="false" ht="13.8" hidden="false" customHeight="false" outlineLevel="0" collapsed="false"/>
    <row r="603" customFormat="false" ht="13.8" hidden="false" customHeight="false" outlineLevel="0" collapsed="false"/>
    <row r="604" customFormat="false" ht="13.8" hidden="false" customHeight="false" outlineLevel="0" collapsed="false"/>
    <row r="605" customFormat="false" ht="13.8" hidden="false" customHeight="false" outlineLevel="0" collapsed="false"/>
    <row r="606" customFormat="false" ht="13.8" hidden="false" customHeight="false" outlineLevel="0" collapsed="false"/>
    <row r="607" customFormat="false" ht="13.8" hidden="false" customHeight="false" outlineLevel="0" collapsed="false"/>
    <row r="608" customFormat="false" ht="13.8" hidden="false" customHeight="false" outlineLevel="0" collapsed="false"/>
    <row r="609" customFormat="false" ht="13.8" hidden="false" customHeight="false" outlineLevel="0" collapsed="false"/>
    <row r="610" customFormat="false" ht="13.8" hidden="false" customHeight="false" outlineLevel="0" collapsed="false"/>
    <row r="611" customFormat="false" ht="13.8" hidden="false" customHeight="false" outlineLevel="0" collapsed="false"/>
    <row r="612" customFormat="false" ht="13.8" hidden="false" customHeight="false" outlineLevel="0" collapsed="false"/>
    <row r="613" customFormat="false" ht="13.8" hidden="false" customHeight="false" outlineLevel="0" collapsed="false"/>
    <row r="614" customFormat="false" ht="13.8" hidden="false" customHeight="false" outlineLevel="0" collapsed="false"/>
    <row r="615" customFormat="false" ht="13.8" hidden="false" customHeight="false" outlineLevel="0" collapsed="false"/>
    <row r="616" customFormat="false" ht="13.8" hidden="false" customHeight="false" outlineLevel="0" collapsed="false"/>
    <row r="617" customFormat="false" ht="13.8" hidden="false" customHeight="false" outlineLevel="0" collapsed="false"/>
    <row r="618" customFormat="false" ht="13.8" hidden="false" customHeight="false" outlineLevel="0" collapsed="false"/>
    <row r="619" customFormat="false" ht="13.8" hidden="false" customHeight="false" outlineLevel="0" collapsed="false"/>
    <row r="620" customFormat="false" ht="13.8" hidden="false" customHeight="false" outlineLevel="0" collapsed="false"/>
    <row r="621" customFormat="false" ht="13.8" hidden="false" customHeight="false" outlineLevel="0" collapsed="false"/>
    <row r="622" customFormat="false" ht="13.8" hidden="false" customHeight="false" outlineLevel="0" collapsed="false"/>
    <row r="623" customFormat="false" ht="13.8" hidden="false" customHeight="false" outlineLevel="0" collapsed="false"/>
    <row r="624" customFormat="false" ht="13.8" hidden="false" customHeight="false" outlineLevel="0" collapsed="false"/>
    <row r="625" customFormat="false" ht="13.8" hidden="false" customHeight="false" outlineLevel="0" collapsed="false"/>
    <row r="626" customFormat="false" ht="13.8" hidden="false" customHeight="false" outlineLevel="0" collapsed="false"/>
    <row r="627" customFormat="false" ht="13.8" hidden="false" customHeight="false" outlineLevel="0" collapsed="false"/>
    <row r="628" customFormat="false" ht="13.8" hidden="false" customHeight="false" outlineLevel="0" collapsed="false"/>
    <row r="629" customFormat="false" ht="13.8" hidden="false" customHeight="false" outlineLevel="0" collapsed="false"/>
    <row r="630" customFormat="false" ht="13.8" hidden="false" customHeight="false" outlineLevel="0" collapsed="false"/>
    <row r="631" customFormat="false" ht="13.8" hidden="false" customHeight="false" outlineLevel="0" collapsed="false"/>
    <row r="632" customFormat="false" ht="13.8" hidden="false" customHeight="false" outlineLevel="0" collapsed="false"/>
    <row r="633" customFormat="false" ht="13.8" hidden="false" customHeight="false" outlineLevel="0" collapsed="false"/>
    <row r="634" customFormat="false" ht="13.8" hidden="false" customHeight="false" outlineLevel="0" collapsed="false"/>
    <row r="635" customFormat="false" ht="13.8" hidden="false" customHeight="false" outlineLevel="0" collapsed="false"/>
    <row r="636" customFormat="false" ht="13.8" hidden="false" customHeight="false" outlineLevel="0" collapsed="false"/>
    <row r="637" customFormat="false" ht="13.8" hidden="false" customHeight="false" outlineLevel="0" collapsed="false"/>
    <row r="638" customFormat="false" ht="13.8" hidden="false" customHeight="false" outlineLevel="0" collapsed="false"/>
    <row r="639" customFormat="false" ht="13.8" hidden="false" customHeight="false" outlineLevel="0" collapsed="false"/>
    <row r="640" customFormat="false" ht="13.8" hidden="false" customHeight="false" outlineLevel="0" collapsed="false"/>
    <row r="641" customFormat="false" ht="13.8" hidden="false" customHeight="false" outlineLevel="0" collapsed="false"/>
    <row r="642" customFormat="false" ht="13.8" hidden="false" customHeight="false" outlineLevel="0" collapsed="false"/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801</TotalTime>
  <Application>LibreOffice/6.0.7.3$Linux_X86_64 LibreOffice_project/00m0$Build-3</Application>
  <Company>Mechanical Engineering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2007-09-20T16:33:49Z</dcterms:created>
  <dc:creator>kwoodbury</dc:creator>
  <dc:description/>
  <dc:language>en-US</dc:language>
  <cp:lastModifiedBy/>
  <dcterms:modified xsi:type="dcterms:W3CDTF">2019-02-24T16:34:47Z</dcterms:modified>
  <cp:revision>78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Company">
    <vt:lpwstr>Mechanical Engineering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