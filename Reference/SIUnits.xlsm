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my_p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MY_ALLREGIONS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<sst xmlns="http://schemas.openxmlformats.org/spreadsheetml/2006/main" count="525" uniqueCount="252">
  <si>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</si>
  <si>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</si>
  <si>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</si>
  <si>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</si>
  <si>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</si>
  <si>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</si>
  <si>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</si>
  <si>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</si>
  <si>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</si>
  <si>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</si>
  <si>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</si>
  <si>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</si>
  <si>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</si>
  <si>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</si>
  <si>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</si>
  <si>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</si>
  <si>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</si>
  <si>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</si>
  <si>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</si>
  <si>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</si>
  <si>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</si>
  <si>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</si>
  <si>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</si>
  <si>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</si>
  <si>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</si>
  <si>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</si>
  <si>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</si>
  <si>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</si>
  <si>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</si>
  <si>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</si>
  <si>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</si>
  <si>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</si>
  <si>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</si>
  <si>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</si>
  <si>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</si>
  <si>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</si>
  <si>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</si>
  <si>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</si>
  <si>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</si>
  <si>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</si>
  <si>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</si>
  <si>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</si>
  <si>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</si>
  <si>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2.63890, 500.0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</si>
  <si>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</si>
  <si>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</si>
  <si>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</si>
  <si>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</si>
  <si>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</si>
  <si>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</si>
  <si>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</si>
  <si>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</si>
  <si>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</si>
  <si>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</si>
  <si>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</si>
  <si>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</si>
  <si>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</si>
  <si>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</si>
  <si>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</si>
  <si>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</si>
  <si>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</si>
  <si>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</si>
  <si>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</si>
  <si>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</si>
  <si>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</si>
  <si>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</si>
  <si>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</si>
  <si>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</si>
  <si>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</si>
  <si>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</si>
  <si>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</si>
  <si>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</si>
  <si>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</si>
  <si>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</si>
  <si>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</si>
  <si>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</si>
  <si>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</si>
  <si>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</si>
  <si>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</si>
  <si>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</si>
  <si>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</si>
  <si>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</si>
  <si>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</si>
  <si>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</si>
  <si>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</si>
  <si>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</si>
  <si>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</si>
  <si>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</si>
  <si>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</si>
  <si>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</si>
  <si>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</si>
  <si>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</si>
  <si>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</si>
  <si>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</si>
  <si>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</si>
  <si>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</si>
  <si>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</si>
  <si>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</si>
  <si>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</si>
  <si>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</si>
  <si>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</si>
  <si>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</si>
  <si>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</si>
  <si>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</si>
  <si>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</si>
  <si>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</si>
  <si>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</si>
  <si>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</si>
  <si>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</si>
  <si>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</si>
  <si>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</si>
  <si>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</si>
  <si>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</si>
  <si>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</si>
  <si>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</si>
  <si>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</si>
  <si>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</si>
  <si>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</si>
  <si>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</si>
  <si>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</si>
  <si>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</si>
  <si>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</si>
  <si>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</si>
  <si>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</si>
  <si>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</si>
  <si>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</si>
  <si>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</si>
  <si>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</si>
  <si>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</si>
  <si>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</si>
  <si>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</si>
  <si>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</si>
  <si>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</si>
  <si>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</si>
  <si>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</si>
  <si>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</si>
  <si>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</si>
  <si>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</si>
  <si>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</si>
  <si>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</si>
  <si>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</si>
  <si>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</si>
  <si>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</si>
  <si>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</si>
  <si>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</si>
  <si>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</si>
  <si>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</si>
  <si>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</si>
  <si>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</si>
  <si>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</si>
  <si>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</si>
  <si>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</si>
  <si>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</si>
  <si>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</si>
  <si>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</si>
  <si>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</si>
  <si>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</si>
  <si>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</si>
  <si>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</si>
  <si>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</si>
  <si>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</si>
  <si>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</si>
  <si>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</si>
  <si>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</si>
  <si>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</si>
  <si>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</si>
  <si>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</si>
  <si>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</si>
  <si>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</si>
  <si>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</si>
  <si>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</si>
  <si>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</si>
  <si>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</si>
  <si>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</si>
  <si>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</si>
  <si>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</si>
  <si>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</si>
  <si>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</si>
  <si>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</si>
  <si>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</si>
  <si>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</si>
  <si>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</si>
  <si>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</si>
  <si>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</si>
  <si>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</si>
  <si>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</si>
  <si>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</si>
  <si>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</si>
  <si>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</si>
  <si>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</si>
  <si>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</si>
  <si>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</si>
  <si>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</si>
  <si>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</si>
  <si>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</si>
  <si>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</si>
  <si>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</si>
  <si>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</si>
  <si>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</si>
  <si>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</si>
  <si>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</si>
  <si>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</si>
  <si>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</si>
  <si>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</si>
  <si>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</si>
  <si>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</si>
  <si>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</si>
  <si>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</si>
  <si>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</si>
  <si>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</si>
  <si>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</si>
  <si>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</si>
  <si>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</si>
  <si>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</si>
  <si>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</si>
  <si>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</si>
  <si>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</si>
  <si>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</si>
  <si>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</si>
  <si>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</si>
  <si>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</si>
  <si>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</si>
  <si>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</si>
  <si>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</si>
  <si>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</si>
  <si>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</si>
  <si>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</si>
  <si>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</si>
  <si>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</si>
  <si>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</si>
  <si>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</si>
  <si>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</si>
  <si>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</si>
  <si>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</si>
  <si>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</si>
  <si>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</si>
  <si>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</si>
  <si>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</si>
  <si>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</si>
  <si>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</si>
  <si>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</si>
  <si>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</si>
  <si>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</si>
  <si>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</si>
  <si>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</si>
  <si>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</si>
  <si>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</si>
  <si>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</si>
  <si>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</si>
  <si>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</si>
  <si>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</si>
  <si>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my(p,t)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</si>
</sst>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sz val="10"/>
      <name val="Arial"/>
      <family val="2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5" activeCellId="0" sqref="L5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"/>
    <col collapsed="false" customWidth="true" hidden="false" outlineLevel="0" max="3" min="3" style="1" width="7.7"/>
    <col collapsed="false" customWidth="true" hidden="false" outlineLevel="0" max="4" min="4" style="1" width="4.7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"/>
    <col collapsed="false" customWidth="true" hidden="false" outlineLevel="0" max="259" min="259" style="1" width="7.7"/>
    <col collapsed="false" customWidth="true" hidden="false" outlineLevel="0" max="260" min="260" style="1" width="4.7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"/>
    <col collapsed="false" customWidth="true" hidden="false" outlineLevel="0" max="515" min="515" style="1" width="7.7"/>
    <col collapsed="false" customWidth="true" hidden="false" outlineLevel="0" max="516" min="516" style="1" width="4.7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"/>
    <col collapsed="false" customWidth="true" hidden="false" outlineLevel="0" max="771" min="771" style="1" width="7.7"/>
    <col collapsed="false" customWidth="true" hidden="false" outlineLevel="0" max="772" min="772" style="1" width="4.7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2.8" hidden="false" customHeight="false" outlineLevel="0" collapsed="false">
      <c r="A3" s="4" t="s">
        <v>40</v>
      </c>
      <c r="L3" s="31" t="n">
        <v>1</v>
      </c>
      <c r="M3" s="4" t="n">
        <f aca="false">REGION_PH(L3,L4)</f>
        <v>4</v>
      </c>
      <c r="N3" s="4" t="n">
        <v>60000</v>
      </c>
      <c r="O3" s="4" t="n">
        <f aca="false">H_PT(N3,N5)</f>
        <v>166.614936306524</v>
      </c>
    </row>
    <row r="4" s="4" customFormat="true" ht="12.8" hidden="false" customHeight="false" outlineLevel="0" collapsed="false">
      <c r="A4" s="4" t="s">
        <v>41</v>
      </c>
      <c r="F4" s="6" t="s">
        <v>42</v>
      </c>
      <c r="L4" s="4" t="n">
        <v>1000</v>
      </c>
      <c r="M4" s="4" t="n">
        <f aca="false">MY_ALLREGIONS_PH(L3,L4)</f>
        <v>1.32809175893687E-005</v>
      </c>
      <c r="N4" s="4" t="n">
        <v>300</v>
      </c>
    </row>
    <row r="5" s="4" customFormat="true" ht="12.8" hidden="false" customHeight="false" outlineLevel="0" collapsed="false">
      <c r="A5" s="4" t="s">
        <v>4</v>
      </c>
      <c r="N5" s="4" t="n">
        <f aca="false">N4-273.15</f>
        <v>26.85</v>
      </c>
    </row>
    <row r="6" customFormat="false" ht="12.8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  <c r="L6" s="3" t="s">
        <v>43</v>
      </c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3" customFormat="true" ht="15" hidden="false" customHeight="false" outlineLevel="0" collapsed="false">
      <c r="A8" s="32" t="s">
        <v>9</v>
      </c>
      <c r="F8" s="34"/>
      <c r="G8" s="34"/>
    </row>
    <row r="9" s="4" customFormat="true" ht="12.75" hidden="false" customHeight="false" outlineLevel="1" collapsed="false">
      <c r="A9" s="5" t="s">
        <v>44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45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46</v>
      </c>
    </row>
    <row r="11" s="4" customFormat="true" ht="12.75" hidden="false" customHeight="false" outlineLevel="1" collapsed="false">
      <c r="A11" s="5" t="s">
        <v>47</v>
      </c>
      <c r="B11" s="3" t="n">
        <v>100</v>
      </c>
      <c r="C11" s="3" t="s">
        <v>12</v>
      </c>
      <c r="D11" s="3" t="n">
        <v>1</v>
      </c>
      <c r="E11" s="3" t="s">
        <v>48</v>
      </c>
      <c r="F11" s="5" t="n">
        <f aca="false">T_PS(B11,D11)</f>
        <v>73.7085942144087</v>
      </c>
      <c r="G11" s="5" t="s">
        <v>10</v>
      </c>
      <c r="H11" s="3" t="s">
        <v>49</v>
      </c>
    </row>
    <row r="12" s="4" customFormat="true" ht="12.75" hidden="false" customHeight="false" outlineLevel="1" collapsed="false">
      <c r="A12" s="5" t="s">
        <v>50</v>
      </c>
      <c r="B12" s="3" t="n">
        <v>100</v>
      </c>
      <c r="C12" s="3" t="s">
        <v>17</v>
      </c>
      <c r="D12" s="3" t="n">
        <v>0.2</v>
      </c>
      <c r="E12" s="3" t="s">
        <v>48</v>
      </c>
      <c r="F12" s="5" t="n">
        <f aca="false">T_HS(B12,D12)</f>
        <v>13.8493351118726</v>
      </c>
      <c r="G12" s="5" t="s">
        <v>10</v>
      </c>
      <c r="H12" s="3" t="s">
        <v>51</v>
      </c>
    </row>
    <row r="13" s="33" customFormat="true" ht="15" hidden="false" customHeight="false" outlineLevel="0" collapsed="false">
      <c r="A13" s="32" t="s">
        <v>11</v>
      </c>
      <c r="F13" s="34"/>
      <c r="G13" s="34"/>
    </row>
    <row r="14" s="4" customFormat="true" ht="12.75" hidden="false" customHeight="false" outlineLevel="1" collapsed="false">
      <c r="A14" s="5" t="s">
        <v>52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53</v>
      </c>
      <c r="H14" s="3" t="s">
        <v>13</v>
      </c>
    </row>
    <row r="15" s="4" customFormat="true" ht="12.75" hidden="false" customHeight="false" outlineLevel="1" collapsed="false">
      <c r="A15" s="5" t="s">
        <v>54</v>
      </c>
      <c r="B15" s="3" t="n">
        <v>84</v>
      </c>
      <c r="C15" s="3" t="s">
        <v>17</v>
      </c>
      <c r="D15" s="3" t="n">
        <v>0.296</v>
      </c>
      <c r="E15" s="3" t="s">
        <v>48</v>
      </c>
      <c r="F15" s="5" t="n">
        <f aca="false">P_HS(B15,D15)</f>
        <v>229.549826928091</v>
      </c>
      <c r="G15" s="5" t="s">
        <v>53</v>
      </c>
      <c r="H15" s="3" t="s">
        <v>55</v>
      </c>
    </row>
    <row r="16" s="4" customFormat="true" ht="12.75" hidden="false" customHeight="false" outlineLevel="1" collapsed="false">
      <c r="A16" s="5" t="s">
        <v>56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53</v>
      </c>
      <c r="H16" s="3" t="s">
        <v>57</v>
      </c>
    </row>
    <row r="17" s="33" customFormat="true" ht="15" hidden="false" customHeight="false" outlineLevel="0" collapsed="false">
      <c r="A17" s="32" t="s">
        <v>16</v>
      </c>
      <c r="F17" s="34"/>
      <c r="G17" s="34"/>
    </row>
    <row r="18" s="4" customFormat="true" ht="12.75" hidden="false" customHeight="false" outlineLevel="1" collapsed="false">
      <c r="A18" s="5" t="s">
        <v>58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59</v>
      </c>
    </row>
    <row r="19" s="4" customFormat="true" ht="12.75" hidden="false" customHeight="false" outlineLevel="1" collapsed="false">
      <c r="A19" s="5" t="s">
        <v>60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61</v>
      </c>
    </row>
    <row r="20" s="4" customFormat="true" ht="12.75" hidden="false" customHeight="false" outlineLevel="1" collapsed="false">
      <c r="A20" s="5" t="s">
        <v>62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59</v>
      </c>
    </row>
    <row r="21" s="4" customFormat="true" ht="12.75" hidden="false" customHeight="false" outlineLevel="1" collapsed="false">
      <c r="A21" s="5" t="s">
        <v>63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61</v>
      </c>
    </row>
    <row r="22" s="4" customFormat="true" ht="12.75" hidden="false" customHeight="false" outlineLevel="1" collapsed="false">
      <c r="A22" s="5" t="s">
        <v>64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65</v>
      </c>
    </row>
    <row r="23" s="4" customFormat="true" ht="12.75" hidden="false" customHeight="false" outlineLevel="1" collapsed="false">
      <c r="A23" s="5" t="s">
        <v>66</v>
      </c>
      <c r="B23" s="3" t="n">
        <v>100</v>
      </c>
      <c r="C23" s="3" t="s">
        <v>12</v>
      </c>
      <c r="D23" s="3" t="n">
        <v>1</v>
      </c>
      <c r="E23" s="3" t="s">
        <v>48</v>
      </c>
      <c r="F23" s="5" t="n">
        <f aca="false">H_PS(B23,D23)</f>
        <v>308.610717082946</v>
      </c>
      <c r="G23" s="5" t="s">
        <v>17</v>
      </c>
      <c r="H23" s="3" t="s">
        <v>67</v>
      </c>
    </row>
    <row r="24" s="4" customFormat="true" ht="12.75" hidden="false" customHeight="false" outlineLevel="1" collapsed="false">
      <c r="A24" s="5" t="s">
        <v>68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69</v>
      </c>
    </row>
    <row r="25" s="4" customFormat="true" ht="12.75" hidden="false" customHeight="false" outlineLevel="1" collapsed="false">
      <c r="A25" s="5" t="s">
        <v>70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71</v>
      </c>
    </row>
    <row r="26" s="4" customFormat="true" ht="12.75" hidden="false" customHeight="false" outlineLevel="1" collapsed="false">
      <c r="A26" s="5" t="s">
        <v>72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73</v>
      </c>
    </row>
    <row r="27" s="33" customFormat="true" ht="15" hidden="false" customHeight="false" outlineLevel="0" collapsed="false">
      <c r="A27" s="32" t="s">
        <v>74</v>
      </c>
      <c r="F27" s="34"/>
      <c r="G27" s="34"/>
    </row>
    <row r="28" s="4" customFormat="true" ht="12.75" hidden="false" customHeight="false" outlineLevel="1" collapsed="false">
      <c r="A28" s="5" t="s">
        <v>75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76</v>
      </c>
      <c r="H28" s="3" t="s">
        <v>77</v>
      </c>
    </row>
    <row r="29" s="4" customFormat="true" ht="12.75" hidden="false" customHeight="false" outlineLevel="1" collapsed="false">
      <c r="A29" s="5" t="s">
        <v>78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76</v>
      </c>
      <c r="H29" s="3" t="s">
        <v>79</v>
      </c>
    </row>
    <row r="30" s="4" customFormat="true" ht="12.75" hidden="false" customHeight="false" outlineLevel="1" collapsed="false">
      <c r="A30" s="5" t="s">
        <v>80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76</v>
      </c>
      <c r="H30" s="3" t="s">
        <v>77</v>
      </c>
    </row>
    <row r="31" s="4" customFormat="true" ht="12.75" hidden="false" customHeight="false" outlineLevel="1" collapsed="false">
      <c r="A31" s="5" t="s">
        <v>81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76</v>
      </c>
      <c r="H31" s="3" t="s">
        <v>79</v>
      </c>
    </row>
    <row r="32" s="4" customFormat="true" ht="12.75" hidden="false" customHeight="false" outlineLevel="1" collapsed="false">
      <c r="A32" s="5" t="s">
        <v>82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76</v>
      </c>
      <c r="H32" s="3" t="s">
        <v>83</v>
      </c>
    </row>
    <row r="33" s="4" customFormat="true" ht="12.75" hidden="false" customHeight="false" outlineLevel="1" collapsed="false">
      <c r="A33" s="5" t="s">
        <v>84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76</v>
      </c>
      <c r="H33" s="3" t="s">
        <v>85</v>
      </c>
    </row>
    <row r="34" s="4" customFormat="true" ht="12.75" hidden="false" customHeight="false" outlineLevel="1" collapsed="false">
      <c r="A34" s="5" t="s">
        <v>86</v>
      </c>
      <c r="B34" s="3" t="n">
        <v>100</v>
      </c>
      <c r="C34" s="3" t="s">
        <v>12</v>
      </c>
      <c r="D34" s="3" t="n">
        <v>5</v>
      </c>
      <c r="E34" s="3" t="s">
        <v>48</v>
      </c>
      <c r="F34" s="5" t="n">
        <f aca="false">V_PS(B34,D34)</f>
        <v>1.03463539018629</v>
      </c>
      <c r="G34" s="5" t="s">
        <v>76</v>
      </c>
      <c r="H34" s="3" t="s">
        <v>87</v>
      </c>
    </row>
    <row r="35" s="33" customFormat="true" ht="15" hidden="false" customHeight="false" outlineLevel="0" collapsed="false">
      <c r="A35" s="32" t="s">
        <v>18</v>
      </c>
      <c r="F35" s="34"/>
      <c r="G35" s="34"/>
    </row>
    <row r="36" s="4" customFormat="true" ht="12.75" hidden="false" customHeight="false" outlineLevel="1" collapsed="false">
      <c r="A36" s="5" t="s">
        <v>88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89</v>
      </c>
    </row>
    <row r="37" s="4" customFormat="true" ht="12.75" hidden="false" customHeight="false" outlineLevel="1" collapsed="false">
      <c r="A37" s="5" t="s">
        <v>90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91</v>
      </c>
    </row>
    <row r="38" s="4" customFormat="true" ht="12.75" hidden="false" customHeight="false" outlineLevel="1" collapsed="false">
      <c r="A38" s="5" t="s">
        <v>92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89</v>
      </c>
    </row>
    <row r="39" s="4" customFormat="true" ht="12.75" hidden="false" customHeight="false" outlineLevel="1" collapsed="false">
      <c r="A39" s="5" t="s">
        <v>93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91</v>
      </c>
    </row>
    <row r="40" s="4" customFormat="true" ht="12.75" hidden="false" customHeight="false" outlineLevel="1" collapsed="false">
      <c r="A40" s="5" t="s">
        <v>94</v>
      </c>
      <c r="B40" s="3" t="n">
        <v>101</v>
      </c>
      <c r="C40" s="3" t="s">
        <v>12</v>
      </c>
      <c r="D40" s="3" t="n">
        <v>20</v>
      </c>
      <c r="E40" s="3" t="s">
        <v>10</v>
      </c>
      <c r="F40" s="5" t="n">
        <f aca="false">RHO_PT(B40,D40)</f>
        <v>998.205943804451</v>
      </c>
      <c r="G40" s="5" t="s">
        <v>19</v>
      </c>
      <c r="H40" s="3" t="s">
        <v>95</v>
      </c>
    </row>
    <row r="41" s="4" customFormat="true" ht="12.75" hidden="false" customHeight="false" outlineLevel="1" collapsed="false">
      <c r="A41" s="5" t="s">
        <v>96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97</v>
      </c>
    </row>
    <row r="42" s="4" customFormat="true" ht="12.75" hidden="false" customHeight="false" outlineLevel="1" collapsed="false">
      <c r="A42" s="5" t="s">
        <v>98</v>
      </c>
      <c r="B42" s="3" t="n">
        <v>100</v>
      </c>
      <c r="C42" s="3" t="s">
        <v>12</v>
      </c>
      <c r="D42" s="3" t="n">
        <v>1</v>
      </c>
      <c r="E42" s="3" t="s">
        <v>48</v>
      </c>
      <c r="F42" s="5" t="n">
        <f aca="false">RHO_PS(B42,D42)</f>
        <v>975.623678848232</v>
      </c>
      <c r="G42" s="5" t="s">
        <v>19</v>
      </c>
      <c r="H42" s="3" t="s">
        <v>99</v>
      </c>
    </row>
    <row r="43" s="33" customFormat="true" ht="15" hidden="false" customHeight="false" outlineLevel="0" collapsed="false">
      <c r="A43" s="32" t="s">
        <v>100</v>
      </c>
      <c r="F43" s="34"/>
      <c r="G43" s="34"/>
    </row>
    <row r="44" s="4" customFormat="true" ht="12.75" hidden="false" customHeight="false" outlineLevel="1" collapsed="false">
      <c r="A44" s="5" t="s">
        <v>101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48</v>
      </c>
      <c r="H44" s="3" t="s">
        <v>102</v>
      </c>
    </row>
    <row r="45" s="4" customFormat="true" ht="12.75" hidden="false" customHeight="false" outlineLevel="1" collapsed="false">
      <c r="A45" s="5" t="s">
        <v>103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48</v>
      </c>
      <c r="H45" s="3" t="s">
        <v>104</v>
      </c>
    </row>
    <row r="46" s="4" customFormat="true" ht="12.75" hidden="false" customHeight="false" outlineLevel="1" collapsed="false">
      <c r="A46" s="5" t="s">
        <v>105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48</v>
      </c>
      <c r="H46" s="3" t="s">
        <v>102</v>
      </c>
    </row>
    <row r="47" s="4" customFormat="true" ht="12.75" hidden="false" customHeight="false" outlineLevel="1" collapsed="false">
      <c r="A47" s="5" t="s">
        <v>106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48</v>
      </c>
      <c r="H47" s="3" t="s">
        <v>104</v>
      </c>
    </row>
    <row r="48" s="4" customFormat="true" ht="12.75" hidden="false" customHeight="false" outlineLevel="1" collapsed="false">
      <c r="A48" s="5" t="s">
        <v>107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48</v>
      </c>
      <c r="H48" s="3" t="s">
        <v>108</v>
      </c>
    </row>
    <row r="49" s="4" customFormat="true" ht="12.75" hidden="false" customHeight="false" outlineLevel="1" collapsed="false">
      <c r="A49" s="5" t="s">
        <v>109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48</v>
      </c>
      <c r="H49" s="3" t="s">
        <v>110</v>
      </c>
    </row>
    <row r="50" s="33" customFormat="true" ht="15" hidden="false" customHeight="false" outlineLevel="0" collapsed="false">
      <c r="A50" s="32" t="s">
        <v>111</v>
      </c>
      <c r="F50" s="34"/>
      <c r="G50" s="34"/>
    </row>
    <row r="51" s="4" customFormat="true" ht="12.75" hidden="false" customHeight="false" outlineLevel="1" collapsed="false">
      <c r="A51" s="5" t="s">
        <v>112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113</v>
      </c>
    </row>
    <row r="52" s="4" customFormat="true" ht="12.75" hidden="false" customHeight="false" outlineLevel="1" collapsed="false">
      <c r="A52" s="5" t="s">
        <v>114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115</v>
      </c>
    </row>
    <row r="53" s="4" customFormat="true" ht="12.75" hidden="false" customHeight="false" outlineLevel="1" collapsed="false">
      <c r="A53" s="5" t="s">
        <v>116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113</v>
      </c>
    </row>
    <row r="54" s="4" customFormat="true" ht="12.75" hidden="false" customHeight="false" outlineLevel="1" collapsed="false">
      <c r="A54" s="5" t="s">
        <v>117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115</v>
      </c>
    </row>
    <row r="55" s="4" customFormat="true" ht="12.75" hidden="false" customHeight="false" outlineLevel="1" collapsed="false">
      <c r="A55" s="5" t="s">
        <v>118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119</v>
      </c>
    </row>
    <row r="56" s="4" customFormat="true" ht="12.75" hidden="false" customHeight="false" outlineLevel="1" collapsed="false">
      <c r="A56" s="5" t="s">
        <v>120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121</v>
      </c>
    </row>
    <row r="57" s="4" customFormat="true" ht="12.75" hidden="false" customHeight="false" outlineLevel="1" collapsed="false">
      <c r="A57" s="5" t="s">
        <v>122</v>
      </c>
      <c r="B57" s="3" t="n">
        <v>100</v>
      </c>
      <c r="C57" s="3" t="s">
        <v>12</v>
      </c>
      <c r="D57" s="3" t="n">
        <v>1</v>
      </c>
      <c r="E57" s="3" t="s">
        <v>48</v>
      </c>
      <c r="F57" s="5" t="n">
        <f aca="false">U_PS(B57,D57)</f>
        <v>308.508218545684</v>
      </c>
      <c r="G57" s="5" t="s">
        <v>17</v>
      </c>
      <c r="H57" s="3" t="s">
        <v>123</v>
      </c>
    </row>
    <row r="58" s="33" customFormat="true" ht="15" hidden="false" customHeight="false" outlineLevel="0" collapsed="false">
      <c r="A58" s="32" t="s">
        <v>124</v>
      </c>
      <c r="F58" s="34"/>
      <c r="G58" s="34"/>
    </row>
    <row r="59" s="4" customFormat="true" ht="12.75" hidden="false" customHeight="false" outlineLevel="1" collapsed="false">
      <c r="A59" s="5" t="s">
        <v>125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126</v>
      </c>
      <c r="H59" s="3" t="s">
        <v>127</v>
      </c>
    </row>
    <row r="60" s="4" customFormat="true" ht="12.75" hidden="false" customHeight="false" outlineLevel="1" collapsed="false">
      <c r="A60" s="5" t="s">
        <v>128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126</v>
      </c>
      <c r="H60" s="3" t="s">
        <v>129</v>
      </c>
    </row>
    <row r="61" s="4" customFormat="true" ht="12.75" hidden="false" customHeight="false" outlineLevel="1" collapsed="false">
      <c r="A61" s="5" t="s">
        <v>130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126</v>
      </c>
      <c r="H61" s="3" t="s">
        <v>127</v>
      </c>
    </row>
    <row r="62" s="4" customFormat="true" ht="12.75" hidden="false" customHeight="false" outlineLevel="1" collapsed="false">
      <c r="A62" s="5" t="s">
        <v>131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126</v>
      </c>
      <c r="H62" s="3" t="s">
        <v>129</v>
      </c>
    </row>
    <row r="63" s="4" customFormat="true" ht="12.75" hidden="false" customHeight="false" outlineLevel="1" collapsed="false">
      <c r="A63" s="5" t="s">
        <v>132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126</v>
      </c>
      <c r="H63" s="3" t="s">
        <v>133</v>
      </c>
    </row>
    <row r="64" s="4" customFormat="true" ht="12.75" hidden="false" customHeight="false" outlineLevel="1" collapsed="false">
      <c r="A64" s="5" t="s">
        <v>134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126</v>
      </c>
      <c r="H64" s="3" t="s">
        <v>135</v>
      </c>
    </row>
    <row r="65" s="4" customFormat="true" ht="12.75" hidden="false" customHeight="false" outlineLevel="1" collapsed="false">
      <c r="A65" s="5" t="s">
        <v>136</v>
      </c>
      <c r="B65" s="3" t="n">
        <v>100</v>
      </c>
      <c r="C65" s="3" t="s">
        <v>12</v>
      </c>
      <c r="D65" s="3" t="n">
        <v>1</v>
      </c>
      <c r="E65" s="3" t="s">
        <v>48</v>
      </c>
      <c r="F65" s="5" t="n">
        <f aca="false">CP_PS(B65,D65)</f>
        <v>4.19060703790129</v>
      </c>
      <c r="G65" s="5" t="s">
        <v>126</v>
      </c>
      <c r="H65" s="3" t="s">
        <v>137</v>
      </c>
    </row>
    <row r="66" s="33" customFormat="true" ht="15" hidden="false" customHeight="false" outlineLevel="0" collapsed="false">
      <c r="A66" s="32" t="s">
        <v>138</v>
      </c>
      <c r="F66" s="34"/>
      <c r="G66" s="34"/>
    </row>
    <row r="67" s="4" customFormat="true" ht="12.75" hidden="false" customHeight="false" outlineLevel="1" collapsed="false">
      <c r="A67" s="5" t="s">
        <v>139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126</v>
      </c>
      <c r="H67" s="3" t="s">
        <v>140</v>
      </c>
    </row>
    <row r="68" s="4" customFormat="true" ht="12.75" hidden="false" customHeight="false" outlineLevel="1" collapsed="false">
      <c r="A68" s="5" t="s">
        <v>141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126</v>
      </c>
      <c r="H68" s="3" t="s">
        <v>142</v>
      </c>
    </row>
    <row r="69" s="4" customFormat="true" ht="12.75" hidden="false" customHeight="false" outlineLevel="1" collapsed="false">
      <c r="A69" s="5" t="s">
        <v>143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126</v>
      </c>
      <c r="H69" s="3" t="s">
        <v>140</v>
      </c>
    </row>
    <row r="70" s="4" customFormat="true" ht="12.75" hidden="false" customHeight="false" outlineLevel="1" collapsed="false">
      <c r="A70" s="5" t="s">
        <v>144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126</v>
      </c>
      <c r="H70" s="3" t="s">
        <v>142</v>
      </c>
    </row>
    <row r="71" s="4" customFormat="true" ht="12.75" hidden="false" customHeight="false" outlineLevel="1" collapsed="false">
      <c r="A71" s="5" t="s">
        <v>145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126</v>
      </c>
      <c r="H71" s="3" t="s">
        <v>146</v>
      </c>
    </row>
    <row r="72" s="4" customFormat="true" ht="12.75" hidden="false" customHeight="false" outlineLevel="1" collapsed="false">
      <c r="A72" s="5" t="s">
        <v>147</v>
      </c>
      <c r="B72" s="3" t="n">
        <v>1E-010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126</v>
      </c>
      <c r="H72" s="3" t="s">
        <v>148</v>
      </c>
    </row>
    <row r="73" s="4" customFormat="true" ht="12.75" hidden="false" customHeight="false" outlineLevel="1" collapsed="false">
      <c r="A73" s="5" t="s">
        <v>149</v>
      </c>
      <c r="B73" s="3" t="n">
        <v>100</v>
      </c>
      <c r="C73" s="3" t="s">
        <v>12</v>
      </c>
      <c r="D73" s="3" t="n">
        <v>1</v>
      </c>
      <c r="E73" s="3" t="s">
        <v>48</v>
      </c>
      <c r="F73" s="5" t="n">
        <f aca="false">CV_PS(B73,D73)</f>
        <v>3.90291946811366</v>
      </c>
      <c r="G73" s="5" t="s">
        <v>126</v>
      </c>
      <c r="H73" s="3" t="s">
        <v>150</v>
      </c>
    </row>
    <row r="74" s="33" customFormat="true" ht="15" hidden="false" customHeight="false" outlineLevel="0" collapsed="false">
      <c r="A74" s="32" t="s">
        <v>151</v>
      </c>
      <c r="F74" s="34"/>
      <c r="G74" s="34"/>
    </row>
    <row r="75" s="4" customFormat="true" ht="12.75" hidden="false" customHeight="false" outlineLevel="1" collapsed="false">
      <c r="A75" s="5" t="s">
        <v>152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153</v>
      </c>
    </row>
    <row r="76" s="4" customFormat="true" ht="12.75" hidden="false" customHeight="false" outlineLevel="1" collapsed="false">
      <c r="A76" s="5" t="s">
        <v>154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155</v>
      </c>
    </row>
    <row r="77" s="4" customFormat="true" ht="12.75" hidden="false" customHeight="false" outlineLevel="1" collapsed="false">
      <c r="A77" s="5" t="s">
        <v>156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153</v>
      </c>
    </row>
    <row r="78" s="4" customFormat="true" ht="12.75" hidden="false" customHeight="false" outlineLevel="1" collapsed="false">
      <c r="A78" s="5" t="s">
        <v>157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155</v>
      </c>
    </row>
    <row r="79" s="4" customFormat="true" ht="12.75" hidden="false" customHeight="false" outlineLevel="1" collapsed="false">
      <c r="A79" s="5" t="s">
        <v>158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159</v>
      </c>
    </row>
    <row r="80" s="4" customFormat="true" ht="12.75" hidden="false" customHeight="false" outlineLevel="1" collapsed="false">
      <c r="A80" s="5" t="s">
        <v>160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161</v>
      </c>
    </row>
    <row r="81" s="4" customFormat="true" ht="12.75" hidden="false" customHeight="false" outlineLevel="1" collapsed="false">
      <c r="A81" s="5" t="s">
        <v>162</v>
      </c>
      <c r="B81" s="3" t="n">
        <v>100</v>
      </c>
      <c r="C81" s="3" t="s">
        <v>12</v>
      </c>
      <c r="D81" s="3" t="n">
        <v>1</v>
      </c>
      <c r="E81" s="3" t="s">
        <v>48</v>
      </c>
      <c r="F81" s="5" t="n">
        <f aca="false">W_PS(B81,D81)</f>
        <v>1557.85853553222</v>
      </c>
      <c r="G81" s="5" t="s">
        <v>36</v>
      </c>
      <c r="H81" s="3" t="s">
        <v>163</v>
      </c>
    </row>
    <row r="82" s="33" customFormat="true" ht="15" hidden="false" customHeight="false" outlineLevel="0" collapsed="false">
      <c r="A82" s="32" t="s">
        <v>164</v>
      </c>
      <c r="F82" s="34"/>
      <c r="G82" s="34"/>
    </row>
    <row r="83" s="4" customFormat="true" ht="11.25" hidden="false" customHeight="false" outlineLevel="1" collapsed="false">
      <c r="A83" s="4" t="s">
        <v>165</v>
      </c>
      <c r="F83" s="30"/>
      <c r="G83" s="30"/>
    </row>
    <row r="84" s="4" customFormat="true" ht="11.25" hidden="false" customHeight="false" outlineLevel="1" collapsed="false">
      <c r="A84" s="4" t="s">
        <v>166</v>
      </c>
      <c r="F84" s="30"/>
      <c r="G84" s="30"/>
    </row>
    <row r="85" s="4" customFormat="true" ht="12.75" hidden="false" customHeight="false" outlineLevel="1" collapsed="false">
      <c r="A85" s="5" t="s">
        <v>167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168</v>
      </c>
      <c r="H85" s="3" t="s">
        <v>169</v>
      </c>
    </row>
    <row r="86" s="4" customFormat="true" ht="12.75" hidden="false" customHeight="false" outlineLevel="1" collapsed="false">
      <c r="A86" s="5" t="s">
        <v>170</v>
      </c>
      <c r="B86" s="3" t="n">
        <v>100</v>
      </c>
      <c r="C86" s="3" t="s">
        <v>12</v>
      </c>
      <c r="D86" s="3" t="n">
        <v>100</v>
      </c>
      <c r="E86" s="3" t="s">
        <v>17</v>
      </c>
      <c r="F86" s="35" t="n">
        <f aca="false">MY_PH(B86,D86)</f>
        <v>0.000914003770302112</v>
      </c>
      <c r="G86" s="5" t="s">
        <v>168</v>
      </c>
      <c r="H86" s="3" t="s">
        <v>171</v>
      </c>
    </row>
    <row r="87" s="4" customFormat="true" ht="12.75" hidden="false" customHeight="false" outlineLevel="1" collapsed="false">
      <c r="A87" s="5" t="s">
        <v>172</v>
      </c>
      <c r="B87" s="3" t="n">
        <v>100</v>
      </c>
      <c r="C87" s="3" t="s">
        <v>12</v>
      </c>
      <c r="D87" s="3" t="n">
        <v>1</v>
      </c>
      <c r="E87" s="3" t="s">
        <v>48</v>
      </c>
      <c r="F87" s="35" t="n">
        <f aca="false">MY_PS(B87,D87)</f>
        <v>0.000384221865647568</v>
      </c>
      <c r="G87" s="5" t="s">
        <v>168</v>
      </c>
      <c r="H87" s="3" t="s">
        <v>173</v>
      </c>
    </row>
    <row r="88" customFormat="false" ht="18" hidden="false" customHeight="false" outlineLevel="0" collapsed="false">
      <c r="A88" s="2" t="s">
        <v>174</v>
      </c>
      <c r="F88" s="35"/>
      <c r="H88" s="36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175</v>
      </c>
      <c r="F89" s="35"/>
      <c r="H89" s="36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176</v>
      </c>
      <c r="B90" s="3" t="n">
        <v>100</v>
      </c>
      <c r="C90" s="3" t="s">
        <v>12</v>
      </c>
      <c r="D90" s="1" t="n">
        <v>200</v>
      </c>
      <c r="E90" s="1" t="s">
        <v>10</v>
      </c>
      <c r="F90" s="35" t="n">
        <f aca="false">PR_PT(B90,D90)</f>
        <v>0.957808214385887</v>
      </c>
      <c r="G90" s="5" t="s">
        <v>177</v>
      </c>
      <c r="H90" s="36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178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5" t="n">
        <f aca="false">PR_PH(B91,D91)</f>
        <v>0.957808261483562</v>
      </c>
      <c r="G91" s="5" t="s">
        <v>177</v>
      </c>
      <c r="H91" s="36"/>
      <c r="I91" s="9"/>
      <c r="J91" s="9"/>
      <c r="K91" s="9"/>
      <c r="L91" s="9"/>
      <c r="M91" s="9"/>
    </row>
    <row r="92" s="33" customFormat="true" ht="15" hidden="false" customHeight="false" outlineLevel="0" collapsed="false">
      <c r="A92" s="32" t="s">
        <v>179</v>
      </c>
      <c r="F92" s="34"/>
      <c r="G92" s="34"/>
      <c r="H92" s="37"/>
      <c r="I92" s="37"/>
      <c r="J92" s="37"/>
      <c r="K92" s="37"/>
      <c r="L92" s="37"/>
      <c r="M92" s="37"/>
    </row>
    <row r="93" s="4" customFormat="true" ht="11.25" hidden="false" customHeight="false" outlineLevel="1" collapsed="false">
      <c r="A93" s="4" t="s">
        <v>180</v>
      </c>
      <c r="F93" s="30"/>
      <c r="G93" s="30"/>
    </row>
    <row r="94" s="4" customFormat="true" ht="12.75" hidden="false" customHeight="false" outlineLevel="1" collapsed="false">
      <c r="A94" s="5" t="s">
        <v>181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182</v>
      </c>
      <c r="H94" s="3" t="s">
        <v>183</v>
      </c>
    </row>
    <row r="95" s="4" customFormat="true" ht="12.75" hidden="false" customHeight="false" outlineLevel="1" collapsed="false">
      <c r="A95" s="5" t="s">
        <v>184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182</v>
      </c>
      <c r="H95" s="3" t="s">
        <v>185</v>
      </c>
    </row>
    <row r="96" s="4" customFormat="true" ht="12.75" hidden="false" customHeight="false" outlineLevel="1" collapsed="false">
      <c r="A96" s="5" t="s">
        <v>186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182</v>
      </c>
      <c r="H96" s="3" t="s">
        <v>183</v>
      </c>
    </row>
    <row r="97" s="4" customFormat="true" ht="12.75" hidden="false" customHeight="false" outlineLevel="1" collapsed="false">
      <c r="A97" s="5" t="s">
        <v>187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182</v>
      </c>
      <c r="H97" s="3" t="s">
        <v>185</v>
      </c>
    </row>
    <row r="98" s="4" customFormat="true" ht="12.75" hidden="false" customHeight="false" outlineLevel="1" collapsed="false">
      <c r="A98" s="5" t="s">
        <v>188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182</v>
      </c>
      <c r="H98" s="3" t="s">
        <v>189</v>
      </c>
    </row>
    <row r="99" s="4" customFormat="true" ht="12.75" hidden="false" customHeight="false" outlineLevel="1" collapsed="false">
      <c r="A99" s="5" t="s">
        <v>190</v>
      </c>
      <c r="B99" s="3" t="n">
        <v>100</v>
      </c>
      <c r="C99" s="3" t="s">
        <v>12</v>
      </c>
      <c r="D99" s="3" t="n">
        <v>100</v>
      </c>
      <c r="E99" s="3" t="s">
        <v>48</v>
      </c>
      <c r="F99" s="5" t="n">
        <f aca="false">TC_PH(B99,D99)</f>
        <v>0.605710062456013</v>
      </c>
      <c r="G99" s="5" t="s">
        <v>182</v>
      </c>
      <c r="H99" s="3" t="s">
        <v>191</v>
      </c>
    </row>
    <row r="100" s="4" customFormat="true" ht="12.75" hidden="false" customHeight="false" outlineLevel="1" collapsed="false">
      <c r="A100" s="5" t="s">
        <v>192</v>
      </c>
      <c r="B100" s="3" t="n">
        <v>100</v>
      </c>
      <c r="C100" s="3" t="s">
        <v>48</v>
      </c>
      <c r="D100" s="3" t="n">
        <v>0.34</v>
      </c>
      <c r="E100" s="3" t="s">
        <v>48</v>
      </c>
      <c r="F100" s="5" t="n">
        <f aca="false">TC_HS(B100,D100)</f>
        <v>0.606283123848912</v>
      </c>
      <c r="G100" s="5" t="s">
        <v>182</v>
      </c>
      <c r="H100" s="3" t="s">
        <v>193</v>
      </c>
    </row>
    <row r="101" s="4" customFormat="true" ht="15" hidden="false" customHeight="false" outlineLevel="0" collapsed="false">
      <c r="A101" s="32" t="s">
        <v>194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195</v>
      </c>
      <c r="F102" s="30"/>
      <c r="G102" s="30"/>
    </row>
    <row r="103" s="4" customFormat="true" ht="12.75" hidden="false" customHeight="false" outlineLevel="1" collapsed="false">
      <c r="A103" s="5" t="s">
        <v>196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197</v>
      </c>
      <c r="H103" s="3" t="s">
        <v>198</v>
      </c>
    </row>
    <row r="104" s="4" customFormat="true" ht="12.75" hidden="false" customHeight="false" outlineLevel="1" collapsed="false">
      <c r="A104" s="5" t="s">
        <v>199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197</v>
      </c>
      <c r="H104" s="3" t="s">
        <v>198</v>
      </c>
    </row>
    <row r="105" s="33" customFormat="true" ht="15" hidden="false" customHeight="false" outlineLevel="0" collapsed="false">
      <c r="A105" s="32" t="s">
        <v>30</v>
      </c>
      <c r="F105" s="34"/>
      <c r="G105" s="34"/>
    </row>
    <row r="106" s="4" customFormat="true" ht="12.75" hidden="false" customHeight="false" outlineLevel="1" collapsed="false">
      <c r="A106" s="5" t="s">
        <v>200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201</v>
      </c>
    </row>
    <row r="107" s="4" customFormat="true" ht="12.75" hidden="false" customHeight="false" outlineLevel="1" collapsed="false">
      <c r="A107" s="5" t="s">
        <v>202</v>
      </c>
      <c r="B107" s="3" t="n">
        <v>100</v>
      </c>
      <c r="C107" s="3" t="s">
        <v>12</v>
      </c>
      <c r="D107" s="3" t="n">
        <v>4</v>
      </c>
      <c r="E107" s="3" t="s">
        <v>48</v>
      </c>
      <c r="F107" s="5" t="n">
        <f aca="false">X_PS(B107,D107)</f>
        <v>0.44539796073232</v>
      </c>
      <c r="G107" s="5"/>
      <c r="H107" s="3" t="s">
        <v>203</v>
      </c>
    </row>
    <row r="108" s="33" customFormat="true" ht="15" hidden="false" customHeight="false" outlineLevel="0" collapsed="false">
      <c r="A108" s="32" t="s">
        <v>204</v>
      </c>
      <c r="F108" s="34"/>
      <c r="G108" s="34"/>
    </row>
    <row r="109" s="4" customFormat="true" ht="11.25" hidden="false" customHeight="false" outlineLevel="1" collapsed="false">
      <c r="A109" s="4" t="s">
        <v>205</v>
      </c>
      <c r="F109" s="30"/>
      <c r="G109" s="30"/>
    </row>
    <row r="110" s="4" customFormat="true" ht="11.25" hidden="false" customHeight="false" outlineLevel="1" collapsed="false">
      <c r="A110" s="4" t="s">
        <v>206</v>
      </c>
      <c r="F110" s="30"/>
      <c r="G110" s="30"/>
    </row>
    <row r="111" s="4" customFormat="true" ht="12.75" hidden="false" customHeight="false" outlineLevel="1" collapsed="false">
      <c r="A111" s="5" t="s">
        <v>207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8" t="n">
        <f aca="false">VX_PH(B111,D111)</f>
        <v>0.288493093437067</v>
      </c>
      <c r="G111" s="5"/>
      <c r="H111" s="3" t="s">
        <v>208</v>
      </c>
    </row>
    <row r="112" s="4" customFormat="true" ht="12.75" hidden="false" customHeight="false" outlineLevel="1" collapsed="false">
      <c r="A112" s="5" t="s">
        <v>209</v>
      </c>
      <c r="B112" s="3" t="n">
        <v>100</v>
      </c>
      <c r="C112" s="3" t="s">
        <v>12</v>
      </c>
      <c r="D112" s="3" t="n">
        <v>4</v>
      </c>
      <c r="E112" s="3" t="s">
        <v>48</v>
      </c>
      <c r="F112" s="38" t="n">
        <f aca="false">VX_PS(B112,D112)</f>
        <v>0.99923382663888</v>
      </c>
      <c r="G112" s="5"/>
      <c r="H112" s="3" t="s">
        <v>210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2" t="s">
        <v>211</v>
      </c>
    </row>
    <row r="115" customFormat="false" ht="12.75" hidden="false" customHeight="false" outlineLevel="0" collapsed="false">
      <c r="A115" s="30" t="s">
        <v>212</v>
      </c>
    </row>
    <row r="116" customFormat="false" ht="12.75" hidden="false" customHeight="false" outlineLevel="0" collapsed="false">
      <c r="A116" s="4" t="s">
        <v>213</v>
      </c>
    </row>
    <row r="117" customFormat="false" ht="12.75" hidden="false" customHeight="false" outlineLevel="0" collapsed="false">
      <c r="A117" s="4" t="s">
        <v>214</v>
      </c>
    </row>
    <row r="118" customFormat="false" ht="12.75" hidden="false" customHeight="false" outlineLevel="0" collapsed="false">
      <c r="A118" s="4" t="s">
        <v>215</v>
      </c>
    </row>
    <row r="119" customFormat="false" ht="12.75" hidden="false" customHeight="false" outlineLevel="0" collapsed="false">
      <c r="A119" s="30" t="s">
        <v>216</v>
      </c>
    </row>
    <row r="120" customFormat="false" ht="12.75" hidden="false" customHeight="false" outlineLevel="0" collapsed="false">
      <c r="A120" s="4" t="s">
        <v>217</v>
      </c>
    </row>
    <row r="121" customFormat="false" ht="12.75" hidden="false" customHeight="false" outlineLevel="0" collapsed="false">
      <c r="A121" s="30" t="s">
        <v>218</v>
      </c>
    </row>
    <row r="122" customFormat="false" ht="12.75" hidden="false" customHeight="false" outlineLevel="0" collapsed="false">
      <c r="A122" s="4" t="s">
        <v>219</v>
      </c>
    </row>
    <row r="123" customFormat="false" ht="12.75" hidden="false" customHeight="false" outlineLevel="0" collapsed="false">
      <c r="A123" s="4" t="s">
        <v>220</v>
      </c>
    </row>
    <row r="124" customFormat="false" ht="10.9" hidden="false" customHeight="true" outlineLevel="0" collapsed="false">
      <c r="A124" s="4" t="s">
        <v>221</v>
      </c>
    </row>
    <row r="125" customFormat="false" ht="11.45" hidden="false" customHeight="true" outlineLevel="0" collapsed="false">
      <c r="A125" s="4" t="s">
        <v>222</v>
      </c>
    </row>
    <row r="126" customFormat="false" ht="11.45" hidden="false" customHeight="true" outlineLevel="0" collapsed="false">
      <c r="A126" s="30" t="s">
        <v>223</v>
      </c>
    </row>
    <row r="127" customFormat="false" ht="12.75" hidden="false" customHeight="false" outlineLevel="0" collapsed="false">
      <c r="A127" s="4" t="s">
        <v>224</v>
      </c>
    </row>
    <row r="128" customFormat="false" ht="12.75" hidden="false" customHeight="false" outlineLevel="0" collapsed="false">
      <c r="A128" s="4" t="s">
        <v>225</v>
      </c>
    </row>
    <row r="129" customFormat="false" ht="12.75" hidden="false" customHeight="false" outlineLevel="0" collapsed="false">
      <c r="A129" s="4" t="s">
        <v>226</v>
      </c>
    </row>
    <row r="130" customFormat="false" ht="12.75" hidden="false" customHeight="false" outlineLevel="0" collapsed="false">
      <c r="A130" s="4" t="s">
        <v>227</v>
      </c>
    </row>
    <row r="131" customFormat="false" ht="12.75" hidden="false" customHeight="false" outlineLevel="0" collapsed="false">
      <c r="A131" s="4" t="s">
        <v>228</v>
      </c>
    </row>
    <row r="132" customFormat="false" ht="12.75" hidden="false" customHeight="false" outlineLevel="0" collapsed="false">
      <c r="A132" s="30" t="s">
        <v>229</v>
      </c>
    </row>
    <row r="133" customFormat="false" ht="12.75" hidden="false" customHeight="false" outlineLevel="0" collapsed="false">
      <c r="A133" s="4" t="s">
        <v>225</v>
      </c>
    </row>
    <row r="134" customFormat="false" ht="12.75" hidden="false" customHeight="false" outlineLevel="0" collapsed="false">
      <c r="A134" s="4" t="s">
        <v>230</v>
      </c>
    </row>
    <row r="135" customFormat="false" ht="12.75" hidden="false" customHeight="false" outlineLevel="0" collapsed="false">
      <c r="A135" s="4" t="s">
        <v>231</v>
      </c>
    </row>
    <row r="136" customFormat="false" ht="12.75" hidden="false" customHeight="false" outlineLevel="0" collapsed="false">
      <c r="A136" s="4" t="s">
        <v>232</v>
      </c>
    </row>
    <row r="137" customFormat="false" ht="12.75" hidden="false" customHeight="false" outlineLevel="0" collapsed="false">
      <c r="A137" s="4" t="s">
        <v>233</v>
      </c>
    </row>
    <row r="138" customFormat="false" ht="12.75" hidden="false" customHeight="false" outlineLevel="0" collapsed="false">
      <c r="A138" s="30" t="s">
        <v>234</v>
      </c>
    </row>
    <row r="139" customFormat="false" ht="12.75" hidden="false" customHeight="false" outlineLevel="0" collapsed="false">
      <c r="A139" s="4" t="s">
        <v>235</v>
      </c>
    </row>
    <row r="140" customFormat="false" ht="12.75" hidden="false" customHeight="false" outlineLevel="0" collapsed="false">
      <c r="A140" s="4" t="s">
        <v>236</v>
      </c>
    </row>
    <row r="141" customFormat="false" ht="12.75" hidden="false" customHeight="false" outlineLevel="0" collapsed="false">
      <c r="A141" s="4" t="s">
        <v>237</v>
      </c>
    </row>
    <row r="142" customFormat="false" ht="12.75" hidden="false" customHeight="false" outlineLevel="0" collapsed="false">
      <c r="A142" s="30" t="s">
        <v>238</v>
      </c>
    </row>
    <row r="143" customFormat="false" ht="12.75" hidden="false" customHeight="false" outlineLevel="0" collapsed="false">
      <c r="A143" s="4" t="s">
        <v>239</v>
      </c>
    </row>
    <row r="144" customFormat="false" ht="12.75" hidden="false" customHeight="false" outlineLevel="0" collapsed="false">
      <c r="A144" s="4" t="s">
        <v>240</v>
      </c>
    </row>
    <row r="145" customFormat="false" ht="12.75" hidden="false" customHeight="false" outlineLevel="0" collapsed="false">
      <c r="A145" s="4" t="s">
        <v>241</v>
      </c>
    </row>
    <row r="146" customFormat="false" ht="12.75" hidden="false" customHeight="false" outlineLevel="0" collapsed="false">
      <c r="A146" s="4" t="s">
        <v>242</v>
      </c>
    </row>
    <row r="147" customFormat="false" ht="12.75" hidden="false" customHeight="false" outlineLevel="0" collapsed="false">
      <c r="A147" s="4" t="s">
        <v>243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G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244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245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246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247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248</v>
      </c>
      <c r="B9" s="0" t="s">
        <v>249</v>
      </c>
      <c r="C9" s="0" t="s">
        <v>250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3"/>
  <sheetViews>
    <sheetView showFormulas="false" showGridLines="true" showRowColHeaders="true" showZeros="true" rightToLeft="false" tabSelected="true" showOutlineSymbols="true" defaultGridColor="true" view="normal" topLeftCell="AE1" colorId="64" zoomScale="100" zoomScaleNormal="100" zoomScalePageLayoutView="100" workbookViewId="0">
      <selection pane="topLeft" activeCell="AQ43" activeCellId="0" sqref="AQ43"/>
    </sheetView>
  </sheetViews>
  <sheetFormatPr defaultRowHeight="12.8" zeroHeight="false" outlineLevelRow="0" outlineLevelCol="0"/>
  <cols>
    <col collapsed="false" customWidth="true" hidden="false" outlineLevel="0" max="1025" min="1" style="39" width="8.67"/>
  </cols>
  <sheetData>
    <row r="1" customFormat="false" ht="12.8" hidden="false" customHeight="false" outlineLevel="0" collapsed="false">
      <c r="A1" s="39" t="s">
        <v>251</v>
      </c>
      <c r="B1" s="39" t="n">
        <v>1</v>
      </c>
      <c r="C1" s="39" t="n">
        <v>2</v>
      </c>
      <c r="D1" s="39" t="n">
        <v>3</v>
      </c>
      <c r="E1" s="39" t="n">
        <v>4</v>
      </c>
      <c r="F1" s="39" t="n">
        <v>5</v>
      </c>
      <c r="G1" s="39" t="n">
        <v>6</v>
      </c>
      <c r="H1" s="39" t="n">
        <v>7</v>
      </c>
      <c r="I1" s="39" t="n">
        <v>8</v>
      </c>
      <c r="J1" s="39" t="n">
        <v>9</v>
      </c>
      <c r="K1" s="39" t="n">
        <v>10</v>
      </c>
      <c r="L1" s="39" t="n">
        <v>11</v>
      </c>
      <c r="M1" s="39" t="n">
        <v>12</v>
      </c>
      <c r="N1" s="39" t="n">
        <v>13</v>
      </c>
      <c r="O1" s="39" t="n">
        <v>14</v>
      </c>
      <c r="P1" s="39" t="n">
        <v>15</v>
      </c>
      <c r="Q1" s="39" t="n">
        <v>16</v>
      </c>
      <c r="R1" s="39" t="n">
        <v>17</v>
      </c>
      <c r="S1" s="39" t="n">
        <v>18</v>
      </c>
      <c r="T1" s="39" t="n">
        <v>19</v>
      </c>
      <c r="U1" s="39" t="n">
        <v>20</v>
      </c>
      <c r="V1" s="39" t="n">
        <v>21</v>
      </c>
      <c r="W1" s="39" t="n">
        <v>22</v>
      </c>
      <c r="X1" s="39" t="n">
        <v>23</v>
      </c>
      <c r="Y1" s="39" t="n">
        <v>24</v>
      </c>
      <c r="Z1" s="39" t="n">
        <v>25</v>
      </c>
      <c r="AA1" s="39" t="n">
        <v>26</v>
      </c>
      <c r="AB1" s="39" t="n">
        <v>27</v>
      </c>
      <c r="AC1" s="39" t="n">
        <v>28</v>
      </c>
      <c r="AD1" s="39" t="n">
        <v>29</v>
      </c>
      <c r="AE1" s="39" t="n">
        <v>30</v>
      </c>
      <c r="AF1" s="39" t="n">
        <v>31</v>
      </c>
      <c r="AG1" s="39" t="n">
        <v>32</v>
      </c>
      <c r="AH1" s="39" t="n">
        <v>33</v>
      </c>
      <c r="AI1" s="39" t="n">
        <v>34</v>
      </c>
      <c r="AJ1" s="39" t="n">
        <v>35</v>
      </c>
      <c r="AK1" s="39" t="n">
        <v>36</v>
      </c>
      <c r="AL1" s="39" t="n">
        <v>37</v>
      </c>
      <c r="AM1" s="39" t="n">
        <v>38</v>
      </c>
      <c r="AN1" s="39" t="n">
        <v>39</v>
      </c>
      <c r="AO1" s="39" t="n">
        <v>40</v>
      </c>
      <c r="AP1" s="39" t="n">
        <v>41</v>
      </c>
      <c r="AQ1" s="39" t="n">
        <v>42</v>
      </c>
      <c r="AR1" s="39" t="n">
        <v>43</v>
      </c>
      <c r="AS1" s="39" t="n">
        <v>44</v>
      </c>
    </row>
    <row r="2" customFormat="false" ht="13.8" hidden="false" customHeight="false" outlineLevel="0" collapsed="false">
      <c r="A2" s="39" t="s">
        <v>244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-0.00015</v>
      </c>
      <c r="B3" s="39" t="n">
        <f aca="false">MY_PS(B$2,$A3)</f>
        <v>2015</v>
      </c>
      <c r="C3" s="39" t="n">
        <f aca="false">MY_PS(C$2,$A3)</f>
        <v>2015</v>
      </c>
      <c r="D3" s="39" t="n">
        <f aca="false">MY_PS(D$2,$A3)</f>
        <v>2015</v>
      </c>
      <c r="E3" s="39" t="n">
        <f aca="false">MY_PS(E$2,$A3)</f>
        <v>2015</v>
      </c>
      <c r="F3" s="39" t="n">
        <f aca="false">MY_PS(F$2,$A3)</f>
        <v>2015</v>
      </c>
      <c r="G3" s="39" t="n">
        <f aca="false">MY_PS(G$2,$A3)</f>
        <v>2015</v>
      </c>
      <c r="H3" s="39" t="n">
        <f aca="false">MY_PS(H$2,$A3)</f>
        <v>2015</v>
      </c>
      <c r="I3" s="39" t="n">
        <f aca="false">MY_PS(I$2,$A3)</f>
        <v>2015</v>
      </c>
      <c r="J3" s="39" t="n">
        <f aca="false">MY_PS(J$2,$A3)</f>
        <v>2015</v>
      </c>
      <c r="K3" s="39" t="n">
        <f aca="false">MY_PS(K$2,$A3)</f>
        <v>2015</v>
      </c>
      <c r="L3" s="39" t="n">
        <f aca="false">MY_PS(L$2,$A3)</f>
        <v>2015</v>
      </c>
      <c r="M3" s="39" t="n">
        <f aca="false">MY_PS(M$2,$A3)</f>
        <v>2015</v>
      </c>
      <c r="N3" s="39" t="n">
        <f aca="false">MY_PS(N$2,$A3)</f>
        <v>2015</v>
      </c>
      <c r="O3" s="39" t="n">
        <f aca="false">MY_PS(O$2,$A3)</f>
        <v>2015</v>
      </c>
      <c r="P3" s="39" t="n">
        <f aca="false">MY_PS(P$2,$A3)</f>
        <v>2015</v>
      </c>
      <c r="Q3" s="39" t="n">
        <f aca="false">MY_PS(Q$2,$A3)</f>
        <v>2015</v>
      </c>
      <c r="R3" s="39" t="n">
        <f aca="false">MY_PS(R$2,$A3)</f>
        <v>2015</v>
      </c>
      <c r="S3" s="39" t="n">
        <f aca="false">MY_PS(S$2,$A3)</f>
        <v>2015</v>
      </c>
      <c r="T3" s="39" t="n">
        <f aca="false">MY_PS(T$2,$A3)</f>
        <v>2015</v>
      </c>
      <c r="U3" s="39" t="n">
        <f aca="false">MY_PS(U$2,$A3)</f>
        <v>2015</v>
      </c>
      <c r="V3" s="39" t="n">
        <f aca="false">MY_PS(V$2,$A3)</f>
        <v>2015</v>
      </c>
      <c r="W3" s="39" t="n">
        <f aca="false">MY_PS(W$2,$A3)</f>
        <v>2015</v>
      </c>
      <c r="X3" s="39" t="n">
        <f aca="false">MY_PS(X$2,$A3)</f>
        <v>2015</v>
      </c>
      <c r="Y3" s="39" t="n">
        <f aca="false">MY_PS(Y$2,$A3)</f>
        <v>2015</v>
      </c>
      <c r="Z3" s="39" t="n">
        <f aca="false">MY_PS(Z$2,$A3)</f>
        <v>2015</v>
      </c>
      <c r="AA3" s="39" t="n">
        <f aca="false">MY_PS(AA$2,$A3)</f>
        <v>2015</v>
      </c>
      <c r="AB3" s="39" t="n">
        <f aca="false">MY_PS(AB$2,$A3)</f>
        <v>2015</v>
      </c>
      <c r="AC3" s="39" t="n">
        <f aca="false">MY_PS(AC$2,$A3)</f>
        <v>2015</v>
      </c>
      <c r="AD3" s="39" t="n">
        <f aca="false">MY_PS(AD$2,$A3)</f>
        <v>2015</v>
      </c>
      <c r="AE3" s="39" t="n">
        <f aca="false">MY_PS(AE$2,$A3)</f>
        <v>2015</v>
      </c>
      <c r="AF3" s="39" t="n">
        <f aca="false">MY_PS(AF$2,$A3)</f>
        <v>2015</v>
      </c>
      <c r="AG3" s="39" t="n">
        <f aca="false">MY_PS(AG$2,$A3)</f>
        <v>2015</v>
      </c>
      <c r="AH3" s="39" t="n">
        <f aca="false">MY_PS(AH$2,$A3)</f>
        <v>2015</v>
      </c>
      <c r="AI3" s="39" t="n">
        <f aca="false">MY_PS(AI$2,$A3)</f>
        <v>2015</v>
      </c>
      <c r="AJ3" s="39" t="n">
        <f aca="false">MY_PS(AJ$2,$A3)</f>
        <v>2015</v>
      </c>
      <c r="AK3" s="39" t="n">
        <f aca="false">MY_PS(AK$2,$A3)</f>
        <v>2015</v>
      </c>
      <c r="AL3" s="39" t="n">
        <f aca="false">MY_PS(AL$2,$A3)</f>
        <v>2015</v>
      </c>
      <c r="AM3" s="39" t="n">
        <f aca="false">MY_PS(AM$2,$A3)</f>
        <v>2015</v>
      </c>
      <c r="AN3" s="39" t="n">
        <f aca="false">MY_PS(AN$2,$A3)</f>
        <v>2015</v>
      </c>
      <c r="AO3" s="39" t="n">
        <f aca="false">MY_PS(AO$2,$A3)</f>
        <v>2015</v>
      </c>
      <c r="AP3" s="39" t="n">
        <f aca="false">MY_PS(AP$2,$A3)</f>
        <v>2015</v>
      </c>
      <c r="AQ3" s="39" t="n">
        <f aca="false">MY_PS(AQ$2,$A3)</f>
        <v>2015</v>
      </c>
      <c r="AR3" s="39" t="n">
        <f aca="false">MY_PS(AR$2,$A3)</f>
        <v>4.38398616824188E-005</v>
      </c>
      <c r="AS3" s="39" t="n">
        <f aca="false">MY_PS(AS$2,$A3)</f>
        <v>4.49898374383627E-005</v>
      </c>
    </row>
    <row r="4" customFormat="false" ht="13.8" hidden="false" customHeight="false" outlineLevel="0" collapsed="false">
      <c r="A4" s="0" t="n">
        <v>0</v>
      </c>
      <c r="B4" s="39" t="n">
        <f aca="false">MY_PS(B$2,$A4)</f>
        <v>2015</v>
      </c>
      <c r="C4" s="39" t="n">
        <f aca="false">MY_PS(C$2,$A4)</f>
        <v>0.00179272394525019</v>
      </c>
      <c r="D4" s="39" t="n">
        <f aca="false">MY_PS(D$2,$A4)</f>
        <v>0.00179272370645057</v>
      </c>
      <c r="E4" s="39" t="n">
        <f aca="false">MY_PS(E$2,$A4)</f>
        <v>0.00179272346765117</v>
      </c>
      <c r="F4" s="39" t="n">
        <f aca="false">MY_PS(F$2,$A4)</f>
        <v>0.00179272322885189</v>
      </c>
      <c r="G4" s="39" t="n">
        <f aca="false">MY_PS(G$2,$A4)</f>
        <v>0.00179272084086707</v>
      </c>
      <c r="H4" s="39" t="n">
        <f aca="false">MY_PS(H$2,$A4)</f>
        <v>0.00179271845289695</v>
      </c>
      <c r="I4" s="39" t="n">
        <f aca="false">MY_PS(I$2,$A4)</f>
        <v>0.00179271606494156</v>
      </c>
      <c r="J4" s="39" t="n">
        <f aca="false">MY_PS(J$2,$A4)</f>
        <v>0.00179271367700085</v>
      </c>
      <c r="K4" s="39" t="n">
        <f aca="false">MY_PS(K$2,$A4)</f>
        <v>0.00179271128907484</v>
      </c>
      <c r="L4" s="39" t="n">
        <f aca="false">MY_PS(L$2,$A4)</f>
        <v>0.00179270890116356</v>
      </c>
      <c r="M4" s="39" t="n">
        <f aca="false">MY_PS(M$2,$A4)</f>
        <v>0.00179270651326695</v>
      </c>
      <c r="N4" s="39" t="n">
        <f aca="false">MY_PS(N$2,$A4)</f>
        <v>0.00179270412538507</v>
      </c>
      <c r="O4" s="39" t="n">
        <f aca="false">MY_PS(O$2,$A4)</f>
        <v>0.0017927017375179</v>
      </c>
      <c r="P4" s="39" t="n">
        <f aca="false">MY_PS(P$2,$A4)</f>
        <v>0.00179267785965484</v>
      </c>
      <c r="Q4" s="39" t="n">
        <f aca="false">MY_PS(Q$2,$A4)</f>
        <v>0.0017926539832622</v>
      </c>
      <c r="R4" s="39" t="n">
        <f aca="false">MY_PS(R$2,$A4)</f>
        <v>0.0017926301083401</v>
      </c>
      <c r="S4" s="39" t="n">
        <f aca="false">MY_PS(S$2,$A4)</f>
        <v>0.00179260623488846</v>
      </c>
      <c r="T4" s="39" t="n">
        <f aca="false">MY_PS(T$2,$A4)</f>
        <v>0.00179258236290733</v>
      </c>
      <c r="U4" s="39" t="n">
        <f aca="false">MY_PS(U$2,$A4)</f>
        <v>0.00179255849239676</v>
      </c>
      <c r="V4" s="39" t="n">
        <f aca="false">MY_PS(V$2,$A4)</f>
        <v>0.00179253462335674</v>
      </c>
      <c r="W4" s="39" t="n">
        <f aca="false">MY_PS(W$2,$A4)</f>
        <v>0.00179251075578729</v>
      </c>
      <c r="X4" s="39" t="n">
        <f aca="false">MY_PS(X$2,$A4)</f>
        <v>0.00179248688968844</v>
      </c>
      <c r="Y4" s="39" t="n">
        <f aca="false">MY_PS(Y$2,$A4)</f>
        <v>0.00179224830958727</v>
      </c>
      <c r="Z4" s="39" t="n">
        <f aca="false">MY_PS(Z$2,$A4)</f>
        <v>0.00179200987656784</v>
      </c>
      <c r="AA4" s="39" t="n">
        <f aca="false">MY_PS(AA$2,$A4)</f>
        <v>0.00179177159064975</v>
      </c>
      <c r="AB4" s="39" t="n">
        <f aca="false">MY_PS(AB$2,$A4)</f>
        <v>0.00179153345185224</v>
      </c>
      <c r="AC4" s="39" t="n">
        <f aca="false">MY_PS(AC$2,$A4)</f>
        <v>0.00179129546019427</v>
      </c>
      <c r="AD4" s="39" t="n">
        <f aca="false">MY_PS(AD$2,$A4)</f>
        <v>0.00179105761569426</v>
      </c>
      <c r="AE4" s="39" t="n">
        <f aca="false">MY_PS(AE$2,$A4)</f>
        <v>0.00179081991837038</v>
      </c>
      <c r="AF4" s="39" t="n">
        <f aca="false">MY_PS(AF$2,$A4)</f>
        <v>0.00179058236824045</v>
      </c>
      <c r="AG4" s="39" t="n">
        <f aca="false">MY_PS(AG$2,$A4)</f>
        <v>0.00179034496532189</v>
      </c>
      <c r="AH4" s="39" t="n">
        <f aca="false">MY_PS(AH$2,$A4)</f>
        <v>0.00178797903634489</v>
      </c>
      <c r="AI4" s="39" t="n">
        <f aca="false">MY_PS(AI$2,$A4)</f>
        <v>2015</v>
      </c>
      <c r="AJ4" s="39" t="n">
        <f aca="false">MY_PS(AJ$2,$A4)</f>
        <v>2015</v>
      </c>
      <c r="AK4" s="39" t="n">
        <f aca="false">MY_PS(AK$2,$A4)</f>
        <v>2015</v>
      </c>
      <c r="AL4" s="39" t="n">
        <f aca="false">MY_PS(AL$2,$A4)</f>
        <v>2015</v>
      </c>
      <c r="AM4" s="39" t="n">
        <f aca="false">MY_PS(AM$2,$A4)</f>
        <v>2015</v>
      </c>
      <c r="AN4" s="39" t="n">
        <f aca="false">MY_PS(AN$2,$A4)</f>
        <v>2015</v>
      </c>
      <c r="AO4" s="39" t="n">
        <f aca="false">MY_PS(AO$2,$A4)</f>
        <v>2015</v>
      </c>
      <c r="AP4" s="39" t="n">
        <f aca="false">MY_PS(AP$2,$A4)</f>
        <v>2015</v>
      </c>
      <c r="AQ4" s="39" t="n">
        <f aca="false">MY_PS(AQ$2,$A4)</f>
        <v>2015</v>
      </c>
      <c r="AR4" s="39" t="n">
        <f aca="false">MY_PS(AR$2,$A4)</f>
        <v>2015</v>
      </c>
      <c r="AS4" s="39" t="n">
        <f aca="false">MY_PS(AS$2,$A4)</f>
        <v>2015</v>
      </c>
    </row>
    <row r="5" customFormat="false" ht="13.8" hidden="false" customHeight="false" outlineLevel="0" collapsed="false">
      <c r="A5" s="0" t="n">
        <v>0.001</v>
      </c>
      <c r="B5" s="39" t="n">
        <f aca="false">MY_PS(B$2,$A5)</f>
        <v>2015</v>
      </c>
      <c r="C5" s="39" t="n">
        <f aca="false">MY_PS(C$2,$A5)</f>
        <v>0.00178865452905766</v>
      </c>
      <c r="D5" s="39" t="n">
        <f aca="false">MY_PS(D$2,$A5)</f>
        <v>0.00178865429129664</v>
      </c>
      <c r="E5" s="39" t="n">
        <f aca="false">MY_PS(E$2,$A5)</f>
        <v>0.00178865405353576</v>
      </c>
      <c r="F5" s="39" t="n">
        <f aca="false">MY_PS(F$2,$A5)</f>
        <v>0.00178865381577504</v>
      </c>
      <c r="G5" s="39" t="n">
        <f aca="false">MY_PS(G$2,$A5)</f>
        <v>0.00178865143817567</v>
      </c>
      <c r="H5" s="39" t="n">
        <f aca="false">MY_PS(H$2,$A5)</f>
        <v>0.00178864906059096</v>
      </c>
      <c r="I5" s="39" t="n">
        <f aca="false">MY_PS(I$2,$A5)</f>
        <v>0.00178864668302088</v>
      </c>
      <c r="J5" s="39" t="n">
        <f aca="false">MY_PS(J$2,$A5)</f>
        <v>0.00178864430546544</v>
      </c>
      <c r="K5" s="39" t="n">
        <f aca="false">MY_PS(K$2,$A5)</f>
        <v>0.00178864192792465</v>
      </c>
      <c r="L5" s="39" t="n">
        <f aca="false">MY_PS(L$2,$A5)</f>
        <v>0.00178863955039847</v>
      </c>
      <c r="M5" s="39" t="n">
        <f aca="false">MY_PS(M$2,$A5)</f>
        <v>0.00178863717288693</v>
      </c>
      <c r="N5" s="39" t="n">
        <f aca="false">MY_PS(N$2,$A5)</f>
        <v>0.00178863479539006</v>
      </c>
      <c r="O5" s="39" t="n">
        <f aca="false">MY_PS(O$2,$A5)</f>
        <v>0.00178863241790783</v>
      </c>
      <c r="P5" s="39" t="n">
        <f aca="false">MY_PS(P$2,$A5)</f>
        <v>0.00178860864389031</v>
      </c>
      <c r="Q5" s="39" t="n">
        <f aca="false">MY_PS(Q$2,$A5)</f>
        <v>0.00178858487133652</v>
      </c>
      <c r="R5" s="39" t="n">
        <f aca="false">MY_PS(R$2,$A5)</f>
        <v>0.00178856110024648</v>
      </c>
      <c r="S5" s="39" t="n">
        <f aca="false">MY_PS(S$2,$A5)</f>
        <v>0.00178853733062017</v>
      </c>
      <c r="T5" s="39" t="n">
        <f aca="false">MY_PS(T$2,$A5)</f>
        <v>0.00178851356245766</v>
      </c>
      <c r="U5" s="39" t="n">
        <f aca="false">MY_PS(U$2,$A5)</f>
        <v>0.00178848979575891</v>
      </c>
      <c r="V5" s="39" t="n">
        <f aca="false">MY_PS(V$2,$A5)</f>
        <v>0.00178846603052396</v>
      </c>
      <c r="W5" s="39" t="n">
        <f aca="false">MY_PS(W$2,$A5)</f>
        <v>0.00178844226675288</v>
      </c>
      <c r="X5" s="39" t="n">
        <f aca="false">MY_PS(X$2,$A5)</f>
        <v>0.00178841850444567</v>
      </c>
      <c r="Y5" s="39" t="n">
        <f aca="false">MY_PS(Y$2,$A5)</f>
        <v>0.00178818096188963</v>
      </c>
      <c r="Z5" s="39" t="n">
        <f aca="false">MY_PS(Z$2,$A5)</f>
        <v>0.00178794356574065</v>
      </c>
      <c r="AA5" s="39" t="n">
        <f aca="false">MY_PS(AA$2,$A5)</f>
        <v>0.00178770631601805</v>
      </c>
      <c r="AB5" s="39" t="n">
        <f aca="false">MY_PS(AB$2,$A5)</f>
        <v>0.00178746921274094</v>
      </c>
      <c r="AC5" s="39" t="n">
        <f aca="false">MY_PS(AC$2,$A5)</f>
        <v>0.00178723225592795</v>
      </c>
      <c r="AD5" s="39" t="n">
        <f aca="false">MY_PS(AD$2,$A5)</f>
        <v>0.0017869954455974</v>
      </c>
      <c r="AE5" s="39" t="n">
        <f aca="false">MY_PS(AE$2,$A5)</f>
        <v>0.00178675878176719</v>
      </c>
      <c r="AF5" s="39" t="n">
        <f aca="false">MY_PS(AF$2,$A5)</f>
        <v>0.00178652226445496</v>
      </c>
      <c r="AG5" s="39" t="n">
        <f aca="false">MY_PS(AG$2,$A5)</f>
        <v>0.00178628589367799</v>
      </c>
      <c r="AH5" s="39" t="n">
        <f aca="false">MY_PS(AH$2,$A5)</f>
        <v>0.00178393024888386</v>
      </c>
      <c r="AI5" s="39" t="n">
        <f aca="false">MY_PS(AI$2,$A5)</f>
        <v>0.00178158927395874</v>
      </c>
      <c r="AJ5" s="39" t="n">
        <f aca="false">MY_PS(AJ$2,$A5)</f>
        <v>0.00177926298038585</v>
      </c>
      <c r="AK5" s="39" t="n">
        <f aca="false">MY_PS(AK$2,$A5)</f>
        <v>0.00177695137625478</v>
      </c>
      <c r="AL5" s="39" t="n">
        <f aca="false">MY_PS(AL$2,$A5)</f>
        <v>0.0017746544663354</v>
      </c>
      <c r="AM5" s="39" t="n">
        <f aca="false">MY_PS(AM$2,$A5)</f>
        <v>0.00177237225215085</v>
      </c>
      <c r="AN5" s="39" t="n">
        <f aca="false">MY_PS(AN$2,$A5)</f>
        <v>0.0017701047320495</v>
      </c>
      <c r="AO5" s="39" t="n">
        <f aca="false">MY_PS(AO$2,$A5)</f>
        <v>0.00176785190127582</v>
      </c>
      <c r="AP5" s="39" t="n">
        <f aca="false">MY_PS(AP$2,$A5)</f>
        <v>0.00176561375204</v>
      </c>
      <c r="AQ5" s="39" t="n">
        <f aca="false">MY_PS(AQ$2,$A5)</f>
        <v>0.00174403599568856</v>
      </c>
      <c r="AR5" s="39" t="n">
        <f aca="false">MY_PS(AR$2,$A5)</f>
        <v>0.00173976298158827</v>
      </c>
      <c r="AS5" s="39" t="n">
        <f aca="false">MY_PS(AS$2,$A5)</f>
        <v>0.00173784520209117</v>
      </c>
    </row>
    <row r="6" customFormat="false" ht="13.8" hidden="false" customHeight="false" outlineLevel="0" collapsed="false">
      <c r="A6" s="0" t="n">
        <v>0.002</v>
      </c>
      <c r="B6" s="39" t="n">
        <f aca="false">MY_PS(B$2,$A6)</f>
        <v>2015</v>
      </c>
      <c r="C6" s="39" t="n">
        <f aca="false">MY_PS(C$2,$A6)</f>
        <v>0.00178459893507103</v>
      </c>
      <c r="D6" s="39" t="n">
        <f aca="false">MY_PS(D$2,$A6)</f>
        <v>0.00178459869834299</v>
      </c>
      <c r="E6" s="39" t="n">
        <f aca="false">MY_PS(E$2,$A6)</f>
        <v>0.00178459846161512</v>
      </c>
      <c r="F6" s="39" t="n">
        <f aca="false">MY_PS(F$2,$A6)</f>
        <v>0.0017845982248874</v>
      </c>
      <c r="G6" s="39" t="n">
        <f aca="false">MY_PS(G$2,$A6)</f>
        <v>0.0017845958576181</v>
      </c>
      <c r="H6" s="39" t="n">
        <f aca="false">MY_PS(H$2,$A6)</f>
        <v>0.00178459349036337</v>
      </c>
      <c r="I6" s="39" t="n">
        <f aca="false">MY_PS(I$2,$A6)</f>
        <v>0.00178459112312321</v>
      </c>
      <c r="J6" s="39" t="n">
        <f aca="false">MY_PS(J$2,$A6)</f>
        <v>0.00178458875589766</v>
      </c>
      <c r="K6" s="39" t="n">
        <f aca="false">MY_PS(K$2,$A6)</f>
        <v>0.00178458638868664</v>
      </c>
      <c r="L6" s="39" t="n">
        <f aca="false">MY_PS(L$2,$A6)</f>
        <v>0.00178458402149019</v>
      </c>
      <c r="M6" s="39" t="n">
        <f aca="false">MY_PS(M$2,$A6)</f>
        <v>0.00178458165430831</v>
      </c>
      <c r="N6" s="39" t="n">
        <f aca="false">MY_PS(N$2,$A6)</f>
        <v>0.001784579287141</v>
      </c>
      <c r="O6" s="39" t="n">
        <f aca="false">MY_PS(O$2,$A6)</f>
        <v>0.00178457691998827</v>
      </c>
      <c r="P6" s="39" t="n">
        <f aca="false">MY_PS(P$2,$A6)</f>
        <v>0.00178455324926232</v>
      </c>
      <c r="Q6" s="39" t="n">
        <f aca="false">MY_PS(Q$2,$A6)</f>
        <v>0.00178452957999334</v>
      </c>
      <c r="R6" s="39" t="n">
        <f aca="false">MY_PS(R$2,$A6)</f>
        <v>0.00178450591218141</v>
      </c>
      <c r="S6" s="39" t="n">
        <f aca="false">MY_PS(S$2,$A6)</f>
        <v>0.00178448224582653</v>
      </c>
      <c r="T6" s="39" t="n">
        <f aca="false">MY_PS(T$2,$A6)</f>
        <v>0.00178445858092872</v>
      </c>
      <c r="U6" s="39" t="n">
        <f aca="false">MY_PS(U$2,$A6)</f>
        <v>0.00178443491748798</v>
      </c>
      <c r="V6" s="39" t="n">
        <f aca="false">MY_PS(V$2,$A6)</f>
        <v>0.00178441125550436</v>
      </c>
      <c r="W6" s="39" t="n">
        <f aca="false">MY_PS(W$2,$A6)</f>
        <v>0.00178438759497788</v>
      </c>
      <c r="X6" s="39" t="n">
        <f aca="false">MY_PS(X$2,$A6)</f>
        <v>0.00178436393590856</v>
      </c>
      <c r="Y6" s="39" t="n">
        <f aca="false">MY_PS(Y$2,$A6)</f>
        <v>0.00178412742536288</v>
      </c>
      <c r="Z6" s="39" t="n">
        <f aca="false">MY_PS(Z$2,$A6)</f>
        <v>0.00178389106055366</v>
      </c>
      <c r="AA6" s="39" t="n">
        <f aca="false">MY_PS(AA$2,$A6)</f>
        <v>0.00178365484150013</v>
      </c>
      <c r="AB6" s="39" t="n">
        <f aca="false">MY_PS(AB$2,$A6)</f>
        <v>0.00178341876822109</v>
      </c>
      <c r="AC6" s="39" t="n">
        <f aca="false">MY_PS(AC$2,$A6)</f>
        <v>0.001783182840735</v>
      </c>
      <c r="AD6" s="39" t="n">
        <f aca="false">MY_PS(AD$2,$A6)</f>
        <v>0.0017829470590599</v>
      </c>
      <c r="AE6" s="39" t="n">
        <f aca="false">MY_PS(AE$2,$A6)</f>
        <v>0.00178271142321367</v>
      </c>
      <c r="AF6" s="39" t="n">
        <f aca="false">MY_PS(AF$2,$A6)</f>
        <v>0.00178247593321354</v>
      </c>
      <c r="AG6" s="39" t="n">
        <f aca="false">MY_PS(AG$2,$A6)</f>
        <v>0.00178224058907672</v>
      </c>
      <c r="AH6" s="39" t="n">
        <f aca="false">MY_PS(AH$2,$A6)</f>
        <v>0.00177989517368183</v>
      </c>
      <c r="AI6" s="39" t="n">
        <f aca="false">MY_PS(AI$2,$A6)</f>
        <v>0.00177756436075237</v>
      </c>
      <c r="AJ6" s="39" t="n">
        <f aca="false">MY_PS(AJ$2,$A6)</f>
        <v>0.00177524816160689</v>
      </c>
      <c r="AK6" s="39" t="n">
        <f aca="false">MY_PS(AK$2,$A6)</f>
        <v>0.00177294658419145</v>
      </c>
      <c r="AL6" s="39" t="n">
        <f aca="false">MY_PS(AL$2,$A6)</f>
        <v>0.00177065963315317</v>
      </c>
      <c r="AM6" s="39" t="n">
        <f aca="false">MY_PS(AM$2,$A6)</f>
        <v>0.00176838730991259</v>
      </c>
      <c r="AN6" s="39" t="n">
        <f aca="false">MY_PS(AN$2,$A6)</f>
        <v>0.00176612961273504</v>
      </c>
      <c r="AO6" s="39" t="n">
        <f aca="false">MY_PS(AO$2,$A6)</f>
        <v>0.00176388653680128</v>
      </c>
      <c r="AP6" s="39" t="n">
        <f aca="false">MY_PS(AP$2,$A6)</f>
        <v>0.00176165807427655</v>
      </c>
      <c r="AQ6" s="39" t="n">
        <f aca="false">MY_PS(AQ$2,$A6)</f>
        <v>0.00174017344053839</v>
      </c>
      <c r="AR6" s="39" t="n">
        <f aca="false">MY_PS(AR$2,$A6)</f>
        <v>0.00173591880249705</v>
      </c>
      <c r="AS6" s="39" t="n">
        <f aca="false">MY_PS(AS$2,$A6)</f>
        <v>0.00173400926258544</v>
      </c>
    </row>
    <row r="7" customFormat="false" ht="13.8" hidden="false" customHeight="false" outlineLevel="0" collapsed="false">
      <c r="A7" s="0" t="n">
        <v>0.003</v>
      </c>
      <c r="B7" s="39" t="n">
        <f aca="false">MY_PS(B$2,$A7)</f>
        <v>2015</v>
      </c>
      <c r="C7" s="39" t="n">
        <f aca="false">MY_PS(C$2,$A7)</f>
        <v>0.0017805570998698</v>
      </c>
      <c r="D7" s="39" t="n">
        <f aca="false">MY_PS(D$2,$A7)</f>
        <v>0.00178055686416928</v>
      </c>
      <c r="E7" s="39" t="n">
        <f aca="false">MY_PS(E$2,$A7)</f>
        <v>0.0017805566284689</v>
      </c>
      <c r="F7" s="39" t="n">
        <f aca="false">MY_PS(F$2,$A7)</f>
        <v>0.00178055639276866</v>
      </c>
      <c r="G7" s="39" t="n">
        <f aca="false">MY_PS(G$2,$A7)</f>
        <v>0.00178055403577437</v>
      </c>
      <c r="H7" s="39" t="n">
        <f aca="false">MY_PS(H$2,$A7)</f>
        <v>0.00178055167879464</v>
      </c>
      <c r="I7" s="39" t="n">
        <f aca="false">MY_PS(I$2,$A7)</f>
        <v>0.00178054932182936</v>
      </c>
      <c r="J7" s="39" t="n">
        <f aca="false">MY_PS(J$2,$A7)</f>
        <v>0.00178054696487862</v>
      </c>
      <c r="K7" s="39" t="n">
        <f aca="false">MY_PS(K$2,$A7)</f>
        <v>0.00178054460794233</v>
      </c>
      <c r="L7" s="39" t="n">
        <f aca="false">MY_PS(L$2,$A7)</f>
        <v>0.00178054225102058</v>
      </c>
      <c r="M7" s="39" t="n">
        <f aca="false">MY_PS(M$2,$A7)</f>
        <v>0.00178053989411332</v>
      </c>
      <c r="N7" s="39" t="n">
        <f aca="false">MY_PS(N$2,$A7)</f>
        <v>0.00178053753722059</v>
      </c>
      <c r="O7" s="39" t="n">
        <f aca="false">MY_PS(O$2,$A7)</f>
        <v>0.00178053518034234</v>
      </c>
      <c r="P7" s="39" t="n">
        <f aca="false">MY_PS(P$2,$A7)</f>
        <v>0.00178051161235757</v>
      </c>
      <c r="Q7" s="39" t="n">
        <f aca="false">MY_PS(Q$2,$A7)</f>
        <v>0.00178048804582312</v>
      </c>
      <c r="R7" s="39" t="n">
        <f aca="false">MY_PS(R$2,$A7)</f>
        <v>0.00178046448073907</v>
      </c>
      <c r="S7" s="39" t="n">
        <f aca="false">MY_PS(S$2,$A7)</f>
        <v>0.0017804409171054</v>
      </c>
      <c r="T7" s="39" t="n">
        <f aca="false">MY_PS(T$2,$A7)</f>
        <v>0.00178041735492213</v>
      </c>
      <c r="U7" s="39" t="n">
        <f aca="false">MY_PS(U$2,$A7)</f>
        <v>0.00178039379418929</v>
      </c>
      <c r="V7" s="39" t="n">
        <f aca="false">MY_PS(V$2,$A7)</f>
        <v>0.00178037023490689</v>
      </c>
      <c r="W7" s="39" t="n">
        <f aca="false">MY_PS(W$2,$A7)</f>
        <v>0.00178034667707497</v>
      </c>
      <c r="X7" s="39" t="n">
        <f aca="false">MY_PS(X$2,$A7)</f>
        <v>0.00178032312069359</v>
      </c>
      <c r="Y7" s="39" t="n">
        <f aca="false">MY_PS(Y$2,$A7)</f>
        <v>0.00178008763666047</v>
      </c>
      <c r="Z7" s="39" t="n">
        <f aca="false">MY_PS(Z$2,$A7)</f>
        <v>0.00177985229769747</v>
      </c>
      <c r="AA7" s="39" t="n">
        <f aca="false">MY_PS(AA$2,$A7)</f>
        <v>0.00177961710382351</v>
      </c>
      <c r="AB7" s="39" t="n">
        <f aca="false">MY_PS(AB$2,$A7)</f>
        <v>0.00177938205505724</v>
      </c>
      <c r="AC7" s="39" t="n">
        <f aca="false">MY_PS(AC$2,$A7)</f>
        <v>0.00177914715141688</v>
      </c>
      <c r="AD7" s="39" t="n">
        <f aca="false">MY_PS(AD$2,$A7)</f>
        <v>0.00177891239292031</v>
      </c>
      <c r="AE7" s="39" t="n">
        <f aca="false">MY_PS(AE$2,$A7)</f>
        <v>0.00177867777958507</v>
      </c>
      <c r="AF7" s="39" t="n">
        <f aca="false">MY_PS(AF$2,$A7)</f>
        <v>0.0017784433114284</v>
      </c>
      <c r="AG7" s="39" t="n">
        <f aca="false">MY_PS(AG$2,$A7)</f>
        <v>0.0017782089884671</v>
      </c>
      <c r="AH7" s="39" t="n">
        <f aca="false">MY_PS(AH$2,$A7)</f>
        <v>0.00177587374805436</v>
      </c>
      <c r="AI7" s="39" t="n">
        <f aca="false">MY_PS(AI$2,$A7)</f>
        <v>0.0017735530431203</v>
      </c>
      <c r="AJ7" s="39" t="n">
        <f aca="false">MY_PS(AJ$2,$A7)</f>
        <v>0.00177124688482028</v>
      </c>
      <c r="AK7" s="39" t="n">
        <f aca="false">MY_PS(AK$2,$A7)</f>
        <v>0.00176895528095823</v>
      </c>
      <c r="AL7" s="39" t="n">
        <f aca="false">MY_PS(AL$2,$A7)</f>
        <v>0.00176667823605958</v>
      </c>
      <c r="AM7" s="39" t="n">
        <f aca="false">MY_PS(AM$2,$A7)</f>
        <v>0.00176441575144325</v>
      </c>
      <c r="AN7" s="39" t="n">
        <f aca="false">MY_PS(AN$2,$A7)</f>
        <v>0.00176216782529265</v>
      </c>
      <c r="AO7" s="39" t="n">
        <f aca="false">MY_PS(AO$2,$A7)</f>
        <v>0.00175993445272532</v>
      </c>
      <c r="AP7" s="39" t="n">
        <f aca="false">MY_PS(AP$2,$A7)</f>
        <v>0.00175771562586231</v>
      </c>
      <c r="AQ7" s="39" t="n">
        <f aca="false">MY_PS(AQ$2,$A7)</f>
        <v>0.00173632362760901</v>
      </c>
      <c r="AR7" s="39" t="n">
        <f aca="false">MY_PS(AR$2,$A7)</f>
        <v>0.00173208727036359</v>
      </c>
      <c r="AS7" s="39" t="n">
        <f aca="false">MY_PS(AS$2,$A7)</f>
        <v>0.00173018592742469</v>
      </c>
    </row>
    <row r="8" customFormat="false" ht="13.8" hidden="false" customHeight="false" outlineLevel="0" collapsed="false">
      <c r="A8" s="0" t="n">
        <v>0.004</v>
      </c>
      <c r="B8" s="39" t="n">
        <f aca="false">MY_PS(B$2,$A8)</f>
        <v>2015</v>
      </c>
      <c r="C8" s="39" t="n">
        <f aca="false">MY_PS(C$2,$A8)</f>
        <v>0.00177652896040162</v>
      </c>
      <c r="D8" s="39" t="n">
        <f aca="false">MY_PS(D$2,$A8)</f>
        <v>0.00177652872572314</v>
      </c>
      <c r="E8" s="39" t="n">
        <f aca="false">MY_PS(E$2,$A8)</f>
        <v>0.00177652849104484</v>
      </c>
      <c r="F8" s="39" t="n">
        <f aca="false">MY_PS(F$2,$A8)</f>
        <v>0.00177652825636664</v>
      </c>
      <c r="G8" s="39" t="n">
        <f aca="false">MY_PS(G$2,$A8)</f>
        <v>0.0017765259095927</v>
      </c>
      <c r="H8" s="39" t="n">
        <f aca="false">MY_PS(H$2,$A8)</f>
        <v>0.00177652356283323</v>
      </c>
      <c r="I8" s="39" t="n">
        <f aca="false">MY_PS(I$2,$A8)</f>
        <v>0.00177652121608817</v>
      </c>
      <c r="J8" s="39" t="n">
        <f aca="false">MY_PS(J$2,$A8)</f>
        <v>0.00177651886935756</v>
      </c>
      <c r="K8" s="39" t="n">
        <f aca="false">MY_PS(K$2,$A8)</f>
        <v>0.00177651652264139</v>
      </c>
      <c r="L8" s="39" t="n">
        <f aca="false">MY_PS(L$2,$A8)</f>
        <v>0.00177651417593962</v>
      </c>
      <c r="M8" s="39" t="n">
        <f aca="false">MY_PS(M$2,$A8)</f>
        <v>0.00177651182925234</v>
      </c>
      <c r="N8" s="39" t="n">
        <f aca="false">MY_PS(N$2,$A8)</f>
        <v>0.00177650948257945</v>
      </c>
      <c r="O8" s="39" t="n">
        <f aca="false">MY_PS(O$2,$A8)</f>
        <v>0.00177650713592104</v>
      </c>
      <c r="P8" s="39" t="n">
        <f aca="false">MY_PS(P$2,$A8)</f>
        <v>0.00177648367013081</v>
      </c>
      <c r="Q8" s="39" t="n">
        <f aca="false">MY_PS(Q$2,$A8)</f>
        <v>0.0017764602057843</v>
      </c>
      <c r="R8" s="39" t="n">
        <f aca="false">MY_PS(R$2,$A8)</f>
        <v>0.00177643674288154</v>
      </c>
      <c r="S8" s="39" t="n">
        <f aca="false">MY_PS(S$2,$A8)</f>
        <v>0.00177641328142254</v>
      </c>
      <c r="T8" s="39" t="n">
        <f aca="false">MY_PS(T$2,$A8)</f>
        <v>0.00177638982140738</v>
      </c>
      <c r="U8" s="39" t="n">
        <f aca="false">MY_PS(U$2,$A8)</f>
        <v>0.00177636636283594</v>
      </c>
      <c r="V8" s="39" t="n">
        <f aca="false">MY_PS(V$2,$A8)</f>
        <v>0.0017763429057084</v>
      </c>
      <c r="W8" s="39" t="n">
        <f aca="false">MY_PS(W$2,$A8)</f>
        <v>0.00177631945002469</v>
      </c>
      <c r="X8" s="39" t="n">
        <f aca="false">MY_PS(X$2,$A8)</f>
        <v>0.00177629599578485</v>
      </c>
      <c r="Y8" s="39" t="n">
        <f aca="false">MY_PS(Y$2,$A8)</f>
        <v>0.00177606153280341</v>
      </c>
      <c r="Z8" s="39" t="n">
        <f aca="false">MY_PS(Z$2,$A8)</f>
        <v>0.00177582721422978</v>
      </c>
      <c r="AA8" s="39" t="n">
        <f aca="false">MY_PS(AA$2,$A8)</f>
        <v>0.00177559304008266</v>
      </c>
      <c r="AB8" s="39" t="n">
        <f aca="false">MY_PS(AB$2,$A8)</f>
        <v>0.00177535901038053</v>
      </c>
      <c r="AC8" s="39" t="n">
        <f aca="false">MY_PS(AC$2,$A8)</f>
        <v>0.00177512512514137</v>
      </c>
      <c r="AD8" s="39" t="n">
        <f aca="false">MY_PS(AD$2,$A8)</f>
        <v>0.00177489138438293</v>
      </c>
      <c r="AE8" s="39" t="n">
        <f aca="false">MY_PS(AE$2,$A8)</f>
        <v>0.0017746577881225</v>
      </c>
      <c r="AF8" s="39" t="n">
        <f aca="false">MY_PS(AF$2,$A8)</f>
        <v>0.00177442433637704</v>
      </c>
      <c r="AG8" s="39" t="n">
        <f aca="false">MY_PS(AG$2,$A8)</f>
        <v>0.00177419102916328</v>
      </c>
      <c r="AH8" s="39" t="n">
        <f aca="false">MY_PS(AH$2,$A8)</f>
        <v>0.00177186590967927</v>
      </c>
      <c r="AI8" s="39" t="n">
        <f aca="false">MY_PS(AI$2,$A8)</f>
        <v>0.0017695552591009</v>
      </c>
      <c r="AJ8" s="39" t="n">
        <f aca="false">MY_PS(AJ$2,$A8)</f>
        <v>0.00176725908842182</v>
      </c>
      <c r="AK8" s="39" t="n">
        <f aca="false">MY_PS(AK$2,$A8)</f>
        <v>0.0017649774053052</v>
      </c>
      <c r="AL8" s="39" t="n">
        <f aca="false">MY_PS(AL$2,$A8)</f>
        <v>0.00176271021415587</v>
      </c>
      <c r="AM8" s="39" t="n">
        <f aca="false">MY_PS(AM$2,$A8)</f>
        <v>0.00176045751619221</v>
      </c>
      <c r="AN8" s="39" t="n">
        <f aca="false">MY_PS(AN$2,$A8)</f>
        <v>0.00175821930951642</v>
      </c>
      <c r="AO8" s="39" t="n">
        <f aca="false">MY_PS(AO$2,$A8)</f>
        <v>0.00175599558918387</v>
      </c>
      <c r="AP8" s="39" t="n">
        <f aca="false">MY_PS(AP$2,$A8)</f>
        <v>0.00175378634727166</v>
      </c>
      <c r="AQ8" s="39" t="n">
        <f aca="false">MY_PS(AQ$2,$A8)</f>
        <v>0.00173248650058547</v>
      </c>
      <c r="AR8" s="39" t="n">
        <f aca="false">MY_PS(AR$2,$A8)</f>
        <v>0.00172826832949581</v>
      </c>
      <c r="AS8" s="39" t="n">
        <f aca="false">MY_PS(AS$2,$A8)</f>
        <v>0.00172637514119509</v>
      </c>
    </row>
    <row r="9" customFormat="false" ht="13.8" hidden="false" customHeight="false" outlineLevel="0" collapsed="false">
      <c r="A9" s="0" t="n">
        <v>0.005</v>
      </c>
      <c r="B9" s="39" t="n">
        <f aca="false">MY_PS(B$2,$A9)</f>
        <v>2015</v>
      </c>
      <c r="C9" s="39" t="n">
        <f aca="false">MY_PS(C$2,$A9)</f>
        <v>0.00177251445397964</v>
      </c>
      <c r="D9" s="39" t="n">
        <f aca="false">MY_PS(D$2,$A9)</f>
        <v>0.00177251422031775</v>
      </c>
      <c r="E9" s="39" t="n">
        <f aca="false">MY_PS(E$2,$A9)</f>
        <v>0.00177251398665604</v>
      </c>
      <c r="F9" s="39" t="n">
        <f aca="false">MY_PS(F$2,$A9)</f>
        <v>0.00177251375299446</v>
      </c>
      <c r="G9" s="39" t="n">
        <f aca="false">MY_PS(G$2,$A9)</f>
        <v>0.00177251141638657</v>
      </c>
      <c r="H9" s="39" t="n">
        <f aca="false">MY_PS(H$2,$A9)</f>
        <v>0.00177250907979308</v>
      </c>
      <c r="I9" s="39" t="n">
        <f aca="false">MY_PS(I$2,$A9)</f>
        <v>0.00177250674321392</v>
      </c>
      <c r="J9" s="39" t="n">
        <f aca="false">MY_PS(J$2,$A9)</f>
        <v>0.00177250440664919</v>
      </c>
      <c r="K9" s="39" t="n">
        <f aca="false">MY_PS(K$2,$A9)</f>
        <v>0.00177250207009877</v>
      </c>
      <c r="L9" s="39" t="n">
        <f aca="false">MY_PS(L$2,$A9)</f>
        <v>0.00177249973356274</v>
      </c>
      <c r="M9" s="39" t="n">
        <f aca="false">MY_PS(M$2,$A9)</f>
        <v>0.00177249739704113</v>
      </c>
      <c r="N9" s="39" t="n">
        <f aca="false">MY_PS(N$2,$A9)</f>
        <v>0.00177249506053381</v>
      </c>
      <c r="O9" s="39" t="n">
        <f aca="false">MY_PS(O$2,$A9)</f>
        <v>0.00177249272404089</v>
      </c>
      <c r="P9" s="39" t="n">
        <f aca="false">MY_PS(P$2,$A9)</f>
        <v>0.00177246935990218</v>
      </c>
      <c r="Q9" s="39" t="n">
        <f aca="false">MY_PS(Q$2,$A9)</f>
        <v>0.00177244599720066</v>
      </c>
      <c r="R9" s="39" t="n">
        <f aca="false">MY_PS(R$2,$A9)</f>
        <v>0.00177242263593631</v>
      </c>
      <c r="S9" s="39" t="n">
        <f aca="false">MY_PS(S$2,$A9)</f>
        <v>0.0017723992761091</v>
      </c>
      <c r="T9" s="39" t="n">
        <f aca="false">MY_PS(T$2,$A9)</f>
        <v>0.00177237591771915</v>
      </c>
      <c r="U9" s="39" t="n">
        <f aca="false">MY_PS(U$2,$A9)</f>
        <v>0.00177235256076643</v>
      </c>
      <c r="V9" s="39" t="n">
        <f aca="false">MY_PS(V$2,$A9)</f>
        <v>0.00177232920525091</v>
      </c>
      <c r="W9" s="39" t="n">
        <f aca="false">MY_PS(W$2,$A9)</f>
        <v>0.00177230585117268</v>
      </c>
      <c r="X9" s="39" t="n">
        <f aca="false">MY_PS(X$2,$A9)</f>
        <v>0.00177228249853182</v>
      </c>
      <c r="Y9" s="39" t="n">
        <f aca="false">MY_PS(Y$2,$A9)</f>
        <v>0.00177204905117752</v>
      </c>
      <c r="Z9" s="39" t="n">
        <f aca="false">MY_PS(Z$2,$A9)</f>
        <v>0.00177181574757289</v>
      </c>
      <c r="AA9" s="39" t="n">
        <f aca="false">MY_PS(AA$2,$A9)</f>
        <v>0.00177158258773636</v>
      </c>
      <c r="AB9" s="39" t="n">
        <f aca="false">MY_PS(AB$2,$A9)</f>
        <v>0.00177134957168613</v>
      </c>
      <c r="AC9" s="39" t="n">
        <f aca="false">MY_PS(AC$2,$A9)</f>
        <v>0.00177111669944008</v>
      </c>
      <c r="AD9" s="39" t="n">
        <f aca="false">MY_PS(AD$2,$A9)</f>
        <v>0.00177088397101563</v>
      </c>
      <c r="AE9" s="39" t="n">
        <f aca="false">MY_PS(AE$2,$A9)</f>
        <v>0.00177065138643</v>
      </c>
      <c r="AF9" s="39" t="n">
        <f aca="false">MY_PS(AF$2,$A9)</f>
        <v>0.00177041894569992</v>
      </c>
      <c r="AG9" s="39" t="n">
        <f aca="false">MY_PS(AG$2,$A9)</f>
        <v>0.00177018664884186</v>
      </c>
      <c r="AH9" s="39" t="n">
        <f aca="false">MY_PS(AH$2,$A9)</f>
        <v>0.00176787159659391</v>
      </c>
      <c r="AI9" s="39" t="n">
        <f aca="false">MY_PS(AI$2,$A9)</f>
        <v>0.00176557094708919</v>
      </c>
      <c r="AJ9" s="39" t="n">
        <f aca="false">MY_PS(AJ$2,$A9)</f>
        <v>0.00176328471116121</v>
      </c>
      <c r="AK9" s="39" t="n">
        <f aca="false">MY_PS(AK$2,$A9)</f>
        <v>0.0017610128963335</v>
      </c>
      <c r="AL9" s="39" t="n">
        <f aca="false">MY_PS(AL$2,$A9)</f>
        <v>0.00175875550689161</v>
      </c>
      <c r="AM9" s="39" t="n">
        <f aca="false">MY_PS(AM$2,$A9)</f>
        <v>0.00175651254395436</v>
      </c>
      <c r="AN9" s="39" t="n">
        <f aca="false">MY_PS(AN$2,$A9)</f>
        <v>0.00175428400554346</v>
      </c>
      <c r="AO9" s="39" t="n">
        <f aca="false">MY_PS(AO$2,$A9)</f>
        <v>0.00175206988665292</v>
      </c>
      <c r="AP9" s="39" t="n">
        <f aca="false">MY_PS(AP$2,$A9)</f>
        <v>0.00174987017931652</v>
      </c>
      <c r="AQ9" s="39" t="n">
        <f aca="false">MY_PS(AQ$2,$A9)</f>
        <v>0.00172866200346472</v>
      </c>
      <c r="AR9" s="39" t="n">
        <f aca="false">MY_PS(AR$2,$A9)</f>
        <v>0.00172446192450889</v>
      </c>
      <c r="AS9" s="39" t="n">
        <f aca="false">MY_PS(AS$2,$A9)</f>
        <v>0.00172257684878754</v>
      </c>
    </row>
    <row r="10" customFormat="false" ht="13.8" hidden="false" customHeight="false" outlineLevel="0" collapsed="false">
      <c r="A10" s="0" t="n">
        <v>0.006</v>
      </c>
      <c r="B10" s="39" t="n">
        <f aca="false">MY_PS(B$2,$A10)</f>
        <v>2015</v>
      </c>
      <c r="C10" s="39" t="n">
        <f aca="false">MY_PS(C$2,$A10)</f>
        <v>0.00176851351827973</v>
      </c>
      <c r="D10" s="39" t="n">
        <f aca="false">MY_PS(D$2,$A10)</f>
        <v>0.00176851328562908</v>
      </c>
      <c r="E10" s="39" t="n">
        <f aca="false">MY_PS(E$2,$A10)</f>
        <v>0.00176851305297858</v>
      </c>
      <c r="F10" s="39" t="n">
        <f aca="false">MY_PS(F$2,$A10)</f>
        <v>0.00176851282032822</v>
      </c>
      <c r="G10" s="39" t="n">
        <f aca="false">MY_PS(G$2,$A10)</f>
        <v>0.00176851049383243</v>
      </c>
      <c r="H10" s="39" t="n">
        <f aca="false">MY_PS(H$2,$A10)</f>
        <v>0.00176850816735094</v>
      </c>
      <c r="I10" s="39" t="n">
        <f aca="false">MY_PS(I$2,$A10)</f>
        <v>0.00176850584088377</v>
      </c>
      <c r="J10" s="39" t="n">
        <f aca="false">MY_PS(J$2,$A10)</f>
        <v>0.00176850351443092</v>
      </c>
      <c r="K10" s="39" t="n">
        <f aca="false">MY_PS(K$2,$A10)</f>
        <v>0.00176850118799236</v>
      </c>
      <c r="L10" s="39" t="n">
        <f aca="false">MY_PS(L$2,$A10)</f>
        <v>0.00176849886156813</v>
      </c>
      <c r="M10" s="39" t="n">
        <f aca="false">MY_PS(M$2,$A10)</f>
        <v>0.00176849653515817</v>
      </c>
      <c r="N10" s="39" t="n">
        <f aca="false">MY_PS(N$2,$A10)</f>
        <v>0.00176849420876253</v>
      </c>
      <c r="O10" s="39" t="n">
        <f aca="false">MY_PS(O$2,$A10)</f>
        <v>0.00176849188238119</v>
      </c>
      <c r="P10" s="39" t="n">
        <f aca="false">MY_PS(P$2,$A10)</f>
        <v>0.00176846861935466</v>
      </c>
      <c r="Q10" s="39" t="n">
        <f aca="false">MY_PS(Q$2,$A10)</f>
        <v>0.00176844535775876</v>
      </c>
      <c r="R10" s="39" t="n">
        <f aca="false">MY_PS(R$2,$A10)</f>
        <v>0.00176842209759351</v>
      </c>
      <c r="S10" s="39" t="n">
        <f aca="false">MY_PS(S$2,$A10)</f>
        <v>0.00176839883885891</v>
      </c>
      <c r="T10" s="39" t="n">
        <f aca="false">MY_PS(T$2,$A10)</f>
        <v>0.00176837558155493</v>
      </c>
      <c r="U10" s="39" t="n">
        <f aca="false">MY_PS(U$2,$A10)</f>
        <v>0.00176835232568169</v>
      </c>
      <c r="V10" s="39" t="n">
        <f aca="false">MY_PS(V$2,$A10)</f>
        <v>0.00176832907123916</v>
      </c>
      <c r="W10" s="39" t="n">
        <f aca="false">MY_PS(W$2,$A10)</f>
        <v>0.00176830581822734</v>
      </c>
      <c r="X10" s="39" t="n">
        <f aca="false">MY_PS(X$2,$A10)</f>
        <v>0.00176828256664628</v>
      </c>
      <c r="Y10" s="39" t="n">
        <f aca="false">MY_PS(Y$2,$A10)</f>
        <v>0.00176805012953095</v>
      </c>
      <c r="Z10" s="39" t="n">
        <f aca="false">MY_PS(Z$2,$A10)</f>
        <v>0.0017678178355111</v>
      </c>
      <c r="AA10" s="39" t="n">
        <f aca="false">MY_PS(AA$2,$A10)</f>
        <v>0.00176758568460492</v>
      </c>
      <c r="AB10" s="39" t="n">
        <f aca="false">MY_PS(AB$2,$A10)</f>
        <v>0.00176735367683054</v>
      </c>
      <c r="AC10" s="39" t="n">
        <f aca="false">MY_PS(AC$2,$A10)</f>
        <v>0.00176712181220546</v>
      </c>
      <c r="AD10" s="39" t="n">
        <f aca="false">MY_PS(AD$2,$A10)</f>
        <v>0.00176689009074706</v>
      </c>
      <c r="AE10" s="39" t="n">
        <f aca="false">MY_PS(AE$2,$A10)</f>
        <v>0.00176665851247228</v>
      </c>
      <c r="AF10" s="39" t="n">
        <f aca="false">MY_PS(AF$2,$A10)</f>
        <v>0.00176642707739768</v>
      </c>
      <c r="AG10" s="39" t="n">
        <f aca="false">MY_PS(AG$2,$A10)</f>
        <v>0.0017661957855395</v>
      </c>
      <c r="AH10" s="39" t="n">
        <f aca="false">MY_PS(AH$2,$A10)</f>
        <v>0.00176389074719274</v>
      </c>
      <c r="AI10" s="39" t="n">
        <f aca="false">MY_PS(AI$2,$A10)</f>
        <v>0.00176160004583452</v>
      </c>
      <c r="AJ10" s="39" t="n">
        <f aca="false">MY_PS(AJ$2,$A10)</f>
        <v>0.00175932369213954</v>
      </c>
      <c r="AK10" s="39" t="n">
        <f aca="false">MY_PS(AK$2,$A10)</f>
        <v>0.00175706169349295</v>
      </c>
      <c r="AL10" s="39" t="n">
        <f aca="false">MY_PS(AL$2,$A10)</f>
        <v>0.00175481405406222</v>
      </c>
      <c r="AM10" s="39" t="n">
        <f aca="false">MY_PS(AM$2,$A10)</f>
        <v>0.00175258077486745</v>
      </c>
      <c r="AN10" s="39" t="n">
        <f aca="false">MY_PS(AN$2,$A10)</f>
        <v>0.0017503618538511</v>
      </c>
      <c r="AO10" s="39" t="n">
        <f aca="false">MY_PS(AO$2,$A10)</f>
        <v>0.00174815728594609</v>
      </c>
      <c r="AP10" s="39" t="n">
        <f aca="false">MY_PS(AP$2,$A10)</f>
        <v>0.0017459670631438</v>
      </c>
      <c r="AQ10" s="39" t="n">
        <f aca="false">MY_PS(AQ$2,$A10)</f>
        <v>0.00172485008055351</v>
      </c>
      <c r="AR10" s="39" t="n">
        <f aca="false">MY_PS(AR$2,$A10)</f>
        <v>0.00172066800032271</v>
      </c>
      <c r="AS10" s="39" t="n">
        <f aca="false">MY_PS(AS$2,$A10)</f>
        <v>0.00171879099539576</v>
      </c>
    </row>
    <row r="11" customFormat="false" ht="13.8" hidden="false" customHeight="false" outlineLevel="0" collapsed="false">
      <c r="A11" s="0" t="n">
        <v>0.007</v>
      </c>
      <c r="B11" s="39" t="n">
        <f aca="false">MY_PS(B$2,$A11)</f>
        <v>2015</v>
      </c>
      <c r="C11" s="39" t="n">
        <f aca="false">MY_PS(C$2,$A11)</f>
        <v>0.00176452609133825</v>
      </c>
      <c r="D11" s="39" t="n">
        <f aca="false">MY_PS(D$2,$A11)</f>
        <v>0.00176452585969345</v>
      </c>
      <c r="E11" s="39" t="n">
        <f aca="false">MY_PS(E$2,$A11)</f>
        <v>0.00176452562804876</v>
      </c>
      <c r="F11" s="39" t="n">
        <f aca="false">MY_PS(F$2,$A11)</f>
        <v>0.00176452539640427</v>
      </c>
      <c r="G11" s="39" t="n">
        <f aca="false">MY_PS(G$2,$A11)</f>
        <v>0.00176452307996702</v>
      </c>
      <c r="H11" s="39" t="n">
        <f aca="false">MY_PS(H$2,$A11)</f>
        <v>0.00176452076354401</v>
      </c>
      <c r="I11" s="39" t="n">
        <f aca="false">MY_PS(I$2,$A11)</f>
        <v>0.00176451844713519</v>
      </c>
      <c r="J11" s="39" t="n">
        <f aca="false">MY_PS(J$2,$A11)</f>
        <v>0.00176451613074067</v>
      </c>
      <c r="K11" s="39" t="n">
        <f aca="false">MY_PS(K$2,$A11)</f>
        <v>0.00176451381436037</v>
      </c>
      <c r="L11" s="39" t="n">
        <f aca="false">MY_PS(L$2,$A11)</f>
        <v>0.00176451149799429</v>
      </c>
      <c r="M11" s="39" t="n">
        <f aca="false">MY_PS(M$2,$A11)</f>
        <v>0.00176450918164249</v>
      </c>
      <c r="N11" s="39" t="n">
        <f aca="false">MY_PS(N$2,$A11)</f>
        <v>0.00176450686530491</v>
      </c>
      <c r="O11" s="39" t="n">
        <f aca="false">MY_PS(O$2,$A11)</f>
        <v>0.00176450454898156</v>
      </c>
      <c r="P11" s="39" t="n">
        <f aca="false">MY_PS(P$2,$A11)</f>
        <v>0.00176448138653144</v>
      </c>
      <c r="Q11" s="39" t="n">
        <f aca="false">MY_PS(Q$2,$A11)</f>
        <v>0.00176445822550545</v>
      </c>
      <c r="R11" s="39" t="n">
        <f aca="false">MY_PS(R$2,$A11)</f>
        <v>0.00176443506590357</v>
      </c>
      <c r="S11" s="39" t="n">
        <f aca="false">MY_PS(S$2,$A11)</f>
        <v>0.00176441190772586</v>
      </c>
      <c r="T11" s="39" t="n">
        <f aca="false">MY_PS(T$2,$A11)</f>
        <v>0.00176438875097232</v>
      </c>
      <c r="U11" s="39" t="n">
        <f aca="false">MY_PS(U$2,$A11)</f>
        <v>0.00176436559564298</v>
      </c>
      <c r="V11" s="39" t="n">
        <f aca="false">MY_PS(V$2,$A11)</f>
        <v>0.00176434244173784</v>
      </c>
      <c r="W11" s="39" t="n">
        <f aca="false">MY_PS(W$2,$A11)</f>
        <v>0.00176431928925694</v>
      </c>
      <c r="X11" s="39" t="n">
        <f aca="false">MY_PS(X$2,$A11)</f>
        <v>0.00176429613820028</v>
      </c>
      <c r="Y11" s="39" t="n">
        <f aca="false">MY_PS(Y$2,$A11)</f>
        <v>0.00176406470597159</v>
      </c>
      <c r="Z11" s="39" t="n">
        <f aca="false">MY_PS(Z$2,$A11)</f>
        <v>0.00176383341618812</v>
      </c>
      <c r="AA11" s="39" t="n">
        <f aca="false">MY_PS(AA$2,$A11)</f>
        <v>0.00176360226886803</v>
      </c>
      <c r="AB11" s="39" t="n">
        <f aca="false">MY_PS(AB$2,$A11)</f>
        <v>0.0017633712640291</v>
      </c>
      <c r="AC11" s="39" t="n">
        <f aca="false">MY_PS(AC$2,$A11)</f>
        <v>0.00176314040168881</v>
      </c>
      <c r="AD11" s="39" t="n">
        <f aca="false">MY_PS(AD$2,$A11)</f>
        <v>0.00176290968186422</v>
      </c>
      <c r="AE11" s="39" t="n">
        <f aca="false">MY_PS(AE$2,$A11)</f>
        <v>0.001762679104572</v>
      </c>
      <c r="AF11" s="39" t="n">
        <f aca="false">MY_PS(AF$2,$A11)</f>
        <v>0.00176244866982866</v>
      </c>
      <c r="AG11" s="39" t="n">
        <f aca="false">MY_PS(AG$2,$A11)</f>
        <v>0.00176221837765021</v>
      </c>
      <c r="AH11" s="39" t="n">
        <f aca="false">MY_PS(AH$2,$A11)</f>
        <v>0.00175992330022488</v>
      </c>
      <c r="AI11" s="39" t="n">
        <f aca="false">MY_PS(AI$2,$A11)</f>
        <v>0.00175764249443796</v>
      </c>
      <c r="AJ11" s="39" t="n">
        <f aca="false">MY_PS(AJ$2,$A11)</f>
        <v>0.0017553759708068</v>
      </c>
      <c r="AK11" s="39" t="n">
        <f aca="false">MY_PS(AK$2,$A11)</f>
        <v>0.00175312373657955</v>
      </c>
      <c r="AL11" s="39" t="n">
        <f aca="false">MY_PS(AL$2,$A11)</f>
        <v>0.00175088579580656</v>
      </c>
      <c r="AM11" s="39" t="n">
        <f aca="false">MY_PS(AM$2,$A11)</f>
        <v>0.00174866214941038</v>
      </c>
      <c r="AN11" s="39" t="n">
        <f aca="false">MY_PS(AN$2,$A11)</f>
        <v>0.00174645279525471</v>
      </c>
      <c r="AO11" s="39" t="n">
        <f aca="false">MY_PS(AO$2,$A11)</f>
        <v>0.00174425772821255</v>
      </c>
      <c r="AP11" s="39" t="n">
        <f aca="false">MY_PS(AP$2,$A11)</f>
        <v>0.0017420769402331</v>
      </c>
      <c r="AQ11" s="39" t="n">
        <f aca="false">MY_PS(AQ$2,$A11)</f>
        <v>0.00172105067646641</v>
      </c>
      <c r="AR11" s="39" t="n">
        <f aca="false">MY_PS(AR$2,$A11)</f>
        <v>0.00171688650216031</v>
      </c>
      <c r="AS11" s="39" t="n">
        <f aca="false">MY_PS(AS$2,$A11)</f>
        <v>0.00171501752651438</v>
      </c>
    </row>
    <row r="12" customFormat="false" ht="13.8" hidden="false" customHeight="false" outlineLevel="0" collapsed="false">
      <c r="A12" s="0" t="n">
        <v>0.008</v>
      </c>
      <c r="B12" s="39" t="n">
        <f aca="false">MY_PS(B$2,$A12)</f>
        <v>2015</v>
      </c>
      <c r="C12" s="39" t="n">
        <f aca="false">MY_PS(C$2,$A12)</f>
        <v>0.00176055211154923</v>
      </c>
      <c r="D12" s="39" t="n">
        <f aca="false">MY_PS(D$2,$A12)</f>
        <v>0.00176055188090496</v>
      </c>
      <c r="E12" s="39" t="n">
        <f aca="false">MY_PS(E$2,$A12)</f>
        <v>0.00176055165026082</v>
      </c>
      <c r="F12" s="39" t="n">
        <f aca="false">MY_PS(F$2,$A12)</f>
        <v>0.00176055141961689</v>
      </c>
      <c r="G12" s="39" t="n">
        <f aca="false">MY_PS(G$2,$A12)</f>
        <v>0.00176054911318489</v>
      </c>
      <c r="H12" s="39" t="n">
        <f aca="false">MY_PS(H$2,$A12)</f>
        <v>0.00176054680676711</v>
      </c>
      <c r="I12" s="39" t="n">
        <f aca="false">MY_PS(I$2,$A12)</f>
        <v>0.00176054450036348</v>
      </c>
      <c r="J12" s="39" t="n">
        <f aca="false">MY_PS(J$2,$A12)</f>
        <v>0.00176054219397402</v>
      </c>
      <c r="K12" s="39" t="n">
        <f aca="false">MY_PS(K$2,$A12)</f>
        <v>0.00176053988759875</v>
      </c>
      <c r="L12" s="39" t="n">
        <f aca="false">MY_PS(L$2,$A12)</f>
        <v>0.00176053758123764</v>
      </c>
      <c r="M12" s="39" t="n">
        <f aca="false">MY_PS(M$2,$A12)</f>
        <v>0.00176053527489073</v>
      </c>
      <c r="N12" s="39" t="n">
        <f aca="false">MY_PS(N$2,$A12)</f>
        <v>0.001760532968558</v>
      </c>
      <c r="O12" s="39" t="n">
        <f aca="false">MY_PS(O$2,$A12)</f>
        <v>0.00176053066223946</v>
      </c>
      <c r="P12" s="39" t="n">
        <f aca="false">MY_PS(P$2,$A12)</f>
        <v>0.00176050759983352</v>
      </c>
      <c r="Q12" s="39" t="n">
        <f aca="false">MY_PS(Q$2,$A12)</f>
        <v>0.00176048453884521</v>
      </c>
      <c r="R12" s="39" t="n">
        <f aca="false">MY_PS(R$2,$A12)</f>
        <v>0.00176046147927464</v>
      </c>
      <c r="S12" s="39" t="n">
        <f aca="false">MY_PS(S$2,$A12)</f>
        <v>0.00176043842112172</v>
      </c>
      <c r="T12" s="39" t="n">
        <f aca="false">MY_PS(T$2,$A12)</f>
        <v>0.00176041536438655</v>
      </c>
      <c r="U12" s="39" t="n">
        <f aca="false">MY_PS(U$2,$A12)</f>
        <v>0.0017603923090691</v>
      </c>
      <c r="V12" s="39" t="n">
        <f aca="false">MY_PS(V$2,$A12)</f>
        <v>0.00176036925516941</v>
      </c>
      <c r="W12" s="39" t="n">
        <f aca="false">MY_PS(W$2,$A12)</f>
        <v>0.00176034620268748</v>
      </c>
      <c r="X12" s="39" t="n">
        <f aca="false">MY_PS(X$2,$A12)</f>
        <v>0.00176032315162335</v>
      </c>
      <c r="Y12" s="39" t="n">
        <f aca="false">MY_PS(Y$2,$A12)</f>
        <v>0.00176009271896445</v>
      </c>
      <c r="Z12" s="39" t="n">
        <f aca="false">MY_PS(Z$2,$A12)</f>
        <v>0.00175986242810472</v>
      </c>
      <c r="AA12" s="39" t="n">
        <f aca="false">MY_PS(AA$2,$A12)</f>
        <v>0.00175963227906193</v>
      </c>
      <c r="AB12" s="39" t="n">
        <f aca="false">MY_PS(AB$2,$A12)</f>
        <v>0.00175940227185376</v>
      </c>
      <c r="AC12" s="39" t="n">
        <f aca="false">MY_PS(AC$2,$A12)</f>
        <v>0.00175917240649743</v>
      </c>
      <c r="AD12" s="39" t="n">
        <f aca="false">MY_PS(AD$2,$A12)</f>
        <v>0.00175894268300977</v>
      </c>
      <c r="AE12" s="39" t="n">
        <f aca="false">MY_PS(AE$2,$A12)</f>
        <v>0.00175871310140743</v>
      </c>
      <c r="AF12" s="39" t="n">
        <f aca="false">MY_PS(AF$2,$A12)</f>
        <v>0.00175848366170655</v>
      </c>
      <c r="AG12" s="39" t="n">
        <f aca="false">MY_PS(AG$2,$A12)</f>
        <v>0.00175825436392305</v>
      </c>
      <c r="AH12" s="39" t="n">
        <f aca="false">MY_PS(AH$2,$A12)</f>
        <v>0.00175596919479155</v>
      </c>
      <c r="AI12" s="39" t="n">
        <f aca="false">MY_PS(AI$2,$A12)</f>
        <v>0.00175369823235004</v>
      </c>
      <c r="AJ12" s="39" t="n">
        <f aca="false">MY_PS(AJ$2,$A12)</f>
        <v>0.0017514414869597</v>
      </c>
      <c r="AK12" s="39" t="n">
        <f aca="false">MY_PS(AK$2,$A12)</f>
        <v>0.00174919896573309</v>
      </c>
      <c r="AL12" s="39" t="n">
        <f aca="false">MY_PS(AL$2,$A12)</f>
        <v>0.00174697067260458</v>
      </c>
      <c r="AM12" s="39" t="n">
        <f aca="false">MY_PS(AM$2,$A12)</f>
        <v>0.00174475660840008</v>
      </c>
      <c r="AN12" s="39" t="n">
        <f aca="false">MY_PS(AN$2,$A12)</f>
        <v>0.0017425567709055</v>
      </c>
      <c r="AO12" s="39" t="n">
        <f aca="false">MY_PS(AO$2,$A12)</f>
        <v>0.0017403711549344</v>
      </c>
      <c r="AP12" s="39" t="n">
        <f aca="false">MY_PS(AP$2,$A12)</f>
        <v>0.00173819975239448</v>
      </c>
      <c r="AQ12" s="39" t="n">
        <f aca="false">MY_PS(AQ$2,$A12)</f>
        <v>0.00171726373612381</v>
      </c>
      <c r="AR12" s="39" t="n">
        <f aca="false">MY_PS(AR$2,$A12)</f>
        <v>0.00171311737554566</v>
      </c>
      <c r="AS12" s="39" t="n">
        <f aca="false">MY_PS(AS$2,$A12)</f>
        <v>0.00171125638793678</v>
      </c>
    </row>
    <row r="13" customFormat="false" ht="13.8" hidden="false" customHeight="false" outlineLevel="0" collapsed="false">
      <c r="A13" s="0" t="n">
        <v>0.009</v>
      </c>
      <c r="B13" s="39" t="n">
        <f aca="false">MY_PS(B$2,$A13)</f>
        <v>2015</v>
      </c>
      <c r="C13" s="39" t="n">
        <f aca="false">MY_PS(C$2,$A13)</f>
        <v>0.00175659151766211</v>
      </c>
      <c r="D13" s="39" t="n">
        <f aca="false">MY_PS(D$2,$A13)</f>
        <v>0.0017565912880131</v>
      </c>
      <c r="E13" s="39" t="n">
        <f aca="false">MY_PS(E$2,$A13)</f>
        <v>0.0017565910583642</v>
      </c>
      <c r="F13" s="39" t="n">
        <f aca="false">MY_PS(F$2,$A13)</f>
        <v>0.00175659082871549</v>
      </c>
      <c r="G13" s="39" t="n">
        <f aca="false">MY_PS(G$2,$A13)</f>
        <v>0.00175658853223593</v>
      </c>
      <c r="H13" s="39" t="n">
        <f aca="false">MY_PS(H$2,$A13)</f>
        <v>0.00175658623577047</v>
      </c>
      <c r="I13" s="39" t="n">
        <f aca="false">MY_PS(I$2,$A13)</f>
        <v>0.00175658393931913</v>
      </c>
      <c r="J13" s="39" t="n">
        <f aca="false">MY_PS(J$2,$A13)</f>
        <v>0.00175658164288192</v>
      </c>
      <c r="K13" s="39" t="n">
        <f aca="false">MY_PS(K$2,$A13)</f>
        <v>0.00175657934645882</v>
      </c>
      <c r="L13" s="39" t="n">
        <f aca="false">MY_PS(L$2,$A13)</f>
        <v>0.00175657705004982</v>
      </c>
      <c r="M13" s="39" t="n">
        <f aca="false">MY_PS(M$2,$A13)</f>
        <v>0.00175657475365496</v>
      </c>
      <c r="N13" s="39" t="n">
        <f aca="false">MY_PS(N$2,$A13)</f>
        <v>0.00175657245727414</v>
      </c>
      <c r="O13" s="39" t="n">
        <f aca="false">MY_PS(O$2,$A13)</f>
        <v>0.00175657016090753</v>
      </c>
      <c r="P13" s="39" t="n">
        <f aca="false">MY_PS(P$2,$A13)</f>
        <v>0.00175654719801707</v>
      </c>
      <c r="Q13" s="39" t="n">
        <f aca="false">MY_PS(Q$2,$A13)</f>
        <v>0.00175652423653789</v>
      </c>
      <c r="R13" s="39" t="n">
        <f aca="false">MY_PS(R$2,$A13)</f>
        <v>0.00175650127646999</v>
      </c>
      <c r="S13" s="39" t="n">
        <f aca="false">MY_PS(S$2,$A13)</f>
        <v>0.00175647831781332</v>
      </c>
      <c r="T13" s="39" t="n">
        <f aca="false">MY_PS(T$2,$A13)</f>
        <v>0.00175645536056797</v>
      </c>
      <c r="U13" s="39" t="n">
        <f aca="false">MY_PS(U$2,$A13)</f>
        <v>0.00175643240473397</v>
      </c>
      <c r="V13" s="39" t="n">
        <f aca="false">MY_PS(V$2,$A13)</f>
        <v>0.00175640945031126</v>
      </c>
      <c r="W13" s="39" t="n">
        <f aca="false">MY_PS(W$2,$A13)</f>
        <v>0.00175638649729991</v>
      </c>
      <c r="X13" s="39" t="n">
        <f aca="false">MY_PS(X$2,$A13)</f>
        <v>0.00175636354569997</v>
      </c>
      <c r="Y13" s="39" t="n">
        <f aca="false">MY_PS(Y$2,$A13)</f>
        <v>0.00175613410732953</v>
      </c>
      <c r="Z13" s="39" t="n">
        <f aca="false">MY_PS(Z$2,$A13)</f>
        <v>0.00175590481011601</v>
      </c>
      <c r="AA13" s="39" t="n">
        <f aca="false">MY_PS(AA$2,$A13)</f>
        <v>0.00175567565407706</v>
      </c>
      <c r="AB13" s="39" t="n">
        <f aca="false">MY_PS(AB$2,$A13)</f>
        <v>0.00175544663923012</v>
      </c>
      <c r="AC13" s="39" t="n">
        <f aca="false">MY_PS(AC$2,$A13)</f>
        <v>0.00175521776559217</v>
      </c>
      <c r="AD13" s="39" t="n">
        <f aca="false">MY_PS(AD$2,$A13)</f>
        <v>0.00175498903317998</v>
      </c>
      <c r="AE13" s="39" t="n">
        <f aca="false">MY_PS(AE$2,$A13)</f>
        <v>0.00175476044200983</v>
      </c>
      <c r="AF13" s="39" t="n">
        <f aca="false">MY_PS(AF$2,$A13)</f>
        <v>0.00175453199209779</v>
      </c>
      <c r="AG13" s="39" t="n">
        <f aca="false">MY_PS(AG$2,$A13)</f>
        <v>0.00175430368345951</v>
      </c>
      <c r="AH13" s="39" t="n">
        <f aca="false">MY_PS(AH$2,$A13)</f>
        <v>0.00175202837034366</v>
      </c>
      <c r="AI13" s="39" t="n">
        <f aca="false">MY_PS(AI$2,$A13)</f>
        <v>0.00174976719936797</v>
      </c>
      <c r="AJ13" s="39" t="n">
        <f aca="false">MY_PS(AJ$2,$A13)</f>
        <v>0.00174752018073904</v>
      </c>
      <c r="AK13" s="39" t="n">
        <f aca="false">MY_PS(AK$2,$A13)</f>
        <v>0.00174528732143486</v>
      </c>
      <c r="AL13" s="39" t="n">
        <f aca="false">MY_PS(AL$2,$A13)</f>
        <v>0.00174306862527504</v>
      </c>
      <c r="AM13" s="39" t="n">
        <f aca="false">MY_PS(AM$2,$A13)</f>
        <v>0.00174086409298976</v>
      </c>
      <c r="AN13" s="39" t="n">
        <f aca="false">MY_PS(AN$2,$A13)</f>
        <v>0.001738673722288</v>
      </c>
      <c r="AO13" s="39" t="n">
        <f aca="false">MY_PS(AO$2,$A13)</f>
        <v>0.0017364975079246</v>
      </c>
      <c r="AP13" s="39" t="n">
        <f aca="false">MY_PS(AP$2,$A13)</f>
        <v>0.00173433544176635</v>
      </c>
      <c r="AQ13" s="39" t="n">
        <f aca="false">MY_PS(AQ$2,$A13)</f>
        <v>0.00171348920474971</v>
      </c>
      <c r="AR13" s="39" t="n">
        <f aca="false">MY_PS(AR$2,$A13)</f>
        <v>0.00170936056630165</v>
      </c>
      <c r="AS13" s="39" t="n">
        <f aca="false">MY_PS(AS$2,$A13)</f>
        <v>0.00170750752575329</v>
      </c>
    </row>
    <row r="14" customFormat="false" ht="13.8" hidden="false" customHeight="false" outlineLevel="0" collapsed="false">
      <c r="A14" s="0" t="n">
        <v>0.01</v>
      </c>
      <c r="B14" s="39" t="n">
        <f aca="false">MY_PS(B$2,$A14)</f>
        <v>2015</v>
      </c>
      <c r="C14" s="39" t="n">
        <f aca="false">MY_PS(C$2,$A14)</f>
        <v>0.0017526442487791</v>
      </c>
      <c r="D14" s="39" t="n">
        <f aca="false">MY_PS(D$2,$A14)</f>
        <v>0.00175264402012009</v>
      </c>
      <c r="E14" s="39" t="n">
        <f aca="false">MY_PS(E$2,$A14)</f>
        <v>0.00175264379146119</v>
      </c>
      <c r="F14" s="39" t="n">
        <f aca="false">MY_PS(F$2,$A14)</f>
        <v>0.00175264356280246</v>
      </c>
      <c r="G14" s="39" t="n">
        <f aca="false">MY_PS(G$2,$A14)</f>
        <v>0.00175264127622277</v>
      </c>
      <c r="H14" s="39" t="n">
        <f aca="false">MY_PS(H$2,$A14)</f>
        <v>0.00175263898965719</v>
      </c>
      <c r="I14" s="39" t="n">
        <f aca="false">MY_PS(I$2,$A14)</f>
        <v>0.00175263670310563</v>
      </c>
      <c r="J14" s="39" t="n">
        <f aca="false">MY_PS(J$2,$A14)</f>
        <v>0.00175263441656809</v>
      </c>
      <c r="K14" s="39" t="n">
        <f aca="false">MY_PS(K$2,$A14)</f>
        <v>0.00175263213004465</v>
      </c>
      <c r="L14" s="39" t="n">
        <f aca="false">MY_PS(L$2,$A14)</f>
        <v>0.00175262984353523</v>
      </c>
      <c r="M14" s="39" t="n">
        <f aca="false">MY_PS(M$2,$A14)</f>
        <v>0.00175262755703985</v>
      </c>
      <c r="N14" s="39" t="n">
        <f aca="false">MY_PS(N$2,$A14)</f>
        <v>0.00175262527055852</v>
      </c>
      <c r="O14" s="39" t="n">
        <f aca="false">MY_PS(O$2,$A14)</f>
        <v>0.00175262298409126</v>
      </c>
      <c r="P14" s="39" t="n">
        <f aca="false">MY_PS(P$2,$A14)</f>
        <v>0.00175260012019118</v>
      </c>
      <c r="Q14" s="39" t="n">
        <f aca="false">MY_PS(Q$2,$A14)</f>
        <v>0.00175257725769596</v>
      </c>
      <c r="R14" s="39" t="n">
        <f aca="false">MY_PS(R$2,$A14)</f>
        <v>0.00175255439660563</v>
      </c>
      <c r="S14" s="39" t="n">
        <f aca="false">MY_PS(S$2,$A14)</f>
        <v>0.00175253153692023</v>
      </c>
      <c r="T14" s="39" t="n">
        <f aca="false">MY_PS(T$2,$A14)</f>
        <v>0.00175250867863968</v>
      </c>
      <c r="U14" s="39" t="n">
        <f aca="false">MY_PS(U$2,$A14)</f>
        <v>0.00175248582176412</v>
      </c>
      <c r="V14" s="39" t="n">
        <f aca="false">MY_PS(V$2,$A14)</f>
        <v>0.00175246296629348</v>
      </c>
      <c r="W14" s="39" t="n">
        <f aca="false">MY_PS(W$2,$A14)</f>
        <v>0.00175244011222785</v>
      </c>
      <c r="X14" s="39" t="n">
        <f aca="false">MY_PS(X$2,$A14)</f>
        <v>0.00175241725956716</v>
      </c>
      <c r="Y14" s="39" t="n">
        <f aca="false">MY_PS(Y$2,$A14)</f>
        <v>0.00175218881023887</v>
      </c>
      <c r="Z14" s="39" t="n">
        <f aca="false">MY_PS(Z$2,$A14)</f>
        <v>0.00175196050142921</v>
      </c>
      <c r="AA14" s="39" t="n">
        <f aca="false">MY_PS(AA$2,$A14)</f>
        <v>0.00175173233315561</v>
      </c>
      <c r="AB14" s="39" t="n">
        <f aca="false">MY_PS(AB$2,$A14)</f>
        <v>0.00175150430543532</v>
      </c>
      <c r="AC14" s="39" t="n">
        <f aca="false">MY_PS(AC$2,$A14)</f>
        <v>0.00175127641828521</v>
      </c>
      <c r="AD14" s="39" t="n">
        <f aca="false">MY_PS(AD$2,$A14)</f>
        <v>0.0017510486717217</v>
      </c>
      <c r="AE14" s="39" t="n">
        <f aca="false">MY_PS(AE$2,$A14)</f>
        <v>0.00175082106576104</v>
      </c>
      <c r="AF14" s="39" t="n">
        <f aca="false">MY_PS(AF$2,$A14)</f>
        <v>0.00175059360041902</v>
      </c>
      <c r="AG14" s="39" t="n">
        <f aca="false">MY_PS(AG$2,$A14)</f>
        <v>0.00175036627571111</v>
      </c>
      <c r="AH14" s="39" t="n">
        <f aca="false">MY_PS(AH$2,$A14)</f>
        <v>0.00174810076667943</v>
      </c>
      <c r="AI14" s="39" t="n">
        <f aca="false">MY_PS(AI$2,$A14)</f>
        <v>0.0017458493356337</v>
      </c>
      <c r="AJ14" s="39" t="n">
        <f aca="false">MY_PS(AJ$2,$A14)</f>
        <v>0.00174361199262738</v>
      </c>
      <c r="AK14" s="39" t="n">
        <f aca="false">MY_PS(AK$2,$A14)</f>
        <v>0.00174138874450524</v>
      </c>
      <c r="AL14" s="39" t="n">
        <f aca="false">MY_PS(AL$2,$A14)</f>
        <v>0.00173917959497309</v>
      </c>
      <c r="AM14" s="39" t="n">
        <f aca="false">MY_PS(AM$2,$A14)</f>
        <v>0.00173698454466639</v>
      </c>
      <c r="AN14" s="39" t="n">
        <f aca="false">MY_PS(AN$2,$A14)</f>
        <v>0.00173480359121801</v>
      </c>
      <c r="AO14" s="39" t="n">
        <f aca="false">MY_PS(AO$2,$A14)</f>
        <v>0.00173263672932471</v>
      </c>
      <c r="AP14" s="39" t="n">
        <f aca="false">MY_PS(AP$2,$A14)</f>
        <v>0.00173048395081294</v>
      </c>
      <c r="AQ14" s="39" t="n">
        <f aca="false">MY_PS(AQ$2,$A14)</f>
        <v>0.00170972702786992</v>
      </c>
      <c r="AR14" s="39" t="n">
        <f aca="false">MY_PS(AR$2,$A14)</f>
        <v>0.00170561602054831</v>
      </c>
      <c r="AS14" s="39" t="n">
        <f aca="false">MY_PS(AS$2,$A14)</f>
        <v>0.00170377088634906</v>
      </c>
    </row>
    <row r="15" customFormat="false" ht="13.8" hidden="false" customHeight="false" outlineLevel="0" collapsed="false">
      <c r="A15" s="0" t="n">
        <v>0.02</v>
      </c>
      <c r="B15" s="39" t="n">
        <f aca="false">MY_PS(B$2,$A15)</f>
        <v>2015</v>
      </c>
      <c r="C15" s="39" t="n">
        <f aca="false">MY_PS(C$2,$A15)</f>
        <v>0.00171389128506605</v>
      </c>
      <c r="D15" s="39" t="n">
        <f aca="false">MY_PS(D$2,$A15)</f>
        <v>0.00171389106602563</v>
      </c>
      <c r="E15" s="39" t="n">
        <f aca="false">MY_PS(E$2,$A15)</f>
        <v>0.00171389084698534</v>
      </c>
      <c r="F15" s="39" t="n">
        <f aca="false">MY_PS(F$2,$A15)</f>
        <v>0.00171389062794522</v>
      </c>
      <c r="G15" s="39" t="n">
        <f aca="false">MY_PS(G$2,$A15)</f>
        <v>0.00171388843755106</v>
      </c>
      <c r="H15" s="39" t="n">
        <f aca="false">MY_PS(H$2,$A15)</f>
        <v>0.00171388624717036</v>
      </c>
      <c r="I15" s="39" t="n">
        <f aca="false">MY_PS(I$2,$A15)</f>
        <v>0.00171388405680311</v>
      </c>
      <c r="J15" s="39" t="n">
        <f aca="false">MY_PS(J$2,$A15)</f>
        <v>0.00171388186644929</v>
      </c>
      <c r="K15" s="39" t="n">
        <f aca="false">MY_PS(K$2,$A15)</f>
        <v>0.00171387967610886</v>
      </c>
      <c r="L15" s="39" t="n">
        <f aca="false">MY_PS(L$2,$A15)</f>
        <v>0.00171387748578192</v>
      </c>
      <c r="M15" s="39" t="n">
        <f aca="false">MY_PS(M$2,$A15)</f>
        <v>0.00171387529546838</v>
      </c>
      <c r="N15" s="39" t="n">
        <f aca="false">MY_PS(N$2,$A15)</f>
        <v>0.00171387310516829</v>
      </c>
      <c r="O15" s="39" t="n">
        <f aca="false">MY_PS(O$2,$A15)</f>
        <v>0.00171387091488161</v>
      </c>
      <c r="P15" s="39" t="n">
        <f aca="false">MY_PS(P$2,$A15)</f>
        <v>0.00171384901275355</v>
      </c>
      <c r="Q15" s="39" t="n">
        <f aca="false">MY_PS(Q$2,$A15)</f>
        <v>0.00171382711196872</v>
      </c>
      <c r="R15" s="39" t="n">
        <f aca="false">MY_PS(R$2,$A15)</f>
        <v>0.00171380521252704</v>
      </c>
      <c r="S15" s="39" t="n">
        <f aca="false">MY_PS(S$2,$A15)</f>
        <v>0.00171378331442859</v>
      </c>
      <c r="T15" s="39" t="n">
        <f aca="false">MY_PS(T$2,$A15)</f>
        <v>0.00171376141767334</v>
      </c>
      <c r="U15" s="39" t="n">
        <f aca="false">MY_PS(U$2,$A15)</f>
        <v>0.00171373952226131</v>
      </c>
      <c r="V15" s="39" t="n">
        <f aca="false">MY_PS(V$2,$A15)</f>
        <v>0.00171371762819254</v>
      </c>
      <c r="W15" s="39" t="n">
        <f aca="false">MY_PS(W$2,$A15)</f>
        <v>0.00171369573546704</v>
      </c>
      <c r="X15" s="39" t="n">
        <f aca="false">MY_PS(X$2,$A15)</f>
        <v>0.00171367384408481</v>
      </c>
      <c r="Y15" s="39" t="n">
        <f aca="false">MY_PS(Y$2,$A15)</f>
        <v>0.00171345500414651</v>
      </c>
      <c r="Z15" s="39" t="n">
        <f aca="false">MY_PS(Z$2,$A15)</f>
        <v>0.0017132362985538</v>
      </c>
      <c r="AA15" s="39" t="n">
        <f aca="false">MY_PS(AA$2,$A15)</f>
        <v>0.00171301772732227</v>
      </c>
      <c r="AB15" s="39" t="n">
        <f aca="false">MY_PS(AB$2,$A15)</f>
        <v>0.00171279929046727</v>
      </c>
      <c r="AC15" s="39" t="n">
        <f aca="false">MY_PS(AC$2,$A15)</f>
        <v>0.00171258098800373</v>
      </c>
      <c r="AD15" s="39" t="n">
        <f aca="false">MY_PS(AD$2,$A15)</f>
        <v>0.00171236281994634</v>
      </c>
      <c r="AE15" s="39" t="n">
        <f aca="false">MY_PS(AE$2,$A15)</f>
        <v>0.00171214478630941</v>
      </c>
      <c r="AF15" s="39" t="n">
        <f aca="false">MY_PS(AF$2,$A15)</f>
        <v>0.001711926887107</v>
      </c>
      <c r="AG15" s="39" t="n">
        <f aca="false">MY_PS(AG$2,$A15)</f>
        <v>0.00171170912235282</v>
      </c>
      <c r="AH15" s="39" t="n">
        <f aca="false">MY_PS(AH$2,$A15)</f>
        <v>0.00170953887225349</v>
      </c>
      <c r="AI15" s="39" t="n">
        <f aca="false">MY_PS(AI$2,$A15)</f>
        <v>0.00170738207973226</v>
      </c>
      <c r="AJ15" s="39" t="n">
        <f aca="false">MY_PS(AJ$2,$A15)</f>
        <v>0.00170523875338363</v>
      </c>
      <c r="AK15" s="39" t="n">
        <f aca="false">MY_PS(AK$2,$A15)</f>
        <v>0.00170310889878537</v>
      </c>
      <c r="AL15" s="39" t="n">
        <f aca="false">MY_PS(AL$2,$A15)</f>
        <v>0.00170099251856358</v>
      </c>
      <c r="AM15" s="39" t="n">
        <f aca="false">MY_PS(AM$2,$A15)</f>
        <v>0.001698889612457</v>
      </c>
      <c r="AN15" s="39" t="n">
        <f aca="false">MY_PS(AN$2,$A15)</f>
        <v>0.00169680017738005</v>
      </c>
      <c r="AO15" s="39" t="n">
        <f aca="false">MY_PS(AO$2,$A15)</f>
        <v>0.00169472420748542</v>
      </c>
      <c r="AP15" s="39" t="n">
        <f aca="false">MY_PS(AP$2,$A15)</f>
        <v>0.00169266169422538</v>
      </c>
      <c r="AQ15" s="39" t="n">
        <f aca="false">MY_PS(AQ$2,$A15)</f>
        <v>0.00167277298368294</v>
      </c>
      <c r="AR15" s="39" t="n">
        <f aca="false">MY_PS(AR$2,$A15)</f>
        <v>0.00166883340988305</v>
      </c>
      <c r="AS15" s="39" t="n">
        <f aca="false">MY_PS(AS$2,$A15)</f>
        <v>0.00166706515695143</v>
      </c>
    </row>
    <row r="16" customFormat="false" ht="13.8" hidden="false" customHeight="false" outlineLevel="0" collapsed="false">
      <c r="A16" s="0" t="n">
        <v>0.03</v>
      </c>
      <c r="B16" s="39" t="n">
        <f aca="false">MY_PS(B$2,$A16)</f>
        <v>2015</v>
      </c>
      <c r="C16" s="39" t="n">
        <f aca="false">MY_PS(C$2,$A16)</f>
        <v>0.00167640636169618</v>
      </c>
      <c r="D16" s="39" t="n">
        <f aca="false">MY_PS(D$2,$A16)</f>
        <v>0.00167640615178579</v>
      </c>
      <c r="E16" s="39" t="n">
        <f aca="false">MY_PS(E$2,$A16)</f>
        <v>0.00167640594187544</v>
      </c>
      <c r="F16" s="39" t="n">
        <f aca="false">MY_PS(F$2,$A16)</f>
        <v>0.00167640573196532</v>
      </c>
      <c r="G16" s="39" t="n">
        <f aca="false">MY_PS(G$2,$A16)</f>
        <v>0.00167640363287075</v>
      </c>
      <c r="H16" s="39" t="n">
        <f aca="false">MY_PS(H$2,$A16)</f>
        <v>0.00167640153378904</v>
      </c>
      <c r="I16" s="39" t="n">
        <f aca="false">MY_PS(I$2,$A16)</f>
        <v>0.00167639943472022</v>
      </c>
      <c r="J16" s="39" t="n">
        <f aca="false">MY_PS(J$2,$A16)</f>
        <v>0.00167639733566419</v>
      </c>
      <c r="K16" s="39" t="n">
        <f aca="false">MY_PS(K$2,$A16)</f>
        <v>0.00167639523662106</v>
      </c>
      <c r="L16" s="39" t="n">
        <f aca="false">MY_PS(L$2,$A16)</f>
        <v>0.00167639313759075</v>
      </c>
      <c r="M16" s="39" t="n">
        <f aca="false">MY_PS(M$2,$A16)</f>
        <v>0.00167639103857331</v>
      </c>
      <c r="N16" s="39" t="n">
        <f aca="false">MY_PS(N$2,$A16)</f>
        <v>0.0016763889395687</v>
      </c>
      <c r="O16" s="39" t="n">
        <f aca="false">MY_PS(O$2,$A16)</f>
        <v>0.00167638684057697</v>
      </c>
      <c r="P16" s="39" t="n">
        <f aca="false">MY_PS(P$2,$A16)</f>
        <v>0.00167636585136625</v>
      </c>
      <c r="Q16" s="39" t="n">
        <f aca="false">MY_PS(Q$2,$A16)</f>
        <v>0.0016763448634407</v>
      </c>
      <c r="R16" s="39" t="n">
        <f aca="false">MY_PS(R$2,$A16)</f>
        <v>0.00167632387680022</v>
      </c>
      <c r="S16" s="39" t="n">
        <f aca="false">MY_PS(S$2,$A16)</f>
        <v>0.00167630289144483</v>
      </c>
      <c r="T16" s="39" t="n">
        <f aca="false">MY_PS(T$2,$A16)</f>
        <v>0.00167628190737465</v>
      </c>
      <c r="U16" s="39" t="n">
        <f aca="false">MY_PS(U$2,$A16)</f>
        <v>0.00167626092458959</v>
      </c>
      <c r="V16" s="39" t="n">
        <f aca="false">MY_PS(V$2,$A16)</f>
        <v>0.00167623994308969</v>
      </c>
      <c r="W16" s="39" t="n">
        <f aca="false">MY_PS(W$2,$A16)</f>
        <v>0.00167621896287494</v>
      </c>
      <c r="X16" s="39" t="n">
        <f aca="false">MY_PS(X$2,$A16)</f>
        <v>0.00167619798394542</v>
      </c>
      <c r="Y16" s="39" t="n">
        <f aca="false">MY_PS(Y$2,$A16)</f>
        <v>0.00167598826533905</v>
      </c>
      <c r="Z16" s="39" t="n">
        <f aca="false">MY_PS(Z$2,$A16)</f>
        <v>0.00167577867526775</v>
      </c>
      <c r="AA16" s="39" t="n">
        <f aca="false">MY_PS(AA$2,$A16)</f>
        <v>0.00167556921374544</v>
      </c>
      <c r="AB16" s="39" t="n">
        <f aca="false">MY_PS(AB$2,$A16)</f>
        <v>0.00167535988078563</v>
      </c>
      <c r="AC16" s="39" t="n">
        <f aca="false">MY_PS(AC$2,$A16)</f>
        <v>0.00167515067640162</v>
      </c>
      <c r="AD16" s="39" t="n">
        <f aca="false">MY_PS(AD$2,$A16)</f>
        <v>0.00167494160060633</v>
      </c>
      <c r="AE16" s="39" t="n">
        <f aca="false">MY_PS(AE$2,$A16)</f>
        <v>0.00167473265341249</v>
      </c>
      <c r="AF16" s="39" t="n">
        <f aca="false">MY_PS(AF$2,$A16)</f>
        <v>0.00167452383483239</v>
      </c>
      <c r="AG16" s="39" t="n">
        <f aca="false">MY_PS(AG$2,$A16)</f>
        <v>0.00167431514487819</v>
      </c>
      <c r="AH16" s="39" t="n">
        <f aca="false">MY_PS(AH$2,$A16)</f>
        <v>0.00167223532220239</v>
      </c>
      <c r="AI16" s="39" t="n">
        <f aca="false">MY_PS(AI$2,$A16)</f>
        <v>0.00167016837320581</v>
      </c>
      <c r="AJ16" s="39" t="n">
        <f aca="false">MY_PS(AJ$2,$A16)</f>
        <v>0.00166811430514882</v>
      </c>
      <c r="AK16" s="39" t="n">
        <f aca="false">MY_PS(AK$2,$A16)</f>
        <v>0.00166607312245333</v>
      </c>
      <c r="AL16" s="39" t="n">
        <f aca="false">MY_PS(AL$2,$A16)</f>
        <v>0.00166404482676413</v>
      </c>
      <c r="AM16" s="39" t="n">
        <f aca="false">MY_PS(AM$2,$A16)</f>
        <v>0.00166202941700844</v>
      </c>
      <c r="AN16" s="39" t="n">
        <f aca="false">MY_PS(AN$2,$A16)</f>
        <v>0.00166002688945549</v>
      </c>
      <c r="AO16" s="39" t="n">
        <f aca="false">MY_PS(AO$2,$A16)</f>
        <v>0.00165803723777477</v>
      </c>
      <c r="AP16" s="39" t="n">
        <f aca="false">MY_PS(AP$2,$A16)</f>
        <v>0.00165606045309357</v>
      </c>
      <c r="AQ16" s="39" t="n">
        <f aca="false">MY_PS(AQ$2,$A16)</f>
        <v>0.00163699663238241</v>
      </c>
      <c r="AR16" s="39" t="n">
        <f aca="false">MY_PS(AR$2,$A16)</f>
        <v>0.00163322001212568</v>
      </c>
      <c r="AS16" s="39" t="n">
        <f aca="false">MY_PS(AS$2,$A16)</f>
        <v>0.00163152484629273</v>
      </c>
    </row>
    <row r="17" customFormat="false" ht="13.8" hidden="false" customHeight="false" outlineLevel="0" collapsed="false">
      <c r="A17" s="0" t="n">
        <v>0.04</v>
      </c>
      <c r="B17" s="39" t="n">
        <f aca="false">MY_PS(B$2,$A17)</f>
        <v>2015</v>
      </c>
      <c r="C17" s="39" t="n">
        <f aca="false">MY_PS(C$2,$A17)</f>
        <v>2015</v>
      </c>
      <c r="D17" s="39" t="n">
        <f aca="false">MY_PS(D$2,$A17)</f>
        <v>0.00164013383380153</v>
      </c>
      <c r="E17" s="39" t="n">
        <f aca="false">MY_PS(E$2,$A17)</f>
        <v>0.00164013363256347</v>
      </c>
      <c r="F17" s="39" t="n">
        <f aca="false">MY_PS(F$2,$A17)</f>
        <v>0.00164013343132554</v>
      </c>
      <c r="G17" s="39" t="n">
        <f aca="false">MY_PS(G$2,$A17)</f>
        <v>0.00164013141895302</v>
      </c>
      <c r="H17" s="39" t="n">
        <f aca="false">MY_PS(H$2,$A17)</f>
        <v>0.00164012940659282</v>
      </c>
      <c r="I17" s="39" t="n">
        <f aca="false">MY_PS(I$2,$A17)</f>
        <v>0.00164012739424491</v>
      </c>
      <c r="J17" s="39" t="n">
        <f aca="false">MY_PS(J$2,$A17)</f>
        <v>0.0016401253819093</v>
      </c>
      <c r="K17" s="39" t="n">
        <f aca="false">MY_PS(K$2,$A17)</f>
        <v>0.00164012336958598</v>
      </c>
      <c r="L17" s="39" t="n">
        <f aca="false">MY_PS(L$2,$A17)</f>
        <v>0.00164012135727499</v>
      </c>
      <c r="M17" s="39" t="n">
        <f aca="false">MY_PS(M$2,$A17)</f>
        <v>0.00164011934497629</v>
      </c>
      <c r="N17" s="39" t="n">
        <f aca="false">MY_PS(N$2,$A17)</f>
        <v>0.0016401173326899</v>
      </c>
      <c r="O17" s="39" t="n">
        <f aca="false">MY_PS(O$2,$A17)</f>
        <v>0.0016401153204158</v>
      </c>
      <c r="P17" s="39" t="n">
        <f aca="false">MY_PS(P$2,$A17)</f>
        <v>0.00164009519835162</v>
      </c>
      <c r="Q17" s="39" t="n">
        <f aca="false">MY_PS(Q$2,$A17)</f>
        <v>0.00164007507751785</v>
      </c>
      <c r="R17" s="39" t="n">
        <f aca="false">MY_PS(R$2,$A17)</f>
        <v>0.00164005495791445</v>
      </c>
      <c r="S17" s="39" t="n">
        <f aca="false">MY_PS(S$2,$A17)</f>
        <v>0.00164003483954146</v>
      </c>
      <c r="T17" s="39" t="n">
        <f aca="false">MY_PS(T$2,$A17)</f>
        <v>0.00164001472239893</v>
      </c>
      <c r="U17" s="39" t="n">
        <f aca="false">MY_PS(U$2,$A17)</f>
        <v>0.00163999460648682</v>
      </c>
      <c r="V17" s="39" t="n">
        <f aca="false">MY_PS(V$2,$A17)</f>
        <v>0.00163997449180519</v>
      </c>
      <c r="W17" s="39" t="n">
        <f aca="false">MY_PS(W$2,$A17)</f>
        <v>0.00163995437835398</v>
      </c>
      <c r="X17" s="39" t="n">
        <f aca="false">MY_PS(X$2,$A17)</f>
        <v>0.00163993426613328</v>
      </c>
      <c r="Y17" s="39" t="n">
        <f aca="false">MY_PS(Y$2,$A17)</f>
        <v>0.00163973321160529</v>
      </c>
      <c r="Z17" s="39" t="n">
        <f aca="false">MY_PS(Z$2,$A17)</f>
        <v>0.00163953228013899</v>
      </c>
      <c r="AA17" s="39" t="n">
        <f aca="false">MY_PS(AA$2,$A17)</f>
        <v>0.00163933147174662</v>
      </c>
      <c r="AB17" s="39" t="n">
        <f aca="false">MY_PS(AB$2,$A17)</f>
        <v>0.00163913078644014</v>
      </c>
      <c r="AC17" s="39" t="n">
        <f aca="false">MY_PS(AC$2,$A17)</f>
        <v>0.00163893022423124</v>
      </c>
      <c r="AD17" s="39" t="n">
        <f aca="false">MY_PS(AD$2,$A17)</f>
        <v>0.00163872978513135</v>
      </c>
      <c r="AE17" s="39" t="n">
        <f aca="false">MY_PS(AE$2,$A17)</f>
        <v>0.00163852946915159</v>
      </c>
      <c r="AF17" s="39" t="n">
        <f aca="false">MY_PS(AF$2,$A17)</f>
        <v>0.00163832927630278</v>
      </c>
      <c r="AG17" s="39" t="n">
        <f aca="false">MY_PS(AG$2,$A17)</f>
        <v>0.00163812920659555</v>
      </c>
      <c r="AH17" s="39" t="n">
        <f aca="false">MY_PS(AH$2,$A17)</f>
        <v>0.00163613528443413</v>
      </c>
      <c r="AI17" s="39" t="n">
        <f aca="false">MY_PS(AI$2,$A17)</f>
        <v>0.00163415368599576</v>
      </c>
      <c r="AJ17" s="39" t="n">
        <f aca="false">MY_PS(AJ$2,$A17)</f>
        <v>0.00163218441731988</v>
      </c>
      <c r="AK17" s="39" t="n">
        <f aca="false">MY_PS(AK$2,$A17)</f>
        <v>0.00163022748177385</v>
      </c>
      <c r="AL17" s="39" t="n">
        <f aca="false">MY_PS(AL$2,$A17)</f>
        <v>0.00162828288010982</v>
      </c>
      <c r="AM17" s="39" t="n">
        <f aca="false">MY_PS(AM$2,$A17)</f>
        <v>0.00162635061052099</v>
      </c>
      <c r="AN17" s="39" t="n">
        <f aca="false">MY_PS(AN$2,$A17)</f>
        <v>0.00162443066869719</v>
      </c>
      <c r="AO17" s="39" t="n">
        <f aca="false">MY_PS(AO$2,$A17)</f>
        <v>0.00162252304787943</v>
      </c>
      <c r="AP17" s="39" t="n">
        <f aca="false">MY_PS(AP$2,$A17)</f>
        <v>0.00162062773891367</v>
      </c>
      <c r="AQ17" s="39" t="n">
        <f aca="false">MY_PS(AQ$2,$A17)</f>
        <v>0.00160234817866289</v>
      </c>
      <c r="AR17" s="39" t="n">
        <f aca="false">MY_PS(AR$2,$A17)</f>
        <v>0.00159872655504022</v>
      </c>
      <c r="AS17" s="39" t="n">
        <f aca="false">MY_PS(AS$2,$A17)</f>
        <v>0.00159710091568086</v>
      </c>
    </row>
    <row r="18" customFormat="false" ht="13.8" hidden="false" customHeight="false" outlineLevel="0" collapsed="false">
      <c r="A18" s="0" t="n">
        <v>0.05</v>
      </c>
      <c r="B18" s="39" t="n">
        <f aca="false">MY_PS(B$2,$A18)</f>
        <v>2015</v>
      </c>
      <c r="C18" s="39" t="n">
        <f aca="false">MY_PS(C$2,$A18)</f>
        <v>2015</v>
      </c>
      <c r="D18" s="39" t="n">
        <f aca="false">MY_PS(D$2,$A18)</f>
        <v>0.00160502170178109</v>
      </c>
      <c r="E18" s="39" t="n">
        <f aca="false">MY_PS(E$2,$A18)</f>
        <v>0.00160502150878606</v>
      </c>
      <c r="F18" s="39" t="n">
        <f aca="false">MY_PS(F$2,$A18)</f>
        <v>0.00160502131579115</v>
      </c>
      <c r="G18" s="39" t="n">
        <f aca="false">MY_PS(G$2,$A18)</f>
        <v>0.00160501938584846</v>
      </c>
      <c r="H18" s="39" t="n">
        <f aca="false">MY_PS(H$2,$A18)</f>
        <v>0.0016050174559176</v>
      </c>
      <c r="I18" s="39" t="n">
        <f aca="false">MY_PS(I$2,$A18)</f>
        <v>0.00160501552599849</v>
      </c>
      <c r="J18" s="39" t="n">
        <f aca="false">MY_PS(J$2,$A18)</f>
        <v>0.00160501359609118</v>
      </c>
      <c r="K18" s="39" t="n">
        <f aca="false">MY_PS(K$2,$A18)</f>
        <v>0.00160501166619568</v>
      </c>
      <c r="L18" s="39" t="n">
        <f aca="false">MY_PS(L$2,$A18)</f>
        <v>0.00160500973631193</v>
      </c>
      <c r="M18" s="39" t="n">
        <f aca="false">MY_PS(M$2,$A18)</f>
        <v>0.00160500780643999</v>
      </c>
      <c r="N18" s="39" t="n">
        <f aca="false">MY_PS(N$2,$A18)</f>
        <v>0.00160500587657986</v>
      </c>
      <c r="O18" s="39" t="n">
        <f aca="false">MY_PS(O$2,$A18)</f>
        <v>0.0016050039467315</v>
      </c>
      <c r="P18" s="39" t="n">
        <f aca="false">MY_PS(P$2,$A18)</f>
        <v>0.00160498464889618</v>
      </c>
      <c r="Q18" s="39" t="n">
        <f aca="false">MY_PS(Q$2,$A18)</f>
        <v>0.00160496535223974</v>
      </c>
      <c r="R18" s="39" t="n">
        <f aca="false">MY_PS(R$2,$A18)</f>
        <v>0.00160494605676209</v>
      </c>
      <c r="S18" s="39" t="n">
        <f aca="false">MY_PS(S$2,$A18)</f>
        <v>0.00160492676246324</v>
      </c>
      <c r="T18" s="39" t="n">
        <f aca="false">MY_PS(T$2,$A18)</f>
        <v>0.00160490746934328</v>
      </c>
      <c r="U18" s="39" t="n">
        <f aca="false">MY_PS(U$2,$A18)</f>
        <v>0.00160488817740219</v>
      </c>
      <c r="V18" s="39" t="n">
        <f aca="false">MY_PS(V$2,$A18)</f>
        <v>0.00160486888663997</v>
      </c>
      <c r="W18" s="39" t="n">
        <f aca="false">MY_PS(W$2,$A18)</f>
        <v>0.00160484959705664</v>
      </c>
      <c r="X18" s="39" t="n">
        <f aca="false">MY_PS(X$2,$A18)</f>
        <v>0.00160483030865221</v>
      </c>
      <c r="Y18" s="39" t="n">
        <f aca="false">MY_PS(Y$2,$A18)</f>
        <v>0.00160463748944963</v>
      </c>
      <c r="Z18" s="39" t="n">
        <f aca="false">MY_PS(Z$2,$A18)</f>
        <v>0.00160444478814899</v>
      </c>
      <c r="AA18" s="39" t="n">
        <f aca="false">MY_PS(AA$2,$A18)</f>
        <v>0.00160425220476096</v>
      </c>
      <c r="AB18" s="39" t="n">
        <f aca="false">MY_PS(AB$2,$A18)</f>
        <v>0.00160405973929615</v>
      </c>
      <c r="AC18" s="39" t="n">
        <f aca="false">MY_PS(AC$2,$A18)</f>
        <v>0.0016038673917648</v>
      </c>
      <c r="AD18" s="39" t="n">
        <f aca="false">MY_PS(AD$2,$A18)</f>
        <v>0.00160367516217682</v>
      </c>
      <c r="AE18" s="39" t="n">
        <f aca="false">MY_PS(AE$2,$A18)</f>
        <v>0.001603483050542</v>
      </c>
      <c r="AF18" s="39" t="n">
        <f aca="false">MY_PS(AF$2,$A18)</f>
        <v>0.00160329105686976</v>
      </c>
      <c r="AG18" s="39" t="n">
        <f aca="false">MY_PS(AG$2,$A18)</f>
        <v>0.00160309918116927</v>
      </c>
      <c r="AH18" s="39" t="n">
        <f aca="false">MY_PS(AH$2,$A18)</f>
        <v>0.00160118691444558</v>
      </c>
      <c r="AI18" s="39" t="n">
        <f aca="false">MY_PS(AI$2,$A18)</f>
        <v>0.00159928645306808</v>
      </c>
      <c r="AJ18" s="39" t="n">
        <f aca="false">MY_PS(AJ$2,$A18)</f>
        <v>0.00159739780195874</v>
      </c>
      <c r="AK18" s="39" t="n">
        <f aca="false">MY_PS(AK$2,$A18)</f>
        <v>0.00159552096352193</v>
      </c>
      <c r="AL18" s="39" t="n">
        <f aca="false">MY_PS(AL$2,$A18)</f>
        <v>0.00159365593769795</v>
      </c>
      <c r="AM18" s="39" t="n">
        <f aca="false">MY_PS(AM$2,$A18)</f>
        <v>0.00159180272201594</v>
      </c>
      <c r="AN18" s="39" t="n">
        <f aca="false">MY_PS(AN$2,$A18)</f>
        <v>0.00158996131164557</v>
      </c>
      <c r="AO18" s="39" t="n">
        <f aca="false">MY_PS(AO$2,$A18)</f>
        <v>0.00158813169944842</v>
      </c>
      <c r="AP18" s="39" t="n">
        <f aca="false">MY_PS(AP$2,$A18)</f>
        <v>0.00158631387602841</v>
      </c>
      <c r="AQ18" s="39" t="n">
        <f aca="false">MY_PS(AQ$2,$A18)</f>
        <v>0.00156878044047101</v>
      </c>
      <c r="AR18" s="39" t="n">
        <f aca="false">MY_PS(AR$2,$A18)</f>
        <v>0.00156530634107094</v>
      </c>
      <c r="AS18" s="39" t="n">
        <f aca="false">MY_PS(AS$2,$A18)</f>
        <v>0.0015637468839053</v>
      </c>
    </row>
    <row r="19" customFormat="false" ht="13.8" hidden="false" customHeight="false" outlineLevel="0" collapsed="false">
      <c r="A19" s="0" t="n">
        <v>0.06</v>
      </c>
      <c r="B19" s="39" t="n">
        <f aca="false">MY_PS(B$2,$A19)</f>
        <v>2015</v>
      </c>
      <c r="C19" s="39" t="n">
        <f aca="false">MY_PS(C$2,$A19)</f>
        <v>2015</v>
      </c>
      <c r="D19" s="39" t="n">
        <f aca="false">MY_PS(D$2,$A19)</f>
        <v>0.00157102017989991</v>
      </c>
      <c r="E19" s="39" t="n">
        <f aca="false">MY_PS(E$2,$A19)</f>
        <v>0.00157101999474508</v>
      </c>
      <c r="F19" s="39" t="n">
        <f aca="false">MY_PS(F$2,$A19)</f>
        <v>0.00157101980959038</v>
      </c>
      <c r="G19" s="39" t="n">
        <f aca="false">MY_PS(G$2,$A19)</f>
        <v>0.00157101795804962</v>
      </c>
      <c r="H19" s="39" t="n">
        <f aca="false">MY_PS(H$2,$A19)</f>
        <v>0.00157101610652016</v>
      </c>
      <c r="I19" s="39" t="n">
        <f aca="false">MY_PS(I$2,$A19)</f>
        <v>0.00157101425500199</v>
      </c>
      <c r="J19" s="39" t="n">
        <f aca="false">MY_PS(J$2,$A19)</f>
        <v>0.00157101240349516</v>
      </c>
      <c r="K19" s="39" t="n">
        <f aca="false">MY_PS(K$2,$A19)</f>
        <v>0.00157101055199959</v>
      </c>
      <c r="L19" s="39" t="n">
        <f aca="false">MY_PS(L$2,$A19)</f>
        <v>0.00157100870051534</v>
      </c>
      <c r="M19" s="39" t="n">
        <f aca="false">MY_PS(M$2,$A19)</f>
        <v>0.00157100684904241</v>
      </c>
      <c r="N19" s="39" t="n">
        <f aca="false">MY_PS(N$2,$A19)</f>
        <v>0.00157100499758073</v>
      </c>
      <c r="O19" s="39" t="n">
        <f aca="false">MY_PS(O$2,$A19)</f>
        <v>0.00157100314613039</v>
      </c>
      <c r="P19" s="39" t="n">
        <f aca="false">MY_PS(P$2,$A19)</f>
        <v>0.00157098463224851</v>
      </c>
      <c r="Q19" s="39" t="n">
        <f aca="false">MY_PS(Q$2,$A19)</f>
        <v>0.00157096611949678</v>
      </c>
      <c r="R19" s="39" t="n">
        <f aca="false">MY_PS(R$2,$A19)</f>
        <v>0.00157094760787522</v>
      </c>
      <c r="S19" s="39" t="n">
        <f aca="false">MY_PS(S$2,$A19)</f>
        <v>0.00157092909738385</v>
      </c>
      <c r="T19" s="39" t="n">
        <f aca="false">MY_PS(T$2,$A19)</f>
        <v>0.00157091058802268</v>
      </c>
      <c r="U19" s="39" t="n">
        <f aca="false">MY_PS(U$2,$A19)</f>
        <v>0.00157089207979171</v>
      </c>
      <c r="V19" s="39" t="n">
        <f aca="false">MY_PS(V$2,$A19)</f>
        <v>0.00157087357269096</v>
      </c>
      <c r="W19" s="39" t="n">
        <f aca="false">MY_PS(W$2,$A19)</f>
        <v>0.00157085506672042</v>
      </c>
      <c r="X19" s="39" t="n">
        <f aca="false">MY_PS(X$2,$A19)</f>
        <v>0.00157083656188015</v>
      </c>
      <c r="Y19" s="39" t="n">
        <f aca="false">MY_PS(Y$2,$A19)</f>
        <v>0.00157065157564234</v>
      </c>
      <c r="Z19" s="39" t="n">
        <f aca="false">MY_PS(Z$2,$A19)</f>
        <v>0.00157046670243875</v>
      </c>
      <c r="AA19" s="39" t="n">
        <f aca="false">MY_PS(AA$2,$A19)</f>
        <v>0.00157028194227878</v>
      </c>
      <c r="AB19" s="39" t="n">
        <f aca="false">MY_PS(AB$2,$A19)</f>
        <v>0.00157009729517155</v>
      </c>
      <c r="AC19" s="39" t="n">
        <f aca="false">MY_PS(AC$2,$A19)</f>
        <v>0.00156991276112603</v>
      </c>
      <c r="AD19" s="39" t="n">
        <f aca="false">MY_PS(AD$2,$A19)</f>
        <v>0.00156972834015085</v>
      </c>
      <c r="AE19" s="39" t="n">
        <f aca="false">MY_PS(AE$2,$A19)</f>
        <v>0.00156954403225442</v>
      </c>
      <c r="AF19" s="39" t="n">
        <f aca="false">MY_PS(AF$2,$A19)</f>
        <v>0.00156935983744497</v>
      </c>
      <c r="AG19" s="39" t="n">
        <f aca="false">MY_PS(AG$2,$A19)</f>
        <v>0.00156917575573033</v>
      </c>
      <c r="AH19" s="39" t="n">
        <f aca="false">MY_PS(AH$2,$A19)</f>
        <v>0.00156734116036694</v>
      </c>
      <c r="AI19" s="39" t="n">
        <f aca="false">MY_PS(AI$2,$A19)</f>
        <v>0.00156551788137463</v>
      </c>
      <c r="AJ19" s="39" t="n">
        <f aca="false">MY_PS(AJ$2,$A19)</f>
        <v>0.00156370592265161</v>
      </c>
      <c r="AK19" s="39" t="n">
        <f aca="false">MY_PS(AK$2,$A19)</f>
        <v>0.00156190528572278</v>
      </c>
      <c r="AL19" s="39" t="n">
        <f aca="false">MY_PS(AL$2,$A19)</f>
        <v>0.00156011596979001</v>
      </c>
      <c r="AM19" s="39" t="n">
        <f aca="false">MY_PS(AM$2,$A19)</f>
        <v>0.0015583379717814</v>
      </c>
      <c r="AN19" s="39" t="n">
        <f aca="false">MY_PS(AN$2,$A19)</f>
        <v>0.00155657128640015</v>
      </c>
      <c r="AO19" s="39" t="n">
        <f aca="false">MY_PS(AO$2,$A19)</f>
        <v>0.00155481590617245</v>
      </c>
      <c r="AP19" s="39" t="n">
        <f aca="false">MY_PS(AP$2,$A19)</f>
        <v>0.00155307182149478</v>
      </c>
      <c r="AQ19" s="39" t="n">
        <f aca="false">MY_PS(AQ$2,$A19)</f>
        <v>0.00153624868574142</v>
      </c>
      <c r="AR19" s="39" t="n">
        <f aca="false">MY_PS(AR$2,$A19)</f>
        <v>0.00153291508732738</v>
      </c>
      <c r="AS19" s="39" t="n">
        <f aca="false">MY_PS(AS$2,$A19)</f>
        <v>0.00153141866867049</v>
      </c>
    </row>
    <row r="20" customFormat="false" ht="13.8" hidden="false" customHeight="false" outlineLevel="0" collapsed="false">
      <c r="A20" s="0" t="n">
        <v>0.07</v>
      </c>
      <c r="B20" s="39" t="n">
        <f aca="false">MY_PS(B$2,$A20)</f>
        <v>2015</v>
      </c>
      <c r="C20" s="39" t="n">
        <f aca="false">MY_PS(C$2,$A20)</f>
        <v>2015</v>
      </c>
      <c r="D20" s="39" t="n">
        <f aca="false">MY_PS(D$2,$A20)</f>
        <v>2015</v>
      </c>
      <c r="E20" s="39" t="n">
        <f aca="false">MY_PS(E$2,$A20)</f>
        <v>0.00153808216544264</v>
      </c>
      <c r="F20" s="39" t="n">
        <f aca="false">MY_PS(F$2,$A20)</f>
        <v>0.00153808198774984</v>
      </c>
      <c r="G20" s="39" t="n">
        <f aca="false">MY_PS(G$2,$A20)</f>
        <v>0.00153808021082796</v>
      </c>
      <c r="H20" s="39" t="n">
        <f aca="false">MY_PS(H$2,$A20)</f>
        <v>0.00153807843391693</v>
      </c>
      <c r="I20" s="39" t="n">
        <f aca="false">MY_PS(I$2,$A20)</f>
        <v>0.00153807665701677</v>
      </c>
      <c r="J20" s="39" t="n">
        <f aca="false">MY_PS(J$2,$A20)</f>
        <v>0.00153807488012737</v>
      </c>
      <c r="K20" s="39" t="n">
        <f aca="false">MY_PS(K$2,$A20)</f>
        <v>0.00153807310324888</v>
      </c>
      <c r="L20" s="39" t="n">
        <f aca="false">MY_PS(L$2,$A20)</f>
        <v>0.0015380713263812</v>
      </c>
      <c r="M20" s="39" t="n">
        <f aca="false">MY_PS(M$2,$A20)</f>
        <v>0.00153806954952439</v>
      </c>
      <c r="N20" s="39" t="n">
        <f aca="false">MY_PS(N$2,$A20)</f>
        <v>0.00153806777267838</v>
      </c>
      <c r="O20" s="39" t="n">
        <f aca="false">MY_PS(O$2,$A20)</f>
        <v>0.00153806599584325</v>
      </c>
      <c r="P20" s="39" t="n">
        <f aca="false">MY_PS(P$2,$A20)</f>
        <v>0.00153804822808813</v>
      </c>
      <c r="Q20" s="39" t="n">
        <f aca="false">MY_PS(Q$2,$A20)</f>
        <v>0.00153803046141727</v>
      </c>
      <c r="R20" s="39" t="n">
        <f aca="false">MY_PS(R$2,$A20)</f>
        <v>0.0015380126958306</v>
      </c>
      <c r="S20" s="39" t="n">
        <f aca="false">MY_PS(S$2,$A20)</f>
        <v>0.0015379949313282</v>
      </c>
      <c r="T20" s="39" t="n">
        <f aca="false">MY_PS(T$2,$A20)</f>
        <v>0.00153797716791008</v>
      </c>
      <c r="U20" s="39" t="n">
        <f aca="false">MY_PS(U$2,$A20)</f>
        <v>0.00153795940557623</v>
      </c>
      <c r="V20" s="39" t="n">
        <f aca="false">MY_PS(V$2,$A20)</f>
        <v>0.00153794164432664</v>
      </c>
      <c r="W20" s="39" t="n">
        <f aca="false">MY_PS(W$2,$A20)</f>
        <v>0.00153792388416134</v>
      </c>
      <c r="X20" s="39" t="n">
        <f aca="false">MY_PS(X$2,$A20)</f>
        <v>0.00153790612508034</v>
      </c>
      <c r="Y20" s="39" t="n">
        <f aca="false">MY_PS(Y$2,$A20)</f>
        <v>0.0015377285939083</v>
      </c>
      <c r="Z20" s="39" t="n">
        <f aca="false">MY_PS(Z$2,$A20)</f>
        <v>0.00153755117117488</v>
      </c>
      <c r="AA20" s="39" t="n">
        <f aca="false">MY_PS(AA$2,$A20)</f>
        <v>0.00153737385688825</v>
      </c>
      <c r="AB20" s="39" t="n">
        <f aca="false">MY_PS(AB$2,$A20)</f>
        <v>0.00153719665105633</v>
      </c>
      <c r="AC20" s="39" t="n">
        <f aca="false">MY_PS(AC$2,$A20)</f>
        <v>0.00153701955368686</v>
      </c>
      <c r="AD20" s="39" t="n">
        <f aca="false">MY_PS(AD$2,$A20)</f>
        <v>0.00153684256478721</v>
      </c>
      <c r="AE20" s="39" t="n">
        <f aca="false">MY_PS(AE$2,$A20)</f>
        <v>0.00153666568436467</v>
      </c>
      <c r="AF20" s="39" t="n">
        <f aca="false">MY_PS(AF$2,$A20)</f>
        <v>0.00153648891242621</v>
      </c>
      <c r="AG20" s="39" t="n">
        <f aca="false">MY_PS(AG$2,$A20)</f>
        <v>0.00153631224897854</v>
      </c>
      <c r="AH20" s="39" t="n">
        <f aca="false">MY_PS(AH$2,$A20)</f>
        <v>0.00153455158281684</v>
      </c>
      <c r="AI20" s="39" t="n">
        <f aca="false">MY_PS(AI$2,$A20)</f>
        <v>0.00153280177144405</v>
      </c>
      <c r="AJ20" s="39" t="n">
        <f aca="false">MY_PS(AJ$2,$A20)</f>
        <v>0.00153106281782034</v>
      </c>
      <c r="AK20" s="39" t="n">
        <f aca="false">MY_PS(AK$2,$A20)</f>
        <v>0.0015293347226672</v>
      </c>
      <c r="AL20" s="39" t="n">
        <f aca="false">MY_PS(AL$2,$A20)</f>
        <v>0.00152761748451446</v>
      </c>
      <c r="AM20" s="39" t="n">
        <f aca="false">MY_PS(AM$2,$A20)</f>
        <v>0.00152591109974649</v>
      </c>
      <c r="AN20" s="39" t="n">
        <f aca="false">MY_PS(AN$2,$A20)</f>
        <v>0.00152421556264824</v>
      </c>
      <c r="AO20" s="39" t="n">
        <f aca="false">MY_PS(AO$2,$A20)</f>
        <v>0.00152253086545005</v>
      </c>
      <c r="AP20" s="39" t="n">
        <f aca="false">MY_PS(AP$2,$A20)</f>
        <v>0.00152085699837198</v>
      </c>
      <c r="AQ20" s="39" t="n">
        <f aca="false">MY_PS(AQ$2,$A20)</f>
        <v>0.00150471048097642</v>
      </c>
      <c r="AR20" s="39" t="n">
        <f aca="false">MY_PS(AR$2,$A20)</f>
        <v>0.00150151077711166</v>
      </c>
      <c r="AS20" s="39" t="n">
        <f aca="false">MY_PS(AS$2,$A20)</f>
        <v>0.00150007443943556</v>
      </c>
    </row>
    <row r="21" customFormat="false" ht="13.8" hidden="false" customHeight="false" outlineLevel="0" collapsed="false">
      <c r="A21" s="0" t="n">
        <v>0.08</v>
      </c>
      <c r="B21" s="39" t="n">
        <f aca="false">MY_PS(B$2,$A21)</f>
        <v>2015</v>
      </c>
      <c r="C21" s="39" t="n">
        <f aca="false">MY_PS(C$2,$A21)</f>
        <v>2015</v>
      </c>
      <c r="D21" s="39" t="n">
        <f aca="false">MY_PS(D$2,$A21)</f>
        <v>2015</v>
      </c>
      <c r="E21" s="39" t="n">
        <f aca="false">MY_PS(E$2,$A21)</f>
        <v>0.0015061635768739</v>
      </c>
      <c r="F21" s="39" t="n">
        <f aca="false">MY_PS(F$2,$A21)</f>
        <v>0.00150616340628743</v>
      </c>
      <c r="G21" s="39" t="n">
        <f aca="false">MY_PS(G$2,$A21)</f>
        <v>0.00150616170042861</v>
      </c>
      <c r="H21" s="39" t="n">
        <f aca="false">MY_PS(H$2,$A21)</f>
        <v>0.00150615999458017</v>
      </c>
      <c r="I21" s="39" t="n">
        <f aca="false">MY_PS(I$2,$A21)</f>
        <v>0.00150615828874215</v>
      </c>
      <c r="J21" s="39" t="n">
        <f aca="false">MY_PS(J$2,$A21)</f>
        <v>0.00150615658291449</v>
      </c>
      <c r="K21" s="39" t="n">
        <f aca="false">MY_PS(K$2,$A21)</f>
        <v>0.00150615487709732</v>
      </c>
      <c r="L21" s="39" t="n">
        <f aca="false">MY_PS(L$2,$A21)</f>
        <v>0.00150615317129053</v>
      </c>
      <c r="M21" s="39" t="n">
        <f aca="false">MY_PS(M$2,$A21)</f>
        <v>0.00150615146549413</v>
      </c>
      <c r="N21" s="39" t="n">
        <f aca="false">MY_PS(N$2,$A21)</f>
        <v>0.00150614975970814</v>
      </c>
      <c r="O21" s="39" t="n">
        <f aca="false">MY_PS(O$2,$A21)</f>
        <v>0.00150614805393255</v>
      </c>
      <c r="P21" s="39" t="n">
        <f aca="false">MY_PS(P$2,$A21)</f>
        <v>0.00150613099674925</v>
      </c>
      <c r="Q21" s="39" t="n">
        <f aca="false">MY_PS(Q$2,$A21)</f>
        <v>0.00150611394060678</v>
      </c>
      <c r="R21" s="39" t="n">
        <f aca="false">MY_PS(R$2,$A21)</f>
        <v>0.00150609688550516</v>
      </c>
      <c r="S21" s="39" t="n">
        <f aca="false">MY_PS(S$2,$A21)</f>
        <v>0.00150607983144437</v>
      </c>
      <c r="T21" s="39" t="n">
        <f aca="false">MY_PS(T$2,$A21)</f>
        <v>0.00150606277842445</v>
      </c>
      <c r="U21" s="39" t="n">
        <f aca="false">MY_PS(U$2,$A21)</f>
        <v>0.00150604572644541</v>
      </c>
      <c r="V21" s="39" t="n">
        <f aca="false">MY_PS(V$2,$A21)</f>
        <v>0.00150602867550722</v>
      </c>
      <c r="W21" s="39" t="n">
        <f aca="false">MY_PS(W$2,$A21)</f>
        <v>0.00150601162560991</v>
      </c>
      <c r="X21" s="39" t="n">
        <f aca="false">MY_PS(X$2,$A21)</f>
        <v>0.0015059945767535</v>
      </c>
      <c r="Y21" s="39" t="n">
        <f aca="false">MY_PS(Y$2,$A21)</f>
        <v>0.00150582414543994</v>
      </c>
      <c r="Z21" s="39" t="n">
        <f aca="false">MY_PS(Z$2,$A21)</f>
        <v>0.00150565381822316</v>
      </c>
      <c r="AA21" s="39" t="n">
        <f aca="false">MY_PS(AA$2,$A21)</f>
        <v>0.00150548359511021</v>
      </c>
      <c r="AB21" s="39" t="n">
        <f aca="false">MY_PS(AB$2,$A21)</f>
        <v>0.00150531347610791</v>
      </c>
      <c r="AC21" s="39" t="n">
        <f aca="false">MY_PS(AC$2,$A21)</f>
        <v>0.00150514346122279</v>
      </c>
      <c r="AD21" s="39" t="n">
        <f aca="false">MY_PS(AD$2,$A21)</f>
        <v>0.00150497355046119</v>
      </c>
      <c r="AE21" s="39" t="n">
        <f aca="false">MY_PS(AE$2,$A21)</f>
        <v>0.00150480374382924</v>
      </c>
      <c r="AF21" s="39" t="n">
        <f aca="false">MY_PS(AF$2,$A21)</f>
        <v>0.00150463404133288</v>
      </c>
      <c r="AG21" s="39" t="n">
        <f aca="false">MY_PS(AG$2,$A21)</f>
        <v>0.00150446444297773</v>
      </c>
      <c r="AH21" s="39" t="n">
        <f aca="false">MY_PS(AH$2,$A21)</f>
        <v>0.00150277418828652</v>
      </c>
      <c r="AI21" s="39" t="n">
        <f aca="false">MY_PS(AI$2,$A21)</f>
        <v>0.00150109435234133</v>
      </c>
      <c r="AJ21" s="39" t="n">
        <f aca="false">MY_PS(AJ$2,$A21)</f>
        <v>0.00149942493724243</v>
      </c>
      <c r="AK21" s="39" t="n">
        <f aca="false">MY_PS(AK$2,$A21)</f>
        <v>0.00149776594297688</v>
      </c>
      <c r="AL21" s="39" t="n">
        <f aca="false">MY_PS(AL$2,$A21)</f>
        <v>0.00149611736746286</v>
      </c>
      <c r="AM21" s="39" t="n">
        <f aca="false">MY_PS(AM$2,$A21)</f>
        <v>0.00149447920659303</v>
      </c>
      <c r="AN21" s="39" t="n">
        <f aca="false">MY_PS(AN$2,$A21)</f>
        <v>0.00149285145427765</v>
      </c>
      <c r="AO21" s="39" t="n">
        <f aca="false">MY_PS(AO$2,$A21)</f>
        <v>0.00149123410248653</v>
      </c>
      <c r="AP21" s="39" t="n">
        <f aca="false">MY_PS(AP$2,$A21)</f>
        <v>0.00148962714129109</v>
      </c>
      <c r="AQ21" s="39" t="n">
        <f aca="false">MY_PS(AQ$2,$A21)</f>
        <v>0.00147412555069194</v>
      </c>
      <c r="AR21" s="39" t="n">
        <f aca="false">MY_PS(AR$2,$A21)</f>
        <v>0.00147105352203882</v>
      </c>
      <c r="AS21" s="39" t="n">
        <f aca="false">MY_PS(AS$2,$A21)</f>
        <v>0.00146967448072688</v>
      </c>
    </row>
    <row r="22" customFormat="false" ht="13.8" hidden="false" customHeight="false" outlineLevel="0" collapsed="false">
      <c r="A22" s="0" t="n">
        <v>0.09</v>
      </c>
      <c r="B22" s="39" t="n">
        <f aca="false">MY_PS(B$2,$A22)</f>
        <v>2015</v>
      </c>
      <c r="C22" s="39" t="n">
        <f aca="false">MY_PS(C$2,$A22)</f>
        <v>2015</v>
      </c>
      <c r="D22" s="39" t="n">
        <f aca="false">MY_PS(D$2,$A22)</f>
        <v>2015</v>
      </c>
      <c r="E22" s="39" t="n">
        <f aca="false">MY_PS(E$2,$A22)</f>
        <v>2015</v>
      </c>
      <c r="F22" s="39" t="n">
        <f aca="false">MY_PS(F$2,$A22)</f>
        <v>0.00147522194507285</v>
      </c>
      <c r="G22" s="39" t="n">
        <f aca="false">MY_PS(G$2,$A22)</f>
        <v>0.00147522030693213</v>
      </c>
      <c r="H22" s="39" t="n">
        <f aca="false">MY_PS(H$2,$A22)</f>
        <v>0.00147521866880141</v>
      </c>
      <c r="I22" s="39" t="n">
        <f aca="false">MY_PS(I$2,$A22)</f>
        <v>0.00147521703068069</v>
      </c>
      <c r="J22" s="39" t="n">
        <f aca="false">MY_PS(J$2,$A22)</f>
        <v>0.00147521539256998</v>
      </c>
      <c r="K22" s="39" t="n">
        <f aca="false">MY_PS(K$2,$A22)</f>
        <v>0.00147521375446927</v>
      </c>
      <c r="L22" s="39" t="n">
        <f aca="false">MY_PS(L$2,$A22)</f>
        <v>0.00147521211637855</v>
      </c>
      <c r="M22" s="39" t="n">
        <f aca="false">MY_PS(M$2,$A22)</f>
        <v>0.00147521047829781</v>
      </c>
      <c r="N22" s="39" t="n">
        <f aca="false">MY_PS(N$2,$A22)</f>
        <v>0.00147520884022708</v>
      </c>
      <c r="O22" s="39" t="n">
        <f aca="false">MY_PS(O$2,$A22)</f>
        <v>0.00147520720216637</v>
      </c>
      <c r="P22" s="39" t="n">
        <f aca="false">MY_PS(P$2,$A22)</f>
        <v>0.00147519082210898</v>
      </c>
      <c r="Q22" s="39" t="n">
        <f aca="false">MY_PS(Q$2,$A22)</f>
        <v>0.00147517444305138</v>
      </c>
      <c r="R22" s="39" t="n">
        <f aca="false">MY_PS(R$2,$A22)</f>
        <v>0.00147515806499363</v>
      </c>
      <c r="S22" s="39" t="n">
        <f aca="false">MY_PS(S$2,$A22)</f>
        <v>0.00147514168793565</v>
      </c>
      <c r="T22" s="39" t="n">
        <f aca="false">MY_PS(T$2,$A22)</f>
        <v>0.00147512531187754</v>
      </c>
      <c r="U22" s="39" t="n">
        <f aca="false">MY_PS(U$2,$A22)</f>
        <v>0.00147510893681925</v>
      </c>
      <c r="V22" s="39" t="n">
        <f aca="false">MY_PS(V$2,$A22)</f>
        <v>0.00147509256276079</v>
      </c>
      <c r="W22" s="39" t="n">
        <f aca="false">MY_PS(W$2,$A22)</f>
        <v>0.00147507618970218</v>
      </c>
      <c r="X22" s="39" t="n">
        <f aca="false">MY_PS(X$2,$A22)</f>
        <v>0.0014750598176434</v>
      </c>
      <c r="Y22" s="39" t="n">
        <f aca="false">MY_PS(Y$2,$A22)</f>
        <v>0.0014748961520489</v>
      </c>
      <c r="Z22" s="39" t="n">
        <f aca="false">MY_PS(Z$2,$A22)</f>
        <v>0.00147473258644618</v>
      </c>
      <c r="AA22" s="39" t="n">
        <f aca="false">MY_PS(AA$2,$A22)</f>
        <v>0.00147456912084119</v>
      </c>
      <c r="AB22" s="39" t="n">
        <f aca="false">MY_PS(AB$2,$A22)</f>
        <v>0.0014744057552397</v>
      </c>
      <c r="AC22" s="39" t="n">
        <f aca="false">MY_PS(AC$2,$A22)</f>
        <v>0.0014742424896472</v>
      </c>
      <c r="AD22" s="39" t="n">
        <f aca="false">MY_PS(AD$2,$A22)</f>
        <v>0.00147407932406908</v>
      </c>
      <c r="AE22" s="39" t="n">
        <f aca="false">MY_PS(AE$2,$A22)</f>
        <v>0.00147391625851038</v>
      </c>
      <c r="AF22" s="39" t="n">
        <f aca="false">MY_PS(AF$2,$A22)</f>
        <v>0.00147375329297603</v>
      </c>
      <c r="AG22" s="39" t="n">
        <f aca="false">MY_PS(AG$2,$A22)</f>
        <v>0.00147359042747072</v>
      </c>
      <c r="AH22" s="39" t="n">
        <f aca="false">MY_PS(AH$2,$A22)</f>
        <v>0.0014719672748983</v>
      </c>
      <c r="AI22" s="39" t="n">
        <f aca="false">MY_PS(AI$2,$A22)</f>
        <v>0.00147035412885587</v>
      </c>
      <c r="AJ22" s="39" t="n">
        <f aca="false">MY_PS(AJ$2,$A22)</f>
        <v>0.00146875099065507</v>
      </c>
      <c r="AK22" s="39" t="n">
        <f aca="false">MY_PS(AK$2,$A22)</f>
        <v>0.00146715785961164</v>
      </c>
      <c r="AL22" s="39" t="n">
        <f aca="false">MY_PS(AL$2,$A22)</f>
        <v>0.00146557473308699</v>
      </c>
      <c r="AM22" s="39" t="n">
        <f aca="false">MY_PS(AM$2,$A22)</f>
        <v>0.00146400160652913</v>
      </c>
      <c r="AN22" s="39" t="n">
        <f aca="false">MY_PS(AN$2,$A22)</f>
        <v>0.00146243847351277</v>
      </c>
      <c r="AO22" s="39" t="n">
        <f aca="false">MY_PS(AO$2,$A22)</f>
        <v>0.00146088532577938</v>
      </c>
      <c r="AP22" s="39" t="n">
        <f aca="false">MY_PS(AP$2,$A22)</f>
        <v>0.00145934215327593</v>
      </c>
      <c r="AQ22" s="39" t="n">
        <f aca="false">MY_PS(AQ$2,$A22)</f>
        <v>0.00144445564684089</v>
      </c>
      <c r="AR22" s="39" t="n">
        <f aca="false">MY_PS(AR$2,$A22)</f>
        <v>0.00144150543389035</v>
      </c>
      <c r="AS22" s="39" t="n">
        <f aca="false">MY_PS(AS$2,$A22)</f>
        <v>0.00144018106507412</v>
      </c>
    </row>
    <row r="23" customFormat="false" ht="13.8" hidden="false" customHeight="false" outlineLevel="0" collapsed="false">
      <c r="A23" s="0" t="n">
        <v>0.1</v>
      </c>
      <c r="B23" s="39" t="n">
        <f aca="false">MY_PS(B$2,$A23)</f>
        <v>2015</v>
      </c>
      <c r="C23" s="39" t="n">
        <f aca="false">MY_PS(C$2,$A23)</f>
        <v>2015</v>
      </c>
      <c r="D23" s="39" t="n">
        <f aca="false">MY_PS(D$2,$A23)</f>
        <v>2015</v>
      </c>
      <c r="E23" s="39" t="n">
        <f aca="false">MY_PS(E$2,$A23)</f>
        <v>2015</v>
      </c>
      <c r="F23" s="39" t="n">
        <f aca="false">MY_PS(F$2,$A23)</f>
        <v>0.00144521766227997</v>
      </c>
      <c r="G23" s="39" t="n">
        <f aca="false">MY_PS(G$2,$A23)</f>
        <v>0.00144521608870848</v>
      </c>
      <c r="H23" s="39" t="n">
        <f aca="false">MY_PS(H$2,$A23)</f>
        <v>0.0014452145151466</v>
      </c>
      <c r="I23" s="39" t="n">
        <f aca="false">MY_PS(I$2,$A23)</f>
        <v>0.00144521294159433</v>
      </c>
      <c r="J23" s="39" t="n">
        <f aca="false">MY_PS(J$2,$A23)</f>
        <v>0.00144521136805169</v>
      </c>
      <c r="K23" s="39" t="n">
        <f aca="false">MY_PS(K$2,$A23)</f>
        <v>0.00144520979451862</v>
      </c>
      <c r="L23" s="39" t="n">
        <f aca="false">MY_PS(L$2,$A23)</f>
        <v>0.00144520822099517</v>
      </c>
      <c r="M23" s="39" t="n">
        <f aca="false">MY_PS(M$2,$A23)</f>
        <v>0.00144520664748135</v>
      </c>
      <c r="N23" s="39" t="n">
        <f aca="false">MY_PS(N$2,$A23)</f>
        <v>0.00144520507397713</v>
      </c>
      <c r="O23" s="39" t="n">
        <f aca="false">MY_PS(O$2,$A23)</f>
        <v>0.00144520350048253</v>
      </c>
      <c r="P23" s="39" t="n">
        <f aca="false">MY_PS(P$2,$A23)</f>
        <v>0.00144518776606498</v>
      </c>
      <c r="Q23" s="39" t="n">
        <f aca="false">MY_PS(Q$2,$A23)</f>
        <v>0.00144517203260842</v>
      </c>
      <c r="R23" s="39" t="n">
        <f aca="false">MY_PS(R$2,$A23)</f>
        <v>0.00144515630011281</v>
      </c>
      <c r="S23" s="39" t="n">
        <f aca="false">MY_PS(S$2,$A23)</f>
        <v>0.00144514056857823</v>
      </c>
      <c r="T23" s="39" t="n">
        <f aca="false">MY_PS(T$2,$A23)</f>
        <v>0.00144512483800464</v>
      </c>
      <c r="U23" s="39" t="n">
        <f aca="false">MY_PS(U$2,$A23)</f>
        <v>0.00144510910839207</v>
      </c>
      <c r="V23" s="39" t="n">
        <f aca="false">MY_PS(V$2,$A23)</f>
        <v>0.0014450933797405</v>
      </c>
      <c r="W23" s="39" t="n">
        <f aca="false">MY_PS(W$2,$A23)</f>
        <v>0.00144507765204994</v>
      </c>
      <c r="X23" s="39" t="n">
        <f aca="false">MY_PS(X$2,$A23)</f>
        <v>0.00144506192532039</v>
      </c>
      <c r="Y23" s="39" t="n">
        <f aca="false">MY_PS(Y$2,$A23)</f>
        <v>0.00144490471088242</v>
      </c>
      <c r="Z23" s="39" t="n">
        <f aca="false">MY_PS(Z$2,$A23)</f>
        <v>0.00144474759255227</v>
      </c>
      <c r="AA23" s="39" t="n">
        <f aca="false">MY_PS(AA$2,$A23)</f>
        <v>0.00144459057033495</v>
      </c>
      <c r="AB23" s="39" t="n">
        <f aca="false">MY_PS(AB$2,$A23)</f>
        <v>0.00144443364423522</v>
      </c>
      <c r="AC23" s="39" t="n">
        <f aca="false">MY_PS(AC$2,$A23)</f>
        <v>0.00144427681425764</v>
      </c>
      <c r="AD23" s="39" t="n">
        <f aca="false">MY_PS(AD$2,$A23)</f>
        <v>0.00144412008040662</v>
      </c>
      <c r="AE23" s="39" t="n">
        <f aca="false">MY_PS(AE$2,$A23)</f>
        <v>0.0014439634426863</v>
      </c>
      <c r="AF23" s="39" t="n">
        <f aca="false">MY_PS(AF$2,$A23)</f>
        <v>0.00144380690110069</v>
      </c>
      <c r="AG23" s="39" t="n">
        <f aca="false">MY_PS(AG$2,$A23)</f>
        <v>0.00144365045565356</v>
      </c>
      <c r="AH23" s="39" t="n">
        <f aca="false">MY_PS(AH$2,$A23)</f>
        <v>0.00144209128949033</v>
      </c>
      <c r="AI23" s="39" t="n">
        <f aca="false">MY_PS(AI$2,$A23)</f>
        <v>0.00144054173988528</v>
      </c>
      <c r="AJ23" s="39" t="n">
        <f aca="false">MY_PS(AJ$2,$A23)</f>
        <v>0.00143900180742652</v>
      </c>
      <c r="AK23" s="39" t="n">
        <f aca="false">MY_PS(AK$2,$A23)</f>
        <v>0.00143747149081589</v>
      </c>
      <c r="AL23" s="39" t="n">
        <f aca="false">MY_PS(AL$2,$A23)</f>
        <v>0.00143595078690801</v>
      </c>
      <c r="AM23" s="39" t="n">
        <f aca="false">MY_PS(AM$2,$A23)</f>
        <v>0.0014344396907488</v>
      </c>
      <c r="AN23" s="39" t="n">
        <f aca="false">MY_PS(AN$2,$A23)</f>
        <v>0.00143293819561319</v>
      </c>
      <c r="AO23" s="39" t="n">
        <f aca="false">MY_PS(AO$2,$A23)</f>
        <v>0.00143144629304261</v>
      </c>
      <c r="AP23" s="39" t="n">
        <f aca="false">MY_PS(AP$2,$A23)</f>
        <v>0.00142996397288164</v>
      </c>
      <c r="AQ23" s="39" t="n">
        <f aca="false">MY_PS(AQ$2,$A23)</f>
        <v>0.00141566442740769</v>
      </c>
      <c r="AR23" s="39" t="n">
        <f aca="false">MY_PS(AR$2,$A23)</f>
        <v>0.00141283050541802</v>
      </c>
      <c r="AS23" s="39" t="n">
        <f aca="false">MY_PS(AS$2,$A23)</f>
        <v>0.00141155833479891</v>
      </c>
    </row>
    <row r="24" customFormat="false" ht="13.8" hidden="false" customHeight="false" outlineLevel="0" collapsed="false">
      <c r="A24" s="0" t="n">
        <v>0.2</v>
      </c>
      <c r="B24" s="39" t="n">
        <f aca="false">MY_PS(B$2,$A24)</f>
        <v>2015</v>
      </c>
      <c r="C24" s="39" t="n">
        <f aca="false">MY_PS(C$2,$A24)</f>
        <v>2015</v>
      </c>
      <c r="D24" s="39" t="n">
        <f aca="false">MY_PS(D$2,$A24)</f>
        <v>2015</v>
      </c>
      <c r="E24" s="39" t="n">
        <f aca="false">MY_PS(E$2,$A24)</f>
        <v>2015</v>
      </c>
      <c r="F24" s="39" t="n">
        <f aca="false">MY_PS(F$2,$A24)</f>
        <v>2015</v>
      </c>
      <c r="G24" s="39" t="n">
        <f aca="false">MY_PS(G$2,$A24)</f>
        <v>0.0011892454333974</v>
      </c>
      <c r="H24" s="39" t="n">
        <f aca="false">MY_PS(H$2,$A24)</f>
        <v>0.001189244366907</v>
      </c>
      <c r="I24" s="39" t="n">
        <f aca="false">MY_PS(I$2,$A24)</f>
        <v>0.00118924330042326</v>
      </c>
      <c r="J24" s="39" t="n">
        <f aca="false">MY_PS(J$2,$A24)</f>
        <v>0.00118924223394619</v>
      </c>
      <c r="K24" s="39" t="n">
        <f aca="false">MY_PS(K$2,$A24)</f>
        <v>0.00118924116747576</v>
      </c>
      <c r="L24" s="39" t="n">
        <f aca="false">MY_PS(L$2,$A24)</f>
        <v>0.00118924010101201</v>
      </c>
      <c r="M24" s="39" t="n">
        <f aca="false">MY_PS(M$2,$A24)</f>
        <v>0.00118923903455495</v>
      </c>
      <c r="N24" s="39" t="n">
        <f aca="false">MY_PS(N$2,$A24)</f>
        <v>0.00118923796810456</v>
      </c>
      <c r="O24" s="39" t="n">
        <f aca="false">MY_PS(O$2,$A24)</f>
        <v>0.00118923690166084</v>
      </c>
      <c r="P24" s="39" t="n">
        <f aca="false">MY_PS(P$2,$A24)</f>
        <v>0.00118922623759042</v>
      </c>
      <c r="Q24" s="39" t="n">
        <f aca="false">MY_PS(Q$2,$A24)</f>
        <v>0.00118921557418707</v>
      </c>
      <c r="R24" s="39" t="n">
        <f aca="false">MY_PS(R$2,$A24)</f>
        <v>0.00118920491145078</v>
      </c>
      <c r="S24" s="39" t="n">
        <f aca="false">MY_PS(S$2,$A24)</f>
        <v>0.00118919424938152</v>
      </c>
      <c r="T24" s="39" t="n">
        <f aca="false">MY_PS(T$2,$A24)</f>
        <v>0.00118918358797934</v>
      </c>
      <c r="U24" s="39" t="n">
        <f aca="false">MY_PS(U$2,$A24)</f>
        <v>0.0011891729272442</v>
      </c>
      <c r="V24" s="39" t="n">
        <f aca="false">MY_PS(V$2,$A24)</f>
        <v>0.00118916226717611</v>
      </c>
      <c r="W24" s="39" t="n">
        <f aca="false">MY_PS(W$2,$A24)</f>
        <v>0.00118915160777503</v>
      </c>
      <c r="X24" s="39" t="n">
        <f aca="false">MY_PS(X$2,$A24)</f>
        <v>0.00118914094904105</v>
      </c>
      <c r="Y24" s="39" t="n">
        <f aca="false">MY_PS(Y$2,$A24)</f>
        <v>0.00118903439838815</v>
      </c>
      <c r="Z24" s="39" t="n">
        <f aca="false">MY_PS(Z$2,$A24)</f>
        <v>0.00118892791443822</v>
      </c>
      <c r="AA24" s="39" t="n">
        <f aca="false">MY_PS(AA$2,$A24)</f>
        <v>0.00118882149718972</v>
      </c>
      <c r="AB24" s="39" t="n">
        <f aca="false">MY_PS(AB$2,$A24)</f>
        <v>0.00118871514664108</v>
      </c>
      <c r="AC24" s="39" t="n">
        <f aca="false">MY_PS(AC$2,$A24)</f>
        <v>0.00118860886279055</v>
      </c>
      <c r="AD24" s="39" t="n">
        <f aca="false">MY_PS(AD$2,$A24)</f>
        <v>0.00118850264563624</v>
      </c>
      <c r="AE24" s="39" t="n">
        <f aca="false">MY_PS(AE$2,$A24)</f>
        <v>0.00118839649517621</v>
      </c>
      <c r="AF24" s="39" t="n">
        <f aca="false">MY_PS(AF$2,$A24)</f>
        <v>0.00118829041140837</v>
      </c>
      <c r="AG24" s="39" t="n">
        <f aca="false">MY_PS(AG$2,$A24)</f>
        <v>0.00118818439433051</v>
      </c>
      <c r="AH24" s="39" t="n">
        <f aca="false">MY_PS(AH$2,$A24)</f>
        <v>0.00118712789093479</v>
      </c>
      <c r="AI24" s="39" t="n">
        <f aca="false">MY_PS(AI$2,$A24)</f>
        <v>0.00118607805326679</v>
      </c>
      <c r="AJ24" s="39" t="n">
        <f aca="false">MY_PS(AJ$2,$A24)</f>
        <v>0.00118503487725309</v>
      </c>
      <c r="AK24" s="39" t="n">
        <f aca="false">MY_PS(AK$2,$A24)</f>
        <v>0.00118399835771299</v>
      </c>
      <c r="AL24" s="39" t="n">
        <f aca="false">MY_PS(AL$2,$A24)</f>
        <v>0.00118296848838034</v>
      </c>
      <c r="AM24" s="39" t="n">
        <f aca="false">MY_PS(AM$2,$A24)</f>
        <v>0.00118194526192474</v>
      </c>
      <c r="AN24" s="39" t="n">
        <f aca="false">MY_PS(AN$2,$A24)</f>
        <v>0.00118092866997265</v>
      </c>
      <c r="AO24" s="39" t="n">
        <f aca="false">MY_PS(AO$2,$A24)</f>
        <v>0.00117991870312796</v>
      </c>
      <c r="AP24" s="39" t="n">
        <f aca="false">MY_PS(AP$2,$A24)</f>
        <v>0.0011789153509926</v>
      </c>
      <c r="AQ24" s="39" t="n">
        <f aca="false">MY_PS(AQ$2,$A24)</f>
        <v>0.00116924267396533</v>
      </c>
      <c r="AR24" s="39" t="n">
        <f aca="false">MY_PS(AR$2,$A24)</f>
        <v>0.00116732707231649</v>
      </c>
      <c r="AS24" s="39" t="n">
        <f aca="false">MY_PS(AS$2,$A24)</f>
        <v>0.00116646728835499</v>
      </c>
    </row>
    <row r="25" customFormat="false" ht="13.8" hidden="false" customHeight="false" outlineLevel="0" collapsed="false">
      <c r="A25" s="0" t="n">
        <v>0.3</v>
      </c>
      <c r="B25" s="39" t="n">
        <f aca="false">MY_PS(B$2,$A25)</f>
        <v>2015</v>
      </c>
      <c r="C25" s="39" t="n">
        <f aca="false">MY_PS(C$2,$A25)</f>
        <v>2015</v>
      </c>
      <c r="D25" s="39" t="n">
        <f aca="false">MY_PS(D$2,$A25)</f>
        <v>2015</v>
      </c>
      <c r="E25" s="39" t="n">
        <f aca="false">MY_PS(E$2,$A25)</f>
        <v>2015</v>
      </c>
      <c r="F25" s="39" t="n">
        <f aca="false">MY_PS(F$2,$A25)</f>
        <v>2015</v>
      </c>
      <c r="G25" s="39" t="n">
        <f aca="false">MY_PS(G$2,$A25)</f>
        <v>2015</v>
      </c>
      <c r="H25" s="39" t="n">
        <f aca="false">MY_PS(H$2,$A25)</f>
        <v>0.000995060528579213</v>
      </c>
      <c r="I25" s="39" t="n">
        <f aca="false">MY_PS(I$2,$A25)</f>
        <v>0.000995059794516968</v>
      </c>
      <c r="J25" s="39" t="n">
        <f aca="false">MY_PS(J$2,$A25)</f>
        <v>0.000995059060459589</v>
      </c>
      <c r="K25" s="39" t="n">
        <f aca="false">MY_PS(K$2,$A25)</f>
        <v>0.000995058326407066</v>
      </c>
      <c r="L25" s="39" t="n">
        <f aca="false">MY_PS(L$2,$A25)</f>
        <v>0.000995057592359392</v>
      </c>
      <c r="M25" s="39" t="n">
        <f aca="false">MY_PS(M$2,$A25)</f>
        <v>0.000995056858316594</v>
      </c>
      <c r="N25" s="39" t="n">
        <f aca="false">MY_PS(N$2,$A25)</f>
        <v>0.000995056124278622</v>
      </c>
      <c r="O25" s="39" t="n">
        <f aca="false">MY_PS(O$2,$A25)</f>
        <v>0.000995055390245519</v>
      </c>
      <c r="P25" s="39" t="n">
        <f aca="false">MY_PS(P$2,$A25)</f>
        <v>0.000995048050181424</v>
      </c>
      <c r="Q25" s="39" t="n">
        <f aca="false">MY_PS(Q$2,$A25)</f>
        <v>0.000995040710602734</v>
      </c>
      <c r="R25" s="39" t="n">
        <f aca="false">MY_PS(R$2,$A25)</f>
        <v>0.000995033371509458</v>
      </c>
      <c r="S25" s="39" t="n">
        <f aca="false">MY_PS(S$2,$A25)</f>
        <v>0.000995026032901578</v>
      </c>
      <c r="T25" s="39" t="n">
        <f aca="false">MY_PS(T$2,$A25)</f>
        <v>0.000995018694779101</v>
      </c>
      <c r="U25" s="39" t="n">
        <f aca="false">MY_PS(U$2,$A25)</f>
        <v>0.000995011357142007</v>
      </c>
      <c r="V25" s="39" t="n">
        <f aca="false">MY_PS(V$2,$A25)</f>
        <v>0.000995004019990325</v>
      </c>
      <c r="W25" s="39" t="n">
        <f aca="false">MY_PS(W$2,$A25)</f>
        <v>0.000994996683324005</v>
      </c>
      <c r="X25" s="39" t="n">
        <f aca="false">MY_PS(X$2,$A25)</f>
        <v>0.000994989347143053</v>
      </c>
      <c r="Y25" s="39" t="n">
        <f aca="false">MY_PS(Y$2,$A25)</f>
        <v>0.000994916012028647</v>
      </c>
      <c r="Z25" s="39" t="n">
        <f aca="false">MY_PS(Z$2,$A25)</f>
        <v>0.000994842725447421</v>
      </c>
      <c r="AA25" s="39" t="n">
        <f aca="false">MY_PS(AA$2,$A25)</f>
        <v>0.000994769487394951</v>
      </c>
      <c r="AB25" s="39" t="n">
        <f aca="false">MY_PS(AB$2,$A25)</f>
        <v>0.000994696297866713</v>
      </c>
      <c r="AC25" s="39" t="n">
        <f aca="false">MY_PS(AC$2,$A25)</f>
        <v>0.000994623156858131</v>
      </c>
      <c r="AD25" s="39" t="n">
        <f aca="false">MY_PS(AD$2,$A25)</f>
        <v>0.000994550064364563</v>
      </c>
      <c r="AE25" s="39" t="n">
        <f aca="false">MY_PS(AE$2,$A25)</f>
        <v>0.000994477020381244</v>
      </c>
      <c r="AF25" s="39" t="n">
        <f aca="false">MY_PS(AF$2,$A25)</f>
        <v>0.000994404024903418</v>
      </c>
      <c r="AG25" s="39" t="n">
        <f aca="false">MY_PS(AG$2,$A25)</f>
        <v>0.000994331077926194</v>
      </c>
      <c r="AH25" s="39" t="n">
        <f aca="false">MY_PS(AH$2,$A25)</f>
        <v>0.000993604274565487</v>
      </c>
      <c r="AI25" s="39" t="n">
        <f aca="false">MY_PS(AI$2,$A25)</f>
        <v>0.000992882315384168</v>
      </c>
      <c r="AJ25" s="39" t="n">
        <f aca="false">MY_PS(AJ$2,$A25)</f>
        <v>0.000992165194354342</v>
      </c>
      <c r="AK25" s="39" t="n">
        <f aca="false">MY_PS(AK$2,$A25)</f>
        <v>0.000991452904761712</v>
      </c>
      <c r="AL25" s="39" t="n">
        <f aca="false">MY_PS(AL$2,$A25)</f>
        <v>0.00099074543921834</v>
      </c>
      <c r="AM25" s="39" t="n">
        <f aca="false">MY_PS(AM$2,$A25)</f>
        <v>0.000990042789675008</v>
      </c>
      <c r="AN25" s="39" t="n">
        <f aca="false">MY_PS(AN$2,$A25)</f>
        <v>0.000989344947433593</v>
      </c>
      <c r="AO25" s="39" t="n">
        <f aca="false">MY_PS(AO$2,$A25)</f>
        <v>0.000988651903159083</v>
      </c>
      <c r="AP25" s="39" t="n">
        <f aca="false">MY_PS(AP$2,$A25)</f>
        <v>0.000987963646891615</v>
      </c>
      <c r="AQ25" s="39" t="n">
        <f aca="false">MY_PS(AQ$2,$A25)</f>
        <v>0.00098134180960111</v>
      </c>
      <c r="AR25" s="39" t="n">
        <f aca="false">MY_PS(AR$2,$A25)</f>
        <v>0.000980033369058093</v>
      </c>
      <c r="AS25" s="39" t="n">
        <f aca="false">MY_PS(AS$2,$A25)</f>
        <v>0.000979446432764706</v>
      </c>
    </row>
    <row r="26" customFormat="false" ht="13.8" hidden="false" customHeight="false" outlineLevel="0" collapsed="false">
      <c r="A26" s="0" t="n">
        <v>0.4</v>
      </c>
      <c r="B26" s="39" t="n">
        <f aca="false">MY_PS(B$2,$A26)</f>
        <v>2015</v>
      </c>
      <c r="C26" s="39" t="n">
        <f aca="false">MY_PS(C$2,$A26)</f>
        <v>2015</v>
      </c>
      <c r="D26" s="39" t="n">
        <f aca="false">MY_PS(D$2,$A26)</f>
        <v>2015</v>
      </c>
      <c r="E26" s="39" t="n">
        <f aca="false">MY_PS(E$2,$A26)</f>
        <v>2015</v>
      </c>
      <c r="F26" s="39" t="n">
        <f aca="false">MY_PS(F$2,$A26)</f>
        <v>2015</v>
      </c>
      <c r="G26" s="39" t="n">
        <f aca="false">MY_PS(G$2,$A26)</f>
        <v>2015</v>
      </c>
      <c r="H26" s="39" t="n">
        <f aca="false">MY_PS(H$2,$A26)</f>
        <v>2015</v>
      </c>
      <c r="I26" s="39" t="n">
        <f aca="false">MY_PS(I$2,$A26)</f>
        <v>0.000844173131295887</v>
      </c>
      <c r="J26" s="39" t="n">
        <f aca="false">MY_PS(J$2,$A26)</f>
        <v>0.00084417262397789</v>
      </c>
      <c r="K26" s="39" t="n">
        <f aca="false">MY_PS(K$2,$A26)</f>
        <v>0.000844172116663567</v>
      </c>
      <c r="L26" s="39" t="n">
        <f aca="false">MY_PS(L$2,$A26)</f>
        <v>0.000844171609352886</v>
      </c>
      <c r="M26" s="39" t="n">
        <f aca="false">MY_PS(M$2,$A26)</f>
        <v>0.000844171102045874</v>
      </c>
      <c r="N26" s="39" t="n">
        <f aca="false">MY_PS(N$2,$A26)</f>
        <v>0.000844170594742518</v>
      </c>
      <c r="O26" s="39" t="n">
        <f aca="false">MY_PS(O$2,$A26)</f>
        <v>0.00084417008744283</v>
      </c>
      <c r="P26" s="39" t="n">
        <f aca="false">MY_PS(P$2,$A26)</f>
        <v>0.00084416501464713</v>
      </c>
      <c r="Q26" s="39" t="n">
        <f aca="false">MY_PS(Q$2,$A26)</f>
        <v>0.000844159942217367</v>
      </c>
      <c r="R26" s="39" t="n">
        <f aca="false">MY_PS(R$2,$A26)</f>
        <v>0.000844154870153529</v>
      </c>
      <c r="S26" s="39" t="n">
        <f aca="false">MY_PS(S$2,$A26)</f>
        <v>0.000844149798455606</v>
      </c>
      <c r="T26" s="39" t="n">
        <f aca="false">MY_PS(T$2,$A26)</f>
        <v>0.000844144727123598</v>
      </c>
      <c r="U26" s="39" t="n">
        <f aca="false">MY_PS(U$2,$A26)</f>
        <v>0.000844139656157494</v>
      </c>
      <c r="V26" s="39" t="n">
        <f aca="false">MY_PS(V$2,$A26)</f>
        <v>0.000844134585557277</v>
      </c>
      <c r="W26" s="39" t="n">
        <f aca="false">MY_PS(W$2,$A26)</f>
        <v>0.000844129515322961</v>
      </c>
      <c r="X26" s="39" t="n">
        <f aca="false">MY_PS(X$2,$A26)</f>
        <v>0.000844124445454549</v>
      </c>
      <c r="Y26" s="39" t="n">
        <f aca="false">MY_PS(Y$2,$A26)</f>
        <v>0.000844073766892915</v>
      </c>
      <c r="Z26" s="39" t="n">
        <f aca="false">MY_PS(Z$2,$A26)</f>
        <v>0.000844023124913945</v>
      </c>
      <c r="AA26" s="39" t="n">
        <f aca="false">MY_PS(AA$2,$A26)</f>
        <v>0.000843972519511936</v>
      </c>
      <c r="AB26" s="39" t="n">
        <f aca="false">MY_PS(AB$2,$A26)</f>
        <v>0.000843921950681156</v>
      </c>
      <c r="AC26" s="39" t="n">
        <f aca="false">MY_PS(AC$2,$A26)</f>
        <v>0.000843871418415856</v>
      </c>
      <c r="AD26" s="39" t="n">
        <f aca="false">MY_PS(AD$2,$A26)</f>
        <v>0.000843820922710202</v>
      </c>
      <c r="AE26" s="39" t="n">
        <f aca="false">MY_PS(AE$2,$A26)</f>
        <v>0.000843770463558295</v>
      </c>
      <c r="AF26" s="39" t="n">
        <f aca="false">MY_PS(AF$2,$A26)</f>
        <v>0.000843720040954244</v>
      </c>
      <c r="AG26" s="39" t="n">
        <f aca="false">MY_PS(AG$2,$A26)</f>
        <v>0.000843669654892115</v>
      </c>
      <c r="AH26" s="39" t="n">
        <f aca="false">MY_PS(AH$2,$A26)</f>
        <v>0.000843167802729807</v>
      </c>
      <c r="AI26" s="39" t="n">
        <f aca="false">MY_PS(AI$2,$A26)</f>
        <v>0.000842669597855601</v>
      </c>
      <c r="AJ26" s="39" t="n">
        <f aca="false">MY_PS(AJ$2,$A26)</f>
        <v>0.000842175033551942</v>
      </c>
      <c r="AK26" s="39" t="n">
        <f aca="false">MY_PS(AK$2,$A26)</f>
        <v>0.000841684102653654</v>
      </c>
      <c r="AL26" s="39" t="n">
        <f aca="false">MY_PS(AL$2,$A26)</f>
        <v>0.00084119679755564</v>
      </c>
      <c r="AM26" s="39" t="n">
        <f aca="false">MY_PS(AM$2,$A26)</f>
        <v>0.00084071311022066</v>
      </c>
      <c r="AN26" s="39" t="n">
        <f aca="false">MY_PS(AN$2,$A26)</f>
        <v>0.000840233032186811</v>
      </c>
      <c r="AO26" s="39" t="n">
        <f aca="false">MY_PS(AO$2,$A26)</f>
        <v>0.000839756554574979</v>
      </c>
      <c r="AP26" s="39" t="n">
        <f aca="false">MY_PS(AP$2,$A26)</f>
        <v>0.000839283668096218</v>
      </c>
      <c r="AQ26" s="39" t="n">
        <f aca="false">MY_PS(AQ$2,$A26)</f>
        <v>0.000834749993132893</v>
      </c>
      <c r="AR26" s="39" t="n">
        <f aca="false">MY_PS(AR$2,$A26)</f>
        <v>0.00083385781028089</v>
      </c>
      <c r="AS26" s="39" t="n">
        <f aca="false">MY_PS(AS$2,$A26)</f>
        <v>0.00083345801284898</v>
      </c>
    </row>
    <row r="27" customFormat="false" ht="13.8" hidden="false" customHeight="false" outlineLevel="0" collapsed="false">
      <c r="A27" s="0" t="n">
        <v>0.5</v>
      </c>
      <c r="B27" s="39" t="n">
        <f aca="false">MY_PS(B$2,$A27)</f>
        <v>2015</v>
      </c>
      <c r="C27" s="39" t="n">
        <f aca="false">MY_PS(C$2,$A27)</f>
        <v>2015</v>
      </c>
      <c r="D27" s="39" t="n">
        <f aca="false">MY_PS(D$2,$A27)</f>
        <v>2015</v>
      </c>
      <c r="E27" s="39" t="n">
        <f aca="false">MY_PS(E$2,$A27)</f>
        <v>2015</v>
      </c>
      <c r="F27" s="39" t="n">
        <f aca="false">MY_PS(F$2,$A27)</f>
        <v>2015</v>
      </c>
      <c r="G27" s="39" t="n">
        <f aca="false">MY_PS(G$2,$A27)</f>
        <v>2015</v>
      </c>
      <c r="H27" s="39" t="n">
        <f aca="false">MY_PS(H$2,$A27)</f>
        <v>2015</v>
      </c>
      <c r="I27" s="39" t="n">
        <f aca="false">MY_PS(I$2,$A27)</f>
        <v>2015</v>
      </c>
      <c r="J27" s="39" t="n">
        <f aca="false">MY_PS(J$2,$A27)</f>
        <v>2015</v>
      </c>
      <c r="K27" s="39" t="n">
        <f aca="false">MY_PS(K$2,$A27)</f>
        <v>0.000724583109156491</v>
      </c>
      <c r="L27" s="39" t="n">
        <f aca="false">MY_PS(L$2,$A27)</f>
        <v>0.00072458276131026</v>
      </c>
      <c r="M27" s="39" t="n">
        <f aca="false">MY_PS(M$2,$A27)</f>
        <v>0.000724582413466862</v>
      </c>
      <c r="N27" s="39" t="n">
        <f aca="false">MY_PS(N$2,$A27)</f>
        <v>0.000724582065626295</v>
      </c>
      <c r="O27" s="39" t="n">
        <f aca="false">MY_PS(O$2,$A27)</f>
        <v>0.000724581717788562</v>
      </c>
      <c r="P27" s="39" t="n">
        <f aca="false">MY_PS(P$2,$A27)</f>
        <v>0.000724578239566782</v>
      </c>
      <c r="Q27" s="39" t="n">
        <f aca="false">MY_PS(Q$2,$A27)</f>
        <v>0.000724574761627907</v>
      </c>
      <c r="R27" s="39" t="n">
        <f aca="false">MY_PS(R$2,$A27)</f>
        <v>0.000724571283971949</v>
      </c>
      <c r="S27" s="39" t="n">
        <f aca="false">MY_PS(S$2,$A27)</f>
        <v>0.000724567806598897</v>
      </c>
      <c r="T27" s="39" t="n">
        <f aca="false">MY_PS(T$2,$A27)</f>
        <v>0.00072456432950874</v>
      </c>
      <c r="U27" s="39" t="n">
        <f aca="false">MY_PS(U$2,$A27)</f>
        <v>0.000724560852701472</v>
      </c>
      <c r="V27" s="39" t="n">
        <f aca="false">MY_PS(V$2,$A27)</f>
        <v>0.00072455737617709</v>
      </c>
      <c r="W27" s="39" t="n">
        <f aca="false">MY_PS(W$2,$A27)</f>
        <v>0.000724553899935583</v>
      </c>
      <c r="X27" s="39" t="n">
        <f aca="false">MY_PS(X$2,$A27)</f>
        <v>0.000724550423976956</v>
      </c>
      <c r="Y27" s="39" t="n">
        <f aca="false">MY_PS(Y$2,$A27)</f>
        <v>0.000724515679947336</v>
      </c>
      <c r="Z27" s="39" t="n">
        <f aca="false">MY_PS(Z$2,$A27)</f>
        <v>0.000724480964198405</v>
      </c>
      <c r="AA27" s="39" t="n">
        <f aca="false">MY_PS(AA$2,$A27)</f>
        <v>0.000724446276724099</v>
      </c>
      <c r="AB27" s="39" t="n">
        <f aca="false">MY_PS(AB$2,$A27)</f>
        <v>0.000724411617518352</v>
      </c>
      <c r="AC27" s="39" t="n">
        <f aca="false">MY_PS(AC$2,$A27)</f>
        <v>0.000724376986575059</v>
      </c>
      <c r="AD27" s="39" t="n">
        <f aca="false">MY_PS(AD$2,$A27)</f>
        <v>0.000724342383888073</v>
      </c>
      <c r="AE27" s="39" t="n">
        <f aca="false">MY_PS(AE$2,$A27)</f>
        <v>0.00072430780945121</v>
      </c>
      <c r="AF27" s="39" t="n">
        <f aca="false">MY_PS(AF$2,$A27)</f>
        <v>0.00072427326325828</v>
      </c>
      <c r="AG27" s="39" t="n">
        <f aca="false">MY_PS(AG$2,$A27)</f>
        <v>0.000724238745303034</v>
      </c>
      <c r="AH27" s="39" t="n">
        <f aca="false">MY_PS(AH$2,$A27)</f>
        <v>0.000723895117428569</v>
      </c>
      <c r="AI27" s="39" t="n">
        <f aca="false">MY_PS(AI$2,$A27)</f>
        <v>0.000723554306227447</v>
      </c>
      <c r="AJ27" s="39" t="n">
        <f aca="false">MY_PS(AJ$2,$A27)</f>
        <v>0.00072321630494524</v>
      </c>
      <c r="AK27" s="39" t="n">
        <f aca="false">MY_PS(AK$2,$A27)</f>
        <v>0.000722881106520677</v>
      </c>
      <c r="AL27" s="39" t="n">
        <f aca="false">MY_PS(AL$2,$A27)</f>
        <v>0.000722548703590722</v>
      </c>
      <c r="AM27" s="39" t="n">
        <f aca="false">MY_PS(AM$2,$A27)</f>
        <v>0.00072221908849556</v>
      </c>
      <c r="AN27" s="39" t="n">
        <f aca="false">MY_PS(AN$2,$A27)</f>
        <v>0.00072189225328355</v>
      </c>
      <c r="AO27" s="39" t="n">
        <f aca="false">MY_PS(AO$2,$A27)</f>
        <v>0.000721568189716028</v>
      </c>
      <c r="AP27" s="39" t="n">
        <f aca="false">MY_PS(AP$2,$A27)</f>
        <v>0.000721246889272095</v>
      </c>
      <c r="AQ27" s="39" t="n">
        <f aca="false">MY_PS(AQ$2,$A27)</f>
        <v>0.000718183789415335</v>
      </c>
      <c r="AR27" s="39" t="n">
        <f aca="false">MY_PS(AR$2,$A27)</f>
        <v>0.000717584958137183</v>
      </c>
      <c r="AS27" s="39" t="n">
        <f aca="false">MY_PS(AS$2,$A27)</f>
        <v>0.000717317068544874</v>
      </c>
    </row>
    <row r="28" customFormat="false" ht="13.8" hidden="false" customHeight="false" outlineLevel="0" collapsed="false">
      <c r="A28" s="0" t="n">
        <v>0.6</v>
      </c>
      <c r="B28" s="39" t="n">
        <f aca="false">MY_PS(B$2,$A28)</f>
        <v>2015</v>
      </c>
      <c r="C28" s="39" t="n">
        <f aca="false">MY_PS(C$2,$A28)</f>
        <v>2015</v>
      </c>
      <c r="D28" s="39" t="n">
        <f aca="false">MY_PS(D$2,$A28)</f>
        <v>2015</v>
      </c>
      <c r="E28" s="39" t="n">
        <f aca="false">MY_PS(E$2,$A28)</f>
        <v>2015</v>
      </c>
      <c r="F28" s="39" t="n">
        <f aca="false">MY_PS(F$2,$A28)</f>
        <v>2015</v>
      </c>
      <c r="G28" s="39" t="n">
        <f aca="false">MY_PS(G$2,$A28)</f>
        <v>2015</v>
      </c>
      <c r="H28" s="39" t="n">
        <f aca="false">MY_PS(H$2,$A28)</f>
        <v>2015</v>
      </c>
      <c r="I28" s="39" t="n">
        <f aca="false">MY_PS(I$2,$A28)</f>
        <v>2015</v>
      </c>
      <c r="J28" s="39" t="n">
        <f aca="false">MY_PS(J$2,$A28)</f>
        <v>2015</v>
      </c>
      <c r="K28" s="39" t="n">
        <f aca="false">MY_PS(K$2,$A28)</f>
        <v>2015</v>
      </c>
      <c r="L28" s="39" t="n">
        <f aca="false">MY_PS(L$2,$A28)</f>
        <v>2015</v>
      </c>
      <c r="M28" s="39" t="n">
        <f aca="false">MY_PS(M$2,$A28)</f>
        <v>2015</v>
      </c>
      <c r="N28" s="39" t="n">
        <f aca="false">MY_PS(N$2,$A28)</f>
        <v>0.000628218701021744</v>
      </c>
      <c r="O28" s="39" t="n">
        <f aca="false">MY_PS(O$2,$A28)</f>
        <v>0.000628218468053971</v>
      </c>
      <c r="P28" s="39" t="n">
        <f aca="false">MY_PS(P$2,$A28)</f>
        <v>0.000628216138498694</v>
      </c>
      <c r="Q28" s="39" t="n">
        <f aca="false">MY_PS(Q$2,$A28)</f>
        <v>0.00062821380916595</v>
      </c>
      <c r="R28" s="39" t="n">
        <f aca="false">MY_PS(R$2,$A28)</f>
        <v>0.000628211480055739</v>
      </c>
      <c r="S28" s="39" t="n">
        <f aca="false">MY_PS(S$2,$A28)</f>
        <v>0.00062820915116804</v>
      </c>
      <c r="T28" s="39" t="n">
        <f aca="false">MY_PS(T$2,$A28)</f>
        <v>0.000628206822502856</v>
      </c>
      <c r="U28" s="39" t="n">
        <f aca="false">MY_PS(U$2,$A28)</f>
        <v>0.000628204494060182</v>
      </c>
      <c r="V28" s="39" t="n">
        <f aca="false">MY_PS(V$2,$A28)</f>
        <v>0.000628202165840002</v>
      </c>
      <c r="W28" s="39" t="n">
        <f aca="false">MY_PS(W$2,$A28)</f>
        <v>0.00062819983784233</v>
      </c>
      <c r="X28" s="39" t="n">
        <f aca="false">MY_PS(X$2,$A28)</f>
        <v>0.000628197510067131</v>
      </c>
      <c r="Y28" s="39" t="n">
        <f aca="false">MY_PS(Y$2,$A28)</f>
        <v>0.000628174244550891</v>
      </c>
      <c r="Z28" s="39" t="n">
        <f aca="false">MY_PS(Z$2,$A28)</f>
        <v>0.000628151001277166</v>
      </c>
      <c r="AA28" s="39" t="n">
        <f aca="false">MY_PS(AA$2,$A28)</f>
        <v>0.000628127780240022</v>
      </c>
      <c r="AB28" s="39" t="n">
        <f aca="false">MY_PS(AB$2,$A28)</f>
        <v>0.000628104581433527</v>
      </c>
      <c r="AC28" s="39" t="n">
        <f aca="false">MY_PS(AC$2,$A28)</f>
        <v>0.000628081404851724</v>
      </c>
      <c r="AD28" s="39" t="n">
        <f aca="false">MY_PS(AD$2,$A28)</f>
        <v>0.000628058250488606</v>
      </c>
      <c r="AE28" s="39" t="n">
        <f aca="false">MY_PS(AE$2,$A28)</f>
        <v>0.000628035118338168</v>
      </c>
      <c r="AF28" s="39" t="n">
        <f aca="false">MY_PS(AF$2,$A28)</f>
        <v>0.000628012008394391</v>
      </c>
      <c r="AG28" s="39" t="n">
        <f aca="false">MY_PS(AG$2,$A28)</f>
        <v>0.000627988920651195</v>
      </c>
      <c r="AH28" s="39" t="n">
        <f aca="false">MY_PS(AH$2,$A28)</f>
        <v>0.000627759262903004</v>
      </c>
      <c r="AI28" s="39" t="n">
        <f aca="false">MY_PS(AI$2,$A28)</f>
        <v>0.000627531818382475</v>
      </c>
      <c r="AJ28" s="39" t="n">
        <f aca="false">MY_PS(AJ$2,$A28)</f>
        <v>0.000627306580659928</v>
      </c>
      <c r="AK28" s="39" t="n">
        <f aca="false">MY_PS(AK$2,$A28)</f>
        <v>0.000627083543084304</v>
      </c>
      <c r="AL28" s="39" t="n">
        <f aca="false">MY_PS(AL$2,$A28)</f>
        <v>0.000626862698786741</v>
      </c>
      <c r="AM28" s="39" t="n">
        <f aca="false">MY_PS(AM$2,$A28)</f>
        <v>0.000626644040683997</v>
      </c>
      <c r="AN28" s="39" t="n">
        <f aca="false">MY_PS(AN$2,$A28)</f>
        <v>0.000626427561481907</v>
      </c>
      <c r="AO28" s="39" t="n">
        <f aca="false">MY_PS(AO$2,$A28)</f>
        <v>0.000626213253678735</v>
      </c>
      <c r="AP28" s="39" t="n">
        <f aca="false">MY_PS(AP$2,$A28)</f>
        <v>0.000626001109568475</v>
      </c>
      <c r="AQ28" s="39" t="n">
        <f aca="false">MY_PS(AQ$2,$A28)</f>
        <v>0.000623996836578151</v>
      </c>
      <c r="AR28" s="39" t="n">
        <f aca="false">MY_PS(AR$2,$A28)</f>
        <v>0.000623609201083352</v>
      </c>
      <c r="AS28" s="39" t="n">
        <f aca="false">MY_PS(AS$2,$A28)</f>
        <v>0.000623436275870648</v>
      </c>
    </row>
    <row r="29" customFormat="false" ht="13.8" hidden="false" customHeight="false" outlineLevel="0" collapsed="false">
      <c r="A29" s="0" t="n">
        <v>0.7</v>
      </c>
      <c r="B29" s="39" t="n">
        <f aca="false">MY_PS(B$2,$A29)</f>
        <v>2015</v>
      </c>
      <c r="C29" s="39" t="n">
        <f aca="false">MY_PS(C$2,$A29)</f>
        <v>2015</v>
      </c>
      <c r="D29" s="39" t="n">
        <f aca="false">MY_PS(D$2,$A29)</f>
        <v>2015</v>
      </c>
      <c r="E29" s="39" t="n">
        <f aca="false">MY_PS(E$2,$A29)</f>
        <v>2015</v>
      </c>
      <c r="F29" s="39" t="n">
        <f aca="false">MY_PS(F$2,$A29)</f>
        <v>2015</v>
      </c>
      <c r="G29" s="39" t="n">
        <f aca="false">MY_PS(G$2,$A29)</f>
        <v>2015</v>
      </c>
      <c r="H29" s="39" t="n">
        <f aca="false">MY_PS(H$2,$A29)</f>
        <v>2015</v>
      </c>
      <c r="I29" s="39" t="n">
        <f aca="false">MY_PS(I$2,$A29)</f>
        <v>2015</v>
      </c>
      <c r="J29" s="39" t="n">
        <f aca="false">MY_PS(J$2,$A29)</f>
        <v>2015</v>
      </c>
      <c r="K29" s="39" t="n">
        <f aca="false">MY_PS(K$2,$A29)</f>
        <v>2015</v>
      </c>
      <c r="L29" s="39" t="n">
        <f aca="false">MY_PS(L$2,$A29)</f>
        <v>2015</v>
      </c>
      <c r="M29" s="39" t="n">
        <f aca="false">MY_PS(M$2,$A29)</f>
        <v>2015</v>
      </c>
      <c r="N29" s="39" t="n">
        <f aca="false">MY_PS(N$2,$A29)</f>
        <v>2015</v>
      </c>
      <c r="O29" s="39" t="n">
        <f aca="false">MY_PS(O$2,$A29)</f>
        <v>2015</v>
      </c>
      <c r="P29" s="39" t="n">
        <f aca="false">MY_PS(P$2,$A29)</f>
        <v>0.000549480590205503</v>
      </c>
      <c r="Q29" s="39" t="n">
        <f aca="false">MY_PS(Q$2,$A29)</f>
        <v>0.00054947910420167</v>
      </c>
      <c r="R29" s="39" t="n">
        <f aca="false">MY_PS(R$2,$A29)</f>
        <v>0.000549477618374779</v>
      </c>
      <c r="S29" s="39" t="n">
        <f aca="false">MY_PS(S$2,$A29)</f>
        <v>0.000549476132724825</v>
      </c>
      <c r="T29" s="39" t="n">
        <f aca="false">MY_PS(T$2,$A29)</f>
        <v>0.000549474647251812</v>
      </c>
      <c r="U29" s="39" t="n">
        <f aca="false">MY_PS(U$2,$A29)</f>
        <v>0.000549473161955724</v>
      </c>
      <c r="V29" s="39" t="n">
        <f aca="false">MY_PS(V$2,$A29)</f>
        <v>0.000549471676836561</v>
      </c>
      <c r="W29" s="39" t="n">
        <f aca="false">MY_PS(W$2,$A29)</f>
        <v>0.000549470191894315</v>
      </c>
      <c r="X29" s="39" t="n">
        <f aca="false">MY_PS(X$2,$A29)</f>
        <v>0.000549468707128981</v>
      </c>
      <c r="Y29" s="39" t="n">
        <f aca="false">MY_PS(Y$2,$A29)</f>
        <v>0.000549453869204618</v>
      </c>
      <c r="Z29" s="39" t="n">
        <f aca="false">MY_PS(Z$2,$A29)</f>
        <v>0.000549439048965459</v>
      </c>
      <c r="AA29" s="39" t="n">
        <f aca="false">MY_PS(AA$2,$A29)</f>
        <v>0.000549424246405987</v>
      </c>
      <c r="AB29" s="39" t="n">
        <f aca="false">MY_PS(AB$2,$A29)</f>
        <v>0.000549409461520684</v>
      </c>
      <c r="AC29" s="39" t="n">
        <f aca="false">MY_PS(AC$2,$A29)</f>
        <v>0.000549394694304</v>
      </c>
      <c r="AD29" s="39" t="n">
        <f aca="false">MY_PS(AD$2,$A29)</f>
        <v>0.000549379944750365</v>
      </c>
      <c r="AE29" s="39" t="n">
        <f aca="false">MY_PS(AE$2,$A29)</f>
        <v>0.000549365212854207</v>
      </c>
      <c r="AF29" s="39" t="n">
        <f aca="false">MY_PS(AF$2,$A29)</f>
        <v>0.000549350498609932</v>
      </c>
      <c r="AG29" s="39" t="n">
        <f aca="false">MY_PS(AG$2,$A29)</f>
        <v>0.000549335802011916</v>
      </c>
      <c r="AH29" s="39" t="n">
        <f aca="false">MY_PS(AH$2,$A29)</f>
        <v>0.000549189805328387</v>
      </c>
      <c r="AI29" s="39" t="n">
        <f aca="false">MY_PS(AI$2,$A29)</f>
        <v>0.00054904556696567</v>
      </c>
      <c r="AJ29" s="39" t="n">
        <f aca="false">MY_PS(AJ$2,$A29)</f>
        <v>0.000548903081024592</v>
      </c>
      <c r="AK29" s="39" t="n">
        <f aca="false">MY_PS(AK$2,$A29)</f>
        <v>0.000548762341437249</v>
      </c>
      <c r="AL29" s="39" t="n">
        <f aca="false">MY_PS(AL$2,$A29)</f>
        <v>0.0005486233419697</v>
      </c>
      <c r="AM29" s="39" t="n">
        <f aca="false">MY_PS(AM$2,$A29)</f>
        <v>0.000548486076224543</v>
      </c>
      <c r="AN29" s="39" t="n">
        <f aca="false">MY_PS(AN$2,$A29)</f>
        <v>0.00054835053764348</v>
      </c>
      <c r="AO29" s="39" t="n">
        <f aca="false">MY_PS(AO$2,$A29)</f>
        <v>0.000548216719509867</v>
      </c>
      <c r="AP29" s="39" t="n">
        <f aca="false">MY_PS(AP$2,$A29)</f>
        <v>0.000548084614951181</v>
      </c>
      <c r="AQ29" s="39" t="n">
        <f aca="false">MY_PS(AQ$2,$A29)</f>
        <v>0.000546856197341012</v>
      </c>
      <c r="AR29" s="39" t="n">
        <f aca="false">MY_PS(AR$2,$A29)</f>
        <v>0.000546623200462004</v>
      </c>
      <c r="AS29" s="39" t="n">
        <f aca="false">MY_PS(AS$2,$A29)</f>
        <v>0.000546519796193575</v>
      </c>
    </row>
    <row r="30" customFormat="false" ht="13.8" hidden="false" customHeight="false" outlineLevel="0" collapsed="false">
      <c r="A30" s="0" t="n">
        <v>0.8</v>
      </c>
      <c r="B30" s="39" t="n">
        <f aca="false">MY_PS(B$2,$A30)</f>
        <v>2015</v>
      </c>
      <c r="C30" s="39" t="n">
        <f aca="false">MY_PS(C$2,$A30)</f>
        <v>2015</v>
      </c>
      <c r="D30" s="39" t="n">
        <f aca="false">MY_PS(D$2,$A30)</f>
        <v>2015</v>
      </c>
      <c r="E30" s="39" t="n">
        <f aca="false">MY_PS(E$2,$A30)</f>
        <v>2015</v>
      </c>
      <c r="F30" s="39" t="n">
        <f aca="false">MY_PS(F$2,$A30)</f>
        <v>2015</v>
      </c>
      <c r="G30" s="39" t="n">
        <f aca="false">MY_PS(G$2,$A30)</f>
        <v>2015</v>
      </c>
      <c r="H30" s="39" t="n">
        <f aca="false">MY_PS(H$2,$A30)</f>
        <v>2015</v>
      </c>
      <c r="I30" s="39" t="n">
        <f aca="false">MY_PS(I$2,$A30)</f>
        <v>2015</v>
      </c>
      <c r="J30" s="39" t="n">
        <f aca="false">MY_PS(J$2,$A30)</f>
        <v>2015</v>
      </c>
      <c r="K30" s="39" t="n">
        <f aca="false">MY_PS(K$2,$A30)</f>
        <v>2015</v>
      </c>
      <c r="L30" s="39" t="n">
        <f aca="false">MY_PS(L$2,$A30)</f>
        <v>2015</v>
      </c>
      <c r="M30" s="39" t="n">
        <f aca="false">MY_PS(M$2,$A30)</f>
        <v>2015</v>
      </c>
      <c r="N30" s="39" t="n">
        <f aca="false">MY_PS(N$2,$A30)</f>
        <v>2015</v>
      </c>
      <c r="O30" s="39" t="n">
        <f aca="false">MY_PS(O$2,$A30)</f>
        <v>2015</v>
      </c>
      <c r="P30" s="39" t="n">
        <f aca="false">MY_PS(P$2,$A30)</f>
        <v>0.000484384324164999</v>
      </c>
      <c r="Q30" s="39" t="n">
        <f aca="false">MY_PS(Q$2,$A30)</f>
        <v>0.000484383466954241</v>
      </c>
      <c r="R30" s="39" t="n">
        <f aca="false">MY_PS(R$2,$A30)</f>
        <v>0.000484382609885012</v>
      </c>
      <c r="S30" s="39" t="n">
        <f aca="false">MY_PS(S$2,$A30)</f>
        <v>0.000484381752957304</v>
      </c>
      <c r="T30" s="39" t="n">
        <f aca="false">MY_PS(T$2,$A30)</f>
        <v>0.000484380896171117</v>
      </c>
      <c r="U30" s="39" t="n">
        <f aca="false">MY_PS(U$2,$A30)</f>
        <v>0.000484380039526436</v>
      </c>
      <c r="V30" s="39" t="n">
        <f aca="false">MY_PS(V$2,$A30)</f>
        <v>0.000484379183023259</v>
      </c>
      <c r="W30" s="39" t="n">
        <f aca="false">MY_PS(W$2,$A30)</f>
        <v>0.000484378326661588</v>
      </c>
      <c r="X30" s="39" t="n">
        <f aca="false">MY_PS(X$2,$A30)</f>
        <v>0.000484377470441418</v>
      </c>
      <c r="Y30" s="39" t="n">
        <f aca="false">MY_PS(Y$2,$A30)</f>
        <v>0.000484368916020938</v>
      </c>
      <c r="Z30" s="39" t="n">
        <f aca="false">MY_PS(Z$2,$A30)</f>
        <v>0.000484360375744757</v>
      </c>
      <c r="AA30" s="39" t="n">
        <f aca="false">MY_PS(AA$2,$A30)</f>
        <v>0.000484351849607925</v>
      </c>
      <c r="AB30" s="39" t="n">
        <f aca="false">MY_PS(AB$2,$A30)</f>
        <v>0.000484343337605493</v>
      </c>
      <c r="AC30" s="39" t="n">
        <f aca="false">MY_PS(AC$2,$A30)</f>
        <v>0.000484334839732491</v>
      </c>
      <c r="AD30" s="39" t="n">
        <f aca="false">MY_PS(AD$2,$A30)</f>
        <v>0.000484326355983939</v>
      </c>
      <c r="AE30" s="39" t="n">
        <f aca="false">MY_PS(AE$2,$A30)</f>
        <v>0.000484317886354836</v>
      </c>
      <c r="AF30" s="39" t="n">
        <f aca="false">MY_PS(AF$2,$A30)</f>
        <v>0.000484309430840186</v>
      </c>
      <c r="AG30" s="39" t="n">
        <f aca="false">MY_PS(AG$2,$A30)</f>
        <v>0.000484300989434947</v>
      </c>
      <c r="AH30" s="39" t="n">
        <f aca="false">MY_PS(AH$2,$A30)</f>
        <v>0.000484217350285208</v>
      </c>
      <c r="AI30" s="39" t="n">
        <f aca="false">MY_PS(AI$2,$A30)</f>
        <v>0.000484135116446502</v>
      </c>
      <c r="AJ30" s="39" t="n">
        <f aca="false">MY_PS(AJ$2,$A30)</f>
        <v>0.000484054282664795</v>
      </c>
      <c r="AK30" s="39" t="n">
        <f aca="false">MY_PS(AK$2,$A30)</f>
        <v>0.000483974843549618</v>
      </c>
      <c r="AL30" s="39" t="n">
        <f aca="false">MY_PS(AL$2,$A30)</f>
        <v>0.000483896793576209</v>
      </c>
      <c r="AM30" s="39" t="n">
        <f aca="false">MY_PS(AM$2,$A30)</f>
        <v>0.000483820127087649</v>
      </c>
      <c r="AN30" s="39" t="n">
        <f aca="false">MY_PS(AN$2,$A30)</f>
        <v>0.000483744838296964</v>
      </c>
      <c r="AO30" s="39" t="n">
        <f aca="false">MY_PS(AO$2,$A30)</f>
        <v>0.000483670921289182</v>
      </c>
      <c r="AP30" s="39" t="n">
        <f aca="false">MY_PS(AP$2,$A30)</f>
        <v>0.000483598370023347</v>
      </c>
      <c r="AQ30" s="39" t="n">
        <f aca="false">MY_PS(AQ$2,$A30)</f>
        <v>0.000482946557979383</v>
      </c>
      <c r="AR30" s="39" t="n">
        <f aca="false">MY_PS(AR$2,$A30)</f>
        <v>0.000482828339961248</v>
      </c>
      <c r="AS30" s="39" t="n">
        <f aca="false">MY_PS(AS$2,$A30)</f>
        <v>0.000482776520733759</v>
      </c>
    </row>
    <row r="31" customFormat="false" ht="13.8" hidden="false" customHeight="false" outlineLevel="0" collapsed="false">
      <c r="A31" s="0" t="n">
        <v>0.9</v>
      </c>
      <c r="B31" s="39" t="n">
        <f aca="false">MY_PS(B$2,$A31)</f>
        <v>2015</v>
      </c>
      <c r="C31" s="39" t="n">
        <f aca="false">MY_PS(C$2,$A31)</f>
        <v>2015</v>
      </c>
      <c r="D31" s="39" t="n">
        <f aca="false">MY_PS(D$2,$A31)</f>
        <v>2015</v>
      </c>
      <c r="E31" s="39" t="n">
        <f aca="false">MY_PS(E$2,$A31)</f>
        <v>2015</v>
      </c>
      <c r="F31" s="39" t="n">
        <f aca="false">MY_PS(F$2,$A31)</f>
        <v>2015</v>
      </c>
      <c r="G31" s="39" t="n">
        <f aca="false">MY_PS(G$2,$A31)</f>
        <v>2015</v>
      </c>
      <c r="H31" s="39" t="n">
        <f aca="false">MY_PS(H$2,$A31)</f>
        <v>2015</v>
      </c>
      <c r="I31" s="39" t="n">
        <f aca="false">MY_PS(I$2,$A31)</f>
        <v>2015</v>
      </c>
      <c r="J31" s="39" t="n">
        <f aca="false">MY_PS(J$2,$A31)</f>
        <v>2015</v>
      </c>
      <c r="K31" s="39" t="n">
        <f aca="false">MY_PS(K$2,$A31)</f>
        <v>2015</v>
      </c>
      <c r="L31" s="39" t="n">
        <f aca="false">MY_PS(L$2,$A31)</f>
        <v>2015</v>
      </c>
      <c r="M31" s="39" t="n">
        <f aca="false">MY_PS(M$2,$A31)</f>
        <v>2015</v>
      </c>
      <c r="N31" s="39" t="n">
        <f aca="false">MY_PS(N$2,$A31)</f>
        <v>2015</v>
      </c>
      <c r="O31" s="39" t="n">
        <f aca="false">MY_PS(O$2,$A31)</f>
        <v>2015</v>
      </c>
      <c r="P31" s="39" t="n">
        <f aca="false">MY_PS(P$2,$A31)</f>
        <v>2015</v>
      </c>
      <c r="Q31" s="39" t="n">
        <f aca="false">MY_PS(Q$2,$A31)</f>
        <v>0.000430019448889836</v>
      </c>
      <c r="R31" s="39" t="n">
        <f aca="false">MY_PS(R$2,$A31)</f>
        <v>0.000430019066565081</v>
      </c>
      <c r="S31" s="39" t="n">
        <f aca="false">MY_PS(S$2,$A31)</f>
        <v>0.000430018684353706</v>
      </c>
      <c r="T31" s="39" t="n">
        <f aca="false">MY_PS(T$2,$A31)</f>
        <v>0.000430018302255698</v>
      </c>
      <c r="U31" s="39" t="n">
        <f aca="false">MY_PS(U$2,$A31)</f>
        <v>0.000430017920271057</v>
      </c>
      <c r="V31" s="39" t="n">
        <f aca="false">MY_PS(V$2,$A31)</f>
        <v>0.000430017538399783</v>
      </c>
      <c r="W31" s="39" t="n">
        <f aca="false">MY_PS(W$2,$A31)</f>
        <v>0.000430017156641865</v>
      </c>
      <c r="X31" s="39" t="n">
        <f aca="false">MY_PS(X$2,$A31)</f>
        <v>0.000430016774997304</v>
      </c>
      <c r="Y31" s="39" t="n">
        <f aca="false">MY_PS(Y$2,$A31)</f>
        <v>0.000430012964785261</v>
      </c>
      <c r="Z31" s="39" t="n">
        <f aca="false">MY_PS(Z$2,$A31)</f>
        <v>0.000430009165903997</v>
      </c>
      <c r="AA31" s="39" t="n">
        <f aca="false">MY_PS(AA$2,$A31)</f>
        <v>0.000430005378349235</v>
      </c>
      <c r="AB31" s="39" t="n">
        <f aca="false">MY_PS(AB$2,$A31)</f>
        <v>0.000430001602116683</v>
      </c>
      <c r="AC31" s="39" t="n">
        <f aca="false">MY_PS(AC$2,$A31)</f>
        <v>0.000429997837202042</v>
      </c>
      <c r="AD31" s="39" t="n">
        <f aca="false">MY_PS(AD$2,$A31)</f>
        <v>0.000429994083601001</v>
      </c>
      <c r="AE31" s="39" t="n">
        <f aca="false">MY_PS(AE$2,$A31)</f>
        <v>0.000429990341309215</v>
      </c>
      <c r="AF31" s="39" t="n">
        <f aca="false">MY_PS(AF$2,$A31)</f>
        <v>0.000429986610322361</v>
      </c>
      <c r="AG31" s="39" t="n">
        <f aca="false">MY_PS(AG$2,$A31)</f>
        <v>0.000429982890636081</v>
      </c>
      <c r="AH31" s="39" t="n">
        <f aca="false">MY_PS(AH$2,$A31)</f>
        <v>0.000429946314338899</v>
      </c>
      <c r="AI31" s="39" t="n">
        <f aca="false">MY_PS(AI$2,$A31)</f>
        <v>0.000429910863222734</v>
      </c>
      <c r="AJ31" s="39" t="n">
        <f aca="false">MY_PS(AJ$2,$A31)</f>
        <v>0.000429876532738106</v>
      </c>
      <c r="AK31" s="39" t="n">
        <f aca="false">MY_PS(AK$2,$A31)</f>
        <v>0.00042984331821812</v>
      </c>
      <c r="AL31" s="39" t="n">
        <f aca="false">MY_PS(AL$2,$A31)</f>
        <v>0.000429811214880358</v>
      </c>
      <c r="AM31" s="39" t="n">
        <f aca="false">MY_PS(AM$2,$A31)</f>
        <v>0.000429780217828801</v>
      </c>
      <c r="AN31" s="39" t="n">
        <f aca="false">MY_PS(AN$2,$A31)</f>
        <v>0.000429750322055667</v>
      </c>
      <c r="AO31" s="39" t="n">
        <f aca="false">MY_PS(AO$2,$A31)</f>
        <v>0.000429721522443246</v>
      </c>
      <c r="AP31" s="39" t="n">
        <f aca="false">MY_PS(AP$2,$A31)</f>
        <v>0.000429693813765691</v>
      </c>
      <c r="AQ31" s="39" t="n">
        <f aca="false">MY_PS(AQ$2,$A31)</f>
        <v>0.000429475504869071</v>
      </c>
      <c r="AR31" s="39" t="n">
        <f aca="false">MY_PS(AR$2,$A31)</f>
        <v>0.000429443431765756</v>
      </c>
      <c r="AS31" s="39" t="n">
        <f aca="false">MY_PS(AS$2,$A31)</f>
        <v>0.000429430312235254</v>
      </c>
    </row>
    <row r="32" customFormat="false" ht="13.8" hidden="false" customHeight="false" outlineLevel="0" collapsed="false">
      <c r="A32" s="0" t="n">
        <v>1</v>
      </c>
      <c r="B32" s="39" t="n">
        <f aca="false">MY_PS(B$2,$A32)</f>
        <v>2015</v>
      </c>
      <c r="C32" s="39" t="n">
        <f aca="false">MY_PS(C$2,$A32)</f>
        <v>2015</v>
      </c>
      <c r="D32" s="39" t="n">
        <f aca="false">MY_PS(D$2,$A32)</f>
        <v>2015</v>
      </c>
      <c r="E32" s="39" t="n">
        <f aca="false">MY_PS(E$2,$A32)</f>
        <v>2015</v>
      </c>
      <c r="F32" s="39" t="n">
        <f aca="false">MY_PS(F$2,$A32)</f>
        <v>2015</v>
      </c>
      <c r="G32" s="39" t="n">
        <f aca="false">MY_PS(G$2,$A32)</f>
        <v>2015</v>
      </c>
      <c r="H32" s="39" t="n">
        <f aca="false">MY_PS(H$2,$A32)</f>
        <v>2015</v>
      </c>
      <c r="I32" s="39" t="n">
        <f aca="false">MY_PS(I$2,$A32)</f>
        <v>2015</v>
      </c>
      <c r="J32" s="39" t="n">
        <f aca="false">MY_PS(J$2,$A32)</f>
        <v>2015</v>
      </c>
      <c r="K32" s="39" t="n">
        <f aca="false">MY_PS(K$2,$A32)</f>
        <v>2015</v>
      </c>
      <c r="L32" s="39" t="n">
        <f aca="false">MY_PS(L$2,$A32)</f>
        <v>2015</v>
      </c>
      <c r="M32" s="39" t="n">
        <f aca="false">MY_PS(M$2,$A32)</f>
        <v>2015</v>
      </c>
      <c r="N32" s="39" t="n">
        <f aca="false">MY_PS(N$2,$A32)</f>
        <v>2015</v>
      </c>
      <c r="O32" s="39" t="n">
        <f aca="false">MY_PS(O$2,$A32)</f>
        <v>2015</v>
      </c>
      <c r="P32" s="39" t="n">
        <f aca="false">MY_PS(P$2,$A32)</f>
        <v>2015</v>
      </c>
      <c r="Q32" s="39" t="n">
        <f aca="false">MY_PS(Q$2,$A32)</f>
        <v>2015</v>
      </c>
      <c r="R32" s="39" t="n">
        <f aca="false">MY_PS(R$2,$A32)</f>
        <v>0.000384221984432632</v>
      </c>
      <c r="S32" s="39" t="n">
        <f aca="false">MY_PS(S$2,$A32)</f>
        <v>0.000384221964404798</v>
      </c>
      <c r="T32" s="39" t="n">
        <f aca="false">MY_PS(T$2,$A32)</f>
        <v>0.000384221944467585</v>
      </c>
      <c r="U32" s="39" t="n">
        <f aca="false">MY_PS(U$2,$A32)</f>
        <v>0.000384221924620979</v>
      </c>
      <c r="V32" s="39" t="n">
        <f aca="false">MY_PS(V$2,$A32)</f>
        <v>0.000384221904864981</v>
      </c>
      <c r="W32" s="39" t="n">
        <f aca="false">MY_PS(W$2,$A32)</f>
        <v>0.000384221885199592</v>
      </c>
      <c r="X32" s="39" t="n">
        <f aca="false">MY_PS(X$2,$A32)</f>
        <v>0.0003842218656248</v>
      </c>
      <c r="Y32" s="39" t="n">
        <f aca="false">MY_PS(Y$2,$A32)</f>
        <v>0.000384221674859211</v>
      </c>
      <c r="Z32" s="39" t="n">
        <f aca="false">MY_PS(Z$2,$A32)</f>
        <v>0.000384221493149863</v>
      </c>
      <c r="AA32" s="39" t="n">
        <f aca="false">MY_PS(AA$2,$A32)</f>
        <v>0.000384221320493187</v>
      </c>
      <c r="AB32" s="39" t="n">
        <f aca="false">MY_PS(AB$2,$A32)</f>
        <v>0.000384221156885599</v>
      </c>
      <c r="AC32" s="39" t="n">
        <f aca="false">MY_PS(AC$2,$A32)</f>
        <v>0.000384221002323506</v>
      </c>
      <c r="AD32" s="39" t="n">
        <f aca="false">MY_PS(AD$2,$A32)</f>
        <v>0.000384220856803309</v>
      </c>
      <c r="AE32" s="39" t="n">
        <f aca="false">MY_PS(AE$2,$A32)</f>
        <v>0.000384220720321389</v>
      </c>
      <c r="AF32" s="39" t="n">
        <f aca="false">MY_PS(AF$2,$A32)</f>
        <v>0.000384220592874122</v>
      </c>
      <c r="AG32" s="39" t="n">
        <f aca="false">MY_PS(AG$2,$A32)</f>
        <v>0.000384220474457869</v>
      </c>
      <c r="AH32" s="39" t="n">
        <f aca="false">MY_PS(AH$2,$A32)</f>
        <v>0.000384219786192973</v>
      </c>
      <c r="AI32" s="39" t="n">
        <f aca="false">MY_PS(AI$2,$A32)</f>
        <v>0.000384219996946338</v>
      </c>
      <c r="AJ32" s="39" t="n">
        <f aca="false">MY_PS(AJ$2,$A32)</f>
        <v>0.000384221102899545</v>
      </c>
      <c r="AK32" s="39" t="n">
        <f aca="false">MY_PS(AK$2,$A32)</f>
        <v>0.000384223100126761</v>
      </c>
      <c r="AL32" s="39" t="n">
        <f aca="false">MY_PS(AL$2,$A32)</f>
        <v>0.000384225984596596</v>
      </c>
      <c r="AM32" s="39" t="n">
        <f aca="false">MY_PS(AM$2,$A32)</f>
        <v>0.000384229752173885</v>
      </c>
      <c r="AN32" s="39" t="n">
        <f aca="false">MY_PS(AN$2,$A32)</f>
        <v>0.00038423439862148</v>
      </c>
      <c r="AO32" s="39" t="n">
        <f aca="false">MY_PS(AO$2,$A32)</f>
        <v>0.000384239919601988</v>
      </c>
      <c r="AP32" s="39" t="n">
        <f aca="false">MY_PS(AP$2,$A32)</f>
        <v>0.000384246310679499</v>
      </c>
      <c r="AQ32" s="39" t="n">
        <f aca="false">MY_PS(AQ$2,$A32)</f>
        <v>0.000384357033765495</v>
      </c>
      <c r="AR32" s="39" t="n">
        <f aca="false">MY_PS(AR$2,$A32)</f>
        <v>0.000384390208590077</v>
      </c>
      <c r="AS32" s="39" t="n">
        <f aca="false">MY_PS(AS$2,$A32)</f>
        <v>0.000384406385834335</v>
      </c>
    </row>
    <row r="33" customFormat="false" ht="13.8" hidden="false" customHeight="false" outlineLevel="0" collapsed="false">
      <c r="A33" s="0" t="n">
        <v>2</v>
      </c>
      <c r="B33" s="39" t="n">
        <f aca="false">MY_PS(B$2,$A33)</f>
        <v>2015</v>
      </c>
      <c r="C33" s="39" t="n">
        <f aca="false">MY_PS(C$2,$A33)</f>
        <v>2015</v>
      </c>
      <c r="D33" s="39" t="n">
        <f aca="false">MY_PS(D$2,$A33)</f>
        <v>2015</v>
      </c>
      <c r="E33" s="39" t="n">
        <f aca="false">MY_PS(E$2,$A33)</f>
        <v>2015</v>
      </c>
      <c r="F33" s="39" t="n">
        <f aca="false">MY_PS(F$2,$A33)</f>
        <v>2015</v>
      </c>
      <c r="G33" s="39" t="n">
        <f aca="false">MY_PS(G$2,$A33)</f>
        <v>2015</v>
      </c>
      <c r="H33" s="39" t="n">
        <f aca="false">MY_PS(H$2,$A33)</f>
        <v>2015</v>
      </c>
      <c r="I33" s="39" t="n">
        <f aca="false">MY_PS(I$2,$A33)</f>
        <v>2015</v>
      </c>
      <c r="J33" s="39" t="n">
        <f aca="false">MY_PS(J$2,$A33)</f>
        <v>2015</v>
      </c>
      <c r="K33" s="39" t="n">
        <f aca="false">MY_PS(K$2,$A33)</f>
        <v>2015</v>
      </c>
      <c r="L33" s="39" t="n">
        <f aca="false">MY_PS(L$2,$A33)</f>
        <v>2015</v>
      </c>
      <c r="M33" s="39" t="n">
        <f aca="false">MY_PS(M$2,$A33)</f>
        <v>2015</v>
      </c>
      <c r="N33" s="39" t="n">
        <f aca="false">MY_PS(N$2,$A33)</f>
        <v>2015</v>
      </c>
      <c r="O33" s="39" t="n">
        <f aca="false">MY_PS(O$2,$A33)</f>
        <v>2015</v>
      </c>
      <c r="P33" s="39" t="n">
        <f aca="false">MY_PS(P$2,$A33)</f>
        <v>2015</v>
      </c>
      <c r="Q33" s="39" t="n">
        <f aca="false">MY_PS(Q$2,$A33)</f>
        <v>2015</v>
      </c>
      <c r="R33" s="39" t="n">
        <f aca="false">MY_PS(R$2,$A33)</f>
        <v>2015</v>
      </c>
      <c r="S33" s="39" t="n">
        <f aca="false">MY_PS(S$2,$A33)</f>
        <v>2015</v>
      </c>
      <c r="T33" s="39" t="n">
        <f aca="false">MY_PS(T$2,$A33)</f>
        <v>2015</v>
      </c>
      <c r="U33" s="39" t="n">
        <f aca="false">MY_PS(U$2,$A33)</f>
        <v>2015</v>
      </c>
      <c r="V33" s="39" t="n">
        <f aca="false">MY_PS(V$2,$A33)</f>
        <v>2015</v>
      </c>
      <c r="W33" s="39" t="n">
        <f aca="false">MY_PS(W$2,$A33)</f>
        <v>2015</v>
      </c>
      <c r="X33" s="39" t="n">
        <f aca="false">MY_PS(X$2,$A33)</f>
        <v>2015</v>
      </c>
      <c r="Y33" s="39" t="n">
        <f aca="false">MY_PS(Y$2,$A33)</f>
        <v>2015</v>
      </c>
      <c r="Z33" s="39" t="n">
        <f aca="false">MY_PS(Z$2,$A33)</f>
        <v>2015</v>
      </c>
      <c r="AA33" s="39" t="n">
        <f aca="false">MY_PS(AA$2,$A33)</f>
        <v>2015</v>
      </c>
      <c r="AB33" s="39" t="n">
        <f aca="false">MY_PS(AB$2,$A33)</f>
        <v>2015</v>
      </c>
      <c r="AC33" s="39" t="n">
        <f aca="false">MY_PS(AC$2,$A33)</f>
        <v>2015</v>
      </c>
      <c r="AD33" s="39" t="n">
        <f aca="false">MY_PS(AD$2,$A33)</f>
        <v>2015</v>
      </c>
      <c r="AE33" s="39" t="n">
        <f aca="false">MY_PS(AE$2,$A33)</f>
        <v>0.000163905957501891</v>
      </c>
      <c r="AF33" s="39" t="n">
        <f aca="false">MY_PS(AF$2,$A33)</f>
        <v>0.000163917785130497</v>
      </c>
      <c r="AG33" s="39" t="n">
        <f aca="false">MY_PS(AG$2,$A33)</f>
        <v>0.00016392961167872</v>
      </c>
      <c r="AH33" s="39" t="n">
        <f aca="false">MY_PS(AH$2,$A33)</f>
        <v>0.000164047818761066</v>
      </c>
      <c r="AI33" s="39" t="n">
        <f aca="false">MY_PS(AI$2,$A33)</f>
        <v>0.000164165922825835</v>
      </c>
      <c r="AJ33" s="39" t="n">
        <f aca="false">MY_PS(AJ$2,$A33)</f>
        <v>0.000164283928223443</v>
      </c>
      <c r="AK33" s="39" t="n">
        <f aca="false">MY_PS(AK$2,$A33)</f>
        <v>0.000164401839088033</v>
      </c>
      <c r="AL33" s="39" t="n">
        <f aca="false">MY_PS(AL$2,$A33)</f>
        <v>0.000164519659340685</v>
      </c>
      <c r="AM33" s="39" t="n">
        <f aca="false">MY_PS(AM$2,$A33)</f>
        <v>0.000164637392692648</v>
      </c>
      <c r="AN33" s="39" t="n">
        <f aca="false">MY_PS(AN$2,$A33)</f>
        <v>0.000164755042648582</v>
      </c>
      <c r="AO33" s="39" t="n">
        <f aca="false">MY_PS(AO$2,$A33)</f>
        <v>0.000164872612509824</v>
      </c>
      <c r="AP33" s="39" t="n">
        <f aca="false">MY_PS(AP$2,$A33)</f>
        <v>0.000164990105377665</v>
      </c>
      <c r="AQ33" s="39" t="n">
        <f aca="false">MY_PS(AQ$2,$A33)</f>
        <v>0.000166161345297035</v>
      </c>
      <c r="AR33" s="39" t="n">
        <f aca="false">MY_PS(AR$2,$A33)</f>
        <v>0.000166402347088233</v>
      </c>
      <c r="AS33" s="39" t="n">
        <f aca="false">MY_PS(AS$2,$A33)</f>
        <v>0.000166511572414366</v>
      </c>
    </row>
    <row r="34" customFormat="false" ht="13.8" hidden="false" customHeight="false" outlineLevel="0" collapsed="false">
      <c r="A34" s="0" t="n">
        <v>3</v>
      </c>
      <c r="B34" s="39" t="n">
        <f aca="false">MY_PS(B$2,$A34)</f>
        <v>2015</v>
      </c>
      <c r="C34" s="39" t="n">
        <f aca="false">MY_PS(C$2,$A34)</f>
        <v>2015</v>
      </c>
      <c r="D34" s="39" t="n">
        <f aca="false">MY_PS(D$2,$A34)</f>
        <v>2015</v>
      </c>
      <c r="E34" s="39" t="n">
        <f aca="false">MY_PS(E$2,$A34)</f>
        <v>2015</v>
      </c>
      <c r="F34" s="39" t="n">
        <f aca="false">MY_PS(F$2,$A34)</f>
        <v>2015</v>
      </c>
      <c r="G34" s="39" t="n">
        <f aca="false">MY_PS(G$2,$A34)</f>
        <v>2015</v>
      </c>
      <c r="H34" s="39" t="n">
        <f aca="false">MY_PS(H$2,$A34)</f>
        <v>2015</v>
      </c>
      <c r="I34" s="39" t="n">
        <f aca="false">MY_PS(I$2,$A34)</f>
        <v>2015</v>
      </c>
      <c r="J34" s="39" t="n">
        <f aca="false">MY_PS(J$2,$A34)</f>
        <v>2015</v>
      </c>
      <c r="K34" s="39" t="n">
        <f aca="false">MY_PS(K$2,$A34)</f>
        <v>2015</v>
      </c>
      <c r="L34" s="39" t="n">
        <f aca="false">MY_PS(L$2,$A34)</f>
        <v>2015</v>
      </c>
      <c r="M34" s="39" t="n">
        <f aca="false">MY_PS(M$2,$A34)</f>
        <v>2015</v>
      </c>
      <c r="N34" s="39" t="n">
        <f aca="false">MY_PS(N$2,$A34)</f>
        <v>2015</v>
      </c>
      <c r="O34" s="39" t="n">
        <f aca="false">MY_PS(O$2,$A34)</f>
        <v>2015</v>
      </c>
      <c r="P34" s="39" t="n">
        <f aca="false">MY_PS(P$2,$A34)</f>
        <v>2015</v>
      </c>
      <c r="Q34" s="39" t="n">
        <f aca="false">MY_PS(Q$2,$A34)</f>
        <v>2015</v>
      </c>
      <c r="R34" s="39" t="n">
        <f aca="false">MY_PS(R$2,$A34)</f>
        <v>2015</v>
      </c>
      <c r="S34" s="39" t="n">
        <f aca="false">MY_PS(S$2,$A34)</f>
        <v>2015</v>
      </c>
      <c r="T34" s="39" t="n">
        <f aca="false">MY_PS(T$2,$A34)</f>
        <v>2015</v>
      </c>
      <c r="U34" s="39" t="n">
        <f aca="false">MY_PS(U$2,$A34)</f>
        <v>2015</v>
      </c>
      <c r="V34" s="39" t="n">
        <f aca="false">MY_PS(V$2,$A34)</f>
        <v>2015</v>
      </c>
      <c r="W34" s="39" t="n">
        <f aca="false">MY_PS(W$2,$A34)</f>
        <v>2015</v>
      </c>
      <c r="X34" s="39" t="n">
        <f aca="false">MY_PS(X$2,$A34)</f>
        <v>2015</v>
      </c>
      <c r="Y34" s="39" t="n">
        <f aca="false">MY_PS(Y$2,$A34)</f>
        <v>2015</v>
      </c>
      <c r="Z34" s="39" t="n">
        <f aca="false">MY_PS(Z$2,$A34)</f>
        <v>2015</v>
      </c>
      <c r="AA34" s="39" t="n">
        <f aca="false">MY_PS(AA$2,$A34)</f>
        <v>2015</v>
      </c>
      <c r="AB34" s="39" t="n">
        <f aca="false">MY_PS(AB$2,$A34)</f>
        <v>2015</v>
      </c>
      <c r="AC34" s="39" t="n">
        <f aca="false">MY_PS(AC$2,$A34)</f>
        <v>2015</v>
      </c>
      <c r="AD34" s="39" t="n">
        <f aca="false">MY_PS(AD$2,$A34)</f>
        <v>2015</v>
      </c>
      <c r="AE34" s="39" t="n">
        <f aca="false">MY_PS(AE$2,$A34)</f>
        <v>2015</v>
      </c>
      <c r="AF34" s="39" t="n">
        <f aca="false">MY_PS(AF$2,$A34)</f>
        <v>2015</v>
      </c>
      <c r="AG34" s="39" t="n">
        <f aca="false">MY_PS(AG$2,$A34)</f>
        <v>2015</v>
      </c>
      <c r="AH34" s="39" t="n">
        <f aca="false">MY_PS(AH$2,$A34)</f>
        <v>2015</v>
      </c>
      <c r="AI34" s="39" t="n">
        <f aca="false">MY_PS(AI$2,$A34)</f>
        <v>2015</v>
      </c>
      <c r="AJ34" s="39" t="n">
        <f aca="false">MY_PS(AJ$2,$A34)</f>
        <v>2015</v>
      </c>
      <c r="AK34" s="39" t="n">
        <f aca="false">MY_PS(AK$2,$A34)</f>
        <v>2015</v>
      </c>
      <c r="AL34" s="39" t="n">
        <f aca="false">MY_PS(AL$2,$A34)</f>
        <v>9.64970510091053E-005</v>
      </c>
      <c r="AM34" s="39" t="n">
        <f aca="false">MY_PS(AM$2,$A34)</f>
        <v>9.66720361465237E-005</v>
      </c>
      <c r="AN34" s="39" t="n">
        <f aca="false">MY_PS(AN$2,$A34)</f>
        <v>9.68458767127015E-005</v>
      </c>
      <c r="AO34" s="39" t="n">
        <f aca="false">MY_PS(AO$2,$A34)</f>
        <v>9.70186081584675E-005</v>
      </c>
      <c r="AP34" s="39" t="n">
        <f aca="false">MY_PS(AP$2,$A34)</f>
        <v>9.71902638395198E-005</v>
      </c>
      <c r="AQ34" s="39" t="n">
        <f aca="false">MY_PS(AQ$2,$A34)</f>
        <v>9.88536924285587E-005</v>
      </c>
      <c r="AR34" s="39" t="n">
        <f aca="false">MY_PS(AR$2,$A34)</f>
        <v>9.91862085265561E-005</v>
      </c>
      <c r="AS34" s="39" t="n">
        <f aca="false">MY_PS(AS$2,$A34)</f>
        <v>9.93359098908728E-005</v>
      </c>
    </row>
    <row r="35" customFormat="false" ht="13.8" hidden="false" customHeight="false" outlineLevel="0" collapsed="false">
      <c r="A35" s="0" t="n">
        <v>4</v>
      </c>
      <c r="B35" s="39" t="n">
        <f aca="false">MY_PS(B$2,$A35)</f>
        <v>2015</v>
      </c>
      <c r="C35" s="39" t="n">
        <f aca="false">MY_PS(C$2,$A35)</f>
        <v>2015</v>
      </c>
      <c r="D35" s="39" t="n">
        <f aca="false">MY_PS(D$2,$A35)</f>
        <v>2015</v>
      </c>
      <c r="E35" s="39" t="n">
        <f aca="false">MY_PS(E$2,$A35)</f>
        <v>2015</v>
      </c>
      <c r="F35" s="39" t="n">
        <f aca="false">MY_PS(F$2,$A35)</f>
        <v>2015</v>
      </c>
      <c r="G35" s="39" t="n">
        <f aca="false">MY_PS(G$2,$A35)</f>
        <v>2015</v>
      </c>
      <c r="H35" s="39" t="n">
        <f aca="false">MY_PS(H$2,$A35)</f>
        <v>2015</v>
      </c>
      <c r="I35" s="39" t="n">
        <f aca="false">MY_PS(I$2,$A35)</f>
        <v>2015</v>
      </c>
      <c r="J35" s="39" t="n">
        <f aca="false">MY_PS(J$2,$A35)</f>
        <v>2015</v>
      </c>
      <c r="K35" s="39" t="n">
        <f aca="false">MY_PS(K$2,$A35)</f>
        <v>2015</v>
      </c>
      <c r="L35" s="39" t="n">
        <f aca="false">MY_PS(L$2,$A35)</f>
        <v>2015</v>
      </c>
      <c r="M35" s="39" t="n">
        <f aca="false">MY_PS(M$2,$A35)</f>
        <v>2015</v>
      </c>
      <c r="N35" s="39" t="n">
        <f aca="false">MY_PS(N$2,$A35)</f>
        <v>2015</v>
      </c>
      <c r="O35" s="39" t="n">
        <f aca="false">MY_PS(O$2,$A35)</f>
        <v>2015</v>
      </c>
      <c r="P35" s="39" t="n">
        <f aca="false">MY_PS(P$2,$A35)</f>
        <v>2015</v>
      </c>
      <c r="Q35" s="39" t="n">
        <f aca="false">MY_PS(Q$2,$A35)</f>
        <v>2015</v>
      </c>
      <c r="R35" s="39" t="n">
        <f aca="false">MY_PS(R$2,$A35)</f>
        <v>2015</v>
      </c>
      <c r="S35" s="39" t="n">
        <f aca="false">MY_PS(S$2,$A35)</f>
        <v>2015</v>
      </c>
      <c r="T35" s="39" t="n">
        <f aca="false">MY_PS(T$2,$A35)</f>
        <v>2015</v>
      </c>
      <c r="U35" s="39" t="n">
        <f aca="false">MY_PS(U$2,$A35)</f>
        <v>2015</v>
      </c>
      <c r="V35" s="39" t="n">
        <f aca="false">MY_PS(V$2,$A35)</f>
        <v>2015</v>
      </c>
      <c r="W35" s="39" t="n">
        <f aca="false">MY_PS(W$2,$A35)</f>
        <v>2015</v>
      </c>
      <c r="X35" s="39" t="n">
        <f aca="false">MY_PS(X$2,$A35)</f>
        <v>2015</v>
      </c>
      <c r="Y35" s="39" t="n">
        <f aca="false">MY_PS(Y$2,$A35)</f>
        <v>2015</v>
      </c>
      <c r="Z35" s="39" t="n">
        <f aca="false">MY_PS(Z$2,$A35)</f>
        <v>2015</v>
      </c>
      <c r="AA35" s="39" t="n">
        <f aca="false">MY_PS(AA$2,$A35)</f>
        <v>2015</v>
      </c>
      <c r="AB35" s="39" t="n">
        <f aca="false">MY_PS(AB$2,$A35)</f>
        <v>2015</v>
      </c>
      <c r="AC35" s="39" t="n">
        <f aca="false">MY_PS(AC$2,$A35)</f>
        <v>2015</v>
      </c>
      <c r="AD35" s="39" t="n">
        <f aca="false">MY_PS(AD$2,$A35)</f>
        <v>2015</v>
      </c>
      <c r="AE35" s="39" t="n">
        <f aca="false">MY_PS(AE$2,$A35)</f>
        <v>2015</v>
      </c>
      <c r="AF35" s="39" t="n">
        <f aca="false">MY_PS(AF$2,$A35)</f>
        <v>2015</v>
      </c>
      <c r="AG35" s="39" t="n">
        <f aca="false">MY_PS(AG$2,$A35)</f>
        <v>2015</v>
      </c>
      <c r="AH35" s="39" t="n">
        <f aca="false">MY_PS(AH$2,$A35)</f>
        <v>2015</v>
      </c>
      <c r="AI35" s="39" t="n">
        <f aca="false">MY_PS(AI$2,$A35)</f>
        <v>2015</v>
      </c>
      <c r="AJ35" s="39" t="n">
        <f aca="false">MY_PS(AJ$2,$A35)</f>
        <v>2015</v>
      </c>
      <c r="AK35" s="39" t="n">
        <f aca="false">MY_PS(AK$2,$A35)</f>
        <v>2015</v>
      </c>
      <c r="AL35" s="39" t="n">
        <f aca="false">MY_PS(AL$2,$A35)</f>
        <v>2015</v>
      </c>
      <c r="AM35" s="39" t="n">
        <f aca="false">MY_PS(AM$2,$A35)</f>
        <v>2015</v>
      </c>
      <c r="AN35" s="39" t="n">
        <f aca="false">MY_PS(AN$2,$A35)</f>
        <v>2015</v>
      </c>
      <c r="AO35" s="39" t="n">
        <f aca="false">MY_PS(AO$2,$A35)</f>
        <v>2015</v>
      </c>
      <c r="AP35" s="39" t="n">
        <f aca="false">MY_PS(AP$2,$A35)</f>
        <v>2015</v>
      </c>
      <c r="AQ35" s="39" t="n">
        <f aca="false">MY_PS(AQ$2,$A35)</f>
        <v>5.70000301073627E-005</v>
      </c>
      <c r="AR35" s="39" t="n">
        <f aca="false">MY_PS(AR$2,$A35)</f>
        <v>5.82454871315681E-005</v>
      </c>
      <c r="AS35" s="39" t="n">
        <f aca="false">MY_PS(AS$2,$A35)</f>
        <v>5.87501447964705E-005</v>
      </c>
    </row>
    <row r="36" customFormat="false" ht="13.8" hidden="false" customHeight="false" outlineLevel="0" collapsed="false">
      <c r="A36" s="0" t="n">
        <v>5</v>
      </c>
      <c r="B36" s="39" t="n">
        <f aca="false">MY_PS(B$2,$A36)</f>
        <v>2015</v>
      </c>
      <c r="C36" s="39" t="n">
        <f aca="false">MY_PS(C$2,$A36)</f>
        <v>2015</v>
      </c>
      <c r="D36" s="39" t="n">
        <f aca="false">MY_PS(D$2,$A36)</f>
        <v>2015</v>
      </c>
      <c r="E36" s="39" t="n">
        <f aca="false">MY_PS(E$2,$A36)</f>
        <v>2015</v>
      </c>
      <c r="F36" s="39" t="n">
        <f aca="false">MY_PS(F$2,$A36)</f>
        <v>2015</v>
      </c>
      <c r="G36" s="39" t="n">
        <f aca="false">MY_PS(G$2,$A36)</f>
        <v>2015</v>
      </c>
      <c r="H36" s="39" t="n">
        <f aca="false">MY_PS(H$2,$A36)</f>
        <v>2015</v>
      </c>
      <c r="I36" s="39" t="n">
        <f aca="false">MY_PS(I$2,$A36)</f>
        <v>2015</v>
      </c>
      <c r="J36" s="39" t="n">
        <f aca="false">MY_PS(J$2,$A36)</f>
        <v>2015</v>
      </c>
      <c r="K36" s="39" t="n">
        <f aca="false">MY_PS(K$2,$A36)</f>
        <v>2015</v>
      </c>
      <c r="L36" s="39" t="n">
        <f aca="false">MY_PS(L$2,$A36)</f>
        <v>2015</v>
      </c>
      <c r="M36" s="39" t="n">
        <f aca="false">MY_PS(M$2,$A36)</f>
        <v>2015</v>
      </c>
      <c r="N36" s="39" t="n">
        <f aca="false">MY_PS(N$2,$A36)</f>
        <v>2015</v>
      </c>
      <c r="O36" s="39" t="n">
        <f aca="false">MY_PS(O$2,$A36)</f>
        <v>2015</v>
      </c>
      <c r="P36" s="39" t="n">
        <f aca="false">MY_PS(P$2,$A36)</f>
        <v>2015</v>
      </c>
      <c r="Q36" s="39" t="n">
        <f aca="false">MY_PS(Q$2,$A36)</f>
        <v>2015</v>
      </c>
      <c r="R36" s="39" t="n">
        <f aca="false">MY_PS(R$2,$A36)</f>
        <v>2015</v>
      </c>
      <c r="S36" s="39" t="n">
        <f aca="false">MY_PS(S$2,$A36)</f>
        <v>2015</v>
      </c>
      <c r="T36" s="39" t="n">
        <f aca="false">MY_PS(T$2,$A36)</f>
        <v>2015</v>
      </c>
      <c r="U36" s="39" t="n">
        <f aca="false">MY_PS(U$2,$A36)</f>
        <v>2015</v>
      </c>
      <c r="V36" s="39" t="n">
        <f aca="false">MY_PS(V$2,$A36)</f>
        <v>2015</v>
      </c>
      <c r="W36" s="39" t="n">
        <f aca="false">MY_PS(W$2,$A36)</f>
        <v>2015</v>
      </c>
      <c r="X36" s="39" t="n">
        <f aca="false">MY_PS(X$2,$A36)</f>
        <v>2015</v>
      </c>
      <c r="Y36" s="39" t="n">
        <f aca="false">MY_PS(Y$2,$A36)</f>
        <v>2015</v>
      </c>
      <c r="Z36" s="39" t="n">
        <f aca="false">MY_PS(Z$2,$A36)</f>
        <v>2015</v>
      </c>
      <c r="AA36" s="39" t="n">
        <f aca="false">MY_PS(AA$2,$A36)</f>
        <v>2015</v>
      </c>
      <c r="AB36" s="39" t="n">
        <f aca="false">MY_PS(AB$2,$A36)</f>
        <v>2015</v>
      </c>
      <c r="AC36" s="39" t="n">
        <f aca="false">MY_PS(AC$2,$A36)</f>
        <v>2015</v>
      </c>
      <c r="AD36" s="39" t="n">
        <f aca="false">MY_PS(AD$2,$A36)</f>
        <v>2015</v>
      </c>
      <c r="AE36" s="39" t="n">
        <f aca="false">MY_PS(AE$2,$A36)</f>
        <v>2015</v>
      </c>
      <c r="AF36" s="39" t="n">
        <f aca="false">MY_PS(AF$2,$A36)</f>
        <v>2015</v>
      </c>
      <c r="AG36" s="39" t="n">
        <f aca="false">MY_PS(AG$2,$A36)</f>
        <v>2015</v>
      </c>
      <c r="AH36" s="39" t="n">
        <f aca="false">MY_PS(AH$2,$A36)</f>
        <v>2015</v>
      </c>
      <c r="AI36" s="39" t="n">
        <f aca="false">MY_PS(AI$2,$A36)</f>
        <v>2015</v>
      </c>
      <c r="AJ36" s="39" t="n">
        <f aca="false">MY_PS(AJ$2,$A36)</f>
        <v>2015</v>
      </c>
      <c r="AK36" s="39" t="n">
        <f aca="false">MY_PS(AK$2,$A36)</f>
        <v>2015</v>
      </c>
      <c r="AL36" s="39" t="n">
        <f aca="false">MY_PS(AL$2,$A36)</f>
        <v>2015</v>
      </c>
      <c r="AM36" s="39" t="n">
        <f aca="false">MY_PS(AM$2,$A36)</f>
        <v>2015</v>
      </c>
      <c r="AN36" s="39" t="n">
        <f aca="false">MY_PS(AN$2,$A36)</f>
        <v>2015</v>
      </c>
      <c r="AO36" s="39" t="n">
        <f aca="false">MY_PS(AO$2,$A36)</f>
        <v>2015</v>
      </c>
      <c r="AP36" s="39" t="n">
        <f aca="false">MY_PS(AP$2,$A36)</f>
        <v>2015</v>
      </c>
      <c r="AQ36" s="39" t="n">
        <f aca="false">MY_PS(AQ$2,$A36)</f>
        <v>2.69441373920281E-005</v>
      </c>
      <c r="AR36" s="39" t="n">
        <f aca="false">MY_PS(AR$2,$A36)</f>
        <v>2.83214767792184E-005</v>
      </c>
      <c r="AS36" s="39" t="n">
        <f aca="false">MY_PS(AS$2,$A36)</f>
        <v>2.89308700156034E-005</v>
      </c>
    </row>
    <row r="37" customFormat="false" ht="13.8" hidden="false" customHeight="false" outlineLevel="0" collapsed="false">
      <c r="A37" s="0" t="n">
        <v>6</v>
      </c>
      <c r="B37" s="39" t="n">
        <f aca="false">MY_PS(B$2,$A37)</f>
        <v>2015</v>
      </c>
      <c r="C37" s="39" t="n">
        <f aca="false">MY_PS(C$2,$A37)</f>
        <v>2015</v>
      </c>
      <c r="D37" s="39" t="n">
        <f aca="false">MY_PS(D$2,$A37)</f>
        <v>2015</v>
      </c>
      <c r="E37" s="39" t="n">
        <f aca="false">MY_PS(E$2,$A37)</f>
        <v>2015</v>
      </c>
      <c r="F37" s="39" t="n">
        <f aca="false">MY_PS(F$2,$A37)</f>
        <v>2015</v>
      </c>
      <c r="G37" s="39" t="n">
        <f aca="false">MY_PS(G$2,$A37)</f>
        <v>2015</v>
      </c>
      <c r="H37" s="39" t="n">
        <f aca="false">MY_PS(H$2,$A37)</f>
        <v>2015</v>
      </c>
      <c r="I37" s="39" t="n">
        <f aca="false">MY_PS(I$2,$A37)</f>
        <v>2015</v>
      </c>
      <c r="J37" s="39" t="n">
        <f aca="false">MY_PS(J$2,$A37)</f>
        <v>2015</v>
      </c>
      <c r="K37" s="39" t="n">
        <f aca="false">MY_PS(K$2,$A37)</f>
        <v>2015</v>
      </c>
      <c r="L37" s="39" t="n">
        <f aca="false">MY_PS(L$2,$A37)</f>
        <v>2015</v>
      </c>
      <c r="M37" s="39" t="n">
        <f aca="false">MY_PS(M$2,$A37)</f>
        <v>2015</v>
      </c>
      <c r="N37" s="39" t="n">
        <f aca="false">MY_PS(N$2,$A37)</f>
        <v>2015</v>
      </c>
      <c r="O37" s="39" t="n">
        <f aca="false">MY_PS(O$2,$A37)</f>
        <v>2015</v>
      </c>
      <c r="P37" s="39" t="n">
        <f aca="false">MY_PS(P$2,$A37)</f>
        <v>2015</v>
      </c>
      <c r="Q37" s="39" t="n">
        <f aca="false">MY_PS(Q$2,$A37)</f>
        <v>2015</v>
      </c>
      <c r="R37" s="39" t="n">
        <f aca="false">MY_PS(R$2,$A37)</f>
        <v>2015</v>
      </c>
      <c r="S37" s="39" t="n">
        <f aca="false">MY_PS(S$2,$A37)</f>
        <v>2015</v>
      </c>
      <c r="T37" s="39" t="n">
        <f aca="false">MY_PS(T$2,$A37)</f>
        <v>2015</v>
      </c>
      <c r="U37" s="39" t="n">
        <f aca="false">MY_PS(U$2,$A37)</f>
        <v>2015</v>
      </c>
      <c r="V37" s="39" t="n">
        <f aca="false">MY_PS(V$2,$A37)</f>
        <v>2015</v>
      </c>
      <c r="W37" s="39" t="n">
        <f aca="false">MY_PS(W$2,$A37)</f>
        <v>2015</v>
      </c>
      <c r="X37" s="39" t="n">
        <f aca="false">MY_PS(X$2,$A37)</f>
        <v>2015</v>
      </c>
      <c r="Y37" s="39" t="n">
        <f aca="false">MY_PS(Y$2,$A37)</f>
        <v>2015</v>
      </c>
      <c r="Z37" s="39" t="n">
        <f aca="false">MY_PS(Z$2,$A37)</f>
        <v>2015</v>
      </c>
      <c r="AA37" s="39" t="n">
        <f aca="false">MY_PS(AA$2,$A37)</f>
        <v>2015</v>
      </c>
      <c r="AB37" s="39" t="n">
        <f aca="false">MY_PS(AB$2,$A37)</f>
        <v>2015</v>
      </c>
      <c r="AC37" s="39" t="n">
        <f aca="false">MY_PS(AC$2,$A37)</f>
        <v>2015</v>
      </c>
      <c r="AD37" s="39" t="n">
        <f aca="false">MY_PS(AD$2,$A37)</f>
        <v>2015</v>
      </c>
      <c r="AE37" s="39" t="n">
        <f aca="false">MY_PS(AE$2,$A37)</f>
        <v>2015</v>
      </c>
      <c r="AF37" s="39" t="n">
        <f aca="false">MY_PS(AF$2,$A37)</f>
        <v>2015</v>
      </c>
      <c r="AG37" s="39" t="n">
        <f aca="false">MY_PS(AG$2,$A37)</f>
        <v>2015</v>
      </c>
      <c r="AH37" s="39" t="n">
        <f aca="false">MY_PS(AH$2,$A37)</f>
        <v>2015</v>
      </c>
      <c r="AI37" s="39" t="n">
        <f aca="false">MY_PS(AI$2,$A37)</f>
        <v>2015</v>
      </c>
      <c r="AJ37" s="39" t="n">
        <f aca="false">MY_PS(AJ$2,$A37)</f>
        <v>2015</v>
      </c>
      <c r="AK37" s="39" t="n">
        <f aca="false">MY_PS(AK$2,$A37)</f>
        <v>1.81979572644035E-005</v>
      </c>
      <c r="AL37" s="39" t="n">
        <f aca="false">MY_PS(AL$2,$A37)</f>
        <v>1.92140617358092E-005</v>
      </c>
      <c r="AM37" s="39" t="n">
        <f aca="false">MY_PS(AM$2,$A37)</f>
        <v>2.01456158909739E-005</v>
      </c>
      <c r="AN37" s="39" t="n">
        <f aca="false">MY_PS(AN$2,$A37)</f>
        <v>2.10071300845958E-005</v>
      </c>
      <c r="AO37" s="39" t="n">
        <f aca="false">MY_PS(AO$2,$A37)</f>
        <v>2.18111329297953E-005</v>
      </c>
      <c r="AP37" s="39" t="n">
        <f aca="false">MY_PS(AP$2,$A37)</f>
        <v>2.2567310137083E-005</v>
      </c>
      <c r="AQ37" s="39" t="n">
        <f aca="false">MY_PS(AQ$2,$A37)</f>
        <v>2.8552166519193E-005</v>
      </c>
      <c r="AR37" s="39" t="n">
        <f aca="false">MY_PS(AR$2,$A37)</f>
        <v>2.95639610401206E-005</v>
      </c>
      <c r="AS37" s="39" t="n">
        <f aca="false">MY_PS(AS$2,$A37)</f>
        <v>3.00059906143617E-005</v>
      </c>
    </row>
    <row r="38" customFormat="false" ht="13.8" hidden="false" customHeight="false" outlineLevel="0" collapsed="false">
      <c r="A38" s="0" t="n">
        <v>7</v>
      </c>
      <c r="B38" s="39" t="n">
        <f aca="false">MY_PS(B$2,$A38)</f>
        <v>2015</v>
      </c>
      <c r="C38" s="39" t="n">
        <f aca="false">MY_PS(C$2,$A38)</f>
        <v>2015</v>
      </c>
      <c r="D38" s="39" t="n">
        <f aca="false">MY_PS(D$2,$A38)</f>
        <v>2015</v>
      </c>
      <c r="E38" s="39" t="n">
        <f aca="false">MY_PS(E$2,$A38)</f>
        <v>2015</v>
      </c>
      <c r="F38" s="39" t="n">
        <f aca="false">MY_PS(F$2,$A38)</f>
        <v>2015</v>
      </c>
      <c r="G38" s="39" t="n">
        <f aca="false">MY_PS(G$2,$A38)</f>
        <v>2015</v>
      </c>
      <c r="H38" s="39" t="n">
        <f aca="false">MY_PS(H$2,$A38)</f>
        <v>2015</v>
      </c>
      <c r="I38" s="39" t="n">
        <f aca="false">MY_PS(I$2,$A38)</f>
        <v>2015</v>
      </c>
      <c r="J38" s="39" t="n">
        <f aca="false">MY_PS(J$2,$A38)</f>
        <v>2015</v>
      </c>
      <c r="K38" s="39" t="n">
        <f aca="false">MY_PS(K$2,$A38)</f>
        <v>2015</v>
      </c>
      <c r="L38" s="39" t="n">
        <f aca="false">MY_PS(L$2,$A38)</f>
        <v>2015</v>
      </c>
      <c r="M38" s="39" t="n">
        <f aca="false">MY_PS(M$2,$A38)</f>
        <v>2015</v>
      </c>
      <c r="N38" s="39" t="n">
        <f aca="false">MY_PS(N$2,$A38)</f>
        <v>2015</v>
      </c>
      <c r="O38" s="39" t="n">
        <f aca="false">MY_PS(O$2,$A38)</f>
        <v>2015</v>
      </c>
      <c r="P38" s="39" t="n">
        <f aca="false">MY_PS(P$2,$A38)</f>
        <v>2015</v>
      </c>
      <c r="Q38" s="39" t="n">
        <f aca="false">MY_PS(Q$2,$A38)</f>
        <v>2015</v>
      </c>
      <c r="R38" s="39" t="n">
        <f aca="false">MY_PS(R$2,$A38)</f>
        <v>2015</v>
      </c>
      <c r="S38" s="39" t="n">
        <f aca="false">MY_PS(S$2,$A38)</f>
        <v>2015</v>
      </c>
      <c r="T38" s="39" t="n">
        <f aca="false">MY_PS(T$2,$A38)</f>
        <v>2015</v>
      </c>
      <c r="U38" s="39" t="n">
        <f aca="false">MY_PS(U$2,$A38)</f>
        <v>2015</v>
      </c>
      <c r="V38" s="39" t="n">
        <f aca="false">MY_PS(V$2,$A38)</f>
        <v>2015</v>
      </c>
      <c r="W38" s="39" t="n">
        <f aca="false">MY_PS(W$2,$A38)</f>
        <v>2015</v>
      </c>
      <c r="X38" s="39" t="n">
        <f aca="false">MY_PS(X$2,$A38)</f>
        <v>2015</v>
      </c>
      <c r="Y38" s="39" t="n">
        <f aca="false">MY_PS(Y$2,$A38)</f>
        <v>2015</v>
      </c>
      <c r="Z38" s="39" t="n">
        <f aca="false">MY_PS(Z$2,$A38)</f>
        <v>1.34839069995864E-005</v>
      </c>
      <c r="AA38" s="39" t="n">
        <f aca="false">MY_PS(AA$2,$A38)</f>
        <v>1.4577269675642E-005</v>
      </c>
      <c r="AB38" s="39" t="n">
        <f aca="false">MY_PS(AB$2,$A38)</f>
        <v>1.55033988311788E-005</v>
      </c>
      <c r="AC38" s="39" t="n">
        <f aca="false">MY_PS(AC$2,$A38)</f>
        <v>1.63099983570224E-005</v>
      </c>
      <c r="AD38" s="39" t="n">
        <f aca="false">MY_PS(AD$2,$A38)</f>
        <v>1.70268465204193E-005</v>
      </c>
      <c r="AE38" s="39" t="n">
        <f aca="false">MY_PS(AE$2,$A38)</f>
        <v>1.7673664529368E-005</v>
      </c>
      <c r="AF38" s="39" t="n">
        <f aca="false">MY_PS(AF$2,$A38)</f>
        <v>1.82641734573324E-005</v>
      </c>
      <c r="AG38" s="39" t="n">
        <f aca="false">MY_PS(AG$2,$A38)</f>
        <v>1.88083081635509E-005</v>
      </c>
      <c r="AH38" s="39" t="n">
        <f aca="false">MY_PS(AH$2,$A38)</f>
        <v>2.27633157016062E-005</v>
      </c>
      <c r="AI38" s="39" t="n">
        <f aca="false">MY_PS(AI$2,$A38)</f>
        <v>2.53782290549383E-005</v>
      </c>
      <c r="AJ38" s="39" t="n">
        <f aca="false">MY_PS(AJ$2,$A38)</f>
        <v>2.7369333807949E-005</v>
      </c>
      <c r="AK38" s="39" t="n">
        <f aca="false">MY_PS(AK$2,$A38)</f>
        <v>2.89921614537038E-005</v>
      </c>
      <c r="AL38" s="39" t="n">
        <f aca="false">MY_PS(AL$2,$A38)</f>
        <v>3.03697650167123E-005</v>
      </c>
      <c r="AM38" s="39" t="n">
        <f aca="false">MY_PS(AM$2,$A38)</f>
        <v>3.1571867928154E-005</v>
      </c>
      <c r="AN38" s="39" t="n">
        <f aca="false">MY_PS(AN$2,$A38)</f>
        <v>3.26415462271115E-005</v>
      </c>
      <c r="AO38" s="39" t="n">
        <f aca="false">MY_PS(AO$2,$A38)</f>
        <v>3.36075826729614E-005</v>
      </c>
      <c r="AP38" s="39" t="n">
        <f aca="false">MY_PS(AP$2,$A38)</f>
        <v>3.44901846071416E-005</v>
      </c>
      <c r="AQ38" s="39" t="n">
        <f aca="false">MY_PS(AQ$2,$A38)</f>
        <v>4.07789782327991E-005</v>
      </c>
      <c r="AR38" s="39" t="n">
        <f aca="false">MY_PS(AR$2,$A38)</f>
        <v>4.1747132947134E-005</v>
      </c>
      <c r="AS38" s="39" t="n">
        <f aca="false">MY_PS(AS$2,$A38)</f>
        <v>4.49898374383627E-005</v>
      </c>
    </row>
    <row r="39" customFormat="false" ht="13.8" hidden="false" customHeight="false" outlineLevel="0" collapsed="false">
      <c r="A39" s="0" t="n">
        <v>8</v>
      </c>
      <c r="B39" s="39" t="n">
        <f aca="false">MY_PS(B$2,$A39)</f>
        <v>2015</v>
      </c>
      <c r="C39" s="39" t="n">
        <f aca="false">MY_PS(C$2,$A39)</f>
        <v>2015</v>
      </c>
      <c r="D39" s="39" t="n">
        <f aca="false">MY_PS(D$2,$A39)</f>
        <v>2015</v>
      </c>
      <c r="E39" s="39" t="n">
        <f aca="false">MY_PS(E$2,$A39)</f>
        <v>2015</v>
      </c>
      <c r="F39" s="39" t="n">
        <f aca="false">MY_PS(F$2,$A39)</f>
        <v>2015</v>
      </c>
      <c r="G39" s="39" t="n">
        <f aca="false">MY_PS(G$2,$A39)</f>
        <v>2015</v>
      </c>
      <c r="H39" s="39" t="n">
        <f aca="false">MY_PS(H$2,$A39)</f>
        <v>2015</v>
      </c>
      <c r="I39" s="39" t="n">
        <f aca="false">MY_PS(I$2,$A39)</f>
        <v>2015</v>
      </c>
      <c r="J39" s="39" t="n">
        <f aca="false">MY_PS(J$2,$A39)</f>
        <v>2015</v>
      </c>
      <c r="K39" s="39" t="n">
        <f aca="false">MY_PS(K$2,$A39)</f>
        <v>2015</v>
      </c>
      <c r="L39" s="39" t="n">
        <f aca="false">MY_PS(L$2,$A39)</f>
        <v>2015</v>
      </c>
      <c r="M39" s="39" t="n">
        <f aca="false">MY_PS(M$2,$A39)</f>
        <v>2015</v>
      </c>
      <c r="N39" s="39" t="n">
        <f aca="false">MY_PS(N$2,$A39)</f>
        <v>2015</v>
      </c>
      <c r="O39" s="39" t="n">
        <f aca="false">MY_PS(O$2,$A39)</f>
        <v>2015</v>
      </c>
      <c r="P39" s="39" t="n">
        <f aca="false">MY_PS(P$2,$A39)</f>
        <v>1.14938256654342E-005</v>
      </c>
      <c r="Q39" s="39" t="n">
        <f aca="false">MY_PS(Q$2,$A39)</f>
        <v>1.27891079216105E-005</v>
      </c>
      <c r="R39" s="39" t="n">
        <f aca="false">MY_PS(R$2,$A39)</f>
        <v>1.38346186982581E-005</v>
      </c>
      <c r="S39" s="39" t="n">
        <f aca="false">MY_PS(S$2,$A39)</f>
        <v>1.47168145171529E-005</v>
      </c>
      <c r="T39" s="39" t="n">
        <f aca="false">MY_PS(T$2,$A39)</f>
        <v>1.54835208121204E-005</v>
      </c>
      <c r="U39" s="39" t="n">
        <f aca="false">MY_PS(U$2,$A39)</f>
        <v>1.6163793647922E-005</v>
      </c>
      <c r="V39" s="39" t="n">
        <f aca="false">MY_PS(V$2,$A39)</f>
        <v>1.67766612487281E-005</v>
      </c>
      <c r="W39" s="39" t="n">
        <f aca="false">MY_PS(W$2,$A39)</f>
        <v>1.7335312425884E-005</v>
      </c>
      <c r="X39" s="39" t="n">
        <f aca="false">MY_PS(X$2,$A39)</f>
        <v>1.78492958851752E-005</v>
      </c>
      <c r="Y39" s="39" t="n">
        <f aca="false">MY_PS(Y$2,$A39)</f>
        <v>2.15585365703298E-005</v>
      </c>
      <c r="Z39" s="39" t="n">
        <f aca="false">MY_PS(Z$2,$A39)</f>
        <v>2.398158428728E-005</v>
      </c>
      <c r="AA39" s="39" t="n">
        <f aca="false">MY_PS(AA$2,$A39)</f>
        <v>2.58075172136446E-005</v>
      </c>
      <c r="AB39" s="39" t="n">
        <f aca="false">MY_PS(AB$2,$A39)</f>
        <v>2.72819346939448E-005</v>
      </c>
      <c r="AC39" s="39" t="n">
        <f aca="false">MY_PS(AC$2,$A39)</f>
        <v>2.85227625890379E-005</v>
      </c>
      <c r="AD39" s="39" t="n">
        <f aca="false">MY_PS(AD$2,$A39)</f>
        <v>2.9596301664812E-005</v>
      </c>
      <c r="AE39" s="39" t="n">
        <f aca="false">MY_PS(AE$2,$A39)</f>
        <v>3.05437473466575E-005</v>
      </c>
      <c r="AF39" s="39" t="n">
        <f aca="false">MY_PS(AF$2,$A39)</f>
        <v>3.13925412423327E-005</v>
      </c>
      <c r="AG39" s="39" t="n">
        <f aca="false">MY_PS(AG$2,$A39)</f>
        <v>3.21619281426552E-005</v>
      </c>
      <c r="AH39" s="39" t="n">
        <f aca="false">MY_PS(AH$2,$A39)</f>
        <v>3.74455846412944E-005</v>
      </c>
      <c r="AI39" s="39" t="n">
        <f aca="false">MY_PS(AI$2,$A39)</f>
        <v>4.06998885647128E-005</v>
      </c>
      <c r="AJ39" s="39" t="n">
        <f aca="false">MY_PS(AJ$2,$A39)</f>
        <v>4.30755860783064E-005</v>
      </c>
      <c r="AK39" s="39" t="n">
        <f aca="false">MY_PS(AK$2,$A39)</f>
        <v>2015</v>
      </c>
      <c r="AL39" s="39" t="n">
        <f aca="false">MY_PS(AL$2,$A39)</f>
        <v>2015</v>
      </c>
      <c r="AM39" s="39" t="n">
        <f aca="false">MY_PS(AM$2,$A39)</f>
        <v>2015</v>
      </c>
      <c r="AN39" s="39" t="n">
        <f aca="false">MY_PS(AN$2,$A39)</f>
        <v>2015</v>
      </c>
      <c r="AO39" s="39" t="n">
        <f aca="false">MY_PS(AO$2,$A39)</f>
        <v>2015</v>
      </c>
      <c r="AP39" s="39" t="n">
        <f aca="false">MY_PS(AP$2,$A39)</f>
        <v>2015</v>
      </c>
      <c r="AQ39" s="39" t="n">
        <f aca="false">MY_PS(AQ$2,$A39)</f>
        <v>2015</v>
      </c>
      <c r="AR39" s="39" t="n">
        <f aca="false">MY_PS(AR$2,$A39)</f>
        <v>4.38398616824188E-005</v>
      </c>
      <c r="AS39" s="39" t="n">
        <f aca="false">MY_PS(AS$2,$A39)</f>
        <v>4.49898374383627E-005</v>
      </c>
    </row>
    <row r="40" customFormat="false" ht="13.8" hidden="false" customHeight="false" outlineLevel="0" collapsed="false">
      <c r="A40" s="0" t="n">
        <v>9</v>
      </c>
      <c r="B40" s="39" t="n">
        <f aca="false">MY_PS(B$2,$A40)</f>
        <v>2015</v>
      </c>
      <c r="C40" s="39" t="n">
        <f aca="false">MY_PS(C$2,$A40)</f>
        <v>2015</v>
      </c>
      <c r="D40" s="39" t="n">
        <f aca="false">MY_PS(D$2,$A40)</f>
        <v>2015</v>
      </c>
      <c r="E40" s="39" t="n">
        <f aca="false">MY_PS(E$2,$A40)</f>
        <v>2015</v>
      </c>
      <c r="F40" s="39" t="n">
        <f aca="false">MY_PS(F$2,$A40)</f>
        <v>9.50174909425592E-006</v>
      </c>
      <c r="G40" s="39" t="n">
        <f aca="false">MY_PS(G$2,$A40)</f>
        <v>1.10930748916038E-005</v>
      </c>
      <c r="H40" s="39" t="n">
        <f aca="false">MY_PS(H$2,$A40)</f>
        <v>1.23182529822566E-005</v>
      </c>
      <c r="I40" s="39" t="n">
        <f aca="false">MY_PS(I$2,$A40)</f>
        <v>1.33136844640798E-005</v>
      </c>
      <c r="J40" s="39" t="n">
        <f aca="false">MY_PS(J$2,$A40)</f>
        <v>1.41569506034038E-005</v>
      </c>
      <c r="K40" s="39" t="n">
        <f aca="false">MY_PS(K$2,$A40)</f>
        <v>1.48917400737667E-005</v>
      </c>
      <c r="L40" s="39" t="n">
        <f aca="false">MY_PS(L$2,$A40)</f>
        <v>1.5544918791624E-005</v>
      </c>
      <c r="M40" s="39" t="n">
        <f aca="false">MY_PS(M$2,$A40)</f>
        <v>1.61342245086133E-005</v>
      </c>
      <c r="N40" s="39" t="n">
        <f aca="false">MY_PS(N$2,$A40)</f>
        <v>1.66720204188394E-005</v>
      </c>
      <c r="O40" s="39" t="n">
        <f aca="false">MY_PS(O$2,$A40)</f>
        <v>1.71672932188273E-005</v>
      </c>
      <c r="P40" s="39" t="n">
        <f aca="false">MY_PS(P$2,$A40)</f>
        <v>2.07524860676654E-005</v>
      </c>
      <c r="Q40" s="39" t="n">
        <f aca="false">MY_PS(Q$2,$A40)</f>
        <v>2.31024050725649E-005</v>
      </c>
      <c r="R40" s="39" t="n">
        <f aca="false">MY_PS(R$2,$A40)</f>
        <v>2.48760124758476E-005</v>
      </c>
      <c r="S40" s="39" t="n">
        <f aca="false">MY_PS(S$2,$A40)</f>
        <v>2.63093814142666E-005</v>
      </c>
      <c r="T40" s="39" t="n">
        <f aca="false">MY_PS(T$2,$A40)</f>
        <v>2.75162341893878E-005</v>
      </c>
      <c r="U40" s="39" t="n">
        <f aca="false">MY_PS(U$2,$A40)</f>
        <v>2.85606547064443E-005</v>
      </c>
      <c r="V40" s="39" t="n">
        <f aca="false">MY_PS(V$2,$A40)</f>
        <v>2.94825262166277E-005</v>
      </c>
      <c r="W40" s="39" t="n">
        <f aca="false">MY_PS(W$2,$A40)</f>
        <v>3.03084477879339E-005</v>
      </c>
      <c r="X40" s="39" t="n">
        <f aca="false">MY_PS(X$2,$A40)</f>
        <v>3.10570896566686E-005</v>
      </c>
      <c r="Y40" s="39" t="n">
        <f aca="false">MY_PS(Y$2,$A40)</f>
        <v>3.61943619189295E-005</v>
      </c>
      <c r="Z40" s="39" t="n">
        <f aca="false">MY_PS(Z$2,$A40)</f>
        <v>3.93500349226254E-005</v>
      </c>
      <c r="AA40" s="39" t="n">
        <f aca="false">MY_PS(AA$2,$A40)</f>
        <v>4.16462886669157E-005</v>
      </c>
      <c r="AB40" s="39" t="n">
        <f aca="false">MY_PS(AB$2,$A40)</f>
        <v>4.34576416179792E-005</v>
      </c>
      <c r="AC40" s="39" t="n">
        <f aca="false">MY_PS(AC$2,$A40)</f>
        <v>2015</v>
      </c>
      <c r="AD40" s="39" t="n">
        <f aca="false">MY_PS(AD$2,$A40)</f>
        <v>2015</v>
      </c>
      <c r="AE40" s="39" t="n">
        <f aca="false">MY_PS(AE$2,$A40)</f>
        <v>2015</v>
      </c>
      <c r="AF40" s="39" t="n">
        <f aca="false">MY_PS(AF$2,$A40)</f>
        <v>2015</v>
      </c>
      <c r="AG40" s="39" t="n">
        <f aca="false">MY_PS(AG$2,$A40)</f>
        <v>2015</v>
      </c>
      <c r="AH40" s="39" t="n">
        <f aca="false">MY_PS(AH$2,$A40)</f>
        <v>2015</v>
      </c>
      <c r="AI40" s="39" t="n">
        <f aca="false">MY_PS(AI$2,$A40)</f>
        <v>2015</v>
      </c>
      <c r="AJ40" s="39" t="n">
        <f aca="false">MY_PS(AJ$2,$A40)</f>
        <v>2015</v>
      </c>
      <c r="AK40" s="39" t="n">
        <f aca="false">MY_PS(AK$2,$A40)</f>
        <v>2015</v>
      </c>
      <c r="AL40" s="39" t="n">
        <f aca="false">MY_PS(AL$2,$A40)</f>
        <v>2015</v>
      </c>
      <c r="AM40" s="39" t="n">
        <f aca="false">MY_PS(AM$2,$A40)</f>
        <v>2015</v>
      </c>
      <c r="AN40" s="39" t="n">
        <f aca="false">MY_PS(AN$2,$A40)</f>
        <v>2015</v>
      </c>
      <c r="AO40" s="39" t="n">
        <f aca="false">MY_PS(AO$2,$A40)</f>
        <v>2015</v>
      </c>
      <c r="AP40" s="39" t="n">
        <f aca="false">MY_PS(AP$2,$A40)</f>
        <v>2015</v>
      </c>
      <c r="AQ40" s="39" t="n">
        <f aca="false">MY_PS(AQ$2,$A40)</f>
        <v>2015</v>
      </c>
      <c r="AR40" s="39" t="n">
        <f aca="false">MY_PS(AR$2,$A40)</f>
        <v>4.38398616824188E-005</v>
      </c>
      <c r="AS40" s="39" t="n">
        <f aca="false">MY_PS(AS$2,$A40)</f>
        <v>4.49898374383627E-005</v>
      </c>
    </row>
    <row r="41" customFormat="false" ht="13.8" hidden="false" customHeight="false" outlineLevel="0" collapsed="false">
      <c r="A41" s="0" t="n">
        <v>9.15574</v>
      </c>
      <c r="B41" s="39" t="n">
        <f aca="false">MY_PS(B$2,$A41)</f>
        <v>9.21685586775476E-006</v>
      </c>
      <c r="C41" s="39" t="n">
        <f aca="false">MY_PS(C$2,$A41)</f>
        <v>9.47409864193674E-006</v>
      </c>
      <c r="D41" s="39" t="n">
        <f aca="false">MY_PS(D$2,$A41)</f>
        <v>9.72503518890515E-006</v>
      </c>
      <c r="E41" s="39" t="n">
        <f aca="false">MY_PS(E$2,$A41)</f>
        <v>9.96749964387988E-006</v>
      </c>
      <c r="F41" s="39" t="n">
        <f aca="false">MY_PS(F$2,$A41)</f>
        <v>1.0200760500264E-005</v>
      </c>
      <c r="G41" s="39" t="n">
        <f aca="false">MY_PS(G$2,$A41)</f>
        <v>1.21025995634029E-005</v>
      </c>
      <c r="H41" s="39" t="n">
        <f aca="false">MY_PS(H$2,$A41)</f>
        <v>1.34996881196317E-005</v>
      </c>
      <c r="I41" s="39" t="n">
        <f aca="false">MY_PS(I$2,$A41)</f>
        <v>1.46153865139976E-005</v>
      </c>
      <c r="J41" s="39" t="n">
        <f aca="false">MY_PS(J$2,$A41)</f>
        <v>1.55511936072855E-005</v>
      </c>
      <c r="K41" s="39" t="n">
        <f aca="false">MY_PS(K$2,$A41)</f>
        <v>1.63610542166854E-005</v>
      </c>
      <c r="L41" s="39" t="n">
        <f aca="false">MY_PS(L$2,$A41)</f>
        <v>1.70772440347464E-005</v>
      </c>
      <c r="M41" s="39" t="n">
        <f aca="false">MY_PS(M$2,$A41)</f>
        <v>1.77207231199282E-005</v>
      </c>
      <c r="N41" s="39" t="n">
        <f aca="false">MY_PS(N$2,$A41)</f>
        <v>1.83059356531001E-005</v>
      </c>
      <c r="O41" s="39" t="n">
        <f aca="false">MY_PS(O$2,$A41)</f>
        <v>1.88432925575611E-005</v>
      </c>
      <c r="P41" s="39" t="n">
        <f aca="false">MY_PS(P$2,$A41)</f>
        <v>2.26949969775639E-005</v>
      </c>
      <c r="Q41" s="39" t="n">
        <f aca="false">MY_PS(Q$2,$A41)</f>
        <v>2.51898205091819E-005</v>
      </c>
      <c r="R41" s="39" t="n">
        <f aca="false">MY_PS(R$2,$A41)</f>
        <v>2.70600681983042E-005</v>
      </c>
      <c r="S41" s="39" t="n">
        <f aca="false">MY_PS(S$2,$A41)</f>
        <v>2.85644781353834E-005</v>
      </c>
      <c r="T41" s="39" t="n">
        <f aca="false">MY_PS(T$2,$A41)</f>
        <v>2.98266770324106E-005</v>
      </c>
      <c r="U41" s="39" t="n">
        <f aca="false">MY_PS(U$2,$A41)</f>
        <v>3.0915927698689E-005</v>
      </c>
      <c r="V41" s="39" t="n">
        <f aca="false">MY_PS(V$2,$A41)</f>
        <v>3.1875144315027E-005</v>
      </c>
      <c r="W41" s="39" t="n">
        <f aca="false">MY_PS(W$2,$A41)</f>
        <v>3.27328437093567E-005</v>
      </c>
      <c r="X41" s="39" t="n">
        <f aca="false">MY_PS(X$2,$A41)</f>
        <v>3.35089812782627E-005</v>
      </c>
      <c r="Y41" s="39" t="n">
        <f aca="false">MY_PS(Y$2,$A41)</f>
        <v>3.88053150281942E-005</v>
      </c>
      <c r="Z41" s="39" t="n">
        <f aca="false">MY_PS(Z$2,$A41)</f>
        <v>4.20367906651995E-005</v>
      </c>
      <c r="AA41" s="39" t="n">
        <f aca="false">MY_PS(AA$2,$A41)</f>
        <v>2015</v>
      </c>
      <c r="AB41" s="39" t="n">
        <f aca="false">MY_PS(AB$2,$A41)</f>
        <v>2015</v>
      </c>
      <c r="AC41" s="39" t="n">
        <f aca="false">MY_PS(AC$2,$A41)</f>
        <v>2015</v>
      </c>
      <c r="AD41" s="39" t="n">
        <f aca="false">MY_PS(AD$2,$A41)</f>
        <v>2015</v>
      </c>
      <c r="AE41" s="39" t="n">
        <f aca="false">MY_PS(AE$2,$A41)</f>
        <v>2015</v>
      </c>
      <c r="AF41" s="39" t="n">
        <f aca="false">MY_PS(AF$2,$A41)</f>
        <v>2015</v>
      </c>
      <c r="AG41" s="39" t="n">
        <f aca="false">MY_PS(AG$2,$A41)</f>
        <v>2015</v>
      </c>
      <c r="AH41" s="39" t="n">
        <f aca="false">MY_PS(AH$2,$A41)</f>
        <v>2015</v>
      </c>
      <c r="AI41" s="39" t="n">
        <f aca="false">MY_PS(AI$2,$A41)</f>
        <v>2015</v>
      </c>
      <c r="AJ41" s="39" t="n">
        <f aca="false">MY_PS(AJ$2,$A41)</f>
        <v>2015</v>
      </c>
      <c r="AK41" s="39" t="n">
        <f aca="false">MY_PS(AK$2,$A41)</f>
        <v>2015</v>
      </c>
      <c r="AL41" s="39" t="n">
        <f aca="false">MY_PS(AL$2,$A41)</f>
        <v>2015</v>
      </c>
      <c r="AM41" s="39" t="n">
        <f aca="false">MY_PS(AM$2,$A41)</f>
        <v>2015</v>
      </c>
      <c r="AN41" s="39" t="n">
        <f aca="false">MY_PS(AN$2,$A41)</f>
        <v>2015</v>
      </c>
      <c r="AO41" s="39" t="n">
        <f aca="false">MY_PS(AO$2,$A41)</f>
        <v>2015</v>
      </c>
      <c r="AP41" s="39" t="n">
        <f aca="false">MY_PS(AP$2,$A41)</f>
        <v>2015</v>
      </c>
      <c r="AQ41" s="39" t="n">
        <f aca="false">MY_PS(AQ$2,$A41)</f>
        <v>2015</v>
      </c>
      <c r="AR41" s="39" t="n">
        <f aca="false">MY_PS(AR$2,$A41)</f>
        <v>4.38398616824188E-005</v>
      </c>
      <c r="AS41" s="39" t="n">
        <f aca="false">MY_PS(AS$2,$A41)</f>
        <v>4.49898374383627E-005</v>
      </c>
    </row>
    <row r="42" customFormat="false" ht="13.8" hidden="false" customHeight="false" outlineLevel="0" collapsed="false">
      <c r="A42" s="0" t="n">
        <v>9.2</v>
      </c>
      <c r="B42" s="39" t="n">
        <f aca="false">MY_PS(B$2,$A42)</f>
        <v>9.37536807963473E-006</v>
      </c>
      <c r="C42" s="39" t="n">
        <f aca="false">MY_PS(C$2,$A42)</f>
        <v>9.6542654957828E-006</v>
      </c>
      <c r="D42" s="39" t="n">
        <f aca="false">MY_PS(D$2,$A42)</f>
        <v>9.92347526859235E-006</v>
      </c>
      <c r="E42" s="39" t="n">
        <f aca="false">MY_PS(E$2,$A42)</f>
        <v>1.018161457604E-005</v>
      </c>
      <c r="F42" s="39" t="n">
        <f aca="false">MY_PS(F$2,$A42)</f>
        <v>1.04285772462831E-005</v>
      </c>
      <c r="G42" s="39" t="n">
        <f aca="false">MY_PS(G$2,$A42)</f>
        <v>1.24159549451717E-005</v>
      </c>
      <c r="H42" s="39" t="n">
        <f aca="false">MY_PS(H$2,$A42)</f>
        <v>1.38613686429707E-005</v>
      </c>
      <c r="I42" s="39" t="n">
        <f aca="false">MY_PS(I$2,$A42)</f>
        <v>1.50109882404199E-005</v>
      </c>
      <c r="J42" s="39" t="n">
        <f aca="false">MY_PS(J$2,$A42)</f>
        <v>1.59728783990975E-005</v>
      </c>
      <c r="K42" s="39" t="n">
        <f aca="false">MY_PS(K$2,$A42)</f>
        <v>1.68038603630436E-005</v>
      </c>
      <c r="L42" s="39" t="n">
        <f aca="false">MY_PS(L$2,$A42)</f>
        <v>1.75377417664169E-005</v>
      </c>
      <c r="M42" s="39" t="n">
        <f aca="false">MY_PS(M$2,$A42)</f>
        <v>1.81963993488979E-005</v>
      </c>
      <c r="N42" s="39" t="n">
        <f aca="false">MY_PS(N$2,$A42)</f>
        <v>1.87948705374729E-005</v>
      </c>
      <c r="O42" s="39" t="n">
        <f aca="false">MY_PS(O$2,$A42)</f>
        <v>1.93439725947426E-005</v>
      </c>
      <c r="P42" s="39" t="n">
        <f aca="false">MY_PS(P$2,$A42)</f>
        <v>2.32695016985131E-005</v>
      </c>
      <c r="Q42" s="39" t="n">
        <f aca="false">MY_PS(Q$2,$A42)</f>
        <v>2.58040087032284E-005</v>
      </c>
      <c r="R42" s="39" t="n">
        <f aca="false">MY_PS(R$2,$A42)</f>
        <v>2.77005197781328E-005</v>
      </c>
      <c r="S42" s="39" t="n">
        <f aca="false">MY_PS(S$2,$A42)</f>
        <v>2.92241242484126E-005</v>
      </c>
      <c r="T42" s="39" t="n">
        <f aca="false">MY_PS(T$2,$A42)</f>
        <v>3.05012078542427E-005</v>
      </c>
      <c r="U42" s="39" t="n">
        <f aca="false">MY_PS(U$2,$A42)</f>
        <v>3.16024692257504E-005</v>
      </c>
      <c r="V42" s="39" t="n">
        <f aca="false">MY_PS(V$2,$A42)</f>
        <v>3.25716594000615E-005</v>
      </c>
      <c r="W42" s="39" t="n">
        <f aca="false">MY_PS(W$2,$A42)</f>
        <v>3.3437822722934E-005</v>
      </c>
      <c r="X42" s="39" t="n">
        <f aca="false">MY_PS(X$2,$A42)</f>
        <v>3.4221266845151E-005</v>
      </c>
      <c r="Y42" s="39" t="n">
        <f aca="false">MY_PS(Y$2,$A42)</f>
        <v>3.95595429710103E-005</v>
      </c>
      <c r="Z42" s="39" t="n">
        <f aca="false">MY_PS(Z$2,$A42)</f>
        <v>4.28112195100282E-005</v>
      </c>
      <c r="AA42" s="39" t="n">
        <f aca="false">MY_PS(AA$2,$A42)</f>
        <v>2015</v>
      </c>
      <c r="AB42" s="39" t="n">
        <f aca="false">MY_PS(AB$2,$A42)</f>
        <v>2015</v>
      </c>
      <c r="AC42" s="39" t="n">
        <f aca="false">MY_PS(AC$2,$A42)</f>
        <v>2015</v>
      </c>
      <c r="AD42" s="39" t="n">
        <f aca="false">MY_PS(AD$2,$A42)</f>
        <v>2015</v>
      </c>
      <c r="AE42" s="39" t="n">
        <f aca="false">MY_PS(AE$2,$A42)</f>
        <v>2015</v>
      </c>
      <c r="AF42" s="39" t="n">
        <f aca="false">MY_PS(AF$2,$A42)</f>
        <v>2015</v>
      </c>
      <c r="AG42" s="39" t="n">
        <f aca="false">MY_PS(AG$2,$A42)</f>
        <v>2015</v>
      </c>
      <c r="AH42" s="39" t="n">
        <f aca="false">MY_PS(AH$2,$A42)</f>
        <v>2015</v>
      </c>
      <c r="AI42" s="39" t="n">
        <f aca="false">MY_PS(AI$2,$A42)</f>
        <v>2015</v>
      </c>
      <c r="AJ42" s="39" t="n">
        <f aca="false">MY_PS(AJ$2,$A42)</f>
        <v>2015</v>
      </c>
      <c r="AK42" s="39" t="n">
        <f aca="false">MY_PS(AK$2,$A42)</f>
        <v>2015</v>
      </c>
      <c r="AL42" s="39" t="n">
        <f aca="false">MY_PS(AL$2,$A42)</f>
        <v>2015</v>
      </c>
      <c r="AM42" s="39" t="n">
        <f aca="false">MY_PS(AM$2,$A42)</f>
        <v>2015</v>
      </c>
      <c r="AN42" s="39" t="n">
        <f aca="false">MY_PS(AN$2,$A42)</f>
        <v>2015</v>
      </c>
      <c r="AO42" s="39" t="n">
        <f aca="false">MY_PS(AO$2,$A42)</f>
        <v>2015</v>
      </c>
      <c r="AP42" s="39" t="n">
        <f aca="false">MY_PS(AP$2,$A42)</f>
        <v>2015</v>
      </c>
      <c r="AQ42" s="39" t="n">
        <f aca="false">MY_PS(AQ$2,$A42)</f>
        <v>2015</v>
      </c>
      <c r="AR42" s="39" t="n">
        <f aca="false">MY_PS(AR$2,$A42)</f>
        <v>4.38398616824188E-005</v>
      </c>
      <c r="AS42" s="39" t="n">
        <f aca="false">MY_PS(AS$2,$A42)</f>
        <v>4.49898374383627E-005</v>
      </c>
    </row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  <row r="148" customFormat="false" ht="13.8" hidden="false" customHeight="false" outlineLevel="0" collapsed="false"/>
    <row r="149" customFormat="false" ht="13.8" hidden="false" customHeight="false" outlineLevel="0" collapsed="false"/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  <row r="154" customFormat="false" ht="13.8" hidden="false" customHeight="false" outlineLevel="0" collapsed="false"/>
    <row r="155" customFormat="false" ht="13.8" hidden="false" customHeight="false" outlineLevel="0" collapsed="false"/>
    <row r="156" customFormat="false" ht="13.8" hidden="false" customHeight="false" outlineLevel="0" collapsed="false"/>
    <row r="157" customFormat="false" ht="13.8" hidden="false" customHeight="false" outlineLevel="0" collapsed="false"/>
    <row r="158" customFormat="false" ht="13.8" hidden="false" customHeight="false" outlineLevel="0" collapsed="false"/>
    <row r="159" customFormat="false" ht="13.8" hidden="false" customHeight="false" outlineLevel="0" collapsed="false"/>
    <row r="160" customFormat="false" ht="13.8" hidden="false" customHeight="false" outlineLevel="0" collapsed="false"/>
    <row r="161" customFormat="false" ht="13.8" hidden="false" customHeight="false" outlineLevel="0" collapsed="false"/>
    <row r="162" customFormat="false" ht="13.8" hidden="false" customHeight="false" outlineLevel="0" collapsed="false"/>
    <row r="163" customFormat="false" ht="13.8" hidden="false" customHeight="false" outlineLevel="0" collapsed="false"/>
    <row r="164" customFormat="false" ht="13.8" hidden="false" customHeight="false" outlineLevel="0" collapsed="false"/>
    <row r="165" customFormat="false" ht="13.8" hidden="false" customHeight="false" outlineLevel="0" collapsed="false"/>
    <row r="166" customFormat="false" ht="13.8" hidden="false" customHeight="false" outlineLevel="0" collapsed="false"/>
    <row r="167" customFormat="false" ht="13.8" hidden="false" customHeight="false" outlineLevel="0" collapsed="false"/>
    <row r="168" customFormat="false" ht="13.8" hidden="false" customHeight="false" outlineLevel="0" collapsed="false"/>
    <row r="169" customFormat="false" ht="13.8" hidden="false" customHeight="false" outlineLevel="0" collapsed="false"/>
    <row r="170" customFormat="false" ht="13.8" hidden="false" customHeight="false" outlineLevel="0" collapsed="false"/>
    <row r="171" customFormat="false" ht="13.8" hidden="false" customHeight="false" outlineLevel="0" collapsed="false"/>
    <row r="172" customFormat="false" ht="13.8" hidden="false" customHeight="false" outlineLevel="0" collapsed="false"/>
    <row r="173" customFormat="false" ht="13.8" hidden="false" customHeight="false" outlineLevel="0" collapsed="false"/>
    <row r="174" customFormat="false" ht="13.8" hidden="false" customHeight="false" outlineLevel="0" collapsed="false"/>
    <row r="175" customFormat="false" ht="13.8" hidden="false" customHeight="false" outlineLevel="0" collapsed="false"/>
    <row r="176" customFormat="false" ht="13.8" hidden="false" customHeight="false" outlineLevel="0" collapsed="false"/>
    <row r="177" customFormat="false" ht="13.8" hidden="false" customHeight="false" outlineLevel="0" collapsed="false"/>
    <row r="178" customFormat="false" ht="13.8" hidden="false" customHeight="false" outlineLevel="0" collapsed="false"/>
    <row r="179" customFormat="false" ht="13.8" hidden="false" customHeight="false" outlineLevel="0" collapsed="false"/>
    <row r="180" customFormat="false" ht="13.8" hidden="false" customHeight="false" outlineLevel="0" collapsed="false"/>
    <row r="181" customFormat="false" ht="13.8" hidden="false" customHeight="false" outlineLevel="0" collapsed="false"/>
    <row r="182" customFormat="false" ht="13.8" hidden="false" customHeight="false" outlineLevel="0" collapsed="false"/>
    <row r="183" customFormat="false" ht="13.8" hidden="false" customHeight="false" outlineLevel="0" collapsed="false"/>
    <row r="184" customFormat="false" ht="13.8" hidden="false" customHeight="false" outlineLevel="0" collapsed="false"/>
    <row r="185" customFormat="false" ht="13.8" hidden="false" customHeight="false" outlineLevel="0" collapsed="false"/>
    <row r="186" customFormat="false" ht="13.8" hidden="false" customHeight="false" outlineLevel="0" collapsed="false"/>
    <row r="187" customFormat="false" ht="13.8" hidden="false" customHeight="false" outlineLevel="0" collapsed="false"/>
    <row r="188" customFormat="false" ht="13.8" hidden="false" customHeight="false" outlineLevel="0" collapsed="false"/>
    <row r="189" customFormat="false" ht="13.8" hidden="false" customHeight="false" outlineLevel="0" collapsed="false"/>
    <row r="190" customFormat="false" ht="13.8" hidden="false" customHeight="false" outlineLevel="0" collapsed="false"/>
    <row r="191" customFormat="false" ht="13.8" hidden="false" customHeight="false" outlineLevel="0" collapsed="false"/>
    <row r="192" customFormat="false" ht="13.8" hidden="false" customHeight="false" outlineLevel="0" collapsed="false"/>
    <row r="193" customFormat="false" ht="13.8" hidden="false" customHeight="false" outlineLevel="0" collapsed="false"/>
    <row r="194" customFormat="false" ht="13.8" hidden="false" customHeight="false" outlineLevel="0" collapsed="false"/>
    <row r="195" customFormat="false" ht="13.8" hidden="false" customHeight="false" outlineLevel="0" collapsed="false"/>
    <row r="196" customFormat="false" ht="13.8" hidden="false" customHeight="false" outlineLevel="0" collapsed="false"/>
    <row r="197" customFormat="false" ht="13.8" hidden="false" customHeight="false" outlineLevel="0" collapsed="false"/>
    <row r="198" customFormat="false" ht="13.8" hidden="false" customHeight="false" outlineLevel="0" collapsed="false"/>
    <row r="199" customFormat="false" ht="13.8" hidden="false" customHeight="false" outlineLevel="0" collapsed="false"/>
    <row r="200" customFormat="false" ht="13.8" hidden="false" customHeight="false" outlineLevel="0" collapsed="false"/>
    <row r="201" customFormat="false" ht="13.8" hidden="false" customHeight="false" outlineLevel="0" collapsed="false"/>
    <row r="202" customFormat="false" ht="13.8" hidden="false" customHeight="false" outlineLevel="0" collapsed="false"/>
    <row r="203" customFormat="false" ht="13.8" hidden="false" customHeight="false" outlineLevel="0" collapsed="false"/>
    <row r="204" customFormat="false" ht="13.8" hidden="false" customHeight="false" outlineLevel="0" collapsed="false"/>
    <row r="205" customFormat="false" ht="13.8" hidden="false" customHeight="false" outlineLevel="0" collapsed="false"/>
    <row r="206" customFormat="false" ht="13.8" hidden="false" customHeight="false" outlineLevel="0" collapsed="false"/>
    <row r="207" customFormat="false" ht="13.8" hidden="false" customHeight="false" outlineLevel="0" collapsed="false"/>
    <row r="208" customFormat="false" ht="13.8" hidden="false" customHeight="false" outlineLevel="0" collapsed="false"/>
    <row r="209" customFormat="false" ht="13.8" hidden="false" customHeight="false" outlineLevel="0" collapsed="false"/>
    <row r="210" customFormat="false" ht="13.8" hidden="false" customHeight="false" outlineLevel="0" collapsed="false"/>
    <row r="211" customFormat="false" ht="13.8" hidden="false" customHeight="false" outlineLevel="0" collapsed="false"/>
    <row r="212" customFormat="false" ht="13.8" hidden="false" customHeight="false" outlineLevel="0" collapsed="false"/>
    <row r="213" customFormat="false" ht="13.8" hidden="false" customHeight="false" outlineLevel="0" collapsed="false"/>
    <row r="214" customFormat="false" ht="13.8" hidden="false" customHeight="false" outlineLevel="0" collapsed="false"/>
    <row r="215" customFormat="false" ht="13.8" hidden="false" customHeight="false" outlineLevel="0" collapsed="false"/>
    <row r="216" customFormat="false" ht="13.8" hidden="false" customHeight="false" outlineLevel="0" collapsed="false"/>
    <row r="217" customFormat="false" ht="13.8" hidden="false" customHeight="false" outlineLevel="0" collapsed="false"/>
    <row r="218" customFormat="false" ht="13.8" hidden="false" customHeight="false" outlineLevel="0" collapsed="false"/>
    <row r="219" customFormat="false" ht="13.8" hidden="false" customHeight="false" outlineLevel="0" collapsed="false"/>
    <row r="220" customFormat="false" ht="13.8" hidden="false" customHeight="false" outlineLevel="0" collapsed="false"/>
    <row r="221" customFormat="false" ht="13.8" hidden="false" customHeight="false" outlineLevel="0" collapsed="false"/>
    <row r="222" customFormat="false" ht="13.8" hidden="false" customHeight="false" outlineLevel="0" collapsed="false"/>
    <row r="223" customFormat="false" ht="13.8" hidden="false" customHeight="false" outlineLevel="0" collapsed="false"/>
    <row r="224" customFormat="false" ht="13.8" hidden="false" customHeight="false" outlineLevel="0" collapsed="false"/>
    <row r="225" customFormat="false" ht="13.8" hidden="false" customHeight="false" outlineLevel="0" collapsed="false"/>
    <row r="226" customFormat="false" ht="13.8" hidden="false" customHeight="false" outlineLevel="0" collapsed="false"/>
    <row r="227" customFormat="false" ht="13.8" hidden="false" customHeight="false" outlineLevel="0" collapsed="false"/>
    <row r="228" customFormat="false" ht="13.8" hidden="false" customHeight="false" outlineLevel="0" collapsed="false"/>
    <row r="229" customFormat="false" ht="13.8" hidden="false" customHeight="false" outlineLevel="0" collapsed="false"/>
    <row r="230" customFormat="false" ht="13.8" hidden="false" customHeight="false" outlineLevel="0" collapsed="false"/>
    <row r="231" customFormat="false" ht="13.8" hidden="false" customHeight="false" outlineLevel="0" collapsed="false"/>
    <row r="232" customFormat="false" ht="13.8" hidden="false" customHeight="false" outlineLevel="0" collapsed="false"/>
    <row r="233" customFormat="false" ht="13.8" hidden="false" customHeight="false" outlineLevel="0" collapsed="false"/>
    <row r="234" customFormat="false" ht="13.8" hidden="false" customHeight="false" outlineLevel="0" collapsed="false"/>
    <row r="235" customFormat="false" ht="13.8" hidden="false" customHeight="false" outlineLevel="0" collapsed="false"/>
    <row r="236" customFormat="false" ht="13.8" hidden="false" customHeight="false" outlineLevel="0" collapsed="false"/>
    <row r="237" customFormat="false" ht="13.8" hidden="false" customHeight="false" outlineLevel="0" collapsed="false"/>
    <row r="238" customFormat="false" ht="13.8" hidden="false" customHeight="false" outlineLevel="0" collapsed="false"/>
    <row r="239" customFormat="false" ht="13.8" hidden="false" customHeight="false" outlineLevel="0" collapsed="false"/>
    <row r="240" customFormat="false" ht="13.8" hidden="false" customHeight="false" outlineLevel="0" collapsed="false"/>
    <row r="241" customFormat="false" ht="13.8" hidden="false" customHeight="false" outlineLevel="0" collapsed="false"/>
    <row r="242" customFormat="false" ht="13.8" hidden="false" customHeight="false" outlineLevel="0" collapsed="false"/>
    <row r="243" customFormat="false" ht="13.8" hidden="false" customHeight="false" outlineLevel="0" collapsed="false"/>
    <row r="244" customFormat="false" ht="13.8" hidden="false" customHeight="false" outlineLevel="0" collapsed="false"/>
    <row r="245" customFormat="false" ht="13.8" hidden="false" customHeight="false" outlineLevel="0" collapsed="false"/>
    <row r="246" customFormat="false" ht="13.8" hidden="false" customHeight="false" outlineLevel="0" collapsed="false"/>
    <row r="247" customFormat="false" ht="13.8" hidden="false" customHeight="false" outlineLevel="0" collapsed="false"/>
    <row r="248" customFormat="false" ht="13.8" hidden="false" customHeight="false" outlineLevel="0" collapsed="false"/>
    <row r="249" customFormat="false" ht="13.8" hidden="false" customHeight="false" outlineLevel="0" collapsed="false"/>
    <row r="250" customFormat="false" ht="13.8" hidden="false" customHeight="false" outlineLevel="0" collapsed="false"/>
    <row r="251" customFormat="false" ht="13.8" hidden="false" customHeight="false" outlineLevel="0" collapsed="false"/>
    <row r="252" customFormat="false" ht="13.8" hidden="false" customHeight="false" outlineLevel="0" collapsed="false"/>
    <row r="253" customFormat="false" ht="13.8" hidden="false" customHeight="false" outlineLevel="0" collapsed="false"/>
    <row r="254" customFormat="false" ht="13.8" hidden="false" customHeight="false" outlineLevel="0" collapsed="false"/>
    <row r="255" customFormat="false" ht="13.8" hidden="false" customHeight="false" outlineLevel="0" collapsed="false"/>
    <row r="256" customFormat="false" ht="13.8" hidden="false" customHeight="false" outlineLevel="0" collapsed="false"/>
    <row r="257" customFormat="false" ht="13.8" hidden="false" customHeight="false" outlineLevel="0" collapsed="false"/>
    <row r="258" customFormat="false" ht="13.8" hidden="false" customHeight="false" outlineLevel="0" collapsed="false"/>
    <row r="259" customFormat="false" ht="13.8" hidden="false" customHeight="false" outlineLevel="0" collapsed="false"/>
    <row r="260" customFormat="false" ht="13.8" hidden="false" customHeight="false" outlineLevel="0" collapsed="false"/>
    <row r="261" customFormat="false" ht="13.8" hidden="false" customHeight="false" outlineLevel="0" collapsed="false"/>
    <row r="262" customFormat="false" ht="13.8" hidden="false" customHeight="false" outlineLevel="0" collapsed="false"/>
    <row r="263" customFormat="false" ht="13.8" hidden="false" customHeight="false" outlineLevel="0" collapsed="false"/>
    <row r="264" customFormat="false" ht="13.8" hidden="false" customHeight="false" outlineLevel="0" collapsed="false"/>
    <row r="265" customFormat="false" ht="13.8" hidden="false" customHeight="false" outlineLevel="0" collapsed="false"/>
    <row r="266" customFormat="false" ht="13.8" hidden="false" customHeight="false" outlineLevel="0" collapsed="false"/>
    <row r="267" customFormat="false" ht="13.8" hidden="false" customHeight="false" outlineLevel="0" collapsed="false"/>
    <row r="268" customFormat="false" ht="13.8" hidden="false" customHeight="false" outlineLevel="0" collapsed="false"/>
    <row r="269" customFormat="false" ht="13.8" hidden="false" customHeight="false" outlineLevel="0" collapsed="false"/>
    <row r="270" customFormat="false" ht="13.8" hidden="false" customHeight="false" outlineLevel="0" collapsed="false"/>
    <row r="271" customFormat="false" ht="13.8" hidden="false" customHeight="false" outlineLevel="0" collapsed="false"/>
    <row r="272" customFormat="false" ht="13.8" hidden="false" customHeight="false" outlineLevel="0" collapsed="false"/>
    <row r="273" customFormat="false" ht="13.8" hidden="false" customHeight="false" outlineLevel="0" collapsed="false"/>
    <row r="274" customFormat="false" ht="13.8" hidden="false" customHeight="false" outlineLevel="0" collapsed="false"/>
    <row r="275" customFormat="false" ht="13.8" hidden="false" customHeight="false" outlineLevel="0" collapsed="false"/>
    <row r="276" customFormat="false" ht="13.8" hidden="false" customHeight="false" outlineLevel="0" collapsed="false"/>
    <row r="277" customFormat="false" ht="13.8" hidden="false" customHeight="false" outlineLevel="0" collapsed="false"/>
    <row r="278" customFormat="false" ht="13.8" hidden="false" customHeight="false" outlineLevel="0" collapsed="false"/>
    <row r="279" customFormat="false" ht="13.8" hidden="false" customHeight="false" outlineLevel="0" collapsed="false"/>
    <row r="280" customFormat="false" ht="13.8" hidden="false" customHeight="false" outlineLevel="0" collapsed="false"/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/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/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/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/>
    <row r="307" customFormat="false" ht="13.8" hidden="false" customHeight="false" outlineLevel="0" collapsed="false"/>
    <row r="308" customFormat="false" ht="13.8" hidden="false" customHeight="false" outlineLevel="0" collapsed="false"/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/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/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/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/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/>
    <row r="346" customFormat="false" ht="13.8" hidden="false" customHeight="false" outlineLevel="0" collapsed="false"/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/>
    <row r="351" customFormat="false" ht="13.8" hidden="false" customHeight="false" outlineLevel="0" collapsed="false"/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/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/>
    <row r="364" customFormat="false" ht="13.8" hidden="false" customHeight="false" outlineLevel="0" collapsed="false"/>
    <row r="365" customFormat="false" ht="13.8" hidden="false" customHeight="false" outlineLevel="0" collapsed="false"/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/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/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/>
    <row r="381" customFormat="false" ht="13.8" hidden="false" customHeight="false" outlineLevel="0" collapsed="false"/>
    <row r="382" customFormat="false" ht="13.8" hidden="false" customHeight="false" outlineLevel="0" collapsed="false"/>
    <row r="383" customFormat="false" ht="13.8" hidden="false" customHeight="false" outlineLevel="0" collapsed="false"/>
    <row r="384" customFormat="false" ht="13.8" hidden="false" customHeight="false" outlineLevel="0" collapsed="false"/>
    <row r="385" customFormat="false" ht="13.8" hidden="false" customHeight="false" outlineLevel="0" collapsed="false"/>
    <row r="386" customFormat="false" ht="13.8" hidden="false" customHeight="false" outlineLevel="0" collapsed="false"/>
    <row r="387" customFormat="false" ht="13.8" hidden="false" customHeight="false" outlineLevel="0" collapsed="false"/>
    <row r="388" customFormat="false" ht="13.8" hidden="false" customHeight="false" outlineLevel="0" collapsed="false"/>
    <row r="389" customFormat="false" ht="13.8" hidden="false" customHeight="false" outlineLevel="0" collapsed="false"/>
    <row r="390" customFormat="false" ht="13.8" hidden="false" customHeight="false" outlineLevel="0" collapsed="false"/>
    <row r="391" customFormat="false" ht="13.8" hidden="false" customHeight="false" outlineLevel="0" collapsed="false"/>
    <row r="392" customFormat="false" ht="13.8" hidden="false" customHeight="false" outlineLevel="0" collapsed="false"/>
    <row r="393" customFormat="false" ht="13.8" hidden="false" customHeight="false" outlineLevel="0" collapsed="false"/>
    <row r="394" customFormat="false" ht="13.8" hidden="false" customHeight="false" outlineLevel="0" collapsed="false"/>
    <row r="395" customFormat="false" ht="13.8" hidden="false" customHeight="false" outlineLevel="0" collapsed="false"/>
    <row r="396" customFormat="false" ht="13.8" hidden="false" customHeight="false" outlineLevel="0" collapsed="false"/>
    <row r="397" customFormat="false" ht="13.8" hidden="false" customHeight="false" outlineLevel="0" collapsed="false"/>
    <row r="398" customFormat="false" ht="13.8" hidden="false" customHeight="false" outlineLevel="0" collapsed="false"/>
    <row r="399" customFormat="false" ht="13.8" hidden="false" customHeight="false" outlineLevel="0" collapsed="false"/>
    <row r="400" customFormat="false" ht="13.8" hidden="false" customHeight="false" outlineLevel="0" collapsed="false"/>
    <row r="401" customFormat="false" ht="13.8" hidden="false" customHeight="false" outlineLevel="0" collapsed="false"/>
    <row r="402" customFormat="false" ht="13.8" hidden="false" customHeight="false" outlineLevel="0" collapsed="false"/>
    <row r="403" customFormat="false" ht="13.8" hidden="false" customHeight="false" outlineLevel="0" collapsed="false"/>
    <row r="404" customFormat="false" ht="13.8" hidden="false" customHeight="false" outlineLevel="0" collapsed="false"/>
    <row r="405" customFormat="false" ht="13.8" hidden="false" customHeight="false" outlineLevel="0" collapsed="false"/>
    <row r="406" customFormat="false" ht="13.8" hidden="false" customHeight="false" outlineLevel="0" collapsed="false"/>
    <row r="407" customFormat="false" ht="13.8" hidden="false" customHeight="false" outlineLevel="0" collapsed="false"/>
    <row r="408" customFormat="false" ht="13.8" hidden="false" customHeight="false" outlineLevel="0" collapsed="false"/>
    <row r="409" customFormat="false" ht="13.8" hidden="false" customHeight="false" outlineLevel="0" collapsed="false"/>
    <row r="410" customFormat="false" ht="13.8" hidden="false" customHeight="false" outlineLevel="0" collapsed="false"/>
    <row r="411" customFormat="false" ht="13.8" hidden="false" customHeight="false" outlineLevel="0" collapsed="false"/>
    <row r="412" customFormat="false" ht="13.8" hidden="false" customHeight="false" outlineLevel="0" collapsed="false"/>
    <row r="413" customFormat="false" ht="13.8" hidden="false" customHeight="false" outlineLevel="0" collapsed="false"/>
    <row r="414" customFormat="false" ht="13.8" hidden="false" customHeight="false" outlineLevel="0" collapsed="false"/>
    <row r="415" customFormat="false" ht="13.8" hidden="false" customHeight="false" outlineLevel="0" collapsed="false"/>
    <row r="416" customFormat="false" ht="13.8" hidden="false" customHeight="false" outlineLevel="0" collapsed="false"/>
    <row r="417" customFormat="false" ht="13.8" hidden="false" customHeight="false" outlineLevel="0" collapsed="false"/>
    <row r="418" customFormat="false" ht="13.8" hidden="false" customHeight="false" outlineLevel="0" collapsed="false"/>
    <row r="419" customFormat="false" ht="13.8" hidden="false" customHeight="false" outlineLevel="0" collapsed="false"/>
    <row r="420" customFormat="false" ht="13.8" hidden="false" customHeight="false" outlineLevel="0" collapsed="false"/>
    <row r="421" customFormat="false" ht="13.8" hidden="false" customHeight="false" outlineLevel="0" collapsed="false"/>
    <row r="422" customFormat="false" ht="13.8" hidden="false" customHeight="false" outlineLevel="0" collapsed="false"/>
    <row r="423" customFormat="false" ht="13.8" hidden="false" customHeight="false" outlineLevel="0" collapsed="false"/>
    <row r="424" customFormat="false" ht="13.8" hidden="false" customHeight="false" outlineLevel="0" collapsed="false"/>
    <row r="425" customFormat="false" ht="13.8" hidden="false" customHeight="false" outlineLevel="0" collapsed="false"/>
    <row r="426" customFormat="false" ht="13.8" hidden="false" customHeight="false" outlineLevel="0" collapsed="false"/>
    <row r="427" customFormat="false" ht="13.8" hidden="false" customHeight="false" outlineLevel="0" collapsed="false"/>
    <row r="428" customFormat="false" ht="13.8" hidden="false" customHeight="false" outlineLevel="0" collapsed="false"/>
    <row r="429" customFormat="false" ht="13.8" hidden="false" customHeight="false" outlineLevel="0" collapsed="false"/>
    <row r="430" customFormat="false" ht="13.8" hidden="false" customHeight="false" outlineLevel="0" collapsed="false"/>
    <row r="431" customFormat="false" ht="13.8" hidden="false" customHeight="false" outlineLevel="0" collapsed="false"/>
    <row r="432" customFormat="false" ht="13.8" hidden="false" customHeight="false" outlineLevel="0" collapsed="false"/>
    <row r="433" customFormat="false" ht="13.8" hidden="false" customHeight="false" outlineLevel="0" collapsed="false"/>
    <row r="434" customFormat="false" ht="13.8" hidden="false" customHeight="false" outlineLevel="0" collapsed="false"/>
    <row r="435" customFormat="false" ht="13.8" hidden="false" customHeight="false" outlineLevel="0" collapsed="false"/>
    <row r="436" customFormat="false" ht="13.8" hidden="false" customHeight="false" outlineLevel="0" collapsed="false"/>
    <row r="437" customFormat="false" ht="13.8" hidden="false" customHeight="false" outlineLevel="0" collapsed="false"/>
    <row r="438" customFormat="false" ht="13.8" hidden="false" customHeight="false" outlineLevel="0" collapsed="false"/>
    <row r="439" customFormat="false" ht="13.8" hidden="false" customHeight="false" outlineLevel="0" collapsed="false"/>
    <row r="440" customFormat="false" ht="13.8" hidden="false" customHeight="false" outlineLevel="0" collapsed="false"/>
    <row r="441" customFormat="false" ht="13.8" hidden="false" customHeight="false" outlineLevel="0" collapsed="false"/>
    <row r="442" customFormat="false" ht="13.8" hidden="false" customHeight="false" outlineLevel="0" collapsed="false"/>
    <row r="443" customFormat="false" ht="13.8" hidden="false" customHeight="false" outlineLevel="0" collapsed="false"/>
    <row r="444" customFormat="false" ht="13.8" hidden="false" customHeight="false" outlineLevel="0" collapsed="false"/>
    <row r="445" customFormat="false" ht="13.8" hidden="false" customHeight="false" outlineLevel="0" collapsed="false"/>
    <row r="446" customFormat="false" ht="13.8" hidden="false" customHeight="false" outlineLevel="0" collapsed="false"/>
    <row r="447" customFormat="false" ht="13.8" hidden="false" customHeight="false" outlineLevel="0" collapsed="false"/>
    <row r="448" customFormat="false" ht="13.8" hidden="false" customHeight="false" outlineLevel="0" collapsed="false"/>
    <row r="449" customFormat="false" ht="13.8" hidden="false" customHeight="false" outlineLevel="0" collapsed="false"/>
    <row r="450" customFormat="false" ht="13.8" hidden="false" customHeight="false" outlineLevel="0" collapsed="false"/>
    <row r="451" customFormat="false" ht="13.8" hidden="false" customHeight="false" outlineLevel="0" collapsed="false"/>
    <row r="452" customFormat="false" ht="13.8" hidden="false" customHeight="false" outlineLevel="0" collapsed="false"/>
    <row r="453" customFormat="false" ht="13.8" hidden="false" customHeight="false" outlineLevel="0" collapsed="false"/>
    <row r="454" customFormat="false" ht="13.8" hidden="false" customHeight="false" outlineLevel="0" collapsed="false"/>
    <row r="455" customFormat="false" ht="13.8" hidden="false" customHeight="false" outlineLevel="0" collapsed="false"/>
    <row r="456" customFormat="false" ht="13.8" hidden="false" customHeight="false" outlineLevel="0" collapsed="false"/>
    <row r="457" customFormat="false" ht="13.8" hidden="false" customHeight="false" outlineLevel="0" collapsed="false"/>
    <row r="458" customFormat="false" ht="13.8" hidden="false" customHeight="false" outlineLevel="0" collapsed="false"/>
    <row r="459" customFormat="false" ht="13.8" hidden="false" customHeight="false" outlineLevel="0" collapsed="false"/>
    <row r="460" customFormat="false" ht="13.8" hidden="false" customHeight="false" outlineLevel="0" collapsed="false"/>
    <row r="461" customFormat="false" ht="13.8" hidden="false" customHeight="false" outlineLevel="0" collapsed="false"/>
    <row r="462" customFormat="false" ht="13.8" hidden="false" customHeight="false" outlineLevel="0" collapsed="false"/>
    <row r="463" customFormat="false" ht="13.8" hidden="false" customHeight="false" outlineLevel="0" collapsed="false"/>
    <row r="464" customFormat="false" ht="13.8" hidden="false" customHeight="false" outlineLevel="0" collapsed="false"/>
    <row r="465" customFormat="false" ht="13.8" hidden="false" customHeight="false" outlineLevel="0" collapsed="false"/>
    <row r="466" customFormat="false" ht="13.8" hidden="false" customHeight="false" outlineLevel="0" collapsed="false"/>
    <row r="467" customFormat="false" ht="13.8" hidden="false" customHeight="false" outlineLevel="0" collapsed="false"/>
    <row r="468" customFormat="false" ht="13.8" hidden="false" customHeight="false" outlineLevel="0" collapsed="false"/>
    <row r="469" customFormat="false" ht="13.8" hidden="false" customHeight="false" outlineLevel="0" collapsed="false"/>
    <row r="470" customFormat="false" ht="13.8" hidden="false" customHeight="false" outlineLevel="0" collapsed="false"/>
    <row r="471" customFormat="false" ht="13.8" hidden="false" customHeight="false" outlineLevel="0" collapsed="false"/>
    <row r="472" customFormat="false" ht="13.8" hidden="false" customHeight="false" outlineLevel="0" collapsed="false"/>
    <row r="473" customFormat="false" ht="13.8" hidden="false" customHeight="false" outlineLevel="0" collapsed="false"/>
    <row r="474" customFormat="false" ht="13.8" hidden="false" customHeight="false" outlineLevel="0" collapsed="false"/>
    <row r="475" customFormat="false" ht="13.8" hidden="false" customHeight="false" outlineLevel="0" collapsed="false"/>
    <row r="476" customFormat="false" ht="13.8" hidden="false" customHeight="false" outlineLevel="0" collapsed="false"/>
    <row r="477" customFormat="false" ht="13.8" hidden="false" customHeight="false" outlineLevel="0" collapsed="false"/>
    <row r="478" customFormat="false" ht="13.8" hidden="false" customHeight="false" outlineLevel="0" collapsed="false"/>
    <row r="479" customFormat="false" ht="13.8" hidden="false" customHeight="false" outlineLevel="0" collapsed="false"/>
    <row r="480" customFormat="false" ht="13.8" hidden="false" customHeight="false" outlineLevel="0" collapsed="false"/>
    <row r="481" customFormat="false" ht="13.8" hidden="false" customHeight="false" outlineLevel="0" collapsed="false"/>
    <row r="482" customFormat="false" ht="13.8" hidden="false" customHeight="false" outlineLevel="0" collapsed="false"/>
    <row r="483" customFormat="false" ht="13.8" hidden="false" customHeight="false" outlineLevel="0" collapsed="false"/>
    <row r="484" customFormat="false" ht="13.8" hidden="false" customHeight="false" outlineLevel="0" collapsed="false"/>
    <row r="485" customFormat="false" ht="13.8" hidden="false" customHeight="false" outlineLevel="0" collapsed="false"/>
    <row r="486" customFormat="false" ht="13.8" hidden="false" customHeight="false" outlineLevel="0" collapsed="false"/>
    <row r="487" customFormat="false" ht="13.8" hidden="false" customHeight="false" outlineLevel="0" collapsed="false"/>
    <row r="488" customFormat="false" ht="13.8" hidden="false" customHeight="false" outlineLevel="0" collapsed="false"/>
    <row r="489" customFormat="false" ht="13.8" hidden="false" customHeight="false" outlineLevel="0" collapsed="false"/>
    <row r="490" customFormat="false" ht="13.8" hidden="false" customHeight="false" outlineLevel="0" collapsed="false"/>
    <row r="491" customFormat="false" ht="13.8" hidden="false" customHeight="false" outlineLevel="0" collapsed="false"/>
    <row r="492" customFormat="false" ht="13.8" hidden="false" customHeight="false" outlineLevel="0" collapsed="false"/>
    <row r="493" customFormat="false" ht="13.8" hidden="false" customHeight="false" outlineLevel="0" collapsed="false"/>
    <row r="494" customFormat="false" ht="13.8" hidden="false" customHeight="false" outlineLevel="0" collapsed="false"/>
    <row r="495" customFormat="false" ht="13.8" hidden="false" customHeight="false" outlineLevel="0" collapsed="false"/>
    <row r="496" customFormat="false" ht="13.8" hidden="false" customHeight="false" outlineLevel="0" collapsed="false"/>
    <row r="497" customFormat="false" ht="13.8" hidden="false" customHeight="false" outlineLevel="0" collapsed="false"/>
    <row r="498" customFormat="false" ht="13.8" hidden="false" customHeight="false" outlineLevel="0" collapsed="false"/>
    <row r="499" customFormat="false" ht="13.8" hidden="false" customHeight="false" outlineLevel="0" collapsed="false"/>
    <row r="500" customFormat="false" ht="13.8" hidden="false" customHeight="false" outlineLevel="0" collapsed="false"/>
    <row r="501" customFormat="false" ht="13.8" hidden="false" customHeight="false" outlineLevel="0" collapsed="false"/>
    <row r="502" customFormat="false" ht="13.8" hidden="false" customHeight="false" outlineLevel="0" collapsed="false"/>
    <row r="503" customFormat="false" ht="13.8" hidden="false" customHeight="false" outlineLevel="0" collapsed="false"/>
    <row r="504" customFormat="false" ht="13.8" hidden="false" customHeight="false" outlineLevel="0" collapsed="false"/>
    <row r="505" customFormat="false" ht="13.8" hidden="false" customHeight="false" outlineLevel="0" collapsed="false"/>
    <row r="506" customFormat="false" ht="13.8" hidden="false" customHeight="false" outlineLevel="0" collapsed="false"/>
    <row r="507" customFormat="false" ht="13.8" hidden="false" customHeight="false" outlineLevel="0" collapsed="false"/>
    <row r="508" customFormat="false" ht="13.8" hidden="false" customHeight="false" outlineLevel="0" collapsed="false"/>
    <row r="509" customFormat="false" ht="13.8" hidden="false" customHeight="false" outlineLevel="0" collapsed="false"/>
    <row r="510" customFormat="false" ht="13.8" hidden="false" customHeight="false" outlineLevel="0" collapsed="false"/>
    <row r="511" customFormat="false" ht="13.8" hidden="false" customHeight="false" outlineLevel="0" collapsed="false"/>
    <row r="512" customFormat="false" ht="13.8" hidden="false" customHeight="false" outlineLevel="0" collapsed="false"/>
    <row r="513" customFormat="false" ht="13.8" hidden="false" customHeight="false" outlineLevel="0" collapsed="false"/>
    <row r="514" customFormat="false" ht="13.8" hidden="false" customHeight="false" outlineLevel="0" collapsed="false"/>
    <row r="515" customFormat="false" ht="13.8" hidden="false" customHeight="false" outlineLevel="0" collapsed="false"/>
    <row r="516" customFormat="false" ht="13.8" hidden="false" customHeight="false" outlineLevel="0" collapsed="false"/>
    <row r="517" customFormat="false" ht="13.8" hidden="false" customHeight="false" outlineLevel="0" collapsed="false"/>
    <row r="518" customFormat="false" ht="13.8" hidden="false" customHeight="false" outlineLevel="0" collapsed="false"/>
    <row r="519" customFormat="false" ht="13.8" hidden="false" customHeight="false" outlineLevel="0" collapsed="false"/>
    <row r="520" customFormat="false" ht="13.8" hidden="false" customHeight="false" outlineLevel="0" collapsed="false"/>
    <row r="521" customFormat="false" ht="13.8" hidden="false" customHeight="false" outlineLevel="0" collapsed="false"/>
    <row r="522" customFormat="false" ht="13.8" hidden="false" customHeight="false" outlineLevel="0" collapsed="false"/>
    <row r="523" customFormat="false" ht="13.8" hidden="false" customHeight="false" outlineLevel="0" collapsed="false"/>
    <row r="524" customFormat="false" ht="13.8" hidden="false" customHeight="false" outlineLevel="0" collapsed="false"/>
    <row r="525" customFormat="false" ht="13.8" hidden="false" customHeight="false" outlineLevel="0" collapsed="false"/>
    <row r="526" customFormat="false" ht="13.8" hidden="false" customHeight="false" outlineLevel="0" collapsed="false"/>
    <row r="527" customFormat="false" ht="13.8" hidden="false" customHeight="false" outlineLevel="0" collapsed="false"/>
    <row r="528" customFormat="false" ht="13.8" hidden="false" customHeight="false" outlineLevel="0" collapsed="false"/>
    <row r="529" customFormat="false" ht="13.8" hidden="false" customHeight="false" outlineLevel="0" collapsed="false"/>
    <row r="530" customFormat="false" ht="13.8" hidden="false" customHeight="false" outlineLevel="0" collapsed="false"/>
    <row r="531" customFormat="false" ht="13.8" hidden="false" customHeight="false" outlineLevel="0" collapsed="false"/>
    <row r="532" customFormat="false" ht="13.8" hidden="false" customHeight="false" outlineLevel="0" collapsed="false"/>
    <row r="533" customFormat="false" ht="13.8" hidden="false" customHeight="false" outlineLevel="0" collapsed="false"/>
    <row r="534" customFormat="false" ht="13.8" hidden="false" customHeight="false" outlineLevel="0" collapsed="false"/>
    <row r="535" customFormat="false" ht="13.8" hidden="false" customHeight="false" outlineLevel="0" collapsed="false"/>
    <row r="536" customFormat="false" ht="13.8" hidden="false" customHeight="false" outlineLevel="0" collapsed="false"/>
    <row r="537" customFormat="false" ht="13.8" hidden="false" customHeight="false" outlineLevel="0" collapsed="false"/>
    <row r="538" customFormat="false" ht="13.8" hidden="false" customHeight="false" outlineLevel="0" collapsed="false"/>
    <row r="539" customFormat="false" ht="13.8" hidden="false" customHeight="false" outlineLevel="0" collapsed="false"/>
    <row r="540" customFormat="false" ht="13.8" hidden="false" customHeight="false" outlineLevel="0" collapsed="false"/>
    <row r="541" customFormat="false" ht="13.8" hidden="false" customHeight="false" outlineLevel="0" collapsed="false"/>
    <row r="542" customFormat="false" ht="13.8" hidden="false" customHeight="false" outlineLevel="0" collapsed="false"/>
    <row r="543" customFormat="false" ht="13.8" hidden="false" customHeight="false" outlineLevel="0" collapsed="false"/>
    <row r="544" customFormat="false" ht="13.8" hidden="false" customHeight="false" outlineLevel="0" collapsed="false"/>
    <row r="545" customFormat="false" ht="13.8" hidden="false" customHeight="false" outlineLevel="0" collapsed="false"/>
    <row r="546" customFormat="false" ht="13.8" hidden="false" customHeight="false" outlineLevel="0" collapsed="false"/>
    <row r="547" customFormat="false" ht="13.8" hidden="false" customHeight="false" outlineLevel="0" collapsed="false"/>
    <row r="548" customFormat="false" ht="13.8" hidden="false" customHeight="false" outlineLevel="0" collapsed="false"/>
    <row r="549" customFormat="false" ht="13.8" hidden="false" customHeight="false" outlineLevel="0" collapsed="false"/>
    <row r="550" customFormat="false" ht="13.8" hidden="false" customHeight="false" outlineLevel="0" collapsed="false"/>
    <row r="551" customFormat="false" ht="13.8" hidden="false" customHeight="false" outlineLevel="0" collapsed="false"/>
    <row r="552" customFormat="false" ht="13.8" hidden="false" customHeight="false" outlineLevel="0" collapsed="false"/>
    <row r="553" customFormat="false" ht="13.8" hidden="false" customHeight="false" outlineLevel="0" collapsed="false"/>
    <row r="554" customFormat="false" ht="13.8" hidden="false" customHeight="false" outlineLevel="0" collapsed="false"/>
    <row r="555" customFormat="false" ht="13.8" hidden="false" customHeight="false" outlineLevel="0" collapsed="false"/>
    <row r="556" customFormat="false" ht="13.8" hidden="false" customHeight="false" outlineLevel="0" collapsed="false"/>
    <row r="557" customFormat="false" ht="13.8" hidden="false" customHeight="false" outlineLevel="0" collapsed="false"/>
    <row r="558" customFormat="false" ht="13.8" hidden="false" customHeight="false" outlineLevel="0" collapsed="false"/>
    <row r="559" customFormat="false" ht="13.8" hidden="false" customHeight="false" outlineLevel="0" collapsed="false"/>
    <row r="560" customFormat="false" ht="13.8" hidden="false" customHeight="false" outlineLevel="0" collapsed="false"/>
    <row r="561" customFormat="false" ht="13.8" hidden="false" customHeight="false" outlineLevel="0" collapsed="false"/>
    <row r="562" customFormat="false" ht="13.8" hidden="false" customHeight="false" outlineLevel="0" collapsed="false"/>
    <row r="563" customFormat="false" ht="13.8" hidden="false" customHeight="false" outlineLevel="0" collapsed="false"/>
    <row r="564" customFormat="false" ht="13.8" hidden="false" customHeight="false" outlineLevel="0" collapsed="false"/>
    <row r="565" customFormat="false" ht="13.8" hidden="false" customHeight="false" outlineLevel="0" collapsed="false"/>
    <row r="566" customFormat="false" ht="13.8" hidden="false" customHeight="false" outlineLevel="0" collapsed="false"/>
    <row r="567" customFormat="false" ht="13.8" hidden="false" customHeight="false" outlineLevel="0" collapsed="false"/>
    <row r="568" customFormat="false" ht="13.8" hidden="false" customHeight="false" outlineLevel="0" collapsed="false"/>
    <row r="569" customFormat="false" ht="13.8" hidden="false" customHeight="false" outlineLevel="0" collapsed="false"/>
    <row r="570" customFormat="false" ht="13.8" hidden="false" customHeight="false" outlineLevel="0" collapsed="false"/>
    <row r="571" customFormat="false" ht="13.8" hidden="false" customHeight="false" outlineLevel="0" collapsed="false"/>
    <row r="572" customFormat="false" ht="13.8" hidden="false" customHeight="false" outlineLevel="0" collapsed="false"/>
    <row r="573" customFormat="false" ht="13.8" hidden="false" customHeight="false" outlineLevel="0" collapsed="false"/>
    <row r="574" customFormat="false" ht="13.8" hidden="false" customHeight="false" outlineLevel="0" collapsed="false"/>
    <row r="575" customFormat="false" ht="13.8" hidden="false" customHeight="false" outlineLevel="0" collapsed="false"/>
    <row r="576" customFormat="false" ht="13.8" hidden="false" customHeight="false" outlineLevel="0" collapsed="false"/>
    <row r="577" customFormat="false" ht="13.8" hidden="false" customHeight="false" outlineLevel="0" collapsed="false"/>
    <row r="578" customFormat="false" ht="13.8" hidden="false" customHeight="false" outlineLevel="0" collapsed="false"/>
    <row r="579" customFormat="false" ht="13.8" hidden="false" customHeight="false" outlineLevel="0" collapsed="false"/>
    <row r="580" customFormat="false" ht="13.8" hidden="false" customHeight="false" outlineLevel="0" collapsed="false"/>
    <row r="581" customFormat="false" ht="13.8" hidden="false" customHeight="false" outlineLevel="0" collapsed="false"/>
    <row r="582" customFormat="false" ht="13.8" hidden="false" customHeight="false" outlineLevel="0" collapsed="false"/>
    <row r="583" customFormat="false" ht="13.8" hidden="false" customHeight="false" outlineLevel="0" collapsed="false"/>
    <row r="584" customFormat="false" ht="13.8" hidden="false" customHeight="false" outlineLevel="0" collapsed="false"/>
    <row r="585" customFormat="false" ht="13.8" hidden="false" customHeight="false" outlineLevel="0" collapsed="false"/>
    <row r="586" customFormat="false" ht="13.8" hidden="false" customHeight="false" outlineLevel="0" collapsed="false"/>
    <row r="587" customFormat="false" ht="13.8" hidden="false" customHeight="false" outlineLevel="0" collapsed="false"/>
    <row r="588" customFormat="false" ht="13.8" hidden="false" customHeight="false" outlineLevel="0" collapsed="false"/>
    <row r="589" customFormat="false" ht="13.8" hidden="false" customHeight="false" outlineLevel="0" collapsed="false"/>
    <row r="590" customFormat="false" ht="13.8" hidden="false" customHeight="false" outlineLevel="0" collapsed="false"/>
    <row r="591" customFormat="false" ht="13.8" hidden="false" customHeight="false" outlineLevel="0" collapsed="false"/>
    <row r="592" customFormat="false" ht="13.8" hidden="false" customHeight="false" outlineLevel="0" collapsed="false"/>
    <row r="593" customFormat="false" ht="13.8" hidden="false" customHeight="false" outlineLevel="0" collapsed="false"/>
    <row r="594" customFormat="false" ht="13.8" hidden="false" customHeight="false" outlineLevel="0" collapsed="false"/>
    <row r="595" customFormat="false" ht="13.8" hidden="false" customHeight="false" outlineLevel="0" collapsed="false"/>
    <row r="596" customFormat="false" ht="13.8" hidden="false" customHeight="false" outlineLevel="0" collapsed="false"/>
    <row r="597" customFormat="false" ht="13.8" hidden="false" customHeight="false" outlineLevel="0" collapsed="false"/>
    <row r="598" customFormat="false" ht="13.8" hidden="false" customHeight="false" outlineLevel="0" collapsed="false"/>
    <row r="599" customFormat="false" ht="13.8" hidden="false" customHeight="false" outlineLevel="0" collapsed="false"/>
    <row r="600" customFormat="false" ht="13.8" hidden="false" customHeight="false" outlineLevel="0" collapsed="false"/>
    <row r="601" customFormat="false" ht="13.8" hidden="false" customHeight="false" outlineLevel="0" collapsed="false"/>
    <row r="602" customFormat="false" ht="13.8" hidden="false" customHeight="false" outlineLevel="0" collapsed="false"/>
    <row r="603" customFormat="false" ht="13.8" hidden="false" customHeight="false" outlineLevel="0" collapsed="false"/>
    <row r="604" customFormat="false" ht="13.8" hidden="false" customHeight="false" outlineLevel="0" collapsed="false"/>
    <row r="605" customFormat="false" ht="13.8" hidden="false" customHeight="false" outlineLevel="0" collapsed="false"/>
    <row r="606" customFormat="false" ht="13.8" hidden="false" customHeight="false" outlineLevel="0" collapsed="false"/>
    <row r="607" customFormat="false" ht="13.8" hidden="false" customHeight="false" outlineLevel="0" collapsed="false"/>
    <row r="608" customFormat="false" ht="13.8" hidden="false" customHeight="false" outlineLevel="0" collapsed="false"/>
    <row r="609" customFormat="false" ht="13.8" hidden="false" customHeight="false" outlineLevel="0" collapsed="false"/>
    <row r="610" customFormat="false" ht="13.8" hidden="false" customHeight="false" outlineLevel="0" collapsed="false"/>
    <row r="611" customFormat="false" ht="13.8" hidden="false" customHeight="false" outlineLevel="0" collapsed="false"/>
    <row r="612" customFormat="false" ht="13.8" hidden="false" customHeight="false" outlineLevel="0" collapsed="false"/>
    <row r="613" customFormat="false" ht="13.8" hidden="false" customHeight="false" outlineLevel="0" collapsed="false"/>
    <row r="614" customFormat="false" ht="13.8" hidden="false" customHeight="false" outlineLevel="0" collapsed="false"/>
    <row r="615" customFormat="false" ht="13.8" hidden="false" customHeight="false" outlineLevel="0" collapsed="false"/>
    <row r="616" customFormat="false" ht="13.8" hidden="false" customHeight="false" outlineLevel="0" collapsed="false"/>
    <row r="617" customFormat="false" ht="13.8" hidden="false" customHeight="false" outlineLevel="0" collapsed="false"/>
    <row r="618" customFormat="false" ht="13.8" hidden="false" customHeight="false" outlineLevel="0" collapsed="false"/>
    <row r="619" customFormat="false" ht="13.8" hidden="false" customHeight="false" outlineLevel="0" collapsed="false"/>
    <row r="620" customFormat="false" ht="13.8" hidden="false" customHeight="false" outlineLevel="0" collapsed="false"/>
    <row r="621" customFormat="false" ht="13.8" hidden="false" customHeight="false" outlineLevel="0" collapsed="false"/>
    <row r="622" customFormat="false" ht="13.8" hidden="false" customHeight="false" outlineLevel="0" collapsed="false"/>
    <row r="623" customFormat="false" ht="13.8" hidden="false" customHeight="false" outlineLevel="0" collapsed="false"/>
    <row r="624" customFormat="false" ht="13.8" hidden="false" customHeight="false" outlineLevel="0" collapsed="false"/>
    <row r="625" customFormat="false" ht="13.8" hidden="false" customHeight="false" outlineLevel="0" collapsed="false"/>
    <row r="626" customFormat="false" ht="13.8" hidden="false" customHeight="false" outlineLevel="0" collapsed="false"/>
    <row r="627" customFormat="false" ht="13.8" hidden="false" customHeight="false" outlineLevel="0" collapsed="false"/>
    <row r="628" customFormat="false" ht="13.8" hidden="false" customHeight="false" outlineLevel="0" collapsed="false"/>
    <row r="629" customFormat="false" ht="13.8" hidden="false" customHeight="false" outlineLevel="0" collapsed="false"/>
    <row r="630" customFormat="false" ht="13.8" hidden="false" customHeight="false" outlineLevel="0" collapsed="false"/>
    <row r="631" customFormat="false" ht="13.8" hidden="false" customHeight="false" outlineLevel="0" collapsed="false"/>
    <row r="632" customFormat="false" ht="13.8" hidden="false" customHeight="false" outlineLevel="0" collapsed="false"/>
    <row r="633" customFormat="false" ht="13.8" hidden="false" customHeight="false" outlineLevel="0" collapsed="false"/>
    <row r="634" customFormat="false" ht="13.8" hidden="false" customHeight="false" outlineLevel="0" collapsed="false"/>
    <row r="635" customFormat="false" ht="13.8" hidden="false" customHeight="false" outlineLevel="0" collapsed="false"/>
    <row r="636" customFormat="false" ht="13.8" hidden="false" customHeight="false" outlineLevel="0" collapsed="false"/>
    <row r="637" customFormat="false" ht="13.8" hidden="false" customHeight="false" outlineLevel="0" collapsed="false"/>
    <row r="638" customFormat="false" ht="13.8" hidden="false" customHeight="false" outlineLevel="0" collapsed="false"/>
    <row r="639" customFormat="false" ht="13.8" hidden="false" customHeight="false" outlineLevel="0" collapsed="false"/>
    <row r="640" customFormat="false" ht="13.8" hidden="false" customHeight="false" outlineLevel="0" collapsed="false"/>
    <row r="641" customFormat="false" ht="13.8" hidden="false" customHeight="false" outlineLevel="0" collapsed="false"/>
    <row r="642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809</TotalTime>
  <Application>LibreOffice/6.0.7.3$Linux_X86_64 LibreOffice_project/00m0$Build-3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2019-02-24T16:43:08Z</dcterms:modified>
  <cp:revision>79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