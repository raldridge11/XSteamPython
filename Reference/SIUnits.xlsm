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my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MY_ALLREGIONS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<sst xmlns="http://schemas.openxmlformats.org/spreadsheetml/2006/main" count="525" uniqueCount="252">
  <si>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</si>
  <si>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</si>
  <si>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</si>
  <si>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</si>
  <si>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</si>
  <si>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</si>
  <si>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</si>
  <si>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</si>
  <si>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</si>
  <si>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</si>
  <si>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</si>
  <si>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</si>
  <si>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</si>
  <si>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</si>
  <si>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</si>
  <si>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</si>
  <si>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</si>
  <si>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</si>
  <si>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</si>
  <si>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</si>
  <si>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</si>
  <si>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</si>
  <si>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</si>
  <si>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</si>
  <si>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</si>
  <si>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</si>
  <si>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</si>
  <si>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</si>
  <si>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</si>
  <si>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</si>
  <si>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</si>
  <si>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</si>
  <si>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</si>
  <si>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</si>
  <si>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</si>
  <si>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</si>
  <si>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</si>
  <si>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</si>
  <si>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</si>
  <si>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</si>
  <si>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</si>
  <si>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</si>
  <si>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</si>
  <si>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2.63890, 500.0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</si>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</sst>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sz val="10"/>
      <name val="Arial"/>
      <family val="2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1" sqref="AM50:AM51 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5" activeCellId="1" sqref="AM50:AM51 L5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2.8" hidden="false" customHeight="false" outlineLevel="0" collapsed="false">
      <c r="A3" s="4" t="s">
        <v>40</v>
      </c>
      <c r="L3" s="31" t="n">
        <v>1</v>
      </c>
      <c r="M3" s="4" t="n">
        <f aca="false">REGION_PH(L3,L4)</f>
        <v>4</v>
      </c>
      <c r="N3" s="4" t="n">
        <v>60000</v>
      </c>
      <c r="O3" s="4" t="n">
        <f aca="false">H_PT(N3,N5)</f>
        <v>166.614936306524</v>
      </c>
    </row>
    <row r="4" s="4" customFormat="true" ht="12.8" hidden="false" customHeight="false" outlineLevel="0" collapsed="false">
      <c r="A4" s="4" t="s">
        <v>41</v>
      </c>
      <c r="F4" s="6" t="s">
        <v>42</v>
      </c>
      <c r="L4" s="4" t="n">
        <v>1000</v>
      </c>
      <c r="M4" s="4" t="n">
        <f aca="false">MY_ALLREGIONS_PH(L3,L4)</f>
        <v>1.32809175893687E-005</v>
      </c>
      <c r="N4" s="4" t="n">
        <v>300</v>
      </c>
    </row>
    <row r="5" s="4" customFormat="true" ht="12.8" hidden="false" customHeight="false" outlineLevel="0" collapsed="false">
      <c r="A5" s="4" t="s">
        <v>4</v>
      </c>
      <c r="N5" s="4" t="n">
        <f aca="false">N4-273.15</f>
        <v>26.85</v>
      </c>
    </row>
    <row r="6" customFormat="false" ht="12.8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L6" s="3" t="s">
        <v>43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3" customFormat="true" ht="15" hidden="false" customHeight="false" outlineLevel="0" collapsed="false">
      <c r="A8" s="32" t="s">
        <v>9</v>
      </c>
      <c r="F8" s="34"/>
      <c r="G8" s="34"/>
    </row>
    <row r="9" s="4" customFormat="true" ht="12.75" hidden="false" customHeight="false" outlineLevel="1" collapsed="false">
      <c r="A9" s="5" t="s">
        <v>44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45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46</v>
      </c>
    </row>
    <row r="11" s="4" customFormat="true" ht="12.75" hidden="false" customHeight="false" outlineLevel="1" collapsed="false">
      <c r="A11" s="5" t="s">
        <v>47</v>
      </c>
      <c r="B11" s="3" t="n">
        <v>100</v>
      </c>
      <c r="C11" s="3" t="s">
        <v>12</v>
      </c>
      <c r="D11" s="3" t="n">
        <v>1</v>
      </c>
      <c r="E11" s="3" t="s">
        <v>48</v>
      </c>
      <c r="F11" s="5" t="n">
        <f aca="false">T_PS(B11,D11)</f>
        <v>73.7085942144087</v>
      </c>
      <c r="G11" s="5" t="s">
        <v>10</v>
      </c>
      <c r="H11" s="3" t="s">
        <v>49</v>
      </c>
    </row>
    <row r="12" s="4" customFormat="true" ht="12.75" hidden="false" customHeight="false" outlineLevel="1" collapsed="false">
      <c r="A12" s="5" t="s">
        <v>50</v>
      </c>
      <c r="B12" s="3" t="n">
        <v>100</v>
      </c>
      <c r="C12" s="3" t="s">
        <v>17</v>
      </c>
      <c r="D12" s="3" t="n">
        <v>0.2</v>
      </c>
      <c r="E12" s="3" t="s">
        <v>48</v>
      </c>
      <c r="F12" s="5" t="n">
        <f aca="false">T_HS(B12,D12)</f>
        <v>13.8493351118726</v>
      </c>
      <c r="G12" s="5" t="s">
        <v>10</v>
      </c>
      <c r="H12" s="3" t="s">
        <v>51</v>
      </c>
    </row>
    <row r="13" s="33" customFormat="true" ht="15" hidden="false" customHeight="false" outlineLevel="0" collapsed="false">
      <c r="A13" s="32" t="s">
        <v>11</v>
      </c>
      <c r="F13" s="34"/>
      <c r="G13" s="34"/>
    </row>
    <row r="14" s="4" customFormat="true" ht="12.75" hidden="false" customHeight="false" outlineLevel="1" collapsed="false">
      <c r="A14" s="5" t="s">
        <v>52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53</v>
      </c>
      <c r="H14" s="3" t="s">
        <v>13</v>
      </c>
    </row>
    <row r="15" s="4" customFormat="true" ht="12.75" hidden="false" customHeight="false" outlineLevel="1" collapsed="false">
      <c r="A15" s="5" t="s">
        <v>54</v>
      </c>
      <c r="B15" s="3" t="n">
        <v>84</v>
      </c>
      <c r="C15" s="3" t="s">
        <v>17</v>
      </c>
      <c r="D15" s="3" t="n">
        <v>0.296</v>
      </c>
      <c r="E15" s="3" t="s">
        <v>48</v>
      </c>
      <c r="F15" s="5" t="n">
        <f aca="false">P_HS(B15,D15)</f>
        <v>229.549826928091</v>
      </c>
      <c r="G15" s="5" t="s">
        <v>53</v>
      </c>
      <c r="H15" s="3" t="s">
        <v>55</v>
      </c>
    </row>
    <row r="16" s="4" customFormat="true" ht="12.75" hidden="false" customHeight="false" outlineLevel="1" collapsed="false">
      <c r="A16" s="5" t="s">
        <v>56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53</v>
      </c>
      <c r="H16" s="3" t="s">
        <v>57</v>
      </c>
    </row>
    <row r="17" s="33" customFormat="true" ht="15" hidden="false" customHeight="false" outlineLevel="0" collapsed="false">
      <c r="A17" s="32" t="s">
        <v>16</v>
      </c>
      <c r="F17" s="34"/>
      <c r="G17" s="34"/>
    </row>
    <row r="18" s="4" customFormat="true" ht="12.75" hidden="false" customHeight="false" outlineLevel="1" collapsed="false">
      <c r="A18" s="5" t="s">
        <v>58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59</v>
      </c>
    </row>
    <row r="19" s="4" customFormat="true" ht="12.75" hidden="false" customHeight="false" outlineLevel="1" collapsed="false">
      <c r="A19" s="5" t="s">
        <v>60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61</v>
      </c>
    </row>
    <row r="20" s="4" customFormat="true" ht="12.75" hidden="false" customHeight="false" outlineLevel="1" collapsed="false">
      <c r="A20" s="5" t="s">
        <v>62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59</v>
      </c>
    </row>
    <row r="21" s="4" customFormat="true" ht="12.75" hidden="false" customHeight="false" outlineLevel="1" collapsed="false">
      <c r="A21" s="5" t="s">
        <v>63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61</v>
      </c>
    </row>
    <row r="22" s="4" customFormat="true" ht="12.75" hidden="false" customHeight="false" outlineLevel="1" collapsed="false">
      <c r="A22" s="5" t="s">
        <v>64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65</v>
      </c>
    </row>
    <row r="23" s="4" customFormat="true" ht="12.75" hidden="false" customHeight="false" outlineLevel="1" collapsed="false">
      <c r="A23" s="5" t="s">
        <v>66</v>
      </c>
      <c r="B23" s="3" t="n">
        <v>100</v>
      </c>
      <c r="C23" s="3" t="s">
        <v>12</v>
      </c>
      <c r="D23" s="3" t="n">
        <v>1</v>
      </c>
      <c r="E23" s="3" t="s">
        <v>48</v>
      </c>
      <c r="F23" s="5" t="n">
        <f aca="false">H_PS(B23,D23)</f>
        <v>308.610717082946</v>
      </c>
      <c r="G23" s="5" t="s">
        <v>17</v>
      </c>
      <c r="H23" s="3" t="s">
        <v>67</v>
      </c>
    </row>
    <row r="24" s="4" customFormat="true" ht="12.75" hidden="false" customHeight="false" outlineLevel="1" collapsed="false">
      <c r="A24" s="5" t="s">
        <v>68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69</v>
      </c>
    </row>
    <row r="25" s="4" customFormat="true" ht="12.75" hidden="false" customHeight="false" outlineLevel="1" collapsed="false">
      <c r="A25" s="5" t="s">
        <v>70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71</v>
      </c>
    </row>
    <row r="26" s="4" customFormat="true" ht="12.75" hidden="false" customHeight="false" outlineLevel="1" collapsed="false">
      <c r="A26" s="5" t="s">
        <v>72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73</v>
      </c>
    </row>
    <row r="27" s="33" customFormat="true" ht="15" hidden="false" customHeight="false" outlineLevel="0" collapsed="false">
      <c r="A27" s="32" t="s">
        <v>74</v>
      </c>
      <c r="F27" s="34"/>
      <c r="G27" s="34"/>
    </row>
    <row r="28" s="4" customFormat="true" ht="12.75" hidden="false" customHeight="false" outlineLevel="1" collapsed="false">
      <c r="A28" s="5" t="s">
        <v>75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76</v>
      </c>
      <c r="H28" s="3" t="s">
        <v>77</v>
      </c>
    </row>
    <row r="29" s="4" customFormat="true" ht="12.75" hidden="false" customHeight="false" outlineLevel="1" collapsed="false">
      <c r="A29" s="5" t="s">
        <v>78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76</v>
      </c>
      <c r="H29" s="3" t="s">
        <v>79</v>
      </c>
    </row>
    <row r="30" s="4" customFormat="true" ht="12.75" hidden="false" customHeight="false" outlineLevel="1" collapsed="false">
      <c r="A30" s="5" t="s">
        <v>80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76</v>
      </c>
      <c r="H30" s="3" t="s">
        <v>77</v>
      </c>
    </row>
    <row r="31" s="4" customFormat="true" ht="12.75" hidden="false" customHeight="false" outlineLevel="1" collapsed="false">
      <c r="A31" s="5" t="s">
        <v>81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76</v>
      </c>
      <c r="H31" s="3" t="s">
        <v>79</v>
      </c>
    </row>
    <row r="32" s="4" customFormat="true" ht="12.75" hidden="false" customHeight="false" outlineLevel="1" collapsed="false">
      <c r="A32" s="5" t="s">
        <v>82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76</v>
      </c>
      <c r="H32" s="3" t="s">
        <v>83</v>
      </c>
    </row>
    <row r="33" s="4" customFormat="true" ht="12.75" hidden="false" customHeight="false" outlineLevel="1" collapsed="false">
      <c r="A33" s="5" t="s">
        <v>84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76</v>
      </c>
      <c r="H33" s="3" t="s">
        <v>85</v>
      </c>
    </row>
    <row r="34" s="4" customFormat="true" ht="12.75" hidden="false" customHeight="false" outlineLevel="1" collapsed="false">
      <c r="A34" s="5" t="s">
        <v>86</v>
      </c>
      <c r="B34" s="3" t="n">
        <v>100</v>
      </c>
      <c r="C34" s="3" t="s">
        <v>12</v>
      </c>
      <c r="D34" s="3" t="n">
        <v>5</v>
      </c>
      <c r="E34" s="3" t="s">
        <v>48</v>
      </c>
      <c r="F34" s="5" t="n">
        <f aca="false">V_PS(B34,D34)</f>
        <v>1.03463539018629</v>
      </c>
      <c r="G34" s="5" t="s">
        <v>76</v>
      </c>
      <c r="H34" s="3" t="s">
        <v>87</v>
      </c>
    </row>
    <row r="35" s="33" customFormat="true" ht="15" hidden="false" customHeight="false" outlineLevel="0" collapsed="false">
      <c r="A35" s="32" t="s">
        <v>18</v>
      </c>
      <c r="F35" s="34"/>
      <c r="G35" s="34"/>
    </row>
    <row r="36" s="4" customFormat="true" ht="12.75" hidden="false" customHeight="false" outlineLevel="1" collapsed="false">
      <c r="A36" s="5" t="s">
        <v>88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89</v>
      </c>
    </row>
    <row r="37" s="4" customFormat="true" ht="12.75" hidden="false" customHeight="false" outlineLevel="1" collapsed="false">
      <c r="A37" s="5" t="s">
        <v>90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91</v>
      </c>
    </row>
    <row r="38" s="4" customFormat="true" ht="12.75" hidden="false" customHeight="false" outlineLevel="1" collapsed="false">
      <c r="A38" s="5" t="s">
        <v>92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89</v>
      </c>
    </row>
    <row r="39" s="4" customFormat="true" ht="12.75" hidden="false" customHeight="false" outlineLevel="1" collapsed="false">
      <c r="A39" s="5" t="s">
        <v>93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91</v>
      </c>
    </row>
    <row r="40" s="4" customFormat="true" ht="12.75" hidden="false" customHeight="false" outlineLevel="1" collapsed="false">
      <c r="A40" s="5" t="s">
        <v>94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95</v>
      </c>
    </row>
    <row r="41" s="4" customFormat="true" ht="12.75" hidden="false" customHeight="false" outlineLevel="1" collapsed="false">
      <c r="A41" s="5" t="s">
        <v>96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97</v>
      </c>
    </row>
    <row r="42" s="4" customFormat="true" ht="12.75" hidden="false" customHeight="false" outlineLevel="1" collapsed="false">
      <c r="A42" s="5" t="s">
        <v>98</v>
      </c>
      <c r="B42" s="3" t="n">
        <v>100</v>
      </c>
      <c r="C42" s="3" t="s">
        <v>12</v>
      </c>
      <c r="D42" s="3" t="n">
        <v>1</v>
      </c>
      <c r="E42" s="3" t="s">
        <v>48</v>
      </c>
      <c r="F42" s="5" t="n">
        <f aca="false">RHO_PS(B42,D42)</f>
        <v>975.623678848232</v>
      </c>
      <c r="G42" s="5" t="s">
        <v>19</v>
      </c>
      <c r="H42" s="3" t="s">
        <v>99</v>
      </c>
    </row>
    <row r="43" s="33" customFormat="true" ht="15" hidden="false" customHeight="false" outlineLevel="0" collapsed="false">
      <c r="A43" s="32" t="s">
        <v>100</v>
      </c>
      <c r="F43" s="34"/>
      <c r="G43" s="34"/>
    </row>
    <row r="44" s="4" customFormat="true" ht="12.75" hidden="false" customHeight="false" outlineLevel="1" collapsed="false">
      <c r="A44" s="5" t="s">
        <v>101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48</v>
      </c>
      <c r="H44" s="3" t="s">
        <v>102</v>
      </c>
    </row>
    <row r="45" s="4" customFormat="true" ht="12.75" hidden="false" customHeight="false" outlineLevel="1" collapsed="false">
      <c r="A45" s="5" t="s">
        <v>103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48</v>
      </c>
      <c r="H45" s="3" t="s">
        <v>104</v>
      </c>
    </row>
    <row r="46" s="4" customFormat="true" ht="12.75" hidden="false" customHeight="false" outlineLevel="1" collapsed="false">
      <c r="A46" s="5" t="s">
        <v>105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48</v>
      </c>
      <c r="H46" s="3" t="s">
        <v>102</v>
      </c>
    </row>
    <row r="47" s="4" customFormat="true" ht="12.75" hidden="false" customHeight="false" outlineLevel="1" collapsed="false">
      <c r="A47" s="5" t="s">
        <v>106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48</v>
      </c>
      <c r="H47" s="3" t="s">
        <v>104</v>
      </c>
    </row>
    <row r="48" s="4" customFormat="true" ht="12.75" hidden="false" customHeight="false" outlineLevel="1" collapsed="false">
      <c r="A48" s="5" t="s">
        <v>107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48</v>
      </c>
      <c r="H48" s="3" t="s">
        <v>108</v>
      </c>
    </row>
    <row r="49" s="4" customFormat="true" ht="12.75" hidden="false" customHeight="false" outlineLevel="1" collapsed="false">
      <c r="A49" s="5" t="s">
        <v>109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48</v>
      </c>
      <c r="H49" s="3" t="s">
        <v>110</v>
      </c>
    </row>
    <row r="50" s="33" customFormat="true" ht="15" hidden="false" customHeight="false" outlineLevel="0" collapsed="false">
      <c r="A50" s="32" t="s">
        <v>111</v>
      </c>
      <c r="F50" s="34"/>
      <c r="G50" s="34"/>
    </row>
    <row r="51" s="4" customFormat="true" ht="12.75" hidden="false" customHeight="false" outlineLevel="1" collapsed="false">
      <c r="A51" s="5" t="s">
        <v>112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113</v>
      </c>
    </row>
    <row r="52" s="4" customFormat="true" ht="12.75" hidden="false" customHeight="false" outlineLevel="1" collapsed="false">
      <c r="A52" s="5" t="s">
        <v>114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115</v>
      </c>
    </row>
    <row r="53" s="4" customFormat="true" ht="12.75" hidden="false" customHeight="false" outlineLevel="1" collapsed="false">
      <c r="A53" s="5" t="s">
        <v>116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113</v>
      </c>
    </row>
    <row r="54" s="4" customFormat="true" ht="12.75" hidden="false" customHeight="false" outlineLevel="1" collapsed="false">
      <c r="A54" s="5" t="s">
        <v>117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115</v>
      </c>
    </row>
    <row r="55" s="4" customFormat="true" ht="12.75" hidden="false" customHeight="false" outlineLevel="1" collapsed="false">
      <c r="A55" s="5" t="s">
        <v>118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119</v>
      </c>
    </row>
    <row r="56" s="4" customFormat="true" ht="12.75" hidden="false" customHeight="false" outlineLevel="1" collapsed="false">
      <c r="A56" s="5" t="s">
        <v>120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121</v>
      </c>
    </row>
    <row r="57" s="4" customFormat="true" ht="12.75" hidden="false" customHeight="false" outlineLevel="1" collapsed="false">
      <c r="A57" s="5" t="s">
        <v>122</v>
      </c>
      <c r="B57" s="3" t="n">
        <v>100</v>
      </c>
      <c r="C57" s="3" t="s">
        <v>12</v>
      </c>
      <c r="D57" s="3" t="n">
        <v>1</v>
      </c>
      <c r="E57" s="3" t="s">
        <v>48</v>
      </c>
      <c r="F57" s="5" t="n">
        <f aca="false">U_PS(B57,D57)</f>
        <v>308.508218545684</v>
      </c>
      <c r="G57" s="5" t="s">
        <v>17</v>
      </c>
      <c r="H57" s="3" t="s">
        <v>123</v>
      </c>
    </row>
    <row r="58" s="33" customFormat="true" ht="15" hidden="false" customHeight="false" outlineLevel="0" collapsed="false">
      <c r="A58" s="32" t="s">
        <v>124</v>
      </c>
      <c r="F58" s="34"/>
      <c r="G58" s="34"/>
    </row>
    <row r="59" s="4" customFormat="true" ht="12.75" hidden="false" customHeight="false" outlineLevel="1" collapsed="false">
      <c r="A59" s="5" t="s">
        <v>125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126</v>
      </c>
      <c r="H59" s="3" t="s">
        <v>127</v>
      </c>
    </row>
    <row r="60" s="4" customFormat="true" ht="12.75" hidden="false" customHeight="false" outlineLevel="1" collapsed="false">
      <c r="A60" s="5" t="s">
        <v>128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126</v>
      </c>
      <c r="H60" s="3" t="s">
        <v>129</v>
      </c>
    </row>
    <row r="61" s="4" customFormat="true" ht="12.75" hidden="false" customHeight="false" outlineLevel="1" collapsed="false">
      <c r="A61" s="5" t="s">
        <v>130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126</v>
      </c>
      <c r="H61" s="3" t="s">
        <v>127</v>
      </c>
    </row>
    <row r="62" s="4" customFormat="true" ht="12.75" hidden="false" customHeight="false" outlineLevel="1" collapsed="false">
      <c r="A62" s="5" t="s">
        <v>131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126</v>
      </c>
      <c r="H62" s="3" t="s">
        <v>129</v>
      </c>
    </row>
    <row r="63" s="4" customFormat="true" ht="12.75" hidden="false" customHeight="false" outlineLevel="1" collapsed="false">
      <c r="A63" s="5" t="s">
        <v>132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126</v>
      </c>
      <c r="H63" s="3" t="s">
        <v>133</v>
      </c>
    </row>
    <row r="64" s="4" customFormat="true" ht="12.75" hidden="false" customHeight="false" outlineLevel="1" collapsed="false">
      <c r="A64" s="5" t="s">
        <v>134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126</v>
      </c>
      <c r="H64" s="3" t="s">
        <v>135</v>
      </c>
    </row>
    <row r="65" s="4" customFormat="true" ht="12.75" hidden="false" customHeight="false" outlineLevel="1" collapsed="false">
      <c r="A65" s="5" t="s">
        <v>136</v>
      </c>
      <c r="B65" s="3" t="n">
        <v>100</v>
      </c>
      <c r="C65" s="3" t="s">
        <v>12</v>
      </c>
      <c r="D65" s="3" t="n">
        <v>1</v>
      </c>
      <c r="E65" s="3" t="s">
        <v>48</v>
      </c>
      <c r="F65" s="5" t="n">
        <f aca="false">CP_PS(B65,D65)</f>
        <v>4.19060703790129</v>
      </c>
      <c r="G65" s="5" t="s">
        <v>126</v>
      </c>
      <c r="H65" s="3" t="s">
        <v>137</v>
      </c>
    </row>
    <row r="66" s="33" customFormat="true" ht="15" hidden="false" customHeight="false" outlineLevel="0" collapsed="false">
      <c r="A66" s="32" t="s">
        <v>138</v>
      </c>
      <c r="F66" s="34"/>
      <c r="G66" s="34"/>
    </row>
    <row r="67" s="4" customFormat="true" ht="12.75" hidden="false" customHeight="false" outlineLevel="1" collapsed="false">
      <c r="A67" s="5" t="s">
        <v>139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126</v>
      </c>
      <c r="H67" s="3" t="s">
        <v>140</v>
      </c>
    </row>
    <row r="68" s="4" customFormat="true" ht="12.75" hidden="false" customHeight="false" outlineLevel="1" collapsed="false">
      <c r="A68" s="5" t="s">
        <v>141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126</v>
      </c>
      <c r="H68" s="3" t="s">
        <v>142</v>
      </c>
    </row>
    <row r="69" s="4" customFormat="true" ht="12.75" hidden="false" customHeight="false" outlineLevel="1" collapsed="false">
      <c r="A69" s="5" t="s">
        <v>143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126</v>
      </c>
      <c r="H69" s="3" t="s">
        <v>140</v>
      </c>
    </row>
    <row r="70" s="4" customFormat="true" ht="12.75" hidden="false" customHeight="false" outlineLevel="1" collapsed="false">
      <c r="A70" s="5" t="s">
        <v>144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126</v>
      </c>
      <c r="H70" s="3" t="s">
        <v>142</v>
      </c>
    </row>
    <row r="71" s="4" customFormat="true" ht="12.75" hidden="false" customHeight="false" outlineLevel="1" collapsed="false">
      <c r="A71" s="5" t="s">
        <v>145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126</v>
      </c>
      <c r="H71" s="3" t="s">
        <v>146</v>
      </c>
    </row>
    <row r="72" s="4" customFormat="true" ht="12.75" hidden="false" customHeight="false" outlineLevel="1" collapsed="false">
      <c r="A72" s="5" t="s">
        <v>147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126</v>
      </c>
      <c r="H72" s="3" t="s">
        <v>148</v>
      </c>
    </row>
    <row r="73" s="4" customFormat="true" ht="12.75" hidden="false" customHeight="false" outlineLevel="1" collapsed="false">
      <c r="A73" s="5" t="s">
        <v>149</v>
      </c>
      <c r="B73" s="3" t="n">
        <v>100</v>
      </c>
      <c r="C73" s="3" t="s">
        <v>12</v>
      </c>
      <c r="D73" s="3" t="n">
        <v>1</v>
      </c>
      <c r="E73" s="3" t="s">
        <v>48</v>
      </c>
      <c r="F73" s="5" t="n">
        <f aca="false">CV_PS(B73,D73)</f>
        <v>3.90291946811366</v>
      </c>
      <c r="G73" s="5" t="s">
        <v>126</v>
      </c>
      <c r="H73" s="3" t="s">
        <v>150</v>
      </c>
    </row>
    <row r="74" s="33" customFormat="true" ht="15" hidden="false" customHeight="false" outlineLevel="0" collapsed="false">
      <c r="A74" s="32" t="s">
        <v>151</v>
      </c>
      <c r="F74" s="34"/>
      <c r="G74" s="34"/>
    </row>
    <row r="75" s="4" customFormat="true" ht="12.75" hidden="false" customHeight="false" outlineLevel="1" collapsed="false">
      <c r="A75" s="5" t="s">
        <v>152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153</v>
      </c>
    </row>
    <row r="76" s="4" customFormat="true" ht="12.75" hidden="false" customHeight="false" outlineLevel="1" collapsed="false">
      <c r="A76" s="5" t="s">
        <v>154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155</v>
      </c>
    </row>
    <row r="77" s="4" customFormat="true" ht="12.75" hidden="false" customHeight="false" outlineLevel="1" collapsed="false">
      <c r="A77" s="5" t="s">
        <v>156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153</v>
      </c>
    </row>
    <row r="78" s="4" customFormat="true" ht="12.75" hidden="false" customHeight="false" outlineLevel="1" collapsed="false">
      <c r="A78" s="5" t="s">
        <v>157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155</v>
      </c>
    </row>
    <row r="79" s="4" customFormat="true" ht="12.75" hidden="false" customHeight="false" outlineLevel="1" collapsed="false">
      <c r="A79" s="5" t="s">
        <v>158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159</v>
      </c>
    </row>
    <row r="80" s="4" customFormat="true" ht="12.75" hidden="false" customHeight="false" outlineLevel="1" collapsed="false">
      <c r="A80" s="5" t="s">
        <v>160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161</v>
      </c>
    </row>
    <row r="81" s="4" customFormat="true" ht="12.75" hidden="false" customHeight="false" outlineLevel="1" collapsed="false">
      <c r="A81" s="5" t="s">
        <v>162</v>
      </c>
      <c r="B81" s="3" t="n">
        <v>100</v>
      </c>
      <c r="C81" s="3" t="s">
        <v>12</v>
      </c>
      <c r="D81" s="3" t="n">
        <v>1</v>
      </c>
      <c r="E81" s="3" t="s">
        <v>48</v>
      </c>
      <c r="F81" s="5" t="n">
        <f aca="false">W_PS(B81,D81)</f>
        <v>1557.85853553222</v>
      </c>
      <c r="G81" s="5" t="s">
        <v>36</v>
      </c>
      <c r="H81" s="3" t="s">
        <v>163</v>
      </c>
    </row>
    <row r="82" s="33" customFormat="true" ht="15" hidden="false" customHeight="false" outlineLevel="0" collapsed="false">
      <c r="A82" s="32" t="s">
        <v>164</v>
      </c>
      <c r="F82" s="34"/>
      <c r="G82" s="34"/>
    </row>
    <row r="83" s="4" customFormat="true" ht="11.25" hidden="false" customHeight="false" outlineLevel="1" collapsed="false">
      <c r="A83" s="4" t="s">
        <v>165</v>
      </c>
      <c r="F83" s="30"/>
      <c r="G83" s="30"/>
    </row>
    <row r="84" s="4" customFormat="true" ht="11.25" hidden="false" customHeight="false" outlineLevel="1" collapsed="false">
      <c r="A84" s="4" t="s">
        <v>166</v>
      </c>
      <c r="F84" s="30"/>
      <c r="G84" s="30"/>
    </row>
    <row r="85" s="4" customFormat="true" ht="12.75" hidden="false" customHeight="false" outlineLevel="1" collapsed="false">
      <c r="A85" s="5" t="s">
        <v>167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168</v>
      </c>
      <c r="H85" s="3" t="s">
        <v>169</v>
      </c>
    </row>
    <row r="86" s="4" customFormat="true" ht="12.75" hidden="false" customHeight="false" outlineLevel="1" collapsed="false">
      <c r="A86" s="5" t="s">
        <v>170</v>
      </c>
      <c r="B86" s="3" t="n">
        <v>100</v>
      </c>
      <c r="C86" s="3" t="s">
        <v>12</v>
      </c>
      <c r="D86" s="3" t="n">
        <v>100</v>
      </c>
      <c r="E86" s="3" t="s">
        <v>17</v>
      </c>
      <c r="F86" s="35" t="n">
        <f aca="false">MY_PH(B86,D86)</f>
        <v>0.000914003770302112</v>
      </c>
      <c r="G86" s="5" t="s">
        <v>168</v>
      </c>
      <c r="H86" s="3" t="s">
        <v>171</v>
      </c>
    </row>
    <row r="87" s="4" customFormat="true" ht="12.75" hidden="false" customHeight="false" outlineLevel="1" collapsed="false">
      <c r="A87" s="5" t="s">
        <v>172</v>
      </c>
      <c r="B87" s="3" t="n">
        <v>100</v>
      </c>
      <c r="C87" s="3" t="s">
        <v>12</v>
      </c>
      <c r="D87" s="3" t="n">
        <v>1</v>
      </c>
      <c r="E87" s="3" t="s">
        <v>48</v>
      </c>
      <c r="F87" s="35" t="n">
        <f aca="false">MY_PS(B87,D87)</f>
        <v>0.000384221865647568</v>
      </c>
      <c r="G87" s="5" t="s">
        <v>168</v>
      </c>
      <c r="H87" s="3" t="s">
        <v>173</v>
      </c>
    </row>
    <row r="88" customFormat="false" ht="18" hidden="false" customHeight="false" outlineLevel="0" collapsed="false">
      <c r="A88" s="2" t="s">
        <v>174</v>
      </c>
      <c r="F88" s="35"/>
      <c r="H88" s="36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175</v>
      </c>
      <c r="F89" s="35"/>
      <c r="H89" s="36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176</v>
      </c>
      <c r="B90" s="3" t="n">
        <v>100</v>
      </c>
      <c r="C90" s="3" t="s">
        <v>12</v>
      </c>
      <c r="D90" s="1" t="n">
        <v>200</v>
      </c>
      <c r="E90" s="1" t="s">
        <v>10</v>
      </c>
      <c r="F90" s="35" t="n">
        <f aca="false">PR_PT(B90,D90)</f>
        <v>0.957808214385887</v>
      </c>
      <c r="G90" s="5" t="s">
        <v>177</v>
      </c>
      <c r="H90" s="36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178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5" t="n">
        <f aca="false">PR_PH(B91,D91)</f>
        <v>0.957808261483562</v>
      </c>
      <c r="G91" s="5" t="s">
        <v>177</v>
      </c>
      <c r="H91" s="36"/>
      <c r="I91" s="9"/>
      <c r="J91" s="9"/>
      <c r="K91" s="9"/>
      <c r="L91" s="9"/>
      <c r="M91" s="9"/>
    </row>
    <row r="92" s="33" customFormat="true" ht="15" hidden="false" customHeight="false" outlineLevel="0" collapsed="false">
      <c r="A92" s="32" t="s">
        <v>179</v>
      </c>
      <c r="F92" s="34"/>
      <c r="G92" s="34"/>
      <c r="H92" s="37"/>
      <c r="I92" s="37"/>
      <c r="J92" s="37"/>
      <c r="K92" s="37"/>
      <c r="L92" s="37"/>
      <c r="M92" s="37"/>
    </row>
    <row r="93" s="4" customFormat="true" ht="11.25" hidden="false" customHeight="false" outlineLevel="1" collapsed="false">
      <c r="A93" s="4" t="s">
        <v>180</v>
      </c>
      <c r="F93" s="30"/>
      <c r="G93" s="30"/>
    </row>
    <row r="94" s="4" customFormat="true" ht="12.75" hidden="false" customHeight="false" outlineLevel="1" collapsed="false">
      <c r="A94" s="5" t="s">
        <v>181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182</v>
      </c>
      <c r="H94" s="3" t="s">
        <v>183</v>
      </c>
    </row>
    <row r="95" s="4" customFormat="true" ht="12.75" hidden="false" customHeight="false" outlineLevel="1" collapsed="false">
      <c r="A95" s="5" t="s">
        <v>184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182</v>
      </c>
      <c r="H95" s="3" t="s">
        <v>185</v>
      </c>
    </row>
    <row r="96" s="4" customFormat="true" ht="12.75" hidden="false" customHeight="false" outlineLevel="1" collapsed="false">
      <c r="A96" s="5" t="s">
        <v>186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182</v>
      </c>
      <c r="H96" s="3" t="s">
        <v>183</v>
      </c>
    </row>
    <row r="97" s="4" customFormat="true" ht="12.75" hidden="false" customHeight="false" outlineLevel="1" collapsed="false">
      <c r="A97" s="5" t="s">
        <v>187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182</v>
      </c>
      <c r="H97" s="3" t="s">
        <v>185</v>
      </c>
    </row>
    <row r="98" s="4" customFormat="true" ht="12.75" hidden="false" customHeight="false" outlineLevel="1" collapsed="false">
      <c r="A98" s="5" t="s">
        <v>188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182</v>
      </c>
      <c r="H98" s="3" t="s">
        <v>189</v>
      </c>
    </row>
    <row r="99" s="4" customFormat="true" ht="12.75" hidden="false" customHeight="false" outlineLevel="1" collapsed="false">
      <c r="A99" s="5" t="s">
        <v>190</v>
      </c>
      <c r="B99" s="3" t="n">
        <v>100</v>
      </c>
      <c r="C99" s="3" t="s">
        <v>12</v>
      </c>
      <c r="D99" s="3" t="n">
        <v>100</v>
      </c>
      <c r="E99" s="3" t="s">
        <v>48</v>
      </c>
      <c r="F99" s="5" t="n">
        <f aca="false">TC_PH(B99,D99)</f>
        <v>0.605710062456013</v>
      </c>
      <c r="G99" s="5" t="s">
        <v>182</v>
      </c>
      <c r="H99" s="3" t="s">
        <v>191</v>
      </c>
    </row>
    <row r="100" s="4" customFormat="true" ht="12.75" hidden="false" customHeight="false" outlineLevel="1" collapsed="false">
      <c r="A100" s="5" t="s">
        <v>192</v>
      </c>
      <c r="B100" s="3" t="n">
        <v>100</v>
      </c>
      <c r="C100" s="3" t="s">
        <v>48</v>
      </c>
      <c r="D100" s="3" t="n">
        <v>0.34</v>
      </c>
      <c r="E100" s="3" t="s">
        <v>48</v>
      </c>
      <c r="F100" s="5" t="n">
        <f aca="false">TC_HS(B100,D100)</f>
        <v>0.606283123848912</v>
      </c>
      <c r="G100" s="5" t="s">
        <v>182</v>
      </c>
      <c r="H100" s="3" t="s">
        <v>193</v>
      </c>
    </row>
    <row r="101" s="4" customFormat="true" ht="15" hidden="false" customHeight="false" outlineLevel="0" collapsed="false">
      <c r="A101" s="32" t="s">
        <v>194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195</v>
      </c>
      <c r="F102" s="30"/>
      <c r="G102" s="30"/>
    </row>
    <row r="103" s="4" customFormat="true" ht="12.75" hidden="false" customHeight="false" outlineLevel="1" collapsed="false">
      <c r="A103" s="5" t="s">
        <v>196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197</v>
      </c>
      <c r="H103" s="3" t="s">
        <v>198</v>
      </c>
    </row>
    <row r="104" s="4" customFormat="true" ht="12.75" hidden="false" customHeight="false" outlineLevel="1" collapsed="false">
      <c r="A104" s="5" t="s">
        <v>199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197</v>
      </c>
      <c r="H104" s="3" t="s">
        <v>198</v>
      </c>
    </row>
    <row r="105" s="33" customFormat="true" ht="15" hidden="false" customHeight="false" outlineLevel="0" collapsed="false">
      <c r="A105" s="32" t="s">
        <v>30</v>
      </c>
      <c r="F105" s="34"/>
      <c r="G105" s="34"/>
    </row>
    <row r="106" s="4" customFormat="true" ht="12.75" hidden="false" customHeight="false" outlineLevel="1" collapsed="false">
      <c r="A106" s="5" t="s">
        <v>200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201</v>
      </c>
    </row>
    <row r="107" s="4" customFormat="true" ht="12.75" hidden="false" customHeight="false" outlineLevel="1" collapsed="false">
      <c r="A107" s="5" t="s">
        <v>202</v>
      </c>
      <c r="B107" s="3" t="n">
        <v>100</v>
      </c>
      <c r="C107" s="3" t="s">
        <v>12</v>
      </c>
      <c r="D107" s="3" t="n">
        <v>4</v>
      </c>
      <c r="E107" s="3" t="s">
        <v>48</v>
      </c>
      <c r="F107" s="5" t="n">
        <f aca="false">X_PS(B107,D107)</f>
        <v>0.44539796073232</v>
      </c>
      <c r="G107" s="5"/>
      <c r="H107" s="3" t="s">
        <v>203</v>
      </c>
    </row>
    <row r="108" s="33" customFormat="true" ht="15" hidden="false" customHeight="false" outlineLevel="0" collapsed="false">
      <c r="A108" s="32" t="s">
        <v>204</v>
      </c>
      <c r="F108" s="34"/>
      <c r="G108" s="34"/>
    </row>
    <row r="109" s="4" customFormat="true" ht="11.25" hidden="false" customHeight="false" outlineLevel="1" collapsed="false">
      <c r="A109" s="4" t="s">
        <v>205</v>
      </c>
      <c r="F109" s="30"/>
      <c r="G109" s="30"/>
    </row>
    <row r="110" s="4" customFormat="true" ht="11.25" hidden="false" customHeight="false" outlineLevel="1" collapsed="false">
      <c r="A110" s="4" t="s">
        <v>206</v>
      </c>
      <c r="F110" s="30"/>
      <c r="G110" s="30"/>
    </row>
    <row r="111" s="4" customFormat="true" ht="12.75" hidden="false" customHeight="false" outlineLevel="1" collapsed="false">
      <c r="A111" s="5" t="s">
        <v>207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8" t="n">
        <f aca="false">VX_PH(B111,D111)</f>
        <v>0.288493093437067</v>
      </c>
      <c r="G111" s="5"/>
      <c r="H111" s="3" t="s">
        <v>208</v>
      </c>
    </row>
    <row r="112" s="4" customFormat="true" ht="12.75" hidden="false" customHeight="false" outlineLevel="1" collapsed="false">
      <c r="A112" s="5" t="s">
        <v>209</v>
      </c>
      <c r="B112" s="3" t="n">
        <v>100</v>
      </c>
      <c r="C112" s="3" t="s">
        <v>12</v>
      </c>
      <c r="D112" s="3" t="n">
        <v>4</v>
      </c>
      <c r="E112" s="3" t="s">
        <v>48</v>
      </c>
      <c r="F112" s="38" t="n">
        <f aca="false">VX_PS(B112,D112)</f>
        <v>0.99923382663888</v>
      </c>
      <c r="G112" s="5"/>
      <c r="H112" s="3" t="s">
        <v>210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2" t="s">
        <v>211</v>
      </c>
    </row>
    <row r="115" customFormat="false" ht="12.75" hidden="false" customHeight="false" outlineLevel="0" collapsed="false">
      <c r="A115" s="30" t="s">
        <v>212</v>
      </c>
    </row>
    <row r="116" customFormat="false" ht="12.75" hidden="false" customHeight="false" outlineLevel="0" collapsed="false">
      <c r="A116" s="4" t="s">
        <v>213</v>
      </c>
    </row>
    <row r="117" customFormat="false" ht="12.75" hidden="false" customHeight="false" outlineLevel="0" collapsed="false">
      <c r="A117" s="4" t="s">
        <v>214</v>
      </c>
    </row>
    <row r="118" customFormat="false" ht="12.75" hidden="false" customHeight="false" outlineLevel="0" collapsed="false">
      <c r="A118" s="4" t="s">
        <v>215</v>
      </c>
    </row>
    <row r="119" customFormat="false" ht="12.75" hidden="false" customHeight="false" outlineLevel="0" collapsed="false">
      <c r="A119" s="30" t="s">
        <v>216</v>
      </c>
    </row>
    <row r="120" customFormat="false" ht="12.75" hidden="false" customHeight="false" outlineLevel="0" collapsed="false">
      <c r="A120" s="4" t="s">
        <v>217</v>
      </c>
    </row>
    <row r="121" customFormat="false" ht="12.75" hidden="false" customHeight="false" outlineLevel="0" collapsed="false">
      <c r="A121" s="30" t="s">
        <v>218</v>
      </c>
    </row>
    <row r="122" customFormat="false" ht="12.75" hidden="false" customHeight="false" outlineLevel="0" collapsed="false">
      <c r="A122" s="4" t="s">
        <v>219</v>
      </c>
    </row>
    <row r="123" customFormat="false" ht="12.75" hidden="false" customHeight="false" outlineLevel="0" collapsed="false">
      <c r="A123" s="4" t="s">
        <v>220</v>
      </c>
    </row>
    <row r="124" customFormat="false" ht="10.9" hidden="false" customHeight="true" outlineLevel="0" collapsed="false">
      <c r="A124" s="4" t="s">
        <v>221</v>
      </c>
    </row>
    <row r="125" customFormat="false" ht="11.45" hidden="false" customHeight="true" outlineLevel="0" collapsed="false">
      <c r="A125" s="4" t="s">
        <v>222</v>
      </c>
    </row>
    <row r="126" customFormat="false" ht="11.45" hidden="false" customHeight="true" outlineLevel="0" collapsed="false">
      <c r="A126" s="30" t="s">
        <v>223</v>
      </c>
    </row>
    <row r="127" customFormat="false" ht="12.75" hidden="false" customHeight="false" outlineLevel="0" collapsed="false">
      <c r="A127" s="4" t="s">
        <v>224</v>
      </c>
    </row>
    <row r="128" customFormat="false" ht="12.75" hidden="false" customHeight="false" outlineLevel="0" collapsed="false">
      <c r="A128" s="4" t="s">
        <v>225</v>
      </c>
    </row>
    <row r="129" customFormat="false" ht="12.75" hidden="false" customHeight="false" outlineLevel="0" collapsed="false">
      <c r="A129" s="4" t="s">
        <v>226</v>
      </c>
    </row>
    <row r="130" customFormat="false" ht="12.75" hidden="false" customHeight="false" outlineLevel="0" collapsed="false">
      <c r="A130" s="4" t="s">
        <v>227</v>
      </c>
    </row>
    <row r="131" customFormat="false" ht="12.75" hidden="false" customHeight="false" outlineLevel="0" collapsed="false">
      <c r="A131" s="4" t="s">
        <v>228</v>
      </c>
    </row>
    <row r="132" customFormat="false" ht="12.75" hidden="false" customHeight="false" outlineLevel="0" collapsed="false">
      <c r="A132" s="30" t="s">
        <v>229</v>
      </c>
    </row>
    <row r="133" customFormat="false" ht="12.75" hidden="false" customHeight="false" outlineLevel="0" collapsed="false">
      <c r="A133" s="4" t="s">
        <v>225</v>
      </c>
    </row>
    <row r="134" customFormat="false" ht="12.75" hidden="false" customHeight="false" outlineLevel="0" collapsed="false">
      <c r="A134" s="4" t="s">
        <v>230</v>
      </c>
    </row>
    <row r="135" customFormat="false" ht="12.75" hidden="false" customHeight="false" outlineLevel="0" collapsed="false">
      <c r="A135" s="4" t="s">
        <v>231</v>
      </c>
    </row>
    <row r="136" customFormat="false" ht="12.75" hidden="false" customHeight="false" outlineLevel="0" collapsed="false">
      <c r="A136" s="4" t="s">
        <v>232</v>
      </c>
    </row>
    <row r="137" customFormat="false" ht="12.75" hidden="false" customHeight="false" outlineLevel="0" collapsed="false">
      <c r="A137" s="4" t="s">
        <v>233</v>
      </c>
    </row>
    <row r="138" customFormat="false" ht="12.75" hidden="false" customHeight="false" outlineLevel="0" collapsed="false">
      <c r="A138" s="30" t="s">
        <v>234</v>
      </c>
    </row>
    <row r="139" customFormat="false" ht="12.75" hidden="false" customHeight="false" outlineLevel="0" collapsed="false">
      <c r="A139" s="4" t="s">
        <v>235</v>
      </c>
    </row>
    <row r="140" customFormat="false" ht="12.75" hidden="false" customHeight="false" outlineLevel="0" collapsed="false">
      <c r="A140" s="4" t="s">
        <v>236</v>
      </c>
    </row>
    <row r="141" customFormat="false" ht="12.75" hidden="false" customHeight="false" outlineLevel="0" collapsed="false">
      <c r="A141" s="4" t="s">
        <v>237</v>
      </c>
    </row>
    <row r="142" customFormat="false" ht="12.75" hidden="false" customHeight="false" outlineLevel="0" collapsed="false">
      <c r="A142" s="30" t="s">
        <v>238</v>
      </c>
    </row>
    <row r="143" customFormat="false" ht="12.75" hidden="false" customHeight="false" outlineLevel="0" collapsed="false">
      <c r="A143" s="4" t="s">
        <v>239</v>
      </c>
    </row>
    <row r="144" customFormat="false" ht="12.75" hidden="false" customHeight="false" outlineLevel="0" collapsed="false">
      <c r="A144" s="4" t="s">
        <v>240</v>
      </c>
    </row>
    <row r="145" customFormat="false" ht="12.75" hidden="false" customHeight="false" outlineLevel="0" collapsed="false">
      <c r="A145" s="4" t="s">
        <v>241</v>
      </c>
    </row>
    <row r="146" customFormat="false" ht="12.75" hidden="false" customHeight="false" outlineLevel="0" collapsed="false">
      <c r="A146" s="4" t="s">
        <v>242</v>
      </c>
    </row>
    <row r="147" customFormat="false" ht="12.75" hidden="false" customHeight="false" outlineLevel="0" collapsed="false">
      <c r="A147" s="4" t="s">
        <v>243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S2" activeCellId="1" sqref="AM50:AM51 AS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245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246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247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248</v>
      </c>
      <c r="B9" s="0" t="s">
        <v>249</v>
      </c>
      <c r="C9" s="0" t="s">
        <v>250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1"/>
  <sheetViews>
    <sheetView showFormulas="false" showGridLines="true" showRowColHeaders="true" showZeros="true" rightToLeft="false" tabSelected="true" showOutlineSymbols="true" defaultGridColor="true" view="normal" topLeftCell="AF1" colorId="64" zoomScale="100" zoomScaleNormal="100" zoomScalePageLayoutView="100" workbookViewId="0">
      <selection pane="topLeft" activeCell="AM51" activeCellId="0" sqref="AM50:AM51"/>
    </sheetView>
  </sheetViews>
  <sheetFormatPr defaultRowHeight="12.8" zeroHeight="false" outlineLevelRow="0" outlineLevelCol="0"/>
  <cols>
    <col collapsed="false" customWidth="true" hidden="false" outlineLevel="0" max="1025" min="1" style="39" width="8.67"/>
  </cols>
  <sheetData>
    <row r="1" customFormat="false" ht="12.8" hidden="false" customHeight="false" outlineLevel="0" collapsed="false">
      <c r="A1" s="39" t="s">
        <v>251</v>
      </c>
      <c r="B1" s="39" t="n">
        <v>1</v>
      </c>
      <c r="C1" s="39" t="n">
        <v>2</v>
      </c>
      <c r="D1" s="39" t="n">
        <v>3</v>
      </c>
      <c r="E1" s="39" t="n">
        <v>4</v>
      </c>
      <c r="F1" s="39" t="n">
        <v>5</v>
      </c>
      <c r="G1" s="39" t="n">
        <v>6</v>
      </c>
      <c r="H1" s="39" t="n">
        <v>7</v>
      </c>
      <c r="I1" s="39" t="n">
        <v>8</v>
      </c>
      <c r="J1" s="39" t="n">
        <v>9</v>
      </c>
      <c r="K1" s="39" t="n">
        <v>10</v>
      </c>
      <c r="L1" s="39" t="n">
        <v>11</v>
      </c>
      <c r="M1" s="39" t="n">
        <v>12</v>
      </c>
      <c r="N1" s="39" t="n">
        <v>13</v>
      </c>
      <c r="O1" s="39" t="n">
        <v>14</v>
      </c>
      <c r="P1" s="39" t="n">
        <v>15</v>
      </c>
      <c r="Q1" s="39" t="n">
        <v>16</v>
      </c>
      <c r="R1" s="39" t="n">
        <v>17</v>
      </c>
      <c r="S1" s="39" t="n">
        <v>18</v>
      </c>
      <c r="T1" s="39" t="n">
        <v>19</v>
      </c>
      <c r="U1" s="39" t="n">
        <v>20</v>
      </c>
      <c r="V1" s="39" t="n">
        <v>21</v>
      </c>
      <c r="W1" s="39" t="n">
        <v>22</v>
      </c>
      <c r="X1" s="39" t="n">
        <v>23</v>
      </c>
      <c r="Y1" s="39" t="n">
        <v>24</v>
      </c>
      <c r="Z1" s="39" t="n">
        <v>25</v>
      </c>
      <c r="AA1" s="39" t="n">
        <v>26</v>
      </c>
      <c r="AB1" s="39" t="n">
        <v>27</v>
      </c>
      <c r="AC1" s="39" t="n">
        <v>28</v>
      </c>
      <c r="AD1" s="39" t="n">
        <v>29</v>
      </c>
      <c r="AE1" s="39" t="n">
        <v>30</v>
      </c>
      <c r="AF1" s="39" t="n">
        <v>31</v>
      </c>
      <c r="AG1" s="39" t="n">
        <v>32</v>
      </c>
      <c r="AH1" s="39" t="n">
        <v>33</v>
      </c>
      <c r="AI1" s="39" t="n">
        <v>34</v>
      </c>
      <c r="AJ1" s="39" t="n">
        <v>35</v>
      </c>
      <c r="AK1" s="39" t="n">
        <v>36</v>
      </c>
      <c r="AL1" s="39" t="n">
        <v>37</v>
      </c>
      <c r="AM1" s="39" t="n">
        <v>38</v>
      </c>
      <c r="AN1" s="39" t="n">
        <v>39</v>
      </c>
      <c r="AO1" s="39" t="n">
        <v>40</v>
      </c>
      <c r="AP1" s="39" t="n">
        <v>41</v>
      </c>
      <c r="AQ1" s="39" t="n">
        <v>42</v>
      </c>
      <c r="AR1" s="39" t="n">
        <v>43</v>
      </c>
      <c r="AS1" s="39" t="n">
        <v>44</v>
      </c>
    </row>
    <row r="2" customFormat="false" ht="13.8" hidden="false" customHeight="false" outlineLevel="0" collapsed="false">
      <c r="A2" s="39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39" t="n">
        <f aca="false">MY_PT(B$2,$A3)</f>
        <v>2015</v>
      </c>
      <c r="C3" s="39" t="n">
        <f aca="false">MY_PT(C$2,$A3)</f>
        <v>2015</v>
      </c>
      <c r="D3" s="39" t="n">
        <f aca="false">MY_PT(D$2,$A3)</f>
        <v>2015</v>
      </c>
      <c r="E3" s="39" t="n">
        <f aca="false">MY_PT(E$2,$A3)</f>
        <v>2015</v>
      </c>
      <c r="F3" s="39" t="n">
        <f aca="false">MY_PT(F$2,$A3)</f>
        <v>2015</v>
      </c>
      <c r="G3" s="39" t="n">
        <f aca="false">MY_PT(G$2,$A3)</f>
        <v>2015</v>
      </c>
      <c r="H3" s="39" t="n">
        <f aca="false">MY_PT(H$2,$A3)</f>
        <v>2015</v>
      </c>
      <c r="I3" s="39" t="n">
        <f aca="false">MY_PT(I$2,$A3)</f>
        <v>2015</v>
      </c>
      <c r="J3" s="39" t="n">
        <f aca="false">MY_PT(J$2,$A3)</f>
        <v>2015</v>
      </c>
      <c r="K3" s="39" t="n">
        <f aca="false">MY_PT(K$2,$A3)</f>
        <v>2015</v>
      </c>
      <c r="L3" s="39" t="n">
        <f aca="false">MY_PT(L$2,$A3)</f>
        <v>2015</v>
      </c>
      <c r="M3" s="39" t="n">
        <f aca="false">MY_PT(M$2,$A3)</f>
        <v>2015</v>
      </c>
      <c r="N3" s="39" t="n">
        <f aca="false">MY_PT(N$2,$A3)</f>
        <v>2015</v>
      </c>
      <c r="O3" s="39" t="n">
        <f aca="false">MY_PT(O$2,$A3)</f>
        <v>2015</v>
      </c>
      <c r="P3" s="39" t="n">
        <f aca="false">MY_PT(P$2,$A3)</f>
        <v>2015</v>
      </c>
      <c r="Q3" s="39" t="n">
        <f aca="false">MY_PT(Q$2,$A3)</f>
        <v>2015</v>
      </c>
      <c r="R3" s="39" t="n">
        <f aca="false">MY_PT(R$2,$A3)</f>
        <v>2015</v>
      </c>
      <c r="S3" s="39" t="n">
        <f aca="false">MY_PT(S$2,$A3)</f>
        <v>2015</v>
      </c>
      <c r="T3" s="39" t="n">
        <f aca="false">MY_PT(T$2,$A3)</f>
        <v>2015</v>
      </c>
      <c r="U3" s="39" t="n">
        <f aca="false">MY_PT(U$2,$A3)</f>
        <v>2015</v>
      </c>
      <c r="V3" s="39" t="n">
        <f aca="false">MY_PT(V$2,$A3)</f>
        <v>2015</v>
      </c>
      <c r="W3" s="39" t="n">
        <f aca="false">MY_PT(W$2,$A3)</f>
        <v>2015</v>
      </c>
      <c r="X3" s="39" t="n">
        <f aca="false">MY_PT(X$2,$A3)</f>
        <v>2015</v>
      </c>
      <c r="Y3" s="39" t="n">
        <f aca="false">MY_PT(Y$2,$A3)</f>
        <v>2015</v>
      </c>
      <c r="Z3" s="39" t="n">
        <f aca="false">MY_PT(Z$2,$A3)</f>
        <v>2015</v>
      </c>
      <c r="AA3" s="39" t="n">
        <f aca="false">MY_PT(AA$2,$A3)</f>
        <v>2015</v>
      </c>
      <c r="AB3" s="39" t="n">
        <f aca="false">MY_PT(AB$2,$A3)</f>
        <v>2015</v>
      </c>
      <c r="AC3" s="39" t="n">
        <f aca="false">MY_PT(AC$2,$A3)</f>
        <v>2015</v>
      </c>
      <c r="AD3" s="39" t="n">
        <f aca="false">MY_PT(AD$2,$A3)</f>
        <v>2015</v>
      </c>
      <c r="AE3" s="39" t="n">
        <f aca="false">MY_PT(AE$2,$A3)</f>
        <v>2015</v>
      </c>
      <c r="AF3" s="39" t="n">
        <f aca="false">MY_PT(AF$2,$A3)</f>
        <v>2015</v>
      </c>
      <c r="AG3" s="39" t="n">
        <f aca="false">MY_PT(AG$2,$A3)</f>
        <v>2015</v>
      </c>
      <c r="AH3" s="39" t="n">
        <f aca="false">MY_PT(AH$2,$A3)</f>
        <v>2015</v>
      </c>
      <c r="AI3" s="39" t="n">
        <f aca="false">MY_PT(AI$2,$A3)</f>
        <v>2015</v>
      </c>
      <c r="AJ3" s="39" t="n">
        <f aca="false">MY_PT(AJ$2,$A3)</f>
        <v>2015</v>
      </c>
      <c r="AK3" s="39" t="n">
        <f aca="false">MY_PT(AK$2,$A3)</f>
        <v>2015</v>
      </c>
      <c r="AL3" s="39" t="n">
        <f aca="false">MY_PT(AL$2,$A3)</f>
        <v>2015</v>
      </c>
      <c r="AM3" s="39" t="n">
        <f aca="false">MY_PT(AM$2,$A3)</f>
        <v>2015</v>
      </c>
      <c r="AN3" s="39" t="n">
        <f aca="false">MY_PT(AN$2,$A3)</f>
        <v>2015</v>
      </c>
      <c r="AO3" s="39" t="n">
        <f aca="false">MY_PT(AO$2,$A3)</f>
        <v>2015</v>
      </c>
      <c r="AP3" s="39" t="n">
        <f aca="false">MY_PT(AP$2,$A3)</f>
        <v>2015</v>
      </c>
      <c r="AQ3" s="39" t="n">
        <f aca="false">MY_PT(AQ$2,$A3)</f>
        <v>2015</v>
      </c>
      <c r="AR3" s="39" t="n">
        <f aca="false">MY_PT(AR$2,$A3)</f>
        <v>2015</v>
      </c>
      <c r="AS3" s="39" t="n">
        <f aca="false">MY_PT(AS$2,$A3)</f>
        <v>2015</v>
      </c>
    </row>
    <row r="4" customFormat="false" ht="13.8" hidden="false" customHeight="false" outlineLevel="0" collapsed="false">
      <c r="A4" s="0" t="n">
        <v>0.1</v>
      </c>
      <c r="B4" s="39" t="n">
        <f aca="false">MY_PT(B$2,$A4)</f>
        <v>2015</v>
      </c>
      <c r="C4" s="39" t="n">
        <f aca="false">MY_PT(C$2,$A4)</f>
        <v>0.00178556041487982</v>
      </c>
      <c r="D4" s="39" t="n">
        <f aca="false">MY_PT(D$2,$A4)</f>
        <v>0.00178556016478561</v>
      </c>
      <c r="E4" s="39" t="n">
        <f aca="false">MY_PT(E$2,$A4)</f>
        <v>0.00178555991469168</v>
      </c>
      <c r="F4" s="39" t="n">
        <f aca="false">MY_PT(F$2,$A4)</f>
        <v>0.00178555966459801</v>
      </c>
      <c r="G4" s="39" t="n">
        <f aca="false">MY_PT(G$2,$A4)</f>
        <v>0.00178555716367617</v>
      </c>
      <c r="H4" s="39" t="n">
        <f aca="false">MY_PT(H$2,$A4)</f>
        <v>0.00178555466278126</v>
      </c>
      <c r="I4" s="39" t="n">
        <f aca="false">MY_PT(I$2,$A4)</f>
        <v>0.00178555216191328</v>
      </c>
      <c r="J4" s="39" t="n">
        <f aca="false">MY_PT(J$2,$A4)</f>
        <v>0.00178554966107222</v>
      </c>
      <c r="K4" s="39" t="n">
        <f aca="false">MY_PT(K$2,$A4)</f>
        <v>0.00178554716025807</v>
      </c>
      <c r="L4" s="39" t="n">
        <f aca="false">MY_PT(L$2,$A4)</f>
        <v>0.00178554465947084</v>
      </c>
      <c r="M4" s="39" t="n">
        <f aca="false">MY_PT(M$2,$A4)</f>
        <v>0.00178554215871055</v>
      </c>
      <c r="N4" s="39" t="n">
        <f aca="false">MY_PT(N$2,$A4)</f>
        <v>0.00178553965797716</v>
      </c>
      <c r="O4" s="39" t="n">
        <f aca="false">MY_PT(O$2,$A4)</f>
        <v>0.00178553715727069</v>
      </c>
      <c r="P4" s="39" t="n">
        <f aca="false">MY_PT(P$2,$A4)</f>
        <v>0.00178551215168684</v>
      </c>
      <c r="Q4" s="39" t="n">
        <f aca="false">MY_PT(Q$2,$A4)</f>
        <v>0.00178548714879507</v>
      </c>
      <c r="R4" s="39" t="n">
        <f aca="false">MY_PT(R$2,$A4)</f>
        <v>0.00178546214859521</v>
      </c>
      <c r="S4" s="39" t="n">
        <f aca="false">MY_PT(S$2,$A4)</f>
        <v>0.00178543715108711</v>
      </c>
      <c r="T4" s="39" t="n">
        <f aca="false">MY_PT(T$2,$A4)</f>
        <v>0.00178541215627065</v>
      </c>
      <c r="U4" s="39" t="n">
        <f aca="false">MY_PT(U$2,$A4)</f>
        <v>0.00178538716414562</v>
      </c>
      <c r="V4" s="39" t="n">
        <f aca="false">MY_PT(V$2,$A4)</f>
        <v>0.00178536217471187</v>
      </c>
      <c r="W4" s="39" t="n">
        <f aca="false">MY_PT(W$2,$A4)</f>
        <v>0.00178533718796931</v>
      </c>
      <c r="X4" s="39" t="n">
        <f aca="false">MY_PT(X$2,$A4)</f>
        <v>0.00178531220391774</v>
      </c>
      <c r="Y4" s="39" t="n">
        <f aca="false">MY_PT(Y$2,$A4)</f>
        <v>0.00178506251137304</v>
      </c>
      <c r="Z4" s="39" t="n">
        <f aca="false">MY_PT(Z$2,$A4)</f>
        <v>0.0017848130877589</v>
      </c>
      <c r="AA4" s="39" t="n">
        <f aca="false">MY_PT(AA$2,$A4)</f>
        <v>0.0017845639329217</v>
      </c>
      <c r="AB4" s="39" t="n">
        <f aca="false">MY_PT(AB$2,$A4)</f>
        <v>0.00178431504670778</v>
      </c>
      <c r="AC4" s="39" t="n">
        <f aca="false">MY_PT(AC$2,$A4)</f>
        <v>0.00178406642896356</v>
      </c>
      <c r="AD4" s="39" t="n">
        <f aca="false">MY_PT(AD$2,$A4)</f>
        <v>0.0017838180795355</v>
      </c>
      <c r="AE4" s="39" t="n">
        <f aca="false">MY_PT(AE$2,$A4)</f>
        <v>0.00178356999827017</v>
      </c>
      <c r="AF4" s="39" t="n">
        <f aca="false">MY_PT(AF$2,$A4)</f>
        <v>0.00178332218501408</v>
      </c>
      <c r="AG4" s="39" t="n">
        <f aca="false">MY_PT(AG$2,$A4)</f>
        <v>0.00178307463961386</v>
      </c>
      <c r="AH4" s="39" t="n">
        <f aca="false">MY_PT(AH$2,$A4)</f>
        <v>0.00178061388397904</v>
      </c>
      <c r="AI4" s="39" t="n">
        <f aca="false">MY_PT(AI$2,$A4)</f>
        <v>0.00177817974559738</v>
      </c>
      <c r="AJ4" s="39" t="n">
        <f aca="false">MY_PT(AJ$2,$A4)</f>
        <v>0.0017757720719405</v>
      </c>
      <c r="AK4" s="39" t="n">
        <f aca="false">MY_PT(AK$2,$A4)</f>
        <v>0.00177339071100424</v>
      </c>
      <c r="AL4" s="39" t="n">
        <f aca="false">MY_PT(AL$2,$A4)</f>
        <v>0.00177103551131582</v>
      </c>
      <c r="AM4" s="39" t="n">
        <f aca="false">MY_PT(AM$2,$A4)</f>
        <v>0.00176870632194095</v>
      </c>
      <c r="AN4" s="39" t="n">
        <f aca="false">MY_PT(AN$2,$A4)</f>
        <v>0.00176640299249077</v>
      </c>
      <c r="AO4" s="39" t="n">
        <f aca="false">MY_PT(AO$2,$A4)</f>
        <v>0.00176412537312863</v>
      </c>
      <c r="AP4" s="39" t="n">
        <f aca="false">MY_PT(AP$2,$A4)</f>
        <v>0.00176187331457658</v>
      </c>
      <c r="AQ4" s="39" t="n">
        <f aca="false">MY_PT(AQ$2,$A4)</f>
        <v>0.00174072614422087</v>
      </c>
      <c r="AR4" s="39" t="n">
        <f aca="false">MY_PT(AR$2,$A4)</f>
        <v>0.00173666450183134</v>
      </c>
      <c r="AS4" s="39" t="n">
        <f aca="false">MY_PT(AS$2,$A4)</f>
        <v>0.00173485574236162</v>
      </c>
    </row>
    <row r="5" customFormat="false" ht="13.8" hidden="false" customHeight="false" outlineLevel="0" collapsed="false">
      <c r="A5" s="0" t="n">
        <v>0.2</v>
      </c>
      <c r="B5" s="39" t="n">
        <f aca="false">MY_PT(B$2,$A5)</f>
        <v>2015</v>
      </c>
      <c r="C5" s="39" t="n">
        <f aca="false">MY_PT(C$2,$A5)</f>
        <v>0.00177937397260504</v>
      </c>
      <c r="D5" s="39" t="n">
        <f aca="false">MY_PT(D$2,$A5)</f>
        <v>0.00177937372457843</v>
      </c>
      <c r="E5" s="39" t="n">
        <f aca="false">MY_PT(E$2,$A5)</f>
        <v>0.00177937347655208</v>
      </c>
      <c r="F5" s="39" t="n">
        <f aca="false">MY_PT(F$2,$A5)</f>
        <v>0.00177937322852598</v>
      </c>
      <c r="G5" s="39" t="n">
        <f aca="false">MY_PT(G$2,$A5)</f>
        <v>0.00177937074827974</v>
      </c>
      <c r="H5" s="39" t="n">
        <f aca="false">MY_PT(H$2,$A5)</f>
        <v>0.00177936826806024</v>
      </c>
      <c r="I5" s="39" t="n">
        <f aca="false">MY_PT(I$2,$A5)</f>
        <v>0.00177936578786747</v>
      </c>
      <c r="J5" s="39" t="n">
        <f aca="false">MY_PT(J$2,$A5)</f>
        <v>0.00177936330770135</v>
      </c>
      <c r="K5" s="39" t="n">
        <f aca="false">MY_PT(K$2,$A5)</f>
        <v>0.001779360827562</v>
      </c>
      <c r="L5" s="39" t="n">
        <f aca="false">MY_PT(L$2,$A5)</f>
        <v>0.00177935834744934</v>
      </c>
      <c r="M5" s="39" t="n">
        <f aca="false">MY_PT(M$2,$A5)</f>
        <v>0.00177935586736342</v>
      </c>
      <c r="N5" s="39" t="n">
        <f aca="false">MY_PT(N$2,$A5)</f>
        <v>0.00177935338730419</v>
      </c>
      <c r="O5" s="39" t="n">
        <f aca="false">MY_PT(O$2,$A5)</f>
        <v>0.00177935090727167</v>
      </c>
      <c r="P5" s="39" t="n">
        <f aca="false">MY_PT(P$2,$A5)</f>
        <v>0.0017793261084157</v>
      </c>
      <c r="Q5" s="39" t="n">
        <f aca="false">MY_PT(Q$2,$A5)</f>
        <v>0.00177930131223081</v>
      </c>
      <c r="R5" s="39" t="n">
        <f aca="false">MY_PT(R$2,$A5)</f>
        <v>0.00177927651871686</v>
      </c>
      <c r="S5" s="39" t="n">
        <f aca="false">MY_PT(S$2,$A5)</f>
        <v>0.00177925172787374</v>
      </c>
      <c r="T5" s="39" t="n">
        <f aca="false">MY_PT(T$2,$A5)</f>
        <v>0.00177922693970125</v>
      </c>
      <c r="U5" s="39" t="n">
        <f aca="false">MY_PT(U$2,$A5)</f>
        <v>0.00177920215419925</v>
      </c>
      <c r="V5" s="39" t="n">
        <f aca="false">MY_PT(V$2,$A5)</f>
        <v>0.00177917737136759</v>
      </c>
      <c r="W5" s="39" t="n">
        <f aca="false">MY_PT(W$2,$A5)</f>
        <v>0.00177915259120612</v>
      </c>
      <c r="X5" s="39" t="n">
        <f aca="false">MY_PT(X$2,$A5)</f>
        <v>0.00177912781371468</v>
      </c>
      <c r="Y5" s="39" t="n">
        <f aca="false">MY_PT(Y$2,$A5)</f>
        <v>0.00177888018561884</v>
      </c>
      <c r="Z5" s="39" t="n">
        <f aca="false">MY_PT(Z$2,$A5)</f>
        <v>0.00177863282435919</v>
      </c>
      <c r="AA5" s="39" t="n">
        <f aca="false">MY_PT(AA$2,$A5)</f>
        <v>0.00177838572978367</v>
      </c>
      <c r="AB5" s="39" t="n">
        <f aca="false">MY_PT(AB$2,$A5)</f>
        <v>0.00177813890174009</v>
      </c>
      <c r="AC5" s="39" t="n">
        <f aca="false">MY_PT(AC$2,$A5)</f>
        <v>0.00177789234007645</v>
      </c>
      <c r="AD5" s="39" t="n">
        <f aca="false">MY_PT(AD$2,$A5)</f>
        <v>0.00177764604464077</v>
      </c>
      <c r="AE5" s="39" t="n">
        <f aca="false">MY_PT(AE$2,$A5)</f>
        <v>0.00177740001528113</v>
      </c>
      <c r="AF5" s="39" t="n">
        <f aca="false">MY_PT(AF$2,$A5)</f>
        <v>0.00177715425184561</v>
      </c>
      <c r="AG5" s="39" t="n">
        <f aca="false">MY_PT(AG$2,$A5)</f>
        <v>0.00177690875418239</v>
      </c>
      <c r="AH5" s="39" t="n">
        <f aca="false">MY_PT(AH$2,$A5)</f>
        <v>0.00177446836165797</v>
      </c>
      <c r="AI5" s="39" t="n">
        <f aca="false">MY_PT(AI$2,$A5)</f>
        <v>0.00177205437971529</v>
      </c>
      <c r="AJ5" s="39" t="n">
        <f aca="false">MY_PT(AJ$2,$A5)</f>
        <v>0.00176966665735262</v>
      </c>
      <c r="AK5" s="39" t="n">
        <f aca="false">MY_PT(AK$2,$A5)</f>
        <v>0.00176730504408446</v>
      </c>
      <c r="AL5" s="39" t="n">
        <f aca="false">MY_PT(AL$2,$A5)</f>
        <v>0.00176496938994857</v>
      </c>
      <c r="AM5" s="39" t="n">
        <f aca="false">MY_PT(AM$2,$A5)</f>
        <v>0.00176265954551309</v>
      </c>
      <c r="AN5" s="39" t="n">
        <f aca="false">MY_PT(AN$2,$A5)</f>
        <v>0.0017603753618835</v>
      </c>
      <c r="AO5" s="39" t="n">
        <f aca="false">MY_PT(AO$2,$A5)</f>
        <v>0.00175811669070918</v>
      </c>
      <c r="AP5" s="39" t="n">
        <f aca="false">MY_PT(AP$2,$A5)</f>
        <v>0.00175588338418992</v>
      </c>
      <c r="AQ5" s="39" t="n">
        <f aca="false">MY_PT(AQ$2,$A5)</f>
        <v>0.00173491326472012</v>
      </c>
      <c r="AR5" s="39" t="n">
        <f aca="false">MY_PT(AR$2,$A5)</f>
        <v>0.00173088587171741</v>
      </c>
      <c r="AS5" s="39" t="n">
        <f aca="false">MY_PT(AS$2,$A5)</f>
        <v>0.00172909239511274</v>
      </c>
    </row>
    <row r="6" customFormat="false" ht="13.8" hidden="false" customHeight="false" outlineLevel="0" collapsed="false">
      <c r="A6" s="0" t="n">
        <v>0.3</v>
      </c>
      <c r="B6" s="39" t="n">
        <f aca="false">MY_PT(B$2,$A6)</f>
        <v>9.22307184722291E-006</v>
      </c>
      <c r="C6" s="39" t="n">
        <f aca="false">MY_PT(C$2,$A6)</f>
        <v>0.00177322162036119</v>
      </c>
      <c r="D6" s="39" t="n">
        <f aca="false">MY_PT(D$2,$A6)</f>
        <v>0.00177322137438453</v>
      </c>
      <c r="E6" s="39" t="n">
        <f aca="false">MY_PT(E$2,$A6)</f>
        <v>0.00177322112840812</v>
      </c>
      <c r="F6" s="39" t="n">
        <f aca="false">MY_PT(F$2,$A6)</f>
        <v>0.00177322088243193</v>
      </c>
      <c r="G6" s="39" t="n">
        <f aca="false">MY_PT(G$2,$A6)</f>
        <v>0.00177321842268504</v>
      </c>
      <c r="H6" s="39" t="n">
        <f aca="false">MY_PT(H$2,$A6)</f>
        <v>0.00177321596296464</v>
      </c>
      <c r="I6" s="39" t="n">
        <f aca="false">MY_PT(I$2,$A6)</f>
        <v>0.00177321350327072</v>
      </c>
      <c r="J6" s="39" t="n">
        <f aca="false">MY_PT(J$2,$A6)</f>
        <v>0.00177321104360334</v>
      </c>
      <c r="K6" s="39" t="n">
        <f aca="false">MY_PT(K$2,$A6)</f>
        <v>0.00177320858396245</v>
      </c>
      <c r="L6" s="39" t="n">
        <f aca="false">MY_PT(L$2,$A6)</f>
        <v>0.00177320612434804</v>
      </c>
      <c r="M6" s="39" t="n">
        <f aca="false">MY_PT(M$2,$A6)</f>
        <v>0.00177320366476016</v>
      </c>
      <c r="N6" s="39" t="n">
        <f aca="false">MY_PT(N$2,$A6)</f>
        <v>0.00177320120519881</v>
      </c>
      <c r="O6" s="39" t="n">
        <f aca="false">MY_PT(O$2,$A6)</f>
        <v>0.00177319874566393</v>
      </c>
      <c r="P6" s="39" t="n">
        <f aca="false">MY_PT(P$2,$A6)</f>
        <v>0.00177317415177296</v>
      </c>
      <c r="Q6" s="39" t="n">
        <f aca="false">MY_PT(Q$2,$A6)</f>
        <v>0.00177314956053235</v>
      </c>
      <c r="R6" s="39" t="n">
        <f aca="false">MY_PT(R$2,$A6)</f>
        <v>0.00177312497194192</v>
      </c>
      <c r="S6" s="39" t="n">
        <f aca="false">MY_PT(S$2,$A6)</f>
        <v>0.0017731003860015</v>
      </c>
      <c r="T6" s="39" t="n">
        <f aca="false">MY_PT(T$2,$A6)</f>
        <v>0.00177307580271095</v>
      </c>
      <c r="U6" s="39" t="n">
        <f aca="false">MY_PT(U$2,$A6)</f>
        <v>0.00177305122207013</v>
      </c>
      <c r="V6" s="39" t="n">
        <f aca="false">MY_PT(V$2,$A6)</f>
        <v>0.00177302664407888</v>
      </c>
      <c r="W6" s="39" t="n">
        <f aca="false">MY_PT(W$2,$A6)</f>
        <v>0.00177300206873705</v>
      </c>
      <c r="X6" s="39" t="n">
        <f aca="false">MY_PT(X$2,$A6)</f>
        <v>0.00177297749604449</v>
      </c>
      <c r="Y6" s="39" t="n">
        <f aca="false">MY_PT(Y$2,$A6)</f>
        <v>0.00177273191479587</v>
      </c>
      <c r="Z6" s="39" t="n">
        <f aca="false">MY_PT(Z$2,$A6)</f>
        <v>0.00177248659830886</v>
      </c>
      <c r="AA6" s="39" t="n">
        <f aca="false">MY_PT(AA$2,$A6)</f>
        <v>0.00177224154643279</v>
      </c>
      <c r="AB6" s="39" t="n">
        <f aca="false">MY_PT(AB$2,$A6)</f>
        <v>0.00177199675901715</v>
      </c>
      <c r="AC6" s="39" t="n">
        <f aca="false">MY_PT(AC$2,$A6)</f>
        <v>0.00177175223591137</v>
      </c>
      <c r="AD6" s="39" t="n">
        <f aca="false">MY_PT(AD$2,$A6)</f>
        <v>0.00177150797696504</v>
      </c>
      <c r="AE6" s="39" t="n">
        <f aca="false">MY_PT(AE$2,$A6)</f>
        <v>0.00177126398202778</v>
      </c>
      <c r="AF6" s="39" t="n">
        <f aca="false">MY_PT(AF$2,$A6)</f>
        <v>0.00177102025094914</v>
      </c>
      <c r="AG6" s="39" t="n">
        <f aca="false">MY_PT(AG$2,$A6)</f>
        <v>0.00177077678357884</v>
      </c>
      <c r="AH6" s="39" t="n">
        <f aca="false">MY_PT(AH$2,$A6)</f>
        <v>0.00176835658080037</v>
      </c>
      <c r="AI6" s="39" t="n">
        <f aca="false">MY_PT(AI$2,$A6)</f>
        <v>0.00176596258387643</v>
      </c>
      <c r="AJ6" s="39" t="n">
        <f aca="false">MY_PT(AJ$2,$A6)</f>
        <v>0.00176359464331433</v>
      </c>
      <c r="AK6" s="39" t="n">
        <f aca="false">MY_PT(AK$2,$A6)</f>
        <v>0.00176125261012959</v>
      </c>
      <c r="AL6" s="39" t="n">
        <f aca="false">MY_PT(AL$2,$A6)</f>
        <v>0.00175893633585323</v>
      </c>
      <c r="AM6" s="39" t="n">
        <f aca="false">MY_PT(AM$2,$A6)</f>
        <v>0.00175664567253859</v>
      </c>
      <c r="AN6" s="39" t="n">
        <f aca="false">MY_PT(AN$2,$A6)</f>
        <v>0.00175438047276821</v>
      </c>
      <c r="AO6" s="39" t="n">
        <f aca="false">MY_PT(AO$2,$A6)</f>
        <v>0.00175214058966047</v>
      </c>
      <c r="AP6" s="39" t="n">
        <f aca="false">MY_PT(AP$2,$A6)</f>
        <v>0.00174992587687604</v>
      </c>
      <c r="AQ6" s="39" t="n">
        <f aca="false">MY_PT(AQ$2,$A6)</f>
        <v>0.00172913132195944</v>
      </c>
      <c r="AR6" s="39" t="n">
        <f aca="false">MY_PT(AR$2,$A6)</f>
        <v>0.00172513789257865</v>
      </c>
      <c r="AS6" s="39" t="n">
        <f aca="false">MY_PT(AS$2,$A6)</f>
        <v>0.0017233595715109</v>
      </c>
    </row>
    <row r="7" customFormat="false" ht="13.8" hidden="false" customHeight="false" outlineLevel="0" collapsed="false">
      <c r="A7" s="0" t="n">
        <v>0.4</v>
      </c>
      <c r="B7" s="39" t="n">
        <f aca="false">MY_PT(B$2,$A7)</f>
        <v>9.22542515340981E-006</v>
      </c>
      <c r="C7" s="39" t="n">
        <f aca="false">MY_PT(C$2,$A7)</f>
        <v>0.001767103104463</v>
      </c>
      <c r="D7" s="39" t="n">
        <f aca="false">MY_PT(D$2,$A7)</f>
        <v>0.0017671028605188</v>
      </c>
      <c r="E7" s="39" t="n">
        <f aca="false">MY_PT(E$2,$A7)</f>
        <v>0.0017671026165749</v>
      </c>
      <c r="F7" s="39" t="n">
        <f aca="false">MY_PT(F$2,$A7)</f>
        <v>0.00176710237263124</v>
      </c>
      <c r="G7" s="39" t="n">
        <f aca="false">MY_PT(G$2,$A7)</f>
        <v>0.00176709993320907</v>
      </c>
      <c r="H7" s="39" t="n">
        <f aca="false">MY_PT(H$2,$A7)</f>
        <v>0.00176709749381321</v>
      </c>
      <c r="I7" s="39" t="n">
        <f aca="false">MY_PT(I$2,$A7)</f>
        <v>0.00176709505444363</v>
      </c>
      <c r="J7" s="39" t="n">
        <f aca="false">MY_PT(J$2,$A7)</f>
        <v>0.00176709261510037</v>
      </c>
      <c r="K7" s="39" t="n">
        <f aca="false">MY_PT(K$2,$A7)</f>
        <v>0.00176709017578342</v>
      </c>
      <c r="L7" s="39" t="n">
        <f aca="false">MY_PT(L$2,$A7)</f>
        <v>0.00176708773649275</v>
      </c>
      <c r="M7" s="39" t="n">
        <f aca="false">MY_PT(M$2,$A7)</f>
        <v>0.00176708529722839</v>
      </c>
      <c r="N7" s="39" t="n">
        <f aca="false">MY_PT(N$2,$A7)</f>
        <v>0.00176708285799034</v>
      </c>
      <c r="O7" s="39" t="n">
        <f aca="false">MY_PT(O$2,$A7)</f>
        <v>0.00176708041877857</v>
      </c>
      <c r="P7" s="39" t="n">
        <f aca="false">MY_PT(P$2,$A7)</f>
        <v>0.00176705602810734</v>
      </c>
      <c r="Q7" s="39" t="n">
        <f aca="false">MY_PT(Q$2,$A7)</f>
        <v>0.00176703164006589</v>
      </c>
      <c r="R7" s="39" t="n">
        <f aca="false">MY_PT(R$2,$A7)</f>
        <v>0.00176700725465401</v>
      </c>
      <c r="S7" s="39" t="n">
        <f aca="false">MY_PT(S$2,$A7)</f>
        <v>0.00176698287187159</v>
      </c>
      <c r="T7" s="39" t="n">
        <f aca="false">MY_PT(T$2,$A7)</f>
        <v>0.0017669584917185</v>
      </c>
      <c r="U7" s="39" t="n">
        <f aca="false">MY_PT(U$2,$A7)</f>
        <v>0.00176693411419454</v>
      </c>
      <c r="V7" s="39" t="n">
        <f aca="false">MY_PT(V$2,$A7)</f>
        <v>0.00176690973929958</v>
      </c>
      <c r="W7" s="39" t="n">
        <f aca="false">MY_PT(W$2,$A7)</f>
        <v>0.00176688536703348</v>
      </c>
      <c r="X7" s="39" t="n">
        <f aca="false">MY_PT(X$2,$A7)</f>
        <v>0.00176686099739607</v>
      </c>
      <c r="Y7" s="39" t="n">
        <f aca="false">MY_PT(Y$2,$A7)</f>
        <v>0.00176661744556814</v>
      </c>
      <c r="Z7" s="39" t="n">
        <f aca="false">MY_PT(Z$2,$A7)</f>
        <v>0.00176637415644669</v>
      </c>
      <c r="AA7" s="39" t="n">
        <f aca="false">MY_PT(AA$2,$A7)</f>
        <v>0.00176613112988263</v>
      </c>
      <c r="AB7" s="39" t="n">
        <f aca="false">MY_PT(AB$2,$A7)</f>
        <v>0.00176588836572695</v>
      </c>
      <c r="AC7" s="39" t="n">
        <f aca="false">MY_PT(AC$2,$A7)</f>
        <v>0.00176564586383057</v>
      </c>
      <c r="AD7" s="39" t="n">
        <f aca="false">MY_PT(AD$2,$A7)</f>
        <v>0.00176540362404461</v>
      </c>
      <c r="AE7" s="39" t="n">
        <f aca="false">MY_PT(AE$2,$A7)</f>
        <v>0.00176516164622012</v>
      </c>
      <c r="AF7" s="39" t="n">
        <f aca="false">MY_PT(AF$2,$A7)</f>
        <v>0.00176491993020824</v>
      </c>
      <c r="AG7" s="39" t="n">
        <f aca="false">MY_PT(AG$2,$A7)</f>
        <v>0.00176467847586019</v>
      </c>
      <c r="AH7" s="39" t="n">
        <f aca="false">MY_PT(AH$2,$A7)</f>
        <v>0.00176227829118509</v>
      </c>
      <c r="AI7" s="39" t="n">
        <f aca="false">MY_PT(AI$2,$A7)</f>
        <v>0.00175990410956013</v>
      </c>
      <c r="AJ7" s="39" t="n">
        <f aca="false">MY_PT(AJ$2,$A7)</f>
        <v>0.00175755578298417</v>
      </c>
      <c r="AK7" s="39" t="n">
        <f aca="false">MY_PT(AK$2,$A7)</f>
        <v>0.00175523316395661</v>
      </c>
      <c r="AL7" s="39" t="n">
        <f aca="false">MY_PT(AL$2,$A7)</f>
        <v>0.00175293610548442</v>
      </c>
      <c r="AM7" s="39" t="n">
        <f aca="false">MY_PT(AM$2,$A7)</f>
        <v>0.00175066446108907</v>
      </c>
      <c r="AN7" s="39" t="n">
        <f aca="false">MY_PT(AN$2,$A7)</f>
        <v>0.00174841808481334</v>
      </c>
      <c r="AO7" s="39" t="n">
        <f aca="false">MY_PT(AO$2,$A7)</f>
        <v>0.00174619683122776</v>
      </c>
      <c r="AP7" s="39" t="n">
        <f aca="false">MY_PT(AP$2,$A7)</f>
        <v>0.00174400055543711</v>
      </c>
      <c r="AQ7" s="39" t="n">
        <f aca="false">MY_PT(AQ$2,$A7)</f>
        <v>0.00172338009326427</v>
      </c>
      <c r="AR7" s="39" t="n">
        <f aca="false">MY_PT(AR$2,$A7)</f>
        <v>0.00171942034451225</v>
      </c>
      <c r="AS7" s="39" t="n">
        <f aca="false">MY_PT(AS$2,$A7)</f>
        <v>0.00171765705288622</v>
      </c>
    </row>
    <row r="8" customFormat="false" ht="13.8" hidden="false" customHeight="false" outlineLevel="0" collapsed="false">
      <c r="A8" s="0" t="n">
        <v>0.5</v>
      </c>
      <c r="B8" s="39" t="n">
        <f aca="false">MY_PT(B$2,$A8)</f>
        <v>9.22778104656109E-006</v>
      </c>
      <c r="C8" s="39" t="n">
        <f aca="false">MY_PT(C$2,$A8)</f>
        <v>0.0017610181735732</v>
      </c>
      <c r="D8" s="39" t="n">
        <f aca="false">MY_PT(D$2,$A8)</f>
        <v>0.00176101793164423</v>
      </c>
      <c r="E8" s="39" t="n">
        <f aca="false">MY_PT(E$2,$A8)</f>
        <v>0.00176101768971548</v>
      </c>
      <c r="F8" s="39" t="n">
        <f aca="false">MY_PT(F$2,$A8)</f>
        <v>0.00176101744778704</v>
      </c>
      <c r="G8" s="39" t="n">
        <f aca="false">MY_PT(G$2,$A8)</f>
        <v>0.00176101502851681</v>
      </c>
      <c r="H8" s="39" t="n">
        <f aca="false">MY_PT(H$2,$A8)</f>
        <v>0.00176101260927269</v>
      </c>
      <c r="I8" s="39" t="n">
        <f aca="false">MY_PT(I$2,$A8)</f>
        <v>0.00176101019005464</v>
      </c>
      <c r="J8" s="39" t="n">
        <f aca="false">MY_PT(J$2,$A8)</f>
        <v>0.0017610077708627</v>
      </c>
      <c r="K8" s="39" t="n">
        <f aca="false">MY_PT(K$2,$A8)</f>
        <v>0.00176100535169684</v>
      </c>
      <c r="L8" s="39" t="n">
        <f aca="false">MY_PT(L$2,$A8)</f>
        <v>0.0017610029325571</v>
      </c>
      <c r="M8" s="39" t="n">
        <f aca="false">MY_PT(M$2,$A8)</f>
        <v>0.00176100051344343</v>
      </c>
      <c r="N8" s="39" t="n">
        <f aca="false">MY_PT(N$2,$A8)</f>
        <v>0.00176099809435588</v>
      </c>
      <c r="O8" s="39" t="n">
        <f aca="false">MY_PT(O$2,$A8)</f>
        <v>0.00176099567529441</v>
      </c>
      <c r="P8" s="39" t="n">
        <f aca="false">MY_PT(P$2,$A8)</f>
        <v>0.00176097148611497</v>
      </c>
      <c r="Q8" s="39" t="n">
        <f aca="false">MY_PT(Q$2,$A8)</f>
        <v>0.00176094729954491</v>
      </c>
      <c r="R8" s="39" t="n">
        <f aca="false">MY_PT(R$2,$A8)</f>
        <v>0.00176092311558405</v>
      </c>
      <c r="S8" s="39" t="n">
        <f aca="false">MY_PT(S$2,$A8)</f>
        <v>0.00176089893423227</v>
      </c>
      <c r="T8" s="39" t="n">
        <f aca="false">MY_PT(T$2,$A8)</f>
        <v>0.0017608747554894</v>
      </c>
      <c r="U8" s="39" t="n">
        <f aca="false">MY_PT(U$2,$A8)</f>
        <v>0.00176085057935531</v>
      </c>
      <c r="V8" s="39" t="n">
        <f aca="false">MY_PT(V$2,$A8)</f>
        <v>0.00176082640582985</v>
      </c>
      <c r="W8" s="39" t="n">
        <f aca="false">MY_PT(W$2,$A8)</f>
        <v>0.00176080223491287</v>
      </c>
      <c r="X8" s="39" t="n">
        <f aca="false">MY_PT(X$2,$A8)</f>
        <v>0.00176077806660421</v>
      </c>
      <c r="Y8" s="39" t="n">
        <f aca="false">MY_PT(Y$2,$A8)</f>
        <v>0.00176053652694348</v>
      </c>
      <c r="Z8" s="39" t="n">
        <f aca="false">MY_PT(Z$2,$A8)</f>
        <v>0.00176029524795349</v>
      </c>
      <c r="AA8" s="39" t="n">
        <f aca="false">MY_PT(AA$2,$A8)</f>
        <v>0.00176005422948665</v>
      </c>
      <c r="AB8" s="39" t="n">
        <f aca="false">MY_PT(AB$2,$A8)</f>
        <v>0.00175981347139538</v>
      </c>
      <c r="AC8" s="39" t="n">
        <f aca="false">MY_PT(AC$2,$A8)</f>
        <v>0.00175957297353218</v>
      </c>
      <c r="AD8" s="39" t="n">
        <f aca="false">MY_PT(AD$2,$A8)</f>
        <v>0.00175933273574958</v>
      </c>
      <c r="AE8" s="39" t="n">
        <f aca="false">MY_PT(AE$2,$A8)</f>
        <v>0.00175909275790015</v>
      </c>
      <c r="AF8" s="39" t="n">
        <f aca="false">MY_PT(AF$2,$A8)</f>
        <v>0.00175885303983656</v>
      </c>
      <c r="AG8" s="39" t="n">
        <f aca="false">MY_PT(AG$2,$A8)</f>
        <v>0.0017586135814114</v>
      </c>
      <c r="AH8" s="39" t="n">
        <f aca="false">MY_PT(AH$2,$A8)</f>
        <v>0.00175623324489917</v>
      </c>
      <c r="AI8" s="39" t="n">
        <f aca="false">MY_PT(AI$2,$A8)</f>
        <v>0.00175387871053432</v>
      </c>
      <c r="AJ8" s="39" t="n">
        <f aca="false">MY_PT(AJ$2,$A8)</f>
        <v>0.00175154983179015</v>
      </c>
      <c r="AK8" s="39" t="n">
        <f aca="false">MY_PT(AK$2,$A8)</f>
        <v>0.00174924646263282</v>
      </c>
      <c r="AL8" s="39" t="n">
        <f aca="false">MY_PT(AL$2,$A8)</f>
        <v>0.00174696845752833</v>
      </c>
      <c r="AM8" s="39" t="n">
        <f aca="false">MY_PT(AM$2,$A8)</f>
        <v>0.00174471567144947</v>
      </c>
      <c r="AN8" s="39" t="n">
        <f aca="false">MY_PT(AN$2,$A8)</f>
        <v>0.00174248795988237</v>
      </c>
      <c r="AO8" s="39" t="n">
        <f aca="false">MY_PT(AO$2,$A8)</f>
        <v>0.00174028517883325</v>
      </c>
      <c r="AP8" s="39" t="n">
        <f aca="false">MY_PT(AP$2,$A8)</f>
        <v>0.00173810718483451</v>
      </c>
      <c r="AQ8" s="39" t="n">
        <f aca="false">MY_PT(AQ$2,$A8)</f>
        <v>0.00171765935795505</v>
      </c>
      <c r="AR8" s="39" t="n">
        <f aca="false">MY_PT(AR$2,$A8)</f>
        <v>0.00171373300957939</v>
      </c>
      <c r="AS8" s="39" t="n">
        <f aca="false">MY_PT(AS$2,$A8)</f>
        <v>0.00171198462251873</v>
      </c>
    </row>
    <row r="9" customFormat="false" ht="13.8" hidden="false" customHeight="false" outlineLevel="0" collapsed="false">
      <c r="A9" s="0" t="n">
        <v>0.6</v>
      </c>
      <c r="B9" s="39" t="n">
        <f aca="false">MY_PT(B$2,$A9)</f>
        <v>9.23013952136776E-006</v>
      </c>
      <c r="C9" s="39" t="n">
        <f aca="false">MY_PT(C$2,$A9)</f>
        <v>0.00175496657867653</v>
      </c>
      <c r="D9" s="39" t="n">
        <f aca="false">MY_PT(D$2,$A9)</f>
        <v>0.00175496633874566</v>
      </c>
      <c r="E9" s="39" t="n">
        <f aca="false">MY_PT(E$2,$A9)</f>
        <v>0.00175496609881502</v>
      </c>
      <c r="F9" s="39" t="n">
        <f aca="false">MY_PT(F$2,$A9)</f>
        <v>0.00175496585888467</v>
      </c>
      <c r="G9" s="39" t="n">
        <f aca="false">MY_PT(G$2,$A9)</f>
        <v>0.00175496345959526</v>
      </c>
      <c r="H9" s="39" t="n">
        <f aca="false">MY_PT(H$2,$A9)</f>
        <v>0.00175496106033174</v>
      </c>
      <c r="I9" s="39" t="n">
        <f aca="false">MY_PT(I$2,$A9)</f>
        <v>0.00175495866109411</v>
      </c>
      <c r="J9" s="39" t="n">
        <f aca="false">MY_PT(J$2,$A9)</f>
        <v>0.0017549562618824</v>
      </c>
      <c r="K9" s="39" t="n">
        <f aca="false">MY_PT(K$2,$A9)</f>
        <v>0.00175495386269656</v>
      </c>
      <c r="L9" s="39" t="n">
        <f aca="false">MY_PT(L$2,$A9)</f>
        <v>0.00175495146353661</v>
      </c>
      <c r="M9" s="39" t="n">
        <f aca="false">MY_PT(M$2,$A9)</f>
        <v>0.00175494906440257</v>
      </c>
      <c r="N9" s="39" t="n">
        <f aca="false">MY_PT(N$2,$A9)</f>
        <v>0.00175494666529442</v>
      </c>
      <c r="O9" s="39" t="n">
        <f aca="false">MY_PT(O$2,$A9)</f>
        <v>0.00175494426621217</v>
      </c>
      <c r="P9" s="39" t="n">
        <f aca="false">MY_PT(P$2,$A9)</f>
        <v>0.00175492027681372</v>
      </c>
      <c r="Q9" s="39" t="n">
        <f aca="false">MY_PT(Q$2,$A9)</f>
        <v>0.00175489629000438</v>
      </c>
      <c r="R9" s="39" t="n">
        <f aca="false">MY_PT(R$2,$A9)</f>
        <v>0.00175487230578411</v>
      </c>
      <c r="S9" s="39" t="n">
        <f aca="false">MY_PT(S$2,$A9)</f>
        <v>0.00175484832415273</v>
      </c>
      <c r="T9" s="39" t="n">
        <f aca="false">MY_PT(T$2,$A9)</f>
        <v>0.00175482434511003</v>
      </c>
      <c r="U9" s="39" t="n">
        <f aca="false">MY_PT(U$2,$A9)</f>
        <v>0.00175480036865596</v>
      </c>
      <c r="V9" s="39" t="n">
        <f aca="false">MY_PT(V$2,$A9)</f>
        <v>0.00175477639479031</v>
      </c>
      <c r="W9" s="39" t="n">
        <f aca="false">MY_PT(W$2,$A9)</f>
        <v>0.00175475242351297</v>
      </c>
      <c r="X9" s="39" t="n">
        <f aca="false">MY_PT(X$2,$A9)</f>
        <v>0.0017547284548238</v>
      </c>
      <c r="Y9" s="39" t="n">
        <f aca="false">MY_PT(Y$2,$A9)</f>
        <v>0.00175448891024793</v>
      </c>
      <c r="Z9" s="39" t="n">
        <f aca="false">MY_PT(Z$2,$A9)</f>
        <v>0.00175424962432617</v>
      </c>
      <c r="AA9" s="39" t="n">
        <f aca="false">MY_PT(AA$2,$A9)</f>
        <v>0.00175401059691238</v>
      </c>
      <c r="AB9" s="39" t="n">
        <f aca="false">MY_PT(AB$2,$A9)</f>
        <v>0.0017537718278605</v>
      </c>
      <c r="AC9" s="39" t="n">
        <f aca="false">MY_PT(AC$2,$A9)</f>
        <v>0.00175353331702447</v>
      </c>
      <c r="AD9" s="39" t="n">
        <f aca="false">MY_PT(AD$2,$A9)</f>
        <v>0.00175329506425829</v>
      </c>
      <c r="AE9" s="39" t="n">
        <f aca="false">MY_PT(AE$2,$A9)</f>
        <v>0.00175305706941605</v>
      </c>
      <c r="AF9" s="39" t="n">
        <f aca="false">MY_PT(AF$2,$A9)</f>
        <v>0.00175281933235178</v>
      </c>
      <c r="AG9" s="39" t="n">
        <f aca="false">MY_PT(AG$2,$A9)</f>
        <v>0.00175258185291965</v>
      </c>
      <c r="AH9" s="39" t="n">
        <f aca="false">MY_PT(AH$2,$A9)</f>
        <v>0.00175022119631229</v>
      </c>
      <c r="AI9" s="39" t="n">
        <f aca="false">MY_PT(AI$2,$A9)</f>
        <v>0.00174788614283041</v>
      </c>
      <c r="AJ9" s="39" t="n">
        <f aca="false">MY_PT(AJ$2,$A9)</f>
        <v>0.00174557654740472</v>
      </c>
      <c r="AK9" s="39" t="n">
        <f aca="false">MY_PT(AK$2,$A9)</f>
        <v>0.00174329226545128</v>
      </c>
      <c r="AL9" s="39" t="n">
        <f aca="false">MY_PT(AL$2,$A9)</f>
        <v>0.00174103315287842</v>
      </c>
      <c r="AM9" s="39" t="n">
        <f aca="false">MY_PT(AM$2,$A9)</f>
        <v>0.00173879906609353</v>
      </c>
      <c r="AN9" s="39" t="n">
        <f aca="false">MY_PT(AN$2,$A9)</f>
        <v>0.00173658986200976</v>
      </c>
      <c r="AO9" s="39" t="n">
        <f aca="false">MY_PT(AO$2,$A9)</f>
        <v>0.0017344053980525</v>
      </c>
      <c r="AP9" s="39" t="n">
        <f aca="false">MY_PT(AP$2,$A9)</f>
        <v>0.00173224553216555</v>
      </c>
      <c r="AQ9" s="39" t="n">
        <f aca="false">MY_PT(AQ$2,$A9)</f>
        <v>0.00171196889732577</v>
      </c>
      <c r="AR9" s="39" t="n">
        <f aca="false">MY_PT(AR$2,$A9)</f>
        <v>0.00170807567178386</v>
      </c>
      <c r="AS9" s="39" t="n">
        <f aca="false">MY_PT(AS$2,$A9)</f>
        <v>0.00170634206561767</v>
      </c>
    </row>
    <row r="10" customFormat="false" ht="13.8" hidden="false" customHeight="false" outlineLevel="0" collapsed="false">
      <c r="A10" s="0" t="n">
        <v>0.7</v>
      </c>
      <c r="B10" s="39" t="n">
        <f aca="false">MY_PT(B$2,$A10)</f>
        <v>9.23250057253724E-006</v>
      </c>
      <c r="C10" s="39" t="n">
        <f aca="false">MY_PT(C$2,$A10)</f>
        <v>0.00174894807305456</v>
      </c>
      <c r="D10" s="39" t="n">
        <f aca="false">MY_PT(D$2,$A10)</f>
        <v>0.00174894783510484</v>
      </c>
      <c r="E10" s="39" t="n">
        <f aca="false">MY_PT(E$2,$A10)</f>
        <v>0.00174894759715539</v>
      </c>
      <c r="F10" s="39" t="n">
        <f aca="false">MY_PT(F$2,$A10)</f>
        <v>0.00174894735920614</v>
      </c>
      <c r="G10" s="39" t="n">
        <f aca="false">MY_PT(G$2,$A10)</f>
        <v>0.00174894497972816</v>
      </c>
      <c r="H10" s="39" t="n">
        <f aca="false">MY_PT(H$2,$A10)</f>
        <v>0.00174894260027586</v>
      </c>
      <c r="I10" s="39" t="n">
        <f aca="false">MY_PT(I$2,$A10)</f>
        <v>0.00174894022084924</v>
      </c>
      <c r="J10" s="39" t="n">
        <f aca="false">MY_PT(J$2,$A10)</f>
        <v>0.00174893784144832</v>
      </c>
      <c r="K10" s="39" t="n">
        <f aca="false">MY_PT(K$2,$A10)</f>
        <v>0.00174893546207311</v>
      </c>
      <c r="L10" s="39" t="n">
        <f aca="false">MY_PT(L$2,$A10)</f>
        <v>0.00174893308272357</v>
      </c>
      <c r="M10" s="39" t="n">
        <f aca="false">MY_PT(M$2,$A10)</f>
        <v>0.00174893070339973</v>
      </c>
      <c r="N10" s="39" t="n">
        <f aca="false">MY_PT(N$2,$A10)</f>
        <v>0.00174892832410158</v>
      </c>
      <c r="O10" s="39" t="n">
        <f aca="false">MY_PT(O$2,$A10)</f>
        <v>0.00174892594482916</v>
      </c>
      <c r="P10" s="39" t="n">
        <f aca="false">MY_PT(P$2,$A10)</f>
        <v>0.00174890215351776</v>
      </c>
      <c r="Q10" s="39" t="n">
        <f aca="false">MY_PT(Q$2,$A10)</f>
        <v>0.00174887836477553</v>
      </c>
      <c r="R10" s="39" t="n">
        <f aca="false">MY_PT(R$2,$A10)</f>
        <v>0.00174885457860232</v>
      </c>
      <c r="S10" s="39" t="n">
        <f aca="false">MY_PT(S$2,$A10)</f>
        <v>0.00174883079499799</v>
      </c>
      <c r="T10" s="39" t="n">
        <f aca="false">MY_PT(T$2,$A10)</f>
        <v>0.00174880701396242</v>
      </c>
      <c r="U10" s="39" t="n">
        <f aca="false">MY_PT(U$2,$A10)</f>
        <v>0.00174878323549542</v>
      </c>
      <c r="V10" s="39" t="n">
        <f aca="false">MY_PT(V$2,$A10)</f>
        <v>0.00174875945959685</v>
      </c>
      <c r="W10" s="39" t="n">
        <f aca="false">MY_PT(W$2,$A10)</f>
        <v>0.00174873568626663</v>
      </c>
      <c r="X10" s="39" t="n">
        <f aca="false">MY_PT(X$2,$A10)</f>
        <v>0.00174871191550452</v>
      </c>
      <c r="Y10" s="39" t="n">
        <f aca="false">MY_PT(Y$2,$A10)</f>
        <v>0.00174847434910031</v>
      </c>
      <c r="Z10" s="39" t="n">
        <f aca="false">MY_PT(Z$2,$A10)</f>
        <v>0.00174823703935248</v>
      </c>
      <c r="AA10" s="39" t="n">
        <f aca="false">MY_PT(AA$2,$A10)</f>
        <v>0.00174799998611638</v>
      </c>
      <c r="AB10" s="39" t="n">
        <f aca="false">MY_PT(AB$2,$A10)</f>
        <v>0.00174776318924734</v>
      </c>
      <c r="AC10" s="39" t="n">
        <f aca="false">MY_PT(AC$2,$A10)</f>
        <v>0.00174752664860081</v>
      </c>
      <c r="AD10" s="39" t="n">
        <f aca="false">MY_PT(AD$2,$A10)</f>
        <v>0.00174729036403221</v>
      </c>
      <c r="AE10" s="39" t="n">
        <f aca="false">MY_PT(AE$2,$A10)</f>
        <v>0.00174705433539708</v>
      </c>
      <c r="AF10" s="39" t="n">
        <f aca="false">MY_PT(AF$2,$A10)</f>
        <v>0.00174681856255097</v>
      </c>
      <c r="AG10" s="39" t="n">
        <f aca="false">MY_PT(AG$2,$A10)</f>
        <v>0.00174658304534945</v>
      </c>
      <c r="AH10" s="39" t="n">
        <f aca="false">MY_PT(AH$2,$A10)</f>
        <v>0.00174424190205224</v>
      </c>
      <c r="AI10" s="39" t="n">
        <f aca="false">MY_PT(AI$2,$A10)</f>
        <v>0.00174192616471886</v>
      </c>
      <c r="AJ10" s="39" t="n">
        <f aca="false">MY_PT(AJ$2,$A10)</f>
        <v>0.00173963568972059</v>
      </c>
      <c r="AK10" s="39" t="n">
        <f aca="false">MY_PT(AK$2,$A10)</f>
        <v>0.00173737033390684</v>
      </c>
      <c r="AL10" s="39" t="n">
        <f aca="false">MY_PT(AL$2,$A10)</f>
        <v>0.00173512995461166</v>
      </c>
      <c r="AM10" s="39" t="n">
        <f aca="false">MY_PT(AM$2,$A10)</f>
        <v>0.00173291440966073</v>
      </c>
      <c r="AN10" s="39" t="n">
        <f aca="false">MY_PT(AN$2,$A10)</f>
        <v>0.00173072355737784</v>
      </c>
      <c r="AO10" s="39" t="n">
        <f aca="false">MY_PT(AO$2,$A10)</f>
        <v>0.00172855725659137</v>
      </c>
      <c r="AP10" s="39" t="n">
        <f aca="false">MY_PT(AP$2,$A10)</f>
        <v>0.00172641536664039</v>
      </c>
      <c r="AQ10" s="39" t="n">
        <f aca="false">MY_PT(AQ$2,$A10)</f>
        <v>0.00170630849462339</v>
      </c>
      <c r="AR10" s="39" t="n">
        <f aca="false">MY_PT(AR$2,$A10)</f>
        <v>0.00170244811705228</v>
      </c>
      <c r="AS10" s="39" t="n">
        <f aca="false">MY_PT(AS$2,$A10)</f>
        <v>0.00170072916930144</v>
      </c>
    </row>
    <row r="11" customFormat="false" ht="13.8" hidden="false" customHeight="false" outlineLevel="0" collapsed="false">
      <c r="A11" s="0" t="n">
        <v>0.8</v>
      </c>
      <c r="B11" s="39" t="n">
        <f aca="false">MY_PT(B$2,$A11)</f>
        <v>9.23486419479332E-006</v>
      </c>
      <c r="C11" s="39" t="n">
        <f aca="false">MY_PT(C$2,$A11)</f>
        <v>0.00174296241226033</v>
      </c>
      <c r="D11" s="39" t="n">
        <f aca="false">MY_PT(D$2,$A11)</f>
        <v>0.00174296217627501</v>
      </c>
      <c r="E11" s="39" t="n">
        <f aca="false">MY_PT(E$2,$A11)</f>
        <v>0.0017429619402899</v>
      </c>
      <c r="F11" s="39" t="n">
        <f aca="false">MY_PT(F$2,$A11)</f>
        <v>0.00174296170430507</v>
      </c>
      <c r="G11" s="39" t="n">
        <f aca="false">MY_PT(G$2,$A11)</f>
        <v>0.00174295934447074</v>
      </c>
      <c r="H11" s="39" t="n">
        <f aca="false">MY_PT(H$2,$A11)</f>
        <v>0.00174295698466191</v>
      </c>
      <c r="I11" s="39" t="n">
        <f aca="false">MY_PT(I$2,$A11)</f>
        <v>0.00174295462487857</v>
      </c>
      <c r="J11" s="39" t="n">
        <f aca="false">MY_PT(J$2,$A11)</f>
        <v>0.00174295226512073</v>
      </c>
      <c r="K11" s="39" t="n">
        <f aca="false">MY_PT(K$2,$A11)</f>
        <v>0.00174294990538837</v>
      </c>
      <c r="L11" s="39" t="n">
        <f aca="false">MY_PT(L$2,$A11)</f>
        <v>0.00174294754568152</v>
      </c>
      <c r="M11" s="39" t="n">
        <f aca="false">MY_PT(M$2,$A11)</f>
        <v>0.0017429451860002</v>
      </c>
      <c r="N11" s="39" t="n">
        <f aca="false">MY_PT(N$2,$A11)</f>
        <v>0.00174294282634432</v>
      </c>
      <c r="O11" s="39" t="n">
        <f aca="false">MY_PT(O$2,$A11)</f>
        <v>0.00174294046671394</v>
      </c>
      <c r="P11" s="39" t="n">
        <f aca="false">MY_PT(P$2,$A11)</f>
        <v>0.00174291687181253</v>
      </c>
      <c r="Q11" s="39" t="n">
        <f aca="false">MY_PT(Q$2,$A11)</f>
        <v>0.00174289327946043</v>
      </c>
      <c r="R11" s="39" t="n">
        <f aca="false">MY_PT(R$2,$A11)</f>
        <v>0.00174286968965756</v>
      </c>
      <c r="S11" s="39" t="n">
        <f aca="false">MY_PT(S$2,$A11)</f>
        <v>0.00174284610240375</v>
      </c>
      <c r="T11" s="39" t="n">
        <f aca="false">MY_PT(T$2,$A11)</f>
        <v>0.00174282251769888</v>
      </c>
      <c r="U11" s="39" t="n">
        <f aca="false">MY_PT(U$2,$A11)</f>
        <v>0.00174279893554275</v>
      </c>
      <c r="V11" s="39" t="n">
        <f aca="false">MY_PT(V$2,$A11)</f>
        <v>0.00174277535593529</v>
      </c>
      <c r="W11" s="39" t="n">
        <f aca="false">MY_PT(W$2,$A11)</f>
        <v>0.00174275177887632</v>
      </c>
      <c r="X11" s="39" t="n">
        <f aca="false">MY_PT(X$2,$A11)</f>
        <v>0.00174272820436568</v>
      </c>
      <c r="Y11" s="39" t="n">
        <f aca="false">MY_PT(Y$2,$A11)</f>
        <v>0.00174249259938714</v>
      </c>
      <c r="Z11" s="39" t="n">
        <f aca="false">MY_PT(Z$2,$A11)</f>
        <v>0.00174225724908595</v>
      </c>
      <c r="AA11" s="39" t="n">
        <f aca="false">MY_PT(AA$2,$A11)</f>
        <v>0.00174202215331887</v>
      </c>
      <c r="AB11" s="39" t="n">
        <f aca="false">MY_PT(AB$2,$A11)</f>
        <v>0.00174178731194276</v>
      </c>
      <c r="AC11" s="39" t="n">
        <f aca="false">MY_PT(AC$2,$A11)</f>
        <v>0.00174155272481439</v>
      </c>
      <c r="AD11" s="39" t="n">
        <f aca="false">MY_PT(AD$2,$A11)</f>
        <v>0.00174131839179071</v>
      </c>
      <c r="AE11" s="39" t="n">
        <f aca="false">MY_PT(AE$2,$A11)</f>
        <v>0.00174108431272866</v>
      </c>
      <c r="AF11" s="39" t="n">
        <f aca="false">MY_PT(AF$2,$A11)</f>
        <v>0.00174085048748523</v>
      </c>
      <c r="AG11" s="39" t="n">
        <f aca="false">MY_PT(AG$2,$A11)</f>
        <v>0.00174061691591742</v>
      </c>
      <c r="AH11" s="39" t="n">
        <f aca="false">MY_PT(AH$2,$A11)</f>
        <v>0.00173829512097997</v>
      </c>
      <c r="AI11" s="39" t="n">
        <f aca="false">MY_PT(AI$2,$A11)</f>
        <v>0.00173599853668447</v>
      </c>
      <c r="AJ11" s="39" t="n">
        <f aca="false">MY_PT(AJ$2,$A11)</f>
        <v>0.00173372702082644</v>
      </c>
      <c r="AK11" s="39" t="n">
        <f aca="false">MY_PT(AK$2,$A11)</f>
        <v>0.00173148043167201</v>
      </c>
      <c r="AL11" s="39" t="n">
        <f aca="false">MY_PT(AL$2,$A11)</f>
        <v>0.00172925862796474</v>
      </c>
      <c r="AM11" s="39" t="n">
        <f aca="false">MY_PT(AM$2,$A11)</f>
        <v>0.00172706146893238</v>
      </c>
      <c r="AN11" s="39" t="n">
        <f aca="false">MY_PT(AN$2,$A11)</f>
        <v>0.00172488881429325</v>
      </c>
      <c r="AO11" s="39" t="n">
        <f aca="false">MY_PT(AO$2,$A11)</f>
        <v>0.00172274052426273</v>
      </c>
      <c r="AP11" s="39" t="n">
        <f aca="false">MY_PT(AP$2,$A11)</f>
        <v>0.00172061645955943</v>
      </c>
      <c r="AQ11" s="39" t="n">
        <f aca="false">MY_PT(AQ$2,$A11)</f>
        <v>0.00170067793502687</v>
      </c>
      <c r="AR11" s="39" t="n">
        <f aca="false">MY_PT(AR$2,$A11)</f>
        <v>0.00169685013321314</v>
      </c>
      <c r="AS11" s="39" t="n">
        <f aca="false">MY_PT(AS$2,$A11)</f>
        <v>0.00169514572257713</v>
      </c>
    </row>
    <row r="12" customFormat="false" ht="13.8" hidden="false" customHeight="false" outlineLevel="0" collapsed="false">
      <c r="A12" s="0" t="n">
        <v>0.9</v>
      </c>
      <c r="B12" s="39" t="n">
        <f aca="false">MY_PT(B$2,$A12)</f>
        <v>9.23723038287603E-006</v>
      </c>
      <c r="C12" s="39" t="n">
        <f aca="false">MY_PT(C$2,$A12)</f>
        <v>0.00173700935409373</v>
      </c>
      <c r="D12" s="39" t="n">
        <f aca="false">MY_PT(D$2,$A12)</f>
        <v>0.00173700912005615</v>
      </c>
      <c r="E12" s="39" t="n">
        <f aca="false">MY_PT(E$2,$A12)</f>
        <v>0.00173700888601886</v>
      </c>
      <c r="F12" s="39" t="n">
        <f aca="false">MY_PT(F$2,$A12)</f>
        <v>0.00173700865198178</v>
      </c>
      <c r="G12" s="39" t="n">
        <f aca="false">MY_PT(G$2,$A12)</f>
        <v>0.00173700631162504</v>
      </c>
      <c r="H12" s="39" t="n">
        <f aca="false">MY_PT(H$2,$A12)</f>
        <v>0.00173700397129361</v>
      </c>
      <c r="I12" s="39" t="n">
        <f aca="false">MY_PT(I$2,$A12)</f>
        <v>0.00173700163098746</v>
      </c>
      <c r="J12" s="39" t="n">
        <f aca="false">MY_PT(J$2,$A12)</f>
        <v>0.00173699929070663</v>
      </c>
      <c r="K12" s="39" t="n">
        <f aca="false">MY_PT(K$2,$A12)</f>
        <v>0.0017369969504511</v>
      </c>
      <c r="L12" s="39" t="n">
        <f aca="false">MY_PT(L$2,$A12)</f>
        <v>0.00173699461022083</v>
      </c>
      <c r="M12" s="39" t="n">
        <f aca="false">MY_PT(M$2,$A12)</f>
        <v>0.00173699227001589</v>
      </c>
      <c r="N12" s="39" t="n">
        <f aca="false">MY_PT(N$2,$A12)</f>
        <v>0.00173698992983625</v>
      </c>
      <c r="O12" s="39" t="n">
        <f aca="false">MY_PT(O$2,$A12)</f>
        <v>0.00173698758968192</v>
      </c>
      <c r="P12" s="39" t="n">
        <f aca="false">MY_PT(P$2,$A12)</f>
        <v>0.00173696418952987</v>
      </c>
      <c r="Q12" s="39" t="n">
        <f aca="false">MY_PT(Q$2,$A12)</f>
        <v>0.00173694079190753</v>
      </c>
      <c r="R12" s="39" t="n">
        <f aca="false">MY_PT(R$2,$A12)</f>
        <v>0.00173691739681481</v>
      </c>
      <c r="S12" s="39" t="n">
        <f aca="false">MY_PT(S$2,$A12)</f>
        <v>0.00173689400425148</v>
      </c>
      <c r="T12" s="39" t="n">
        <f aca="false">MY_PT(T$2,$A12)</f>
        <v>0.00173687061421745</v>
      </c>
      <c r="U12" s="39" t="n">
        <f aca="false">MY_PT(U$2,$A12)</f>
        <v>0.0017368472267126</v>
      </c>
      <c r="V12" s="39" t="n">
        <f aca="false">MY_PT(V$2,$A12)</f>
        <v>0.00173682384173676</v>
      </c>
      <c r="W12" s="39" t="n">
        <f aca="false">MY_PT(W$2,$A12)</f>
        <v>0.0017368004592898</v>
      </c>
      <c r="X12" s="39" t="n">
        <f aca="false">MY_PT(X$2,$A12)</f>
        <v>0.00173677707937154</v>
      </c>
      <c r="Y12" s="39" t="n">
        <f aca="false">MY_PT(Y$2,$A12)</f>
        <v>0.00173654341923796</v>
      </c>
      <c r="Z12" s="39" t="n">
        <f aca="false">MY_PT(Z$2,$A12)</f>
        <v>0.00173631001182119</v>
      </c>
      <c r="AA12" s="39" t="n">
        <f aca="false">MY_PT(AA$2,$A12)</f>
        <v>0.00173607685697943</v>
      </c>
      <c r="AB12" s="39" t="n">
        <f aca="false">MY_PT(AB$2,$A12)</f>
        <v>0.00173584395457092</v>
      </c>
      <c r="AC12" s="39" t="n">
        <f aca="false">MY_PT(AC$2,$A12)</f>
        <v>0.00173561130445392</v>
      </c>
      <c r="AD12" s="39" t="n">
        <f aca="false">MY_PT(AD$2,$A12)</f>
        <v>0.00173537890648676</v>
      </c>
      <c r="AE12" s="39" t="n">
        <f aca="false">MY_PT(AE$2,$A12)</f>
        <v>0.00173514676052781</v>
      </c>
      <c r="AF12" s="39" t="n">
        <f aca="false">MY_PT(AF$2,$A12)</f>
        <v>0.00173491486643546</v>
      </c>
      <c r="AG12" s="39" t="n">
        <f aca="false">MY_PT(AG$2,$A12)</f>
        <v>0.00173468322406816</v>
      </c>
      <c r="AH12" s="39" t="n">
        <f aca="false">MY_PT(AH$2,$A12)</f>
        <v>0.0017323806141655</v>
      </c>
      <c r="AI12" s="39" t="n">
        <f aca="false">MY_PT(AI$2,$A12)</f>
        <v>0.00173010302140273</v>
      </c>
      <c r="AJ12" s="39" t="n">
        <f aca="false">MY_PT(AJ$2,$A12)</f>
        <v>0.00172785030498318</v>
      </c>
      <c r="AK12" s="39" t="n">
        <f aca="false">MY_PT(AK$2,$A12)</f>
        <v>0.00172562232457358</v>
      </c>
      <c r="AL12" s="39" t="n">
        <f aca="false">MY_PT(AL$2,$A12)</f>
        <v>0.00172341894031085</v>
      </c>
      <c r="AM12" s="39" t="n">
        <f aca="false">MY_PT(AM$2,$A12)</f>
        <v>0.00172124001280877</v>
      </c>
      <c r="AN12" s="39" t="n">
        <f aca="false">MY_PT(AN$2,$A12)</f>
        <v>0.00171908540316433</v>
      </c>
      <c r="AO12" s="39" t="n">
        <f aca="false">MY_PT(AO$2,$A12)</f>
        <v>0.0017169549729642</v>
      </c>
      <c r="AP12" s="39" t="n">
        <f aca="false">MY_PT(AP$2,$A12)</f>
        <v>0.00171484858429072</v>
      </c>
      <c r="AQ12" s="39" t="n">
        <f aca="false">MY_PT(AQ$2,$A12)</f>
        <v>0.00169507700562693</v>
      </c>
      <c r="AR12" s="39" t="n">
        <f aca="false">MY_PT(AR$2,$A12)</f>
        <v>0.00169128150997718</v>
      </c>
      <c r="AS12" s="39" t="n">
        <f aca="false">MY_PT(AS$2,$A12)</f>
        <v>0.0016895915163209</v>
      </c>
    </row>
    <row r="13" customFormat="false" ht="13.8" hidden="false" customHeight="false" outlineLevel="0" collapsed="false">
      <c r="A13" s="0" t="n">
        <v>1</v>
      </c>
      <c r="B13" s="39" t="n">
        <f aca="false">MY_PT(B$2,$A13)</f>
        <v>9.23959913154163E-006</v>
      </c>
      <c r="C13" s="39" t="n">
        <f aca="false">MY_PT(C$2,$A13)</f>
        <v>0.00173108865857692</v>
      </c>
      <c r="D13" s="39" t="n">
        <f aca="false">MY_PT(D$2,$A13)</f>
        <v>0.00173108842647068</v>
      </c>
      <c r="E13" s="39" t="n">
        <f aca="false">MY_PT(E$2,$A13)</f>
        <v>0.00173108819436468</v>
      </c>
      <c r="F13" s="39" t="n">
        <f aca="false">MY_PT(F$2,$A13)</f>
        <v>0.00173108796225896</v>
      </c>
      <c r="G13" s="39" t="n">
        <f aca="false">MY_PT(G$2,$A13)</f>
        <v>0.00173108564121536</v>
      </c>
      <c r="H13" s="39" t="n">
        <f aca="false">MY_PT(H$2,$A13)</f>
        <v>0.00173108332019686</v>
      </c>
      <c r="I13" s="39" t="n">
        <f aca="false">MY_PT(I$2,$A13)</f>
        <v>0.00173108099920348</v>
      </c>
      <c r="J13" s="39" t="n">
        <f aca="false">MY_PT(J$2,$A13)</f>
        <v>0.0017310786782352</v>
      </c>
      <c r="K13" s="39" t="n">
        <f aca="false">MY_PT(K$2,$A13)</f>
        <v>0.00173107635729202</v>
      </c>
      <c r="L13" s="39" t="n">
        <f aca="false">MY_PT(L$2,$A13)</f>
        <v>0.00173107403637395</v>
      </c>
      <c r="M13" s="39" t="n">
        <f aca="false">MY_PT(M$2,$A13)</f>
        <v>0.00173107171548099</v>
      </c>
      <c r="N13" s="39" t="n">
        <f aca="false">MY_PT(N$2,$A13)</f>
        <v>0.00173106939461313</v>
      </c>
      <c r="O13" s="39" t="n">
        <f aca="false">MY_PT(O$2,$A13)</f>
        <v>0.00173106707377037</v>
      </c>
      <c r="P13" s="39" t="n">
        <f aca="false">MY_PT(P$2,$A13)</f>
        <v>0.0017310438667235</v>
      </c>
      <c r="Q13" s="39" t="n">
        <f aca="false">MY_PT(Q$2,$A13)</f>
        <v>0.00173102066218693</v>
      </c>
      <c r="R13" s="39" t="n">
        <f aca="false">MY_PT(R$2,$A13)</f>
        <v>0.00173099746016046</v>
      </c>
      <c r="S13" s="39" t="n">
        <f aca="false">MY_PT(S$2,$A13)</f>
        <v>0.00173097426064401</v>
      </c>
      <c r="T13" s="39" t="n">
        <f aca="false">MY_PT(T$2,$A13)</f>
        <v>0.0017309510636374</v>
      </c>
      <c r="U13" s="39" t="n">
        <f aca="false">MY_PT(U$2,$A13)</f>
        <v>0.00173092786914052</v>
      </c>
      <c r="V13" s="39" t="n">
        <f aca="false">MY_PT(V$2,$A13)</f>
        <v>0.00173090467715318</v>
      </c>
      <c r="W13" s="39" t="n">
        <f aca="false">MY_PT(W$2,$A13)</f>
        <v>0.00173088148767528</v>
      </c>
      <c r="X13" s="39" t="n">
        <f aca="false">MY_PT(X$2,$A13)</f>
        <v>0.00173085830070668</v>
      </c>
      <c r="Y13" s="39" t="n">
        <f aca="false">MY_PT(Y$2,$A13)</f>
        <v>0.00173062656900075</v>
      </c>
      <c r="Z13" s="39" t="n">
        <f aca="false">MY_PT(Z$2,$A13)</f>
        <v>0.00173039508806941</v>
      </c>
      <c r="AA13" s="39" t="n">
        <f aca="false">MY_PT(AA$2,$A13)</f>
        <v>0.00173016385777226</v>
      </c>
      <c r="AB13" s="39" t="n">
        <f aca="false">MY_PT(AB$2,$A13)</f>
        <v>0.00172993287796889</v>
      </c>
      <c r="AC13" s="39" t="n">
        <f aca="false">MY_PT(AC$2,$A13)</f>
        <v>0.00172970214851904</v>
      </c>
      <c r="AD13" s="39" t="n">
        <f aca="false">MY_PT(AD$2,$A13)</f>
        <v>0.0017294716692824</v>
      </c>
      <c r="AE13" s="39" t="n">
        <f aca="false">MY_PT(AE$2,$A13)</f>
        <v>0.00172924144011873</v>
      </c>
      <c r="AF13" s="39" t="n">
        <f aca="false">MY_PT(AF$2,$A13)</f>
        <v>0.0017290114608879</v>
      </c>
      <c r="AG13" s="39" t="n">
        <f aca="false">MY_PT(AG$2,$A13)</f>
        <v>0.00172878173144969</v>
      </c>
      <c r="AH13" s="39" t="n">
        <f aca="false">MY_PT(AH$2,$A13)</f>
        <v>0.00172649814486388</v>
      </c>
      <c r="AI13" s="39" t="n">
        <f aca="false">MY_PT(AI$2,$A13)</f>
        <v>0.00172423938371578</v>
      </c>
      <c r="AJ13" s="39" t="n">
        <f aca="false">MY_PT(AJ$2,$A13)</f>
        <v>0.00172200530860045</v>
      </c>
      <c r="AK13" s="39" t="n">
        <f aca="false">MY_PT(AK$2,$A13)</f>
        <v>0.00171979578056922</v>
      </c>
      <c r="AL13" s="39" t="n">
        <f aca="false">MY_PT(AL$2,$A13)</f>
        <v>0.00171761066113649</v>
      </c>
      <c r="AM13" s="39" t="n">
        <f aca="false">MY_PT(AM$2,$A13)</f>
        <v>0.0017154498122862</v>
      </c>
      <c r="AN13" s="39" t="n">
        <f aca="false">MY_PT(AN$2,$A13)</f>
        <v>0.0017133130964784</v>
      </c>
      <c r="AO13" s="39" t="n">
        <f aca="false">MY_PT(AO$2,$A13)</f>
        <v>0.00171120037665542</v>
      </c>
      <c r="AP13" s="39" t="n">
        <f aca="false">MY_PT(AP$2,$A13)</f>
        <v>0.00170911151624791</v>
      </c>
      <c r="AQ13" s="39" t="n">
        <f aca="false">MY_PT(AQ$2,$A13)</f>
        <v>0.00168950549540571</v>
      </c>
      <c r="AR13" s="39" t="n">
        <f aca="false">MY_PT(AR$2,$A13)</f>
        <v>0.0016857420389174</v>
      </c>
      <c r="AS13" s="39" t="n">
        <f aca="false">MY_PT(AS$2,$A13)</f>
        <v>0.00168406634325822</v>
      </c>
    </row>
    <row r="14" customFormat="false" ht="13.8" hidden="false" customHeight="false" outlineLevel="0" collapsed="false">
      <c r="A14" s="0" t="n">
        <v>2</v>
      </c>
      <c r="B14" s="39" t="n">
        <f aca="false">MY_PT(B$2,$A14)</f>
        <v>9.26342630808801E-006</v>
      </c>
      <c r="C14" s="39" t="n">
        <f aca="false">MY_PT(C$2,$A14)</f>
        <v>2015</v>
      </c>
      <c r="D14" s="39" t="n">
        <f aca="false">MY_PT(D$2,$A14)</f>
        <v>0.00167361018180383</v>
      </c>
      <c r="E14" s="39" t="n">
        <f aca="false">MY_PT(E$2,$A14)</f>
        <v>0.00167360996814136</v>
      </c>
      <c r="F14" s="39" t="n">
        <f aca="false">MY_PT(F$2,$A14)</f>
        <v>0.00167360975447913</v>
      </c>
      <c r="G14" s="39" t="n">
        <f aca="false">MY_PT(G$2,$A14)</f>
        <v>0.00167360761786962</v>
      </c>
      <c r="H14" s="39" t="n">
        <f aca="false">MY_PT(H$2,$A14)</f>
        <v>0.00167360548128339</v>
      </c>
      <c r="I14" s="39" t="n">
        <f aca="false">MY_PT(I$2,$A14)</f>
        <v>0.00167360334472041</v>
      </c>
      <c r="J14" s="39" t="n">
        <f aca="false">MY_PT(J$2,$A14)</f>
        <v>0.0016736012081807</v>
      </c>
      <c r="K14" s="39" t="n">
        <f aca="false">MY_PT(K$2,$A14)</f>
        <v>0.0016735990716642</v>
      </c>
      <c r="L14" s="39" t="n">
        <f aca="false">MY_PT(L$2,$A14)</f>
        <v>0.001673596935171</v>
      </c>
      <c r="M14" s="39" t="n">
        <f aca="false">MY_PT(M$2,$A14)</f>
        <v>0.00167359479870102</v>
      </c>
      <c r="N14" s="39" t="n">
        <f aca="false">MY_PT(N$2,$A14)</f>
        <v>0.00167359266225432</v>
      </c>
      <c r="O14" s="39" t="n">
        <f aca="false">MY_PT(O$2,$A14)</f>
        <v>0.00167359052583088</v>
      </c>
      <c r="P14" s="39" t="n">
        <f aca="false">MY_PT(P$2,$A14)</f>
        <v>0.00167356916287545</v>
      </c>
      <c r="Q14" s="39" t="n">
        <f aca="false">MY_PT(Q$2,$A14)</f>
        <v>0.00167354780224547</v>
      </c>
      <c r="R14" s="39" t="n">
        <f aca="false">MY_PT(R$2,$A14)</f>
        <v>0.0016735264439408</v>
      </c>
      <c r="S14" s="39" t="n">
        <f aca="false">MY_PT(S$2,$A14)</f>
        <v>0.00167350508796131</v>
      </c>
      <c r="T14" s="39" t="n">
        <f aca="false">MY_PT(T$2,$A14)</f>
        <v>0.00167348373430692</v>
      </c>
      <c r="U14" s="39" t="n">
        <f aca="false">MY_PT(U$2,$A14)</f>
        <v>0.00167346238297745</v>
      </c>
      <c r="V14" s="39" t="n">
        <f aca="false">MY_PT(V$2,$A14)</f>
        <v>0.00167344103397275</v>
      </c>
      <c r="W14" s="39" t="n">
        <f aca="false">MY_PT(W$2,$A14)</f>
        <v>0.00167341968729278</v>
      </c>
      <c r="X14" s="39" t="n">
        <f aca="false">MY_PT(X$2,$A14)</f>
        <v>0.00167339834293735</v>
      </c>
      <c r="Y14" s="39" t="n">
        <f aca="false">MY_PT(Y$2,$A14)</f>
        <v>0.00167318502720552</v>
      </c>
      <c r="Z14" s="39" t="n">
        <f aca="false">MY_PT(Z$2,$A14)</f>
        <v>0.00167297194378917</v>
      </c>
      <c r="AA14" s="39" t="n">
        <f aca="false">MY_PT(AA$2,$A14)</f>
        <v>0.00167275909256112</v>
      </c>
      <c r="AB14" s="39" t="n">
        <f aca="false">MY_PT(AB$2,$A14)</f>
        <v>0.00167254647339421</v>
      </c>
      <c r="AC14" s="39" t="n">
        <f aca="false">MY_PT(AC$2,$A14)</f>
        <v>0.00167233408616134</v>
      </c>
      <c r="AD14" s="39" t="n">
        <f aca="false">MY_PT(AD$2,$A14)</f>
        <v>0.00167212193073538</v>
      </c>
      <c r="AE14" s="39" t="n">
        <f aca="false">MY_PT(AE$2,$A14)</f>
        <v>0.00167191000698938</v>
      </c>
      <c r="AF14" s="39" t="n">
        <f aca="false">MY_PT(AF$2,$A14)</f>
        <v>0.0016716983147963</v>
      </c>
      <c r="AG14" s="39" t="n">
        <f aca="false">MY_PT(AG$2,$A14)</f>
        <v>0.00167148685402913</v>
      </c>
      <c r="AH14" s="39" t="n">
        <f aca="false">MY_PT(AH$2,$A14)</f>
        <v>0.00166938494688029</v>
      </c>
      <c r="AI14" s="39" t="n">
        <f aca="false">MY_PT(AI$2,$A14)</f>
        <v>0.00166730604294969</v>
      </c>
      <c r="AJ14" s="39" t="n">
        <f aca="false">MY_PT(AJ$2,$A14)</f>
        <v>0.00166525001590649</v>
      </c>
      <c r="AK14" s="39" t="n">
        <f aca="false">MY_PT(AK$2,$A14)</f>
        <v>0.00166321673981076</v>
      </c>
      <c r="AL14" s="39" t="n">
        <f aca="false">MY_PT(AL$2,$A14)</f>
        <v>0.00166120608911979</v>
      </c>
      <c r="AM14" s="39" t="n">
        <f aca="false">MY_PT(AM$2,$A14)</f>
        <v>0.00165921793869403</v>
      </c>
      <c r="AN14" s="39" t="n">
        <f aca="false">MY_PT(AN$2,$A14)</f>
        <v>0.00165725216380301</v>
      </c>
      <c r="AO14" s="39" t="n">
        <f aca="false">MY_PT(AO$2,$A14)</f>
        <v>0.00165530864013112</v>
      </c>
      <c r="AP14" s="39" t="n">
        <f aca="false">MY_PT(AP$2,$A14)</f>
        <v>0.00165338724378312</v>
      </c>
      <c r="AQ14" s="39" t="n">
        <f aca="false">MY_PT(AQ$2,$A14)</f>
        <v>0.00163536333737449</v>
      </c>
      <c r="AR14" s="39" t="n">
        <f aca="false">MY_PT(AR$2,$A14)</f>
        <v>0.00163190613718076</v>
      </c>
      <c r="AS14" s="39" t="n">
        <f aca="false">MY_PT(AS$2,$A14)</f>
        <v>0.00163036712203506</v>
      </c>
    </row>
    <row r="15" customFormat="false" ht="13.8" hidden="false" customHeight="false" outlineLevel="0" collapsed="false">
      <c r="A15" s="0" t="n">
        <v>3</v>
      </c>
      <c r="B15" s="39" t="n">
        <f aca="false">MY_PT(B$2,$A15)</f>
        <v>9.28750389264579E-006</v>
      </c>
      <c r="C15" s="39" t="n">
        <f aca="false">MY_PT(C$2,$A15)</f>
        <v>9.2872408610961E-006</v>
      </c>
      <c r="D15" s="39" t="n">
        <f aca="false">MY_PT(D$2,$A15)</f>
        <v>0.0016191198323892</v>
      </c>
      <c r="E15" s="39" t="n">
        <f aca="false">MY_PT(E$2,$A15)</f>
        <v>0.00161911963569274</v>
      </c>
      <c r="F15" s="39" t="n">
        <f aca="false">MY_PT(F$2,$A15)</f>
        <v>0.0016191194389965</v>
      </c>
      <c r="G15" s="39" t="n">
        <f aca="false">MY_PT(G$2,$A15)</f>
        <v>0.00161911747204604</v>
      </c>
      <c r="H15" s="39" t="n">
        <f aca="false">MY_PT(H$2,$A15)</f>
        <v>0.00161911550511717</v>
      </c>
      <c r="I15" s="39" t="n">
        <f aca="false">MY_PT(I$2,$A15)</f>
        <v>0.00161911353820983</v>
      </c>
      <c r="J15" s="39" t="n">
        <f aca="false">MY_PT(J$2,$A15)</f>
        <v>0.00161911157132407</v>
      </c>
      <c r="K15" s="39" t="n">
        <f aca="false">MY_PT(K$2,$A15)</f>
        <v>0.0016191096044599</v>
      </c>
      <c r="L15" s="39" t="n">
        <f aca="false">MY_PT(L$2,$A15)</f>
        <v>0.00161910763761729</v>
      </c>
      <c r="M15" s="39" t="n">
        <f aca="false">MY_PT(M$2,$A15)</f>
        <v>0.00161910567079625</v>
      </c>
      <c r="N15" s="39" t="n">
        <f aca="false">MY_PT(N$2,$A15)</f>
        <v>0.00161910370399678</v>
      </c>
      <c r="O15" s="39" t="n">
        <f aca="false">MY_PT(O$2,$A15)</f>
        <v>0.00161910173721886</v>
      </c>
      <c r="P15" s="39" t="n">
        <f aca="false">MY_PT(P$2,$A15)</f>
        <v>0.0016190820706262</v>
      </c>
      <c r="Q15" s="39" t="n">
        <f aca="false">MY_PT(Q$2,$A15)</f>
        <v>0.0016190624061904</v>
      </c>
      <c r="R15" s="39" t="n">
        <f aca="false">MY_PT(R$2,$A15)</f>
        <v>0.00161904274391138</v>
      </c>
      <c r="S15" s="39" t="n">
        <f aca="false">MY_PT(S$2,$A15)</f>
        <v>0.00161902308378902</v>
      </c>
      <c r="T15" s="39" t="n">
        <f aca="false">MY_PT(T$2,$A15)</f>
        <v>0.00161900342582317</v>
      </c>
      <c r="U15" s="39" t="n">
        <f aca="false">MY_PT(U$2,$A15)</f>
        <v>0.00161898377001378</v>
      </c>
      <c r="V15" s="39" t="n">
        <f aca="false">MY_PT(V$2,$A15)</f>
        <v>0.00161896411636068</v>
      </c>
      <c r="W15" s="39" t="n">
        <f aca="false">MY_PT(W$2,$A15)</f>
        <v>0.00161894446486378</v>
      </c>
      <c r="X15" s="39" t="n">
        <f aca="false">MY_PT(X$2,$A15)</f>
        <v>0.00161892481552296</v>
      </c>
      <c r="Y15" s="39" t="n">
        <f aca="false">MY_PT(Y$2,$A15)</f>
        <v>0.00161872844067356</v>
      </c>
      <c r="Z15" s="39" t="n">
        <f aca="false">MY_PT(Z$2,$A15)</f>
        <v>0.00161853228130496</v>
      </c>
      <c r="AA15" s="39" t="n">
        <f aca="false">MY_PT(AA$2,$A15)</f>
        <v>0.00161833633730172</v>
      </c>
      <c r="AB15" s="39" t="n">
        <f aca="false">MY_PT(AB$2,$A15)</f>
        <v>0.00161814060854854</v>
      </c>
      <c r="AC15" s="39" t="n">
        <f aca="false">MY_PT(AC$2,$A15)</f>
        <v>0.00161794509493004</v>
      </c>
      <c r="AD15" s="39" t="n">
        <f aca="false">MY_PT(AD$2,$A15)</f>
        <v>0.00161774979633096</v>
      </c>
      <c r="AE15" s="39" t="n">
        <f aca="false">MY_PT(AE$2,$A15)</f>
        <v>0.00161755471263602</v>
      </c>
      <c r="AF15" s="39" t="n">
        <f aca="false">MY_PT(AF$2,$A15)</f>
        <v>0.00161735984372999</v>
      </c>
      <c r="AG15" s="39" t="n">
        <f aca="false">MY_PT(AG$2,$A15)</f>
        <v>0.00161716518949764</v>
      </c>
      <c r="AH15" s="39" t="n">
        <f aca="false">MY_PT(AH$2,$A15)</f>
        <v>0.00161523042890706</v>
      </c>
      <c r="AI15" s="39" t="n">
        <f aca="false">MY_PT(AI$2,$A15)</f>
        <v>0.00161331700920767</v>
      </c>
      <c r="AJ15" s="39" t="n">
        <f aca="false">MY_PT(AJ$2,$A15)</f>
        <v>0.00161142481573934</v>
      </c>
      <c r="AK15" s="39" t="n">
        <f aca="false">MY_PT(AK$2,$A15)</f>
        <v>0.00160955373417674</v>
      </c>
      <c r="AL15" s="39" t="n">
        <f aca="false">MY_PT(AL$2,$A15)</f>
        <v>0.00160770365053497</v>
      </c>
      <c r="AM15" s="39" t="n">
        <f aca="false">MY_PT(AM$2,$A15)</f>
        <v>0.0016058744511751</v>
      </c>
      <c r="AN15" s="39" t="n">
        <f aca="false">MY_PT(AN$2,$A15)</f>
        <v>0.00160406602280953</v>
      </c>
      <c r="AO15" s="39" t="n">
        <f aca="false">MY_PT(AO$2,$A15)</f>
        <v>0.00160227825250729</v>
      </c>
      <c r="AP15" s="39" t="n">
        <f aca="false">MY_PT(AP$2,$A15)</f>
        <v>0.00160051102769913</v>
      </c>
      <c r="AQ15" s="39" t="n">
        <f aca="false">MY_PT(AQ$2,$A15)</f>
        <v>0.00158394428504845</v>
      </c>
      <c r="AR15" s="39" t="n">
        <f aca="false">MY_PT(AR$2,$A15)</f>
        <v>0.00158076928755103</v>
      </c>
      <c r="AS15" s="39" t="n">
        <f aca="false">MY_PT(AS$2,$A15)</f>
        <v>0.00157935623209444</v>
      </c>
    </row>
    <row r="16" customFormat="false" ht="13.8" hidden="false" customHeight="false" outlineLevel="0" collapsed="false">
      <c r="A16" s="0" t="n">
        <v>4</v>
      </c>
      <c r="B16" s="39" t="n">
        <f aca="false">MY_PT(B$2,$A16)</f>
        <v>9.31182689889626E-006</v>
      </c>
      <c r="C16" s="39" t="n">
        <f aca="false">MY_PT(C$2,$A16)</f>
        <v>9.31156766451655E-006</v>
      </c>
      <c r="D16" s="39" t="n">
        <f aca="false">MY_PT(D$2,$A16)</f>
        <v>2015</v>
      </c>
      <c r="E16" s="39" t="n">
        <f aca="false">MY_PT(E$2,$A16)</f>
        <v>0.00156741036800165</v>
      </c>
      <c r="F16" s="39" t="n">
        <f aca="false">MY_PT(F$2,$A16)</f>
        <v>0.00156741018692994</v>
      </c>
      <c r="G16" s="39" t="n">
        <f aca="false">MY_PT(G$2,$A16)</f>
        <v>0.00156740837622389</v>
      </c>
      <c r="H16" s="39" t="n">
        <f aca="false">MY_PT(H$2,$A16)</f>
        <v>0.00156740656553786</v>
      </c>
      <c r="I16" s="39" t="n">
        <f aca="false">MY_PT(I$2,$A16)</f>
        <v>0.00156740475487187</v>
      </c>
      <c r="J16" s="39" t="n">
        <f aca="false">MY_PT(J$2,$A16)</f>
        <v>0.0015674029442259</v>
      </c>
      <c r="K16" s="39" t="n">
        <f aca="false">MY_PT(K$2,$A16)</f>
        <v>0.00156740113359996</v>
      </c>
      <c r="L16" s="39" t="n">
        <f aca="false">MY_PT(L$2,$A16)</f>
        <v>0.00156739932299405</v>
      </c>
      <c r="M16" s="39" t="n">
        <f aca="false">MY_PT(M$2,$A16)</f>
        <v>0.00156739751240819</v>
      </c>
      <c r="N16" s="39" t="n">
        <f aca="false">MY_PT(N$2,$A16)</f>
        <v>0.00156739570184234</v>
      </c>
      <c r="O16" s="39" t="n">
        <f aca="false">MY_PT(O$2,$A16)</f>
        <v>0.00156739389129652</v>
      </c>
      <c r="P16" s="39" t="n">
        <f aca="false">MY_PT(P$2,$A16)</f>
        <v>0.00156737578694002</v>
      </c>
      <c r="Q16" s="39" t="n">
        <f aca="false">MY_PT(Q$2,$A16)</f>
        <v>0.00156735768458649</v>
      </c>
      <c r="R16" s="39" t="n">
        <f aca="false">MY_PT(R$2,$A16)</f>
        <v>0.00156733958423578</v>
      </c>
      <c r="S16" s="39" t="n">
        <f aca="false">MY_PT(S$2,$A16)</f>
        <v>0.0015673214858878</v>
      </c>
      <c r="T16" s="39" t="n">
        <f aca="false">MY_PT(T$2,$A16)</f>
        <v>0.00156730338954245</v>
      </c>
      <c r="U16" s="39" t="n">
        <f aca="false">MY_PT(U$2,$A16)</f>
        <v>0.00156728529519963</v>
      </c>
      <c r="V16" s="39" t="n">
        <f aca="false">MY_PT(V$2,$A16)</f>
        <v>0.00156726720285922</v>
      </c>
      <c r="W16" s="39" t="n">
        <f aca="false">MY_PT(W$2,$A16)</f>
        <v>0.00156724911252114</v>
      </c>
      <c r="X16" s="39" t="n">
        <f aca="false">MY_PT(X$2,$A16)</f>
        <v>0.00156723102418523</v>
      </c>
      <c r="Y16" s="39" t="n">
        <f aca="false">MY_PT(Y$2,$A16)</f>
        <v>0.00156705025092457</v>
      </c>
      <c r="Z16" s="39" t="n">
        <f aca="false">MY_PT(Z$2,$A16)</f>
        <v>0.00156686967776922</v>
      </c>
      <c r="AA16" s="39" t="n">
        <f aca="false">MY_PT(AA$2,$A16)</f>
        <v>0.00156668930461429</v>
      </c>
      <c r="AB16" s="39" t="n">
        <f aca="false">MY_PT(AB$2,$A16)</f>
        <v>0.001566509131355</v>
      </c>
      <c r="AC16" s="39" t="n">
        <f aca="false">MY_PT(AC$2,$A16)</f>
        <v>0.00156632915788651</v>
      </c>
      <c r="AD16" s="39" t="n">
        <f aca="false">MY_PT(AD$2,$A16)</f>
        <v>0.00156614938410408</v>
      </c>
      <c r="AE16" s="39" t="n">
        <f aca="false">MY_PT(AE$2,$A16)</f>
        <v>0.00156596980990293</v>
      </c>
      <c r="AF16" s="39" t="n">
        <f aca="false">MY_PT(AF$2,$A16)</f>
        <v>0.00156579043517839</v>
      </c>
      <c r="AG16" s="39" t="n">
        <f aca="false">MY_PT(AG$2,$A16)</f>
        <v>0.00156561125982574</v>
      </c>
      <c r="AH16" s="39" t="n">
        <f aca="false">MY_PT(AH$2,$A16)</f>
        <v>0.0015638304487418</v>
      </c>
      <c r="AI16" s="39" t="n">
        <f aca="false">MY_PT(AI$2,$A16)</f>
        <v>0.00156206945989622</v>
      </c>
      <c r="AJ16" s="39" t="n">
        <f aca="false">MY_PT(AJ$2,$A16)</f>
        <v>0.0015603281890621</v>
      </c>
      <c r="AK16" s="39" t="n">
        <f aca="false">MY_PT(AK$2,$A16)</f>
        <v>0.00155860653229892</v>
      </c>
      <c r="AL16" s="39" t="n">
        <f aca="false">MY_PT(AL$2,$A16)</f>
        <v>0.00155690438595766</v>
      </c>
      <c r="AM16" s="39" t="n">
        <f aca="false">MY_PT(AM$2,$A16)</f>
        <v>0.00155522164668595</v>
      </c>
      <c r="AN16" s="39" t="n">
        <f aca="false">MY_PT(AN$2,$A16)</f>
        <v>0.00155355821143292</v>
      </c>
      <c r="AO16" s="39" t="n">
        <f aca="false">MY_PT(AO$2,$A16)</f>
        <v>0.00155191397745404</v>
      </c>
      <c r="AP16" s="39" t="n">
        <f aca="false">MY_PT(AP$2,$A16)</f>
        <v>0.00155028884231598</v>
      </c>
      <c r="AQ16" s="39" t="n">
        <f aca="false">MY_PT(AQ$2,$A16)</f>
        <v>0.00153506562335625</v>
      </c>
      <c r="AR16" s="39" t="n">
        <f aca="false">MY_PT(AR$2,$A16)</f>
        <v>0.00153215093732162</v>
      </c>
      <c r="AS16" s="39" t="n">
        <f aca="false">MY_PT(AS$2,$A16)</f>
        <v>0.0015308540828911</v>
      </c>
    </row>
    <row r="17" customFormat="false" ht="13.8" hidden="false" customHeight="false" outlineLevel="0" collapsed="false">
      <c r="A17" s="0" t="n">
        <v>5</v>
      </c>
      <c r="B17" s="39" t="n">
        <f aca="false">MY_PT(B$2,$A17)</f>
        <v>9.33639048893284E-006</v>
      </c>
      <c r="C17" s="39" t="n">
        <f aca="false">MY_PT(C$2,$A17)</f>
        <v>9.33613497759836E-006</v>
      </c>
      <c r="D17" s="39" t="n">
        <f aca="false">MY_PT(D$2,$A17)</f>
        <v>9.33587942656173E-006</v>
      </c>
      <c r="E17" s="39" t="n">
        <f aca="false">MY_PT(E$2,$A17)</f>
        <v>0.00151829291589855</v>
      </c>
      <c r="F17" s="39" t="n">
        <f aca="false">MY_PT(F$2,$A17)</f>
        <v>0.00151829274923164</v>
      </c>
      <c r="G17" s="39" t="n">
        <f aca="false">MY_PT(G$2,$A17)</f>
        <v>0.00151829108257287</v>
      </c>
      <c r="H17" s="39" t="n">
        <f aca="false">MY_PT(H$2,$A17)</f>
        <v>0.0015182894159327</v>
      </c>
      <c r="I17" s="39" t="n">
        <f aca="false">MY_PT(I$2,$A17)</f>
        <v>0.00151828774931117</v>
      </c>
      <c r="J17" s="39" t="n">
        <f aca="false">MY_PT(J$2,$A17)</f>
        <v>0.00151828608270825</v>
      </c>
      <c r="K17" s="39" t="n">
        <f aca="false">MY_PT(K$2,$A17)</f>
        <v>0.00151828441612396</v>
      </c>
      <c r="L17" s="39" t="n">
        <f aca="false">MY_PT(L$2,$A17)</f>
        <v>0.00151828274955829</v>
      </c>
      <c r="M17" s="39" t="n">
        <f aca="false">MY_PT(M$2,$A17)</f>
        <v>0.00151828108301125</v>
      </c>
      <c r="N17" s="39" t="n">
        <f aca="false">MY_PT(N$2,$A17)</f>
        <v>0.00151827941648282</v>
      </c>
      <c r="O17" s="39" t="n">
        <f aca="false">MY_PT(O$2,$A17)</f>
        <v>0.00151827774997303</v>
      </c>
      <c r="P17" s="39" t="n">
        <f aca="false">MY_PT(P$2,$A17)</f>
        <v>0.00151826108589925</v>
      </c>
      <c r="Q17" s="39" t="n">
        <f aca="false">MY_PT(Q$2,$A17)</f>
        <v>0.00151824442368762</v>
      </c>
      <c r="R17" s="39" t="n">
        <f aca="false">MY_PT(R$2,$A17)</f>
        <v>0.00151822776333802</v>
      </c>
      <c r="S17" s="39" t="n">
        <f aca="false">MY_PT(S$2,$A17)</f>
        <v>0.0015182111048504</v>
      </c>
      <c r="T17" s="39" t="n">
        <f aca="false">MY_PT(T$2,$A17)</f>
        <v>0.00151819444822462</v>
      </c>
      <c r="U17" s="39" t="n">
        <f aca="false">MY_PT(U$2,$A17)</f>
        <v>0.0015181777934606</v>
      </c>
      <c r="V17" s="39" t="n">
        <f aca="false">MY_PT(V$2,$A17)</f>
        <v>0.00151816114055826</v>
      </c>
      <c r="W17" s="39" t="n">
        <f aca="false">MY_PT(W$2,$A17)</f>
        <v>0.00151814448951751</v>
      </c>
      <c r="X17" s="39" t="n">
        <f aca="false">MY_PT(X$2,$A17)</f>
        <v>0.0015181278403382</v>
      </c>
      <c r="Y17" s="39" t="n">
        <f aca="false">MY_PT(Y$2,$A17)</f>
        <v>0.00151796145090552</v>
      </c>
      <c r="Z17" s="39" t="n">
        <f aca="false">MY_PT(Z$2,$A17)</f>
        <v>0.00151779524751552</v>
      </c>
      <c r="AA17" s="39" t="n">
        <f aca="false">MY_PT(AA$2,$A17)</f>
        <v>0.00151762923007284</v>
      </c>
      <c r="AB17" s="39" t="n">
        <f aca="false">MY_PT(AB$2,$A17)</f>
        <v>0.00151746339848205</v>
      </c>
      <c r="AC17" s="39" t="n">
        <f aca="false">MY_PT(AC$2,$A17)</f>
        <v>0.00151729775264777</v>
      </c>
      <c r="AD17" s="39" t="n">
        <f aca="false">MY_PT(AD$2,$A17)</f>
        <v>0.00151713229247465</v>
      </c>
      <c r="AE17" s="39" t="n">
        <f aca="false">MY_PT(AE$2,$A17)</f>
        <v>0.00151696701786739</v>
      </c>
      <c r="AF17" s="39" t="n">
        <f aca="false">MY_PT(AF$2,$A17)</f>
        <v>0.00151680192873067</v>
      </c>
      <c r="AG17" s="39" t="n">
        <f aca="false">MY_PT(AG$2,$A17)</f>
        <v>0.00151663702496919</v>
      </c>
      <c r="AH17" s="39" t="n">
        <f aca="false">MY_PT(AH$2,$A17)</f>
        <v>0.00151499816204871</v>
      </c>
      <c r="AI17" s="39" t="n">
        <f aca="false">MY_PT(AI$2,$A17)</f>
        <v>0.00151337773202093</v>
      </c>
      <c r="AJ17" s="39" t="n">
        <f aca="false">MY_PT(AJ$2,$A17)</f>
        <v>0.0015117756399991</v>
      </c>
      <c r="AK17" s="39" t="n">
        <f aca="false">MY_PT(AK$2,$A17)</f>
        <v>0.00151019179134106</v>
      </c>
      <c r="AL17" s="39" t="n">
        <f aca="false">MY_PT(AL$2,$A17)</f>
        <v>0.00150862609165404</v>
      </c>
      <c r="AM17" s="39" t="n">
        <f aca="false">MY_PT(AM$2,$A17)</f>
        <v>0.00150707844679927</v>
      </c>
      <c r="AN17" s="39" t="n">
        <f aca="false">MY_PT(AN$2,$A17)</f>
        <v>0.0015055487628965</v>
      </c>
      <c r="AO17" s="39" t="n">
        <f aca="false">MY_PT(AO$2,$A17)</f>
        <v>0.00150403694632846</v>
      </c>
      <c r="AP17" s="39" t="n">
        <f aca="false">MY_PT(AP$2,$A17)</f>
        <v>0.00150254290374521</v>
      </c>
      <c r="AQ17" s="39" t="n">
        <f aca="false">MY_PT(AQ$2,$A17)</f>
        <v>0.00148855970961256</v>
      </c>
      <c r="AR17" s="39" t="n">
        <f aca="false">MY_PT(AR$2,$A17)</f>
        <v>0.00148588538406318</v>
      </c>
      <c r="AS17" s="39" t="n">
        <f aca="false">MY_PT(AS$2,$A17)</f>
        <v>0.00148469583548507</v>
      </c>
    </row>
    <row r="18" customFormat="false" ht="13.8" hidden="false" customHeight="false" outlineLevel="0" collapsed="false">
      <c r="A18" s="0" t="n">
        <v>6</v>
      </c>
      <c r="B18" s="39" t="n">
        <f aca="false">MY_PT(B$2,$A18)</f>
        <v>9.36118996749559E-006</v>
      </c>
      <c r="C18" s="39" t="n">
        <f aca="false">MY_PT(C$2,$A18)</f>
        <v>9.36093810707982E-006</v>
      </c>
      <c r="D18" s="39" t="n">
        <f aca="false">MY_PT(D$2,$A18)</f>
        <v>9.36068620977962E-006</v>
      </c>
      <c r="E18" s="39" t="n">
        <f aca="false">MY_PT(E$2,$A18)</f>
        <v>9.36043427350521E-006</v>
      </c>
      <c r="F18" s="39" t="n">
        <f aca="false">MY_PT(F$2,$A18)</f>
        <v>0.00147159370786589</v>
      </c>
      <c r="G18" s="39" t="n">
        <f aca="false">MY_PT(G$2,$A18)</f>
        <v>0.00147159217414868</v>
      </c>
      <c r="H18" s="39" t="n">
        <f aca="false">MY_PT(H$2,$A18)</f>
        <v>0.00147159064044881</v>
      </c>
      <c r="I18" s="39" t="n">
        <f aca="false">MY_PT(I$2,$A18)</f>
        <v>0.00147158910676629</v>
      </c>
      <c r="J18" s="39" t="n">
        <f aca="false">MY_PT(J$2,$A18)</f>
        <v>0.00147158757310107</v>
      </c>
      <c r="K18" s="39" t="n">
        <f aca="false">MY_PT(K$2,$A18)</f>
        <v>0.00147158603945321</v>
      </c>
      <c r="L18" s="39" t="n">
        <f aca="false">MY_PT(L$2,$A18)</f>
        <v>0.00147158450582267</v>
      </c>
      <c r="M18" s="39" t="n">
        <f aca="false">MY_PT(M$2,$A18)</f>
        <v>0.00147158297220948</v>
      </c>
      <c r="N18" s="39" t="n">
        <f aca="false">MY_PT(N$2,$A18)</f>
        <v>0.00147158143861361</v>
      </c>
      <c r="O18" s="39" t="n">
        <f aca="false">MY_PT(O$2,$A18)</f>
        <v>0.00147157990503507</v>
      </c>
      <c r="P18" s="39" t="n">
        <f aca="false">MY_PT(P$2,$A18)</f>
        <v>0.001471564570203</v>
      </c>
      <c r="Q18" s="39" t="n">
        <f aca="false">MY_PT(Q$2,$A18)</f>
        <v>0.00147154923710413</v>
      </c>
      <c r="R18" s="39" t="n">
        <f aca="false">MY_PT(R$2,$A18)</f>
        <v>0.00147153390573836</v>
      </c>
      <c r="S18" s="39" t="n">
        <f aca="false">MY_PT(S$2,$A18)</f>
        <v>0.00147151857610562</v>
      </c>
      <c r="T18" s="39" t="n">
        <f aca="false">MY_PT(T$2,$A18)</f>
        <v>0.00147150324820582</v>
      </c>
      <c r="U18" s="39" t="n">
        <f aca="false">MY_PT(U$2,$A18)</f>
        <v>0.00147148792203887</v>
      </c>
      <c r="V18" s="39" t="n">
        <f aca="false">MY_PT(V$2,$A18)</f>
        <v>0.00147147259760469</v>
      </c>
      <c r="W18" s="39" t="n">
        <f aca="false">MY_PT(W$2,$A18)</f>
        <v>0.00147145727490318</v>
      </c>
      <c r="X18" s="39" t="n">
        <f aca="false">MY_PT(X$2,$A18)</f>
        <v>0.00147144195393425</v>
      </c>
      <c r="Y18" s="39" t="n">
        <f aca="false">MY_PT(Y$2,$A18)</f>
        <v>0.00147128883951833</v>
      </c>
      <c r="Z18" s="39" t="n">
        <f aca="false">MY_PT(Z$2,$A18)</f>
        <v>0.00147113589826565</v>
      </c>
      <c r="AA18" s="39" t="n">
        <f aca="false">MY_PT(AA$2,$A18)</f>
        <v>0.00147098313008924</v>
      </c>
      <c r="AB18" s="39" t="n">
        <f aca="false">MY_PT(AB$2,$A18)</f>
        <v>0.00147083053490218</v>
      </c>
      <c r="AC18" s="39" t="n">
        <f aca="false">MY_PT(AC$2,$A18)</f>
        <v>0.00147067811261751</v>
      </c>
      <c r="AD18" s="39" t="n">
        <f aca="false">MY_PT(AD$2,$A18)</f>
        <v>0.00147052586314831</v>
      </c>
      <c r="AE18" s="39" t="n">
        <f aca="false">MY_PT(AE$2,$A18)</f>
        <v>0.00147037378640776</v>
      </c>
      <c r="AF18" s="39" t="n">
        <f aca="false">MY_PT(AF$2,$A18)</f>
        <v>0.00147022188230893</v>
      </c>
      <c r="AG18" s="39" t="n">
        <f aca="false">MY_PT(AG$2,$A18)</f>
        <v>0.00147007015076499</v>
      </c>
      <c r="AH18" s="39" t="n">
        <f aca="false">MY_PT(AH$2,$A18)</f>
        <v>0.00146856230675198</v>
      </c>
      <c r="AI18" s="39" t="n">
        <f aca="false">MY_PT(AI$2,$A18)</f>
        <v>0.00146707162284345</v>
      </c>
      <c r="AJ18" s="39" t="n">
        <f aca="false">MY_PT(AJ$2,$A18)</f>
        <v>0.00146559801252574</v>
      </c>
      <c r="AK18" s="39" t="n">
        <f aca="false">MY_PT(AK$2,$A18)</f>
        <v>0.0014641413894938</v>
      </c>
      <c r="AL18" s="39" t="n">
        <f aca="false">MY_PT(AL$2,$A18)</f>
        <v>0.00146270166765575</v>
      </c>
      <c r="AM18" s="39" t="n">
        <f aca="false">MY_PT(AM$2,$A18)</f>
        <v>0.00146127876113675</v>
      </c>
      <c r="AN18" s="39" t="n">
        <f aca="false">MY_PT(AN$2,$A18)</f>
        <v>0.00145987258428347</v>
      </c>
      <c r="AO18" s="39" t="n">
        <f aca="false">MY_PT(AO$2,$A18)</f>
        <v>0.00145848305166795</v>
      </c>
      <c r="AP18" s="39" t="n">
        <f aca="false">MY_PT(AP$2,$A18)</f>
        <v>0.0014571100780918</v>
      </c>
      <c r="AQ18" s="39" t="n">
        <f aca="false">MY_PT(AQ$2,$A18)</f>
        <v>0.00144427251763809</v>
      </c>
      <c r="AR18" s="39" t="n">
        <f aca="false">MY_PT(AR$2,$A18)</f>
        <v>0.00144182034540816</v>
      </c>
      <c r="AS18" s="39" t="n">
        <f aca="false">MY_PT(AS$2,$A18)</f>
        <v>0.00144072998371197</v>
      </c>
    </row>
    <row r="19" customFormat="false" ht="13.8" hidden="false" customHeight="false" outlineLevel="0" collapsed="false">
      <c r="A19" s="0" t="n">
        <v>7</v>
      </c>
      <c r="B19" s="39" t="n">
        <f aca="false">MY_PT(B$2,$A19)</f>
        <v>9.38622077647337E-006</v>
      </c>
      <c r="C19" s="39" t="n">
        <f aca="false">MY_PT(C$2,$A19)</f>
        <v>9.38597249676142E-006</v>
      </c>
      <c r="D19" s="39" t="n">
        <f aca="false">MY_PT(D$2,$A19)</f>
        <v>9.38572418264784E-006</v>
      </c>
      <c r="E19" s="39" t="n">
        <f aca="false">MY_PT(E$2,$A19)</f>
        <v>9.38547583239165E-006</v>
      </c>
      <c r="F19" s="39" t="n">
        <f aca="false">MY_PT(F$2,$A19)</f>
        <v>2015</v>
      </c>
      <c r="G19" s="39" t="n">
        <f aca="false">MY_PT(G$2,$A19)</f>
        <v>0.0014271525138936</v>
      </c>
      <c r="H19" s="39" t="n">
        <f aca="false">MY_PT(H$2,$A19)</f>
        <v>0.00142715110300842</v>
      </c>
      <c r="I19" s="39" t="n">
        <f aca="false">MY_PT(I$2,$A19)</f>
        <v>0.0014271496921394</v>
      </c>
      <c r="J19" s="39" t="n">
        <f aca="false">MY_PT(J$2,$A19)</f>
        <v>0.00142714828128653</v>
      </c>
      <c r="K19" s="39" t="n">
        <f aca="false">MY_PT(K$2,$A19)</f>
        <v>0.00142714687044982</v>
      </c>
      <c r="L19" s="39" t="n">
        <f aca="false">MY_PT(L$2,$A19)</f>
        <v>0.00142714545962925</v>
      </c>
      <c r="M19" s="39" t="n">
        <f aca="false">MY_PT(M$2,$A19)</f>
        <v>0.00142714404882484</v>
      </c>
      <c r="N19" s="39" t="n">
        <f aca="false">MY_PT(N$2,$A19)</f>
        <v>0.00142714263803658</v>
      </c>
      <c r="O19" s="39" t="n">
        <f aca="false">MY_PT(O$2,$A19)</f>
        <v>0.00142714122726449</v>
      </c>
      <c r="P19" s="39" t="n">
        <f aca="false">MY_PT(P$2,$A19)</f>
        <v>0.00142712712043161</v>
      </c>
      <c r="Q19" s="39" t="n">
        <f aca="false">MY_PT(Q$2,$A19)</f>
        <v>0.00142711301521368</v>
      </c>
      <c r="R19" s="39" t="n">
        <f aca="false">MY_PT(R$2,$A19)</f>
        <v>0.00142709891161064</v>
      </c>
      <c r="S19" s="39" t="n">
        <f aca="false">MY_PT(S$2,$A19)</f>
        <v>0.00142708480962237</v>
      </c>
      <c r="T19" s="39" t="n">
        <f aca="false">MY_PT(T$2,$A19)</f>
        <v>0.0014270707092488</v>
      </c>
      <c r="U19" s="39" t="n">
        <f aca="false">MY_PT(U$2,$A19)</f>
        <v>0.00142705661048987</v>
      </c>
      <c r="V19" s="39" t="n">
        <f aca="false">MY_PT(V$2,$A19)</f>
        <v>0.00142704251334548</v>
      </c>
      <c r="W19" s="39" t="n">
        <f aca="false">MY_PT(W$2,$A19)</f>
        <v>0.00142702841781554</v>
      </c>
      <c r="X19" s="39" t="n">
        <f aca="false">MY_PT(X$2,$A19)</f>
        <v>0.00142701432390003</v>
      </c>
      <c r="Y19" s="39" t="n">
        <f aca="false">MY_PT(Y$2,$A19)</f>
        <v>0.00142687347351864</v>
      </c>
      <c r="Z19" s="39" t="n">
        <f aca="false">MY_PT(Z$2,$A19)</f>
        <v>0.0014267327844888</v>
      </c>
      <c r="AA19" s="39" t="n">
        <f aca="false">MY_PT(AA$2,$A19)</f>
        <v>0.00142659225673114</v>
      </c>
      <c r="AB19" s="39" t="n">
        <f aca="false">MY_PT(AB$2,$A19)</f>
        <v>0.0014264518901663</v>
      </c>
      <c r="AC19" s="39" t="n">
        <f aca="false">MY_PT(AC$2,$A19)</f>
        <v>0.00142631168471491</v>
      </c>
      <c r="AD19" s="39" t="n">
        <f aca="false">MY_PT(AD$2,$A19)</f>
        <v>0.00142617164029763</v>
      </c>
      <c r="AE19" s="39" t="n">
        <f aca="false">MY_PT(AE$2,$A19)</f>
        <v>0.00142603175683518</v>
      </c>
      <c r="AF19" s="39" t="n">
        <f aca="false">MY_PT(AF$2,$A19)</f>
        <v>0.00142589203424823</v>
      </c>
      <c r="AG19" s="39" t="n">
        <f aca="false">MY_PT(AG$2,$A19)</f>
        <v>0.00142575247245752</v>
      </c>
      <c r="AH19" s="39" t="n">
        <f aca="false">MY_PT(AH$2,$A19)</f>
        <v>0.00142436568091306</v>
      </c>
      <c r="AI19" s="39" t="n">
        <f aca="false">MY_PT(AI$2,$A19)</f>
        <v>0.00142299488190818</v>
      </c>
      <c r="AJ19" s="39" t="n">
        <f aca="false">MY_PT(AJ$2,$A19)</f>
        <v>0.00142163999644563</v>
      </c>
      <c r="AK19" s="39" t="n">
        <f aca="false">MY_PT(AK$2,$A19)</f>
        <v>0.00142030094570593</v>
      </c>
      <c r="AL19" s="39" t="n">
        <f aca="false">MY_PT(AL$2,$A19)</f>
        <v>0.00141897765105114</v>
      </c>
      <c r="AM19" s="39" t="n">
        <f aca="false">MY_PT(AM$2,$A19)</f>
        <v>0.0014176700340288</v>
      </c>
      <c r="AN19" s="39" t="n">
        <f aca="false">MY_PT(AN$2,$A19)</f>
        <v>0.00141637801637572</v>
      </c>
      <c r="AO19" s="39" t="n">
        <f aca="false">MY_PT(AO$2,$A19)</f>
        <v>0.00141510152002173</v>
      </c>
      <c r="AP19" s="39" t="n">
        <f aca="false">MY_PT(AP$2,$A19)</f>
        <v>0.00141384046709339</v>
      </c>
      <c r="AQ19" s="39" t="n">
        <f aca="false">MY_PT(AQ$2,$A19)</f>
        <v>0.00140206234183713</v>
      </c>
      <c r="AR19" s="39" t="n">
        <f aca="false">MY_PT(AR$2,$A19)</f>
        <v>0.00139981568550984</v>
      </c>
      <c r="AS19" s="39" t="n">
        <f aca="false">MY_PT(AS$2,$A19)</f>
        <v>0.00139881709057236</v>
      </c>
    </row>
    <row r="20" customFormat="false" ht="13.8" hidden="false" customHeight="false" outlineLevel="0" collapsed="false">
      <c r="A20" s="0" t="n">
        <v>8</v>
      </c>
      <c r="B20" s="39" t="n">
        <f aca="false">MY_PT(B$2,$A20)</f>
        <v>9.41147848965941E-006</v>
      </c>
      <c r="C20" s="39" t="n">
        <f aca="false">MY_PT(C$2,$A20)</f>
        <v>9.41123372226889E-006</v>
      </c>
      <c r="D20" s="39" t="n">
        <f aca="false">MY_PT(D$2,$A20)</f>
        <v>9.41098892267638E-006</v>
      </c>
      <c r="E20" s="39" t="n">
        <f aca="false">MY_PT(E$2,$A20)</f>
        <v>9.41074408943053E-006</v>
      </c>
      <c r="F20" s="39" t="n">
        <f aca="false">MY_PT(F$2,$A20)</f>
        <v>9.41049922092328E-006</v>
      </c>
      <c r="G20" s="39" t="n">
        <f aca="false">MY_PT(G$2,$A20)</f>
        <v>0.00138482586649391</v>
      </c>
      <c r="H20" s="39" t="n">
        <f aca="false">MY_PT(H$2,$A20)</f>
        <v>0.00138482456917919</v>
      </c>
      <c r="I20" s="39" t="n">
        <f aca="false">MY_PT(I$2,$A20)</f>
        <v>0.00138482327187955</v>
      </c>
      <c r="J20" s="39" t="n">
        <f aca="false">MY_PT(J$2,$A20)</f>
        <v>0.00138482197459498</v>
      </c>
      <c r="K20" s="39" t="n">
        <f aca="false">MY_PT(K$2,$A20)</f>
        <v>0.00138482067732546</v>
      </c>
      <c r="L20" s="39" t="n">
        <f aca="false">MY_PT(L$2,$A20)</f>
        <v>0.00138481938007103</v>
      </c>
      <c r="M20" s="39" t="n">
        <f aca="false">MY_PT(M$2,$A20)</f>
        <v>0.00138481808283166</v>
      </c>
      <c r="N20" s="39" t="n">
        <f aca="false">MY_PT(N$2,$A20)</f>
        <v>0.00138481678560733</v>
      </c>
      <c r="O20" s="39" t="n">
        <f aca="false">MY_PT(O$2,$A20)</f>
        <v>0.00138481548839809</v>
      </c>
      <c r="P20" s="39" t="n">
        <f aca="false">MY_PT(P$2,$A20)</f>
        <v>0.0013848025171341</v>
      </c>
      <c r="Q20" s="39" t="n">
        <f aca="false">MY_PT(Q$2,$A20)</f>
        <v>0.00138478954737649</v>
      </c>
      <c r="R20" s="39" t="n">
        <f aca="false">MY_PT(R$2,$A20)</f>
        <v>0.00138477657912514</v>
      </c>
      <c r="S20" s="39" t="n">
        <f aca="false">MY_PT(S$2,$A20)</f>
        <v>0.00138476361238</v>
      </c>
      <c r="T20" s="39" t="n">
        <f aca="false">MY_PT(T$2,$A20)</f>
        <v>0.00138475064714103</v>
      </c>
      <c r="U20" s="39" t="n">
        <f aca="false">MY_PT(U$2,$A20)</f>
        <v>0.0013847376834081</v>
      </c>
      <c r="V20" s="39" t="n">
        <f aca="false">MY_PT(V$2,$A20)</f>
        <v>0.00138472472118117</v>
      </c>
      <c r="W20" s="39" t="n">
        <f aca="false">MY_PT(W$2,$A20)</f>
        <v>0.00138471176046015</v>
      </c>
      <c r="X20" s="39" t="n">
        <f aca="false">MY_PT(X$2,$A20)</f>
        <v>0.001384698801245</v>
      </c>
      <c r="Y20" s="39" t="n">
        <f aca="false">MY_PT(Y$2,$A20)</f>
        <v>0.00138456929189903</v>
      </c>
      <c r="Z20" s="39" t="n">
        <f aca="false">MY_PT(Z$2,$A20)</f>
        <v>0.00138443993305802</v>
      </c>
      <c r="AA20" s="39" t="n">
        <f aca="false">MY_PT(AA$2,$A20)</f>
        <v>0.0013843107246494</v>
      </c>
      <c r="AB20" s="39" t="n">
        <f aca="false">MY_PT(AB$2,$A20)</f>
        <v>0.00138418166660063</v>
      </c>
      <c r="AC20" s="39" t="n">
        <f aca="false">MY_PT(AC$2,$A20)</f>
        <v>0.00138405275883915</v>
      </c>
      <c r="AD20" s="39" t="n">
        <f aca="false">MY_PT(AD$2,$A20)</f>
        <v>0.00138392400129246</v>
      </c>
      <c r="AE20" s="39" t="n">
        <f aca="false">MY_PT(AE$2,$A20)</f>
        <v>0.00138379539388802</v>
      </c>
      <c r="AF20" s="39" t="n">
        <f aca="false">MY_PT(AF$2,$A20)</f>
        <v>0.00138366693655336</v>
      </c>
      <c r="AG20" s="39" t="n">
        <f aca="false">MY_PT(AG$2,$A20)</f>
        <v>0.00138353862921598</v>
      </c>
      <c r="AH20" s="39" t="n">
        <f aca="false">MY_PT(AH$2,$A20)</f>
        <v>0.0013822637897571</v>
      </c>
      <c r="AI20" s="39" t="n">
        <f aca="false">MY_PT(AI$2,$A20)</f>
        <v>0.00138100387040394</v>
      </c>
      <c r="AJ20" s="39" t="n">
        <f aca="false">MY_PT(AJ$2,$A20)</f>
        <v>0.00137975879891575</v>
      </c>
      <c r="AK20" s="39" t="n">
        <f aca="false">MY_PT(AK$2,$A20)</f>
        <v>0.00137852850320276</v>
      </c>
      <c r="AL20" s="39" t="n">
        <f aca="false">MY_PT(AL$2,$A20)</f>
        <v>0.00137731291132959</v>
      </c>
      <c r="AM20" s="39" t="n">
        <f aca="false">MY_PT(AM$2,$A20)</f>
        <v>0.00137611195151893</v>
      </c>
      <c r="AN20" s="39" t="n">
        <f aca="false">MY_PT(AN$2,$A20)</f>
        <v>0.00137492555215505</v>
      </c>
      <c r="AO20" s="39" t="n">
        <f aca="false">MY_PT(AO$2,$A20)</f>
        <v>0.00137375364178706</v>
      </c>
      <c r="AP20" s="39" t="n">
        <f aca="false">MY_PT(AP$2,$A20)</f>
        <v>0.00137259614913251</v>
      </c>
      <c r="AQ20" s="39" t="n">
        <f aca="false">MY_PT(AQ$2,$A20)</f>
        <v>0.00136179864162282</v>
      </c>
      <c r="AR20" s="39" t="n">
        <f aca="false">MY_PT(AR$2,$A20)</f>
        <v>0.00135974227902468</v>
      </c>
      <c r="AS20" s="39" t="n">
        <f aca="false">MY_PT(AS$2,$A20)</f>
        <v>0.00135882866089336</v>
      </c>
    </row>
    <row r="21" customFormat="false" ht="13.8" hidden="false" customHeight="false" outlineLevel="0" collapsed="false">
      <c r="A21" s="0" t="n">
        <v>9</v>
      </c>
      <c r="B21" s="39" t="n">
        <f aca="false">MY_PT(B$2,$A21)</f>
        <v>9.43695880774686E-006</v>
      </c>
      <c r="C21" s="39" t="n">
        <f aca="false">MY_PT(C$2,$A21)</f>
        <v>9.43671748605504E-006</v>
      </c>
      <c r="D21" s="39" t="n">
        <f aca="false">MY_PT(D$2,$A21)</f>
        <v>9.43647613412076E-006</v>
      </c>
      <c r="E21" s="39" t="n">
        <f aca="false">MY_PT(E$2,$A21)</f>
        <v>9.43623475073321E-006</v>
      </c>
      <c r="F21" s="39" t="n">
        <f aca="false">MY_PT(F$2,$A21)</f>
        <v>9.43599333455109E-006</v>
      </c>
      <c r="G21" s="39" t="n">
        <f aca="false">MY_PT(G$2,$A21)</f>
        <v>0.00134447767160411</v>
      </c>
      <c r="H21" s="39" t="n">
        <f aca="false">MY_PT(H$2,$A21)</f>
        <v>0.00134447647940948</v>
      </c>
      <c r="I21" s="39" t="n">
        <f aca="false">MY_PT(I$2,$A21)</f>
        <v>0.00134447528722893</v>
      </c>
      <c r="J21" s="39" t="n">
        <f aca="false">MY_PT(J$2,$A21)</f>
        <v>0.00134447409506245</v>
      </c>
      <c r="K21" s="39" t="n">
        <f aca="false">MY_PT(K$2,$A21)</f>
        <v>0.00134447290291002</v>
      </c>
      <c r="L21" s="39" t="n">
        <f aca="false">MY_PT(L$2,$A21)</f>
        <v>0.00134447171077166</v>
      </c>
      <c r="M21" s="39" t="n">
        <f aca="false">MY_PT(M$2,$A21)</f>
        <v>0.00134447051864737</v>
      </c>
      <c r="N21" s="39" t="n">
        <f aca="false">MY_PT(N$2,$A21)</f>
        <v>0.00134446932653715</v>
      </c>
      <c r="O21" s="39" t="n">
        <f aca="false">MY_PT(O$2,$A21)</f>
        <v>0.00134446813444098</v>
      </c>
      <c r="P21" s="39" t="n">
        <f aca="false">MY_PT(P$2,$A21)</f>
        <v>0.00134445621425298</v>
      </c>
      <c r="Q21" s="39" t="n">
        <f aca="false">MY_PT(Q$2,$A21)</f>
        <v>0.0013444442954715</v>
      </c>
      <c r="R21" s="39" t="n">
        <f aca="false">MY_PT(R$2,$A21)</f>
        <v>0.00134443237809646</v>
      </c>
      <c r="S21" s="39" t="n">
        <f aca="false">MY_PT(S$2,$A21)</f>
        <v>0.00134442046212782</v>
      </c>
      <c r="T21" s="39" t="n">
        <f aca="false">MY_PT(T$2,$A21)</f>
        <v>0.00134440854756548</v>
      </c>
      <c r="U21" s="39" t="n">
        <f aca="false">MY_PT(U$2,$A21)</f>
        <v>0.00134439663440938</v>
      </c>
      <c r="V21" s="39" t="n">
        <f aca="false">MY_PT(V$2,$A21)</f>
        <v>0.00134438472265947</v>
      </c>
      <c r="W21" s="39" t="n">
        <f aca="false">MY_PT(W$2,$A21)</f>
        <v>0.00134437281231569</v>
      </c>
      <c r="X21" s="39" t="n">
        <f aca="false">MY_PT(X$2,$A21)</f>
        <v>0.00134436090337795</v>
      </c>
      <c r="Y21" s="39" t="n">
        <f aca="false">MY_PT(Y$2,$A21)</f>
        <v>0.00134424189131867</v>
      </c>
      <c r="Z21" s="39" t="n">
        <f aca="false">MY_PT(Z$2,$A21)</f>
        <v>0.00134412301979133</v>
      </c>
      <c r="AA21" s="39" t="n">
        <f aca="false">MY_PT(AA$2,$A21)</f>
        <v>0.00134400428872943</v>
      </c>
      <c r="AB21" s="39" t="n">
        <f aca="false">MY_PT(AB$2,$A21)</f>
        <v>0.00134388569806658</v>
      </c>
      <c r="AC21" s="39" t="n">
        <f aca="false">MY_PT(AC$2,$A21)</f>
        <v>0.00134376724773637</v>
      </c>
      <c r="AD21" s="39" t="n">
        <f aca="false">MY_PT(AD$2,$A21)</f>
        <v>0.00134364893767239</v>
      </c>
      <c r="AE21" s="39" t="n">
        <f aca="false">MY_PT(AE$2,$A21)</f>
        <v>0.00134353076780825</v>
      </c>
      <c r="AF21" s="39" t="n">
        <f aca="false">MY_PT(AF$2,$A21)</f>
        <v>0.0013434127380776</v>
      </c>
      <c r="AG21" s="39" t="n">
        <f aca="false">MY_PT(AG$2,$A21)</f>
        <v>0.00134329484841405</v>
      </c>
      <c r="AH21" s="39" t="n">
        <f aca="false">MY_PT(AH$2,$A21)</f>
        <v>0.00134212364087815</v>
      </c>
      <c r="AI21" s="39" t="n">
        <f aca="false">MY_PT(AI$2,$A21)</f>
        <v>0.00134096636714403</v>
      </c>
      <c r="AJ21" s="39" t="n">
        <f aca="false">MY_PT(AJ$2,$A21)</f>
        <v>0.00133982296105221</v>
      </c>
      <c r="AK21" s="39" t="n">
        <f aca="false">MY_PT(AK$2,$A21)</f>
        <v>0.00133869335657106</v>
      </c>
      <c r="AL21" s="39" t="n">
        <f aca="false">MY_PT(AL$2,$A21)</f>
        <v>0.0013375774878</v>
      </c>
      <c r="AM21" s="39" t="n">
        <f aca="false">MY_PT(AM$2,$A21)</f>
        <v>0.00133647528897279</v>
      </c>
      <c r="AN21" s="39" t="n">
        <f aca="false">MY_PT(AN$2,$A21)</f>
        <v>0.00133538669446066</v>
      </c>
      <c r="AO21" s="39" t="n">
        <f aca="false">MY_PT(AO$2,$A21)</f>
        <v>0.00133431163877555</v>
      </c>
      <c r="AP21" s="39" t="n">
        <f aca="false">MY_PT(AP$2,$A21)</f>
        <v>0.00133325005657317</v>
      </c>
      <c r="AQ21" s="39" t="n">
        <f aca="false">MY_PT(AQ$2,$A21)</f>
        <v>0.00132336100922445</v>
      </c>
      <c r="AR21" s="39" t="n">
        <f aca="false">MY_PT(AR$2,$A21)</f>
        <v>0.00132148099604141</v>
      </c>
      <c r="AS21" s="39" t="n">
        <f aca="false">MY_PT(AS$2,$A21)</f>
        <v>0.00132064613385743</v>
      </c>
    </row>
    <row r="22" customFormat="false" ht="13.8" hidden="false" customHeight="false" outlineLevel="0" collapsed="false">
      <c r="A22" s="0" t="n">
        <v>10</v>
      </c>
      <c r="B22" s="39" t="n">
        <f aca="false">MY_PT(B$2,$A22)</f>
        <v>9.46265755355173E-006</v>
      </c>
      <c r="C22" s="39" t="n">
        <f aca="false">MY_PT(C$2,$A22)</f>
        <v>9.46241961262832E-006</v>
      </c>
      <c r="D22" s="39" t="n">
        <f aca="false">MY_PT(D$2,$A22)</f>
        <v>9.46218164321756E-006</v>
      </c>
      <c r="E22" s="39" t="n">
        <f aca="false">MY_PT(E$2,$A22)</f>
        <v>9.46194364430865E-006</v>
      </c>
      <c r="F22" s="39" t="n">
        <f aca="false">MY_PT(F$2,$A22)</f>
        <v>9.46170561478194E-006</v>
      </c>
      <c r="G22" s="39" t="n">
        <f aca="false">MY_PT(G$2,$A22)</f>
        <v>0.0013059839498843</v>
      </c>
      <c r="H22" s="39" t="n">
        <f aca="false">MY_PT(H$2,$A22)</f>
        <v>0.0013059828550755</v>
      </c>
      <c r="I22" s="39" t="n">
        <f aca="false">MY_PT(I$2,$A22)</f>
        <v>0.00130598176027985</v>
      </c>
      <c r="J22" s="39" t="n">
        <f aca="false">MY_PT(J$2,$A22)</f>
        <v>0.00130598066549733</v>
      </c>
      <c r="K22" s="39" t="n">
        <f aca="false">MY_PT(K$2,$A22)</f>
        <v>0.00130597957072797</v>
      </c>
      <c r="L22" s="39" t="n">
        <f aca="false">MY_PT(L$2,$A22)</f>
        <v>0.00130597847597175</v>
      </c>
      <c r="M22" s="39" t="n">
        <f aca="false">MY_PT(M$2,$A22)</f>
        <v>0.00130597738122869</v>
      </c>
      <c r="N22" s="39" t="n">
        <f aca="false">MY_PT(N$2,$A22)</f>
        <v>0.00130597628649876</v>
      </c>
      <c r="O22" s="39" t="n">
        <f aca="false">MY_PT(O$2,$A22)</f>
        <v>0.00130597519178198</v>
      </c>
      <c r="P22" s="39" t="n">
        <f aca="false">MY_PT(P$2,$A22)</f>
        <v>0.00130596424533727</v>
      </c>
      <c r="Q22" s="39" t="n">
        <f aca="false">MY_PT(Q$2,$A22)</f>
        <v>0.00130595330020715</v>
      </c>
      <c r="R22" s="39" t="n">
        <f aca="false">MY_PT(R$2,$A22)</f>
        <v>0.00130594235639159</v>
      </c>
      <c r="S22" s="39" t="n">
        <f aca="false">MY_PT(S$2,$A22)</f>
        <v>0.0013059314138905</v>
      </c>
      <c r="T22" s="39" t="n">
        <f aca="false">MY_PT(T$2,$A22)</f>
        <v>0.00130592047270383</v>
      </c>
      <c r="U22" s="39" t="n">
        <f aca="false">MY_PT(U$2,$A22)</f>
        <v>0.00130590953283152</v>
      </c>
      <c r="V22" s="39" t="n">
        <f aca="false">MY_PT(V$2,$A22)</f>
        <v>0.00130589859427352</v>
      </c>
      <c r="W22" s="39" t="n">
        <f aca="false">MY_PT(W$2,$A22)</f>
        <v>0.00130588765702974</v>
      </c>
      <c r="X22" s="39" t="n">
        <f aca="false">MY_PT(X$2,$A22)</f>
        <v>0.00130587672110015</v>
      </c>
      <c r="Y22" s="39" t="n">
        <f aca="false">MY_PT(Y$2,$A22)</f>
        <v>0.00130576743407049</v>
      </c>
      <c r="Z22" s="39" t="n">
        <f aca="false">MY_PT(Z$2,$A22)</f>
        <v>0.00130565827839146</v>
      </c>
      <c r="AA22" s="39" t="n">
        <f aca="false">MY_PT(AA$2,$A22)</f>
        <v>0.00130554925400214</v>
      </c>
      <c r="AB22" s="39" t="n">
        <f aca="false">MY_PT(AB$2,$A22)</f>
        <v>0.00130544036084165</v>
      </c>
      <c r="AC22" s="39" t="n">
        <f aca="false">MY_PT(AC$2,$A22)</f>
        <v>0.00130533159884907</v>
      </c>
      <c r="AD22" s="39" t="n">
        <f aca="false">MY_PT(AD$2,$A22)</f>
        <v>0.00130522296796354</v>
      </c>
      <c r="AE22" s="39" t="n">
        <f aca="false">MY_PT(AE$2,$A22)</f>
        <v>0.0013051144681242</v>
      </c>
      <c r="AF22" s="39" t="n">
        <f aca="false">MY_PT(AF$2,$A22)</f>
        <v>0.00130500609927015</v>
      </c>
      <c r="AG22" s="39" t="n">
        <f aca="false">MY_PT(AG$2,$A22)</f>
        <v>0.00130489786134057</v>
      </c>
      <c r="AH22" s="39" t="n">
        <f aca="false">MY_PT(AH$2,$A22)</f>
        <v>0.0013038226695104</v>
      </c>
      <c r="AI22" s="39" t="n">
        <f aca="false">MY_PT(AI$2,$A22)</f>
        <v>0.00130276050326719</v>
      </c>
      <c r="AJ22" s="39" t="n">
        <f aca="false">MY_PT(AJ$2,$A22)</f>
        <v>0.00130171130193212</v>
      </c>
      <c r="AK22" s="39" t="n">
        <f aca="false">MY_PT(AK$2,$A22)</f>
        <v>0.00130067500493424</v>
      </c>
      <c r="AL22" s="39" t="n">
        <f aca="false">MY_PT(AL$2,$A22)</f>
        <v>0.00129965155181337</v>
      </c>
      <c r="AM22" s="39" t="n">
        <f aca="false">MY_PT(AM$2,$A22)</f>
        <v>0.00129864088222323</v>
      </c>
      <c r="AN22" s="39" t="n">
        <f aca="false">MY_PT(AN$2,$A22)</f>
        <v>0.00129764293593426</v>
      </c>
      <c r="AO22" s="39" t="n">
        <f aca="false">MY_PT(AO$2,$A22)</f>
        <v>0.00129665765283654</v>
      </c>
      <c r="AP22" s="39" t="n">
        <f aca="false">MY_PT(AP$2,$A22)</f>
        <v>0.00129568497294266</v>
      </c>
      <c r="AQ22" s="39" t="n">
        <f aca="false">MY_PT(AQ$2,$A22)</f>
        <v>0.00128663824616712</v>
      </c>
      <c r="AR22" s="39" t="n">
        <f aca="false">MY_PT(AR$2,$A22)</f>
        <v>0.00128492179357953</v>
      </c>
      <c r="AS22" s="39" t="n">
        <f aca="false">MY_PT(AS$2,$A22)</f>
        <v>0.00128415998116837</v>
      </c>
    </row>
    <row r="23" customFormat="false" ht="13.8" hidden="false" customHeight="false" outlineLevel="0" collapsed="false">
      <c r="A23" s="0" t="n">
        <v>20</v>
      </c>
      <c r="B23" s="39" t="n">
        <f aca="false">MY_PT(B$2,$A23)</f>
        <v>9.73081832062311E-006</v>
      </c>
      <c r="C23" s="39" t="n">
        <f aca="false">MY_PT(C$2,$A23)</f>
        <v>9.73061094849219E-006</v>
      </c>
      <c r="D23" s="39" t="n">
        <f aca="false">MY_PT(D$2,$A23)</f>
        <v>9.73040355885277E-006</v>
      </c>
      <c r="E23" s="39" t="n">
        <f aca="false">MY_PT(E$2,$A23)</f>
        <v>9.73019615153025E-006</v>
      </c>
      <c r="F23" s="39" t="n">
        <f aca="false">MY_PT(F$2,$A23)</f>
        <v>9.72998872633195E-006</v>
      </c>
      <c r="G23" s="39" t="n">
        <f aca="false">MY_PT(G$2,$A23)</f>
        <v>9.72791343585618E-006</v>
      </c>
      <c r="H23" s="39" t="n">
        <f aca="false">MY_PT(H$2,$A23)</f>
        <v>0.00100164756101205</v>
      </c>
      <c r="I23" s="39" t="n">
        <f aca="false">MY_PT(I$2,$A23)</f>
        <v>0.00100164713107092</v>
      </c>
      <c r="J23" s="39" t="n">
        <f aca="false">MY_PT(J$2,$A23)</f>
        <v>0.00100164670113681</v>
      </c>
      <c r="K23" s="39" t="n">
        <f aca="false">MY_PT(K$2,$A23)</f>
        <v>0.00100164627120973</v>
      </c>
      <c r="L23" s="39" t="n">
        <f aca="false">MY_PT(L$2,$A23)</f>
        <v>0.00100164584128968</v>
      </c>
      <c r="M23" s="39" t="n">
        <f aca="false">MY_PT(M$2,$A23)</f>
        <v>0.00100164541137662</v>
      </c>
      <c r="N23" s="39" t="n">
        <f aca="false">MY_PT(N$2,$A23)</f>
        <v>0.00100164498147061</v>
      </c>
      <c r="O23" s="39" t="n">
        <f aca="false">MY_PT(O$2,$A23)</f>
        <v>0.00100164455157161</v>
      </c>
      <c r="P23" s="39" t="n">
        <f aca="false">MY_PT(P$2,$A23)</f>
        <v>0.0010016402529678</v>
      </c>
      <c r="Q23" s="39" t="n">
        <f aca="false">MY_PT(Q$2,$A23)</f>
        <v>0.00100163595506614</v>
      </c>
      <c r="R23" s="39" t="n">
        <f aca="false">MY_PT(R$2,$A23)</f>
        <v>0.0010016316578666</v>
      </c>
      <c r="S23" s="39" t="n">
        <f aca="false">MY_PT(S$2,$A23)</f>
        <v>0.00100162736136914</v>
      </c>
      <c r="T23" s="39" t="n">
        <f aca="false">MY_PT(T$2,$A23)</f>
        <v>0.00100162306557375</v>
      </c>
      <c r="U23" s="39" t="n">
        <f aca="false">MY_PT(U$2,$A23)</f>
        <v>0.0010016187704804</v>
      </c>
      <c r="V23" s="39" t="n">
        <f aca="false">MY_PT(V$2,$A23)</f>
        <v>0.00100161447608905</v>
      </c>
      <c r="W23" s="39" t="n">
        <f aca="false">MY_PT(W$2,$A23)</f>
        <v>0.00100161018239967</v>
      </c>
      <c r="X23" s="39" t="n">
        <f aca="false">MY_PT(X$2,$A23)</f>
        <v>0.00100160588941227</v>
      </c>
      <c r="Y23" s="39" t="n">
        <f aca="false">MY_PT(Y$2,$A23)</f>
        <v>0.00100156299813937</v>
      </c>
      <c r="Z23" s="39" t="n">
        <f aca="false">MY_PT(Z$2,$A23)</f>
        <v>0.00100152017703122</v>
      </c>
      <c r="AA23" s="39" t="n">
        <f aca="false">MY_PT(AA$2,$A23)</f>
        <v>0.00100147742606014</v>
      </c>
      <c r="AB23" s="39" t="n">
        <f aca="false">MY_PT(AB$2,$A23)</f>
        <v>0.00100143474519846</v>
      </c>
      <c r="AC23" s="39" t="n">
        <f aca="false">MY_PT(AC$2,$A23)</f>
        <v>0.00100139213441851</v>
      </c>
      <c r="AD23" s="39" t="n">
        <f aca="false">MY_PT(AD$2,$A23)</f>
        <v>0.00100134959369262</v>
      </c>
      <c r="AE23" s="39" t="n">
        <f aca="false">MY_PT(AE$2,$A23)</f>
        <v>0.00100130712299312</v>
      </c>
      <c r="AF23" s="39" t="n">
        <f aca="false">MY_PT(AF$2,$A23)</f>
        <v>0.00100126472229235</v>
      </c>
      <c r="AG23" s="39" t="n">
        <f aca="false">MY_PT(AG$2,$A23)</f>
        <v>0.00100122239156264</v>
      </c>
      <c r="AH23" s="39" t="n">
        <f aca="false">MY_PT(AH$2,$A23)</f>
        <v>0.00100080292658762</v>
      </c>
      <c r="AI23" s="39" t="n">
        <f aca="false">MY_PT(AI$2,$A23)</f>
        <v>0.00100039042829163</v>
      </c>
      <c r="AJ23" s="39" t="n">
        <f aca="false">MY_PT(AJ$2,$A23)</f>
        <v>0.000999984869023685</v>
      </c>
      <c r="AK23" s="39" t="n">
        <f aca="false">MY_PT(AK$2,$A23)</f>
        <v>0.000999586221144015</v>
      </c>
      <c r="AL23" s="39" t="n">
        <f aca="false">MY_PT(AL$2,$A23)</f>
        <v>0.000999194457025239</v>
      </c>
      <c r="AM23" s="39" t="n">
        <f aca="false">MY_PT(AM$2,$A23)</f>
        <v>0.000998809549053591</v>
      </c>
      <c r="AN23" s="39" t="n">
        <f aca="false">MY_PT(AN$2,$A23)</f>
        <v>0.000998431469630209</v>
      </c>
      <c r="AO23" s="39" t="n">
        <f aca="false">MY_PT(AO$2,$A23)</f>
        <v>0.00099806019117239</v>
      </c>
      <c r="AP23" s="39" t="n">
        <f aca="false">MY_PT(AP$2,$A23)</f>
        <v>0.000997695686114741</v>
      </c>
      <c r="AQ23" s="39" t="n">
        <f aca="false">MY_PT(AQ$2,$A23)</f>
        <v>0.000994417123141666</v>
      </c>
      <c r="AR23" s="39" t="n">
        <f aca="false">MY_PT(AR$2,$A23)</f>
        <v>0.000993821918839982</v>
      </c>
      <c r="AS23" s="39" t="n">
        <f aca="false">MY_PT(AS$2,$A23)</f>
        <v>0.000993561000267765</v>
      </c>
    </row>
    <row r="24" customFormat="false" ht="13.8" hidden="false" customHeight="false" outlineLevel="0" collapsed="false">
      <c r="A24" s="0" t="n">
        <v>30</v>
      </c>
      <c r="B24" s="39" t="n">
        <f aca="false">MY_PT(B$2,$A24)</f>
        <v>1.00169812030342E-005</v>
      </c>
      <c r="C24" s="39" t="n">
        <f aca="false">MY_PT(C$2,$A24)</f>
        <v>1.00167993992892E-005</v>
      </c>
      <c r="D24" s="39" t="n">
        <f aca="false">MY_PT(D$2,$A24)</f>
        <v>1.00166175836694E-005</v>
      </c>
      <c r="E24" s="39" t="n">
        <f aca="false">MY_PT(E$2,$A24)</f>
        <v>1.00164357561398E-005</v>
      </c>
      <c r="F24" s="39" t="n">
        <f aca="false">MY_PT(F$2,$A24)</f>
        <v>1.00162539166625E-005</v>
      </c>
      <c r="G24" s="39" t="n">
        <f aca="false">MY_PT(G$2,$A24)</f>
        <v>1.00144348541575E-005</v>
      </c>
      <c r="H24" s="39" t="n">
        <f aca="false">MY_PT(H$2,$A24)</f>
        <v>1.001261453177E-005</v>
      </c>
      <c r="I24" s="39" t="n">
        <f aca="false">MY_PT(I$2,$A24)</f>
        <v>1.0010792859664E-005</v>
      </c>
      <c r="J24" s="39" t="n">
        <f aca="false">MY_PT(J$2,$A24)</f>
        <v>0.000797354538556193</v>
      </c>
      <c r="K24" s="39" t="n">
        <f aca="false">MY_PT(K$2,$A24)</f>
        <v>0.000797354441668195</v>
      </c>
      <c r="L24" s="39" t="n">
        <f aca="false">MY_PT(L$2,$A24)</f>
        <v>0.000797354344784218</v>
      </c>
      <c r="M24" s="39" t="n">
        <f aca="false">MY_PT(M$2,$A24)</f>
        <v>0.00079735424790427</v>
      </c>
      <c r="N24" s="39" t="n">
        <f aca="false">MY_PT(N$2,$A24)</f>
        <v>0.000797354151028348</v>
      </c>
      <c r="O24" s="39" t="n">
        <f aca="false">MY_PT(O$2,$A24)</f>
        <v>0.000797354054156446</v>
      </c>
      <c r="P24" s="39" t="n">
        <f aca="false">MY_PT(P$2,$A24)</f>
        <v>0.000797353085658879</v>
      </c>
      <c r="Q24" s="39" t="n">
        <f aca="false">MY_PT(Q$2,$A24)</f>
        <v>0.000797352117563851</v>
      </c>
      <c r="R24" s="39" t="n">
        <f aca="false">MY_PT(R$2,$A24)</f>
        <v>0.000797351149871347</v>
      </c>
      <c r="S24" s="39" t="n">
        <f aca="false">MY_PT(S$2,$A24)</f>
        <v>0.000797350182581369</v>
      </c>
      <c r="T24" s="39" t="n">
        <f aca="false">MY_PT(T$2,$A24)</f>
        <v>0.000797349215693884</v>
      </c>
      <c r="U24" s="39" t="n">
        <f aca="false">MY_PT(U$2,$A24)</f>
        <v>0.000797348249208887</v>
      </c>
      <c r="V24" s="39" t="n">
        <f aca="false">MY_PT(V$2,$A24)</f>
        <v>0.000797347283126364</v>
      </c>
      <c r="W24" s="39" t="n">
        <f aca="false">MY_PT(W$2,$A24)</f>
        <v>0.000797346317446293</v>
      </c>
      <c r="X24" s="39" t="n">
        <f aca="false">MY_PT(X$2,$A24)</f>
        <v>0.000797345352168671</v>
      </c>
      <c r="Y24" s="39" t="n">
        <f aca="false">MY_PT(Y$2,$A24)</f>
        <v>0.000797335721523628</v>
      </c>
      <c r="Z24" s="39" t="n">
        <f aca="false">MY_PT(Z$2,$A24)</f>
        <v>0.000797326131107021</v>
      </c>
      <c r="AA24" s="39" t="n">
        <f aca="false">MY_PT(AA$2,$A24)</f>
        <v>0.000797316580904445</v>
      </c>
      <c r="AB24" s="39" t="n">
        <f aca="false">MY_PT(AB$2,$A24)</f>
        <v>0.000797307070901473</v>
      </c>
      <c r="AC24" s="39" t="n">
        <f aca="false">MY_PT(AC$2,$A24)</f>
        <v>0.000797297601083707</v>
      </c>
      <c r="AD24" s="39" t="n">
        <f aca="false">MY_PT(AD$2,$A24)</f>
        <v>0.000797288171436705</v>
      </c>
      <c r="AE24" s="39" t="n">
        <f aca="false">MY_PT(AE$2,$A24)</f>
        <v>0.000797278781946057</v>
      </c>
      <c r="AF24" s="39" t="n">
        <f aca="false">MY_PT(AF$2,$A24)</f>
        <v>0.000797269432597356</v>
      </c>
      <c r="AG24" s="39" t="n">
        <f aca="false">MY_PT(AG$2,$A24)</f>
        <v>0.000797260123376155</v>
      </c>
      <c r="AH24" s="39" t="n">
        <f aca="false">MY_PT(AH$2,$A24)</f>
        <v>0.000797169235003702</v>
      </c>
      <c r="AI24" s="39" t="n">
        <f aca="false">MY_PT(AI$2,$A24)</f>
        <v>0.00079708234350987</v>
      </c>
      <c r="AJ24" s="39" t="n">
        <f aca="false">MY_PT(AJ$2,$A24)</f>
        <v>0.000796999434454625</v>
      </c>
      <c r="AK24" s="39" t="n">
        <f aca="false">MY_PT(AK$2,$A24)</f>
        <v>0.000796920493387749</v>
      </c>
      <c r="AL24" s="39" t="n">
        <f aca="false">MY_PT(AL$2,$A24)</f>
        <v>0.000796845505849423</v>
      </c>
      <c r="AM24" s="39" t="n">
        <f aca="false">MY_PT(AM$2,$A24)</f>
        <v>0.000796774457370861</v>
      </c>
      <c r="AN24" s="39" t="n">
        <f aca="false">MY_PT(AN$2,$A24)</f>
        <v>0.000796707333474828</v>
      </c>
      <c r="AO24" s="39" t="n">
        <f aca="false">MY_PT(AO$2,$A24)</f>
        <v>0.000796644119676343</v>
      </c>
      <c r="AP24" s="39" t="n">
        <f aca="false">MY_PT(AP$2,$A24)</f>
        <v>0.00079658480148326</v>
      </c>
      <c r="AQ24" s="39" t="n">
        <f aca="false">MY_PT(AQ$2,$A24)</f>
        <v>0.000796202685793386</v>
      </c>
      <c r="AR24" s="39" t="n">
        <f aca="false">MY_PT(AR$2,$A24)</f>
        <v>0.000796170808494013</v>
      </c>
      <c r="AS24" s="39" t="n">
        <f aca="false">MY_PT(AS$2,$A24)</f>
        <v>0.00079616156236755</v>
      </c>
    </row>
    <row r="25" customFormat="false" ht="13.8" hidden="false" customHeight="false" outlineLevel="0" collapsed="false">
      <c r="A25" s="0" t="n">
        <v>40</v>
      </c>
      <c r="B25" s="39" t="n">
        <f aca="false">MY_PT(B$2,$A25)</f>
        <v>1.03184254491489E-005</v>
      </c>
      <c r="C25" s="39" t="n">
        <f aca="false">MY_PT(C$2,$A25)</f>
        <v>1.03182652257922E-005</v>
      </c>
      <c r="D25" s="39" t="n">
        <f aca="false">MY_PT(D$2,$A25)</f>
        <v>1.03181049940933E-005</v>
      </c>
      <c r="E25" s="39" t="n">
        <f aca="false">MY_PT(E$2,$A25)</f>
        <v>1.03179447540429E-005</v>
      </c>
      <c r="F25" s="39" t="n">
        <f aca="false">MY_PT(F$2,$A25)</f>
        <v>1.03177845056312E-005</v>
      </c>
      <c r="G25" s="39" t="n">
        <f aca="false">MY_PT(G$2,$A25)</f>
        <v>1.03161815590655E-005</v>
      </c>
      <c r="H25" s="39" t="n">
        <f aca="false">MY_PT(H$2,$A25)</f>
        <v>1.03145777613295E-005</v>
      </c>
      <c r="I25" s="39" t="n">
        <f aca="false">MY_PT(I$2,$A25)</f>
        <v>1.0312973093249E-005</v>
      </c>
      <c r="J25" s="39" t="n">
        <f aca="false">MY_PT(J$2,$A25)</f>
        <v>1.03113675299809E-005</v>
      </c>
      <c r="K25" s="39" t="n">
        <f aca="false">MY_PT(K$2,$A25)</f>
        <v>1.03097610409881E-005</v>
      </c>
      <c r="L25" s="39" t="n">
        <f aca="false">MY_PT(L$2,$A25)</f>
        <v>1.03081535900078E-005</v>
      </c>
      <c r="M25" s="39" t="n">
        <f aca="false">MY_PT(M$2,$A25)</f>
        <v>0.000652971728221824</v>
      </c>
      <c r="N25" s="39" t="n">
        <f aca="false">MY_PT(N$2,$A25)</f>
        <v>0.000652971806027525</v>
      </c>
      <c r="O25" s="39" t="n">
        <f aca="false">MY_PT(O$2,$A25)</f>
        <v>0.000652971883835644</v>
      </c>
      <c r="P25" s="39" t="n">
        <f aca="false">MY_PT(P$2,$A25)</f>
        <v>0.000652972662050097</v>
      </c>
      <c r="Q25" s="39" t="n">
        <f aca="false">MY_PT(Q$2,$A25)</f>
        <v>0.000652973440506793</v>
      </c>
      <c r="R25" s="39" t="n">
        <f aca="false">MY_PT(R$2,$A25)</f>
        <v>0.000652974219205723</v>
      </c>
      <c r="S25" s="39" t="n">
        <f aca="false">MY_PT(S$2,$A25)</f>
        <v>0.000652974998146864</v>
      </c>
      <c r="T25" s="39" t="n">
        <f aca="false">MY_PT(T$2,$A25)</f>
        <v>0.000652975777330219</v>
      </c>
      <c r="U25" s="39" t="n">
        <f aca="false">MY_PT(U$2,$A25)</f>
        <v>0.000652976556755782</v>
      </c>
      <c r="V25" s="39" t="n">
        <f aca="false">MY_PT(V$2,$A25)</f>
        <v>0.000652977336423546</v>
      </c>
      <c r="W25" s="39" t="n">
        <f aca="false">MY_PT(W$2,$A25)</f>
        <v>0.00065297811633349</v>
      </c>
      <c r="X25" s="39" t="n">
        <f aca="false">MY_PT(X$2,$A25)</f>
        <v>0.00065297889648562</v>
      </c>
      <c r="Y25" s="39" t="n">
        <f aca="false">MY_PT(Y$2,$A25)</f>
        <v>0.000652986711324898</v>
      </c>
      <c r="Z25" s="39" t="n">
        <f aca="false">MY_PT(Z$2,$A25)</f>
        <v>0.000652994550372823</v>
      </c>
      <c r="AA25" s="39" t="n">
        <f aca="false">MY_PT(AA$2,$A25)</f>
        <v>0.000653002413620945</v>
      </c>
      <c r="AB25" s="39" t="n">
        <f aca="false">MY_PT(AB$2,$A25)</f>
        <v>0.000653010301060804</v>
      </c>
      <c r="AC25" s="39" t="n">
        <f aca="false">MY_PT(AC$2,$A25)</f>
        <v>0.000653018212683957</v>
      </c>
      <c r="AD25" s="39" t="n">
        <f aca="false">MY_PT(AD$2,$A25)</f>
        <v>0.000653026148481954</v>
      </c>
      <c r="AE25" s="39" t="n">
        <f aca="false">MY_PT(AE$2,$A25)</f>
        <v>0.000653034108446328</v>
      </c>
      <c r="AF25" s="39" t="n">
        <f aca="false">MY_PT(AF$2,$A25)</f>
        <v>0.000653042092568627</v>
      </c>
      <c r="AG25" s="39" t="n">
        <f aca="false">MY_PT(AG$2,$A25)</f>
        <v>0.000653050100840383</v>
      </c>
      <c r="AH25" s="39" t="n">
        <f aca="false">MY_PT(AH$2,$A25)</f>
        <v>0.000653131509916521</v>
      </c>
      <c r="AI25" s="39" t="n">
        <f aca="false">MY_PT(AI$2,$A25)</f>
        <v>0.000653215324622836</v>
      </c>
      <c r="AJ25" s="39" t="n">
        <f aca="false">MY_PT(AJ$2,$A25)</f>
        <v>0.000653301536475174</v>
      </c>
      <c r="AK25" s="39" t="n">
        <f aca="false">MY_PT(AK$2,$A25)</f>
        <v>0.000653390136974566</v>
      </c>
      <c r="AL25" s="39" t="n">
        <f aca="false">MY_PT(AL$2,$A25)</f>
        <v>0.000653481117607613</v>
      </c>
      <c r="AM25" s="39" t="n">
        <f aca="false">MY_PT(AM$2,$A25)</f>
        <v>0.000653574469846913</v>
      </c>
      <c r="AN25" s="39" t="n">
        <f aca="false">MY_PT(AN$2,$A25)</f>
        <v>0.00065367018515146</v>
      </c>
      <c r="AO25" s="39" t="n">
        <f aca="false">MY_PT(AO$2,$A25)</f>
        <v>0.000653768254967094</v>
      </c>
      <c r="AP25" s="39" t="n">
        <f aca="false">MY_PT(AP$2,$A25)</f>
        <v>0.000653868670726944</v>
      </c>
      <c r="AQ25" s="39" t="n">
        <f aca="false">MY_PT(AQ$2,$A25)</f>
        <v>0.000654999962419807</v>
      </c>
      <c r="AR25" s="39" t="n">
        <f aca="false">MY_PT(AR$2,$A25)</f>
        <v>0.000655261763377208</v>
      </c>
      <c r="AS25" s="39" t="n">
        <f aca="false">MY_PT(AS$2,$A25)</f>
        <v>0.000655383636955628</v>
      </c>
    </row>
    <row r="26" customFormat="false" ht="13.8" hidden="false" customHeight="false" outlineLevel="0" collapsed="false">
      <c r="A26" s="0" t="n">
        <v>50</v>
      </c>
      <c r="B26" s="39" t="n">
        <f aca="false">MY_PT(B$2,$A26)</f>
        <v>1.06330059041235E-005</v>
      </c>
      <c r="C26" s="39" t="n">
        <f aca="false">MY_PT(C$2,$A26)</f>
        <v>1.06328640412217E-005</v>
      </c>
      <c r="D26" s="39" t="n">
        <f aca="false">MY_PT(D$2,$A26)</f>
        <v>1.06327221723553E-005</v>
      </c>
      <c r="E26" s="39" t="n">
        <f aca="false">MY_PT(E$2,$A26)</f>
        <v>1.06325802975205E-005</v>
      </c>
      <c r="F26" s="39" t="n">
        <f aca="false">MY_PT(F$2,$A26)</f>
        <v>1.06324384167136E-005</v>
      </c>
      <c r="G26" s="39" t="n">
        <f aca="false">MY_PT(G$2,$A26)</f>
        <v>1.06310192792746E-005</v>
      </c>
      <c r="H26" s="39" t="n">
        <f aca="false">MY_PT(H$2,$A26)</f>
        <v>1.06295995396945E-005</v>
      </c>
      <c r="I26" s="39" t="n">
        <f aca="false">MY_PT(I$2,$A26)</f>
        <v>1.06281791924628E-005</v>
      </c>
      <c r="J26" s="39" t="n">
        <f aca="false">MY_PT(J$2,$A26)</f>
        <v>1.06267582310121E-005</v>
      </c>
      <c r="K26" s="39" t="n">
        <f aca="false">MY_PT(K$2,$A26)</f>
        <v>1.06253366477148E-005</v>
      </c>
      <c r="L26" s="39" t="n">
        <f aca="false">MY_PT(L$2,$A26)</f>
        <v>1.06239144338778E-005</v>
      </c>
      <c r="M26" s="39" t="n">
        <f aca="false">MY_PT(M$2,$A26)</f>
        <v>1.06224915797359E-005</v>
      </c>
      <c r="N26" s="39" t="n">
        <f aca="false">MY_PT(N$2,$A26)</f>
        <v>1.06210680744443E-005</v>
      </c>
      <c r="O26" s="39" t="n">
        <f aca="false">MY_PT(O$2,$A26)</f>
        <v>1.06196439060678E-005</v>
      </c>
      <c r="P26" s="39" t="n">
        <f aca="false">MY_PT(P$2,$A26)</f>
        <v>0.000546838735741154</v>
      </c>
      <c r="Q26" s="39" t="n">
        <f aca="false">MY_PT(Q$2,$A26)</f>
        <v>0.00054684045255989</v>
      </c>
      <c r="R26" s="39" t="n">
        <f aca="false">MY_PT(R$2,$A26)</f>
        <v>0.000546842169528463</v>
      </c>
      <c r="S26" s="39" t="n">
        <f aca="false">MY_PT(S$2,$A26)</f>
        <v>0.000546843886646868</v>
      </c>
      <c r="T26" s="39" t="n">
        <f aca="false">MY_PT(T$2,$A26)</f>
        <v>0.000546845603915095</v>
      </c>
      <c r="U26" s="39" t="n">
        <f aca="false">MY_PT(U$2,$A26)</f>
        <v>0.000546847321333138</v>
      </c>
      <c r="V26" s="39" t="n">
        <f aca="false">MY_PT(V$2,$A26)</f>
        <v>0.000546849038901003</v>
      </c>
      <c r="W26" s="39" t="n">
        <f aca="false">MY_PT(W$2,$A26)</f>
        <v>0.00054685075661867</v>
      </c>
      <c r="X26" s="39" t="n">
        <f aca="false">MY_PT(X$2,$A26)</f>
        <v>0.00054685247448614</v>
      </c>
      <c r="Y26" s="39" t="n">
        <f aca="false">MY_PT(Y$2,$A26)</f>
        <v>0.000546869661398809</v>
      </c>
      <c r="Z26" s="39" t="n">
        <f aca="false">MY_PT(Z$2,$A26)</f>
        <v>0.000546886863285817</v>
      </c>
      <c r="AA26" s="39" t="n">
        <f aca="false">MY_PT(AA$2,$A26)</f>
        <v>0.000546904080141777</v>
      </c>
      <c r="AB26" s="39" t="n">
        <f aca="false">MY_PT(AB$2,$A26)</f>
        <v>0.000546921311961297</v>
      </c>
      <c r="AC26" s="39" t="n">
        <f aca="false">MY_PT(AC$2,$A26)</f>
        <v>0.000546938558738976</v>
      </c>
      <c r="AD26" s="39" t="n">
        <f aca="false">MY_PT(AD$2,$A26)</f>
        <v>0.000546955820469415</v>
      </c>
      <c r="AE26" s="39" t="n">
        <f aca="false">MY_PT(AE$2,$A26)</f>
        <v>0.000546973097147227</v>
      </c>
      <c r="AF26" s="39" t="n">
        <f aca="false">MY_PT(AF$2,$A26)</f>
        <v>0.000546990388767006</v>
      </c>
      <c r="AG26" s="39" t="n">
        <f aca="false">MY_PT(AG$2,$A26)</f>
        <v>0.000547007695323342</v>
      </c>
      <c r="AH26" s="39" t="n">
        <f aca="false">MY_PT(AH$2,$A26)</f>
        <v>0.000547181581207857</v>
      </c>
      <c r="AI26" s="39" t="n">
        <f aca="false">MY_PT(AI$2,$A26)</f>
        <v>0.0005473569547927</v>
      </c>
      <c r="AJ26" s="39" t="n">
        <f aca="false">MY_PT(AJ$2,$A26)</f>
        <v>0.0005475338106462</v>
      </c>
      <c r="AK26" s="39" t="n">
        <f aca="false">MY_PT(AK$2,$A26)</f>
        <v>0.000547712143319495</v>
      </c>
      <c r="AL26" s="39" t="n">
        <f aca="false">MY_PT(AL$2,$A26)</f>
        <v>0.000547891947346932</v>
      </c>
      <c r="AM26" s="39" t="n">
        <f aca="false">MY_PT(AM$2,$A26)</f>
        <v>0.00054807321724651</v>
      </c>
      <c r="AN26" s="39" t="n">
        <f aca="false">MY_PT(AN$2,$A26)</f>
        <v>0.000548255947520307</v>
      </c>
      <c r="AO26" s="39" t="n">
        <f aca="false">MY_PT(AO$2,$A26)</f>
        <v>0.000548440132654959</v>
      </c>
      <c r="AP26" s="39" t="n">
        <f aca="false">MY_PT(AP$2,$A26)</f>
        <v>0.000548625767122107</v>
      </c>
      <c r="AQ26" s="39" t="n">
        <f aca="false">MY_PT(AQ$2,$A26)</f>
        <v>0.000550560599123696</v>
      </c>
      <c r="AR26" s="39" t="n">
        <f aca="false">MY_PT(AR$2,$A26)</f>
        <v>0.000550977398246983</v>
      </c>
      <c r="AS26" s="39" t="n">
        <f aca="false">MY_PT(AS$2,$A26)</f>
        <v>0.000551168362501056</v>
      </c>
    </row>
    <row r="27" customFormat="false" ht="13.8" hidden="false" customHeight="false" outlineLevel="0" collapsed="false">
      <c r="A27" s="0" t="n">
        <v>60</v>
      </c>
      <c r="B27" s="39" t="n">
        <f aca="false">MY_PT(B$2,$A27)</f>
        <v>1.09589974362089E-005</v>
      </c>
      <c r="C27" s="39" t="n">
        <f aca="false">MY_PT(C$2,$A27)</f>
        <v>1.0958871306994E-005</v>
      </c>
      <c r="D27" s="39" t="n">
        <f aca="false">MY_PT(D$2,$A27)</f>
        <v>1.09587451734624E-005</v>
      </c>
      <c r="E27" s="39" t="n">
        <f aca="false">MY_PT(E$2,$A27)</f>
        <v>1.09586190356123E-005</v>
      </c>
      <c r="F27" s="39" t="n">
        <f aca="false">MY_PT(F$2,$A27)</f>
        <v>1.09584928934416E-005</v>
      </c>
      <c r="G27" s="39" t="n">
        <f aca="false">MY_PT(G$2,$A27)</f>
        <v>1.09572312336538E-005</v>
      </c>
      <c r="H27" s="39" t="n">
        <f aca="false">MY_PT(H$2,$A27)</f>
        <v>1.09559691394834E-005</v>
      </c>
      <c r="I27" s="39" t="n">
        <f aca="false">MY_PT(I$2,$A27)</f>
        <v>1.09547066086172E-005</v>
      </c>
      <c r="J27" s="39" t="n">
        <f aca="false">MY_PT(J$2,$A27)</f>
        <v>1.09534436385379E-005</v>
      </c>
      <c r="K27" s="39" t="n">
        <f aca="false">MY_PT(K$2,$A27)</f>
        <v>1.0952180226523E-005</v>
      </c>
      <c r="L27" s="39" t="n">
        <f aca="false">MY_PT(L$2,$A27)</f>
        <v>1.09509163696442E-005</v>
      </c>
      <c r="M27" s="39" t="n">
        <f aca="false">MY_PT(M$2,$A27)</f>
        <v>1.09496520647659E-005</v>
      </c>
      <c r="N27" s="39" t="n">
        <f aca="false">MY_PT(N$2,$A27)</f>
        <v>1.09483873085444E-005</v>
      </c>
      <c r="O27" s="39" t="n">
        <f aca="false">MY_PT(O$2,$A27)</f>
        <v>1.09471220974253E-005</v>
      </c>
      <c r="P27" s="39" t="n">
        <f aca="false">MY_PT(P$2,$A27)</f>
        <v>0.000466384973073671</v>
      </c>
      <c r="Q27" s="39" t="n">
        <f aca="false">MY_PT(Q$2,$A27)</f>
        <v>0.0004663871950115</v>
      </c>
      <c r="R27" s="39" t="n">
        <f aca="false">MY_PT(R$2,$A27)</f>
        <v>0.000466389417042435</v>
      </c>
      <c r="S27" s="39" t="n">
        <f aca="false">MY_PT(S$2,$A27)</f>
        <v>0.000466391639166475</v>
      </c>
      <c r="T27" s="39" t="n">
        <f aca="false">MY_PT(T$2,$A27)</f>
        <v>0.00046639386138361</v>
      </c>
      <c r="U27" s="39" t="n">
        <f aca="false">MY_PT(U$2,$A27)</f>
        <v>0.000466396083693845</v>
      </c>
      <c r="V27" s="39" t="n">
        <f aca="false">MY_PT(V$2,$A27)</f>
        <v>0.000466398306097171</v>
      </c>
      <c r="W27" s="39" t="n">
        <f aca="false">MY_PT(W$2,$A27)</f>
        <v>0.000466400528593583</v>
      </c>
      <c r="X27" s="39" t="n">
        <f aca="false">MY_PT(X$2,$A27)</f>
        <v>0.00046640275118308</v>
      </c>
      <c r="Y27" s="39" t="n">
        <f aca="false">MY_PT(Y$2,$A27)</f>
        <v>0.000466424982196948</v>
      </c>
      <c r="Z27" s="39" t="n">
        <f aca="false">MY_PT(Z$2,$A27)</f>
        <v>0.000466447222515371</v>
      </c>
      <c r="AA27" s="39" t="n">
        <f aca="false">MY_PT(AA$2,$A27)</f>
        <v>0.000466469472134767</v>
      </c>
      <c r="AB27" s="39" t="n">
        <f aca="false">MY_PT(AB$2,$A27)</f>
        <v>0.000466491731051548</v>
      </c>
      <c r="AC27" s="39" t="n">
        <f aca="false">MY_PT(AC$2,$A27)</f>
        <v>0.000466513999262137</v>
      </c>
      <c r="AD27" s="39" t="n">
        <f aca="false">MY_PT(AD$2,$A27)</f>
        <v>0.000466536276762941</v>
      </c>
      <c r="AE27" s="39" t="n">
        <f aca="false">MY_PT(AE$2,$A27)</f>
        <v>0.000466558563550367</v>
      </c>
      <c r="AF27" s="39" t="n">
        <f aca="false">MY_PT(AF$2,$A27)</f>
        <v>0.000466580859620829</v>
      </c>
      <c r="AG27" s="39" t="n">
        <f aca="false">MY_PT(AG$2,$A27)</f>
        <v>0.000466603164970725</v>
      </c>
      <c r="AH27" s="39" t="n">
        <f aca="false">MY_PT(AH$2,$A27)</f>
        <v>0.000466826728046433</v>
      </c>
      <c r="AI27" s="39" t="n">
        <f aca="false">MY_PT(AI$2,$A27)</f>
        <v>0.000467051215095669</v>
      </c>
      <c r="AJ27" s="39" t="n">
        <f aca="false">MY_PT(AJ$2,$A27)</f>
        <v>0.000467276622488171</v>
      </c>
      <c r="AK27" s="39" t="n">
        <f aca="false">MY_PT(AK$2,$A27)</f>
        <v>0.000467502946572771</v>
      </c>
      <c r="AL27" s="39" t="n">
        <f aca="false">MY_PT(AL$2,$A27)</f>
        <v>0.000467730183677929</v>
      </c>
      <c r="AM27" s="39" t="n">
        <f aca="false">MY_PT(AM$2,$A27)</f>
        <v>0.000467958330112313</v>
      </c>
      <c r="AN27" s="39" t="n">
        <f aca="false">MY_PT(AN$2,$A27)</f>
        <v>0.000468187382165349</v>
      </c>
      <c r="AO27" s="39" t="n">
        <f aca="false">MY_PT(AO$2,$A27)</f>
        <v>0.000468417336107827</v>
      </c>
      <c r="AP27" s="39" t="n">
        <f aca="false">MY_PT(AP$2,$A27)</f>
        <v>0.000468648188192476</v>
      </c>
      <c r="AQ27" s="39" t="n">
        <f aca="false">MY_PT(AQ$2,$A27)</f>
        <v>0.000471005270777171</v>
      </c>
      <c r="AR27" s="39" t="n">
        <f aca="false">MY_PT(AR$2,$A27)</f>
        <v>0.000471502541576969</v>
      </c>
      <c r="AS27" s="39" t="n">
        <f aca="false">MY_PT(AS$2,$A27)</f>
        <v>0.000471729259352693</v>
      </c>
    </row>
    <row r="28" customFormat="false" ht="13.8" hidden="false" customHeight="false" outlineLevel="0" collapsed="false">
      <c r="A28" s="0" t="n">
        <v>70</v>
      </c>
      <c r="B28" s="39" t="n">
        <f aca="false">MY_PT(B$2,$A28)</f>
        <v>1.12949880218997E-005</v>
      </c>
      <c r="C28" s="39" t="n">
        <f aca="false">MY_PT(C$2,$A28)</f>
        <v>1.129487546388E-005</v>
      </c>
      <c r="D28" s="39" t="n">
        <f aca="false">MY_PT(D$2,$A28)</f>
        <v>1.12947629027065E-005</v>
      </c>
      <c r="E28" s="39" t="n">
        <f aca="false">MY_PT(E$2,$A28)</f>
        <v>1.1294650338378E-005</v>
      </c>
      <c r="F28" s="39" t="n">
        <f aca="false">MY_PT(F$2,$A28)</f>
        <v>1.12945377708932E-005</v>
      </c>
      <c r="G28" s="39" t="n">
        <f aca="false">MY_PT(G$2,$A28)</f>
        <v>1.12934119221832E-005</v>
      </c>
      <c r="H28" s="39" t="n">
        <f aca="false">MY_PT(H$2,$A28)</f>
        <v>1.12922857564901E-005</v>
      </c>
      <c r="I28" s="39" t="n">
        <f aca="false">MY_PT(I$2,$A28)</f>
        <v>1.12911592725384E-005</v>
      </c>
      <c r="J28" s="39" t="n">
        <f aca="false">MY_PT(J$2,$A28)</f>
        <v>1.12900324690113E-005</v>
      </c>
      <c r="K28" s="39" t="n">
        <f aca="false">MY_PT(K$2,$A28)</f>
        <v>1.12889053445506E-005</v>
      </c>
      <c r="L28" s="39" t="n">
        <f aca="false">MY_PT(L$2,$A28)</f>
        <v>1.12877778977567E-005</v>
      </c>
      <c r="M28" s="39" t="n">
        <f aca="false">MY_PT(M$2,$A28)</f>
        <v>1.12866501271879E-005</v>
      </c>
      <c r="N28" s="39" t="n">
        <f aca="false">MY_PT(N$2,$A28)</f>
        <v>1.12855220313607E-005</v>
      </c>
      <c r="O28" s="39" t="n">
        <f aca="false">MY_PT(O$2,$A28)</f>
        <v>1.12843936087491E-005</v>
      </c>
      <c r="P28" s="39" t="n">
        <f aca="false">MY_PT(P$2,$A28)</f>
        <v>1.12730910422877E-005</v>
      </c>
      <c r="Q28" s="39" t="n">
        <f aca="false">MY_PT(Q$2,$A28)</f>
        <v>1.12617537725934E-005</v>
      </c>
      <c r="R28" s="39" t="n">
        <f aca="false">MY_PT(R$2,$A28)</f>
        <v>0.000403885374998546</v>
      </c>
      <c r="S28" s="39" t="n">
        <f aca="false">MY_PT(S$2,$A28)</f>
        <v>0.000403887861833799</v>
      </c>
      <c r="T28" s="39" t="n">
        <f aca="false">MY_PT(T$2,$A28)</f>
        <v>0.000403890348725343</v>
      </c>
      <c r="U28" s="39" t="n">
        <f aca="false">MY_PT(U$2,$A28)</f>
        <v>0.000403892835673171</v>
      </c>
      <c r="V28" s="39" t="n">
        <f aca="false">MY_PT(V$2,$A28)</f>
        <v>0.000403895322677287</v>
      </c>
      <c r="W28" s="39" t="n">
        <f aca="false">MY_PT(W$2,$A28)</f>
        <v>0.000403897809737685</v>
      </c>
      <c r="X28" s="39" t="n">
        <f aca="false">MY_PT(X$2,$A28)</f>
        <v>0.000403900296854363</v>
      </c>
      <c r="Y28" s="39" t="n">
        <f aca="false">MY_PT(Y$2,$A28)</f>
        <v>0.000403925171116043</v>
      </c>
      <c r="Z28" s="39" t="n">
        <f aca="false">MY_PT(Z$2,$A28)</f>
        <v>0.000403950051003176</v>
      </c>
      <c r="AA28" s="39" t="n">
        <f aca="false">MY_PT(AA$2,$A28)</f>
        <v>0.000403974936513426</v>
      </c>
      <c r="AB28" s="39" t="n">
        <f aca="false">MY_PT(AB$2,$A28)</f>
        <v>0.000403999827644457</v>
      </c>
      <c r="AC28" s="39" t="n">
        <f aca="false">MY_PT(AC$2,$A28)</f>
        <v>0.000404024724393927</v>
      </c>
      <c r="AD28" s="39" t="n">
        <f aca="false">MY_PT(AD$2,$A28)</f>
        <v>0.000404049626759489</v>
      </c>
      <c r="AE28" s="39" t="n">
        <f aca="false">MY_PT(AE$2,$A28)</f>
        <v>0.000404074534738794</v>
      </c>
      <c r="AF28" s="39" t="n">
        <f aca="false">MY_PT(AF$2,$A28)</f>
        <v>0.000404099448329497</v>
      </c>
      <c r="AG28" s="39" t="n">
        <f aca="false">MY_PT(AG$2,$A28)</f>
        <v>0.000404124367529238</v>
      </c>
      <c r="AH28" s="39" t="n">
        <f aca="false">MY_PT(AH$2,$A28)</f>
        <v>0.000404373867504243</v>
      </c>
      <c r="AI28" s="39" t="n">
        <f aca="false">MY_PT(AI$2,$A28)</f>
        <v>0.000404623925774081</v>
      </c>
      <c r="AJ28" s="39" t="n">
        <f aca="false">MY_PT(AJ$2,$A28)</f>
        <v>0.000404874539939849</v>
      </c>
      <c r="AK28" s="39" t="n">
        <f aca="false">MY_PT(AK$2,$A28)</f>
        <v>0.000405125707575875</v>
      </c>
      <c r="AL28" s="39" t="n">
        <f aca="false">MY_PT(AL$2,$A28)</f>
        <v>0.000405377426230477</v>
      </c>
      <c r="AM28" s="39" t="n">
        <f aca="false">MY_PT(AM$2,$A28)</f>
        <v>0.000405629693426709</v>
      </c>
      <c r="AN28" s="39" t="n">
        <f aca="false">MY_PT(AN$2,$A28)</f>
        <v>0.000405882506663113</v>
      </c>
      <c r="AO28" s="39" t="n">
        <f aca="false">MY_PT(AO$2,$A28)</f>
        <v>0.000406135863414505</v>
      </c>
      <c r="AP28" s="39" t="n">
        <f aca="false">MY_PT(AP$2,$A28)</f>
        <v>0.000406389761132737</v>
      </c>
      <c r="AQ28" s="39" t="n">
        <f aca="false">MY_PT(AQ$2,$A28)</f>
        <v>0.000408957916059497</v>
      </c>
      <c r="AR28" s="39" t="n">
        <f aca="false">MY_PT(AR$2,$A28)</f>
        <v>0.000409494426680667</v>
      </c>
      <c r="AS28" s="39" t="n">
        <f aca="false">MY_PT(AS$2,$A28)</f>
        <v>0.000409738460108272</v>
      </c>
    </row>
    <row r="29" customFormat="false" ht="13.8" hidden="false" customHeight="false" outlineLevel="0" collapsed="false">
      <c r="A29" s="0" t="n">
        <v>80</v>
      </c>
      <c r="B29" s="39" t="n">
        <f aca="false">MY_PT(B$2,$A29)</f>
        <v>1.16398035827331E-005</v>
      </c>
      <c r="C29" s="39" t="n">
        <f aca="false">MY_PT(C$2,$A29)</f>
        <v>1.16397028009744E-005</v>
      </c>
      <c r="D29" s="39" t="n">
        <f aca="false">MY_PT(D$2,$A29)</f>
        <v>1.1639602016894E-005</v>
      </c>
      <c r="E29" s="39" t="n">
        <f aca="false">MY_PT(E$2,$A29)</f>
        <v>1.1639501230491E-005</v>
      </c>
      <c r="F29" s="39" t="n">
        <f aca="false">MY_PT(F$2,$A29)</f>
        <v>1.16394004417647E-005</v>
      </c>
      <c r="G29" s="39" t="n">
        <f aca="false">MY_PT(G$2,$A29)</f>
        <v>1.16383924265452E-005</v>
      </c>
      <c r="H29" s="39" t="n">
        <f aca="false">MY_PT(H$2,$A29)</f>
        <v>1.16373841781247E-005</v>
      </c>
      <c r="I29" s="39" t="n">
        <f aca="false">MY_PT(I$2,$A29)</f>
        <v>1.16363756957053E-005</v>
      </c>
      <c r="J29" s="39" t="n">
        <f aca="false">MY_PT(J$2,$A29)</f>
        <v>1.16353669784804E-005</v>
      </c>
      <c r="K29" s="39" t="n">
        <f aca="false">MY_PT(K$2,$A29)</f>
        <v>1.16343580256345E-005</v>
      </c>
      <c r="L29" s="39" t="n">
        <f aca="false">MY_PT(L$2,$A29)</f>
        <v>1.16333488363432E-005</v>
      </c>
      <c r="M29" s="39" t="n">
        <f aca="false">MY_PT(M$2,$A29)</f>
        <v>1.16323394097729E-005</v>
      </c>
      <c r="N29" s="39" t="n">
        <f aca="false">MY_PT(N$2,$A29)</f>
        <v>1.16313297450811E-005</v>
      </c>
      <c r="O29" s="39" t="n">
        <f aca="false">MY_PT(O$2,$A29)</f>
        <v>1.16303198414161E-005</v>
      </c>
      <c r="P29" s="39" t="n">
        <f aca="false">MY_PT(P$2,$A29)</f>
        <v>1.16202074671239E-005</v>
      </c>
      <c r="Q29" s="39" t="n">
        <f aca="false">MY_PT(Q$2,$A29)</f>
        <v>1.16100701846708E-005</v>
      </c>
      <c r="R29" s="39" t="n">
        <f aca="false">MY_PT(R$2,$A29)</f>
        <v>1.15999069524375E-005</v>
      </c>
      <c r="S29" s="39" t="n">
        <f aca="false">MY_PT(S$2,$A29)</f>
        <v>0.000354341599791284</v>
      </c>
      <c r="T29" s="39" t="n">
        <f aca="false">MY_PT(T$2,$A29)</f>
        <v>0.000354344215232879</v>
      </c>
      <c r="U29" s="39" t="n">
        <f aca="false">MY_PT(U$2,$A29)</f>
        <v>0.000354346830705632</v>
      </c>
      <c r="V29" s="39" t="n">
        <f aca="false">MY_PT(V$2,$A29)</f>
        <v>0.000354349446209542</v>
      </c>
      <c r="W29" s="39" t="n">
        <f aca="false">MY_PT(W$2,$A29)</f>
        <v>0.000354352061744609</v>
      </c>
      <c r="X29" s="39" t="n">
        <f aca="false">MY_PT(X$2,$A29)</f>
        <v>0.000354354677310828</v>
      </c>
      <c r="Y29" s="39" t="n">
        <f aca="false">MY_PT(Y$2,$A29)</f>
        <v>0.000354380834686224</v>
      </c>
      <c r="Z29" s="39" t="n">
        <f aca="false">MY_PT(Z$2,$A29)</f>
        <v>0.000354406995175562</v>
      </c>
      <c r="AA29" s="39" t="n">
        <f aca="false">MY_PT(AA$2,$A29)</f>
        <v>0.000354433158777498</v>
      </c>
      <c r="AB29" s="39" t="n">
        <f aca="false">MY_PT(AB$2,$A29)</f>
        <v>0.000354459325490675</v>
      </c>
      <c r="AC29" s="39" t="n">
        <f aca="false">MY_PT(AC$2,$A29)</f>
        <v>0.000354485495313734</v>
      </c>
      <c r="AD29" s="39" t="n">
        <f aca="false">MY_PT(AD$2,$A29)</f>
        <v>0.000354511668245315</v>
      </c>
      <c r="AE29" s="39" t="n">
        <f aca="false">MY_PT(AE$2,$A29)</f>
        <v>0.000354537844284051</v>
      </c>
      <c r="AF29" s="39" t="n">
        <f aca="false">MY_PT(AF$2,$A29)</f>
        <v>0.000354564023428572</v>
      </c>
      <c r="AG29" s="39" t="n">
        <f aca="false">MY_PT(AG$2,$A29)</f>
        <v>0.000354590205677506</v>
      </c>
      <c r="AH29" s="39" t="n">
        <f aca="false">MY_PT(AH$2,$A29)</f>
        <v>0.000354852198604858</v>
      </c>
      <c r="AI29" s="39" t="n">
        <f aca="false">MY_PT(AI$2,$A29)</f>
        <v>0.000355114500435985</v>
      </c>
      <c r="AJ29" s="39" t="n">
        <f aca="false">MY_PT(AJ$2,$A29)</f>
        <v>0.000355377109738197</v>
      </c>
      <c r="AK29" s="39" t="n">
        <f aca="false">MY_PT(AK$2,$A29)</f>
        <v>0.000355640025043898</v>
      </c>
      <c r="AL29" s="39" t="n">
        <f aca="false">MY_PT(AL$2,$A29)</f>
        <v>0.000355903244851542</v>
      </c>
      <c r="AM29" s="39" t="n">
        <f aca="false">MY_PT(AM$2,$A29)</f>
        <v>0.000356166767626638</v>
      </c>
      <c r="AN29" s="39" t="n">
        <f aca="false">MY_PT(AN$2,$A29)</f>
        <v>0.000356430591802725</v>
      </c>
      <c r="AO29" s="39" t="n">
        <f aca="false">MY_PT(AO$2,$A29)</f>
        <v>0.000356694715782373</v>
      </c>
      <c r="AP29" s="39" t="n">
        <f aca="false">MY_PT(AP$2,$A29)</f>
        <v>0.000356959137938169</v>
      </c>
      <c r="AQ29" s="39" t="n">
        <f aca="false">MY_PT(AQ$2,$A29)</f>
        <v>0.000359619381740353</v>
      </c>
      <c r="AR29" s="39" t="n">
        <f aca="false">MY_PT(AR$2,$A29)</f>
        <v>0.0003601719687942</v>
      </c>
      <c r="AS29" s="39" t="n">
        <f aca="false">MY_PT(AS$2,$A29)</f>
        <v>0.000360422968084857</v>
      </c>
    </row>
    <row r="30" customFormat="false" ht="13.8" hidden="false" customHeight="false" outlineLevel="0" collapsed="false">
      <c r="A30" s="0" t="n">
        <v>90</v>
      </c>
      <c r="B30" s="39" t="n">
        <f aca="false">MY_PT(B$2,$A30)</f>
        <v>1.19924540609546E-005</v>
      </c>
      <c r="C30" s="39" t="n">
        <f aca="false">MY_PT(C$2,$A30)</f>
        <v>1.1992363554454E-005</v>
      </c>
      <c r="D30" s="39" t="n">
        <f aca="false">MY_PT(D$2,$A30)</f>
        <v>1.19922730462344E-005</v>
      </c>
      <c r="E30" s="39" t="n">
        <f aca="false">MY_PT(E$2,$A30)</f>
        <v>1.19921825362954E-005</v>
      </c>
      <c r="F30" s="39" t="n">
        <f aca="false">MY_PT(F$2,$A30)</f>
        <v>1.19920920246363E-005</v>
      </c>
      <c r="G30" s="39" t="n">
        <f aca="false">MY_PT(G$2,$A30)</f>
        <v>1.19911868133321E-005</v>
      </c>
      <c r="H30" s="39" t="n">
        <f aca="false">MY_PT(H$2,$A30)</f>
        <v>1.19902814294552E-005</v>
      </c>
      <c r="I30" s="39" t="n">
        <f aca="false">MY_PT(I$2,$A30)</f>
        <v>1.19893758724817E-005</v>
      </c>
      <c r="J30" s="39" t="n">
        <f aca="false">MY_PT(J$2,$A30)</f>
        <v>1.19884701418856E-005</v>
      </c>
      <c r="K30" s="39" t="n">
        <f aca="false">MY_PT(K$2,$A30)</f>
        <v>1.19875642371386E-005</v>
      </c>
      <c r="L30" s="39" t="n">
        <f aca="false">MY_PT(L$2,$A30)</f>
        <v>1.19866581577104E-005</v>
      </c>
      <c r="M30" s="39" t="n">
        <f aca="false">MY_PT(M$2,$A30)</f>
        <v>1.19857519030683E-005</v>
      </c>
      <c r="N30" s="39" t="n">
        <f aca="false">MY_PT(N$2,$A30)</f>
        <v>1.19848454726777E-005</v>
      </c>
      <c r="O30" s="39" t="n">
        <f aca="false">MY_PT(O$2,$A30)</f>
        <v>1.19839388660015E-005</v>
      </c>
      <c r="P30" s="39" t="n">
        <f aca="false">MY_PT(P$2,$A30)</f>
        <v>1.19748629837925E-005</v>
      </c>
      <c r="Q30" s="39" t="n">
        <f aca="false">MY_PT(Q$2,$A30)</f>
        <v>1.19657688647777E-005</v>
      </c>
      <c r="R30" s="39" t="n">
        <f aca="false">MY_PT(R$2,$A30)</f>
        <v>1.19566559275446E-005</v>
      </c>
      <c r="S30" s="39" t="n">
        <f aca="false">MY_PT(S$2,$A30)</f>
        <v>1.19475235474076E-005</v>
      </c>
      <c r="T30" s="39" t="n">
        <f aca="false">MY_PT(T$2,$A30)</f>
        <v>1.19383710292295E-005</v>
      </c>
      <c r="U30" s="39" t="n">
        <f aca="false">MY_PT(U$2,$A30)</f>
        <v>1.1929197562918E-005</v>
      </c>
      <c r="V30" s="39" t="n">
        <f aca="false">MY_PT(V$2,$A30)</f>
        <v>0.00031440730062174</v>
      </c>
      <c r="W30" s="39" t="n">
        <f aca="false">MY_PT(W$2,$A30)</f>
        <v>0.000314409966975438</v>
      </c>
      <c r="X30" s="39" t="n">
        <f aca="false">MY_PT(X$2,$A30)</f>
        <v>0.000314412633342266</v>
      </c>
      <c r="Y30" s="39" t="n">
        <f aca="false">MY_PT(Y$2,$A30)</f>
        <v>0.000314439297732794</v>
      </c>
      <c r="Z30" s="39" t="n">
        <f aca="false">MY_PT(Z$2,$A30)</f>
        <v>0.000314465963436134</v>
      </c>
      <c r="AA30" s="39" t="n">
        <f aca="false">MY_PT(AA$2,$A30)</f>
        <v>0.000314492630451814</v>
      </c>
      <c r="AB30" s="39" t="n">
        <f aca="false">MY_PT(AB$2,$A30)</f>
        <v>0.000314519298779351</v>
      </c>
      <c r="AC30" s="39" t="n">
        <f aca="false">MY_PT(AC$2,$A30)</f>
        <v>0.000314545968418261</v>
      </c>
      <c r="AD30" s="39" t="n">
        <f aca="false">MY_PT(AD$2,$A30)</f>
        <v>0.000314572639368058</v>
      </c>
      <c r="AE30" s="39" t="n">
        <f aca="false">MY_PT(AE$2,$A30)</f>
        <v>0.000314599311628246</v>
      </c>
      <c r="AF30" s="39" t="n">
        <f aca="false">MY_PT(AF$2,$A30)</f>
        <v>0.000314625985198324</v>
      </c>
      <c r="AG30" s="39" t="n">
        <f aca="false">MY_PT(AG$2,$A30)</f>
        <v>0.000314652660077789</v>
      </c>
      <c r="AH30" s="39" t="n">
        <f aca="false">MY_PT(AH$2,$A30)</f>
        <v>0.00031491948077447</v>
      </c>
      <c r="AI30" s="39" t="n">
        <f aca="false">MY_PT(AI$2,$A30)</f>
        <v>0.000315186431820267</v>
      </c>
      <c r="AJ30" s="39" t="n">
        <f aca="false">MY_PT(AJ$2,$A30)</f>
        <v>0.000315453512633696</v>
      </c>
      <c r="AK30" s="39" t="n">
        <f aca="false">MY_PT(AK$2,$A30)</f>
        <v>0.000315720722587816</v>
      </c>
      <c r="AL30" s="39" t="n">
        <f aca="false">MY_PT(AL$2,$A30)</f>
        <v>0.000315988061011467</v>
      </c>
      <c r="AM30" s="39" t="n">
        <f aca="false">MY_PT(AM$2,$A30)</f>
        <v>0.000316255527190522</v>
      </c>
      <c r="AN30" s="39" t="n">
        <f aca="false">MY_PT(AN$2,$A30)</f>
        <v>0.000316523120369133</v>
      </c>
      <c r="AO30" s="39" t="n">
        <f aca="false">MY_PT(AO$2,$A30)</f>
        <v>0.000316790839750979</v>
      </c>
      <c r="AP30" s="39" t="n">
        <f aca="false">MY_PT(AP$2,$A30)</f>
        <v>0.000317058684500533</v>
      </c>
      <c r="AQ30" s="39" t="n">
        <f aca="false">MY_PT(AQ$2,$A30)</f>
        <v>0.000319743817892018</v>
      </c>
      <c r="AR30" s="39" t="n">
        <f aca="false">MY_PT(AR$2,$A30)</f>
        <v>0.000320299468605175</v>
      </c>
      <c r="AS30" s="39" t="n">
        <f aca="false">MY_PT(AS$2,$A30)</f>
        <v>0.00032055162784005</v>
      </c>
    </row>
    <row r="31" customFormat="false" ht="13.8" hidden="false" customHeight="false" outlineLevel="0" collapsed="false">
      <c r="A31" s="0" t="n">
        <v>100</v>
      </c>
      <c r="B31" s="39" t="n">
        <f aca="false">MY_PT(B$2,$A31)</f>
        <v>1.23520940190152E-005</v>
      </c>
      <c r="C31" s="39" t="n">
        <f aca="false">MY_PT(C$2,$A31)</f>
        <v>1.23520125239558E-005</v>
      </c>
      <c r="D31" s="39" t="n">
        <f aca="false">MY_PT(D$2,$A31)</f>
        <v>1.23519310276191E-005</v>
      </c>
      <c r="E31" s="39" t="n">
        <f aca="false">MY_PT(E$2,$A31)</f>
        <v>1.23518495300048E-005</v>
      </c>
      <c r="F31" s="39" t="n">
        <f aca="false">MY_PT(F$2,$A31)</f>
        <v>1.23517680311126E-005</v>
      </c>
      <c r="G31" s="39" t="n">
        <f aca="false">MY_PT(G$2,$A31)</f>
        <v>1.23509529718242E-005</v>
      </c>
      <c r="H31" s="39" t="n">
        <f aca="false">MY_PT(H$2,$A31)</f>
        <v>1.23501377843528E-005</v>
      </c>
      <c r="I31" s="39" t="n">
        <f aca="false">MY_PT(I$2,$A31)</f>
        <v>1.23493224683471E-005</v>
      </c>
      <c r="J31" s="39" t="n">
        <f aca="false">MY_PT(J$2,$A31)</f>
        <v>1.23485070234552E-005</v>
      </c>
      <c r="K31" s="39" t="n">
        <f aca="false">MY_PT(K$2,$A31)</f>
        <v>1.23476914493247E-005</v>
      </c>
      <c r="L31" s="39" t="n">
        <f aca="false">MY_PT(L$2,$A31)</f>
        <v>1.23468757456026E-005</v>
      </c>
      <c r="M31" s="39" t="n">
        <f aca="false">MY_PT(M$2,$A31)</f>
        <v>1.2346059911935E-005</v>
      </c>
      <c r="N31" s="39" t="n">
        <f aca="false">MY_PT(N$2,$A31)</f>
        <v>1.23452439479676E-005</v>
      </c>
      <c r="O31" s="39" t="n">
        <f aca="false">MY_PT(O$2,$A31)</f>
        <v>1.23444278533454E-005</v>
      </c>
      <c r="P31" s="39" t="n">
        <f aca="false">MY_PT(P$2,$A31)</f>
        <v>1.23362596425346E-005</v>
      </c>
      <c r="Q31" s="39" t="n">
        <f aca="false">MY_PT(Q$2,$A31)</f>
        <v>1.23280779706646E-005</v>
      </c>
      <c r="R31" s="39" t="n">
        <f aca="false">MY_PT(R$2,$A31)</f>
        <v>1.23198824703296E-005</v>
      </c>
      <c r="S31" s="39" t="n">
        <f aca="false">MY_PT(S$2,$A31)</f>
        <v>1.23116727631174E-005</v>
      </c>
      <c r="T31" s="39" t="n">
        <f aca="false">MY_PT(T$2,$A31)</f>
        <v>1.23034484538187E-005</v>
      </c>
      <c r="U31" s="39" t="n">
        <f aca="false">MY_PT(U$2,$A31)</f>
        <v>1.22952091209757E-005</v>
      </c>
      <c r="V31" s="39" t="n">
        <f aca="false">MY_PT(V$2,$A31)</f>
        <v>1.22869543027968E-005</v>
      </c>
      <c r="W31" s="39" t="n">
        <f aca="false">MY_PT(W$2,$A31)</f>
        <v>1.22786834774343E-005</v>
      </c>
      <c r="X31" s="39" t="n">
        <f aca="false">MY_PT(X$2,$A31)</f>
        <v>1.2270396036585E-005</v>
      </c>
      <c r="Y31" s="39" t="n">
        <f aca="false">MY_PT(Y$2,$A31)</f>
        <v>0.00028177163883334</v>
      </c>
      <c r="Z31" s="39" t="n">
        <f aca="false">MY_PT(Z$2,$A31)</f>
        <v>0.000281798372124339</v>
      </c>
      <c r="AA31" s="39" t="n">
        <f aca="false">MY_PT(AA$2,$A31)</f>
        <v>0.000281825105369432</v>
      </c>
      <c r="AB31" s="39" t="n">
        <f aca="false">MY_PT(AB$2,$A31)</f>
        <v>0.000281851838568988</v>
      </c>
      <c r="AC31" s="39" t="n">
        <f aca="false">MY_PT(AC$2,$A31)</f>
        <v>0.000281878571723369</v>
      </c>
      <c r="AD31" s="39" t="n">
        <f aca="false">MY_PT(AD$2,$A31)</f>
        <v>0.000281905304832933</v>
      </c>
      <c r="AE31" s="39" t="n">
        <f aca="false">MY_PT(AE$2,$A31)</f>
        <v>0.000281932037898029</v>
      </c>
      <c r="AF31" s="39" t="n">
        <f aca="false">MY_PT(AF$2,$A31)</f>
        <v>0.000281958770919003</v>
      </c>
      <c r="AG31" s="39" t="n">
        <f aca="false">MY_PT(AG$2,$A31)</f>
        <v>0.000281985503896189</v>
      </c>
      <c r="AH31" s="39" t="n">
        <f aca="false">MY_PT(AH$2,$A31)</f>
        <v>0.000282252831329705</v>
      </c>
      <c r="AI31" s="39" t="n">
        <f aca="false">MY_PT(AI$2,$A31)</f>
        <v>0.000282520154710686</v>
      </c>
      <c r="AJ31" s="39" t="n">
        <f aca="false">MY_PT(AJ$2,$A31)</f>
        <v>0.000282787474277106</v>
      </c>
      <c r="AK31" s="39" t="n">
        <f aca="false">MY_PT(AK$2,$A31)</f>
        <v>0.000283054790208431</v>
      </c>
      <c r="AL31" s="39" t="n">
        <f aca="false">MY_PT(AL$2,$A31)</f>
        <v>0.000283322102627146</v>
      </c>
      <c r="AM31" s="39" t="n">
        <f aca="false">MY_PT(AM$2,$A31)</f>
        <v>0.000283589411600288</v>
      </c>
      <c r="AN31" s="39" t="n">
        <f aca="false">MY_PT(AN$2,$A31)</f>
        <v>0.000283856717140989</v>
      </c>
      <c r="AO31" s="39" t="n">
        <f aca="false">MY_PT(AO$2,$A31)</f>
        <v>0.000284124019210016</v>
      </c>
      <c r="AP31" s="39" t="n">
        <f aca="false">MY_PT(AP$2,$A31)</f>
        <v>0.00028439131771732</v>
      </c>
      <c r="AQ31" s="39" t="n">
        <f aca="false">MY_PT(AQ$2,$A31)</f>
        <v>0.000287064053847298</v>
      </c>
      <c r="AR31" s="39" t="n">
        <f aca="false">MY_PT(AR$2,$A31)</f>
        <v>0.000287615612710139</v>
      </c>
      <c r="AS31" s="39" t="n">
        <f aca="false">MY_PT(AS$2,$A31)</f>
        <v>0.000287865747192117</v>
      </c>
    </row>
    <row r="32" customFormat="false" ht="13.8" hidden="false" customHeight="false" outlineLevel="0" collapsed="false">
      <c r="A32" s="0" t="n">
        <v>200</v>
      </c>
      <c r="B32" s="39" t="n">
        <f aca="false">MY_PT(B$2,$A32)</f>
        <v>1.62079494012108E-005</v>
      </c>
      <c r="C32" s="39" t="n">
        <f aca="false">MY_PT(C$2,$A32)</f>
        <v>1.62079181696858E-005</v>
      </c>
      <c r="D32" s="39" t="n">
        <f aca="false">MY_PT(D$2,$A32)</f>
        <v>1.62078869381453E-005</v>
      </c>
      <c r="E32" s="39" t="n">
        <f aca="false">MY_PT(E$2,$A32)</f>
        <v>1.62078557065891E-005</v>
      </c>
      <c r="F32" s="39" t="n">
        <f aca="false">MY_PT(F$2,$A32)</f>
        <v>1.62078244750174E-005</v>
      </c>
      <c r="G32" s="39" t="n">
        <f aca="false">MY_PT(G$2,$A32)</f>
        <v>1.620751215844E-005</v>
      </c>
      <c r="H32" s="39" t="n">
        <f aca="false">MY_PT(H$2,$A32)</f>
        <v>1.62071998402937E-005</v>
      </c>
      <c r="I32" s="39" t="n">
        <f aca="false">MY_PT(I$2,$A32)</f>
        <v>1.62068875205705E-005</v>
      </c>
      <c r="J32" s="39" t="n">
        <f aca="false">MY_PT(J$2,$A32)</f>
        <v>1.62065751992624E-005</v>
      </c>
      <c r="K32" s="39" t="n">
        <f aca="false">MY_PT(K$2,$A32)</f>
        <v>1.62062628763615E-005</v>
      </c>
      <c r="L32" s="39" t="n">
        <f aca="false">MY_PT(L$2,$A32)</f>
        <v>1.62059505518598E-005</v>
      </c>
      <c r="M32" s="39" t="n">
        <f aca="false">MY_PT(M$2,$A32)</f>
        <v>1.62056382257495E-005</v>
      </c>
      <c r="N32" s="39" t="n">
        <f aca="false">MY_PT(N$2,$A32)</f>
        <v>1.62053258980225E-005</v>
      </c>
      <c r="O32" s="39" t="n">
        <f aca="false">MY_PT(O$2,$A32)</f>
        <v>1.62050135686709E-005</v>
      </c>
      <c r="P32" s="39" t="n">
        <f aca="false">MY_PT(P$2,$A32)</f>
        <v>1.62018901840502E-005</v>
      </c>
      <c r="Q32" s="39" t="n">
        <f aca="false">MY_PT(Q$2,$A32)</f>
        <v>1.61987666282051E-005</v>
      </c>
      <c r="R32" s="39" t="n">
        <f aca="false">MY_PT(R$2,$A32)</f>
        <v>1.61956428931491E-005</v>
      </c>
      <c r="S32" s="39" t="n">
        <f aca="false">MY_PT(S$2,$A32)</f>
        <v>1.61925189708757E-005</v>
      </c>
      <c r="T32" s="39" t="n">
        <f aca="false">MY_PT(T$2,$A32)</f>
        <v>1.61893948533585E-005</v>
      </c>
      <c r="U32" s="39" t="n">
        <f aca="false">MY_PT(U$2,$A32)</f>
        <v>1.61862705325513E-005</v>
      </c>
      <c r="V32" s="39" t="n">
        <f aca="false">MY_PT(V$2,$A32)</f>
        <v>1.61831460003876E-005</v>
      </c>
      <c r="W32" s="39" t="n">
        <f aca="false">MY_PT(W$2,$A32)</f>
        <v>1.61800212487812E-005</v>
      </c>
      <c r="X32" s="39" t="n">
        <f aca="false">MY_PT(X$2,$A32)</f>
        <v>1.61768962696257E-005</v>
      </c>
      <c r="Y32" s="39" t="n">
        <f aca="false">MY_PT(Y$2,$A32)</f>
        <v>1.61456321650359E-005</v>
      </c>
      <c r="Z32" s="39" t="n">
        <f aca="false">MY_PT(Z$2,$A32)</f>
        <v>1.61143362372872E-005</v>
      </c>
      <c r="AA32" s="39" t="n">
        <f aca="false">MY_PT(AA$2,$A32)</f>
        <v>1.60830000351944E-005</v>
      </c>
      <c r="AB32" s="39" t="n">
        <f aca="false">MY_PT(AB$2,$A32)</f>
        <v>1.60516148715454E-005</v>
      </c>
      <c r="AC32" s="39" t="n">
        <f aca="false">MY_PT(AC$2,$A32)</f>
        <v>1.60201717754114E-005</v>
      </c>
      <c r="AD32" s="39" t="n">
        <f aca="false">MY_PT(AD$2,$A32)</f>
        <v>1.59886614073649E-005</v>
      </c>
      <c r="AE32" s="39" t="n">
        <f aca="false">MY_PT(AE$2,$A32)</f>
        <v>1.59570739201823E-005</v>
      </c>
      <c r="AF32" s="39" t="n">
        <f aca="false">MY_PT(AF$2,$A32)</f>
        <v>1.59253987423965E-005</v>
      </c>
      <c r="AG32" s="39" t="n">
        <f aca="false">MY_PT(AG$2,$A32)</f>
        <v>1.58936242558013E-005</v>
      </c>
      <c r="AH32" s="39" t="n">
        <f aca="false">MY_PT(AH$2,$A32)</f>
        <v>0.000134432713775449</v>
      </c>
      <c r="AI32" s="39" t="n">
        <f aca="false">MY_PT(AI$2,$A32)</f>
        <v>0.000134683046575511</v>
      </c>
      <c r="AJ32" s="39" t="n">
        <f aca="false">MY_PT(AJ$2,$A32)</f>
        <v>0.000134932441674175</v>
      </c>
      <c r="AK32" s="39" t="n">
        <f aca="false">MY_PT(AK$2,$A32)</f>
        <v>0.000135180915704567</v>
      </c>
      <c r="AL32" s="39" t="n">
        <f aca="false">MY_PT(AL$2,$A32)</f>
        <v>0.000135428484852527</v>
      </c>
      <c r="AM32" s="39" t="n">
        <f aca="false">MY_PT(AM$2,$A32)</f>
        <v>0.000135675164864989</v>
      </c>
      <c r="AN32" s="39" t="n">
        <f aca="false">MY_PT(AN$2,$A32)</f>
        <v>0.000135920971058272</v>
      </c>
      <c r="AO32" s="39" t="n">
        <f aca="false">MY_PT(AO$2,$A32)</f>
        <v>0.000136165918326303</v>
      </c>
      <c r="AP32" s="39" t="n">
        <f aca="false">MY_PT(AP$2,$A32)</f>
        <v>0.000136410021148757</v>
      </c>
      <c r="AQ32" s="39" t="n">
        <f aca="false">MY_PT(AQ$2,$A32)</f>
        <v>0.000138807510236282</v>
      </c>
      <c r="AR32" s="39" t="n">
        <f aca="false">MY_PT(AR$2,$A32)</f>
        <v>0.000139293127624974</v>
      </c>
      <c r="AS32" s="39" t="n">
        <f aca="false">MY_PT(AS$2,$A32)</f>
        <v>0.000139512394283843</v>
      </c>
    </row>
    <row r="33" customFormat="false" ht="13.8" hidden="false" customHeight="false" outlineLevel="0" collapsed="false">
      <c r="A33" s="0" t="n">
        <v>300</v>
      </c>
      <c r="B33" s="39" t="n">
        <f aca="false">MY_PT(B$2,$A33)</f>
        <v>2.0302075817386E-005</v>
      </c>
      <c r="C33" s="39" t="n">
        <f aca="false">MY_PT(C$2,$A33)</f>
        <v>2.03020637385685E-005</v>
      </c>
      <c r="D33" s="39" t="n">
        <f aca="false">MY_PT(D$2,$A33)</f>
        <v>2.03020516598204E-005</v>
      </c>
      <c r="E33" s="39" t="n">
        <f aca="false">MY_PT(E$2,$A33)</f>
        <v>2.03020395811417E-005</v>
      </c>
      <c r="F33" s="39" t="n">
        <f aca="false">MY_PT(F$2,$A33)</f>
        <v>2.03020275025325E-005</v>
      </c>
      <c r="G33" s="39" t="n">
        <f aca="false">MY_PT(G$2,$A33)</f>
        <v>2.03019067202597E-005</v>
      </c>
      <c r="H33" s="39" t="n">
        <f aca="false">MY_PT(H$2,$A33)</f>
        <v>2.03017859449316E-005</v>
      </c>
      <c r="I33" s="39" t="n">
        <f aca="false">MY_PT(I$2,$A33)</f>
        <v>2.03016651765485E-005</v>
      </c>
      <c r="J33" s="39" t="n">
        <f aca="false">MY_PT(J$2,$A33)</f>
        <v>2.03015444151108E-005</v>
      </c>
      <c r="K33" s="39" t="n">
        <f aca="false">MY_PT(K$2,$A33)</f>
        <v>2.03014236606189E-005</v>
      </c>
      <c r="L33" s="39" t="n">
        <f aca="false">MY_PT(L$2,$A33)</f>
        <v>2.03013029130733E-005</v>
      </c>
      <c r="M33" s="39" t="n">
        <f aca="false">MY_PT(M$2,$A33)</f>
        <v>2.03011821724744E-005</v>
      </c>
      <c r="N33" s="39" t="n">
        <f aca="false">MY_PT(N$2,$A33)</f>
        <v>2.03010614388225E-005</v>
      </c>
      <c r="O33" s="39" t="n">
        <f aca="false">MY_PT(O$2,$A33)</f>
        <v>2.03009407121182E-005</v>
      </c>
      <c r="P33" s="39" t="n">
        <f aca="false">MY_PT(P$2,$A33)</f>
        <v>2.02997338272769E-005</v>
      </c>
      <c r="Q33" s="39" t="n">
        <f aca="false">MY_PT(Q$2,$A33)</f>
        <v>2.02985276376381E-005</v>
      </c>
      <c r="R33" s="39" t="n">
        <f aca="false">MY_PT(R$2,$A33)</f>
        <v>2.02973221436154E-005</v>
      </c>
      <c r="S33" s="39" t="n">
        <f aca="false">MY_PT(S$2,$A33)</f>
        <v>2.02961173456236E-005</v>
      </c>
      <c r="T33" s="39" t="n">
        <f aca="false">MY_PT(T$2,$A33)</f>
        <v>2.02949132440785E-005</v>
      </c>
      <c r="U33" s="39" t="n">
        <f aca="false">MY_PT(U$2,$A33)</f>
        <v>2.02937098393971E-005</v>
      </c>
      <c r="V33" s="39" t="n">
        <f aca="false">MY_PT(V$2,$A33)</f>
        <v>2.02925071319975E-005</v>
      </c>
      <c r="W33" s="39" t="n">
        <f aca="false">MY_PT(W$2,$A33)</f>
        <v>2.02913051222991E-005</v>
      </c>
      <c r="X33" s="39" t="n">
        <f aca="false">MY_PT(X$2,$A33)</f>
        <v>2.02901038107222E-005</v>
      </c>
      <c r="Y33" s="39" t="n">
        <f aca="false">MY_PT(Y$2,$A33)</f>
        <v>2.02781291849832E-005</v>
      </c>
      <c r="Z33" s="39" t="n">
        <f aca="false">MY_PT(Z$2,$A33)</f>
        <v>2.02662248428363E-005</v>
      </c>
      <c r="AA33" s="39" t="n">
        <f aca="false">MY_PT(AA$2,$A33)</f>
        <v>2.02543912252463E-005</v>
      </c>
      <c r="AB33" s="39" t="n">
        <f aca="false">MY_PT(AB$2,$A33)</f>
        <v>2.02426287867515E-005</v>
      </c>
      <c r="AC33" s="39" t="n">
        <f aca="false">MY_PT(AC$2,$A33)</f>
        <v>2.02309379964017E-005</v>
      </c>
      <c r="AD33" s="39" t="n">
        <f aca="false">MY_PT(AD$2,$A33)</f>
        <v>2.02193193387207E-005</v>
      </c>
      <c r="AE33" s="39" t="n">
        <f aca="false">MY_PT(AE$2,$A33)</f>
        <v>2.02077733146931E-005</v>
      </c>
      <c r="AF33" s="39" t="n">
        <f aca="false">MY_PT(AF$2,$A33)</f>
        <v>2.01963004427751E-005</v>
      </c>
      <c r="AG33" s="39" t="n">
        <f aca="false">MY_PT(AG$2,$A33)</f>
        <v>2.01849012599292E-005</v>
      </c>
      <c r="AH33" s="39" t="n">
        <f aca="false">MY_PT(AH$2,$A33)</f>
        <v>2.00750958868043E-005</v>
      </c>
      <c r="AI33" s="39" t="n">
        <f aca="false">MY_PT(AI$2,$A33)</f>
        <v>1.99734315826427E-005</v>
      </c>
      <c r="AJ33" s="39" t="n">
        <f aca="false">MY_PT(AJ$2,$A33)</f>
        <v>1.98809446900957E-005</v>
      </c>
      <c r="AK33" s="39" t="n">
        <f aca="false">MY_PT(AK$2,$A33)</f>
        <v>1.97991878944218E-005</v>
      </c>
      <c r="AL33" s="39" t="n">
        <f aca="false">MY_PT(AL$2,$A33)</f>
        <v>1.9730544407273E-005</v>
      </c>
      <c r="AM33" s="39" t="n">
        <f aca="false">MY_PT(AM$2,$A33)</f>
        <v>1.96788927724957E-005</v>
      </c>
      <c r="AN33" s="39" t="n">
        <f aca="false">MY_PT(AN$2,$A33)</f>
        <v>1.96511683518287E-005</v>
      </c>
      <c r="AO33" s="39" t="n">
        <f aca="false">MY_PT(AO$2,$A33)</f>
        <v>8.60629958880704E-005</v>
      </c>
      <c r="AP33" s="39" t="n">
        <f aca="false">MY_PT(AP$2,$A33)</f>
        <v>8.64607243170688E-005</v>
      </c>
      <c r="AQ33" s="39" t="n">
        <f aca="false">MY_PT(AQ$2,$A33)</f>
        <v>9.00501063342755E-005</v>
      </c>
      <c r="AR33" s="39" t="n">
        <f aca="false">MY_PT(AR$2,$A33)</f>
        <v>9.07223465821512E-005</v>
      </c>
      <c r="AS33" s="39" t="n">
        <f aca="false">MY_PT(AS$2,$A33)</f>
        <v>9.10210692620804E-005</v>
      </c>
    </row>
    <row r="34" customFormat="false" ht="13.8" hidden="false" customHeight="false" outlineLevel="0" collapsed="false">
      <c r="A34" s="0" t="n">
        <v>400</v>
      </c>
      <c r="B34" s="39" t="n">
        <f aca="false">MY_PT(B$2,$A34)</f>
        <v>2.4453901530919E-005</v>
      </c>
      <c r="C34" s="39" t="n">
        <f aca="false">MY_PT(C$2,$A34)</f>
        <v>2.44538982325802E-005</v>
      </c>
      <c r="D34" s="39" t="n">
        <f aca="false">MY_PT(D$2,$A34)</f>
        <v>2.44538949342998E-005</v>
      </c>
      <c r="E34" s="39" t="n">
        <f aca="false">MY_PT(E$2,$A34)</f>
        <v>2.44538916360777E-005</v>
      </c>
      <c r="F34" s="39" t="n">
        <f aca="false">MY_PT(F$2,$A34)</f>
        <v>2.44538883379141E-005</v>
      </c>
      <c r="G34" s="39" t="n">
        <f aca="false">MY_PT(G$2,$A34)</f>
        <v>2.44538553594883E-005</v>
      </c>
      <c r="H34" s="39" t="n">
        <f aca="false">MY_PT(H$2,$A34)</f>
        <v>2.44538223869003E-005</v>
      </c>
      <c r="I34" s="39" t="n">
        <f aca="false">MY_PT(I$2,$A34)</f>
        <v>2.44537894201505E-005</v>
      </c>
      <c r="J34" s="39" t="n">
        <f aca="false">MY_PT(J$2,$A34)</f>
        <v>2.44537564592391E-005</v>
      </c>
      <c r="K34" s="39" t="n">
        <f aca="false">MY_PT(K$2,$A34)</f>
        <v>2.44537235041665E-005</v>
      </c>
      <c r="L34" s="39" t="n">
        <f aca="false">MY_PT(L$2,$A34)</f>
        <v>2.44536905549329E-005</v>
      </c>
      <c r="M34" s="39" t="n">
        <f aca="false">MY_PT(M$2,$A34)</f>
        <v>2.44536576115385E-005</v>
      </c>
      <c r="N34" s="39" t="n">
        <f aca="false">MY_PT(N$2,$A34)</f>
        <v>2.44536246739837E-005</v>
      </c>
      <c r="O34" s="39" t="n">
        <f aca="false">MY_PT(O$2,$A34)</f>
        <v>2.44535917422688E-005</v>
      </c>
      <c r="P34" s="39" t="n">
        <f aca="false">MY_PT(P$2,$A34)</f>
        <v>2.44532627463744E-005</v>
      </c>
      <c r="Q34" s="39" t="n">
        <f aca="false">MY_PT(Q$2,$A34)</f>
        <v>2.44529343347788E-005</v>
      </c>
      <c r="R34" s="39" t="n">
        <f aca="false">MY_PT(R$2,$A34)</f>
        <v>2.44526065077671E-005</v>
      </c>
      <c r="S34" s="39" t="n">
        <f aca="false">MY_PT(S$2,$A34)</f>
        <v>2.44522792656245E-005</v>
      </c>
      <c r="T34" s="39" t="n">
        <f aca="false">MY_PT(T$2,$A34)</f>
        <v>2.44519526086368E-005</v>
      </c>
      <c r="U34" s="39" t="n">
        <f aca="false">MY_PT(U$2,$A34)</f>
        <v>2.445162653709E-005</v>
      </c>
      <c r="V34" s="39" t="n">
        <f aca="false">MY_PT(V$2,$A34)</f>
        <v>2.44513010512704E-005</v>
      </c>
      <c r="W34" s="39" t="n">
        <f aca="false">MY_PT(W$2,$A34)</f>
        <v>2.44509761514648E-005</v>
      </c>
      <c r="X34" s="39" t="n">
        <f aca="false">MY_PT(X$2,$A34)</f>
        <v>2.44506518379604E-005</v>
      </c>
      <c r="Y34" s="39" t="n">
        <f aca="false">MY_PT(Y$2,$A34)</f>
        <v>2.44474410128952E-005</v>
      </c>
      <c r="Z34" s="39" t="n">
        <f aca="false">MY_PT(Z$2,$A34)</f>
        <v>2.444428913643E-005</v>
      </c>
      <c r="AA34" s="39" t="n">
        <f aca="false">MY_PT(AA$2,$A34)</f>
        <v>2.44411965016797E-005</v>
      </c>
      <c r="AB34" s="39" t="n">
        <f aca="false">MY_PT(AB$2,$A34)</f>
        <v>2.44381634055108E-005</v>
      </c>
      <c r="AC34" s="39" t="n">
        <f aca="false">MY_PT(AC$2,$A34)</f>
        <v>2.44351901486283E-005</v>
      </c>
      <c r="AD34" s="39" t="n">
        <f aca="false">MY_PT(AD$2,$A34)</f>
        <v>2.44322770356625E-005</v>
      </c>
      <c r="AE34" s="39" t="n">
        <f aca="false">MY_PT(AE$2,$A34)</f>
        <v>2.4429424375258E-005</v>
      </c>
      <c r="AF34" s="39" t="n">
        <f aca="false">MY_PT(AF$2,$A34)</f>
        <v>2.44266324801625E-005</v>
      </c>
      <c r="AG34" s="39" t="n">
        <f aca="false">MY_PT(AG$2,$A34)</f>
        <v>2.44239016673184E-005</v>
      </c>
      <c r="AH34" s="39" t="n">
        <f aca="false">MY_PT(AH$2,$A34)</f>
        <v>2.44000259759884E-005</v>
      </c>
      <c r="AI34" s="39" t="n">
        <f aca="false">MY_PT(AI$2,$A34)</f>
        <v>2.43826419732115E-005</v>
      </c>
      <c r="AJ34" s="39" t="n">
        <f aca="false">MY_PT(AJ$2,$A34)</f>
        <v>2.43721513558656E-005</v>
      </c>
      <c r="AK34" s="39" t="n">
        <f aca="false">MY_PT(AK$2,$A34)</f>
        <v>2.43690211889892E-005</v>
      </c>
      <c r="AL34" s="39" t="n">
        <f aca="false">MY_PT(AL$2,$A34)</f>
        <v>2.43737970797259E-005</v>
      </c>
      <c r="AM34" s="39" t="n">
        <f aca="false">MY_PT(AM$2,$A34)</f>
        <v>2.43871187175312E-005</v>
      </c>
      <c r="AN34" s="39" t="n">
        <f aca="false">MY_PT(AN$2,$A34)</f>
        <v>2.44097386688439E-005</v>
      </c>
      <c r="AO34" s="39" t="n">
        <f aca="false">MY_PT(AO$2,$A34)</f>
        <v>2.4442545712708E-005</v>
      </c>
      <c r="AP34" s="39" t="n">
        <f aca="false">MY_PT(AP$2,$A34)</f>
        <v>2.44865945209672E-005</v>
      </c>
      <c r="AQ34" s="39" t="n">
        <f aca="false">MY_PT(AQ$2,$A34)</f>
        <v>2.60341625427131E-005</v>
      </c>
      <c r="AR34" s="39" t="n">
        <f aca="false">MY_PT(AR$2,$A34)</f>
        <v>2.69019110976372E-005</v>
      </c>
      <c r="AS34" s="39" t="n">
        <f aca="false">MY_PT(AS$2,$A34)</f>
        <v>2.74467822753737E-005</v>
      </c>
    </row>
    <row r="35" customFormat="false" ht="13.8" hidden="false" customHeight="false" outlineLevel="0" collapsed="false">
      <c r="A35" s="0" t="n">
        <v>500</v>
      </c>
      <c r="B35" s="39" t="n">
        <f aca="false">MY_PT(B$2,$A35)</f>
        <v>2.85736148845392E-005</v>
      </c>
      <c r="C35" s="39" t="n">
        <f aca="false">MY_PT(C$2,$A35)</f>
        <v>2.85736159135471E-005</v>
      </c>
      <c r="D35" s="39" t="n">
        <f aca="false">MY_PT(D$2,$A35)</f>
        <v>2.85736169425975E-005</v>
      </c>
      <c r="E35" s="39" t="n">
        <f aca="false">MY_PT(E$2,$A35)</f>
        <v>2.85736179716905E-005</v>
      </c>
      <c r="F35" s="39" t="n">
        <f aca="false">MY_PT(F$2,$A35)</f>
        <v>2.85736190008259E-005</v>
      </c>
      <c r="G35" s="39" t="n">
        <f aca="false">MY_PT(G$2,$A35)</f>
        <v>2.85736292945184E-005</v>
      </c>
      <c r="H35" s="39" t="n">
        <f aca="false">MY_PT(H$2,$A35)</f>
        <v>2.85736395924616E-005</v>
      </c>
      <c r="I35" s="39" t="n">
        <f aca="false">MY_PT(I$2,$A35)</f>
        <v>2.85736498946559E-005</v>
      </c>
      <c r="J35" s="39" t="n">
        <f aca="false">MY_PT(J$2,$A35)</f>
        <v>2.85736602011012E-005</v>
      </c>
      <c r="K35" s="39" t="n">
        <f aca="false">MY_PT(K$2,$A35)</f>
        <v>2.85736705117977E-005</v>
      </c>
      <c r="L35" s="39" t="n">
        <f aca="false">MY_PT(L$2,$A35)</f>
        <v>2.85736808267455E-005</v>
      </c>
      <c r="M35" s="39" t="n">
        <f aca="false">MY_PT(M$2,$A35)</f>
        <v>2.85736911459446E-005</v>
      </c>
      <c r="N35" s="39" t="n">
        <f aca="false">MY_PT(N$2,$A35)</f>
        <v>2.85737014693953E-005</v>
      </c>
      <c r="O35" s="39" t="n">
        <f aca="false">MY_PT(O$2,$A35)</f>
        <v>2.85737117970976E-005</v>
      </c>
      <c r="P35" s="39" t="n">
        <f aca="false">MY_PT(P$2,$A35)</f>
        <v>2.85738153079825E-005</v>
      </c>
      <c r="Q35" s="39" t="n">
        <f aca="false">MY_PT(Q$2,$A35)</f>
        <v>2.85739192441471E-005</v>
      </c>
      <c r="R35" s="39" t="n">
        <f aca="false">MY_PT(R$2,$A35)</f>
        <v>2.85740236056996E-005</v>
      </c>
      <c r="S35" s="39" t="n">
        <f aca="false">MY_PT(S$2,$A35)</f>
        <v>2.8574128392748E-005</v>
      </c>
      <c r="T35" s="39" t="n">
        <f aca="false">MY_PT(T$2,$A35)</f>
        <v>2.85742336054007E-005</v>
      </c>
      <c r="U35" s="39" t="n">
        <f aca="false">MY_PT(U$2,$A35)</f>
        <v>2.85743392437661E-005</v>
      </c>
      <c r="V35" s="39" t="n">
        <f aca="false">MY_PT(V$2,$A35)</f>
        <v>2.85744453079526E-005</v>
      </c>
      <c r="W35" s="39" t="n">
        <f aca="false">MY_PT(W$2,$A35)</f>
        <v>2.85745517980687E-005</v>
      </c>
      <c r="X35" s="39" t="n">
        <f aca="false">MY_PT(X$2,$A35)</f>
        <v>2.85746587142232E-005</v>
      </c>
      <c r="Y35" s="39" t="n">
        <f aca="false">MY_PT(Y$2,$A35)</f>
        <v>2.85757513318289E-005</v>
      </c>
      <c r="Z35" s="39" t="n">
        <f aca="false">MY_PT(Z$2,$A35)</f>
        <v>2.85768866733614E-005</v>
      </c>
      <c r="AA35" s="39" t="n">
        <f aca="false">MY_PT(AA$2,$A35)</f>
        <v>2.85780648488159E-005</v>
      </c>
      <c r="AB35" s="39" t="n">
        <f aca="false">MY_PT(AB$2,$A35)</f>
        <v>2.857928596903E-005</v>
      </c>
      <c r="AC35" s="39" t="n">
        <f aca="false">MY_PT(AC$2,$A35)</f>
        <v>2.85805501456917E-005</v>
      </c>
      <c r="AD35" s="39" t="n">
        <f aca="false">MY_PT(AD$2,$A35)</f>
        <v>2.8581857491347E-005</v>
      </c>
      <c r="AE35" s="39" t="n">
        <f aca="false">MY_PT(AE$2,$A35)</f>
        <v>2.85832081194075E-005</v>
      </c>
      <c r="AF35" s="39" t="n">
        <f aca="false">MY_PT(AF$2,$A35)</f>
        <v>2.85846021441582E-005</v>
      </c>
      <c r="AG35" s="39" t="n">
        <f aca="false">MY_PT(AG$2,$A35)</f>
        <v>2.85860396807652E-005</v>
      </c>
      <c r="AH35" s="39" t="n">
        <f aca="false">MY_PT(AH$2,$A35)</f>
        <v>2.86028341809029E-005</v>
      </c>
      <c r="AI35" s="39" t="n">
        <f aca="false">MY_PT(AI$2,$A35)</f>
        <v>2.86241133895234E-005</v>
      </c>
      <c r="AJ35" s="39" t="n">
        <f aca="false">MY_PT(AJ$2,$A35)</f>
        <v>2.86500082283897E-005</v>
      </c>
      <c r="AK35" s="39" t="n">
        <f aca="false">MY_PT(AK$2,$A35)</f>
        <v>2.86806601493778E-005</v>
      </c>
      <c r="AL35" s="39" t="n">
        <f aca="false">MY_PT(AL$2,$A35)</f>
        <v>2.87162219290735E-005</v>
      </c>
      <c r="AM35" s="39" t="n">
        <f aca="false">MY_PT(AM$2,$A35)</f>
        <v>2.87568584722144E-005</v>
      </c>
      <c r="AN35" s="39" t="n">
        <f aca="false">MY_PT(AN$2,$A35)</f>
        <v>2.88027476248781E-005</v>
      </c>
      <c r="AO35" s="39" t="n">
        <f aca="false">MY_PT(AO$2,$A35)</f>
        <v>2.88540809989858E-005</v>
      </c>
      <c r="AP35" s="39" t="n">
        <f aca="false">MY_PT(AP$2,$A35)</f>
        <v>2.89110648103936E-005</v>
      </c>
      <c r="AQ35" s="39" t="n">
        <f aca="false">MY_PT(AQ$2,$A35)</f>
        <v>2.98492692648872E-005</v>
      </c>
      <c r="AR35" s="39" t="n">
        <f aca="false">MY_PT(AR$2,$A35)</f>
        <v>3.01442957972185E-005</v>
      </c>
      <c r="AS35" s="39" t="n">
        <f aca="false">MY_PT(AS$2,$A35)</f>
        <v>3.02920448035272E-005</v>
      </c>
    </row>
    <row r="36" customFormat="false" ht="13.8" hidden="false" customHeight="false" outlineLevel="0" collapsed="false">
      <c r="A36" s="0" t="n">
        <v>600</v>
      </c>
      <c r="B36" s="39" t="n">
        <f aca="false">MY_PT(B$2,$A36)</f>
        <v>3.26139046144791E-005</v>
      </c>
      <c r="C36" s="39" t="n">
        <f aca="false">MY_PT(C$2,$A36)</f>
        <v>3.26139077343258E-005</v>
      </c>
      <c r="D36" s="39" t="n">
        <f aca="false">MY_PT(D$2,$A36)</f>
        <v>3.26139108542039E-005</v>
      </c>
      <c r="E36" s="39" t="n">
        <f aca="false">MY_PT(E$2,$A36)</f>
        <v>3.26139139741133E-005</v>
      </c>
      <c r="F36" s="39" t="n">
        <f aca="false">MY_PT(F$2,$A36)</f>
        <v>3.26139170940542E-005</v>
      </c>
      <c r="G36" s="39" t="n">
        <f aca="false">MY_PT(G$2,$A36)</f>
        <v>3.26139482951882E-005</v>
      </c>
      <c r="H36" s="39" t="n">
        <f aca="false">MY_PT(H$2,$A36)</f>
        <v>3.26139794994602E-005</v>
      </c>
      <c r="I36" s="39" t="n">
        <f aca="false">MY_PT(I$2,$A36)</f>
        <v>3.261401070687E-005</v>
      </c>
      <c r="J36" s="39" t="n">
        <f aca="false">MY_PT(J$2,$A36)</f>
        <v>3.26140419174177E-005</v>
      </c>
      <c r="K36" s="39" t="n">
        <f aca="false">MY_PT(K$2,$A36)</f>
        <v>3.26140731311034E-005</v>
      </c>
      <c r="L36" s="39" t="n">
        <f aca="false">MY_PT(L$2,$A36)</f>
        <v>3.26141043479271E-005</v>
      </c>
      <c r="M36" s="39" t="n">
        <f aca="false">MY_PT(M$2,$A36)</f>
        <v>3.26141355678887E-005</v>
      </c>
      <c r="N36" s="39" t="n">
        <f aca="false">MY_PT(N$2,$A36)</f>
        <v>3.26141667909885E-005</v>
      </c>
      <c r="O36" s="39" t="n">
        <f aca="false">MY_PT(O$2,$A36)</f>
        <v>3.26141980172263E-005</v>
      </c>
      <c r="P36" s="39" t="n">
        <f aca="false">MY_PT(P$2,$A36)</f>
        <v>3.26145104522061E-005</v>
      </c>
      <c r="Q36" s="39" t="n">
        <f aca="false">MY_PT(Q$2,$A36)</f>
        <v>3.26148232010313E-005</v>
      </c>
      <c r="R36" s="39" t="n">
        <f aca="false">MY_PT(R$2,$A36)</f>
        <v>3.26151362637357E-005</v>
      </c>
      <c r="S36" s="39" t="n">
        <f aca="false">MY_PT(S$2,$A36)</f>
        <v>3.26154496403533E-005</v>
      </c>
      <c r="T36" s="39" t="n">
        <f aca="false">MY_PT(T$2,$A36)</f>
        <v>3.2615763330918E-005</v>
      </c>
      <c r="U36" s="39" t="n">
        <f aca="false">MY_PT(U$2,$A36)</f>
        <v>3.26160773354639E-005</v>
      </c>
      <c r="V36" s="39" t="n">
        <f aca="false">MY_PT(V$2,$A36)</f>
        <v>3.26163916540248E-005</v>
      </c>
      <c r="W36" s="39" t="n">
        <f aca="false">MY_PT(W$2,$A36)</f>
        <v>3.26167062866348E-005</v>
      </c>
      <c r="X36" s="39" t="n">
        <f aca="false">MY_PT(X$2,$A36)</f>
        <v>3.26170212333279E-005</v>
      </c>
      <c r="Y36" s="39" t="n">
        <f aca="false">MY_PT(Y$2,$A36)</f>
        <v>3.26201879823288E-005</v>
      </c>
      <c r="Z36" s="39" t="n">
        <f aca="false">MY_PT(Z$2,$A36)</f>
        <v>3.26233861772042E-005</v>
      </c>
      <c r="AA36" s="39" t="n">
        <f aca="false">MY_PT(AA$2,$A36)</f>
        <v>3.26266158522829E-005</v>
      </c>
      <c r="AB36" s="39" t="n">
        <f aca="false">MY_PT(AB$2,$A36)</f>
        <v>3.26298770420794E-005</v>
      </c>
      <c r="AC36" s="39" t="n">
        <f aca="false">MY_PT(AC$2,$A36)</f>
        <v>3.26331697812935E-005</v>
      </c>
      <c r="AD36" s="39" t="n">
        <f aca="false">MY_PT(AD$2,$A36)</f>
        <v>3.26364941048104E-005</v>
      </c>
      <c r="AE36" s="39" t="n">
        <f aca="false">MY_PT(AE$2,$A36)</f>
        <v>3.26398500477012E-005</v>
      </c>
      <c r="AF36" s="39" t="n">
        <f aca="false">MY_PT(AF$2,$A36)</f>
        <v>3.26432376452223E-005</v>
      </c>
      <c r="AG36" s="39" t="n">
        <f aca="false">MY_PT(AG$2,$A36)</f>
        <v>3.26466569328162E-005</v>
      </c>
      <c r="AH36" s="39" t="n">
        <f aca="false">MY_PT(AH$2,$A36)</f>
        <v>3.26826006929758E-005</v>
      </c>
      <c r="AI36" s="39" t="n">
        <f aca="false">MY_PT(AI$2,$A36)</f>
        <v>3.27217538274291E-005</v>
      </c>
      <c r="AJ36" s="39" t="n">
        <f aca="false">MY_PT(AJ$2,$A36)</f>
        <v>3.2764154845559E-005</v>
      </c>
      <c r="AK36" s="39" t="n">
        <f aca="false">MY_PT(AK$2,$A36)</f>
        <v>3.28098441093667E-005</v>
      </c>
      <c r="AL36" s="39" t="n">
        <f aca="false">MY_PT(AL$2,$A36)</f>
        <v>3.28588638202753E-005</v>
      </c>
      <c r="AM36" s="39" t="n">
        <f aca="false">MY_PT(AM$2,$A36)</f>
        <v>3.29112579982546E-005</v>
      </c>
      <c r="AN36" s="39" t="n">
        <f aca="false">MY_PT(AN$2,$A36)</f>
        <v>3.29670724529006E-005</v>
      </c>
      <c r="AO36" s="39" t="n">
        <f aca="false">MY_PT(AO$2,$A36)</f>
        <v>3.30263547460888E-005</v>
      </c>
      <c r="AP36" s="39" t="n">
        <f aca="false">MY_PT(AP$2,$A36)</f>
        <v>3.30891541458162E-005</v>
      </c>
      <c r="AQ36" s="39" t="n">
        <f aca="false">MY_PT(AQ$2,$A36)</f>
        <v>3.39225067688026E-005</v>
      </c>
      <c r="AR36" s="39" t="n">
        <f aca="false">MY_PT(AR$2,$A36)</f>
        <v>3.41441574409397E-005</v>
      </c>
      <c r="AS36" s="39" t="n">
        <f aca="false">MY_PT(AS$2,$A36)</f>
        <v>3.42506545153521E-005</v>
      </c>
    </row>
    <row r="37" customFormat="false" ht="13.8" hidden="false" customHeight="false" outlineLevel="0" collapsed="false">
      <c r="A37" s="0" t="n">
        <v>700</v>
      </c>
      <c r="B37" s="39" t="n">
        <f aca="false">MY_PT(B$2,$A37)</f>
        <v>3.65505025939342E-005</v>
      </c>
      <c r="C37" s="39" t="n">
        <f aca="false">MY_PT(C$2,$A37)</f>
        <v>3.65505065715128E-005</v>
      </c>
      <c r="D37" s="39" t="n">
        <f aca="false">MY_PT(D$2,$A37)</f>
        <v>3.65505105491159E-005</v>
      </c>
      <c r="E37" s="39" t="n">
        <f aca="false">MY_PT(E$2,$A37)</f>
        <v>3.65505145267434E-005</v>
      </c>
      <c r="F37" s="39" t="n">
        <f aca="false">MY_PT(F$2,$A37)</f>
        <v>3.65505185043954E-005</v>
      </c>
      <c r="G37" s="39" t="n">
        <f aca="false">MY_PT(G$2,$A37)</f>
        <v>3.65505582822609E-005</v>
      </c>
      <c r="H37" s="39" t="n">
        <f aca="false">MY_PT(H$2,$A37)</f>
        <v>3.65505980625727E-005</v>
      </c>
      <c r="I37" s="39" t="n">
        <f aca="false">MY_PT(I$2,$A37)</f>
        <v>3.65506378453308E-005</v>
      </c>
      <c r="J37" s="39" t="n">
        <f aca="false">MY_PT(J$2,$A37)</f>
        <v>3.65506776305352E-005</v>
      </c>
      <c r="K37" s="39" t="n">
        <f aca="false">MY_PT(K$2,$A37)</f>
        <v>3.6550717418186E-005</v>
      </c>
      <c r="L37" s="39" t="n">
        <f aca="false">MY_PT(L$2,$A37)</f>
        <v>3.65507572082831E-005</v>
      </c>
      <c r="M37" s="39" t="n">
        <f aca="false">MY_PT(M$2,$A37)</f>
        <v>3.65507970008265E-005</v>
      </c>
      <c r="N37" s="39" t="n">
        <f aca="false">MY_PT(N$2,$A37)</f>
        <v>3.65508367958162E-005</v>
      </c>
      <c r="O37" s="39" t="n">
        <f aca="false">MY_PT(O$2,$A37)</f>
        <v>3.65508765932523E-005</v>
      </c>
      <c r="P37" s="39" t="n">
        <f aca="false">MY_PT(P$2,$A37)</f>
        <v>3.65512747021624E-005</v>
      </c>
      <c r="Q37" s="39" t="n">
        <f aca="false">MY_PT(Q$2,$A37)</f>
        <v>3.65516730557094E-005</v>
      </c>
      <c r="R37" s="39" t="n">
        <f aca="false">MY_PT(R$2,$A37)</f>
        <v>3.65520716538965E-005</v>
      </c>
      <c r="S37" s="39" t="n">
        <f aca="false">MY_PT(S$2,$A37)</f>
        <v>3.65524704967267E-005</v>
      </c>
      <c r="T37" s="39" t="n">
        <f aca="false">MY_PT(T$2,$A37)</f>
        <v>3.6552869584203E-005</v>
      </c>
      <c r="U37" s="39" t="n">
        <f aca="false">MY_PT(U$2,$A37)</f>
        <v>3.65532689163286E-005</v>
      </c>
      <c r="V37" s="39" t="n">
        <f aca="false">MY_PT(V$2,$A37)</f>
        <v>3.65536684931064E-005</v>
      </c>
      <c r="W37" s="39" t="n">
        <f aca="false">MY_PT(W$2,$A37)</f>
        <v>3.65540683145396E-005</v>
      </c>
      <c r="X37" s="39" t="n">
        <f aca="false">MY_PT(X$2,$A37)</f>
        <v>3.65544683806313E-005</v>
      </c>
      <c r="Y37" s="39" t="n">
        <f aca="false">MY_PT(Y$2,$A37)</f>
        <v>3.65584824984395E-005</v>
      </c>
      <c r="Z37" s="39" t="n">
        <f aca="false">MY_PT(Z$2,$A37)</f>
        <v>3.65625210854972E-005</v>
      </c>
      <c r="AA37" s="39" t="n">
        <f aca="false">MY_PT(AA$2,$A37)</f>
        <v>3.65665841449378E-005</v>
      </c>
      <c r="AB37" s="39" t="n">
        <f aca="false">MY_PT(AB$2,$A37)</f>
        <v>3.65706716799312E-005</v>
      </c>
      <c r="AC37" s="39" t="n">
        <f aca="false">MY_PT(AC$2,$A37)</f>
        <v>3.65747836936837E-005</v>
      </c>
      <c r="AD37" s="39" t="n">
        <f aca="false">MY_PT(AD$2,$A37)</f>
        <v>3.65789201894373E-005</v>
      </c>
      <c r="AE37" s="39" t="n">
        <f aca="false">MY_PT(AE$2,$A37)</f>
        <v>3.65830811704696E-005</v>
      </c>
      <c r="AF37" s="39" t="n">
        <f aca="false">MY_PT(AF$2,$A37)</f>
        <v>3.65872666400932E-005</v>
      </c>
      <c r="AG37" s="39" t="n">
        <f aca="false">MY_PT(AG$2,$A37)</f>
        <v>3.65914766016553E-005</v>
      </c>
      <c r="AH37" s="39" t="n">
        <f aca="false">MY_PT(AH$2,$A37)</f>
        <v>3.6634924034327E-005</v>
      </c>
      <c r="AI37" s="39" t="n">
        <f aca="false">MY_PT(AI$2,$A37)</f>
        <v>3.66808245853558E-005</v>
      </c>
      <c r="AJ37" s="39" t="n">
        <f aca="false">MY_PT(AJ$2,$A37)</f>
        <v>3.67291821127188E-005</v>
      </c>
      <c r="AK37" s="39" t="n">
        <f aca="false">MY_PT(AK$2,$A37)</f>
        <v>3.67800007341417E-005</v>
      </c>
      <c r="AL37" s="39" t="n">
        <f aca="false">MY_PT(AL$2,$A37)</f>
        <v>3.68332847867136E-005</v>
      </c>
      <c r="AM37" s="39" t="n">
        <f aca="false">MY_PT(AM$2,$A37)</f>
        <v>3.68890387859599E-005</v>
      </c>
      <c r="AN37" s="39" t="n">
        <f aca="false">MY_PT(AN$2,$A37)</f>
        <v>3.69472673843585E-005</v>
      </c>
      <c r="AO37" s="39" t="n">
        <f aca="false">MY_PT(AO$2,$A37)</f>
        <v>3.70079753292863E-005</v>
      </c>
      <c r="AP37" s="39" t="n">
        <f aca="false">MY_PT(AP$2,$A37)</f>
        <v>3.70711674203927E-005</v>
      </c>
      <c r="AQ37" s="39" t="n">
        <f aca="false">MY_PT(AQ$2,$A37)</f>
        <v>3.78407215275091E-005</v>
      </c>
      <c r="AR37" s="39" t="n">
        <f aca="false">MY_PT(AR$2,$A37)</f>
        <v>3.80309150219639E-005</v>
      </c>
      <c r="AS37" s="39" t="n">
        <f aca="false">MY_PT(AS$2,$A37)</f>
        <v>3.81207257422196E-005</v>
      </c>
    </row>
    <row r="38" customFormat="false" ht="13.8" hidden="false" customHeight="false" outlineLevel="0" collapsed="false">
      <c r="A38" s="0" t="n">
        <v>800</v>
      </c>
      <c r="B38" s="39" t="n">
        <f aca="false">MY_PT(B$2,$A38)</f>
        <v>4.03723081506952E-005</v>
      </c>
      <c r="C38" s="39" t="n">
        <f aca="false">MY_PT(C$2,$A38)</f>
        <v>4.03723122706005E-005</v>
      </c>
      <c r="D38" s="39" t="n">
        <f aca="false">MY_PT(D$2,$A38)</f>
        <v>4.03723163905262E-005</v>
      </c>
      <c r="E38" s="39" t="n">
        <f aca="false">MY_PT(E$2,$A38)</f>
        <v>4.03723205104722E-005</v>
      </c>
      <c r="F38" s="39" t="n">
        <f aca="false">MY_PT(F$2,$A38)</f>
        <v>4.03723246304385E-005</v>
      </c>
      <c r="G38" s="39" t="n">
        <f aca="false">MY_PT(G$2,$A38)</f>
        <v>4.03723658312202E-005</v>
      </c>
      <c r="H38" s="39" t="n">
        <f aca="false">MY_PT(H$2,$A38)</f>
        <v>4.03724070340354E-005</v>
      </c>
      <c r="I38" s="39" t="n">
        <f aca="false">MY_PT(I$2,$A38)</f>
        <v>4.0372448238884E-005</v>
      </c>
      <c r="J38" s="39" t="n">
        <f aca="false">MY_PT(J$2,$A38)</f>
        <v>4.0372489445766E-005</v>
      </c>
      <c r="K38" s="39" t="n">
        <f aca="false">MY_PT(K$2,$A38)</f>
        <v>4.03725306546813E-005</v>
      </c>
      <c r="L38" s="39" t="n">
        <f aca="false">MY_PT(L$2,$A38)</f>
        <v>4.03725718656301E-005</v>
      </c>
      <c r="M38" s="39" t="n">
        <f aca="false">MY_PT(M$2,$A38)</f>
        <v>4.03726130786122E-005</v>
      </c>
      <c r="N38" s="39" t="n">
        <f aca="false">MY_PT(N$2,$A38)</f>
        <v>4.03726542936277E-005</v>
      </c>
      <c r="O38" s="39" t="n">
        <f aca="false">MY_PT(O$2,$A38)</f>
        <v>4.03726955106766E-005</v>
      </c>
      <c r="P38" s="39" t="n">
        <f aca="false">MY_PT(P$2,$A38)</f>
        <v>4.03731077929971E-005</v>
      </c>
      <c r="Q38" s="39" t="n">
        <f aca="false">MY_PT(Q$2,$A38)</f>
        <v>4.03735202786407E-005</v>
      </c>
      <c r="R38" s="39" t="n">
        <f aca="false">MY_PT(R$2,$A38)</f>
        <v>4.03739329675966E-005</v>
      </c>
      <c r="S38" s="39" t="n">
        <f aca="false">MY_PT(S$2,$A38)</f>
        <v>4.03743458598539E-005</v>
      </c>
      <c r="T38" s="39" t="n">
        <f aca="false">MY_PT(T$2,$A38)</f>
        <v>4.03747589554016E-005</v>
      </c>
      <c r="U38" s="39" t="n">
        <f aca="false">MY_PT(U$2,$A38)</f>
        <v>4.03751722542289E-005</v>
      </c>
      <c r="V38" s="39" t="n">
        <f aca="false">MY_PT(V$2,$A38)</f>
        <v>4.0375585756325E-005</v>
      </c>
      <c r="W38" s="39" t="n">
        <f aca="false">MY_PT(W$2,$A38)</f>
        <v>4.03759994616788E-005</v>
      </c>
      <c r="X38" s="39" t="n">
        <f aca="false">MY_PT(X$2,$A38)</f>
        <v>4.03764133702795E-005</v>
      </c>
      <c r="Y38" s="39" t="n">
        <f aca="false">MY_PT(Y$2,$A38)</f>
        <v>4.03805636324705E-005</v>
      </c>
      <c r="Z38" s="39" t="n">
        <f aca="false">MY_PT(Z$2,$A38)</f>
        <v>4.03847342073766E-005</v>
      </c>
      <c r="AA38" s="39" t="n">
        <f aca="false">MY_PT(AA$2,$A38)</f>
        <v>4.03889250841199E-005</v>
      </c>
      <c r="AB38" s="39" t="n">
        <f aca="false">MY_PT(AB$2,$A38)</f>
        <v>4.03931362518307E-005</v>
      </c>
      <c r="AC38" s="39" t="n">
        <f aca="false">MY_PT(AC$2,$A38)</f>
        <v>4.03973676996481E-005</v>
      </c>
      <c r="AD38" s="39" t="n">
        <f aca="false">MY_PT(AD$2,$A38)</f>
        <v>4.04016194167186E-005</v>
      </c>
      <c r="AE38" s="39" t="n">
        <f aca="false">MY_PT(AE$2,$A38)</f>
        <v>4.04058913921971E-005</v>
      </c>
      <c r="AF38" s="39" t="n">
        <f aca="false">MY_PT(AF$2,$A38)</f>
        <v>4.04101836152459E-005</v>
      </c>
      <c r="AG38" s="39" t="n">
        <f aca="false">MY_PT(AG$2,$A38)</f>
        <v>4.04144960750348E-005</v>
      </c>
      <c r="AH38" s="39" t="n">
        <f aca="false">MY_PT(AH$2,$A38)</f>
        <v>4.04587313158608E-005</v>
      </c>
      <c r="AI38" s="39" t="n">
        <f aca="false">MY_PT(AI$2,$A38)</f>
        <v>4.05049783645367E-005</v>
      </c>
      <c r="AJ38" s="39" t="n">
        <f aca="false">MY_PT(AJ$2,$A38)</f>
        <v>4.05532264808654E-005</v>
      </c>
      <c r="AK38" s="39" t="n">
        <f aca="false">MY_PT(AK$2,$A38)</f>
        <v>4.06034649537564E-005</v>
      </c>
      <c r="AL38" s="39" t="n">
        <f aca="false">MY_PT(AL$2,$A38)</f>
        <v>4.06556830812687E-005</v>
      </c>
      <c r="AM38" s="39" t="n">
        <f aca="false">MY_PT(AM$2,$A38)</f>
        <v>4.07098701510236E-005</v>
      </c>
      <c r="AN38" s="39" t="n">
        <f aca="false">MY_PT(AN$2,$A38)</f>
        <v>4.07660154209861E-005</v>
      </c>
      <c r="AO38" s="39" t="n">
        <f aca="false">MY_PT(AO$2,$A38)</f>
        <v>4.08241081006139E-005</v>
      </c>
      <c r="AP38" s="39" t="n">
        <f aca="false">MY_PT(AP$2,$A38)</f>
        <v>4.08841373323773E-005</v>
      </c>
      <c r="AQ38" s="39" t="n">
        <f aca="false">MY_PT(AQ$2,$A38)</f>
        <v>4.15884683642187E-005</v>
      </c>
      <c r="AR38" s="39" t="n">
        <f aca="false">MY_PT(AR$2,$A38)</f>
        <v>4.17567471284162E-005</v>
      </c>
      <c r="AS38" s="39" t="n">
        <f aca="false">MY_PT(AS$2,$A38)</f>
        <v>4.18355732380933E-005</v>
      </c>
    </row>
    <row r="39" customFormat="false" ht="13.8" hidden="false" customHeight="false" outlineLevel="0" collapsed="false">
      <c r="A39" s="0" t="n">
        <v>900</v>
      </c>
      <c r="B39" s="39" t="n">
        <f aca="false">MY_PT(B$2,$A39)</f>
        <v>4.40758705166034E-005</v>
      </c>
      <c r="C39" s="39" t="n">
        <f aca="false">MY_PT(C$2,$A39)</f>
        <v>4.40758743549894E-005</v>
      </c>
      <c r="D39" s="39" t="n">
        <f aca="false">MY_PT(D$2,$A39)</f>
        <v>4.40758781933934E-005</v>
      </c>
      <c r="E39" s="39" t="n">
        <f aca="false">MY_PT(E$2,$A39)</f>
        <v>4.40758820318152E-005</v>
      </c>
      <c r="F39" s="39" t="n">
        <f aca="false">MY_PT(F$2,$A39)</f>
        <v>4.4075885870255E-005</v>
      </c>
      <c r="G39" s="39" t="n">
        <f aca="false">MY_PT(G$2,$A39)</f>
        <v>4.4075924255637E-005</v>
      </c>
      <c r="H39" s="39" t="n">
        <f aca="false">MY_PT(H$2,$A39)</f>
        <v>4.40759626428093E-005</v>
      </c>
      <c r="I39" s="39" t="n">
        <f aca="false">MY_PT(I$2,$A39)</f>
        <v>4.40760010317719E-005</v>
      </c>
      <c r="J39" s="39" t="n">
        <f aca="false">MY_PT(J$2,$A39)</f>
        <v>4.40760394225247E-005</v>
      </c>
      <c r="K39" s="39" t="n">
        <f aca="false">MY_PT(K$2,$A39)</f>
        <v>4.40760778150678E-005</v>
      </c>
      <c r="L39" s="39" t="n">
        <f aca="false">MY_PT(L$2,$A39)</f>
        <v>4.40761162094011E-005</v>
      </c>
      <c r="M39" s="39" t="n">
        <f aca="false">MY_PT(M$2,$A39)</f>
        <v>4.40761546055246E-005</v>
      </c>
      <c r="N39" s="39" t="n">
        <f aca="false">MY_PT(N$2,$A39)</f>
        <v>4.40761930034382E-005</v>
      </c>
      <c r="O39" s="39" t="n">
        <f aca="false">MY_PT(O$2,$A39)</f>
        <v>4.4076231403142E-005</v>
      </c>
      <c r="P39" s="39" t="n">
        <f aca="false">MY_PT(P$2,$A39)</f>
        <v>4.40766154986355E-005</v>
      </c>
      <c r="Q39" s="39" t="n">
        <f aca="false">MY_PT(Q$2,$A39)</f>
        <v>4.40769997731264E-005</v>
      </c>
      <c r="R39" s="39" t="n">
        <f aca="false">MY_PT(R$2,$A39)</f>
        <v>4.40773842265977E-005</v>
      </c>
      <c r="S39" s="39" t="n">
        <f aca="false">MY_PT(S$2,$A39)</f>
        <v>4.40777688590325E-005</v>
      </c>
      <c r="T39" s="39" t="n">
        <f aca="false">MY_PT(T$2,$A39)</f>
        <v>4.40781536704135E-005</v>
      </c>
      <c r="U39" s="39" t="n">
        <f aca="false">MY_PT(U$2,$A39)</f>
        <v>4.40785386607238E-005</v>
      </c>
      <c r="V39" s="39" t="n">
        <f aca="false">MY_PT(V$2,$A39)</f>
        <v>4.40789238299463E-005</v>
      </c>
      <c r="W39" s="39" t="n">
        <f aca="false">MY_PT(W$2,$A39)</f>
        <v>4.40793091780639E-005</v>
      </c>
      <c r="X39" s="39" t="n">
        <f aca="false">MY_PT(X$2,$A39)</f>
        <v>4.40796947050595E-005</v>
      </c>
      <c r="Y39" s="39" t="n">
        <f aca="false">MY_PT(Y$2,$A39)</f>
        <v>4.40835598095539E-005</v>
      </c>
      <c r="Z39" s="39" t="n">
        <f aca="false">MY_PT(Z$2,$A39)</f>
        <v>4.40874427830834E-005</v>
      </c>
      <c r="AA39" s="39" t="n">
        <f aca="false">MY_PT(AA$2,$A39)</f>
        <v>4.40913436085889E-005</v>
      </c>
      <c r="AB39" s="39" t="n">
        <f aca="false">MY_PT(AB$2,$A39)</f>
        <v>4.40952622690151E-005</v>
      </c>
      <c r="AC39" s="39" t="n">
        <f aca="false">MY_PT(AC$2,$A39)</f>
        <v>4.40991987473092E-005</v>
      </c>
      <c r="AD39" s="39" t="n">
        <f aca="false">MY_PT(AD$2,$A39)</f>
        <v>4.41031530264209E-005</v>
      </c>
      <c r="AE39" s="39" t="n">
        <f aca="false">MY_PT(AE$2,$A39)</f>
        <v>4.41071250893015E-005</v>
      </c>
      <c r="AF39" s="39" t="n">
        <f aca="false">MY_PT(AF$2,$A39)</f>
        <v>4.41111149189034E-005</v>
      </c>
      <c r="AG39" s="39" t="n">
        <f aca="false">MY_PT(AG$2,$A39)</f>
        <v>4.41151224981796E-005</v>
      </c>
      <c r="AH39" s="39" t="n">
        <f aca="false">MY_PT(AH$2,$A39)</f>
        <v>4.41561707718984E-005</v>
      </c>
      <c r="AI39" s="39" t="n">
        <f aca="false">MY_PT(AI$2,$A39)</f>
        <v>4.41989752431172E-005</v>
      </c>
      <c r="AJ39" s="39" t="n">
        <f aca="false">MY_PT(AJ$2,$A39)</f>
        <v>4.42435187842248E-005</v>
      </c>
      <c r="AK39" s="39" t="n">
        <f aca="false">MY_PT(AK$2,$A39)</f>
        <v>4.42897841494377E-005</v>
      </c>
      <c r="AL39" s="39" t="n">
        <f aca="false">MY_PT(AL$2,$A39)</f>
        <v>4.43377539211458E-005</v>
      </c>
      <c r="AM39" s="39" t="n">
        <f aca="false">MY_PT(AM$2,$A39)</f>
        <v>4.43874104578523E-005</v>
      </c>
      <c r="AN39" s="39" t="n">
        <f aca="false">MY_PT(AN$2,$A39)</f>
        <v>4.44387358436999E-005</v>
      </c>
      <c r="AO39" s="39" t="n">
        <f aca="false">MY_PT(AO$2,$A39)</f>
        <v>4.44917118395849E-005</v>
      </c>
      <c r="AP39" s="39" t="n">
        <f aca="false">MY_PT(AP$2,$A39)</f>
        <v>2015</v>
      </c>
      <c r="AQ39" s="39" t="n">
        <f aca="false">MY_PT(AQ$2,$A39)</f>
        <v>2015</v>
      </c>
      <c r="AR39" s="39" t="n">
        <f aca="false">MY_PT(AR$2,$A39)</f>
        <v>2015</v>
      </c>
      <c r="AS39" s="39" t="n">
        <f aca="false">MY_PT(AS$2,$A39)</f>
        <v>2015</v>
      </c>
    </row>
    <row r="40" customFormat="false" ht="13.8" hidden="false" customHeight="false" outlineLevel="0" collapsed="false">
      <c r="A40" s="0" t="n">
        <v>1000</v>
      </c>
      <c r="B40" s="39" t="n">
        <f aca="false">MY_PT(B$2,$A40)</f>
        <v>2015</v>
      </c>
      <c r="C40" s="39" t="n">
        <f aca="false">MY_PT(C$2,$A40)</f>
        <v>2015</v>
      </c>
      <c r="D40" s="39" t="n">
        <f aca="false">MY_PT(D$2,$A40)</f>
        <v>2015</v>
      </c>
      <c r="E40" s="39" t="n">
        <f aca="false">MY_PT(E$2,$A40)</f>
        <v>2015</v>
      </c>
      <c r="F40" s="39" t="n">
        <f aca="false">MY_PT(F$2,$A40)</f>
        <v>2015</v>
      </c>
      <c r="G40" s="39" t="n">
        <f aca="false">MY_PT(G$2,$A40)</f>
        <v>2015</v>
      </c>
      <c r="H40" s="39" t="n">
        <f aca="false">MY_PT(H$2,$A40)</f>
        <v>2015</v>
      </c>
      <c r="I40" s="39" t="n">
        <f aca="false">MY_PT(I$2,$A40)</f>
        <v>2015</v>
      </c>
      <c r="J40" s="39" t="n">
        <f aca="false">MY_PT(J$2,$A40)</f>
        <v>2015</v>
      </c>
      <c r="K40" s="39" t="n">
        <f aca="false">MY_PT(K$2,$A40)</f>
        <v>2015</v>
      </c>
      <c r="L40" s="39" t="n">
        <f aca="false">MY_PT(L$2,$A40)</f>
        <v>2015</v>
      </c>
      <c r="M40" s="39" t="n">
        <f aca="false">MY_PT(M$2,$A40)</f>
        <v>2015</v>
      </c>
      <c r="N40" s="39" t="n">
        <f aca="false">MY_PT(N$2,$A40)</f>
        <v>2015</v>
      </c>
      <c r="O40" s="39" t="n">
        <f aca="false">MY_PT(O$2,$A40)</f>
        <v>2015</v>
      </c>
      <c r="P40" s="39" t="n">
        <f aca="false">MY_PT(P$2,$A40)</f>
        <v>2015</v>
      </c>
      <c r="Q40" s="39" t="n">
        <f aca="false">MY_PT(Q$2,$A40)</f>
        <v>2015</v>
      </c>
      <c r="R40" s="39" t="n">
        <f aca="false">MY_PT(R$2,$A40)</f>
        <v>2015</v>
      </c>
      <c r="S40" s="39" t="n">
        <f aca="false">MY_PT(S$2,$A40)</f>
        <v>2015</v>
      </c>
      <c r="T40" s="39" t="n">
        <f aca="false">MY_PT(T$2,$A40)</f>
        <v>2015</v>
      </c>
      <c r="U40" s="39" t="n">
        <f aca="false">MY_PT(U$2,$A40)</f>
        <v>2015</v>
      </c>
      <c r="V40" s="39" t="n">
        <f aca="false">MY_PT(V$2,$A40)</f>
        <v>2015</v>
      </c>
      <c r="W40" s="39" t="n">
        <f aca="false">MY_PT(W$2,$A40)</f>
        <v>2015</v>
      </c>
      <c r="X40" s="39" t="n">
        <f aca="false">MY_PT(X$2,$A40)</f>
        <v>2015</v>
      </c>
      <c r="Y40" s="39" t="n">
        <f aca="false">MY_PT(Y$2,$A40)</f>
        <v>2015</v>
      </c>
      <c r="Z40" s="39" t="n">
        <f aca="false">MY_PT(Z$2,$A40)</f>
        <v>2015</v>
      </c>
      <c r="AA40" s="39" t="n">
        <f aca="false">MY_PT(AA$2,$A40)</f>
        <v>2015</v>
      </c>
      <c r="AB40" s="39" t="n">
        <f aca="false">MY_PT(AB$2,$A40)</f>
        <v>2015</v>
      </c>
      <c r="AC40" s="39" t="n">
        <f aca="false">MY_PT(AC$2,$A40)</f>
        <v>2015</v>
      </c>
      <c r="AD40" s="39" t="n">
        <f aca="false">MY_PT(AD$2,$A40)</f>
        <v>2015</v>
      </c>
      <c r="AE40" s="39" t="n">
        <f aca="false">MY_PT(AE$2,$A40)</f>
        <v>2015</v>
      </c>
      <c r="AF40" s="39" t="n">
        <f aca="false">MY_PT(AF$2,$A40)</f>
        <v>2015</v>
      </c>
      <c r="AG40" s="39" t="n">
        <f aca="false">MY_PT(AG$2,$A40)</f>
        <v>2015</v>
      </c>
      <c r="AH40" s="39" t="n">
        <f aca="false">MY_PT(AH$2,$A40)</f>
        <v>2015</v>
      </c>
      <c r="AI40" s="39" t="n">
        <f aca="false">MY_PT(AI$2,$A40)</f>
        <v>2015</v>
      </c>
      <c r="AJ40" s="39" t="n">
        <f aca="false">MY_PT(AJ$2,$A40)</f>
        <v>2015</v>
      </c>
      <c r="AK40" s="39" t="n">
        <f aca="false">MY_PT(AK$2,$A40)</f>
        <v>2015</v>
      </c>
      <c r="AL40" s="39" t="n">
        <f aca="false">MY_PT(AL$2,$A40)</f>
        <v>2015</v>
      </c>
      <c r="AM40" s="39" t="n">
        <f aca="false">MY_PT(AM$2,$A40)</f>
        <v>2015</v>
      </c>
      <c r="AN40" s="39" t="n">
        <f aca="false">MY_PT(AN$2,$A40)</f>
        <v>2015</v>
      </c>
      <c r="AO40" s="39" t="n">
        <f aca="false">MY_PT(AO$2,$A40)</f>
        <v>2015</v>
      </c>
      <c r="AP40" s="39" t="n">
        <f aca="false">MY_PT(AP$2,$A40)</f>
        <v>2015</v>
      </c>
      <c r="AQ40" s="39" t="n">
        <f aca="false">MY_PT(AQ$2,$A40)</f>
        <v>2015</v>
      </c>
      <c r="AR40" s="39" t="n">
        <f aca="false">MY_PT(AR$2,$A40)</f>
        <v>2015</v>
      </c>
      <c r="AS40" s="39" t="n">
        <f aca="false">MY_PT(AS$2,$A40)</f>
        <v>2015</v>
      </c>
    </row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795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2019-02-24T16:18:44Z</dcterms:modified>
  <cp:revision>76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