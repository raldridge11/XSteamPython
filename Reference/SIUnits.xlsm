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Pr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MY_ALLREGIONS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<sst xmlns="http://schemas.openxmlformats.org/spreadsheetml/2006/main" count="525" uniqueCount="252">
  <si>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</si>
  <si>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</si>
  <si>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</si>
  <si>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</si>
  <si>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</si>
  <si>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</si>
  <si>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</si>
  <si>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</si>
  <si>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</si>
  <si>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</si>
  <si>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</si>
  <si>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</si>
  <si>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</si>
  <si>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</si>
  <si>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</si>
  <si>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</si>
  <si>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</si>
  <si>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</si>
  <si>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</si>
  <si>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</si>
  <si>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</si>
  <si>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</si>
  <si>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</si>
  <si>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</si>
  <si>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</si>
  <si>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</si>
  <si>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</si>
  <si>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</si>
  <si>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</si>
  <si>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</si>
  <si>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</si>
  <si>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</si>
  <si>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</si>
  <si>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</si>
  <si>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</si>
  <si>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</si>
  <si>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</si>
  <si>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</si>
  <si>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</si>
  <si>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</si>
  <si>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</si>
  <si>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</si>
  <si>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</si>
  <si>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2.63890, 500.0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</si>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</sst>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5" activeCellId="0" sqref="L5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2.8" hidden="false" customHeight="false" outlineLevel="0" collapsed="false">
      <c r="A3" s="4" t="s">
        <v>40</v>
      </c>
      <c r="L3" s="31" t="n">
        <v>1</v>
      </c>
      <c r="M3" s="4" t="n">
        <f aca="false">REGION_PH(L3,L4)</f>
        <v>4</v>
      </c>
      <c r="N3" s="4" t="n">
        <v>60000</v>
      </c>
      <c r="O3" s="4" t="n">
        <f aca="false">H_PT(N3,N5)</f>
        <v>166.614936306524</v>
      </c>
    </row>
    <row r="4" s="4" customFormat="true" ht="12.8" hidden="false" customHeight="false" outlineLevel="0" collapsed="false">
      <c r="A4" s="4" t="s">
        <v>41</v>
      </c>
      <c r="F4" s="6" t="s">
        <v>42</v>
      </c>
      <c r="L4" s="4" t="n">
        <v>1000</v>
      </c>
      <c r="M4" s="4" t="n">
        <f aca="false">MY_ALLREGIONS_PH(L3,L4)</f>
        <v>1.32809175893687E-005</v>
      </c>
      <c r="N4" s="4" t="n">
        <v>300</v>
      </c>
    </row>
    <row r="5" s="4" customFormat="true" ht="12.8" hidden="false" customHeight="false" outlineLevel="0" collapsed="false">
      <c r="A5" s="4" t="s">
        <v>4</v>
      </c>
      <c r="N5" s="4" t="n">
        <f aca="false">N4-273.15</f>
        <v>26.85</v>
      </c>
    </row>
    <row r="6" customFormat="false" ht="12.8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L6" s="3" t="s">
        <v>43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3" customFormat="true" ht="15" hidden="false" customHeight="false" outlineLevel="0" collapsed="false">
      <c r="A8" s="32" t="s">
        <v>9</v>
      </c>
      <c r="F8" s="34"/>
      <c r="G8" s="34"/>
    </row>
    <row r="9" s="4" customFormat="true" ht="12.75" hidden="false" customHeight="false" outlineLevel="1" collapsed="false">
      <c r="A9" s="5" t="s">
        <v>44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45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46</v>
      </c>
    </row>
    <row r="11" s="4" customFormat="true" ht="12.75" hidden="false" customHeight="false" outlineLevel="1" collapsed="false">
      <c r="A11" s="5" t="s">
        <v>47</v>
      </c>
      <c r="B11" s="3" t="n">
        <v>100</v>
      </c>
      <c r="C11" s="3" t="s">
        <v>12</v>
      </c>
      <c r="D11" s="3" t="n">
        <v>1</v>
      </c>
      <c r="E11" s="3" t="s">
        <v>48</v>
      </c>
      <c r="F11" s="5" t="n">
        <f aca="false">T_PS(B11,D11)</f>
        <v>73.7085942144087</v>
      </c>
      <c r="G11" s="5" t="s">
        <v>10</v>
      </c>
      <c r="H11" s="3" t="s">
        <v>49</v>
      </c>
    </row>
    <row r="12" s="4" customFormat="true" ht="12.75" hidden="false" customHeight="false" outlineLevel="1" collapsed="false">
      <c r="A12" s="5" t="s">
        <v>50</v>
      </c>
      <c r="B12" s="3" t="n">
        <v>100</v>
      </c>
      <c r="C12" s="3" t="s">
        <v>17</v>
      </c>
      <c r="D12" s="3" t="n">
        <v>0.2</v>
      </c>
      <c r="E12" s="3" t="s">
        <v>48</v>
      </c>
      <c r="F12" s="5" t="n">
        <f aca="false">T_HS(B12,D12)</f>
        <v>13.8493351118726</v>
      </c>
      <c r="G12" s="5" t="s">
        <v>10</v>
      </c>
      <c r="H12" s="3" t="s">
        <v>51</v>
      </c>
    </row>
    <row r="13" s="33" customFormat="true" ht="15" hidden="false" customHeight="false" outlineLevel="0" collapsed="false">
      <c r="A13" s="32" t="s">
        <v>11</v>
      </c>
      <c r="F13" s="34"/>
      <c r="G13" s="34"/>
    </row>
    <row r="14" s="4" customFormat="true" ht="12.75" hidden="false" customHeight="false" outlineLevel="1" collapsed="false">
      <c r="A14" s="5" t="s">
        <v>52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53</v>
      </c>
      <c r="H14" s="3" t="s">
        <v>13</v>
      </c>
    </row>
    <row r="15" s="4" customFormat="true" ht="12.75" hidden="false" customHeight="false" outlineLevel="1" collapsed="false">
      <c r="A15" s="5" t="s">
        <v>54</v>
      </c>
      <c r="B15" s="3" t="n">
        <v>84</v>
      </c>
      <c r="C15" s="3" t="s">
        <v>17</v>
      </c>
      <c r="D15" s="3" t="n">
        <v>0.296</v>
      </c>
      <c r="E15" s="3" t="s">
        <v>48</v>
      </c>
      <c r="F15" s="5" t="n">
        <f aca="false">P_HS(B15,D15)</f>
        <v>229.549826928091</v>
      </c>
      <c r="G15" s="5" t="s">
        <v>53</v>
      </c>
      <c r="H15" s="3" t="s">
        <v>55</v>
      </c>
    </row>
    <row r="16" s="4" customFormat="true" ht="12.75" hidden="false" customHeight="false" outlineLevel="1" collapsed="false">
      <c r="A16" s="5" t="s">
        <v>56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53</v>
      </c>
      <c r="H16" s="3" t="s">
        <v>57</v>
      </c>
    </row>
    <row r="17" s="33" customFormat="true" ht="15" hidden="false" customHeight="false" outlineLevel="0" collapsed="false">
      <c r="A17" s="32" t="s">
        <v>16</v>
      </c>
      <c r="F17" s="34"/>
      <c r="G17" s="34"/>
    </row>
    <row r="18" s="4" customFormat="true" ht="12.75" hidden="false" customHeight="false" outlineLevel="1" collapsed="false">
      <c r="A18" s="5" t="s">
        <v>58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59</v>
      </c>
    </row>
    <row r="19" s="4" customFormat="true" ht="12.75" hidden="false" customHeight="false" outlineLevel="1" collapsed="false">
      <c r="A19" s="5" t="s">
        <v>60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61</v>
      </c>
    </row>
    <row r="20" s="4" customFormat="true" ht="12.75" hidden="false" customHeight="false" outlineLevel="1" collapsed="false">
      <c r="A20" s="5" t="s">
        <v>62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59</v>
      </c>
    </row>
    <row r="21" s="4" customFormat="true" ht="12.75" hidden="false" customHeight="false" outlineLevel="1" collapsed="false">
      <c r="A21" s="5" t="s">
        <v>63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61</v>
      </c>
    </row>
    <row r="22" s="4" customFormat="true" ht="12.75" hidden="false" customHeight="false" outlineLevel="1" collapsed="false">
      <c r="A22" s="5" t="s">
        <v>64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65</v>
      </c>
    </row>
    <row r="23" s="4" customFormat="true" ht="12.75" hidden="false" customHeight="false" outlineLevel="1" collapsed="false">
      <c r="A23" s="5" t="s">
        <v>66</v>
      </c>
      <c r="B23" s="3" t="n">
        <v>100</v>
      </c>
      <c r="C23" s="3" t="s">
        <v>12</v>
      </c>
      <c r="D23" s="3" t="n">
        <v>1</v>
      </c>
      <c r="E23" s="3" t="s">
        <v>48</v>
      </c>
      <c r="F23" s="5" t="n">
        <f aca="false">H_PS(B23,D23)</f>
        <v>308.610717082946</v>
      </c>
      <c r="G23" s="5" t="s">
        <v>17</v>
      </c>
      <c r="H23" s="3" t="s">
        <v>67</v>
      </c>
    </row>
    <row r="24" s="4" customFormat="true" ht="12.75" hidden="false" customHeight="false" outlineLevel="1" collapsed="false">
      <c r="A24" s="5" t="s">
        <v>68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69</v>
      </c>
    </row>
    <row r="25" s="4" customFormat="true" ht="12.75" hidden="false" customHeight="false" outlineLevel="1" collapsed="false">
      <c r="A25" s="5" t="s">
        <v>70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71</v>
      </c>
    </row>
    <row r="26" s="4" customFormat="true" ht="12.75" hidden="false" customHeight="false" outlineLevel="1" collapsed="false">
      <c r="A26" s="5" t="s">
        <v>72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73</v>
      </c>
    </row>
    <row r="27" s="33" customFormat="true" ht="15" hidden="false" customHeight="false" outlineLevel="0" collapsed="false">
      <c r="A27" s="32" t="s">
        <v>74</v>
      </c>
      <c r="F27" s="34"/>
      <c r="G27" s="34"/>
    </row>
    <row r="28" s="4" customFormat="true" ht="12.75" hidden="false" customHeight="false" outlineLevel="1" collapsed="false">
      <c r="A28" s="5" t="s">
        <v>75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76</v>
      </c>
      <c r="H28" s="3" t="s">
        <v>77</v>
      </c>
    </row>
    <row r="29" s="4" customFormat="true" ht="12.75" hidden="false" customHeight="false" outlineLevel="1" collapsed="false">
      <c r="A29" s="5" t="s">
        <v>78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76</v>
      </c>
      <c r="H29" s="3" t="s">
        <v>79</v>
      </c>
    </row>
    <row r="30" s="4" customFormat="true" ht="12.75" hidden="false" customHeight="false" outlineLevel="1" collapsed="false">
      <c r="A30" s="5" t="s">
        <v>80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76</v>
      </c>
      <c r="H30" s="3" t="s">
        <v>77</v>
      </c>
    </row>
    <row r="31" s="4" customFormat="true" ht="12.75" hidden="false" customHeight="false" outlineLevel="1" collapsed="false">
      <c r="A31" s="5" t="s">
        <v>81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76</v>
      </c>
      <c r="H31" s="3" t="s">
        <v>79</v>
      </c>
    </row>
    <row r="32" s="4" customFormat="true" ht="12.75" hidden="false" customHeight="false" outlineLevel="1" collapsed="false">
      <c r="A32" s="5" t="s">
        <v>82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76</v>
      </c>
      <c r="H32" s="3" t="s">
        <v>83</v>
      </c>
    </row>
    <row r="33" s="4" customFormat="true" ht="12.75" hidden="false" customHeight="false" outlineLevel="1" collapsed="false">
      <c r="A33" s="5" t="s">
        <v>84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76</v>
      </c>
      <c r="H33" s="3" t="s">
        <v>85</v>
      </c>
    </row>
    <row r="34" s="4" customFormat="true" ht="12.75" hidden="false" customHeight="false" outlineLevel="1" collapsed="false">
      <c r="A34" s="5" t="s">
        <v>86</v>
      </c>
      <c r="B34" s="3" t="n">
        <v>100</v>
      </c>
      <c r="C34" s="3" t="s">
        <v>12</v>
      </c>
      <c r="D34" s="3" t="n">
        <v>5</v>
      </c>
      <c r="E34" s="3" t="s">
        <v>48</v>
      </c>
      <c r="F34" s="5" t="n">
        <f aca="false">V_PS(B34,D34)</f>
        <v>1.03463539018629</v>
      </c>
      <c r="G34" s="5" t="s">
        <v>76</v>
      </c>
      <c r="H34" s="3" t="s">
        <v>87</v>
      </c>
    </row>
    <row r="35" s="33" customFormat="true" ht="15" hidden="false" customHeight="false" outlineLevel="0" collapsed="false">
      <c r="A35" s="32" t="s">
        <v>18</v>
      </c>
      <c r="F35" s="34"/>
      <c r="G35" s="34"/>
    </row>
    <row r="36" s="4" customFormat="true" ht="12.75" hidden="false" customHeight="false" outlineLevel="1" collapsed="false">
      <c r="A36" s="5" t="s">
        <v>88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89</v>
      </c>
    </row>
    <row r="37" s="4" customFormat="true" ht="12.75" hidden="false" customHeight="false" outlineLevel="1" collapsed="false">
      <c r="A37" s="5" t="s">
        <v>90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91</v>
      </c>
    </row>
    <row r="38" s="4" customFormat="true" ht="12.75" hidden="false" customHeight="false" outlineLevel="1" collapsed="false">
      <c r="A38" s="5" t="s">
        <v>92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89</v>
      </c>
    </row>
    <row r="39" s="4" customFormat="true" ht="12.75" hidden="false" customHeight="false" outlineLevel="1" collapsed="false">
      <c r="A39" s="5" t="s">
        <v>93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91</v>
      </c>
    </row>
    <row r="40" s="4" customFormat="true" ht="12.75" hidden="false" customHeight="false" outlineLevel="1" collapsed="false">
      <c r="A40" s="5" t="s">
        <v>94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95</v>
      </c>
    </row>
    <row r="41" s="4" customFormat="true" ht="12.75" hidden="false" customHeight="false" outlineLevel="1" collapsed="false">
      <c r="A41" s="5" t="s">
        <v>96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97</v>
      </c>
    </row>
    <row r="42" s="4" customFormat="true" ht="12.75" hidden="false" customHeight="false" outlineLevel="1" collapsed="false">
      <c r="A42" s="5" t="s">
        <v>98</v>
      </c>
      <c r="B42" s="3" t="n">
        <v>100</v>
      </c>
      <c r="C42" s="3" t="s">
        <v>12</v>
      </c>
      <c r="D42" s="3" t="n">
        <v>1</v>
      </c>
      <c r="E42" s="3" t="s">
        <v>48</v>
      </c>
      <c r="F42" s="5" t="n">
        <f aca="false">RHO_PS(B42,D42)</f>
        <v>975.623678848232</v>
      </c>
      <c r="G42" s="5" t="s">
        <v>19</v>
      </c>
      <c r="H42" s="3" t="s">
        <v>99</v>
      </c>
    </row>
    <row r="43" s="33" customFormat="true" ht="15" hidden="false" customHeight="false" outlineLevel="0" collapsed="false">
      <c r="A43" s="32" t="s">
        <v>100</v>
      </c>
      <c r="F43" s="34"/>
      <c r="G43" s="34"/>
    </row>
    <row r="44" s="4" customFormat="true" ht="12.75" hidden="false" customHeight="false" outlineLevel="1" collapsed="false">
      <c r="A44" s="5" t="s">
        <v>101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48</v>
      </c>
      <c r="H44" s="3" t="s">
        <v>102</v>
      </c>
    </row>
    <row r="45" s="4" customFormat="true" ht="12.75" hidden="false" customHeight="false" outlineLevel="1" collapsed="false">
      <c r="A45" s="5" t="s">
        <v>103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48</v>
      </c>
      <c r="H45" s="3" t="s">
        <v>104</v>
      </c>
    </row>
    <row r="46" s="4" customFormat="true" ht="12.75" hidden="false" customHeight="false" outlineLevel="1" collapsed="false">
      <c r="A46" s="5" t="s">
        <v>105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48</v>
      </c>
      <c r="H46" s="3" t="s">
        <v>102</v>
      </c>
    </row>
    <row r="47" s="4" customFormat="true" ht="12.75" hidden="false" customHeight="false" outlineLevel="1" collapsed="false">
      <c r="A47" s="5" t="s">
        <v>106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48</v>
      </c>
      <c r="H47" s="3" t="s">
        <v>104</v>
      </c>
    </row>
    <row r="48" s="4" customFormat="true" ht="12.75" hidden="false" customHeight="false" outlineLevel="1" collapsed="false">
      <c r="A48" s="5" t="s">
        <v>107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48</v>
      </c>
      <c r="H48" s="3" t="s">
        <v>108</v>
      </c>
    </row>
    <row r="49" s="4" customFormat="true" ht="12.75" hidden="false" customHeight="false" outlineLevel="1" collapsed="false">
      <c r="A49" s="5" t="s">
        <v>109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48</v>
      </c>
      <c r="H49" s="3" t="s">
        <v>110</v>
      </c>
    </row>
    <row r="50" s="33" customFormat="true" ht="15" hidden="false" customHeight="false" outlineLevel="0" collapsed="false">
      <c r="A50" s="32" t="s">
        <v>111</v>
      </c>
      <c r="F50" s="34"/>
      <c r="G50" s="34"/>
    </row>
    <row r="51" s="4" customFormat="true" ht="12.75" hidden="false" customHeight="false" outlineLevel="1" collapsed="false">
      <c r="A51" s="5" t="s">
        <v>112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113</v>
      </c>
    </row>
    <row r="52" s="4" customFormat="true" ht="12.75" hidden="false" customHeight="false" outlineLevel="1" collapsed="false">
      <c r="A52" s="5" t="s">
        <v>114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115</v>
      </c>
    </row>
    <row r="53" s="4" customFormat="true" ht="12.75" hidden="false" customHeight="false" outlineLevel="1" collapsed="false">
      <c r="A53" s="5" t="s">
        <v>116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113</v>
      </c>
    </row>
    <row r="54" s="4" customFormat="true" ht="12.75" hidden="false" customHeight="false" outlineLevel="1" collapsed="false">
      <c r="A54" s="5" t="s">
        <v>117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115</v>
      </c>
    </row>
    <row r="55" s="4" customFormat="true" ht="12.75" hidden="false" customHeight="false" outlineLevel="1" collapsed="false">
      <c r="A55" s="5" t="s">
        <v>118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119</v>
      </c>
    </row>
    <row r="56" s="4" customFormat="true" ht="12.75" hidden="false" customHeight="false" outlineLevel="1" collapsed="false">
      <c r="A56" s="5" t="s">
        <v>120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121</v>
      </c>
    </row>
    <row r="57" s="4" customFormat="true" ht="12.75" hidden="false" customHeight="false" outlineLevel="1" collapsed="false">
      <c r="A57" s="5" t="s">
        <v>122</v>
      </c>
      <c r="B57" s="3" t="n">
        <v>100</v>
      </c>
      <c r="C57" s="3" t="s">
        <v>12</v>
      </c>
      <c r="D57" s="3" t="n">
        <v>1</v>
      </c>
      <c r="E57" s="3" t="s">
        <v>48</v>
      </c>
      <c r="F57" s="5" t="n">
        <f aca="false">U_PS(B57,D57)</f>
        <v>308.508218545684</v>
      </c>
      <c r="G57" s="5" t="s">
        <v>17</v>
      </c>
      <c r="H57" s="3" t="s">
        <v>123</v>
      </c>
    </row>
    <row r="58" s="33" customFormat="true" ht="15" hidden="false" customHeight="false" outlineLevel="0" collapsed="false">
      <c r="A58" s="32" t="s">
        <v>124</v>
      </c>
      <c r="F58" s="34"/>
      <c r="G58" s="34"/>
    </row>
    <row r="59" s="4" customFormat="true" ht="12.75" hidden="false" customHeight="false" outlineLevel="1" collapsed="false">
      <c r="A59" s="5" t="s">
        <v>125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126</v>
      </c>
      <c r="H59" s="3" t="s">
        <v>127</v>
      </c>
    </row>
    <row r="60" s="4" customFormat="true" ht="12.75" hidden="false" customHeight="false" outlineLevel="1" collapsed="false">
      <c r="A60" s="5" t="s">
        <v>128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126</v>
      </c>
      <c r="H60" s="3" t="s">
        <v>129</v>
      </c>
    </row>
    <row r="61" s="4" customFormat="true" ht="12.75" hidden="false" customHeight="false" outlineLevel="1" collapsed="false">
      <c r="A61" s="5" t="s">
        <v>130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126</v>
      </c>
      <c r="H61" s="3" t="s">
        <v>127</v>
      </c>
    </row>
    <row r="62" s="4" customFormat="true" ht="12.75" hidden="false" customHeight="false" outlineLevel="1" collapsed="false">
      <c r="A62" s="5" t="s">
        <v>131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126</v>
      </c>
      <c r="H62" s="3" t="s">
        <v>129</v>
      </c>
    </row>
    <row r="63" s="4" customFormat="true" ht="12.75" hidden="false" customHeight="false" outlineLevel="1" collapsed="false">
      <c r="A63" s="5" t="s">
        <v>132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126</v>
      </c>
      <c r="H63" s="3" t="s">
        <v>133</v>
      </c>
    </row>
    <row r="64" s="4" customFormat="true" ht="12.75" hidden="false" customHeight="false" outlineLevel="1" collapsed="false">
      <c r="A64" s="5" t="s">
        <v>134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126</v>
      </c>
      <c r="H64" s="3" t="s">
        <v>135</v>
      </c>
    </row>
    <row r="65" s="4" customFormat="true" ht="12.75" hidden="false" customHeight="false" outlineLevel="1" collapsed="false">
      <c r="A65" s="5" t="s">
        <v>136</v>
      </c>
      <c r="B65" s="3" t="n">
        <v>100</v>
      </c>
      <c r="C65" s="3" t="s">
        <v>12</v>
      </c>
      <c r="D65" s="3" t="n">
        <v>1</v>
      </c>
      <c r="E65" s="3" t="s">
        <v>48</v>
      </c>
      <c r="F65" s="5" t="n">
        <f aca="false">CP_PS(B65,D65)</f>
        <v>4.19060703790129</v>
      </c>
      <c r="G65" s="5" t="s">
        <v>126</v>
      </c>
      <c r="H65" s="3" t="s">
        <v>137</v>
      </c>
    </row>
    <row r="66" s="33" customFormat="true" ht="15" hidden="false" customHeight="false" outlineLevel="0" collapsed="false">
      <c r="A66" s="32" t="s">
        <v>138</v>
      </c>
      <c r="F66" s="34"/>
      <c r="G66" s="34"/>
    </row>
    <row r="67" s="4" customFormat="true" ht="12.75" hidden="false" customHeight="false" outlineLevel="1" collapsed="false">
      <c r="A67" s="5" t="s">
        <v>139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126</v>
      </c>
      <c r="H67" s="3" t="s">
        <v>140</v>
      </c>
    </row>
    <row r="68" s="4" customFormat="true" ht="12.75" hidden="false" customHeight="false" outlineLevel="1" collapsed="false">
      <c r="A68" s="5" t="s">
        <v>141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126</v>
      </c>
      <c r="H68" s="3" t="s">
        <v>142</v>
      </c>
    </row>
    <row r="69" s="4" customFormat="true" ht="12.75" hidden="false" customHeight="false" outlineLevel="1" collapsed="false">
      <c r="A69" s="5" t="s">
        <v>143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126</v>
      </c>
      <c r="H69" s="3" t="s">
        <v>140</v>
      </c>
    </row>
    <row r="70" s="4" customFormat="true" ht="12.75" hidden="false" customHeight="false" outlineLevel="1" collapsed="false">
      <c r="A70" s="5" t="s">
        <v>144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126</v>
      </c>
      <c r="H70" s="3" t="s">
        <v>142</v>
      </c>
    </row>
    <row r="71" s="4" customFormat="true" ht="12.75" hidden="false" customHeight="false" outlineLevel="1" collapsed="false">
      <c r="A71" s="5" t="s">
        <v>145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126</v>
      </c>
      <c r="H71" s="3" t="s">
        <v>146</v>
      </c>
    </row>
    <row r="72" s="4" customFormat="true" ht="12.75" hidden="false" customHeight="false" outlineLevel="1" collapsed="false">
      <c r="A72" s="5" t="s">
        <v>147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126</v>
      </c>
      <c r="H72" s="3" t="s">
        <v>148</v>
      </c>
    </row>
    <row r="73" s="4" customFormat="true" ht="12.75" hidden="false" customHeight="false" outlineLevel="1" collapsed="false">
      <c r="A73" s="5" t="s">
        <v>149</v>
      </c>
      <c r="B73" s="3" t="n">
        <v>100</v>
      </c>
      <c r="C73" s="3" t="s">
        <v>12</v>
      </c>
      <c r="D73" s="3" t="n">
        <v>1</v>
      </c>
      <c r="E73" s="3" t="s">
        <v>48</v>
      </c>
      <c r="F73" s="5" t="n">
        <f aca="false">CV_PS(B73,D73)</f>
        <v>3.90291946811366</v>
      </c>
      <c r="G73" s="5" t="s">
        <v>126</v>
      </c>
      <c r="H73" s="3" t="s">
        <v>150</v>
      </c>
    </row>
    <row r="74" s="33" customFormat="true" ht="15" hidden="false" customHeight="false" outlineLevel="0" collapsed="false">
      <c r="A74" s="32" t="s">
        <v>151</v>
      </c>
      <c r="F74" s="34"/>
      <c r="G74" s="34"/>
    </row>
    <row r="75" s="4" customFormat="true" ht="12.75" hidden="false" customHeight="false" outlineLevel="1" collapsed="false">
      <c r="A75" s="5" t="s">
        <v>152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153</v>
      </c>
    </row>
    <row r="76" s="4" customFormat="true" ht="12.75" hidden="false" customHeight="false" outlineLevel="1" collapsed="false">
      <c r="A76" s="5" t="s">
        <v>154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155</v>
      </c>
    </row>
    <row r="77" s="4" customFormat="true" ht="12.75" hidden="false" customHeight="false" outlineLevel="1" collapsed="false">
      <c r="A77" s="5" t="s">
        <v>156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153</v>
      </c>
    </row>
    <row r="78" s="4" customFormat="true" ht="12.75" hidden="false" customHeight="false" outlineLevel="1" collapsed="false">
      <c r="A78" s="5" t="s">
        <v>157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155</v>
      </c>
    </row>
    <row r="79" s="4" customFormat="true" ht="12.75" hidden="false" customHeight="false" outlineLevel="1" collapsed="false">
      <c r="A79" s="5" t="s">
        <v>158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159</v>
      </c>
    </row>
    <row r="80" s="4" customFormat="true" ht="12.75" hidden="false" customHeight="false" outlineLevel="1" collapsed="false">
      <c r="A80" s="5" t="s">
        <v>160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161</v>
      </c>
    </row>
    <row r="81" s="4" customFormat="true" ht="12.75" hidden="false" customHeight="false" outlineLevel="1" collapsed="false">
      <c r="A81" s="5" t="s">
        <v>162</v>
      </c>
      <c r="B81" s="3" t="n">
        <v>100</v>
      </c>
      <c r="C81" s="3" t="s">
        <v>12</v>
      </c>
      <c r="D81" s="3" t="n">
        <v>1</v>
      </c>
      <c r="E81" s="3" t="s">
        <v>48</v>
      </c>
      <c r="F81" s="5" t="n">
        <f aca="false">W_PS(B81,D81)</f>
        <v>1557.85853553222</v>
      </c>
      <c r="G81" s="5" t="s">
        <v>36</v>
      </c>
      <c r="H81" s="3" t="s">
        <v>163</v>
      </c>
    </row>
    <row r="82" s="33" customFormat="true" ht="15" hidden="false" customHeight="false" outlineLevel="0" collapsed="false">
      <c r="A82" s="32" t="s">
        <v>164</v>
      </c>
      <c r="F82" s="34"/>
      <c r="G82" s="34"/>
    </row>
    <row r="83" s="4" customFormat="true" ht="11.25" hidden="false" customHeight="false" outlineLevel="1" collapsed="false">
      <c r="A83" s="4" t="s">
        <v>165</v>
      </c>
      <c r="F83" s="30"/>
      <c r="G83" s="30"/>
    </row>
    <row r="84" s="4" customFormat="true" ht="11.25" hidden="false" customHeight="false" outlineLevel="1" collapsed="false">
      <c r="A84" s="4" t="s">
        <v>166</v>
      </c>
      <c r="F84" s="30"/>
      <c r="G84" s="30"/>
    </row>
    <row r="85" s="4" customFormat="true" ht="12.75" hidden="false" customHeight="false" outlineLevel="1" collapsed="false">
      <c r="A85" s="5" t="s">
        <v>167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168</v>
      </c>
      <c r="H85" s="3" t="s">
        <v>169</v>
      </c>
    </row>
    <row r="86" s="4" customFormat="true" ht="12.75" hidden="false" customHeight="false" outlineLevel="1" collapsed="false">
      <c r="A86" s="5" t="s">
        <v>170</v>
      </c>
      <c r="B86" s="3" t="n">
        <v>100</v>
      </c>
      <c r="C86" s="3" t="s">
        <v>12</v>
      </c>
      <c r="D86" s="3" t="n">
        <v>100</v>
      </c>
      <c r="E86" s="3" t="s">
        <v>17</v>
      </c>
      <c r="F86" s="35" t="n">
        <f aca="false">MY_PH(B86,D86)</f>
        <v>0.000914003770302112</v>
      </c>
      <c r="G86" s="5" t="s">
        <v>168</v>
      </c>
      <c r="H86" s="3" t="s">
        <v>171</v>
      </c>
    </row>
    <row r="87" s="4" customFormat="true" ht="12.75" hidden="false" customHeight="false" outlineLevel="1" collapsed="false">
      <c r="A87" s="5" t="s">
        <v>172</v>
      </c>
      <c r="B87" s="3" t="n">
        <v>100</v>
      </c>
      <c r="C87" s="3" t="s">
        <v>12</v>
      </c>
      <c r="D87" s="3" t="n">
        <v>1</v>
      </c>
      <c r="E87" s="3" t="s">
        <v>48</v>
      </c>
      <c r="F87" s="35" t="n">
        <f aca="false">MY_PS(B87,D87)</f>
        <v>0.000384221865647568</v>
      </c>
      <c r="G87" s="5" t="s">
        <v>168</v>
      </c>
      <c r="H87" s="3" t="s">
        <v>173</v>
      </c>
    </row>
    <row r="88" customFormat="false" ht="18" hidden="false" customHeight="false" outlineLevel="0" collapsed="false">
      <c r="A88" s="2" t="s">
        <v>174</v>
      </c>
      <c r="F88" s="35"/>
      <c r="H88" s="36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175</v>
      </c>
      <c r="F89" s="35"/>
      <c r="H89" s="36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176</v>
      </c>
      <c r="B90" s="3" t="n">
        <v>100</v>
      </c>
      <c r="C90" s="3" t="s">
        <v>12</v>
      </c>
      <c r="D90" s="1" t="n">
        <v>200</v>
      </c>
      <c r="E90" s="1" t="s">
        <v>10</v>
      </c>
      <c r="F90" s="35" t="n">
        <f aca="false">PR_PT(B90,D90)</f>
        <v>0.957808214385887</v>
      </c>
      <c r="G90" s="5" t="s">
        <v>177</v>
      </c>
      <c r="H90" s="36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178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5" t="n">
        <f aca="false">PR_PH(B91,D91)</f>
        <v>0.957808261483562</v>
      </c>
      <c r="G91" s="5" t="s">
        <v>177</v>
      </c>
      <c r="H91" s="36"/>
      <c r="I91" s="9"/>
      <c r="J91" s="9"/>
      <c r="K91" s="9"/>
      <c r="L91" s="9"/>
      <c r="M91" s="9"/>
    </row>
    <row r="92" s="33" customFormat="true" ht="15" hidden="false" customHeight="false" outlineLevel="0" collapsed="false">
      <c r="A92" s="32" t="s">
        <v>179</v>
      </c>
      <c r="F92" s="34"/>
      <c r="G92" s="34"/>
      <c r="H92" s="37"/>
      <c r="I92" s="37"/>
      <c r="J92" s="37"/>
      <c r="K92" s="37"/>
      <c r="L92" s="37"/>
      <c r="M92" s="37"/>
    </row>
    <row r="93" s="4" customFormat="true" ht="11.25" hidden="false" customHeight="false" outlineLevel="1" collapsed="false">
      <c r="A93" s="4" t="s">
        <v>180</v>
      </c>
      <c r="F93" s="30"/>
      <c r="G93" s="30"/>
    </row>
    <row r="94" s="4" customFormat="true" ht="12.75" hidden="false" customHeight="false" outlineLevel="1" collapsed="false">
      <c r="A94" s="5" t="s">
        <v>181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182</v>
      </c>
      <c r="H94" s="3" t="s">
        <v>183</v>
      </c>
    </row>
    <row r="95" s="4" customFormat="true" ht="12.75" hidden="false" customHeight="false" outlineLevel="1" collapsed="false">
      <c r="A95" s="5" t="s">
        <v>184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182</v>
      </c>
      <c r="H95" s="3" t="s">
        <v>185</v>
      </c>
    </row>
    <row r="96" s="4" customFormat="true" ht="12.75" hidden="false" customHeight="false" outlineLevel="1" collapsed="false">
      <c r="A96" s="5" t="s">
        <v>186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182</v>
      </c>
      <c r="H96" s="3" t="s">
        <v>183</v>
      </c>
    </row>
    <row r="97" s="4" customFormat="true" ht="12.75" hidden="false" customHeight="false" outlineLevel="1" collapsed="false">
      <c r="A97" s="5" t="s">
        <v>187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182</v>
      </c>
      <c r="H97" s="3" t="s">
        <v>185</v>
      </c>
    </row>
    <row r="98" s="4" customFormat="true" ht="12.75" hidden="false" customHeight="false" outlineLevel="1" collapsed="false">
      <c r="A98" s="5" t="s">
        <v>188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182</v>
      </c>
      <c r="H98" s="3" t="s">
        <v>189</v>
      </c>
    </row>
    <row r="99" s="4" customFormat="true" ht="12.75" hidden="false" customHeight="false" outlineLevel="1" collapsed="false">
      <c r="A99" s="5" t="s">
        <v>190</v>
      </c>
      <c r="B99" s="3" t="n">
        <v>100</v>
      </c>
      <c r="C99" s="3" t="s">
        <v>12</v>
      </c>
      <c r="D99" s="3" t="n">
        <v>100</v>
      </c>
      <c r="E99" s="3" t="s">
        <v>48</v>
      </c>
      <c r="F99" s="5" t="n">
        <f aca="false">TC_PH(B99,D99)</f>
        <v>0.605710062456013</v>
      </c>
      <c r="G99" s="5" t="s">
        <v>182</v>
      </c>
      <c r="H99" s="3" t="s">
        <v>191</v>
      </c>
    </row>
    <row r="100" s="4" customFormat="true" ht="12.75" hidden="false" customHeight="false" outlineLevel="1" collapsed="false">
      <c r="A100" s="5" t="s">
        <v>192</v>
      </c>
      <c r="B100" s="3" t="n">
        <v>100</v>
      </c>
      <c r="C100" s="3" t="s">
        <v>48</v>
      </c>
      <c r="D100" s="3" t="n">
        <v>0.34</v>
      </c>
      <c r="E100" s="3" t="s">
        <v>48</v>
      </c>
      <c r="F100" s="5" t="n">
        <f aca="false">TC_HS(B100,D100)</f>
        <v>0.606283123848912</v>
      </c>
      <c r="G100" s="5" t="s">
        <v>182</v>
      </c>
      <c r="H100" s="3" t="s">
        <v>193</v>
      </c>
    </row>
    <row r="101" s="4" customFormat="true" ht="15" hidden="false" customHeight="false" outlineLevel="0" collapsed="false">
      <c r="A101" s="32" t="s">
        <v>194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195</v>
      </c>
      <c r="F102" s="30"/>
      <c r="G102" s="30"/>
    </row>
    <row r="103" s="4" customFormat="true" ht="12.75" hidden="false" customHeight="false" outlineLevel="1" collapsed="false">
      <c r="A103" s="5" t="s">
        <v>196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197</v>
      </c>
      <c r="H103" s="3" t="s">
        <v>198</v>
      </c>
    </row>
    <row r="104" s="4" customFormat="true" ht="12.75" hidden="false" customHeight="false" outlineLevel="1" collapsed="false">
      <c r="A104" s="5" t="s">
        <v>199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197</v>
      </c>
      <c r="H104" s="3" t="s">
        <v>198</v>
      </c>
    </row>
    <row r="105" s="33" customFormat="true" ht="15" hidden="false" customHeight="false" outlineLevel="0" collapsed="false">
      <c r="A105" s="32" t="s">
        <v>30</v>
      </c>
      <c r="F105" s="34"/>
      <c r="G105" s="34"/>
    </row>
    <row r="106" s="4" customFormat="true" ht="12.75" hidden="false" customHeight="false" outlineLevel="1" collapsed="false">
      <c r="A106" s="5" t="s">
        <v>200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201</v>
      </c>
    </row>
    <row r="107" s="4" customFormat="true" ht="12.75" hidden="false" customHeight="false" outlineLevel="1" collapsed="false">
      <c r="A107" s="5" t="s">
        <v>202</v>
      </c>
      <c r="B107" s="3" t="n">
        <v>100</v>
      </c>
      <c r="C107" s="3" t="s">
        <v>12</v>
      </c>
      <c r="D107" s="3" t="n">
        <v>4</v>
      </c>
      <c r="E107" s="3" t="s">
        <v>48</v>
      </c>
      <c r="F107" s="5" t="n">
        <f aca="false">X_PS(B107,D107)</f>
        <v>0.44539796073232</v>
      </c>
      <c r="G107" s="5"/>
      <c r="H107" s="3" t="s">
        <v>203</v>
      </c>
    </row>
    <row r="108" s="33" customFormat="true" ht="15" hidden="false" customHeight="false" outlineLevel="0" collapsed="false">
      <c r="A108" s="32" t="s">
        <v>204</v>
      </c>
      <c r="F108" s="34"/>
      <c r="G108" s="34"/>
    </row>
    <row r="109" s="4" customFormat="true" ht="11.25" hidden="false" customHeight="false" outlineLevel="1" collapsed="false">
      <c r="A109" s="4" t="s">
        <v>205</v>
      </c>
      <c r="F109" s="30"/>
      <c r="G109" s="30"/>
    </row>
    <row r="110" s="4" customFormat="true" ht="11.25" hidden="false" customHeight="false" outlineLevel="1" collapsed="false">
      <c r="A110" s="4" t="s">
        <v>206</v>
      </c>
      <c r="F110" s="30"/>
      <c r="G110" s="30"/>
    </row>
    <row r="111" s="4" customFormat="true" ht="12.75" hidden="false" customHeight="false" outlineLevel="1" collapsed="false">
      <c r="A111" s="5" t="s">
        <v>207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8" t="n">
        <f aca="false">VX_PH(B111,D111)</f>
        <v>0.288493093437067</v>
      </c>
      <c r="G111" s="5"/>
      <c r="H111" s="3" t="s">
        <v>208</v>
      </c>
    </row>
    <row r="112" s="4" customFormat="true" ht="12.75" hidden="false" customHeight="false" outlineLevel="1" collapsed="false">
      <c r="A112" s="5" t="s">
        <v>209</v>
      </c>
      <c r="B112" s="3" t="n">
        <v>100</v>
      </c>
      <c r="C112" s="3" t="s">
        <v>12</v>
      </c>
      <c r="D112" s="3" t="n">
        <v>4</v>
      </c>
      <c r="E112" s="3" t="s">
        <v>48</v>
      </c>
      <c r="F112" s="38" t="n">
        <f aca="false">VX_PS(B112,D112)</f>
        <v>0.99923382663888</v>
      </c>
      <c r="G112" s="5"/>
      <c r="H112" s="3" t="s">
        <v>210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2" t="s">
        <v>211</v>
      </c>
    </row>
    <row r="115" customFormat="false" ht="12.75" hidden="false" customHeight="false" outlineLevel="0" collapsed="false">
      <c r="A115" s="30" t="s">
        <v>212</v>
      </c>
    </row>
    <row r="116" customFormat="false" ht="12.75" hidden="false" customHeight="false" outlineLevel="0" collapsed="false">
      <c r="A116" s="4" t="s">
        <v>213</v>
      </c>
    </row>
    <row r="117" customFormat="false" ht="12.75" hidden="false" customHeight="false" outlineLevel="0" collapsed="false">
      <c r="A117" s="4" t="s">
        <v>214</v>
      </c>
    </row>
    <row r="118" customFormat="false" ht="12.75" hidden="false" customHeight="false" outlineLevel="0" collapsed="false">
      <c r="A118" s="4" t="s">
        <v>215</v>
      </c>
    </row>
    <row r="119" customFormat="false" ht="12.75" hidden="false" customHeight="false" outlineLevel="0" collapsed="false">
      <c r="A119" s="30" t="s">
        <v>216</v>
      </c>
    </row>
    <row r="120" customFormat="false" ht="12.75" hidden="false" customHeight="false" outlineLevel="0" collapsed="false">
      <c r="A120" s="4" t="s">
        <v>217</v>
      </c>
    </row>
    <row r="121" customFormat="false" ht="12.75" hidden="false" customHeight="false" outlineLevel="0" collapsed="false">
      <c r="A121" s="30" t="s">
        <v>218</v>
      </c>
    </row>
    <row r="122" customFormat="false" ht="12.75" hidden="false" customHeight="false" outlineLevel="0" collapsed="false">
      <c r="A122" s="4" t="s">
        <v>219</v>
      </c>
    </row>
    <row r="123" customFormat="false" ht="12.75" hidden="false" customHeight="false" outlineLevel="0" collapsed="false">
      <c r="A123" s="4" t="s">
        <v>220</v>
      </c>
    </row>
    <row r="124" customFormat="false" ht="10.9" hidden="false" customHeight="true" outlineLevel="0" collapsed="false">
      <c r="A124" s="4" t="s">
        <v>221</v>
      </c>
    </row>
    <row r="125" customFormat="false" ht="11.45" hidden="false" customHeight="true" outlineLevel="0" collapsed="false">
      <c r="A125" s="4" t="s">
        <v>222</v>
      </c>
    </row>
    <row r="126" customFormat="false" ht="11.45" hidden="false" customHeight="true" outlineLevel="0" collapsed="false">
      <c r="A126" s="30" t="s">
        <v>223</v>
      </c>
    </row>
    <row r="127" customFormat="false" ht="12.75" hidden="false" customHeight="false" outlineLevel="0" collapsed="false">
      <c r="A127" s="4" t="s">
        <v>224</v>
      </c>
    </row>
    <row r="128" customFormat="false" ht="12.75" hidden="false" customHeight="false" outlineLevel="0" collapsed="false">
      <c r="A128" s="4" t="s">
        <v>225</v>
      </c>
    </row>
    <row r="129" customFormat="false" ht="12.75" hidden="false" customHeight="false" outlineLevel="0" collapsed="false">
      <c r="A129" s="4" t="s">
        <v>226</v>
      </c>
    </row>
    <row r="130" customFormat="false" ht="12.75" hidden="false" customHeight="false" outlineLevel="0" collapsed="false">
      <c r="A130" s="4" t="s">
        <v>227</v>
      </c>
    </row>
    <row r="131" customFormat="false" ht="12.75" hidden="false" customHeight="false" outlineLevel="0" collapsed="false">
      <c r="A131" s="4" t="s">
        <v>228</v>
      </c>
    </row>
    <row r="132" customFormat="false" ht="12.75" hidden="false" customHeight="false" outlineLevel="0" collapsed="false">
      <c r="A132" s="30" t="s">
        <v>229</v>
      </c>
    </row>
    <row r="133" customFormat="false" ht="12.75" hidden="false" customHeight="false" outlineLevel="0" collapsed="false">
      <c r="A133" s="4" t="s">
        <v>225</v>
      </c>
    </row>
    <row r="134" customFormat="false" ht="12.75" hidden="false" customHeight="false" outlineLevel="0" collapsed="false">
      <c r="A134" s="4" t="s">
        <v>230</v>
      </c>
    </row>
    <row r="135" customFormat="false" ht="12.75" hidden="false" customHeight="false" outlineLevel="0" collapsed="false">
      <c r="A135" s="4" t="s">
        <v>231</v>
      </c>
    </row>
    <row r="136" customFormat="false" ht="12.75" hidden="false" customHeight="false" outlineLevel="0" collapsed="false">
      <c r="A136" s="4" t="s">
        <v>232</v>
      </c>
    </row>
    <row r="137" customFormat="false" ht="12.75" hidden="false" customHeight="false" outlineLevel="0" collapsed="false">
      <c r="A137" s="4" t="s">
        <v>233</v>
      </c>
    </row>
    <row r="138" customFormat="false" ht="12.75" hidden="false" customHeight="false" outlineLevel="0" collapsed="false">
      <c r="A138" s="30" t="s">
        <v>234</v>
      </c>
    </row>
    <row r="139" customFormat="false" ht="12.75" hidden="false" customHeight="false" outlineLevel="0" collapsed="false">
      <c r="A139" s="4" t="s">
        <v>235</v>
      </c>
    </row>
    <row r="140" customFormat="false" ht="12.75" hidden="false" customHeight="false" outlineLevel="0" collapsed="false">
      <c r="A140" s="4" t="s">
        <v>236</v>
      </c>
    </row>
    <row r="141" customFormat="false" ht="12.75" hidden="false" customHeight="false" outlineLevel="0" collapsed="false">
      <c r="A141" s="4" t="s">
        <v>237</v>
      </c>
    </row>
    <row r="142" customFormat="false" ht="12.75" hidden="false" customHeight="false" outlineLevel="0" collapsed="false">
      <c r="A142" s="30" t="s">
        <v>238</v>
      </c>
    </row>
    <row r="143" customFormat="false" ht="12.75" hidden="false" customHeight="false" outlineLevel="0" collapsed="false">
      <c r="A143" s="4" t="s">
        <v>239</v>
      </c>
    </row>
    <row r="144" customFormat="false" ht="12.75" hidden="false" customHeight="false" outlineLevel="0" collapsed="false">
      <c r="A144" s="4" t="s">
        <v>240</v>
      </c>
    </row>
    <row r="145" customFormat="false" ht="12.75" hidden="false" customHeight="false" outlineLevel="0" collapsed="false">
      <c r="A145" s="4" t="s">
        <v>241</v>
      </c>
    </row>
    <row r="146" customFormat="false" ht="12.75" hidden="false" customHeight="false" outlineLevel="0" collapsed="false">
      <c r="A146" s="4" t="s">
        <v>242</v>
      </c>
    </row>
    <row r="147" customFormat="false" ht="12.75" hidden="false" customHeight="false" outlineLevel="0" collapsed="false">
      <c r="A147" s="4" t="s">
        <v>243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49" activeCellId="0" sqref="A649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245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246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247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248</v>
      </c>
      <c r="B9" s="0" t="s">
        <v>249</v>
      </c>
      <c r="C9" s="0" t="s">
        <v>250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170"/>
  <sheetViews>
    <sheetView showFormulas="false" showGridLines="true" showRowColHeaders="true" showZeros="true" rightToLeft="false" tabSelected="true" showOutlineSymbols="true" defaultGridColor="true" view="normal" topLeftCell="AO1" colorId="64" zoomScale="100" zoomScaleNormal="100" zoomScalePageLayoutView="100" workbookViewId="0">
      <selection pane="topLeft" activeCell="AR10" activeCellId="0" sqref="AR10"/>
    </sheetView>
  </sheetViews>
  <sheetFormatPr defaultRowHeight="13.8" zeroHeight="false" outlineLevelRow="0" outlineLevelCol="0"/>
  <cols>
    <col collapsed="false" customWidth="true" hidden="false" outlineLevel="0" max="1022" min="1" style="39" width="8.67"/>
    <col collapsed="false" customWidth="true" hidden="false" outlineLevel="0" max="1025" min="1023" style="0" width="9.14"/>
  </cols>
  <sheetData>
    <row r="1" customFormat="false" ht="13.8" hidden="false" customHeight="false" outlineLevel="0" collapsed="false">
      <c r="A1" s="39" t="s">
        <v>251</v>
      </c>
      <c r="B1" s="39" t="n">
        <v>1</v>
      </c>
      <c r="C1" s="39" t="n">
        <v>2</v>
      </c>
      <c r="D1" s="39" t="n">
        <v>3</v>
      </c>
      <c r="E1" s="39" t="n">
        <v>4</v>
      </c>
      <c r="F1" s="39" t="n">
        <v>5</v>
      </c>
      <c r="G1" s="39" t="n">
        <v>6</v>
      </c>
      <c r="H1" s="39" t="n">
        <v>7</v>
      </c>
      <c r="I1" s="39" t="n">
        <v>8</v>
      </c>
      <c r="J1" s="39" t="n">
        <v>9</v>
      </c>
      <c r="K1" s="39" t="n">
        <v>10</v>
      </c>
      <c r="L1" s="39" t="n">
        <v>11</v>
      </c>
      <c r="M1" s="39" t="n">
        <v>12</v>
      </c>
      <c r="N1" s="39" t="n">
        <v>13</v>
      </c>
      <c r="O1" s="39" t="n">
        <v>14</v>
      </c>
      <c r="P1" s="39" t="n">
        <v>15</v>
      </c>
      <c r="Q1" s="39" t="n">
        <v>16</v>
      </c>
      <c r="R1" s="39" t="n">
        <v>17</v>
      </c>
      <c r="S1" s="39" t="n">
        <v>18</v>
      </c>
      <c r="T1" s="39" t="n">
        <v>19</v>
      </c>
      <c r="U1" s="39" t="n">
        <v>20</v>
      </c>
      <c r="V1" s="39" t="n">
        <v>21</v>
      </c>
      <c r="W1" s="39" t="n">
        <v>22</v>
      </c>
      <c r="X1" s="39" t="n">
        <v>23</v>
      </c>
      <c r="Y1" s="39" t="n">
        <v>24</v>
      </c>
      <c r="Z1" s="39" t="n">
        <v>25</v>
      </c>
      <c r="AA1" s="39" t="n">
        <v>26</v>
      </c>
      <c r="AB1" s="39" t="n">
        <v>27</v>
      </c>
      <c r="AC1" s="39" t="n">
        <v>28</v>
      </c>
      <c r="AD1" s="39" t="n">
        <v>29</v>
      </c>
      <c r="AE1" s="39" t="n">
        <v>30</v>
      </c>
      <c r="AF1" s="39" t="n">
        <v>31</v>
      </c>
      <c r="AG1" s="39" t="n">
        <v>32</v>
      </c>
      <c r="AH1" s="39" t="n">
        <v>33</v>
      </c>
      <c r="AI1" s="39" t="n">
        <v>34</v>
      </c>
      <c r="AJ1" s="39" t="n">
        <v>35</v>
      </c>
      <c r="AK1" s="39" t="n">
        <v>36</v>
      </c>
      <c r="AL1" s="39" t="n">
        <v>37</v>
      </c>
      <c r="AM1" s="39" t="n">
        <v>38</v>
      </c>
      <c r="AN1" s="39" t="n">
        <v>39</v>
      </c>
      <c r="AO1" s="39" t="n">
        <v>40</v>
      </c>
      <c r="AP1" s="39" t="n">
        <v>41</v>
      </c>
      <c r="AQ1" s="39" t="n">
        <v>42</v>
      </c>
    </row>
    <row r="2" customFormat="false" ht="13.8" hidden="false" customHeight="false" outlineLevel="0" collapsed="false">
      <c r="A2" s="39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</row>
    <row r="3" customFormat="false" ht="13.8" hidden="false" customHeight="false" outlineLevel="0" collapsed="false">
      <c r="A3" s="0" t="n">
        <v>0.1</v>
      </c>
      <c r="B3" s="39" t="n">
        <f aca="false">PR_PH(B$2,$A3)</f>
        <v>2015</v>
      </c>
      <c r="C3" s="39" t="n">
        <f aca="false">PR_PH(C$2,$A3)</f>
        <v>13.4482839192655</v>
      </c>
      <c r="D3" s="39" t="n">
        <f aca="false">PR_PH(D$2,$A3)</f>
        <v>13.4482918506005</v>
      </c>
      <c r="E3" s="39" t="n">
        <f aca="false">PR_PH(E$2,$A3)</f>
        <v>13.4482997819431</v>
      </c>
      <c r="F3" s="39" t="n">
        <f aca="false">PR_PH(F$2,$A3)</f>
        <v>13.4483077132931</v>
      </c>
      <c r="G3" s="39" t="n">
        <f aca="false">PR_PH(G$2,$A3)</f>
        <v>13.4483870272164</v>
      </c>
      <c r="H3" s="39" t="n">
        <f aca="false">PR_PH(H$2,$A3)</f>
        <v>13.4484663419058</v>
      </c>
      <c r="I3" s="39" t="n">
        <f aca="false">PR_PH(I$2,$A3)</f>
        <v>13.4485456573606</v>
      </c>
      <c r="J3" s="39" t="n">
        <f aca="false">PR_PH(J$2,$A3)</f>
        <v>13.4486249735817</v>
      </c>
      <c r="K3" s="39" t="n">
        <f aca="false">PR_PH(K$2,$A3)</f>
        <v>13.4487042905683</v>
      </c>
      <c r="L3" s="39" t="n">
        <f aca="false">PR_PH(L$2,$A3)</f>
        <v>13.4487836083214</v>
      </c>
      <c r="M3" s="39" t="n">
        <f aca="false">PR_PH(M$2,$A3)</f>
        <v>13.4488629268401</v>
      </c>
      <c r="N3" s="39" t="n">
        <f aca="false">PR_PH(N$2,$A3)</f>
        <v>13.4489422461248</v>
      </c>
      <c r="O3" s="39" t="n">
        <f aca="false">PR_PH(O$2,$A3)</f>
        <v>13.4490215661753</v>
      </c>
      <c r="P3" s="39" t="n">
        <f aca="false">PR_PH(P$2,$A3)</f>
        <v>13.4498148088108</v>
      </c>
      <c r="Q3" s="39" t="n">
        <f aca="false">PR_PH(Q$2,$A3)</f>
        <v>13.4506081280524</v>
      </c>
      <c r="R3" s="39" t="n">
        <f aca="false">PR_PH(R$2,$A3)</f>
        <v>13.4514015239101</v>
      </c>
      <c r="S3" s="39" t="n">
        <f aca="false">PR_PH(S$2,$A3)</f>
        <v>13.4521949963932</v>
      </c>
      <c r="T3" s="39" t="n">
        <f aca="false">PR_PH(T$2,$A3)</f>
        <v>13.4529885455123</v>
      </c>
      <c r="U3" s="39" t="n">
        <f aca="false">PR_PH(U$2,$A3)</f>
        <v>13.453782171277</v>
      </c>
      <c r="V3" s="39" t="n">
        <f aca="false">PR_PH(V$2,$A3)</f>
        <v>13.4545758736973</v>
      </c>
      <c r="W3" s="39" t="n">
        <f aca="false">PR_PH(W$2,$A3)</f>
        <v>13.4553696527827</v>
      </c>
      <c r="X3" s="39" t="n">
        <f aca="false">PR_PH(X$2,$A3)</f>
        <v>13.4561635085439</v>
      </c>
      <c r="Y3" s="39" t="n">
        <f aca="false">PR_PH(Y$2,$A3)</f>
        <v>2015</v>
      </c>
      <c r="Z3" s="39" t="n">
        <f aca="false">PR_PH(Z$2,$A3)</f>
        <v>2015</v>
      </c>
      <c r="AA3" s="39" t="n">
        <f aca="false">PR_PH(AA$2,$A3)</f>
        <v>2015</v>
      </c>
      <c r="AB3" s="39" t="n">
        <f aca="false">PR_PH(AB$2,$A3)</f>
        <v>2015</v>
      </c>
      <c r="AC3" s="39" t="n">
        <f aca="false">PR_PH(AC$2,$A3)</f>
        <v>2015</v>
      </c>
      <c r="AD3" s="39" t="n">
        <f aca="false">PR_PH(AD$2,$A3)</f>
        <v>2015</v>
      </c>
      <c r="AE3" s="39" t="n">
        <f aca="false">PR_PH(AE$2,$A3)</f>
        <v>2015</v>
      </c>
      <c r="AF3" s="39" t="n">
        <f aca="false">PR_PH(AF$2,$A3)</f>
        <v>2015</v>
      </c>
      <c r="AG3" s="39" t="n">
        <f aca="false">PR_PH(AG$2,$A3)</f>
        <v>2015</v>
      </c>
      <c r="AH3" s="39" t="n">
        <f aca="false">PR_PH(AH$2,$A3)</f>
        <v>2015</v>
      </c>
      <c r="AI3" s="39" t="n">
        <f aca="false">PR_PH(AI$2,$A3)</f>
        <v>2015</v>
      </c>
      <c r="AJ3" s="39" t="n">
        <f aca="false">PR_PH(AJ$2,$A3)</f>
        <v>2015</v>
      </c>
      <c r="AK3" s="39" t="n">
        <f aca="false">PR_PH(AK$2,$A3)</f>
        <v>2015</v>
      </c>
      <c r="AL3" s="39" t="n">
        <f aca="false">PR_PH(AL$2,$A3)</f>
        <v>2015</v>
      </c>
      <c r="AM3" s="39" t="n">
        <f aca="false">PR_PH(AM$2,$A3)</f>
        <v>2015</v>
      </c>
      <c r="AN3" s="39" t="n">
        <f aca="false">PR_PH(AN$2,$A3)</f>
        <v>2015</v>
      </c>
      <c r="AO3" s="39" t="n">
        <f aca="false">PR_PH(AO$2,$A3)</f>
        <v>2015</v>
      </c>
      <c r="AP3" s="39" t="n">
        <f aca="false">PR_PH(AP$2,$A3)</f>
        <v>2015</v>
      </c>
      <c r="AQ3" s="39" t="n">
        <f aca="false">PR_PH(AQ$2,$A3)</f>
        <v>2015</v>
      </c>
    </row>
    <row r="4" customFormat="false" ht="13.8" hidden="false" customHeight="false" outlineLevel="0" collapsed="false">
      <c r="A4" s="0" t="n">
        <v>0.2</v>
      </c>
      <c r="B4" s="39" t="n">
        <f aca="false">PR_PH(B$2,$A4)</f>
        <v>2015</v>
      </c>
      <c r="C4" s="39" t="n">
        <f aca="false">PR_PH(C$2,$A4)</f>
        <v>13.435644716045</v>
      </c>
      <c r="D4" s="39" t="n">
        <f aca="false">PR_PH(D$2,$A4)</f>
        <v>13.4356526359092</v>
      </c>
      <c r="E4" s="39" t="n">
        <f aca="false">PR_PH(E$2,$A4)</f>
        <v>13.4356605557808</v>
      </c>
      <c r="F4" s="39" t="n">
        <f aca="false">PR_PH(F$2,$A4)</f>
        <v>13.4356684756606</v>
      </c>
      <c r="G4" s="39" t="n">
        <f aca="false">PR_PH(G$2,$A4)</f>
        <v>13.4357476748761</v>
      </c>
      <c r="H4" s="39" t="n">
        <f aca="false">PR_PH(H$2,$A4)</f>
        <v>13.4358268748561</v>
      </c>
      <c r="I4" s="39" t="n">
        <f aca="false">PR_PH(I$2,$A4)</f>
        <v>13.4359060756008</v>
      </c>
      <c r="J4" s="39" t="n">
        <f aca="false">PR_PH(J$2,$A4)</f>
        <v>13.4359852771099</v>
      </c>
      <c r="K4" s="39" t="n">
        <f aca="false">PR_PH(K$2,$A4)</f>
        <v>13.4360644793836</v>
      </c>
      <c r="L4" s="39" t="n">
        <f aca="false">PR_PH(L$2,$A4)</f>
        <v>13.4361436824217</v>
      </c>
      <c r="M4" s="39" t="n">
        <f aca="false">PR_PH(M$2,$A4)</f>
        <v>13.4362228862241</v>
      </c>
      <c r="N4" s="39" t="n">
        <f aca="false">PR_PH(N$2,$A4)</f>
        <v>13.4363020907917</v>
      </c>
      <c r="O4" s="39" t="n">
        <f aca="false">PR_PH(O$2,$A4)</f>
        <v>13.4363812961234</v>
      </c>
      <c r="P4" s="39" t="n">
        <f aca="false">PR_PH(P$2,$A4)</f>
        <v>13.4371733914942</v>
      </c>
      <c r="Q4" s="39" t="n">
        <f aca="false">PR_PH(Q$2,$A4)</f>
        <v>13.4379655633323</v>
      </c>
      <c r="R4" s="39" t="n">
        <f aca="false">PR_PH(R$2,$A4)</f>
        <v>13.438757811647</v>
      </c>
      <c r="S4" s="39" t="n">
        <f aca="false">PR_PH(S$2,$A4)</f>
        <v>13.4395501364484</v>
      </c>
      <c r="T4" s="39" t="n">
        <f aca="false">PR_PH(T$2,$A4)</f>
        <v>13.4403425377466</v>
      </c>
      <c r="U4" s="39" t="n">
        <f aca="false">PR_PH(U$2,$A4)</f>
        <v>13.4411350155514</v>
      </c>
      <c r="V4" s="39" t="n">
        <f aca="false">PR_PH(V$2,$A4)</f>
        <v>13.4419275698728</v>
      </c>
      <c r="W4" s="39" t="n">
        <f aca="false">PR_PH(W$2,$A4)</f>
        <v>13.4427202007199</v>
      </c>
      <c r="X4" s="39" t="n">
        <f aca="false">PR_PH(X$2,$A4)</f>
        <v>13.4435129081036</v>
      </c>
      <c r="Y4" s="39" t="n">
        <f aca="false">PR_PH(Y$2,$A4)</f>
        <v>13.4514441936108</v>
      </c>
      <c r="Z4" s="39" t="n">
        <f aca="false">PR_PH(Z$2,$A4)</f>
        <v>2015</v>
      </c>
      <c r="AA4" s="39" t="n">
        <f aca="false">PR_PH(AA$2,$A4)</f>
        <v>2015</v>
      </c>
      <c r="AB4" s="39" t="n">
        <f aca="false">PR_PH(AB$2,$A4)</f>
        <v>2015</v>
      </c>
      <c r="AC4" s="39" t="n">
        <f aca="false">PR_PH(AC$2,$A4)</f>
        <v>2015</v>
      </c>
      <c r="AD4" s="39" t="n">
        <f aca="false">PR_PH(AD$2,$A4)</f>
        <v>2015</v>
      </c>
      <c r="AE4" s="39" t="n">
        <f aca="false">PR_PH(AE$2,$A4)</f>
        <v>2015</v>
      </c>
      <c r="AF4" s="39" t="n">
        <f aca="false">PR_PH(AF$2,$A4)</f>
        <v>2015</v>
      </c>
      <c r="AG4" s="39" t="n">
        <f aca="false">PR_PH(AG$2,$A4)</f>
        <v>2015</v>
      </c>
      <c r="AH4" s="39" t="n">
        <f aca="false">PR_PH(AH$2,$A4)</f>
        <v>2015</v>
      </c>
      <c r="AI4" s="39" t="n">
        <f aca="false">PR_PH(AI$2,$A4)</f>
        <v>2015</v>
      </c>
      <c r="AJ4" s="39" t="n">
        <f aca="false">PR_PH(AJ$2,$A4)</f>
        <v>2015</v>
      </c>
      <c r="AK4" s="39" t="n">
        <f aca="false">PR_PH(AK$2,$A4)</f>
        <v>2015</v>
      </c>
      <c r="AL4" s="39" t="n">
        <f aca="false">PR_PH(AL$2,$A4)</f>
        <v>2015</v>
      </c>
      <c r="AM4" s="39" t="n">
        <f aca="false">PR_PH(AM$2,$A4)</f>
        <v>2015</v>
      </c>
      <c r="AN4" s="39" t="n">
        <f aca="false">PR_PH(AN$2,$A4)</f>
        <v>2015</v>
      </c>
      <c r="AO4" s="39" t="n">
        <f aca="false">PR_PH(AO$2,$A4)</f>
        <v>2015</v>
      </c>
      <c r="AP4" s="39" t="n">
        <f aca="false">PR_PH(AP$2,$A4)</f>
        <v>2015</v>
      </c>
      <c r="AQ4" s="39" t="n">
        <f aca="false">PR_PH(AQ$2,$A4)</f>
        <v>2015</v>
      </c>
    </row>
    <row r="5" customFormat="false" ht="13.8" hidden="false" customHeight="false" outlineLevel="0" collapsed="false">
      <c r="A5" s="0" t="n">
        <v>0.3</v>
      </c>
      <c r="B5" s="39" t="n">
        <f aca="false">PR_PH(B$2,$A5)</f>
        <v>2015</v>
      </c>
      <c r="C5" s="39" t="n">
        <f aca="false">PR_PH(C$2,$A5)</f>
        <v>13.4230238914273</v>
      </c>
      <c r="D5" s="39" t="n">
        <f aca="false">PR_PH(D$2,$A5)</f>
        <v>13.4230317998432</v>
      </c>
      <c r="E5" s="39" t="n">
        <f aca="false">PR_PH(E$2,$A5)</f>
        <v>13.4230397082668</v>
      </c>
      <c r="F5" s="39" t="n">
        <f aca="false">PR_PH(F$2,$A5)</f>
        <v>13.4230476166983</v>
      </c>
      <c r="G5" s="39" t="n">
        <f aca="false">PR_PH(G$2,$A5)</f>
        <v>13.4231267014305</v>
      </c>
      <c r="H5" s="39" t="n">
        <f aca="false">PR_PH(H$2,$A5)</f>
        <v>13.423205786926</v>
      </c>
      <c r="I5" s="39" t="n">
        <f aca="false">PR_PH(I$2,$A5)</f>
        <v>13.4232848731845</v>
      </c>
      <c r="J5" s="39" t="n">
        <f aca="false">PR_PH(J$2,$A5)</f>
        <v>13.4233639602061</v>
      </c>
      <c r="K5" s="39" t="n">
        <f aca="false">PR_PH(K$2,$A5)</f>
        <v>13.4234430479909</v>
      </c>
      <c r="L5" s="39" t="n">
        <f aca="false">PR_PH(L$2,$A5)</f>
        <v>13.423522136539</v>
      </c>
      <c r="M5" s="39" t="n">
        <f aca="false">PR_PH(M$2,$A5)</f>
        <v>13.4236012258501</v>
      </c>
      <c r="N5" s="39" t="n">
        <f aca="false">PR_PH(N$2,$A5)</f>
        <v>13.4236803159245</v>
      </c>
      <c r="O5" s="39" t="n">
        <f aca="false">PR_PH(O$2,$A5)</f>
        <v>13.4237594067619</v>
      </c>
      <c r="P5" s="39" t="n">
        <f aca="false">PR_PH(P$2,$A5)</f>
        <v>13.4245503571131</v>
      </c>
      <c r="Q5" s="39" t="n">
        <f aca="false">PR_PH(Q$2,$A5)</f>
        <v>13.4253413837927</v>
      </c>
      <c r="R5" s="39" t="n">
        <f aca="false">PR_PH(R$2,$A5)</f>
        <v>13.4261324868105</v>
      </c>
      <c r="S5" s="39" t="n">
        <f aca="false">PR_PH(S$2,$A5)</f>
        <v>13.4269236661761</v>
      </c>
      <c r="T5" s="39" t="n">
        <f aca="false">PR_PH(T$2,$A5)</f>
        <v>13.4277149218998</v>
      </c>
      <c r="U5" s="39" t="n">
        <f aca="false">PR_PH(U$2,$A5)</f>
        <v>13.4285062539913</v>
      </c>
      <c r="V5" s="39" t="n">
        <f aca="false">PR_PH(V$2,$A5)</f>
        <v>13.4292976624601</v>
      </c>
      <c r="W5" s="39" t="n">
        <f aca="false">PR_PH(W$2,$A5)</f>
        <v>13.4300891473164</v>
      </c>
      <c r="X5" s="39" t="n">
        <f aca="false">PR_PH(X$2,$A5)</f>
        <v>13.4308807085702</v>
      </c>
      <c r="Y5" s="39" t="n">
        <f aca="false">PR_PH(Y$2,$A5)</f>
        <v>13.4388005251387</v>
      </c>
      <c r="Z5" s="39" t="n">
        <f aca="false">PR_PH(Z$2,$A5)</f>
        <v>13.4467279923198</v>
      </c>
      <c r="AA5" s="39" t="n">
        <f aca="false">PR_PH(AA$2,$A5)</f>
        <v>2015</v>
      </c>
      <c r="AB5" s="39" t="n">
        <f aca="false">PR_PH(AB$2,$A5)</f>
        <v>2015</v>
      </c>
      <c r="AC5" s="39" t="n">
        <f aca="false">PR_PH(AC$2,$A5)</f>
        <v>2015</v>
      </c>
      <c r="AD5" s="39" t="n">
        <f aca="false">PR_PH(AD$2,$A5)</f>
        <v>2015</v>
      </c>
      <c r="AE5" s="39" t="n">
        <f aca="false">PR_PH(AE$2,$A5)</f>
        <v>2015</v>
      </c>
      <c r="AF5" s="39" t="n">
        <f aca="false">PR_PH(AF$2,$A5)</f>
        <v>2015</v>
      </c>
      <c r="AG5" s="39" t="n">
        <f aca="false">PR_PH(AG$2,$A5)</f>
        <v>2015</v>
      </c>
      <c r="AH5" s="39" t="n">
        <f aca="false">PR_PH(AH$2,$A5)</f>
        <v>2015</v>
      </c>
      <c r="AI5" s="39" t="n">
        <f aca="false">PR_PH(AI$2,$A5)</f>
        <v>2015</v>
      </c>
      <c r="AJ5" s="39" t="n">
        <f aca="false">PR_PH(AJ$2,$A5)</f>
        <v>2015</v>
      </c>
      <c r="AK5" s="39" t="n">
        <f aca="false">PR_PH(AK$2,$A5)</f>
        <v>2015</v>
      </c>
      <c r="AL5" s="39" t="n">
        <f aca="false">PR_PH(AL$2,$A5)</f>
        <v>2015</v>
      </c>
      <c r="AM5" s="39" t="n">
        <f aca="false">PR_PH(AM$2,$A5)</f>
        <v>2015</v>
      </c>
      <c r="AN5" s="39" t="n">
        <f aca="false">PR_PH(AN$2,$A5)</f>
        <v>2015</v>
      </c>
      <c r="AO5" s="39" t="n">
        <f aca="false">PR_PH(AO$2,$A5)</f>
        <v>2015</v>
      </c>
      <c r="AP5" s="39" t="n">
        <f aca="false">PR_PH(AP$2,$A5)</f>
        <v>2015</v>
      </c>
      <c r="AQ5" s="39" t="n">
        <f aca="false">PR_PH(AQ$2,$A5)</f>
        <v>2015</v>
      </c>
    </row>
    <row r="6" customFormat="false" ht="13.8" hidden="false" customHeight="false" outlineLevel="0" collapsed="false">
      <c r="A6" s="0" t="n">
        <v>0.4</v>
      </c>
      <c r="B6" s="39" t="n">
        <f aca="false">PR_PH(B$2,$A6)</f>
        <v>2015</v>
      </c>
      <c r="C6" s="39" t="n">
        <f aca="false">PR_PH(C$2,$A6)</f>
        <v>13.4104214094225</v>
      </c>
      <c r="D6" s="39" t="n">
        <f aca="false">PR_PH(D$2,$A6)</f>
        <v>13.4104293064125</v>
      </c>
      <c r="E6" s="39" t="n">
        <f aca="false">PR_PH(E$2,$A6)</f>
        <v>13.4104372034104</v>
      </c>
      <c r="F6" s="39" t="n">
        <f aca="false">PR_PH(F$2,$A6)</f>
        <v>13.4104451004158</v>
      </c>
      <c r="G6" s="39" t="n">
        <f aca="false">PR_PH(G$2,$A6)</f>
        <v>13.4105240708888</v>
      </c>
      <c r="H6" s="39" t="n">
        <f aca="false">PR_PH(H$2,$A6)</f>
        <v>13.4106030421236</v>
      </c>
      <c r="I6" s="39" t="n">
        <f aca="false">PR_PH(I$2,$A6)</f>
        <v>13.4106820141201</v>
      </c>
      <c r="J6" s="39" t="n">
        <f aca="false">PR_PH(J$2,$A6)</f>
        <v>13.4107609868779</v>
      </c>
      <c r="K6" s="39" t="n">
        <f aca="false">PR_PH(K$2,$A6)</f>
        <v>13.4108399603979</v>
      </c>
      <c r="L6" s="39" t="n">
        <f aca="false">PR_PH(L$2,$A6)</f>
        <v>13.4109189346799</v>
      </c>
      <c r="M6" s="39" t="n">
        <f aca="false">PR_PH(M$2,$A6)</f>
        <v>13.4109979097232</v>
      </c>
      <c r="N6" s="39" t="n">
        <f aca="false">PR_PH(N$2,$A6)</f>
        <v>13.4110768855283</v>
      </c>
      <c r="O6" s="39" t="n">
        <f aca="false">PR_PH(O$2,$A6)</f>
        <v>13.4111558620953</v>
      </c>
      <c r="P6" s="39" t="n">
        <f aca="false">PR_PH(P$2,$A6)</f>
        <v>13.4119456696665</v>
      </c>
      <c r="Q6" s="39" t="n">
        <f aca="false">PR_PH(Q$2,$A6)</f>
        <v>13.4127355534274</v>
      </c>
      <c r="R6" s="39" t="n">
        <f aca="false">PR_PH(R$2,$A6)</f>
        <v>13.4135255133881</v>
      </c>
      <c r="S6" s="39" t="n">
        <f aca="false">PR_PH(S$2,$A6)</f>
        <v>13.4143155495582</v>
      </c>
      <c r="T6" s="39" t="n">
        <f aca="false">PR_PH(T$2,$A6)</f>
        <v>13.415105661948</v>
      </c>
      <c r="U6" s="39" t="n">
        <f aca="false">PR_PH(U$2,$A6)</f>
        <v>13.4158958505669</v>
      </c>
      <c r="V6" s="39" t="n">
        <f aca="false">PR_PH(V$2,$A6)</f>
        <v>13.4166861154252</v>
      </c>
      <c r="W6" s="39" t="n">
        <f aca="false">PR_PH(W$2,$A6)</f>
        <v>13.4174764565324</v>
      </c>
      <c r="X6" s="39" t="n">
        <f aca="false">PR_PH(X$2,$A6)</f>
        <v>13.4182668738984</v>
      </c>
      <c r="Y6" s="39" t="n">
        <f aca="false">PR_PH(Y$2,$A6)</f>
        <v>13.4261752439663</v>
      </c>
      <c r="Z6" s="39" t="n">
        <f aca="false">PR_PH(Z$2,$A6)</f>
        <v>13.4340912507722</v>
      </c>
      <c r="AA6" s="39" t="n">
        <f aca="false">PR_PH(AA$2,$A6)</f>
        <v>13.4420149041977</v>
      </c>
      <c r="AB6" s="39" t="n">
        <f aca="false">PR_PH(AB$2,$A6)</f>
        <v>2015</v>
      </c>
      <c r="AC6" s="39" t="n">
        <f aca="false">PR_PH(AC$2,$A6)</f>
        <v>2015</v>
      </c>
      <c r="AD6" s="39" t="n">
        <f aca="false">PR_PH(AD$2,$A6)</f>
        <v>2015</v>
      </c>
      <c r="AE6" s="39" t="n">
        <f aca="false">PR_PH(AE$2,$A6)</f>
        <v>2015</v>
      </c>
      <c r="AF6" s="39" t="n">
        <f aca="false">PR_PH(AF$2,$A6)</f>
        <v>2015</v>
      </c>
      <c r="AG6" s="39" t="n">
        <f aca="false">PR_PH(AG$2,$A6)</f>
        <v>2015</v>
      </c>
      <c r="AH6" s="39" t="n">
        <f aca="false">PR_PH(AH$2,$A6)</f>
        <v>2015</v>
      </c>
      <c r="AI6" s="39" t="n">
        <f aca="false">PR_PH(AI$2,$A6)</f>
        <v>2015</v>
      </c>
      <c r="AJ6" s="39" t="n">
        <f aca="false">PR_PH(AJ$2,$A6)</f>
        <v>2015</v>
      </c>
      <c r="AK6" s="39" t="n">
        <f aca="false">PR_PH(AK$2,$A6)</f>
        <v>2015</v>
      </c>
      <c r="AL6" s="39" t="n">
        <f aca="false">PR_PH(AL$2,$A6)</f>
        <v>2015</v>
      </c>
      <c r="AM6" s="39" t="n">
        <f aca="false">PR_PH(AM$2,$A6)</f>
        <v>2015</v>
      </c>
      <c r="AN6" s="39" t="n">
        <f aca="false">PR_PH(AN$2,$A6)</f>
        <v>2015</v>
      </c>
      <c r="AO6" s="39" t="n">
        <f aca="false">PR_PH(AO$2,$A6)</f>
        <v>2015</v>
      </c>
      <c r="AP6" s="39" t="n">
        <f aca="false">PR_PH(AP$2,$A6)</f>
        <v>2015</v>
      </c>
      <c r="AQ6" s="39" t="n">
        <f aca="false">PR_PH(AQ$2,$A6)</f>
        <v>2015</v>
      </c>
    </row>
    <row r="7" customFormat="false" ht="13.8" hidden="false" customHeight="false" outlineLevel="0" collapsed="false">
      <c r="A7" s="0" t="n">
        <v>0.5</v>
      </c>
      <c r="B7" s="39" t="n">
        <f aca="false">PR_PH(B$2,$A7)</f>
        <v>2015</v>
      </c>
      <c r="C7" s="39" t="n">
        <f aca="false">PR_PH(C$2,$A7)</f>
        <v>13.3978372341286</v>
      </c>
      <c r="D7" s="39" t="n">
        <f aca="false">PR_PH(D$2,$A7)</f>
        <v>13.3978451197152</v>
      </c>
      <c r="E7" s="39" t="n">
        <f aca="false">PR_PH(E$2,$A7)</f>
        <v>13.3978530053097</v>
      </c>
      <c r="F7" s="39" t="n">
        <f aca="false">PR_PH(F$2,$A7)</f>
        <v>13.3978608909114</v>
      </c>
      <c r="G7" s="39" t="n">
        <f aca="false">PR_PH(G$2,$A7)</f>
        <v>13.3979397473485</v>
      </c>
      <c r="H7" s="39" t="n">
        <f aca="false">PR_PH(H$2,$A7)</f>
        <v>13.3980186045456</v>
      </c>
      <c r="I7" s="39" t="n">
        <f aca="false">PR_PH(I$2,$A7)</f>
        <v>13.3980974625032</v>
      </c>
      <c r="J7" s="39" t="n">
        <f aca="false">PR_PH(J$2,$A7)</f>
        <v>13.3981763212213</v>
      </c>
      <c r="K7" s="39" t="n">
        <f aca="false">PR_PH(K$2,$A7)</f>
        <v>13.3982551806996</v>
      </c>
      <c r="L7" s="39" t="n">
        <f aca="false">PR_PH(L$2,$A7)</f>
        <v>13.3983340409385</v>
      </c>
      <c r="M7" s="39" t="n">
        <f aca="false">PR_PH(M$2,$A7)</f>
        <v>13.3984129019374</v>
      </c>
      <c r="N7" s="39" t="n">
        <f aca="false">PR_PH(N$2,$A7)</f>
        <v>13.3984917636971</v>
      </c>
      <c r="O7" s="39" t="n">
        <f aca="false">PR_PH(O$2,$A7)</f>
        <v>13.3985706262171</v>
      </c>
      <c r="P7" s="39" t="n">
        <f aca="false">PR_PH(P$2,$A7)</f>
        <v>13.399359293242</v>
      </c>
      <c r="Q7" s="39" t="n">
        <f aca="false">PR_PH(Q$2,$A7)</f>
        <v>13.4001480363182</v>
      </c>
      <c r="R7" s="39" t="n">
        <f aca="false">PR_PH(R$2,$A7)</f>
        <v>13.4009368554563</v>
      </c>
      <c r="S7" s="39" t="n">
        <f aca="false">PR_PH(S$2,$A7)</f>
        <v>13.401725750666</v>
      </c>
      <c r="T7" s="39" t="n">
        <f aca="false">PR_PH(T$2,$A7)</f>
        <v>13.4025147219572</v>
      </c>
      <c r="U7" s="39" t="n">
        <f aca="false">PR_PH(U$2,$A7)</f>
        <v>13.4033037693394</v>
      </c>
      <c r="V7" s="39" t="n">
        <f aca="false">PR_PH(V$2,$A7)</f>
        <v>13.4040928928227</v>
      </c>
      <c r="W7" s="39" t="n">
        <f aca="false">PR_PH(W$2,$A7)</f>
        <v>13.4048820924168</v>
      </c>
      <c r="X7" s="39" t="n">
        <f aca="false">PR_PH(X$2,$A7)</f>
        <v>13.4056713681313</v>
      </c>
      <c r="Y7" s="39" t="n">
        <f aca="false">PR_PH(Y$2,$A7)</f>
        <v>13.4135683140817</v>
      </c>
      <c r="Z7" s="39" t="n">
        <f aca="false">PR_PH(Z$2,$A7)</f>
        <v>13.4214728829281</v>
      </c>
      <c r="AA7" s="39" t="n">
        <f aca="false">PR_PH(AA$2,$A7)</f>
        <v>13.4293850845309</v>
      </c>
      <c r="AB7" s="39" t="n">
        <f aca="false">PR_PH(AB$2,$A7)</f>
        <v>13.4373049287664</v>
      </c>
      <c r="AC7" s="39" t="n">
        <f aca="false">PR_PH(AC$2,$A7)</f>
        <v>2015</v>
      </c>
      <c r="AD7" s="39" t="n">
        <f aca="false">PR_PH(AD$2,$A7)</f>
        <v>2015</v>
      </c>
      <c r="AE7" s="39" t="n">
        <f aca="false">PR_PH(AE$2,$A7)</f>
        <v>2015</v>
      </c>
      <c r="AF7" s="39" t="n">
        <f aca="false">PR_PH(AF$2,$A7)</f>
        <v>2015</v>
      </c>
      <c r="AG7" s="39" t="n">
        <f aca="false">PR_PH(AG$2,$A7)</f>
        <v>2015</v>
      </c>
      <c r="AH7" s="39" t="n">
        <f aca="false">PR_PH(AH$2,$A7)</f>
        <v>2015</v>
      </c>
      <c r="AI7" s="39" t="n">
        <f aca="false">PR_PH(AI$2,$A7)</f>
        <v>2015</v>
      </c>
      <c r="AJ7" s="39" t="n">
        <f aca="false">PR_PH(AJ$2,$A7)</f>
        <v>2015</v>
      </c>
      <c r="AK7" s="39" t="n">
        <f aca="false">PR_PH(AK$2,$A7)</f>
        <v>2015</v>
      </c>
      <c r="AL7" s="39" t="n">
        <f aca="false">PR_PH(AL$2,$A7)</f>
        <v>2015</v>
      </c>
      <c r="AM7" s="39" t="n">
        <f aca="false">PR_PH(AM$2,$A7)</f>
        <v>2015</v>
      </c>
      <c r="AN7" s="39" t="n">
        <f aca="false">PR_PH(AN$2,$A7)</f>
        <v>2015</v>
      </c>
      <c r="AO7" s="39" t="n">
        <f aca="false">PR_PH(AO$2,$A7)</f>
        <v>2015</v>
      </c>
      <c r="AP7" s="39" t="n">
        <f aca="false">PR_PH(AP$2,$A7)</f>
        <v>2015</v>
      </c>
      <c r="AQ7" s="39" t="n">
        <f aca="false">PR_PH(AQ$2,$A7)</f>
        <v>2015</v>
      </c>
    </row>
    <row r="8" customFormat="false" ht="13.8" hidden="false" customHeight="false" outlineLevel="0" collapsed="false">
      <c r="A8" s="0" t="n">
        <v>0.6</v>
      </c>
      <c r="B8" s="39" t="n">
        <f aca="false">PR_PH(B$2,$A8)</f>
        <v>2015</v>
      </c>
      <c r="C8" s="39" t="n">
        <f aca="false">PR_PH(C$2,$A8)</f>
        <v>13.3852713297315</v>
      </c>
      <c r="D8" s="39" t="n">
        <f aca="false">PR_PH(D$2,$A8)</f>
        <v>13.3852792039369</v>
      </c>
      <c r="E8" s="39" t="n">
        <f aca="false">PR_PH(E$2,$A8)</f>
        <v>13.3852870781499</v>
      </c>
      <c r="F8" s="39" t="n">
        <f aca="false">PR_PH(F$2,$A8)</f>
        <v>13.3852949523705</v>
      </c>
      <c r="G8" s="39" t="n">
        <f aca="false">PR_PH(G$2,$A8)</f>
        <v>13.3853736949943</v>
      </c>
      <c r="H8" s="39" t="n">
        <f aca="false">PR_PH(H$2,$A8)</f>
        <v>13.3854524383771</v>
      </c>
      <c r="I8" s="39" t="n">
        <f aca="false">PR_PH(I$2,$A8)</f>
        <v>13.3855311825188</v>
      </c>
      <c r="J8" s="39" t="n">
        <f aca="false">PR_PH(J$2,$A8)</f>
        <v>13.3856099274194</v>
      </c>
      <c r="K8" s="39" t="n">
        <f aca="false">PR_PH(K$2,$A8)</f>
        <v>13.385688673079</v>
      </c>
      <c r="L8" s="39" t="n">
        <f aca="false">PR_PH(L$2,$A8)</f>
        <v>13.385767419498</v>
      </c>
      <c r="M8" s="39" t="n">
        <f aca="false">PR_PH(M$2,$A8)</f>
        <v>13.3858461666756</v>
      </c>
      <c r="N8" s="39" t="n">
        <f aca="false">PR_PH(N$2,$A8)</f>
        <v>13.3859249146123</v>
      </c>
      <c r="O8" s="39" t="n">
        <f aca="false">PR_PH(O$2,$A8)</f>
        <v>13.3860036633079</v>
      </c>
      <c r="P8" s="39" t="n">
        <f aca="false">PR_PH(P$2,$A8)</f>
        <v>13.3867911920145</v>
      </c>
      <c r="Q8" s="39" t="n">
        <f aca="false">PR_PH(Q$2,$A8)</f>
        <v>13.3875787966352</v>
      </c>
      <c r="R8" s="39" t="n">
        <f aca="false">PR_PH(R$2,$A8)</f>
        <v>13.3883664771802</v>
      </c>
      <c r="S8" s="39" t="n">
        <f aca="false">PR_PH(S$2,$A8)</f>
        <v>13.3891542336583</v>
      </c>
      <c r="T8" s="39" t="n">
        <f aca="false">PR_PH(T$2,$A8)</f>
        <v>13.3899420660804</v>
      </c>
      <c r="U8" s="39" t="n">
        <f aca="false">PR_PH(U$2,$A8)</f>
        <v>13.3907299744561</v>
      </c>
      <c r="V8" s="39" t="n">
        <f aca="false">PR_PH(V$2,$A8)</f>
        <v>13.3915179587947</v>
      </c>
      <c r="W8" s="39" t="n">
        <f aca="false">PR_PH(W$2,$A8)</f>
        <v>13.3923060191065</v>
      </c>
      <c r="X8" s="39" t="n">
        <f aca="false">PR_PH(X$2,$A8)</f>
        <v>13.3930941554008</v>
      </c>
      <c r="Y8" s="39" t="n">
        <f aca="false">PR_PH(Y$2,$A8)</f>
        <v>13.4009796995611</v>
      </c>
      <c r="Z8" s="39" t="n">
        <f aca="false">PR_PH(Z$2,$A8)</f>
        <v>13.4088728528084</v>
      </c>
      <c r="AA8" s="39" t="n">
        <f aca="false">PR_PH(AA$2,$A8)</f>
        <v>13.4167736249815</v>
      </c>
      <c r="AB8" s="39" t="n">
        <f aca="false">PR_PH(AB$2,$A8)</f>
        <v>13.4246820259358</v>
      </c>
      <c r="AC8" s="39" t="n">
        <f aca="false">PR_PH(AC$2,$A8)</f>
        <v>13.4325980655424</v>
      </c>
      <c r="AD8" s="39" t="n">
        <f aca="false">PR_PH(AD$2,$A8)</f>
        <v>2015</v>
      </c>
      <c r="AE8" s="39" t="n">
        <f aca="false">PR_PH(AE$2,$A8)</f>
        <v>2015</v>
      </c>
      <c r="AF8" s="39" t="n">
        <f aca="false">PR_PH(AF$2,$A8)</f>
        <v>2015</v>
      </c>
      <c r="AG8" s="39" t="n">
        <f aca="false">PR_PH(AG$2,$A8)</f>
        <v>2015</v>
      </c>
      <c r="AH8" s="39" t="n">
        <f aca="false">PR_PH(AH$2,$A8)</f>
        <v>2015</v>
      </c>
      <c r="AI8" s="39" t="n">
        <f aca="false">PR_PH(AI$2,$A8)</f>
        <v>2015</v>
      </c>
      <c r="AJ8" s="39" t="n">
        <f aca="false">PR_PH(AJ$2,$A8)</f>
        <v>2015</v>
      </c>
      <c r="AK8" s="39" t="n">
        <f aca="false">PR_PH(AK$2,$A8)</f>
        <v>2015</v>
      </c>
      <c r="AL8" s="39" t="n">
        <f aca="false">PR_PH(AL$2,$A8)</f>
        <v>2015</v>
      </c>
      <c r="AM8" s="39" t="n">
        <f aca="false">PR_PH(AM$2,$A8)</f>
        <v>2015</v>
      </c>
      <c r="AN8" s="39" t="n">
        <f aca="false">PR_PH(AN$2,$A8)</f>
        <v>2015</v>
      </c>
      <c r="AO8" s="39" t="n">
        <f aca="false">PR_PH(AO$2,$A8)</f>
        <v>2015</v>
      </c>
      <c r="AP8" s="39" t="n">
        <f aca="false">PR_PH(AP$2,$A8)</f>
        <v>2015</v>
      </c>
      <c r="AQ8" s="39" t="n">
        <f aca="false">PR_PH(AQ$2,$A8)</f>
        <v>2015</v>
      </c>
    </row>
    <row r="9" customFormat="false" ht="13.8" hidden="false" customHeight="false" outlineLevel="0" collapsed="false">
      <c r="A9" s="0" t="n">
        <v>0.7</v>
      </c>
      <c r="B9" s="39" t="n">
        <f aca="false">PR_PH(B$2,$A9)</f>
        <v>2015</v>
      </c>
      <c r="C9" s="39" t="n">
        <f aca="false">PR_PH(C$2,$A9)</f>
        <v>13.3727236605049</v>
      </c>
      <c r="D9" s="39" t="n">
        <f aca="false">PR_PH(D$2,$A9)</f>
        <v>13.3727315233515</v>
      </c>
      <c r="E9" s="39" t="n">
        <f aca="false">PR_PH(E$2,$A9)</f>
        <v>13.3727393862055</v>
      </c>
      <c r="F9" s="39" t="n">
        <f aca="false">PR_PH(F$2,$A9)</f>
        <v>13.3727472490671</v>
      </c>
      <c r="G9" s="39" t="n">
        <f aca="false">PR_PH(G$2,$A9)</f>
        <v>13.3728258780999</v>
      </c>
      <c r="H9" s="39" t="n">
        <f aca="false">PR_PH(H$2,$A9)</f>
        <v>13.3729045078904</v>
      </c>
      <c r="I9" s="39" t="n">
        <f aca="false">PR_PH(I$2,$A9)</f>
        <v>13.3729831384383</v>
      </c>
      <c r="J9" s="39" t="n">
        <f aca="false">PR_PH(J$2,$A9)</f>
        <v>13.3730617697439</v>
      </c>
      <c r="K9" s="39" t="n">
        <f aca="false">PR_PH(K$2,$A9)</f>
        <v>13.3731404018071</v>
      </c>
      <c r="L9" s="39" t="n">
        <f aca="false">PR_PH(L$2,$A9)</f>
        <v>13.373219034628</v>
      </c>
      <c r="M9" s="39" t="n">
        <f aca="false">PR_PH(M$2,$A9)</f>
        <v>13.3732976682064</v>
      </c>
      <c r="N9" s="39" t="n">
        <f aca="false">PR_PH(N$2,$A9)</f>
        <v>13.3733763025425</v>
      </c>
      <c r="O9" s="39" t="n">
        <f aca="false">PR_PH(O$2,$A9)</f>
        <v>13.3734549376364</v>
      </c>
      <c r="P9" s="39" t="n">
        <f aca="false">PR_PH(P$2,$A9)</f>
        <v>13.3742413302479</v>
      </c>
      <c r="Q9" s="39" t="n">
        <f aca="false">PR_PH(Q$2,$A9)</f>
        <v>13.375027798636</v>
      </c>
      <c r="R9" s="39" t="n">
        <f aca="false">PR_PH(R$2,$A9)</f>
        <v>13.375814342811</v>
      </c>
      <c r="S9" s="39" t="n">
        <f aca="false">PR_PH(S$2,$A9)</f>
        <v>13.3766009627818</v>
      </c>
      <c r="T9" s="39" t="n">
        <f aca="false">PR_PH(T$2,$A9)</f>
        <v>13.3773876585594</v>
      </c>
      <c r="U9" s="39" t="n">
        <f aca="false">PR_PH(U$2,$A9)</f>
        <v>13.3781744301525</v>
      </c>
      <c r="V9" s="39" t="n">
        <f aca="false">PR_PH(V$2,$A9)</f>
        <v>13.3789612775716</v>
      </c>
      <c r="W9" s="39" t="n">
        <f aca="false">PR_PH(W$2,$A9)</f>
        <v>13.3797482008258</v>
      </c>
      <c r="X9" s="39" t="n">
        <f aca="false">PR_PH(X$2,$A9)</f>
        <v>13.3805351999256</v>
      </c>
      <c r="Y9" s="39" t="n">
        <f aca="false">PR_PH(Y$2,$A9)</f>
        <v>13.3884093645686</v>
      </c>
      <c r="Z9" s="39" t="n">
        <f aca="false">PR_PH(Z$2,$A9)</f>
        <v>13.3962911245223</v>
      </c>
      <c r="AA9" s="39" t="n">
        <f aca="false">PR_PH(AA$2,$A9)</f>
        <v>13.4041804896034</v>
      </c>
      <c r="AB9" s="39" t="n">
        <f aca="false">PR_PH(AB$2,$A9)</f>
        <v>13.4120774696467</v>
      </c>
      <c r="AC9" s="39" t="n">
        <f aca="false">PR_PH(AC$2,$A9)</f>
        <v>13.4199820745019</v>
      </c>
      <c r="AD9" s="39" t="n">
        <f aca="false">PR_PH(AD$2,$A9)</f>
        <v>13.4278943140364</v>
      </c>
      <c r="AE9" s="39" t="n">
        <f aca="false">PR_PH(AE$2,$A9)</f>
        <v>2015</v>
      </c>
      <c r="AF9" s="39" t="n">
        <f aca="false">PR_PH(AF$2,$A9)</f>
        <v>2015</v>
      </c>
      <c r="AG9" s="39" t="n">
        <f aca="false">PR_PH(AG$2,$A9)</f>
        <v>2015</v>
      </c>
      <c r="AH9" s="39" t="n">
        <f aca="false">PR_PH(AH$2,$A9)</f>
        <v>2015</v>
      </c>
      <c r="AI9" s="39" t="n">
        <f aca="false">PR_PH(AI$2,$A9)</f>
        <v>2015</v>
      </c>
      <c r="AJ9" s="39" t="n">
        <f aca="false">PR_PH(AJ$2,$A9)</f>
        <v>2015</v>
      </c>
      <c r="AK9" s="39" t="n">
        <f aca="false">PR_PH(AK$2,$A9)</f>
        <v>2015</v>
      </c>
      <c r="AL9" s="39" t="n">
        <f aca="false">PR_PH(AL$2,$A9)</f>
        <v>2015</v>
      </c>
      <c r="AM9" s="39" t="n">
        <f aca="false">PR_PH(AM$2,$A9)</f>
        <v>2015</v>
      </c>
      <c r="AN9" s="39" t="n">
        <f aca="false">PR_PH(AN$2,$A9)</f>
        <v>2015</v>
      </c>
      <c r="AO9" s="39" t="n">
        <f aca="false">PR_PH(AO$2,$A9)</f>
        <v>2015</v>
      </c>
      <c r="AP9" s="39" t="n">
        <f aca="false">PR_PH(AP$2,$A9)</f>
        <v>2015</v>
      </c>
      <c r="AQ9" s="39" t="n">
        <f aca="false">PR_PH(AQ$2,$A9)</f>
        <v>2015</v>
      </c>
    </row>
    <row r="10" customFormat="false" ht="13.8" hidden="false" customHeight="false" outlineLevel="0" collapsed="false">
      <c r="A10" s="0" t="n">
        <v>0.8</v>
      </c>
      <c r="B10" s="39" t="n">
        <f aca="false">PR_PH(B$2,$A10)</f>
        <v>2015</v>
      </c>
      <c r="C10" s="39" t="n">
        <f aca="false">PR_PH(C$2,$A10)</f>
        <v>13.3601941908102</v>
      </c>
      <c r="D10" s="39" t="n">
        <f aca="false">PR_PH(D$2,$A10)</f>
        <v>13.3602020423197</v>
      </c>
      <c r="E10" s="39" t="n">
        <f aca="false">PR_PH(E$2,$A10)</f>
        <v>13.3602098938371</v>
      </c>
      <c r="F10" s="39" t="n">
        <f aca="false">PR_PH(F$2,$A10)</f>
        <v>13.3602177453617</v>
      </c>
      <c r="G10" s="39" t="n">
        <f aca="false">PR_PH(G$2,$A10)</f>
        <v>13.3602962610253</v>
      </c>
      <c r="H10" s="39" t="n">
        <f aca="false">PR_PH(H$2,$A10)</f>
        <v>13.3603747774451</v>
      </c>
      <c r="I10" s="39" t="n">
        <f aca="false">PR_PH(I$2,$A10)</f>
        <v>13.3604532946209</v>
      </c>
      <c r="J10" s="39" t="n">
        <f aca="false">PR_PH(J$2,$A10)</f>
        <v>13.3605318125533</v>
      </c>
      <c r="K10" s="39" t="n">
        <f aca="false">PR_PH(K$2,$A10)</f>
        <v>13.3606103312417</v>
      </c>
      <c r="L10" s="39" t="n">
        <f aca="false">PR_PH(L$2,$A10)</f>
        <v>13.3606888506864</v>
      </c>
      <c r="M10" s="39" t="n">
        <f aca="false">PR_PH(M$2,$A10)</f>
        <v>13.3607673708875</v>
      </c>
      <c r="N10" s="39" t="n">
        <f aca="false">PR_PH(N$2,$A10)</f>
        <v>13.3608458918446</v>
      </c>
      <c r="O10" s="39" t="n">
        <f aca="false">PR_PH(O$2,$A10)</f>
        <v>13.3609244135583</v>
      </c>
      <c r="P10" s="39" t="n">
        <f aca="false">PR_PH(P$2,$A10)</f>
        <v>13.3617096722922</v>
      </c>
      <c r="Q10" s="39" t="n">
        <f aca="false">PR_PH(Q$2,$A10)</f>
        <v>13.3624950066656</v>
      </c>
      <c r="R10" s="39" t="n">
        <f aca="false">PR_PH(R$2,$A10)</f>
        <v>13.3632804166887</v>
      </c>
      <c r="S10" s="39" t="n">
        <f aca="false">PR_PH(S$2,$A10)</f>
        <v>13.3640659023709</v>
      </c>
      <c r="T10" s="39" t="n">
        <f aca="false">PR_PH(T$2,$A10)</f>
        <v>13.3648514637223</v>
      </c>
      <c r="U10" s="39" t="n">
        <f aca="false">PR_PH(U$2,$A10)</f>
        <v>13.365637100752</v>
      </c>
      <c r="V10" s="39" t="n">
        <f aca="false">PR_PH(V$2,$A10)</f>
        <v>13.3664228134707</v>
      </c>
      <c r="W10" s="39" t="n">
        <f aca="false">PR_PH(W$2,$A10)</f>
        <v>13.3672086018877</v>
      </c>
      <c r="X10" s="39" t="n">
        <f aca="false">PR_PH(X$2,$A10)</f>
        <v>13.3679944660126</v>
      </c>
      <c r="Y10" s="39" t="n">
        <f aca="false">PR_PH(Y$2,$A10)</f>
        <v>13.3758572733566</v>
      </c>
      <c r="Z10" s="39" t="n">
        <f aca="false">PR_PH(Z$2,$A10)</f>
        <v>13.3837276622667</v>
      </c>
      <c r="AA10" s="39" t="n">
        <f aca="false">PR_PH(AA$2,$A10)</f>
        <v>13.391605642539</v>
      </c>
      <c r="AB10" s="39" t="n">
        <f aca="false">PR_PH(AB$2,$A10)</f>
        <v>13.3994912239864</v>
      </c>
      <c r="AC10" s="39" t="n">
        <f aca="false">PR_PH(AC$2,$A10)</f>
        <v>13.4073844164381</v>
      </c>
      <c r="AD10" s="39" t="n">
        <f aca="false">PR_PH(AD$2,$A10)</f>
        <v>13.4152852297397</v>
      </c>
      <c r="AE10" s="39" t="n">
        <f aca="false">PR_PH(AE$2,$A10)</f>
        <v>13.4231936737534</v>
      </c>
      <c r="AF10" s="39" t="n">
        <f aca="false">PR_PH(AF$2,$A10)</f>
        <v>2015</v>
      </c>
      <c r="AG10" s="39" t="n">
        <f aca="false">PR_PH(AG$2,$A10)</f>
        <v>2015</v>
      </c>
      <c r="AH10" s="39" t="n">
        <f aca="false">PR_PH(AH$2,$A10)</f>
        <v>2015</v>
      </c>
      <c r="AI10" s="39" t="n">
        <f aca="false">PR_PH(AI$2,$A10)</f>
        <v>2015</v>
      </c>
      <c r="AJ10" s="39" t="n">
        <f aca="false">PR_PH(AJ$2,$A10)</f>
        <v>2015</v>
      </c>
      <c r="AK10" s="39" t="n">
        <f aca="false">PR_PH(AK$2,$A10)</f>
        <v>2015</v>
      </c>
      <c r="AL10" s="39" t="n">
        <f aca="false">PR_PH(AL$2,$A10)</f>
        <v>2015</v>
      </c>
      <c r="AM10" s="39" t="n">
        <f aca="false">PR_PH(AM$2,$A10)</f>
        <v>2015</v>
      </c>
      <c r="AN10" s="39" t="n">
        <f aca="false">PR_PH(AN$2,$A10)</f>
        <v>2015</v>
      </c>
      <c r="AO10" s="39" t="n">
        <f aca="false">PR_PH(AO$2,$A10)</f>
        <v>2015</v>
      </c>
      <c r="AP10" s="39" t="n">
        <f aca="false">PR_PH(AP$2,$A10)</f>
        <v>2015</v>
      </c>
      <c r="AQ10" s="39" t="n">
        <f aca="false">PR_PH(AQ$2,$A10)</f>
        <v>2015</v>
      </c>
    </row>
    <row r="11" customFormat="false" ht="13.8" hidden="false" customHeight="false" outlineLevel="0" collapsed="false">
      <c r="A11" s="0" t="n">
        <v>0.9</v>
      </c>
      <c r="B11" s="39" t="n">
        <f aca="false">PR_PH(B$2,$A11)</f>
        <v>2015</v>
      </c>
      <c r="C11" s="39" t="n">
        <f aca="false">PR_PH(C$2,$A11)</f>
        <v>13.3476828850951</v>
      </c>
      <c r="D11" s="39" t="n">
        <f aca="false">PR_PH(D$2,$A11)</f>
        <v>13.3476907252901</v>
      </c>
      <c r="E11" s="39" t="n">
        <f aca="false">PR_PH(E$2,$A11)</f>
        <v>13.3476985654925</v>
      </c>
      <c r="F11" s="39" t="n">
        <f aca="false">PR_PH(F$2,$A11)</f>
        <v>13.3477064057025</v>
      </c>
      <c r="G11" s="39" t="n">
        <f aca="false">PR_PH(G$2,$A11)</f>
        <v>13.3477848082179</v>
      </c>
      <c r="H11" s="39" t="n">
        <f aca="false">PR_PH(H$2,$A11)</f>
        <v>13.3478632114881</v>
      </c>
      <c r="I11" s="39" t="n">
        <f aca="false">PR_PH(I$2,$A11)</f>
        <v>13.3479416155133</v>
      </c>
      <c r="J11" s="39" t="n">
        <f aca="false">PR_PH(J$2,$A11)</f>
        <v>13.3480200202935</v>
      </c>
      <c r="K11" s="39" t="n">
        <f aca="false">PR_PH(K$2,$A11)</f>
        <v>13.3480984258284</v>
      </c>
      <c r="L11" s="39" t="n">
        <f aca="false">PR_PH(L$2,$A11)</f>
        <v>13.3481768321182</v>
      </c>
      <c r="M11" s="39" t="n">
        <f aca="false">PR_PH(M$2,$A11)</f>
        <v>13.3482552391628</v>
      </c>
      <c r="N11" s="39" t="n">
        <f aca="false">PR_PH(N$2,$A11)</f>
        <v>13.3483336469625</v>
      </c>
      <c r="O11" s="39" t="n">
        <f aca="false">PR_PH(O$2,$A11)</f>
        <v>13.3484120555168</v>
      </c>
      <c r="P11" s="39" t="n">
        <f aca="false">PR_PH(P$2,$A11)</f>
        <v>13.3491961825849</v>
      </c>
      <c r="Q11" s="39" t="n">
        <f aca="false">PR_PH(Q$2,$A11)</f>
        <v>13.3499803851562</v>
      </c>
      <c r="R11" s="39" t="n">
        <f aca="false">PR_PH(R$2,$A11)</f>
        <v>13.3507646632401</v>
      </c>
      <c r="S11" s="39" t="n">
        <f aca="false">PR_PH(S$2,$A11)</f>
        <v>13.3515490168463</v>
      </c>
      <c r="T11" s="39" t="n">
        <f aca="false">PR_PH(T$2,$A11)</f>
        <v>13.3523334459848</v>
      </c>
      <c r="U11" s="39" t="n">
        <f aca="false">PR_PH(U$2,$A11)</f>
        <v>13.3531179506652</v>
      </c>
      <c r="V11" s="39" t="n">
        <f aca="false">PR_PH(V$2,$A11)</f>
        <v>13.3539025308974</v>
      </c>
      <c r="W11" s="39" t="n">
        <f aca="false">PR_PH(W$2,$A11)</f>
        <v>13.354687186691</v>
      </c>
      <c r="X11" s="39" t="n">
        <f aca="false">PR_PH(X$2,$A11)</f>
        <v>13.3554719180558</v>
      </c>
      <c r="Y11" s="39" t="n">
        <f aca="false">PR_PH(Y$2,$A11)</f>
        <v>13.3633233902644</v>
      </c>
      <c r="Z11" s="39" t="n">
        <f aca="false">PR_PH(Z$2,$A11)</f>
        <v>13.3711824303263</v>
      </c>
      <c r="AA11" s="39" t="n">
        <f aca="false">PR_PH(AA$2,$A11)</f>
        <v>13.3790490480175</v>
      </c>
      <c r="AB11" s="39" t="n">
        <f aca="false">PR_PH(AB$2,$A11)</f>
        <v>13.3869232531298</v>
      </c>
      <c r="AC11" s="39" t="n">
        <f aca="false">PR_PH(AC$2,$A11)</f>
        <v>13.3948050554706</v>
      </c>
      <c r="AD11" s="39" t="n">
        <f aca="false">PR_PH(AD$2,$A11)</f>
        <v>13.402694464865</v>
      </c>
      <c r="AE11" s="39" t="n">
        <f aca="false">PR_PH(AE$2,$A11)</f>
        <v>13.4105914911535</v>
      </c>
      <c r="AF11" s="39" t="n">
        <f aca="false">PR_PH(AF$2,$A11)</f>
        <v>13.4184961441938</v>
      </c>
      <c r="AG11" s="39" t="n">
        <f aca="false">PR_PH(AG$2,$A11)</f>
        <v>2015</v>
      </c>
      <c r="AH11" s="39" t="n">
        <f aca="false">PR_PH(AH$2,$A11)</f>
        <v>2015</v>
      </c>
      <c r="AI11" s="39" t="n">
        <f aca="false">PR_PH(AI$2,$A11)</f>
        <v>2015</v>
      </c>
      <c r="AJ11" s="39" t="n">
        <f aca="false">PR_PH(AJ$2,$A11)</f>
        <v>2015</v>
      </c>
      <c r="AK11" s="39" t="n">
        <f aca="false">PR_PH(AK$2,$A11)</f>
        <v>2015</v>
      </c>
      <c r="AL11" s="39" t="n">
        <f aca="false">PR_PH(AL$2,$A11)</f>
        <v>2015</v>
      </c>
      <c r="AM11" s="39" t="n">
        <f aca="false">PR_PH(AM$2,$A11)</f>
        <v>2015</v>
      </c>
      <c r="AN11" s="39" t="n">
        <f aca="false">PR_PH(AN$2,$A11)</f>
        <v>2015</v>
      </c>
      <c r="AO11" s="39" t="n">
        <f aca="false">PR_PH(AO$2,$A11)</f>
        <v>2015</v>
      </c>
      <c r="AP11" s="39" t="n">
        <f aca="false">PR_PH(AP$2,$A11)</f>
        <v>2015</v>
      </c>
      <c r="AQ11" s="39" t="n">
        <f aca="false">PR_PH(AQ$2,$A11)</f>
        <v>2015</v>
      </c>
    </row>
    <row r="12" customFormat="false" ht="13.8" hidden="false" customHeight="false" outlineLevel="0" collapsed="false">
      <c r="A12" s="0" t="n">
        <v>1</v>
      </c>
      <c r="B12" s="39" t="n">
        <f aca="false">PR_PH(B$2,$A12)</f>
        <v>2015</v>
      </c>
      <c r="C12" s="39" t="n">
        <f aca="false">PR_PH(C$2,$A12)</f>
        <v>13.3351897078947</v>
      </c>
      <c r="D12" s="39" t="n">
        <f aca="false">PR_PH(D$2,$A12)</f>
        <v>13.3351975367971</v>
      </c>
      <c r="E12" s="39" t="n">
        <f aca="false">PR_PH(E$2,$A12)</f>
        <v>13.3352053657069</v>
      </c>
      <c r="F12" s="39" t="n">
        <f aca="false">PR_PH(F$2,$A12)</f>
        <v>13.3352131946242</v>
      </c>
      <c r="G12" s="39" t="n">
        <f aca="false">PR_PH(G$2,$A12)</f>
        <v>13.3352914842123</v>
      </c>
      <c r="H12" s="39" t="n">
        <f aca="false">PR_PH(H$2,$A12)</f>
        <v>13.3353697745536</v>
      </c>
      <c r="I12" s="39" t="n">
        <f aca="false">PR_PH(I$2,$A12)</f>
        <v>13.3354480656484</v>
      </c>
      <c r="J12" s="39" t="n">
        <f aca="false">PR_PH(J$2,$A12)</f>
        <v>13.3355263574968</v>
      </c>
      <c r="K12" s="39" t="n">
        <f aca="false">PR_PH(K$2,$A12)</f>
        <v>13.3356046500987</v>
      </c>
      <c r="L12" s="39" t="n">
        <f aca="false">PR_PH(L$2,$A12)</f>
        <v>13.3356829434544</v>
      </c>
      <c r="M12" s="39" t="n">
        <f aca="false">PR_PH(M$2,$A12)</f>
        <v>13.3357612375633</v>
      </c>
      <c r="N12" s="39" t="n">
        <f aca="false">PR_PH(N$2,$A12)</f>
        <v>13.3358395324261</v>
      </c>
      <c r="O12" s="39" t="n">
        <f aca="false">PR_PH(O$2,$A12)</f>
        <v>13.335917828042</v>
      </c>
      <c r="P12" s="39" t="n">
        <f aca="false">PR_PH(P$2,$A12)</f>
        <v>13.336700825651</v>
      </c>
      <c r="Q12" s="39" t="n">
        <f aca="false">PR_PH(Q$2,$A12)</f>
        <v>13.3374838986266</v>
      </c>
      <c r="R12" s="39" t="n">
        <f aca="false">PR_PH(R$2,$A12)</f>
        <v>13.3382670469785</v>
      </c>
      <c r="S12" s="39" t="n">
        <f aca="false">PR_PH(S$2,$A12)</f>
        <v>13.3390502707164</v>
      </c>
      <c r="T12" s="39" t="n">
        <f aca="false">PR_PH(T$2,$A12)</f>
        <v>13.33983356985</v>
      </c>
      <c r="U12" s="39" t="n">
        <f aca="false">PR_PH(U$2,$A12)</f>
        <v>13.3406169443891</v>
      </c>
      <c r="V12" s="39" t="n">
        <f aca="false">PR_PH(V$2,$A12)</f>
        <v>13.3414003943431</v>
      </c>
      <c r="W12" s="39" t="n">
        <f aca="false">PR_PH(W$2,$A12)</f>
        <v>13.3421839197223</v>
      </c>
      <c r="X12" s="39" t="n">
        <f aca="false">PR_PH(X$2,$A12)</f>
        <v>13.3429675205361</v>
      </c>
      <c r="Y12" s="39" t="n">
        <f aca="false">PR_PH(Y$2,$A12)</f>
        <v>13.3508076797178</v>
      </c>
      <c r="Z12" s="39" t="n">
        <f aca="false">PR_PH(Z$2,$A12)</f>
        <v>13.3586553930733</v>
      </c>
      <c r="AA12" s="39" t="n">
        <f aca="false">PR_PH(AA$2,$A12)</f>
        <v>13.3665106703571</v>
      </c>
      <c r="AB12" s="39" t="n">
        <f aca="false">PR_PH(AB$2,$A12)</f>
        <v>13.3743735213396</v>
      </c>
      <c r="AC12" s="39" t="n">
        <f aca="false">PR_PH(AC$2,$A12)</f>
        <v>13.3822439558076</v>
      </c>
      <c r="AD12" s="39" t="n">
        <f aca="false">PR_PH(AD$2,$A12)</f>
        <v>13.3901219835648</v>
      </c>
      <c r="AE12" s="39" t="n">
        <f aca="false">PR_PH(AE$2,$A12)</f>
        <v>13.3980076144308</v>
      </c>
      <c r="AF12" s="39" t="n">
        <f aca="false">PR_PH(AF$2,$A12)</f>
        <v>13.4059008582425</v>
      </c>
      <c r="AG12" s="39" t="n">
        <f aca="false">PR_PH(AG$2,$A12)</f>
        <v>13.413801724852</v>
      </c>
      <c r="AH12" s="39" t="n">
        <f aca="false">PR_PH(AH$2,$A12)</f>
        <v>2015</v>
      </c>
      <c r="AI12" s="39" t="n">
        <f aca="false">PR_PH(AI$2,$A12)</f>
        <v>2015</v>
      </c>
      <c r="AJ12" s="39" t="n">
        <f aca="false">PR_PH(AJ$2,$A12)</f>
        <v>2015</v>
      </c>
      <c r="AK12" s="39" t="n">
        <f aca="false">PR_PH(AK$2,$A12)</f>
        <v>2015</v>
      </c>
      <c r="AL12" s="39" t="n">
        <f aca="false">PR_PH(AL$2,$A12)</f>
        <v>2015</v>
      </c>
      <c r="AM12" s="39" t="n">
        <f aca="false">PR_PH(AM$2,$A12)</f>
        <v>2015</v>
      </c>
      <c r="AN12" s="39" t="n">
        <f aca="false">PR_PH(AN$2,$A12)</f>
        <v>2015</v>
      </c>
      <c r="AO12" s="39" t="n">
        <f aca="false">PR_PH(AO$2,$A12)</f>
        <v>2015</v>
      </c>
      <c r="AP12" s="39" t="n">
        <f aca="false">PR_PH(AP$2,$A12)</f>
        <v>2015</v>
      </c>
      <c r="AQ12" s="39" t="n">
        <f aca="false">PR_PH(AQ$2,$A12)</f>
        <v>2015</v>
      </c>
    </row>
    <row r="13" customFormat="false" ht="13.8" hidden="false" customHeight="false" outlineLevel="0" collapsed="false">
      <c r="A13" s="0" t="n">
        <v>2</v>
      </c>
      <c r="B13" s="39" t="n">
        <f aca="false">PR_PH(B$2,$A13)</f>
        <v>2015</v>
      </c>
      <c r="C13" s="39" t="n">
        <f aca="false">PR_PH(C$2,$A13)</f>
        <v>13.2112472635269</v>
      </c>
      <c r="D13" s="39" t="n">
        <f aca="false">PR_PH(D$2,$A13)</f>
        <v>13.2112549807043</v>
      </c>
      <c r="E13" s="39" t="n">
        <f aca="false">PR_PH(E$2,$A13)</f>
        <v>13.2112626978892</v>
      </c>
      <c r="F13" s="39" t="n">
        <f aca="false">PR_PH(F$2,$A13)</f>
        <v>13.2112704150813</v>
      </c>
      <c r="G13" s="39" t="n">
        <f aca="false">PR_PH(G$2,$A13)</f>
        <v>13.2113475874093</v>
      </c>
      <c r="H13" s="39" t="n">
        <f aca="false">PR_PH(H$2,$A13)</f>
        <v>13.2114247604777</v>
      </c>
      <c r="I13" s="39" t="n">
        <f aca="false">PR_PH(I$2,$A13)</f>
        <v>13.211501934286</v>
      </c>
      <c r="J13" s="39" t="n">
        <f aca="false">PR_PH(J$2,$A13)</f>
        <v>13.2115791088344</v>
      </c>
      <c r="K13" s="39" t="n">
        <f aca="false">PR_PH(K$2,$A13)</f>
        <v>13.2116562841227</v>
      </c>
      <c r="L13" s="39" t="n">
        <f aca="false">PR_PH(L$2,$A13)</f>
        <v>13.2117334601511</v>
      </c>
      <c r="M13" s="39" t="n">
        <f aca="false">PR_PH(M$2,$A13)</f>
        <v>13.2118106369197</v>
      </c>
      <c r="N13" s="39" t="n">
        <f aca="false">PR_PH(N$2,$A13)</f>
        <v>13.2118878144284</v>
      </c>
      <c r="O13" s="39" t="n">
        <f aca="false">PR_PH(O$2,$A13)</f>
        <v>13.2119649926772</v>
      </c>
      <c r="P13" s="39" t="n">
        <f aca="false">PR_PH(P$2,$A13)</f>
        <v>13.2127368158714</v>
      </c>
      <c r="Q13" s="39" t="n">
        <f aca="false">PR_PH(Q$2,$A13)</f>
        <v>13.2135087130858</v>
      </c>
      <c r="R13" s="39" t="n">
        <f aca="false">PR_PH(R$2,$A13)</f>
        <v>13.214280684329</v>
      </c>
      <c r="S13" s="39" t="n">
        <f aca="false">PR_PH(S$2,$A13)</f>
        <v>13.2150527296116</v>
      </c>
      <c r="T13" s="39" t="n">
        <f aca="false">PR_PH(T$2,$A13)</f>
        <v>13.2158248489419</v>
      </c>
      <c r="U13" s="39" t="n">
        <f aca="false">PR_PH(U$2,$A13)</f>
        <v>13.2165970423305</v>
      </c>
      <c r="V13" s="39" t="n">
        <f aca="false">PR_PH(V$2,$A13)</f>
        <v>13.217369309786</v>
      </c>
      <c r="W13" s="39" t="n">
        <f aca="false">PR_PH(W$2,$A13)</f>
        <v>13.2181416513189</v>
      </c>
      <c r="X13" s="39" t="n">
        <f aca="false">PR_PH(X$2,$A13)</f>
        <v>13.218914066938</v>
      </c>
      <c r="Y13" s="39" t="n">
        <f aca="false">PR_PH(Y$2,$A13)</f>
        <v>13.2266422999748</v>
      </c>
      <c r="Z13" s="39" t="n">
        <f aca="false">PR_PH(Z$2,$A13)</f>
        <v>13.2343779521353</v>
      </c>
      <c r="AA13" s="39" t="n">
        <f aca="false">PR_PH(AA$2,$A13)</f>
        <v>13.2421210329663</v>
      </c>
      <c r="AB13" s="39" t="n">
        <f aca="false">PR_PH(AB$2,$A13)</f>
        <v>13.2498715520314</v>
      </c>
      <c r="AC13" s="39" t="n">
        <f aca="false">PR_PH(AC$2,$A13)</f>
        <v>13.2576295189105</v>
      </c>
      <c r="AD13" s="39" t="n">
        <f aca="false">PR_PH(AD$2,$A13)</f>
        <v>13.265394943198</v>
      </c>
      <c r="AE13" s="39" t="n">
        <f aca="false">PR_PH(AE$2,$A13)</f>
        <v>13.2731678345059</v>
      </c>
      <c r="AF13" s="39" t="n">
        <f aca="false">PR_PH(AF$2,$A13)</f>
        <v>13.2809482024615</v>
      </c>
      <c r="AG13" s="39" t="n">
        <f aca="false">PR_PH(AG$2,$A13)</f>
        <v>13.2887360567079</v>
      </c>
      <c r="AH13" s="39" t="n">
        <f aca="false">PR_PH(AH$2,$A13)</f>
        <v>13.3670284783602</v>
      </c>
      <c r="AI13" s="39" t="n">
        <f aca="false">PR_PH(AI$2,$A13)</f>
        <v>2015</v>
      </c>
      <c r="AJ13" s="39" t="n">
        <f aca="false">PR_PH(AJ$2,$A13)</f>
        <v>2015</v>
      </c>
      <c r="AK13" s="39" t="n">
        <f aca="false">PR_PH(AK$2,$A13)</f>
        <v>2015</v>
      </c>
      <c r="AL13" s="39" t="n">
        <f aca="false">PR_PH(AL$2,$A13)</f>
        <v>2015</v>
      </c>
      <c r="AM13" s="39" t="n">
        <f aca="false">PR_PH(AM$2,$A13)</f>
        <v>2015</v>
      </c>
      <c r="AN13" s="39" t="n">
        <f aca="false">PR_PH(AN$2,$A13)</f>
        <v>2015</v>
      </c>
      <c r="AO13" s="39" t="n">
        <f aca="false">PR_PH(AO$2,$A13)</f>
        <v>2015</v>
      </c>
      <c r="AP13" s="39" t="n">
        <f aca="false">PR_PH(AP$2,$A13)</f>
        <v>2015</v>
      </c>
      <c r="AQ13" s="39" t="n">
        <f aca="false">PR_PH(AQ$2,$A13)</f>
        <v>2015</v>
      </c>
    </row>
    <row r="14" customFormat="false" ht="13.8" hidden="false" customHeight="false" outlineLevel="0" collapsed="false">
      <c r="A14" s="0" t="n">
        <v>3</v>
      </c>
      <c r="B14" s="39" t="n">
        <f aca="false">PR_PH(B$2,$A14)</f>
        <v>2015</v>
      </c>
      <c r="C14" s="39" t="n">
        <f aca="false">PR_PH(C$2,$A14)</f>
        <v>13.08907929463</v>
      </c>
      <c r="D14" s="39" t="n">
        <f aca="false">PR_PH(D$2,$A14)</f>
        <v>13.0890869022301</v>
      </c>
      <c r="E14" s="39" t="n">
        <f aca="false">PR_PH(E$2,$A14)</f>
        <v>13.089094509837</v>
      </c>
      <c r="F14" s="39" t="n">
        <f aca="false">PR_PH(F$2,$A14)</f>
        <v>13.0891021174517</v>
      </c>
      <c r="G14" s="39" t="n">
        <f aca="false">PR_PH(G$2,$A14)</f>
        <v>13.0891781939952</v>
      </c>
      <c r="H14" s="39" t="n">
        <f aca="false">PR_PH(H$2,$A14)</f>
        <v>13.089254271266</v>
      </c>
      <c r="I14" s="39" t="n">
        <f aca="false">PR_PH(I$2,$A14)</f>
        <v>13.0893303492636</v>
      </c>
      <c r="J14" s="39" t="n">
        <f aca="false">PR_PH(J$2,$A14)</f>
        <v>13.089406427988</v>
      </c>
      <c r="K14" s="39" t="n">
        <f aca="false">PR_PH(K$2,$A14)</f>
        <v>13.0894825074392</v>
      </c>
      <c r="L14" s="39" t="n">
        <f aca="false">PR_PH(L$2,$A14)</f>
        <v>13.0895585876176</v>
      </c>
      <c r="M14" s="39" t="n">
        <f aca="false">PR_PH(M$2,$A14)</f>
        <v>13.0896346685226</v>
      </c>
      <c r="N14" s="39" t="n">
        <f aca="false">PR_PH(N$2,$A14)</f>
        <v>13.0897107501549</v>
      </c>
      <c r="O14" s="39" t="n">
        <f aca="false">PR_PH(O$2,$A14)</f>
        <v>13.0897868325139</v>
      </c>
      <c r="P14" s="39" t="n">
        <f aca="false">PR_PH(P$2,$A14)</f>
        <v>13.0905476960883</v>
      </c>
      <c r="Q14" s="39" t="n">
        <f aca="false">PR_PH(Q$2,$A14)</f>
        <v>13.0913086323665</v>
      </c>
      <c r="R14" s="39" t="n">
        <f aca="false">PR_PH(R$2,$A14)</f>
        <v>13.0920696413584</v>
      </c>
      <c r="S14" s="39" t="n">
        <f aca="false">PR_PH(S$2,$A14)</f>
        <v>13.0928307230728</v>
      </c>
      <c r="T14" s="39" t="n">
        <f aca="false">PR_PH(T$2,$A14)</f>
        <v>13.0935918775192</v>
      </c>
      <c r="U14" s="39" t="n">
        <f aca="false">PR_PH(U$2,$A14)</f>
        <v>13.0943531047068</v>
      </c>
      <c r="V14" s="39" t="n">
        <f aca="false">PR_PH(V$2,$A14)</f>
        <v>13.0951144046453</v>
      </c>
      <c r="W14" s="39" t="n">
        <f aca="false">PR_PH(W$2,$A14)</f>
        <v>13.0958757773436</v>
      </c>
      <c r="X14" s="39" t="n">
        <f aca="false">PR_PH(X$2,$A14)</f>
        <v>13.0966372228112</v>
      </c>
      <c r="Y14" s="39" t="n">
        <f aca="false">PR_PH(Y$2,$A14)</f>
        <v>13.1042556818498</v>
      </c>
      <c r="Z14" s="39" t="n">
        <f aca="false">PR_PH(Z$2,$A14)</f>
        <v>13.1118814280799</v>
      </c>
      <c r="AA14" s="39" t="n">
        <f aca="false">PR_PH(AA$2,$A14)</f>
        <v>13.1195144708479</v>
      </c>
      <c r="AB14" s="39" t="n">
        <f aca="false">PR_PH(AB$2,$A14)</f>
        <v>13.1271548195146</v>
      </c>
      <c r="AC14" s="39" t="n">
        <f aca="false">PR_PH(AC$2,$A14)</f>
        <v>13.1348024834569</v>
      </c>
      <c r="AD14" s="39" t="n">
        <f aca="false">PR_PH(AD$2,$A14)</f>
        <v>13.142457472068</v>
      </c>
      <c r="AE14" s="39" t="n">
        <f aca="false">PR_PH(AE$2,$A14)</f>
        <v>13.1501197947554</v>
      </c>
      <c r="AF14" s="39" t="n">
        <f aca="false">PR_PH(AF$2,$A14)</f>
        <v>13.1577894609434</v>
      </c>
      <c r="AG14" s="39" t="n">
        <f aca="false">PR_PH(AG$2,$A14)</f>
        <v>13.1654664800716</v>
      </c>
      <c r="AH14" s="39" t="n">
        <f aca="false">PR_PH(AH$2,$A14)</f>
        <v>13.2426431711254</v>
      </c>
      <c r="AI14" s="39" t="n">
        <f aca="false">PR_PH(AI$2,$A14)</f>
        <v>2015</v>
      </c>
      <c r="AJ14" s="39" t="n">
        <f aca="false">PR_PH(AJ$2,$A14)</f>
        <v>2015</v>
      </c>
      <c r="AK14" s="39" t="n">
        <f aca="false">PR_PH(AK$2,$A14)</f>
        <v>2015</v>
      </c>
      <c r="AL14" s="39" t="n">
        <f aca="false">PR_PH(AL$2,$A14)</f>
        <v>2015</v>
      </c>
      <c r="AM14" s="39" t="n">
        <f aca="false">PR_PH(AM$2,$A14)</f>
        <v>2015</v>
      </c>
      <c r="AN14" s="39" t="n">
        <f aca="false">PR_PH(AN$2,$A14)</f>
        <v>2015</v>
      </c>
      <c r="AO14" s="39" t="n">
        <f aca="false">PR_PH(AO$2,$A14)</f>
        <v>2015</v>
      </c>
      <c r="AP14" s="39" t="n">
        <f aca="false">PR_PH(AP$2,$A14)</f>
        <v>2015</v>
      </c>
      <c r="AQ14" s="39" t="n">
        <f aca="false">PR_PH(AQ$2,$A14)</f>
        <v>2015</v>
      </c>
    </row>
    <row r="15" customFormat="false" ht="13.8" hidden="false" customHeight="false" outlineLevel="0" collapsed="false">
      <c r="A15" s="0" t="n">
        <v>4</v>
      </c>
      <c r="B15" s="39" t="n">
        <f aca="false">PR_PH(B$2,$A15)</f>
        <v>2015</v>
      </c>
      <c r="C15" s="39" t="n">
        <f aca="false">PR_PH(C$2,$A15)</f>
        <v>12.9686517309319</v>
      </c>
      <c r="D15" s="39" t="n">
        <f aca="false">PR_PH(D$2,$A15)</f>
        <v>12.9686592310502</v>
      </c>
      <c r="E15" s="39" t="n">
        <f aca="false">PR_PH(E$2,$A15)</f>
        <v>12.9686667311754</v>
      </c>
      <c r="F15" s="39" t="n">
        <f aca="false">PR_PH(F$2,$A15)</f>
        <v>12.9686742313079</v>
      </c>
      <c r="G15" s="39" t="n">
        <f aca="false">PR_PH(G$2,$A15)</f>
        <v>12.9687492330249</v>
      </c>
      <c r="H15" s="39" t="n">
        <f aca="false">PR_PH(H$2,$A15)</f>
        <v>12.9688242354557</v>
      </c>
      <c r="I15" s="39" t="n">
        <f aca="false">PR_PH(I$2,$A15)</f>
        <v>12.9688992386005</v>
      </c>
      <c r="J15" s="39" t="n">
        <f aca="false">PR_PH(J$2,$A15)</f>
        <v>12.9689742424596</v>
      </c>
      <c r="K15" s="39" t="n">
        <f aca="false">PR_PH(K$2,$A15)</f>
        <v>12.9690492470325</v>
      </c>
      <c r="L15" s="39" t="n">
        <f aca="false">PR_PH(L$2,$A15)</f>
        <v>12.9691242523196</v>
      </c>
      <c r="M15" s="39" t="n">
        <f aca="false">PR_PH(M$2,$A15)</f>
        <v>12.9691992583208</v>
      </c>
      <c r="N15" s="39" t="n">
        <f aca="false">PR_PH(N$2,$A15)</f>
        <v>12.969274265036</v>
      </c>
      <c r="O15" s="39" t="n">
        <f aca="false">PR_PH(O$2,$A15)</f>
        <v>12.9693492724654</v>
      </c>
      <c r="P15" s="39" t="n">
        <f aca="false">PR_PH(P$2,$A15)</f>
        <v>12.9700993860352</v>
      </c>
      <c r="Q15" s="39" t="n">
        <f aca="false">PR_PH(Q$2,$A15)</f>
        <v>12.9708495710239</v>
      </c>
      <c r="R15" s="39" t="n">
        <f aca="false">PR_PH(R$2,$A15)</f>
        <v>12.97159982744</v>
      </c>
      <c r="S15" s="39" t="n">
        <f aca="false">PR_PH(S$2,$A15)</f>
        <v>12.9723501552932</v>
      </c>
      <c r="T15" s="39" t="n">
        <f aca="false">PR_PH(T$2,$A15)</f>
        <v>12.9731005545923</v>
      </c>
      <c r="U15" s="39" t="n">
        <f aca="false">PR_PH(U$2,$A15)</f>
        <v>12.9738510253462</v>
      </c>
      <c r="V15" s="39" t="n">
        <f aca="false">PR_PH(V$2,$A15)</f>
        <v>12.9746015675645</v>
      </c>
      <c r="W15" s="39" t="n">
        <f aca="false">PR_PH(W$2,$A15)</f>
        <v>12.9753521812561</v>
      </c>
      <c r="X15" s="39" t="n">
        <f aca="false">PR_PH(X$2,$A15)</f>
        <v>12.9761028664302</v>
      </c>
      <c r="Y15" s="39" t="n">
        <f aca="false">PR_PH(Y$2,$A15)</f>
        <v>12.9836136517126</v>
      </c>
      <c r="Z15" s="39" t="n">
        <f aca="false">PR_PH(Z$2,$A15)</f>
        <v>12.9911315952865</v>
      </c>
      <c r="AA15" s="39" t="n">
        <f aca="false">PR_PH(AA$2,$A15)</f>
        <v>12.998656706301</v>
      </c>
      <c r="AB15" s="39" t="n">
        <f aca="false">PR_PH(AB$2,$A15)</f>
        <v>13.0061889939206</v>
      </c>
      <c r="AC15" s="39" t="n">
        <f aca="false">PR_PH(AC$2,$A15)</f>
        <v>13.0137284673245</v>
      </c>
      <c r="AD15" s="39" t="n">
        <f aca="false">PR_PH(AD$2,$A15)</f>
        <v>13.0212751357083</v>
      </c>
      <c r="AE15" s="39" t="n">
        <f aca="false">PR_PH(AE$2,$A15)</f>
        <v>13.0288290082821</v>
      </c>
      <c r="AF15" s="39" t="n">
        <f aca="false">PR_PH(AF$2,$A15)</f>
        <v>13.0363900942713</v>
      </c>
      <c r="AG15" s="39" t="n">
        <f aca="false">PR_PH(AG$2,$A15)</f>
        <v>13.0439584029172</v>
      </c>
      <c r="AH15" s="39" t="n">
        <f aca="false">PR_PH(AH$2,$A15)</f>
        <v>13.12004077958</v>
      </c>
      <c r="AI15" s="39" t="n">
        <f aca="false">PR_PH(AI$2,$A15)</f>
        <v>13.19685570245</v>
      </c>
      <c r="AJ15" s="39" t="n">
        <f aca="false">PR_PH(AJ$2,$A15)</f>
        <v>2015</v>
      </c>
      <c r="AK15" s="39" t="n">
        <f aca="false">PR_PH(AK$2,$A15)</f>
        <v>2015</v>
      </c>
      <c r="AL15" s="39" t="n">
        <f aca="false">PR_PH(AL$2,$A15)</f>
        <v>2015</v>
      </c>
      <c r="AM15" s="39" t="n">
        <f aca="false">PR_PH(AM$2,$A15)</f>
        <v>2015</v>
      </c>
      <c r="AN15" s="39" t="n">
        <f aca="false">PR_PH(AN$2,$A15)</f>
        <v>2015</v>
      </c>
      <c r="AO15" s="39" t="n">
        <f aca="false">PR_PH(AO$2,$A15)</f>
        <v>2015</v>
      </c>
      <c r="AP15" s="39" t="n">
        <f aca="false">PR_PH(AP$2,$A15)</f>
        <v>2015</v>
      </c>
      <c r="AQ15" s="39" t="n">
        <f aca="false">PR_PH(AQ$2,$A15)</f>
        <v>2015</v>
      </c>
    </row>
    <row r="16" customFormat="false" ht="13.8" hidden="false" customHeight="false" outlineLevel="0" collapsed="false">
      <c r="A16" s="0" t="n">
        <v>5</v>
      </c>
      <c r="B16" s="39" t="n">
        <f aca="false">PR_PH(B$2,$A16)</f>
        <v>2015</v>
      </c>
      <c r="C16" s="39" t="n">
        <f aca="false">PR_PH(C$2,$A16)</f>
        <v>12.8499313174175</v>
      </c>
      <c r="D16" s="39" t="n">
        <f aca="false">PR_PH(D$2,$A16)</f>
        <v>12.8499387120993</v>
      </c>
      <c r="E16" s="39" t="n">
        <f aca="false">PR_PH(E$2,$A16)</f>
        <v>12.8499461067883</v>
      </c>
      <c r="F16" s="39" t="n">
        <f aca="false">PR_PH(F$2,$A16)</f>
        <v>12.8499535014842</v>
      </c>
      <c r="G16" s="39" t="n">
        <f aca="false">PR_PH(G$2,$A16)</f>
        <v>12.8500274488289</v>
      </c>
      <c r="H16" s="39" t="n">
        <f aca="false">PR_PH(H$2,$A16)</f>
        <v>12.8501013968749</v>
      </c>
      <c r="I16" s="39" t="n">
        <f aca="false">PR_PH(I$2,$A16)</f>
        <v>12.8501753456225</v>
      </c>
      <c r="J16" s="39" t="n">
        <f aca="false">PR_PH(J$2,$A16)</f>
        <v>12.8502492950714</v>
      </c>
      <c r="K16" s="39" t="n">
        <f aca="false">PR_PH(K$2,$A16)</f>
        <v>12.8503232452218</v>
      </c>
      <c r="L16" s="39" t="n">
        <f aca="false">PR_PH(L$2,$A16)</f>
        <v>12.850397196074</v>
      </c>
      <c r="M16" s="39" t="n">
        <f aca="false">PR_PH(M$2,$A16)</f>
        <v>12.8504711476275</v>
      </c>
      <c r="N16" s="39" t="n">
        <f aca="false">PR_PH(N$2,$A16)</f>
        <v>12.8505450998827</v>
      </c>
      <c r="O16" s="39" t="n">
        <f aca="false">PR_PH(O$2,$A16)</f>
        <v>12.8506190528392</v>
      </c>
      <c r="P16" s="39" t="n">
        <f aca="false">PR_PH(P$2,$A16)</f>
        <v>12.8513586209909</v>
      </c>
      <c r="Q16" s="39" t="n">
        <f aca="false">PR_PH(Q$2,$A16)</f>
        <v>12.852098259305</v>
      </c>
      <c r="R16" s="39" t="n">
        <f aca="false">PR_PH(R$2,$A16)</f>
        <v>12.8528379677905</v>
      </c>
      <c r="S16" s="39" t="n">
        <f aca="false">PR_PH(S$2,$A16)</f>
        <v>12.8535777464564</v>
      </c>
      <c r="T16" s="39" t="n">
        <f aca="false">PR_PH(T$2,$A16)</f>
        <v>12.8543175953117</v>
      </c>
      <c r="U16" s="39" t="n">
        <f aca="false">PR_PH(U$2,$A16)</f>
        <v>12.8550575143653</v>
      </c>
      <c r="V16" s="39" t="n">
        <f aca="false">PR_PH(V$2,$A16)</f>
        <v>12.8557975036257</v>
      </c>
      <c r="W16" s="39" t="n">
        <f aca="false">PR_PH(W$2,$A16)</f>
        <v>12.8565375631023</v>
      </c>
      <c r="X16" s="39" t="n">
        <f aca="false">PR_PH(X$2,$A16)</f>
        <v>12.857277692804</v>
      </c>
      <c r="Y16" s="39" t="n">
        <f aca="false">PR_PH(Y$2,$A16)</f>
        <v>12.8646828541616</v>
      </c>
      <c r="Z16" s="39" t="n">
        <f aca="false">PR_PH(Z$2,$A16)</f>
        <v>12.8720950478567</v>
      </c>
      <c r="AA16" s="39" t="n">
        <f aca="false">PR_PH(AA$2,$A16)</f>
        <v>12.8795142828468</v>
      </c>
      <c r="AB16" s="39" t="n">
        <f aca="false">PR_PH(AB$2,$A16)</f>
        <v>12.8869405681046</v>
      </c>
      <c r="AC16" s="39" t="n">
        <f aca="false">PR_PH(AC$2,$A16)</f>
        <v>12.8943739126175</v>
      </c>
      <c r="AD16" s="39" t="n">
        <f aca="false">PR_PH(AD$2,$A16)</f>
        <v>12.9018143253878</v>
      </c>
      <c r="AE16" s="39" t="n">
        <f aca="false">PR_PH(AE$2,$A16)</f>
        <v>12.9092618154326</v>
      </c>
      <c r="AF16" s="39" t="n">
        <f aca="false">PR_PH(AF$2,$A16)</f>
        <v>12.9167163917848</v>
      </c>
      <c r="AG16" s="39" t="n">
        <f aca="false">PR_PH(AG$2,$A16)</f>
        <v>12.9241780634918</v>
      </c>
      <c r="AH16" s="39" t="n">
        <f aca="false">PR_PH(AH$2,$A16)</f>
        <v>12.9991870262945</v>
      </c>
      <c r="AI16" s="39" t="n">
        <f aca="false">PR_PH(AI$2,$A16)</f>
        <v>13.0749155894665</v>
      </c>
      <c r="AJ16" s="39" t="n">
        <f aca="false">PR_PH(AJ$2,$A16)</f>
        <v>13.1513730531996</v>
      </c>
      <c r="AK16" s="39" t="n">
        <f aca="false">PR_PH(AK$2,$A16)</f>
        <v>2015</v>
      </c>
      <c r="AL16" s="39" t="n">
        <f aca="false">PR_PH(AL$2,$A16)</f>
        <v>2015</v>
      </c>
      <c r="AM16" s="39" t="n">
        <f aca="false">PR_PH(AM$2,$A16)</f>
        <v>2015</v>
      </c>
      <c r="AN16" s="39" t="n">
        <f aca="false">PR_PH(AN$2,$A16)</f>
        <v>2015</v>
      </c>
      <c r="AO16" s="39" t="n">
        <f aca="false">PR_PH(AO$2,$A16)</f>
        <v>2015</v>
      </c>
      <c r="AP16" s="39" t="n">
        <f aca="false">PR_PH(AP$2,$A16)</f>
        <v>2015</v>
      </c>
      <c r="AQ16" s="39" t="n">
        <f aca="false">PR_PH(AQ$2,$A16)</f>
        <v>2015</v>
      </c>
    </row>
    <row r="17" customFormat="false" ht="13.8" hidden="false" customHeight="false" outlineLevel="0" collapsed="false">
      <c r="A17" s="0" t="n">
        <v>6</v>
      </c>
      <c r="B17" s="39" t="n">
        <f aca="false">PR_PH(B$2,$A17)</f>
        <v>2015</v>
      </c>
      <c r="C17" s="39" t="n">
        <f aca="false">PR_PH(C$2,$A17)</f>
        <v>12.7328855912029</v>
      </c>
      <c r="D17" s="39" t="n">
        <f aca="false">PR_PH(D$2,$A17)</f>
        <v>12.732892882445</v>
      </c>
      <c r="E17" s="39" t="n">
        <f aca="false">PR_PH(E$2,$A17)</f>
        <v>12.7329001736943</v>
      </c>
      <c r="F17" s="39" t="n">
        <f aca="false">PR_PH(F$2,$A17)</f>
        <v>12.7329074649501</v>
      </c>
      <c r="G17" s="39" t="n">
        <f aca="false">PR_PH(G$2,$A17)</f>
        <v>12.7329803778887</v>
      </c>
      <c r="H17" s="39" t="n">
        <f aca="false">PR_PH(H$2,$A17)</f>
        <v>12.7330532915163</v>
      </c>
      <c r="I17" s="39" t="n">
        <f aca="false">PR_PH(I$2,$A17)</f>
        <v>12.7331262058331</v>
      </c>
      <c r="J17" s="39" t="n">
        <f aca="false">PR_PH(J$2,$A17)</f>
        <v>12.7331991208393</v>
      </c>
      <c r="K17" s="39" t="n">
        <f aca="false">PR_PH(K$2,$A17)</f>
        <v>12.7332720365348</v>
      </c>
      <c r="L17" s="39" t="n">
        <f aca="false">PR_PH(L$2,$A17)</f>
        <v>12.7333449529192</v>
      </c>
      <c r="M17" s="39" t="n">
        <f aca="false">PR_PH(M$2,$A17)</f>
        <v>12.7334178699929</v>
      </c>
      <c r="N17" s="39" t="n">
        <f aca="false">PR_PH(N$2,$A17)</f>
        <v>12.7334907877561</v>
      </c>
      <c r="O17" s="39" t="n">
        <f aca="false">PR_PH(O$2,$A17)</f>
        <v>12.7335637062082</v>
      </c>
      <c r="P17" s="39" t="n">
        <f aca="false">PR_PH(P$2,$A17)</f>
        <v>12.7342929286419</v>
      </c>
      <c r="Q17" s="39" t="n">
        <f aca="false">PR_PH(Q$2,$A17)</f>
        <v>12.7350222200108</v>
      </c>
      <c r="R17" s="39" t="n">
        <f aca="false">PR_PH(R$2,$A17)</f>
        <v>12.735751580323</v>
      </c>
      <c r="S17" s="39" t="n">
        <f aca="false">PR_PH(S$2,$A17)</f>
        <v>12.7364810095878</v>
      </c>
      <c r="T17" s="39" t="n">
        <f aca="false">PR_PH(T$2,$A17)</f>
        <v>12.7372105078137</v>
      </c>
      <c r="U17" s="39" t="n">
        <f aca="false">PR_PH(U$2,$A17)</f>
        <v>12.7379400750096</v>
      </c>
      <c r="V17" s="39" t="n">
        <f aca="false">PR_PH(V$2,$A17)</f>
        <v>12.7386697111842</v>
      </c>
      <c r="W17" s="39" t="n">
        <f aca="false">PR_PH(W$2,$A17)</f>
        <v>12.7393994163463</v>
      </c>
      <c r="X17" s="39" t="n">
        <f aca="false">PR_PH(X$2,$A17)</f>
        <v>12.7401291905043</v>
      </c>
      <c r="Y17" s="39" t="n">
        <f aca="false">PR_PH(Y$2,$A17)</f>
        <v>12.7474307287998</v>
      </c>
      <c r="Z17" s="39" t="n">
        <f aca="false">PR_PH(Z$2,$A17)</f>
        <v>12.7547391763433</v>
      </c>
      <c r="AA17" s="39" t="n">
        <f aca="false">PR_PH(AA$2,$A17)</f>
        <v>12.7620545419061</v>
      </c>
      <c r="AB17" s="39" t="n">
        <f aca="false">PR_PH(AB$2,$A17)</f>
        <v>12.7693768342735</v>
      </c>
      <c r="AC17" s="39" t="n">
        <f aca="false">PR_PH(AC$2,$A17)</f>
        <v>12.7767060622456</v>
      </c>
      <c r="AD17" s="39" t="n">
        <f aca="false">PR_PH(AD$2,$A17)</f>
        <v>12.7840422346367</v>
      </c>
      <c r="AE17" s="39" t="n">
        <f aca="false">PR_PH(AE$2,$A17)</f>
        <v>12.7913853602766</v>
      </c>
      <c r="AF17" s="39" t="n">
        <f aca="false">PR_PH(AF$2,$A17)</f>
        <v>12.7987354480088</v>
      </c>
      <c r="AG17" s="39" t="n">
        <f aca="false">PR_PH(AG$2,$A17)</f>
        <v>12.8060925066923</v>
      </c>
      <c r="AH17" s="39" t="n">
        <f aca="false">PR_PH(AH$2,$A17)</f>
        <v>12.8800484552991</v>
      </c>
      <c r="AI17" s="39" t="n">
        <f aca="false">PR_PH(AI$2,$A17)</f>
        <v>12.9547113537376</v>
      </c>
      <c r="AJ17" s="39" t="n">
        <f aca="false">PR_PH(AJ$2,$A17)</f>
        <v>13.0300903077097</v>
      </c>
      <c r="AK17" s="39" t="n">
        <f aca="false">PR_PH(AK$2,$A17)</f>
        <v>13.1061945764388</v>
      </c>
      <c r="AL17" s="39" t="n">
        <f aca="false">PR_PH(AL$2,$A17)</f>
        <v>2015</v>
      </c>
      <c r="AM17" s="39" t="n">
        <f aca="false">PR_PH(AM$2,$A17)</f>
        <v>2015</v>
      </c>
      <c r="AN17" s="39" t="n">
        <f aca="false">PR_PH(AN$2,$A17)</f>
        <v>2015</v>
      </c>
      <c r="AO17" s="39" t="n">
        <f aca="false">PR_PH(AO$2,$A17)</f>
        <v>2015</v>
      </c>
      <c r="AP17" s="39" t="n">
        <f aca="false">PR_PH(AP$2,$A17)</f>
        <v>2015</v>
      </c>
      <c r="AQ17" s="39" t="n">
        <f aca="false">PR_PH(AQ$2,$A17)</f>
        <v>2015</v>
      </c>
    </row>
    <row r="18" customFormat="false" ht="13.8" hidden="false" customHeight="false" outlineLevel="0" collapsed="false">
      <c r="A18" s="0" t="n">
        <v>7</v>
      </c>
      <c r="B18" s="39" t="n">
        <f aca="false">PR_PH(B$2,$A18)</f>
        <v>2015</v>
      </c>
      <c r="C18" s="39" t="n">
        <f aca="false">PR_PH(C$2,$A18)</f>
        <v>12.6174828591641</v>
      </c>
      <c r="D18" s="39" t="n">
        <f aca="false">PR_PH(D$2,$A18)</f>
        <v>12.6174900489156</v>
      </c>
      <c r="E18" s="39" t="n">
        <f aca="false">PR_PH(E$2,$A18)</f>
        <v>12.6174972386741</v>
      </c>
      <c r="F18" s="39" t="n">
        <f aca="false">PR_PH(F$2,$A18)</f>
        <v>12.6175044284393</v>
      </c>
      <c r="G18" s="39" t="n">
        <f aca="false">PR_PH(G$2,$A18)</f>
        <v>12.6175763264633</v>
      </c>
      <c r="H18" s="39" t="n">
        <f aca="false">PR_PH(H$2,$A18)</f>
        <v>12.6176482251647</v>
      </c>
      <c r="I18" s="39" t="n">
        <f aca="false">PR_PH(I$2,$A18)</f>
        <v>12.6177201245429</v>
      </c>
      <c r="J18" s="39" t="n">
        <f aca="false">PR_PH(J$2,$A18)</f>
        <v>12.6177920245987</v>
      </c>
      <c r="K18" s="39" t="n">
        <f aca="false">PR_PH(K$2,$A18)</f>
        <v>12.6178639253314</v>
      </c>
      <c r="L18" s="39" t="n">
        <f aca="false">PR_PH(L$2,$A18)</f>
        <v>12.6179358267414</v>
      </c>
      <c r="M18" s="39" t="n">
        <f aca="false">PR_PH(M$2,$A18)</f>
        <v>12.6180077288288</v>
      </c>
      <c r="N18" s="39" t="n">
        <f aca="false">PR_PH(N$2,$A18)</f>
        <v>12.6180796315932</v>
      </c>
      <c r="O18" s="39" t="n">
        <f aca="false">PR_PH(O$2,$A18)</f>
        <v>12.6181515350352</v>
      </c>
      <c r="P18" s="39" t="n">
        <f aca="false">PR_PH(P$2,$A18)</f>
        <v>12.6188706067046</v>
      </c>
      <c r="Q18" s="39" t="n">
        <f aca="false">PR_PH(Q$2,$A18)</f>
        <v>12.6195897461092</v>
      </c>
      <c r="R18" s="39" t="n">
        <f aca="false">PR_PH(R$2,$A18)</f>
        <v>12.6203089532577</v>
      </c>
      <c r="S18" s="39" t="n">
        <f aca="false">PR_PH(S$2,$A18)</f>
        <v>12.621028228158</v>
      </c>
      <c r="T18" s="39" t="n">
        <f aca="false">PR_PH(T$2,$A18)</f>
        <v>12.6217475708198</v>
      </c>
      <c r="U18" s="39" t="n">
        <f aca="false">PR_PH(U$2,$A18)</f>
        <v>12.6224669812506</v>
      </c>
      <c r="V18" s="39" t="n">
        <f aca="false">PR_PH(V$2,$A18)</f>
        <v>12.6231864594593</v>
      </c>
      <c r="W18" s="39" t="n">
        <f aca="false">PR_PH(W$2,$A18)</f>
        <v>12.623906005455</v>
      </c>
      <c r="X18" s="39" t="n">
        <f aca="false">PR_PH(X$2,$A18)</f>
        <v>12.6246256192455</v>
      </c>
      <c r="Y18" s="39" t="n">
        <f aca="false">PR_PH(Y$2,$A18)</f>
        <v>12.6318254877684</v>
      </c>
      <c r="Z18" s="39" t="n">
        <f aca="false">PR_PH(Z$2,$A18)</f>
        <v>12.6390321452357</v>
      </c>
      <c r="AA18" s="39" t="n">
        <f aca="false">PR_PH(AA$2,$A18)</f>
        <v>12.6462456002366</v>
      </c>
      <c r="AB18" s="39" t="n">
        <f aca="false">PR_PH(AB$2,$A18)</f>
        <v>12.6534658613741</v>
      </c>
      <c r="AC18" s="39" t="n">
        <f aca="false">PR_PH(AC$2,$A18)</f>
        <v>12.6606929372652</v>
      </c>
      <c r="AD18" s="39" t="n">
        <f aca="false">PR_PH(AD$2,$A18)</f>
        <v>12.6679268365419</v>
      </c>
      <c r="AE18" s="39" t="n">
        <f aca="false">PR_PH(AE$2,$A18)</f>
        <v>12.6751675678495</v>
      </c>
      <c r="AF18" s="39" t="n">
        <f aca="false">PR_PH(AF$2,$A18)</f>
        <v>12.6824151398489</v>
      </c>
      <c r="AG18" s="39" t="n">
        <f aca="false">PR_PH(AG$2,$A18)</f>
        <v>12.6896695612143</v>
      </c>
      <c r="AH18" s="39" t="n">
        <f aca="false">PR_PH(AH$2,$A18)</f>
        <v>12.7625924087421</v>
      </c>
      <c r="AI18" s="39" t="n">
        <f aca="false">PR_PH(AI$2,$A18)</f>
        <v>12.8362098426816</v>
      </c>
      <c r="AJ18" s="39" t="n">
        <f aca="false">PR_PH(AJ$2,$A18)</f>
        <v>12.9105307791255</v>
      </c>
      <c r="AK18" s="39" t="n">
        <f aca="false">PR_PH(AK$2,$A18)</f>
        <v>12.9855642842179</v>
      </c>
      <c r="AL18" s="39" t="n">
        <f aca="false">PR_PH(AL$2,$A18)</f>
        <v>13.0613195771921</v>
      </c>
      <c r="AM18" s="39" t="n">
        <f aca="false">PR_PH(AM$2,$A18)</f>
        <v>2015</v>
      </c>
      <c r="AN18" s="39" t="n">
        <f aca="false">PR_PH(AN$2,$A18)</f>
        <v>2015</v>
      </c>
      <c r="AO18" s="39" t="n">
        <f aca="false">PR_PH(AO$2,$A18)</f>
        <v>2015</v>
      </c>
      <c r="AP18" s="39" t="n">
        <f aca="false">PR_PH(AP$2,$A18)</f>
        <v>2015</v>
      </c>
      <c r="AQ18" s="39" t="n">
        <f aca="false">PR_PH(AQ$2,$A18)</f>
        <v>2015</v>
      </c>
    </row>
    <row r="19" customFormat="false" ht="13.8" hidden="false" customHeight="false" outlineLevel="0" collapsed="false">
      <c r="A19" s="0" t="n">
        <v>8</v>
      </c>
      <c r="B19" s="39" t="n">
        <f aca="false">PR_PH(B$2,$A19)</f>
        <v>2015</v>
      </c>
      <c r="C19" s="39" t="n">
        <f aca="false">PR_PH(C$2,$A19)</f>
        <v>12.5036921762877</v>
      </c>
      <c r="D19" s="39" t="n">
        <f aca="false">PR_PH(D$2,$A19)</f>
        <v>12.5036992664518</v>
      </c>
      <c r="E19" s="39" t="n">
        <f aca="false">PR_PH(E$2,$A19)</f>
        <v>12.5037063566225</v>
      </c>
      <c r="F19" s="39" t="n">
        <f aca="false">PR_PH(F$2,$A19)</f>
        <v>12.5037134468</v>
      </c>
      <c r="G19" s="39" t="n">
        <f aca="false">PR_PH(G$2,$A19)</f>
        <v>12.50378434894</v>
      </c>
      <c r="H19" s="39" t="n">
        <f aca="false">PR_PH(H$2,$A19)</f>
        <v>12.5038552517455</v>
      </c>
      <c r="I19" s="39" t="n">
        <f aca="false">PR_PH(I$2,$A19)</f>
        <v>12.5039261552166</v>
      </c>
      <c r="J19" s="39" t="n">
        <f aca="false">PR_PH(J$2,$A19)</f>
        <v>12.5039970593529</v>
      </c>
      <c r="K19" s="39" t="n">
        <f aca="false">PR_PH(K$2,$A19)</f>
        <v>12.504067964155</v>
      </c>
      <c r="L19" s="39" t="n">
        <f aca="false">PR_PH(L$2,$A19)</f>
        <v>12.5041388696224</v>
      </c>
      <c r="M19" s="39" t="n">
        <f aca="false">PR_PH(M$2,$A19)</f>
        <v>12.5042097757554</v>
      </c>
      <c r="N19" s="39" t="n">
        <f aca="false">PR_PH(N$2,$A19)</f>
        <v>12.5042806825539</v>
      </c>
      <c r="O19" s="39" t="n">
        <f aca="false">PR_PH(O$2,$A19)</f>
        <v>12.504351590018</v>
      </c>
      <c r="P19" s="39" t="n">
        <f aca="false">PR_PH(P$2,$A19)</f>
        <v>12.5050607012647</v>
      </c>
      <c r="Q19" s="39" t="n">
        <f aca="false">PR_PH(Q$2,$A19)</f>
        <v>12.5057698790739</v>
      </c>
      <c r="R19" s="39" t="n">
        <f aca="false">PR_PH(R$2,$A19)</f>
        <v>12.5064791234539</v>
      </c>
      <c r="S19" s="39" t="n">
        <f aca="false">PR_PH(S$2,$A19)</f>
        <v>12.5071884344131</v>
      </c>
      <c r="T19" s="39" t="n">
        <f aca="false">PR_PH(T$2,$A19)</f>
        <v>12.5078978119598</v>
      </c>
      <c r="U19" s="39" t="n">
        <f aca="false">PR_PH(U$2,$A19)</f>
        <v>12.5086072561024</v>
      </c>
      <c r="V19" s="39" t="n">
        <f aca="false">PR_PH(V$2,$A19)</f>
        <v>12.5093167668494</v>
      </c>
      <c r="W19" s="39" t="n">
        <f aca="false">PR_PH(W$2,$A19)</f>
        <v>12.5100263442092</v>
      </c>
      <c r="X19" s="39" t="n">
        <f aca="false">PR_PH(X$2,$A19)</f>
        <v>12.5107359881902</v>
      </c>
      <c r="Y19" s="39" t="n">
        <f aca="false">PR_PH(Y$2,$A19)</f>
        <v>12.5178360940073</v>
      </c>
      <c r="Z19" s="39" t="n">
        <f aca="false">PR_PH(Z$2,$A19)</f>
        <v>12.5249428711743</v>
      </c>
      <c r="AA19" s="39" t="n">
        <f aca="false">PR_PH(AA$2,$A19)</f>
        <v>12.532056328102</v>
      </c>
      <c r="AB19" s="39" t="n">
        <f aca="false">PR_PH(AB$2,$A19)</f>
        <v>12.5391764732163</v>
      </c>
      <c r="AC19" s="39" t="n">
        <f aca="false">PR_PH(AC$2,$A19)</f>
        <v>12.546303314956</v>
      </c>
      <c r="AD19" s="39" t="n">
        <f aca="false">PR_PH(AD$2,$A19)</f>
        <v>12.5534368617743</v>
      </c>
      <c r="AE19" s="39" t="n">
        <f aca="false">PR_PH(AE$2,$A19)</f>
        <v>12.5605771221384</v>
      </c>
      <c r="AF19" s="39" t="n">
        <f aca="false">PR_PH(AF$2,$A19)</f>
        <v>12.5677241045291</v>
      </c>
      <c r="AG19" s="39" t="n">
        <f aca="false">PR_PH(AG$2,$A19)</f>
        <v>12.5748778174419</v>
      </c>
      <c r="AH19" s="39" t="n">
        <f aca="false">PR_PH(AH$2,$A19)</f>
        <v>12.6467870043078</v>
      </c>
      <c r="AI19" s="39" t="n">
        <f aca="false">PR_PH(AI$2,$A19)</f>
        <v>12.7193786933653</v>
      </c>
      <c r="AJ19" s="39" t="n">
        <f aca="false">PR_PH(AJ$2,$A19)</f>
        <v>12.7926616158352</v>
      </c>
      <c r="AK19" s="39" t="n">
        <f aca="false">PR_PH(AK$2,$A19)</f>
        <v>12.8666446496069</v>
      </c>
      <c r="AL19" s="39" t="n">
        <f aca="false">PR_PH(AL$2,$A19)</f>
        <v>12.9413368222053</v>
      </c>
      <c r="AM19" s="39" t="n">
        <f aca="false">PR_PH(AM$2,$A19)</f>
        <v>13.016747313839</v>
      </c>
      <c r="AN19" s="39" t="n">
        <f aca="false">PR_PH(AN$2,$A19)</f>
        <v>2015</v>
      </c>
      <c r="AO19" s="39" t="n">
        <f aca="false">PR_PH(AO$2,$A19)</f>
        <v>2015</v>
      </c>
      <c r="AP19" s="39" t="n">
        <f aca="false">PR_PH(AP$2,$A19)</f>
        <v>2015</v>
      </c>
      <c r="AQ19" s="39" t="n">
        <f aca="false">PR_PH(AQ$2,$A19)</f>
        <v>2015</v>
      </c>
    </row>
    <row r="20" customFormat="false" ht="13.8" hidden="false" customHeight="false" outlineLevel="0" collapsed="false">
      <c r="A20" s="0" t="n">
        <v>9</v>
      </c>
      <c r="B20" s="39" t="n">
        <f aca="false">PR_PH(B$2,$A20)</f>
        <v>2015</v>
      </c>
      <c r="C20" s="39" t="n">
        <f aca="false">PR_PH(C$2,$A20)</f>
        <v>2015</v>
      </c>
      <c r="D20" s="39" t="n">
        <f aca="false">PR_PH(D$2,$A20)</f>
        <v>12.3914903171571</v>
      </c>
      <c r="E20" s="39" t="n">
        <f aca="false">PR_PH(E$2,$A20)</f>
        <v>12.3914973095984</v>
      </c>
      <c r="F20" s="39" t="n">
        <f aca="false">PR_PH(F$2,$A20)</f>
        <v>12.3915043020464</v>
      </c>
      <c r="G20" s="39" t="n">
        <f aca="false">PR_PH(G$2,$A20)</f>
        <v>12.3915742268847</v>
      </c>
      <c r="H20" s="39" t="n">
        <f aca="false">PR_PH(H$2,$A20)</f>
        <v>12.3916441523773</v>
      </c>
      <c r="I20" s="39" t="n">
        <f aca="false">PR_PH(I$2,$A20)</f>
        <v>12.3917140785238</v>
      </c>
      <c r="J20" s="39" t="n">
        <f aca="false">PR_PH(J$2,$A20)</f>
        <v>12.3917840053245</v>
      </c>
      <c r="K20" s="39" t="n">
        <f aca="false">PR_PH(K$2,$A20)</f>
        <v>12.391853932779</v>
      </c>
      <c r="L20" s="39" t="n">
        <f aca="false">PR_PH(L$2,$A20)</f>
        <v>12.3919238608877</v>
      </c>
      <c r="M20" s="39" t="n">
        <f aca="false">PR_PH(M$2,$A20)</f>
        <v>12.3919937896505</v>
      </c>
      <c r="N20" s="39" t="n">
        <f aca="false">PR_PH(N$2,$A20)</f>
        <v>12.3920637190672</v>
      </c>
      <c r="O20" s="39" t="n">
        <f aca="false">PR_PH(O$2,$A20)</f>
        <v>12.392133649138</v>
      </c>
      <c r="P20" s="39" t="n">
        <f aca="false">PR_PH(P$2,$A20)</f>
        <v>12.3928329858219</v>
      </c>
      <c r="Q20" s="39" t="n">
        <f aca="false">PR_PH(Q$2,$A20)</f>
        <v>12.3935323879218</v>
      </c>
      <c r="R20" s="39" t="n">
        <f aca="false">PR_PH(R$2,$A20)</f>
        <v>12.3942318554458</v>
      </c>
      <c r="S20" s="39" t="n">
        <f aca="false">PR_PH(S$2,$A20)</f>
        <v>12.3949313884022</v>
      </c>
      <c r="T20" s="39" t="n">
        <f aca="false">PR_PH(T$2,$A20)</f>
        <v>12.3956309867994</v>
      </c>
      <c r="U20" s="39" t="n">
        <f aca="false">PR_PH(U$2,$A20)</f>
        <v>12.396330650645</v>
      </c>
      <c r="V20" s="39" t="n">
        <f aca="false">PR_PH(V$2,$A20)</f>
        <v>12.3970303799478</v>
      </c>
      <c r="W20" s="39" t="n">
        <f aca="false">PR_PH(W$2,$A20)</f>
        <v>12.3977301747157</v>
      </c>
      <c r="X20" s="39" t="n">
        <f aca="false">PR_PH(X$2,$A20)</f>
        <v>12.3984300349571</v>
      </c>
      <c r="Y20" s="39" t="n">
        <f aca="false">PR_PH(Y$2,$A20)</f>
        <v>12.4054322402172</v>
      </c>
      <c r="Z20" s="39" t="n">
        <f aca="false">PR_PH(Z$2,$A20)</f>
        <v>12.412441001867</v>
      </c>
      <c r="AA20" s="39" t="n">
        <f aca="false">PR_PH(AA$2,$A20)</f>
        <v>12.4194563281447</v>
      </c>
      <c r="AB20" s="39" t="n">
        <f aca="false">PR_PH(AB$2,$A20)</f>
        <v>12.4264782273024</v>
      </c>
      <c r="AC20" s="39" t="n">
        <f aca="false">PR_PH(AC$2,$A20)</f>
        <v>12.4335067076049</v>
      </c>
      <c r="AD20" s="39" t="n">
        <f aca="false">PR_PH(AD$2,$A20)</f>
        <v>12.4405417773319</v>
      </c>
      <c r="AE20" s="39" t="n">
        <f aca="false">PR_PH(AE$2,$A20)</f>
        <v>12.4475834447758</v>
      </c>
      <c r="AF20" s="39" t="n">
        <f aca="false">PR_PH(AF$2,$A20)</f>
        <v>12.4546317182432</v>
      </c>
      <c r="AG20" s="39" t="n">
        <f aca="false">PR_PH(AG$2,$A20)</f>
        <v>12.4616866060542</v>
      </c>
      <c r="AH20" s="39" t="n">
        <f aca="false">PR_PH(AH$2,$A20)</f>
        <v>12.5326011133681</v>
      </c>
      <c r="AI20" s="39" t="n">
        <f aca="false">PR_PH(AI$2,$A20)</f>
        <v>12.6041863101937</v>
      </c>
      <c r="AJ20" s="39" t="n">
        <f aca="false">PR_PH(AJ$2,$A20)</f>
        <v>12.6764507474747</v>
      </c>
      <c r="AK20" s="39" t="n">
        <f aca="false">PR_PH(AK$2,$A20)</f>
        <v>12.7494031195287</v>
      </c>
      <c r="AL20" s="39" t="n">
        <f aca="false">PR_PH(AL$2,$A20)</f>
        <v>12.8230522669437</v>
      </c>
      <c r="AM20" s="39" t="n">
        <f aca="false">PR_PH(AM$2,$A20)</f>
        <v>12.8974071795521</v>
      </c>
      <c r="AN20" s="39" t="n">
        <f aca="false">PR_PH(AN$2,$A20)</f>
        <v>12.9724769994861</v>
      </c>
      <c r="AO20" s="39" t="n">
        <f aca="false">PR_PH(AO$2,$A20)</f>
        <v>2015</v>
      </c>
      <c r="AP20" s="39" t="n">
        <f aca="false">PR_PH(AP$2,$A20)</f>
        <v>2015</v>
      </c>
      <c r="AQ20" s="39" t="n">
        <f aca="false">PR_PH(AQ$2,$A20)</f>
        <v>2015</v>
      </c>
    </row>
    <row r="21" customFormat="false" ht="13.8" hidden="false" customHeight="false" outlineLevel="0" collapsed="false">
      <c r="A21" s="0" t="n">
        <v>10</v>
      </c>
      <c r="B21" s="39" t="n">
        <f aca="false">PR_PH(B$2,$A21)</f>
        <v>2015</v>
      </c>
      <c r="C21" s="39" t="n">
        <f aca="false">PR_PH(C$2,$A21)</f>
        <v>2015</v>
      </c>
      <c r="D21" s="39" t="n">
        <f aca="false">PR_PH(D$2,$A21)</f>
        <v>12.2808336900207</v>
      </c>
      <c r="E21" s="39" t="n">
        <f aca="false">PR_PH(E$2,$A21)</f>
        <v>12.2808405865473</v>
      </c>
      <c r="F21" s="39" t="n">
        <f aca="false">PR_PH(F$2,$A21)</f>
        <v>12.2808474830804</v>
      </c>
      <c r="G21" s="39" t="n">
        <f aca="false">PR_PH(G$2,$A21)</f>
        <v>12.2809164487643</v>
      </c>
      <c r="H21" s="39" t="n">
        <f aca="false">PR_PH(H$2,$A21)</f>
        <v>12.2809854150912</v>
      </c>
      <c r="I21" s="39" t="n">
        <f aca="false">PR_PH(I$2,$A21)</f>
        <v>12.2810543820607</v>
      </c>
      <c r="J21" s="39" t="n">
        <f aca="false">PR_PH(J$2,$A21)</f>
        <v>12.281123349673</v>
      </c>
      <c r="K21" s="39" t="n">
        <f aca="false">PR_PH(K$2,$A21)</f>
        <v>12.2811923179283</v>
      </c>
      <c r="L21" s="39" t="n">
        <f aca="false">PR_PH(L$2,$A21)</f>
        <v>12.2812612868263</v>
      </c>
      <c r="M21" s="39" t="n">
        <f aca="false">PR_PH(M$2,$A21)</f>
        <v>12.2813302563671</v>
      </c>
      <c r="N21" s="39" t="n">
        <f aca="false">PR_PH(N$2,$A21)</f>
        <v>12.2813992265509</v>
      </c>
      <c r="O21" s="39" t="n">
        <f aca="false">PR_PH(O$2,$A21)</f>
        <v>12.2814681973777</v>
      </c>
      <c r="P21" s="39" t="n">
        <f aca="false">PR_PH(P$2,$A21)</f>
        <v>12.2821579410028</v>
      </c>
      <c r="Q21" s="39" t="n">
        <f aca="false">PR_PH(Q$2,$A21)</f>
        <v>12.2828477489231</v>
      </c>
      <c r="R21" s="39" t="n">
        <f aca="false">PR_PH(R$2,$A21)</f>
        <v>12.2835376211464</v>
      </c>
      <c r="S21" s="39" t="n">
        <f aca="false">PR_PH(S$2,$A21)</f>
        <v>12.2842275576809</v>
      </c>
      <c r="T21" s="39" t="n">
        <f aca="false">PR_PH(T$2,$A21)</f>
        <v>12.2849175585341</v>
      </c>
      <c r="U21" s="39" t="n">
        <f aca="false">PR_PH(U$2,$A21)</f>
        <v>12.2856076237149</v>
      </c>
      <c r="V21" s="39" t="n">
        <f aca="false">PR_PH(V$2,$A21)</f>
        <v>12.2862977532308</v>
      </c>
      <c r="W21" s="39" t="n">
        <f aca="false">PR_PH(W$2,$A21)</f>
        <v>12.2869879470901</v>
      </c>
      <c r="X21" s="39" t="n">
        <f aca="false">PR_PH(X$2,$A21)</f>
        <v>12.2876782053004</v>
      </c>
      <c r="Y21" s="39" t="n">
        <f aca="false">PR_PH(Y$2,$A21)</f>
        <v>12.2945843284978</v>
      </c>
      <c r="Z21" s="39" t="n">
        <f aca="false">PR_PH(Z$2,$A21)</f>
        <v>12.3014968956882</v>
      </c>
      <c r="AA21" s="39" t="n">
        <f aca="false">PR_PH(AA$2,$A21)</f>
        <v>12.3084159149401</v>
      </c>
      <c r="AB21" s="39" t="n">
        <f aca="false">PR_PH(AB$2,$A21)</f>
        <v>12.3153413943369</v>
      </c>
      <c r="AC21" s="39" t="n">
        <f aca="false">PR_PH(AC$2,$A21)</f>
        <v>12.3222733419746</v>
      </c>
      <c r="AD21" s="39" t="n">
        <f aca="false">PR_PH(AD$2,$A21)</f>
        <v>12.329211765962</v>
      </c>
      <c r="AE21" s="39" t="n">
        <f aca="false">PR_PH(AE$2,$A21)</f>
        <v>12.3361566744225</v>
      </c>
      <c r="AF21" s="39" t="n">
        <f aca="false">PR_PH(AF$2,$A21)</f>
        <v>12.3431080754913</v>
      </c>
      <c r="AG21" s="39" t="n">
        <f aca="false">PR_PH(AG$2,$A21)</f>
        <v>12.3500659773185</v>
      </c>
      <c r="AH21" s="39" t="n">
        <f aca="false">PR_PH(AH$2,$A21)</f>
        <v>12.4200043398398</v>
      </c>
      <c r="AI21" s="39" t="n">
        <f aca="false">PR_PH(AI$2,$A21)</f>
        <v>12.4906018433179</v>
      </c>
      <c r="AJ21" s="39" t="n">
        <f aca="false">PR_PH(AJ$2,$A21)</f>
        <v>12.5618668628794</v>
      </c>
      <c r="AK21" s="39" t="n">
        <f aca="false">PR_PH(AK$2,$A21)</f>
        <v>12.6338079138152</v>
      </c>
      <c r="AL21" s="39" t="n">
        <f aca="false">PR_PH(AL$2,$A21)</f>
        <v>12.7064336544074</v>
      </c>
      <c r="AM21" s="39" t="n">
        <f aca="false">PR_PH(AM$2,$A21)</f>
        <v>12.7797528888318</v>
      </c>
      <c r="AN21" s="39" t="n">
        <f aca="false">PR_PH(AN$2,$A21)</f>
        <v>12.853774570139</v>
      </c>
      <c r="AO21" s="39" t="n">
        <f aca="false">PR_PH(AO$2,$A21)</f>
        <v>12.9285078033178</v>
      </c>
      <c r="AP21" s="39" t="n">
        <f aca="false">PR_PH(AP$2,$A21)</f>
        <v>2015</v>
      </c>
      <c r="AQ21" s="39" t="n">
        <f aca="false">PR_PH(AQ$2,$A21)</f>
        <v>2015</v>
      </c>
    </row>
    <row r="22" customFormat="false" ht="13.8" hidden="false" customHeight="false" outlineLevel="0" collapsed="false">
      <c r="A22" s="0" t="n">
        <v>20</v>
      </c>
      <c r="B22" s="39" t="n">
        <f aca="false">PR_PH(B$2,$A22)</f>
        <v>2015</v>
      </c>
      <c r="C22" s="39" t="n">
        <f aca="false">PR_PH(C$2,$A22)</f>
        <v>2015</v>
      </c>
      <c r="D22" s="39" t="n">
        <f aca="false">PR_PH(D$2,$A22)</f>
        <v>2015</v>
      </c>
      <c r="E22" s="39" t="n">
        <f aca="false">PR_PH(E$2,$A22)</f>
        <v>11.2536266760162</v>
      </c>
      <c r="F22" s="39" t="n">
        <f aca="false">PR_PH(F$2,$A22)</f>
        <v>11.2536327044507</v>
      </c>
      <c r="G22" s="39" t="n">
        <f aca="false">PR_PH(G$2,$A22)</f>
        <v>11.2536929890961</v>
      </c>
      <c r="H22" s="39" t="n">
        <f aca="false">PR_PH(H$2,$A22)</f>
        <v>11.2537532742848</v>
      </c>
      <c r="I22" s="39" t="n">
        <f aca="false">PR_PH(I$2,$A22)</f>
        <v>11.2538135600168</v>
      </c>
      <c r="J22" s="39" t="n">
        <f aca="false">PR_PH(J$2,$A22)</f>
        <v>11.2538738462923</v>
      </c>
      <c r="K22" s="39" t="n">
        <f aca="false">PR_PH(K$2,$A22)</f>
        <v>11.2539341331111</v>
      </c>
      <c r="L22" s="39" t="n">
        <f aca="false">PR_PH(L$2,$A22)</f>
        <v>11.2539944204733</v>
      </c>
      <c r="M22" s="39" t="n">
        <f aca="false">PR_PH(M$2,$A22)</f>
        <v>11.2540547083789</v>
      </c>
      <c r="N22" s="39" t="n">
        <f aca="false">PR_PH(N$2,$A22)</f>
        <v>11.2541149968279</v>
      </c>
      <c r="O22" s="39" t="n">
        <f aca="false">PR_PH(O$2,$A22)</f>
        <v>11.2541752858203</v>
      </c>
      <c r="P22" s="39" t="n">
        <f aca="false">PR_PH(P$2,$A22)</f>
        <v>11.2547782056342</v>
      </c>
      <c r="Q22" s="39" t="n">
        <f aca="false">PR_PH(Q$2,$A22)</f>
        <v>11.255381179797</v>
      </c>
      <c r="R22" s="39" t="n">
        <f aca="false">PR_PH(R$2,$A22)</f>
        <v>11.2559842083155</v>
      </c>
      <c r="S22" s="39" t="n">
        <f aca="false">PR_PH(S$2,$A22)</f>
        <v>11.2565872911961</v>
      </c>
      <c r="T22" s="39" t="n">
        <f aca="false">PR_PH(T$2,$A22)</f>
        <v>11.2571904284452</v>
      </c>
      <c r="U22" s="39" t="n">
        <f aca="false">PR_PH(U$2,$A22)</f>
        <v>11.2577936200697</v>
      </c>
      <c r="V22" s="39" t="n">
        <f aca="false">PR_PH(V$2,$A22)</f>
        <v>11.2583968660758</v>
      </c>
      <c r="W22" s="39" t="n">
        <f aca="false">PR_PH(W$2,$A22)</f>
        <v>11.2590001664704</v>
      </c>
      <c r="X22" s="39" t="n">
        <f aca="false">PR_PH(X$2,$A22)</f>
        <v>11.2596035212599</v>
      </c>
      <c r="Y22" s="39" t="n">
        <f aca="false">PR_PH(Y$2,$A22)</f>
        <v>11.2656400623246</v>
      </c>
      <c r="Z22" s="39" t="n">
        <f aca="false">PR_PH(Z$2,$A22)</f>
        <v>11.2716820501232</v>
      </c>
      <c r="AA22" s="39" t="n">
        <f aca="false">PR_PH(AA$2,$A22)</f>
        <v>11.2777294912462</v>
      </c>
      <c r="AB22" s="39" t="n">
        <f aca="false">PR_PH(AB$2,$A22)</f>
        <v>11.2837823922951</v>
      </c>
      <c r="AC22" s="39" t="n">
        <f aca="false">PR_PH(AC$2,$A22)</f>
        <v>11.2898407598818</v>
      </c>
      <c r="AD22" s="39" t="n">
        <f aca="false">PR_PH(AD$2,$A22)</f>
        <v>11.295904600629</v>
      </c>
      <c r="AE22" s="39" t="n">
        <f aca="false">PR_PH(AE$2,$A22)</f>
        <v>11.3019739211703</v>
      </c>
      <c r="AF22" s="39" t="n">
        <f aca="false">PR_PH(AF$2,$A22)</f>
        <v>11.3080487281496</v>
      </c>
      <c r="AG22" s="39" t="n">
        <f aca="false">PR_PH(AG$2,$A22)</f>
        <v>11.3141290282219</v>
      </c>
      <c r="AH22" s="39" t="n">
        <f aca="false">PR_PH(AH$2,$A22)</f>
        <v>11.3752356208622</v>
      </c>
      <c r="AI22" s="39" t="n">
        <f aca="false">PR_PH(AI$2,$A22)</f>
        <v>11.4368989238115</v>
      </c>
      <c r="AJ22" s="39" t="n">
        <f aca="false">PR_PH(AJ$2,$A22)</f>
        <v>11.4991257726568</v>
      </c>
      <c r="AK22" s="39" t="n">
        <f aca="false">PR_PH(AK$2,$A22)</f>
        <v>11.5619231151936</v>
      </c>
      <c r="AL22" s="39" t="n">
        <f aca="false">PR_PH(AL$2,$A22)</f>
        <v>11.6252980136469</v>
      </c>
      <c r="AM22" s="39" t="n">
        <f aca="false">PR_PH(AM$2,$A22)</f>
        <v>11.689257646949</v>
      </c>
      <c r="AN22" s="39" t="n">
        <f aca="false">PR_PH(AN$2,$A22)</f>
        <v>11.7538093130798</v>
      </c>
      <c r="AO22" s="39" t="n">
        <f aca="false">PR_PH(AO$2,$A22)</f>
        <v>11.8189604314709</v>
      </c>
      <c r="AP22" s="39" t="n">
        <f aca="false">PR_PH(AP$2,$A22)</f>
        <v>11.8847185454735</v>
      </c>
      <c r="AQ22" s="39" t="n">
        <f aca="false">PR_PH(AQ$2,$A22)</f>
        <v>2015</v>
      </c>
    </row>
    <row r="23" customFormat="false" ht="13.8" hidden="false" customHeight="false" outlineLevel="0" collapsed="false">
      <c r="A23" s="0" t="n">
        <v>30</v>
      </c>
      <c r="B23" s="39" t="n">
        <f aca="false">PR_PH(B$2,$A23)</f>
        <v>2015</v>
      </c>
      <c r="C23" s="39" t="n">
        <f aca="false">PR_PH(C$2,$A23)</f>
        <v>2015</v>
      </c>
      <c r="D23" s="39" t="n">
        <f aca="false">PR_PH(D$2,$A23)</f>
        <v>2015</v>
      </c>
      <c r="E23" s="39" t="n">
        <f aca="false">PR_PH(E$2,$A23)</f>
        <v>2015</v>
      </c>
      <c r="F23" s="39" t="n">
        <f aca="false">PR_PH(F$2,$A23)</f>
        <v>10.3537547139258</v>
      </c>
      <c r="G23" s="39" t="n">
        <f aca="false">PR_PH(G$2,$A23)</f>
        <v>10.3538077327225</v>
      </c>
      <c r="H23" s="39" t="n">
        <f aca="false">PR_PH(H$2,$A23)</f>
        <v>10.3538607519825</v>
      </c>
      <c r="I23" s="39" t="n">
        <f aca="false">PR_PH(I$2,$A23)</f>
        <v>10.3539137717055</v>
      </c>
      <c r="J23" s="39" t="n">
        <f aca="false">PR_PH(J$2,$A23)</f>
        <v>10.3539667918914</v>
      </c>
      <c r="K23" s="39" t="n">
        <f aca="false">PR_PH(K$2,$A23)</f>
        <v>10.3540198125406</v>
      </c>
      <c r="L23" s="39" t="n">
        <f aca="false">PR_PH(L$2,$A23)</f>
        <v>10.3540728336529</v>
      </c>
      <c r="M23" s="39" t="n">
        <f aca="false">PR_PH(M$2,$A23)</f>
        <v>10.3541258552283</v>
      </c>
      <c r="N23" s="39" t="n">
        <f aca="false">PR_PH(N$2,$A23)</f>
        <v>10.3541788772667</v>
      </c>
      <c r="O23" s="39" t="n">
        <f aca="false">PR_PH(O$2,$A23)</f>
        <v>10.3542318997683</v>
      </c>
      <c r="P23" s="39" t="n">
        <f aca="false">PR_PH(P$2,$A23)</f>
        <v>10.354762150257</v>
      </c>
      <c r="Q23" s="39" t="n">
        <f aca="false">PR_PH(Q$2,$A23)</f>
        <v>10.3552924470642</v>
      </c>
      <c r="R23" s="39" t="n">
        <f aca="false">PR_PH(R$2,$A23)</f>
        <v>10.3558227901946</v>
      </c>
      <c r="S23" s="39" t="n">
        <f aca="false">PR_PH(S$2,$A23)</f>
        <v>10.3563531796538</v>
      </c>
      <c r="T23" s="39" t="n">
        <f aca="false">PR_PH(T$2,$A23)</f>
        <v>10.3568836154475</v>
      </c>
      <c r="U23" s="39" t="n">
        <f aca="false">PR_PH(U$2,$A23)</f>
        <v>10.3574140975807</v>
      </c>
      <c r="V23" s="39" t="n">
        <f aca="false">PR_PH(V$2,$A23)</f>
        <v>10.3579446260592</v>
      </c>
      <c r="W23" s="39" t="n">
        <f aca="false">PR_PH(W$2,$A23)</f>
        <v>10.3584752008882</v>
      </c>
      <c r="X23" s="39" t="n">
        <f aca="false">PR_PH(X$2,$A23)</f>
        <v>10.3590058220729</v>
      </c>
      <c r="Y23" s="39" t="n">
        <f aca="false">PR_PH(Y$2,$A23)</f>
        <v>10.364314584689</v>
      </c>
      <c r="Z23" s="39" t="n">
        <f aca="false">PR_PH(Z$2,$A23)</f>
        <v>10.3696279888569</v>
      </c>
      <c r="AA23" s="39" t="n">
        <f aca="false">PR_PH(AA$2,$A23)</f>
        <v>10.3749460400021</v>
      </c>
      <c r="AB23" s="39" t="n">
        <f aca="false">PR_PH(AB$2,$A23)</f>
        <v>10.3802687435581</v>
      </c>
      <c r="AC23" s="39" t="n">
        <f aca="false">PR_PH(AC$2,$A23)</f>
        <v>10.3855961049674</v>
      </c>
      <c r="AD23" s="39" t="n">
        <f aca="false">PR_PH(AD$2,$A23)</f>
        <v>10.3909281296809</v>
      </c>
      <c r="AE23" s="39" t="n">
        <f aca="false">PR_PH(AE$2,$A23)</f>
        <v>10.3962648231586</v>
      </c>
      <c r="AF23" s="39" t="n">
        <f aca="false">PR_PH(AF$2,$A23)</f>
        <v>10.4016061908686</v>
      </c>
      <c r="AG23" s="39" t="n">
        <f aca="false">PR_PH(AG$2,$A23)</f>
        <v>10.4069522382878</v>
      </c>
      <c r="AH23" s="39" t="n">
        <f aca="false">PR_PH(AH$2,$A23)</f>
        <v>10.4606713076702</v>
      </c>
      <c r="AI23" s="39" t="n">
        <f aca="false">PR_PH(AI$2,$A23)</f>
        <v>10.5148644377308</v>
      </c>
      <c r="AJ23" s="39" t="n">
        <f aca="false">PR_PH(AJ$2,$A23)</f>
        <v>10.5695372511963</v>
      </c>
      <c r="AK23" s="39" t="n">
        <f aca="false">PR_PH(AK$2,$A23)</f>
        <v>10.6246954612312</v>
      </c>
      <c r="AL23" s="39" t="n">
        <f aca="false">PR_PH(AL$2,$A23)</f>
        <v>10.6803448731873</v>
      </c>
      <c r="AM23" s="39" t="n">
        <f aca="false">PR_PH(AM$2,$A23)</f>
        <v>10.7364913863953</v>
      </c>
      <c r="AN23" s="39" t="n">
        <f aca="false">PR_PH(AN$2,$A23)</f>
        <v>10.793140996008</v>
      </c>
      <c r="AO23" s="39" t="n">
        <f aca="false">PR_PH(AO$2,$A23)</f>
        <v>10.8502997948886</v>
      </c>
      <c r="AP23" s="39" t="n">
        <f aca="false">PR_PH(AP$2,$A23)</f>
        <v>10.9079739755519</v>
      </c>
      <c r="AQ23" s="39" t="n">
        <f aca="false">PR_PH(AQ$2,$A23)</f>
        <v>11.5144995443613</v>
      </c>
    </row>
    <row r="24" customFormat="false" ht="13.8" hidden="false" customHeight="false" outlineLevel="0" collapsed="false">
      <c r="A24" s="0" t="n">
        <v>40</v>
      </c>
      <c r="B24" s="39" t="n">
        <f aca="false">PR_PH(B$2,$A24)</f>
        <v>2015</v>
      </c>
      <c r="C24" s="39" t="n">
        <f aca="false">PR_PH(C$2,$A24)</f>
        <v>2015</v>
      </c>
      <c r="D24" s="39" t="n">
        <f aca="false">PR_PH(D$2,$A24)</f>
        <v>2015</v>
      </c>
      <c r="E24" s="39" t="n">
        <f aca="false">PR_PH(E$2,$A24)</f>
        <v>2015</v>
      </c>
      <c r="F24" s="39" t="n">
        <f aca="false">PR_PH(F$2,$A24)</f>
        <v>2015</v>
      </c>
      <c r="G24" s="39" t="n">
        <f aca="false">PR_PH(G$2,$A24)</f>
        <v>9.56084573839601</v>
      </c>
      <c r="H24" s="39" t="n">
        <f aca="false">PR_PH(H$2,$A24)</f>
        <v>9.56089262716746</v>
      </c>
      <c r="I24" s="39" t="n">
        <f aca="false">PR_PH(I$2,$A24)</f>
        <v>9.56093951633625</v>
      </c>
      <c r="J24" s="39" t="n">
        <f aca="false">PR_PH(J$2,$A24)</f>
        <v>9.56098640590292</v>
      </c>
      <c r="K24" s="39" t="n">
        <f aca="false">PR_PH(K$2,$A24)</f>
        <v>9.56103329586705</v>
      </c>
      <c r="L24" s="39" t="n">
        <f aca="false">PR_PH(L$2,$A24)</f>
        <v>9.561080186229</v>
      </c>
      <c r="M24" s="39" t="n">
        <f aca="false">PR_PH(M$2,$A24)</f>
        <v>9.56112707698838</v>
      </c>
      <c r="N24" s="39" t="n">
        <f aca="false">PR_PH(N$2,$A24)</f>
        <v>9.56117396814557</v>
      </c>
      <c r="O24" s="39" t="n">
        <f aca="false">PR_PH(O$2,$A24)</f>
        <v>9.56122085970051</v>
      </c>
      <c r="P24" s="39" t="n">
        <f aca="false">PR_PH(P$2,$A24)</f>
        <v>9.56168979712004</v>
      </c>
      <c r="Q24" s="39" t="n">
        <f aca="false">PR_PH(Q$2,$A24)</f>
        <v>9.56215877430978</v>
      </c>
      <c r="R24" s="39" t="n">
        <f aca="false">PR_PH(R$2,$A24)</f>
        <v>9.56262779127406</v>
      </c>
      <c r="S24" s="39" t="n">
        <f aca="false">PR_PH(S$2,$A24)</f>
        <v>9.56309684801711</v>
      </c>
      <c r="T24" s="39" t="n">
        <f aca="false">PR_PH(T$2,$A24)</f>
        <v>9.56356594454387</v>
      </c>
      <c r="U24" s="39" t="n">
        <f aca="false">PR_PH(U$2,$A24)</f>
        <v>9.56403508085853</v>
      </c>
      <c r="V24" s="39" t="n">
        <f aca="false">PR_PH(V$2,$A24)</f>
        <v>9.56450425696543</v>
      </c>
      <c r="W24" s="39" t="n">
        <f aca="false">PR_PH(W$2,$A24)</f>
        <v>9.56497347286954</v>
      </c>
      <c r="X24" s="39" t="n">
        <f aca="false">PR_PH(X$2,$A24)</f>
        <v>9.56544272857497</v>
      </c>
      <c r="Y24" s="39" t="n">
        <f aca="false">PR_PH(Y$2,$A24)</f>
        <v>9.57013747569351</v>
      </c>
      <c r="Z24" s="39" t="n">
        <f aca="false">PR_PH(Z$2,$A24)</f>
        <v>9.57483620789258</v>
      </c>
      <c r="AA24" s="39" t="n">
        <f aca="false">PR_PH(AA$2,$A24)</f>
        <v>9.57953892966933</v>
      </c>
      <c r="AB24" s="39" t="n">
        <f aca="false">PR_PH(AB$2,$A24)</f>
        <v>9.58424564552831</v>
      </c>
      <c r="AC24" s="39" t="n">
        <f aca="false">PR_PH(AC$2,$A24)</f>
        <v>9.58895635998041</v>
      </c>
      <c r="AD24" s="39" t="n">
        <f aca="false">PR_PH(AD$2,$A24)</f>
        <v>9.59367107754425</v>
      </c>
      <c r="AE24" s="39" t="n">
        <f aca="false">PR_PH(AE$2,$A24)</f>
        <v>9.59838980274505</v>
      </c>
      <c r="AF24" s="39" t="n">
        <f aca="false">PR_PH(AF$2,$A24)</f>
        <v>9.60311254011525</v>
      </c>
      <c r="AG24" s="39" t="n">
        <f aca="false">PR_PH(AG$2,$A24)</f>
        <v>9.60783929419432</v>
      </c>
      <c r="AH24" s="39" t="n">
        <f aca="false">PR_PH(AH$2,$A24)</f>
        <v>9.65532875769415</v>
      </c>
      <c r="AI24" s="39" t="n">
        <f aca="false">PR_PH(AI$2,$A24)</f>
        <v>9.70322493820488</v>
      </c>
      <c r="AJ24" s="39" t="n">
        <f aca="false">PR_PH(AJ$2,$A24)</f>
        <v>9.75153249339093</v>
      </c>
      <c r="AK24" s="39" t="n">
        <f aca="false">PR_PH(AK$2,$A24)</f>
        <v>9.80025615426773</v>
      </c>
      <c r="AL24" s="39" t="n">
        <f aca="false">PR_PH(AL$2,$A24)</f>
        <v>9.8494007265807</v>
      </c>
      <c r="AM24" s="39" t="n">
        <f aca="false">PR_PH(AM$2,$A24)</f>
        <v>9.89897109222069</v>
      </c>
      <c r="AN24" s="39" t="n">
        <f aca="false">PR_PH(AN$2,$A24)</f>
        <v>9.94897221067524</v>
      </c>
      <c r="AO24" s="39" t="n">
        <f aca="false">PR_PH(AO$2,$A24)</f>
        <v>9.99940912051945</v>
      </c>
      <c r="AP24" s="39" t="n">
        <f aca="false">PR_PH(AP$2,$A24)</f>
        <v>10.0502869409437</v>
      </c>
      <c r="AQ24" s="39" t="n">
        <f aca="false">PR_PH(AQ$2,$A24)</f>
        <v>10.5845023631108</v>
      </c>
    </row>
    <row r="25" customFormat="false" ht="13.8" hidden="false" customHeight="false" outlineLevel="0" collapsed="false">
      <c r="A25" s="0" t="n">
        <v>50</v>
      </c>
      <c r="B25" s="39" t="n">
        <f aca="false">PR_PH(B$2,$A25)</f>
        <v>2015</v>
      </c>
      <c r="C25" s="39" t="n">
        <f aca="false">PR_PH(C$2,$A25)</f>
        <v>2015</v>
      </c>
      <c r="D25" s="39" t="n">
        <f aca="false">PR_PH(D$2,$A25)</f>
        <v>2015</v>
      </c>
      <c r="E25" s="39" t="n">
        <f aca="false">PR_PH(E$2,$A25)</f>
        <v>2015</v>
      </c>
      <c r="F25" s="39" t="n">
        <f aca="false">PR_PH(F$2,$A25)</f>
        <v>2015</v>
      </c>
      <c r="G25" s="39" t="n">
        <f aca="false">PR_PH(G$2,$A25)</f>
        <v>8.85834911975034</v>
      </c>
      <c r="H25" s="39" t="n">
        <f aca="false">PR_PH(H$2,$A25)</f>
        <v>8.85839079771199</v>
      </c>
      <c r="I25" s="39" t="n">
        <f aca="false">PR_PH(I$2,$A25)</f>
        <v>8.85843247601737</v>
      </c>
      <c r="J25" s="39" t="n">
        <f aca="false">PR_PH(J$2,$A25)</f>
        <v>8.85847415466646</v>
      </c>
      <c r="K25" s="39" t="n">
        <f aca="false">PR_PH(K$2,$A25)</f>
        <v>8.85851583365946</v>
      </c>
      <c r="L25" s="39" t="n">
        <f aca="false">PR_PH(L$2,$A25)</f>
        <v>8.8585575129962</v>
      </c>
      <c r="M25" s="39" t="n">
        <f aca="false">PR_PH(M$2,$A25)</f>
        <v>8.85859919267665</v>
      </c>
      <c r="N25" s="39" t="n">
        <f aca="false">PR_PH(N$2,$A25)</f>
        <v>8.85864087270097</v>
      </c>
      <c r="O25" s="39" t="n">
        <f aca="false">PR_PH(O$2,$A25)</f>
        <v>8.85868255306913</v>
      </c>
      <c r="P25" s="39" t="n">
        <f aca="false">PR_PH(P$2,$A25)</f>
        <v>8.85909937565917</v>
      </c>
      <c r="Q25" s="39" t="n">
        <f aca="false">PR_PH(Q$2,$A25)</f>
        <v>8.85951623263254</v>
      </c>
      <c r="R25" s="39" t="n">
        <f aca="false">PR_PH(R$2,$A25)</f>
        <v>8.85993312399281</v>
      </c>
      <c r="S25" s="39" t="n">
        <f aca="false">PR_PH(S$2,$A25)</f>
        <v>8.86035004974365</v>
      </c>
      <c r="T25" s="39" t="n">
        <f aca="false">PR_PH(T$2,$A25)</f>
        <v>8.86076700988891</v>
      </c>
      <c r="U25" s="39" t="n">
        <f aca="false">PR_PH(U$2,$A25)</f>
        <v>8.86118400443238</v>
      </c>
      <c r="V25" s="39" t="n">
        <f aca="false">PR_PH(V$2,$A25)</f>
        <v>8.86160103337778</v>
      </c>
      <c r="W25" s="39" t="n">
        <f aca="false">PR_PH(W$2,$A25)</f>
        <v>8.86201809672875</v>
      </c>
      <c r="X25" s="39" t="n">
        <f aca="false">PR_PH(X$2,$A25)</f>
        <v>8.86243519448899</v>
      </c>
      <c r="Y25" s="39" t="n">
        <f aca="false">PR_PH(Y$2,$A25)</f>
        <v>8.86660806543122</v>
      </c>
      <c r="Z25" s="39" t="n">
        <f aca="false">PR_PH(Z$2,$A25)</f>
        <v>8.87078438143131</v>
      </c>
      <c r="AA25" s="39" t="n">
        <f aca="false">PR_PH(AA$2,$A25)</f>
        <v>8.87496414624118</v>
      </c>
      <c r="AB25" s="39" t="n">
        <f aca="false">PR_PH(AB$2,$A25)</f>
        <v>8.87914736361846</v>
      </c>
      <c r="AC25" s="39" t="n">
        <f aca="false">PR_PH(AC$2,$A25)</f>
        <v>8.88333403732654</v>
      </c>
      <c r="AD25" s="39" t="n">
        <f aca="false">PR_PH(AD$2,$A25)</f>
        <v>8.88752417113454</v>
      </c>
      <c r="AE25" s="39" t="n">
        <f aca="false">PR_PH(AE$2,$A25)</f>
        <v>8.89171776881734</v>
      </c>
      <c r="AF25" s="39" t="n">
        <f aca="false">PR_PH(AF$2,$A25)</f>
        <v>8.89591483415534</v>
      </c>
      <c r="AG25" s="39" t="n">
        <f aca="false">PR_PH(AG$2,$A25)</f>
        <v>8.90011537093506</v>
      </c>
      <c r="AH25" s="39" t="n">
        <f aca="false">PR_PH(AH$2,$A25)</f>
        <v>8.94231250515004</v>
      </c>
      <c r="AI25" s="39" t="n">
        <f aca="false">PR_PH(AI$2,$A25)</f>
        <v>8.98486099160808</v>
      </c>
      <c r="AJ25" s="39" t="n">
        <f aca="false">PR_PH(AJ$2,$A25)</f>
        <v>9.02776471319551</v>
      </c>
      <c r="AK25" s="39" t="n">
        <f aca="false">PR_PH(AK$2,$A25)</f>
        <v>9.07102761264391</v>
      </c>
      <c r="AL25" s="39" t="n">
        <f aca="false">PR_PH(AL$2,$A25)</f>
        <v>9.11465369362085</v>
      </c>
      <c r="AM25" s="39" t="n">
        <f aca="false">PR_PH(AM$2,$A25)</f>
        <v>9.15864702184934</v>
      </c>
      <c r="AN25" s="39" t="n">
        <f aca="false">PR_PH(AN$2,$A25)</f>
        <v>9.20301172625519</v>
      </c>
      <c r="AO25" s="39" t="n">
        <f aca="false">PR_PH(AO$2,$A25)</f>
        <v>9.24775200014453</v>
      </c>
      <c r="AP25" s="39" t="n">
        <f aca="false">PR_PH(AP$2,$A25)</f>
        <v>9.29287210241083</v>
      </c>
      <c r="AQ25" s="39" t="n">
        <f aca="false">PR_PH(AQ$2,$A25)</f>
        <v>9.76595011961959</v>
      </c>
    </row>
    <row r="26" customFormat="false" ht="13.8" hidden="false" customHeight="false" outlineLevel="0" collapsed="false">
      <c r="A26" s="0" t="n">
        <v>60</v>
      </c>
      <c r="B26" s="39" t="n">
        <f aca="false">PR_PH(B$2,$A26)</f>
        <v>2015</v>
      </c>
      <c r="C26" s="39" t="n">
        <f aca="false">PR_PH(C$2,$A26)</f>
        <v>2015</v>
      </c>
      <c r="D26" s="39" t="n">
        <f aca="false">PR_PH(D$2,$A26)</f>
        <v>2015</v>
      </c>
      <c r="E26" s="39" t="n">
        <f aca="false">PR_PH(E$2,$A26)</f>
        <v>2015</v>
      </c>
      <c r="F26" s="39" t="n">
        <f aca="false">PR_PH(F$2,$A26)</f>
        <v>2015</v>
      </c>
      <c r="G26" s="39" t="n">
        <f aca="false">PR_PH(G$2,$A26)</f>
        <v>8.23293162437523</v>
      </c>
      <c r="H26" s="39" t="n">
        <f aca="false">PR_PH(H$2,$A26)</f>
        <v>8.2329688430241</v>
      </c>
      <c r="I26" s="39" t="n">
        <f aca="false">PR_PH(I$2,$A26)</f>
        <v>8.23300606197197</v>
      </c>
      <c r="J26" s="39" t="n">
        <f aca="false">PR_PH(J$2,$A26)</f>
        <v>8.2330432812189</v>
      </c>
      <c r="K26" s="39" t="n">
        <f aca="false">PR_PH(K$2,$A26)</f>
        <v>8.23308050076503</v>
      </c>
      <c r="L26" s="39" t="n">
        <f aca="false">PR_PH(L$2,$A26)</f>
        <v>8.2331177206103</v>
      </c>
      <c r="M26" s="39" t="n">
        <f aca="false">PR_PH(M$2,$A26)</f>
        <v>8.2331549407545</v>
      </c>
      <c r="N26" s="39" t="n">
        <f aca="false">PR_PH(N$2,$A26)</f>
        <v>8.23319216119797</v>
      </c>
      <c r="O26" s="39" t="n">
        <f aca="false">PR_PH(O$2,$A26)</f>
        <v>8.23322938194055</v>
      </c>
      <c r="P26" s="39" t="n">
        <f aca="false">PR_PH(P$2,$A26)</f>
        <v>8.23360160581814</v>
      </c>
      <c r="Q26" s="39" t="n">
        <f aca="false">PR_PH(Q$2,$A26)</f>
        <v>8.23397385961107</v>
      </c>
      <c r="R26" s="39" t="n">
        <f aca="false">PR_PH(R$2,$A26)</f>
        <v>8.23434614332231</v>
      </c>
      <c r="S26" s="39" t="n">
        <f aca="false">PR_PH(S$2,$A26)</f>
        <v>8.23471845695496</v>
      </c>
      <c r="T26" s="39" t="n">
        <f aca="false">PR_PH(T$2,$A26)</f>
        <v>8.23509080051224</v>
      </c>
      <c r="U26" s="39" t="n">
        <f aca="false">PR_PH(U$2,$A26)</f>
        <v>8.23546317399734</v>
      </c>
      <c r="V26" s="39" t="n">
        <f aca="false">PR_PH(V$2,$A26)</f>
        <v>8.2358355774133</v>
      </c>
      <c r="W26" s="39" t="n">
        <f aca="false">PR_PH(W$2,$A26)</f>
        <v>8.23620801076326</v>
      </c>
      <c r="X26" s="39" t="n">
        <f aca="false">PR_PH(X$2,$A26)</f>
        <v>8.23658047405052</v>
      </c>
      <c r="Y26" s="39" t="n">
        <f aca="false">PR_PH(Y$2,$A26)</f>
        <v>8.24030675415827</v>
      </c>
      <c r="Z26" s="39" t="n">
        <f aca="false">PR_PH(Z$2,$A26)</f>
        <v>8.24403603144195</v>
      </c>
      <c r="AA26" s="39" t="n">
        <f aca="false">PR_PH(AA$2,$A26)</f>
        <v>8.24776830904975</v>
      </c>
      <c r="AB26" s="39" t="n">
        <f aca="false">PR_PH(AB$2,$A26)</f>
        <v>8.25150359013473</v>
      </c>
      <c r="AC26" s="39" t="n">
        <f aca="false">PR_PH(AC$2,$A26)</f>
        <v>8.25524187785455</v>
      </c>
      <c r="AD26" s="39" t="n">
        <f aca="false">PR_PH(AD$2,$A26)</f>
        <v>8.25898317537152</v>
      </c>
      <c r="AE26" s="39" t="n">
        <f aca="false">PR_PH(AE$2,$A26)</f>
        <v>8.26272748585284</v>
      </c>
      <c r="AF26" s="39" t="n">
        <f aca="false">PR_PH(AF$2,$A26)</f>
        <v>8.26647481247034</v>
      </c>
      <c r="AG26" s="39" t="n">
        <f aca="false">PR_PH(AG$2,$A26)</f>
        <v>8.27022515840049</v>
      </c>
      <c r="AH26" s="39" t="n">
        <f aca="false">PR_PH(AH$2,$A26)</f>
        <v>8.3078953821329</v>
      </c>
      <c r="AI26" s="39" t="n">
        <f aca="false">PR_PH(AI$2,$A26)</f>
        <v>8.34587106673949</v>
      </c>
      <c r="AJ26" s="39" t="n">
        <f aca="false">PR_PH(AJ$2,$A26)</f>
        <v>8.38415546804854</v>
      </c>
      <c r="AK26" s="39" t="n">
        <f aca="false">PR_PH(AK$2,$A26)</f>
        <v>8.42275189099242</v>
      </c>
      <c r="AL26" s="39" t="n">
        <f aca="false">PR_PH(AL$2,$A26)</f>
        <v>8.4616636904732</v>
      </c>
      <c r="AM26" s="39" t="n">
        <f aca="false">PR_PH(AM$2,$A26)</f>
        <v>8.5008942722492</v>
      </c>
      <c r="AN26" s="39" t="n">
        <f aca="false">PR_PH(AN$2,$A26)</f>
        <v>8.54044709384405</v>
      </c>
      <c r="AO26" s="39" t="n">
        <f aca="false">PR_PH(AO$2,$A26)</f>
        <v>8.58032566547831</v>
      </c>
      <c r="AP26" s="39" t="n">
        <f aca="false">PR_PH(AP$2,$A26)</f>
        <v>8.62053355102613</v>
      </c>
      <c r="AQ26" s="39" t="n">
        <f aca="false">PR_PH(AQ$2,$A26)</f>
        <v>9.041549127494</v>
      </c>
    </row>
    <row r="27" customFormat="false" ht="13.8" hidden="false" customHeight="false" outlineLevel="0" collapsed="false">
      <c r="A27" s="0" t="n">
        <v>70</v>
      </c>
      <c r="B27" s="39" t="n">
        <f aca="false">PR_PH(B$2,$A27)</f>
        <v>2015</v>
      </c>
      <c r="C27" s="39" t="n">
        <f aca="false">PR_PH(C$2,$A27)</f>
        <v>2015</v>
      </c>
      <c r="D27" s="39" t="n">
        <f aca="false">PR_PH(D$2,$A27)</f>
        <v>2015</v>
      </c>
      <c r="E27" s="39" t="n">
        <f aca="false">PR_PH(E$2,$A27)</f>
        <v>2015</v>
      </c>
      <c r="F27" s="39" t="n">
        <f aca="false">PR_PH(F$2,$A27)</f>
        <v>2015</v>
      </c>
      <c r="G27" s="39" t="n">
        <f aca="false">PR_PH(G$2,$A27)</f>
        <v>7.67361494929688</v>
      </c>
      <c r="H27" s="39" t="n">
        <f aca="false">PR_PH(H$2,$A27)</f>
        <v>7.67364832772716</v>
      </c>
      <c r="I27" s="39" t="n">
        <f aca="false">PR_PH(I$2,$A27)</f>
        <v>7.67368170641931</v>
      </c>
      <c r="J27" s="39" t="n">
        <f aca="false">PR_PH(J$2,$A27)</f>
        <v>7.67371508537317</v>
      </c>
      <c r="K27" s="39" t="n">
        <f aca="false">PR_PH(K$2,$A27)</f>
        <v>7.67374846458885</v>
      </c>
      <c r="L27" s="39" t="n">
        <f aca="false">PR_PH(L$2,$A27)</f>
        <v>7.67378184406627</v>
      </c>
      <c r="M27" s="39" t="n">
        <f aca="false">PR_PH(M$2,$A27)</f>
        <v>7.67381522380555</v>
      </c>
      <c r="N27" s="39" t="n">
        <f aca="false">PR_PH(N$2,$A27)</f>
        <v>7.67384860380646</v>
      </c>
      <c r="O27" s="39" t="n">
        <f aca="false">PR_PH(O$2,$A27)</f>
        <v>7.67388198406915</v>
      </c>
      <c r="P27" s="39" t="n">
        <f aca="false">PR_PH(P$2,$A27)</f>
        <v>7.67421580109555</v>
      </c>
      <c r="Q27" s="39" t="n">
        <f aca="false">PR_PH(Q$2,$A27)</f>
        <v>7.6745496443033</v>
      </c>
      <c r="R27" s="39" t="n">
        <f aca="false">PR_PH(R$2,$A27)</f>
        <v>7.67488351369486</v>
      </c>
      <c r="S27" s="39" t="n">
        <f aca="false">PR_PH(S$2,$A27)</f>
        <v>7.67521740927305</v>
      </c>
      <c r="T27" s="39" t="n">
        <f aca="false">PR_PH(T$2,$A27)</f>
        <v>7.67555133104047</v>
      </c>
      <c r="U27" s="39" t="n">
        <f aca="false">PR_PH(U$2,$A27)</f>
        <v>7.67588527899997</v>
      </c>
      <c r="V27" s="39" t="n">
        <f aca="false">PR_PH(V$2,$A27)</f>
        <v>7.6762192531539</v>
      </c>
      <c r="W27" s="39" t="n">
        <f aca="false">PR_PH(W$2,$A27)</f>
        <v>7.67655325350499</v>
      </c>
      <c r="X27" s="39" t="n">
        <f aca="false">PR_PH(X$2,$A27)</f>
        <v>7.67688728005602</v>
      </c>
      <c r="Y27" s="39" t="n">
        <f aca="false">PR_PH(Y$2,$A27)</f>
        <v>7.6802289871404</v>
      </c>
      <c r="Z27" s="39" t="n">
        <f aca="false">PR_PH(Z$2,$A27)</f>
        <v>7.68357331712691</v>
      </c>
      <c r="AA27" s="39" t="n">
        <f aca="false">PR_PH(AA$2,$A27)</f>
        <v>7.68692027267103</v>
      </c>
      <c r="AB27" s="39" t="n">
        <f aca="false">PR_PH(AB$2,$A27)</f>
        <v>7.69026985643249</v>
      </c>
      <c r="AC27" s="39" t="n">
        <f aca="false">PR_PH(AC$2,$A27)</f>
        <v>7.69362207107492</v>
      </c>
      <c r="AD27" s="39" t="n">
        <f aca="false">PR_PH(AD$2,$A27)</f>
        <v>7.69697691926552</v>
      </c>
      <c r="AE27" s="39" t="n">
        <f aca="false">PR_PH(AE$2,$A27)</f>
        <v>7.70033440367581</v>
      </c>
      <c r="AF27" s="39" t="n">
        <f aca="false">PR_PH(AF$2,$A27)</f>
        <v>7.70369452698071</v>
      </c>
      <c r="AG27" s="39" t="n">
        <f aca="false">PR_PH(AG$2,$A27)</f>
        <v>7.70705729185958</v>
      </c>
      <c r="AH27" s="39" t="n">
        <f aca="false">PR_PH(AH$2,$A27)</f>
        <v>7.74083081941815</v>
      </c>
      <c r="AI27" s="39" t="n">
        <f aca="false">PR_PH(AI$2,$A27)</f>
        <v>7.77487148062491</v>
      </c>
      <c r="AJ27" s="39" t="n">
        <f aca="false">PR_PH(AJ$2,$A27)</f>
        <v>7.80918202005125</v>
      </c>
      <c r="AK27" s="39" t="n">
        <f aca="false">PR_PH(AK$2,$A27)</f>
        <v>7.84376522278359</v>
      </c>
      <c r="AL27" s="39" t="n">
        <f aca="false">PR_PH(AL$2,$A27)</f>
        <v>7.87862391510916</v>
      </c>
      <c r="AM27" s="39" t="n">
        <f aca="false">PR_PH(AM$2,$A27)</f>
        <v>7.91376096522056</v>
      </c>
      <c r="AN27" s="39" t="n">
        <f aca="false">PR_PH(AN$2,$A27)</f>
        <v>7.94917928393745</v>
      </c>
      <c r="AO27" s="39" t="n">
        <f aca="false">PR_PH(AO$2,$A27)</f>
        <v>7.98488182544585</v>
      </c>
      <c r="AP27" s="39" t="n">
        <f aca="false">PR_PH(AP$2,$A27)</f>
        <v>8.02087158805634</v>
      </c>
      <c r="AQ27" s="39" t="n">
        <f aca="false">PR_PH(AQ$2,$A27)</f>
        <v>8.39725916982787</v>
      </c>
    </row>
    <row r="28" customFormat="false" ht="13.8" hidden="false" customHeight="false" outlineLevel="0" collapsed="false">
      <c r="A28" s="0" t="n">
        <v>80</v>
      </c>
      <c r="B28" s="39" t="n">
        <f aca="false">PR_PH(B$2,$A28)</f>
        <v>2015</v>
      </c>
      <c r="C28" s="39" t="n">
        <f aca="false">PR_PH(C$2,$A28)</f>
        <v>2015</v>
      </c>
      <c r="D28" s="39" t="n">
        <f aca="false">PR_PH(D$2,$A28)</f>
        <v>2015</v>
      </c>
      <c r="E28" s="39" t="n">
        <f aca="false">PR_PH(E$2,$A28)</f>
        <v>2015</v>
      </c>
      <c r="F28" s="39" t="n">
        <f aca="false">PR_PH(F$2,$A28)</f>
        <v>2015</v>
      </c>
      <c r="G28" s="39" t="n">
        <f aca="false">PR_PH(G$2,$A28)</f>
        <v>2015</v>
      </c>
      <c r="H28" s="39" t="n">
        <f aca="false">PR_PH(H$2,$A28)</f>
        <v>7.17135600185091</v>
      </c>
      <c r="I28" s="39" t="n">
        <f aca="false">PR_PH(I$2,$A28)</f>
        <v>7.17138605418401</v>
      </c>
      <c r="J28" s="39" t="n">
        <f aca="false">PR_PH(J$2,$A28)</f>
        <v>7.17141610674737</v>
      </c>
      <c r="K28" s="39" t="n">
        <f aca="false">PR_PH(K$2,$A28)</f>
        <v>7.17144615954117</v>
      </c>
      <c r="L28" s="39" t="n">
        <f aca="false">PR_PH(L$2,$A28)</f>
        <v>7.17147621256535</v>
      </c>
      <c r="M28" s="39" t="n">
        <f aca="false">PR_PH(M$2,$A28)</f>
        <v>7.17150626581991</v>
      </c>
      <c r="N28" s="39" t="n">
        <f aca="false">PR_PH(N$2,$A28)</f>
        <v>7.17153631930472</v>
      </c>
      <c r="O28" s="39" t="n">
        <f aca="false">PR_PH(O$2,$A28)</f>
        <v>7.17156637301997</v>
      </c>
      <c r="P28" s="39" t="n">
        <f aca="false">PR_PH(P$2,$A28)</f>
        <v>7.17186692284316</v>
      </c>
      <c r="Q28" s="39" t="n">
        <f aca="false">PR_PH(Q$2,$A28)</f>
        <v>7.17216749570544</v>
      </c>
      <c r="R28" s="39" t="n">
        <f aca="false">PR_PH(R$2,$A28)</f>
        <v>7.17246809160897</v>
      </c>
      <c r="S28" s="39" t="n">
        <f aca="false">PR_PH(S$2,$A28)</f>
        <v>7.17276871055613</v>
      </c>
      <c r="T28" s="39" t="n">
        <f aca="false">PR_PH(T$2,$A28)</f>
        <v>7.17306935254906</v>
      </c>
      <c r="U28" s="39" t="n">
        <f aca="false">PR_PH(U$2,$A28)</f>
        <v>7.17337001758998</v>
      </c>
      <c r="V28" s="39" t="n">
        <f aca="false">PR_PH(V$2,$A28)</f>
        <v>7.17367070568133</v>
      </c>
      <c r="W28" s="39" t="n">
        <f aca="false">PR_PH(W$2,$A28)</f>
        <v>7.17397141682526</v>
      </c>
      <c r="X28" s="39" t="n">
        <f aca="false">PR_PH(X$2,$A28)</f>
        <v>7.1742721510239</v>
      </c>
      <c r="Y28" s="39" t="n">
        <f aca="false">PR_PH(Y$2,$A28)</f>
        <v>7.17728076151862</v>
      </c>
      <c r="Z28" s="39" t="n">
        <f aca="false">PR_PH(Z$2,$A28)</f>
        <v>7.18029167996569</v>
      </c>
      <c r="AA28" s="39" t="n">
        <f aca="false">PR_PH(AA$2,$A28)</f>
        <v>7.18330490861637</v>
      </c>
      <c r="AB28" s="39" t="n">
        <f aca="false">PR_PH(AB$2,$A28)</f>
        <v>7.18632044972503</v>
      </c>
      <c r="AC28" s="39" t="n">
        <f aca="false">PR_PH(AC$2,$A28)</f>
        <v>7.18933830554919</v>
      </c>
      <c r="AD28" s="39" t="n">
        <f aca="false">PR_PH(AD$2,$A28)</f>
        <v>7.19235847834969</v>
      </c>
      <c r="AE28" s="39" t="n">
        <f aca="false">PR_PH(AE$2,$A28)</f>
        <v>7.19538097039049</v>
      </c>
      <c r="AF28" s="39" t="n">
        <f aca="false">PR_PH(AF$2,$A28)</f>
        <v>7.19840578393911</v>
      </c>
      <c r="AG28" s="39" t="n">
        <f aca="false">PR_PH(AG$2,$A28)</f>
        <v>7.20143292126591</v>
      </c>
      <c r="AH28" s="39" t="n">
        <f aca="false">PR_PH(AH$2,$A28)</f>
        <v>7.23183260418524</v>
      </c>
      <c r="AI28" s="39" t="n">
        <f aca="false">PR_PH(AI$2,$A28)</f>
        <v>7.26246718681198</v>
      </c>
      <c r="AJ28" s="39" t="n">
        <f aca="false">PR_PH(AJ$2,$A28)</f>
        <v>7.29333899404131</v>
      </c>
      <c r="AK28" s="39" t="n">
        <f aca="false">PR_PH(AK$2,$A28)</f>
        <v>7.32445038437712</v>
      </c>
      <c r="AL28" s="39" t="n">
        <f aca="false">PR_PH(AL$2,$A28)</f>
        <v>7.35580375047735</v>
      </c>
      <c r="AM28" s="39" t="n">
        <f aca="false">PR_PH(AM$2,$A28)</f>
        <v>7.38740151971481</v>
      </c>
      <c r="AN28" s="39" t="n">
        <f aca="false">PR_PH(AN$2,$A28)</f>
        <v>7.41924615475061</v>
      </c>
      <c r="AO28" s="39" t="n">
        <f aca="false">PR_PH(AO$2,$A28)</f>
        <v>7.45134015412216</v>
      </c>
      <c r="AP28" s="39" t="n">
        <f aca="false">PR_PH(AP$2,$A28)</f>
        <v>7.48368605284521</v>
      </c>
      <c r="AQ28" s="39" t="n">
        <f aca="false">PR_PH(AQ$2,$A28)</f>
        <v>7.82158457451729</v>
      </c>
    </row>
    <row r="29" customFormat="false" ht="13.8" hidden="false" customHeight="false" outlineLevel="0" collapsed="false">
      <c r="A29" s="0" t="n">
        <v>90</v>
      </c>
      <c r="B29" s="39" t="n">
        <f aca="false">PR_PH(B$2,$A29)</f>
        <v>2015</v>
      </c>
      <c r="C29" s="39" t="n">
        <f aca="false">PR_PH(C$2,$A29)</f>
        <v>2015</v>
      </c>
      <c r="D29" s="39" t="n">
        <f aca="false">PR_PH(D$2,$A29)</f>
        <v>2015</v>
      </c>
      <c r="E29" s="39" t="n">
        <f aca="false">PR_PH(E$2,$A29)</f>
        <v>2015</v>
      </c>
      <c r="F29" s="39" t="n">
        <f aca="false">PR_PH(F$2,$A29)</f>
        <v>2015</v>
      </c>
      <c r="G29" s="39" t="n">
        <f aca="false">PR_PH(G$2,$A29)</f>
        <v>2015</v>
      </c>
      <c r="H29" s="39" t="n">
        <f aca="false">PR_PH(H$2,$A29)</f>
        <v>6.7185390707105</v>
      </c>
      <c r="I29" s="39" t="n">
        <f aca="false">PR_PH(I$2,$A29)</f>
        <v>6.7185662262639</v>
      </c>
      <c r="J29" s="39" t="n">
        <f aca="false">PR_PH(J$2,$A29)</f>
        <v>6.71859338202088</v>
      </c>
      <c r="K29" s="39" t="n">
        <f aca="false">PR_PH(K$2,$A29)</f>
        <v>6.71862053798172</v>
      </c>
      <c r="L29" s="39" t="n">
        <f aca="false">PR_PH(L$2,$A29)</f>
        <v>6.71864769414628</v>
      </c>
      <c r="M29" s="39" t="n">
        <f aca="false">PR_PH(M$2,$A29)</f>
        <v>6.71867485051461</v>
      </c>
      <c r="N29" s="39" t="n">
        <f aca="false">PR_PH(N$2,$A29)</f>
        <v>6.71870200708669</v>
      </c>
      <c r="O29" s="39" t="n">
        <f aca="false">PR_PH(O$2,$A29)</f>
        <v>6.71872916386247</v>
      </c>
      <c r="P29" s="39" t="n">
        <f aca="false">PR_PH(P$2,$A29)</f>
        <v>6.71900074282763</v>
      </c>
      <c r="Q29" s="39" t="n">
        <f aca="false">PR_PH(Q$2,$A29)</f>
        <v>6.71927234217043</v>
      </c>
      <c r="R29" s="39" t="n">
        <f aca="false">PR_PH(R$2,$A29)</f>
        <v>6.71954396189276</v>
      </c>
      <c r="S29" s="39" t="n">
        <f aca="false">PR_PH(S$2,$A29)</f>
        <v>6.71981560199656</v>
      </c>
      <c r="T29" s="39" t="n">
        <f aca="false">PR_PH(T$2,$A29)</f>
        <v>6.72008726248368</v>
      </c>
      <c r="U29" s="39" t="n">
        <f aca="false">PR_PH(U$2,$A29)</f>
        <v>6.7203589433562</v>
      </c>
      <c r="V29" s="39" t="n">
        <f aca="false">PR_PH(V$2,$A29)</f>
        <v>6.72063064461587</v>
      </c>
      <c r="W29" s="39" t="n">
        <f aca="false">PR_PH(W$2,$A29)</f>
        <v>6.72090236626465</v>
      </c>
      <c r="X29" s="39" t="n">
        <f aca="false">PR_PH(X$2,$A29)</f>
        <v>6.7211741083044</v>
      </c>
      <c r="Y29" s="39" t="n">
        <f aca="false">PR_PH(Y$2,$A29)</f>
        <v>6.72389265062902</v>
      </c>
      <c r="Z29" s="39" t="n">
        <f aca="false">PR_PH(Z$2,$A29)</f>
        <v>6.72661323416104</v>
      </c>
      <c r="AA29" s="39" t="n">
        <f aca="false">PR_PH(AA$2,$A29)</f>
        <v>6.72933586081687</v>
      </c>
      <c r="AB29" s="39" t="n">
        <f aca="false">PR_PH(AB$2,$A29)</f>
        <v>6.73206053251602</v>
      </c>
      <c r="AC29" s="39" t="n">
        <f aca="false">PR_PH(AC$2,$A29)</f>
        <v>6.73478725118054</v>
      </c>
      <c r="AD29" s="39" t="n">
        <f aca="false">PR_PH(AD$2,$A29)</f>
        <v>6.737516018735</v>
      </c>
      <c r="AE29" s="39" t="n">
        <f aca="false">PR_PH(AE$2,$A29)</f>
        <v>6.74024683710702</v>
      </c>
      <c r="AF29" s="39" t="n">
        <f aca="false">PR_PH(AF$2,$A29)</f>
        <v>6.74297970822658</v>
      </c>
      <c r="AG29" s="39" t="n">
        <f aca="false">PR_PH(AG$2,$A29)</f>
        <v>6.74571463402652</v>
      </c>
      <c r="AH29" s="39" t="n">
        <f aca="false">PR_PH(AH$2,$A29)</f>
        <v>6.77317732662338</v>
      </c>
      <c r="AI29" s="39" t="n">
        <f aca="false">PR_PH(AI$2,$A29)</f>
        <v>6.8008476336808</v>
      </c>
      <c r="AJ29" s="39" t="n">
        <f aca="false">PR_PH(AJ$2,$A29)</f>
        <v>6.82872753341982</v>
      </c>
      <c r="AK29" s="39" t="n">
        <f aca="false">PR_PH(AK$2,$A29)</f>
        <v>6.85681903209064</v>
      </c>
      <c r="AL29" s="39" t="n">
        <f aca="false">PR_PH(AL$2,$A29)</f>
        <v>6.88512416440794</v>
      </c>
      <c r="AM29" s="39" t="n">
        <f aca="false">PR_PH(AM$2,$A29)</f>
        <v>6.91364499399548</v>
      </c>
      <c r="AN29" s="39" t="n">
        <f aca="false">PR_PH(AN$2,$A29)</f>
        <v>6.94238361384442</v>
      </c>
      <c r="AO29" s="39" t="n">
        <f aca="false">PR_PH(AO$2,$A29)</f>
        <v>6.97134214678016</v>
      </c>
      <c r="AP29" s="39" t="n">
        <f aca="false">PR_PH(AP$2,$A29)</f>
        <v>7.00052274594269</v>
      </c>
      <c r="AQ29" s="39" t="n">
        <f aca="false">PR_PH(AQ$2,$A29)</f>
        <v>7.30503876703575</v>
      </c>
    </row>
    <row r="30" customFormat="false" ht="13.8" hidden="false" customHeight="false" outlineLevel="0" collapsed="false">
      <c r="A30" s="0" t="n">
        <v>100</v>
      </c>
      <c r="B30" s="39" t="n">
        <f aca="false">PR_PH(B$2,$A30)</f>
        <v>2015</v>
      </c>
      <c r="C30" s="39" t="n">
        <f aca="false">PR_PH(C$2,$A30)</f>
        <v>2015</v>
      </c>
      <c r="D30" s="39" t="n">
        <f aca="false">PR_PH(D$2,$A30)</f>
        <v>2015</v>
      </c>
      <c r="E30" s="39" t="n">
        <f aca="false">PR_PH(E$2,$A30)</f>
        <v>2015</v>
      </c>
      <c r="F30" s="39" t="n">
        <f aca="false">PR_PH(F$2,$A30)</f>
        <v>2015</v>
      </c>
      <c r="G30" s="39" t="n">
        <f aca="false">PR_PH(G$2,$A30)</f>
        <v>2015</v>
      </c>
      <c r="H30" s="39" t="n">
        <f aca="false">PR_PH(H$2,$A30)</f>
        <v>6.30886803169863</v>
      </c>
      <c r="I30" s="39" t="n">
        <f aca="false">PR_PH(I$2,$A30)</f>
        <v>6.30889265192729</v>
      </c>
      <c r="J30" s="39" t="n">
        <f aca="false">PR_PH(J$2,$A30)</f>
        <v>6.30891727233689</v>
      </c>
      <c r="K30" s="39" t="n">
        <f aca="false">PR_PH(K$2,$A30)</f>
        <v>6.30894189292774</v>
      </c>
      <c r="L30" s="39" t="n">
        <f aca="false">PR_PH(L$2,$A30)</f>
        <v>6.30896651369962</v>
      </c>
      <c r="M30" s="39" t="n">
        <f aca="false">PR_PH(M$2,$A30)</f>
        <v>6.3089911346526</v>
      </c>
      <c r="N30" s="39" t="n">
        <f aca="false">PR_PH(N$2,$A30)</f>
        <v>6.30901575578653</v>
      </c>
      <c r="O30" s="39" t="n">
        <f aca="false">PR_PH(O$2,$A30)</f>
        <v>6.30904037710161</v>
      </c>
      <c r="P30" s="39" t="n">
        <f aca="false">PR_PH(P$2,$A30)</f>
        <v>6.3092866002124</v>
      </c>
      <c r="Q30" s="39" t="n">
        <f aca="false">PR_PH(Q$2,$A30)</f>
        <v>6.3095328414329</v>
      </c>
      <c r="R30" s="39" t="n">
        <f aca="false">PR_PH(R$2,$A30)</f>
        <v>6.309779100765</v>
      </c>
      <c r="S30" s="39" t="n">
        <f aca="false">PR_PH(S$2,$A30)</f>
        <v>6.31002537821012</v>
      </c>
      <c r="T30" s="39" t="n">
        <f aca="false">PR_PH(T$2,$A30)</f>
        <v>6.31027167376998</v>
      </c>
      <c r="U30" s="39" t="n">
        <f aca="false">PR_PH(U$2,$A30)</f>
        <v>6.31051798744632</v>
      </c>
      <c r="V30" s="39" t="n">
        <f aca="false">PR_PH(V$2,$A30)</f>
        <v>6.31076431924069</v>
      </c>
      <c r="W30" s="39" t="n">
        <f aca="false">PR_PH(W$2,$A30)</f>
        <v>6.31101066915462</v>
      </c>
      <c r="X30" s="39" t="n">
        <f aca="false">PR_PH(X$2,$A30)</f>
        <v>6.31125703718988</v>
      </c>
      <c r="Y30" s="39" t="n">
        <f aca="false">PR_PH(Y$2,$A30)</f>
        <v>6.31372171457316</v>
      </c>
      <c r="Z30" s="39" t="n">
        <f aca="false">PR_PH(Z$2,$A30)</f>
        <v>6.31618820588501</v>
      </c>
      <c r="AA30" s="39" t="n">
        <f aca="false">PR_PH(AA$2,$A30)</f>
        <v>6.31865651276403</v>
      </c>
      <c r="AB30" s="39" t="n">
        <f aca="false">PR_PH(AB$2,$A30)</f>
        <v>6.321126636851</v>
      </c>
      <c r="AC30" s="39" t="n">
        <f aca="false">PR_PH(AC$2,$A30)</f>
        <v>6.32359857978876</v>
      </c>
      <c r="AD30" s="39" t="n">
        <f aca="false">PR_PH(AD$2,$A30)</f>
        <v>6.32607234322261</v>
      </c>
      <c r="AE30" s="39" t="n">
        <f aca="false">PR_PH(AE$2,$A30)</f>
        <v>6.32854792880026</v>
      </c>
      <c r="AF30" s="39" t="n">
        <f aca="false">PR_PH(AF$2,$A30)</f>
        <v>6.33102533817121</v>
      </c>
      <c r="AG30" s="39" t="n">
        <f aca="false">PR_PH(AG$2,$A30)</f>
        <v>6.33350457298788</v>
      </c>
      <c r="AH30" s="39" t="n">
        <f aca="false">PR_PH(AH$2,$A30)</f>
        <v>6.35839768575202</v>
      </c>
      <c r="AI30" s="39" t="n">
        <f aca="false">PR_PH(AI$2,$A30)</f>
        <v>6.38347517739283</v>
      </c>
      <c r="AJ30" s="39" t="n">
        <f aca="false">PR_PH(AJ$2,$A30)</f>
        <v>6.4087387380739</v>
      </c>
      <c r="AK30" s="39" t="n">
        <f aca="false">PR_PH(AK$2,$A30)</f>
        <v>6.43419008145967</v>
      </c>
      <c r="AL30" s="39" t="n">
        <f aca="false">PR_PH(AL$2,$A30)</f>
        <v>6.45983094506232</v>
      </c>
      <c r="AM30" s="39" t="n">
        <f aca="false">PR_PH(AM$2,$A30)</f>
        <v>6.48566309059657</v>
      </c>
      <c r="AN30" s="39" t="n">
        <f aca="false">PR_PH(AN$2,$A30)</f>
        <v>6.51168830434406</v>
      </c>
      <c r="AO30" s="39" t="n">
        <f aca="false">PR_PH(AO$2,$A30)</f>
        <v>6.53790839752606</v>
      </c>
      <c r="AP30" s="39" t="n">
        <f aca="false">PR_PH(AP$2,$A30)</f>
        <v>6.56432520668569</v>
      </c>
      <c r="AQ30" s="39" t="n">
        <f aca="false">PR_PH(AQ$2,$A30)</f>
        <v>6.83973563526875</v>
      </c>
    </row>
    <row r="31" customFormat="false" ht="13.8" hidden="false" customHeight="false" outlineLevel="0" collapsed="false">
      <c r="A31" s="0" t="n">
        <v>200</v>
      </c>
      <c r="B31" s="39" t="n">
        <f aca="false">PR_PH(B$2,$A31)</f>
        <v>2015</v>
      </c>
      <c r="C31" s="39" t="n">
        <f aca="false">PR_PH(C$2,$A31)</f>
        <v>2015</v>
      </c>
      <c r="D31" s="39" t="n">
        <f aca="false">PR_PH(D$2,$A31)</f>
        <v>2015</v>
      </c>
      <c r="E31" s="39" t="n">
        <f aca="false">PR_PH(E$2,$A31)</f>
        <v>2015</v>
      </c>
      <c r="F31" s="39" t="n">
        <f aca="false">PR_PH(F$2,$A31)</f>
        <v>2015</v>
      </c>
      <c r="G31" s="39" t="n">
        <f aca="false">PR_PH(G$2,$A31)</f>
        <v>2015</v>
      </c>
      <c r="H31" s="39" t="n">
        <f aca="false">PR_PH(H$2,$A31)</f>
        <v>2015</v>
      </c>
      <c r="I31" s="39" t="n">
        <f aca="false">PR_PH(I$2,$A31)</f>
        <v>2015</v>
      </c>
      <c r="J31" s="39" t="n">
        <f aca="false">PR_PH(J$2,$A31)</f>
        <v>2015</v>
      </c>
      <c r="K31" s="39" t="n">
        <f aca="false">PR_PH(K$2,$A31)</f>
        <v>2015</v>
      </c>
      <c r="L31" s="39" t="n">
        <f aca="false">PR_PH(L$2,$A31)</f>
        <v>2015</v>
      </c>
      <c r="M31" s="39" t="n">
        <f aca="false">PR_PH(M$2,$A31)</f>
        <v>2015</v>
      </c>
      <c r="N31" s="39" t="n">
        <f aca="false">PR_PH(N$2,$A31)</f>
        <v>2015</v>
      </c>
      <c r="O31" s="39" t="n">
        <f aca="false">PR_PH(O$2,$A31)</f>
        <v>2015</v>
      </c>
      <c r="P31" s="39" t="n">
        <f aca="false">PR_PH(P$2,$A31)</f>
        <v>3.72020162411117</v>
      </c>
      <c r="Q31" s="39" t="n">
        <f aca="false">PR_PH(Q$2,$A31)</f>
        <v>3.72030786849445</v>
      </c>
      <c r="R31" s="39" t="n">
        <f aca="false">PR_PH(R$2,$A31)</f>
        <v>3.72041411974271</v>
      </c>
      <c r="S31" s="39" t="n">
        <f aca="false">PR_PH(S$2,$A31)</f>
        <v>3.72052037785637</v>
      </c>
      <c r="T31" s="39" t="n">
        <f aca="false">PR_PH(T$2,$A31)</f>
        <v>3.72062664283575</v>
      </c>
      <c r="U31" s="39" t="n">
        <f aca="false">PR_PH(U$2,$A31)</f>
        <v>3.72073291468131</v>
      </c>
      <c r="V31" s="39" t="n">
        <f aca="false">PR_PH(V$2,$A31)</f>
        <v>3.72083919339345</v>
      </c>
      <c r="W31" s="39" t="n">
        <f aca="false">PR_PH(W$2,$A31)</f>
        <v>3.72094547897252</v>
      </c>
      <c r="X31" s="39" t="n">
        <f aca="false">PR_PH(X$2,$A31)</f>
        <v>3.72105177141895</v>
      </c>
      <c r="Y31" s="39" t="n">
        <f aca="false">PR_PH(Y$2,$A31)</f>
        <v>3.72211507367389</v>
      </c>
      <c r="Z31" s="39" t="n">
        <f aca="false">PR_PH(Z$2,$A31)</f>
        <v>3.72317906309778</v>
      </c>
      <c r="AA31" s="39" t="n">
        <f aca="false">PR_PH(AA$2,$A31)</f>
        <v>3.72424374008594</v>
      </c>
      <c r="AB31" s="39" t="n">
        <f aca="false">PR_PH(AB$2,$A31)</f>
        <v>3.72530910503435</v>
      </c>
      <c r="AC31" s="39" t="n">
        <f aca="false">PR_PH(AC$2,$A31)</f>
        <v>3.72637515833957</v>
      </c>
      <c r="AD31" s="39" t="n">
        <f aca="false">PR_PH(AD$2,$A31)</f>
        <v>3.72744190039856</v>
      </c>
      <c r="AE31" s="39" t="n">
        <f aca="false">PR_PH(AE$2,$A31)</f>
        <v>3.728509331609</v>
      </c>
      <c r="AF31" s="39" t="n">
        <f aca="false">PR_PH(AF$2,$A31)</f>
        <v>3.72957745236895</v>
      </c>
      <c r="AG31" s="39" t="n">
        <f aca="false">PR_PH(AG$2,$A31)</f>
        <v>3.73064626307714</v>
      </c>
      <c r="AH31" s="39" t="n">
        <f aca="false">PR_PH(AH$2,$A31)</f>
        <v>3.74137240540792</v>
      </c>
      <c r="AI31" s="39" t="n">
        <f aca="false">PR_PH(AI$2,$A31)</f>
        <v>3.75216798514472</v>
      </c>
      <c r="AJ31" s="39" t="n">
        <f aca="false">PR_PH(AJ$2,$A31)</f>
        <v>3.76303340996107</v>
      </c>
      <c r="AK31" s="39" t="n">
        <f aca="false">PR_PH(AK$2,$A31)</f>
        <v>3.77396909301226</v>
      </c>
      <c r="AL31" s="39" t="n">
        <f aca="false">PR_PH(AL$2,$A31)</f>
        <v>3.78497545296045</v>
      </c>
      <c r="AM31" s="39" t="n">
        <f aca="false">PR_PH(AM$2,$A31)</f>
        <v>3.79605291400027</v>
      </c>
      <c r="AN31" s="39" t="n">
        <f aca="false">PR_PH(AN$2,$A31)</f>
        <v>3.80720190588692</v>
      </c>
      <c r="AO31" s="39" t="n">
        <f aca="false">PR_PH(AO$2,$A31)</f>
        <v>3.8184228639653</v>
      </c>
      <c r="AP31" s="39" t="n">
        <f aca="false">PR_PH(AP$2,$A31)</f>
        <v>3.82971622920067</v>
      </c>
      <c r="AQ31" s="39" t="n">
        <f aca="false">PR_PH(AQ$2,$A31)</f>
        <v>3.94673337587353</v>
      </c>
    </row>
    <row r="32" customFormat="false" ht="13.8" hidden="false" customHeight="false" outlineLevel="0" collapsed="false">
      <c r="A32" s="0" t="n">
        <v>300</v>
      </c>
      <c r="B32" s="39" t="n">
        <f aca="false">PR_PH(B$2,$A32)</f>
        <v>2015</v>
      </c>
      <c r="C32" s="39" t="n">
        <f aca="false">PR_PH(C$2,$A32)</f>
        <v>2015</v>
      </c>
      <c r="D32" s="39" t="n">
        <f aca="false">PR_PH(D$2,$A32)</f>
        <v>2015</v>
      </c>
      <c r="E32" s="39" t="n">
        <f aca="false">PR_PH(E$2,$A32)</f>
        <v>2015</v>
      </c>
      <c r="F32" s="39" t="n">
        <f aca="false">PR_PH(F$2,$A32)</f>
        <v>2015</v>
      </c>
      <c r="G32" s="39" t="n">
        <f aca="false">PR_PH(G$2,$A32)</f>
        <v>2015</v>
      </c>
      <c r="H32" s="39" t="n">
        <f aca="false">PR_PH(H$2,$A32)</f>
        <v>2015</v>
      </c>
      <c r="I32" s="39" t="n">
        <f aca="false">PR_PH(I$2,$A32)</f>
        <v>2015</v>
      </c>
      <c r="J32" s="39" t="n">
        <f aca="false">PR_PH(J$2,$A32)</f>
        <v>2015</v>
      </c>
      <c r="K32" s="39" t="n">
        <f aca="false">PR_PH(K$2,$A32)</f>
        <v>2015</v>
      </c>
      <c r="L32" s="39" t="n">
        <f aca="false">PR_PH(L$2,$A32)</f>
        <v>2015</v>
      </c>
      <c r="M32" s="39" t="n">
        <f aca="false">PR_PH(M$2,$A32)</f>
        <v>2015</v>
      </c>
      <c r="N32" s="39" t="n">
        <f aca="false">PR_PH(N$2,$A32)</f>
        <v>2015</v>
      </c>
      <c r="O32" s="39" t="n">
        <f aca="false">PR_PH(O$2,$A32)</f>
        <v>2015</v>
      </c>
      <c r="P32" s="39" t="n">
        <f aca="false">PR_PH(P$2,$A32)</f>
        <v>2015</v>
      </c>
      <c r="Q32" s="39" t="n">
        <f aca="false">PR_PH(Q$2,$A32)</f>
        <v>2015</v>
      </c>
      <c r="R32" s="39" t="n">
        <f aca="false">PR_PH(R$2,$A32)</f>
        <v>2.50281816126345</v>
      </c>
      <c r="S32" s="39" t="n">
        <f aca="false">PR_PH(S$2,$A32)</f>
        <v>2.50287209530588</v>
      </c>
      <c r="T32" s="39" t="n">
        <f aca="false">PR_PH(T$2,$A32)</f>
        <v>2.50292603279023</v>
      </c>
      <c r="U32" s="39" t="n">
        <f aca="false">PR_PH(U$2,$A32)</f>
        <v>2.50297997371656</v>
      </c>
      <c r="V32" s="39" t="n">
        <f aca="false">PR_PH(V$2,$A32)</f>
        <v>2.50303391808499</v>
      </c>
      <c r="W32" s="39" t="n">
        <f aca="false">PR_PH(W$2,$A32)</f>
        <v>2.50308786589557</v>
      </c>
      <c r="X32" s="39" t="n">
        <f aca="false">PR_PH(X$2,$A32)</f>
        <v>2.50314181714846</v>
      </c>
      <c r="Y32" s="39" t="n">
        <f aca="false">PR_PH(Y$2,$A32)</f>
        <v>2.50368151902069</v>
      </c>
      <c r="Z32" s="39" t="n">
        <f aca="false">PR_PH(Z$2,$A32)</f>
        <v>2.50422156521608</v>
      </c>
      <c r="AA32" s="39" t="n">
        <f aca="false">PR_PH(AA$2,$A32)</f>
        <v>2.50476195582318</v>
      </c>
      <c r="AB32" s="39" t="n">
        <f aca="false">PR_PH(AB$2,$A32)</f>
        <v>2.50530269093079</v>
      </c>
      <c r="AC32" s="39" t="n">
        <f aca="false">PR_PH(AC$2,$A32)</f>
        <v>2.505843770628</v>
      </c>
      <c r="AD32" s="39" t="n">
        <f aca="false">PR_PH(AD$2,$A32)</f>
        <v>2.50638519500409</v>
      </c>
      <c r="AE32" s="39" t="n">
        <f aca="false">PR_PH(AE$2,$A32)</f>
        <v>2.50692696414862</v>
      </c>
      <c r="AF32" s="39" t="n">
        <f aca="false">PR_PH(AF$2,$A32)</f>
        <v>2.50746907815145</v>
      </c>
      <c r="AG32" s="39" t="n">
        <f aca="false">PR_PH(AG$2,$A32)</f>
        <v>2.50801153710254</v>
      </c>
      <c r="AH32" s="39" t="n">
        <f aca="false">PR_PH(AH$2,$A32)</f>
        <v>2.51345511875776</v>
      </c>
      <c r="AI32" s="39" t="n">
        <f aca="false">PR_PH(AI$2,$A32)</f>
        <v>2.51893329612308</v>
      </c>
      <c r="AJ32" s="39" t="n">
        <f aca="false">PR_PH(AJ$2,$A32)</f>
        <v>2.52444616328159</v>
      </c>
      <c r="AK32" s="39" t="n">
        <f aca="false">PR_PH(AK$2,$A32)</f>
        <v>2.52999381672665</v>
      </c>
      <c r="AL32" s="39" t="n">
        <f aca="false">PR_PH(AL$2,$A32)</f>
        <v>2.53557635533665</v>
      </c>
      <c r="AM32" s="39" t="n">
        <f aca="false">PR_PH(AM$2,$A32)</f>
        <v>2.54119388035077</v>
      </c>
      <c r="AN32" s="39" t="n">
        <f aca="false">PR_PH(AN$2,$A32)</f>
        <v>2.54684649534594</v>
      </c>
      <c r="AO32" s="39" t="n">
        <f aca="false">PR_PH(AO$2,$A32)</f>
        <v>2.55253430621466</v>
      </c>
      <c r="AP32" s="39" t="n">
        <f aca="false">PR_PH(AP$2,$A32)</f>
        <v>2.55825742114387</v>
      </c>
      <c r="AQ32" s="39" t="n">
        <f aca="false">PR_PH(AQ$2,$A32)</f>
        <v>2.61745569805105</v>
      </c>
    </row>
    <row r="33" customFormat="false" ht="13.8" hidden="false" customHeight="false" outlineLevel="0" collapsed="false">
      <c r="A33" s="0" t="n">
        <v>400</v>
      </c>
      <c r="B33" s="39" t="n">
        <f aca="false">PR_PH(B$2,$A33)</f>
        <v>2015</v>
      </c>
      <c r="C33" s="39" t="n">
        <f aca="false">PR_PH(C$2,$A33)</f>
        <v>2015</v>
      </c>
      <c r="D33" s="39" t="n">
        <f aca="false">PR_PH(D$2,$A33)</f>
        <v>2015</v>
      </c>
      <c r="E33" s="39" t="n">
        <f aca="false">PR_PH(E$2,$A33)</f>
        <v>2015</v>
      </c>
      <c r="F33" s="39" t="n">
        <f aca="false">PR_PH(F$2,$A33)</f>
        <v>2015</v>
      </c>
      <c r="G33" s="39" t="n">
        <f aca="false">PR_PH(G$2,$A33)</f>
        <v>2015</v>
      </c>
      <c r="H33" s="39" t="n">
        <f aca="false">PR_PH(H$2,$A33)</f>
        <v>2015</v>
      </c>
      <c r="I33" s="39" t="n">
        <f aca="false">PR_PH(I$2,$A33)</f>
        <v>2015</v>
      </c>
      <c r="J33" s="39" t="n">
        <f aca="false">PR_PH(J$2,$A33)</f>
        <v>2015</v>
      </c>
      <c r="K33" s="39" t="n">
        <f aca="false">PR_PH(K$2,$A33)</f>
        <v>2015</v>
      </c>
      <c r="L33" s="39" t="n">
        <f aca="false">PR_PH(L$2,$A33)</f>
        <v>2015</v>
      </c>
      <c r="M33" s="39" t="n">
        <f aca="false">PR_PH(M$2,$A33)</f>
        <v>2015</v>
      </c>
      <c r="N33" s="39" t="n">
        <f aca="false">PR_PH(N$2,$A33)</f>
        <v>2015</v>
      </c>
      <c r="O33" s="39" t="n">
        <f aca="false">PR_PH(O$2,$A33)</f>
        <v>2015</v>
      </c>
      <c r="P33" s="39" t="n">
        <f aca="false">PR_PH(P$2,$A33)</f>
        <v>2015</v>
      </c>
      <c r="Q33" s="39" t="n">
        <f aca="false">PR_PH(Q$2,$A33)</f>
        <v>2015</v>
      </c>
      <c r="R33" s="39" t="n">
        <f aca="false">PR_PH(R$2,$A33)</f>
        <v>2015</v>
      </c>
      <c r="S33" s="39" t="n">
        <f aca="false">PR_PH(S$2,$A33)</f>
        <v>2015</v>
      </c>
      <c r="T33" s="39" t="n">
        <f aca="false">PR_PH(T$2,$A33)</f>
        <v>2015</v>
      </c>
      <c r="U33" s="39" t="n">
        <f aca="false">PR_PH(U$2,$A33)</f>
        <v>2015</v>
      </c>
      <c r="V33" s="39" t="n">
        <f aca="false">PR_PH(V$2,$A33)</f>
        <v>2015</v>
      </c>
      <c r="W33" s="39" t="n">
        <f aca="false">PR_PH(W$2,$A33)</f>
        <v>1.84307399749547</v>
      </c>
      <c r="X33" s="39" t="n">
        <f aca="false">PR_PH(X$2,$A33)</f>
        <v>1.84310368898424</v>
      </c>
      <c r="Y33" s="39" t="n">
        <f aca="false">PR_PH(Y$2,$A33)</f>
        <v>1.84340072110905</v>
      </c>
      <c r="Z33" s="39" t="n">
        <f aca="false">PR_PH(Z$2,$A33)</f>
        <v>1.84369796637608</v>
      </c>
      <c r="AA33" s="39" t="n">
        <f aca="false">PR_PH(AA$2,$A33)</f>
        <v>1.84399542476267</v>
      </c>
      <c r="AB33" s="39" t="n">
        <f aca="false">PR_PH(AB$2,$A33)</f>
        <v>1.84429309624637</v>
      </c>
      <c r="AC33" s="39" t="n">
        <f aca="false">PR_PH(AC$2,$A33)</f>
        <v>1.84459098080492</v>
      </c>
      <c r="AD33" s="39" t="n">
        <f aca="false">PR_PH(AD$2,$A33)</f>
        <v>1.84488907841632</v>
      </c>
      <c r="AE33" s="39" t="n">
        <f aca="false">PR_PH(AE$2,$A33)</f>
        <v>1.84518738905872</v>
      </c>
      <c r="AF33" s="39" t="n">
        <f aca="false">PR_PH(AF$2,$A33)</f>
        <v>1.84548591271053</v>
      </c>
      <c r="AG33" s="39" t="n">
        <f aca="false">PR_PH(AG$2,$A33)</f>
        <v>1.84578464935033</v>
      </c>
      <c r="AH33" s="39" t="n">
        <f aca="false">PR_PH(AH$2,$A33)</f>
        <v>1.84878372552898</v>
      </c>
      <c r="AI33" s="39" t="n">
        <f aca="false">PR_PH(AI$2,$A33)</f>
        <v>1.85180407850157</v>
      </c>
      <c r="AJ33" s="39" t="n">
        <f aca="false">PR_PH(AJ$2,$A33)</f>
        <v>1.85484569024316</v>
      </c>
      <c r="AK33" s="39" t="n">
        <f aca="false">PR_PH(AK$2,$A33)</f>
        <v>1.8579085447155</v>
      </c>
      <c r="AL33" s="39" t="n">
        <f aca="false">PR_PH(AL$2,$A33)</f>
        <v>1.8609926278209</v>
      </c>
      <c r="AM33" s="39" t="n">
        <f aca="false">PR_PH(AM$2,$A33)</f>
        <v>1.86409792735782</v>
      </c>
      <c r="AN33" s="39" t="n">
        <f aca="false">PR_PH(AN$2,$A33)</f>
        <v>1.86722443297752</v>
      </c>
      <c r="AO33" s="39" t="n">
        <f aca="false">PR_PH(AO$2,$A33)</f>
        <v>1.87037213614234</v>
      </c>
      <c r="AP33" s="39" t="n">
        <f aca="false">PR_PH(AP$2,$A33)</f>
        <v>1.87354103008514</v>
      </c>
      <c r="AQ33" s="39" t="n">
        <f aca="false">PR_PH(AQ$2,$A33)</f>
        <v>1.90639516454531</v>
      </c>
    </row>
    <row r="34" customFormat="false" ht="13.8" hidden="false" customHeight="false" outlineLevel="0" collapsed="false">
      <c r="A34" s="0" t="n">
        <v>500</v>
      </c>
      <c r="B34" s="39" t="n">
        <f aca="false">PR_PH(B$2,$A34)</f>
        <v>2015</v>
      </c>
      <c r="C34" s="39" t="n">
        <f aca="false">PR_PH(C$2,$A34)</f>
        <v>2015</v>
      </c>
      <c r="D34" s="39" t="n">
        <f aca="false">PR_PH(D$2,$A34)</f>
        <v>2015</v>
      </c>
      <c r="E34" s="39" t="n">
        <f aca="false">PR_PH(E$2,$A34)</f>
        <v>2015</v>
      </c>
      <c r="F34" s="39" t="n">
        <f aca="false">PR_PH(F$2,$A34)</f>
        <v>2015</v>
      </c>
      <c r="G34" s="39" t="n">
        <f aca="false">PR_PH(G$2,$A34)</f>
        <v>2015</v>
      </c>
      <c r="H34" s="39" t="n">
        <f aca="false">PR_PH(H$2,$A34)</f>
        <v>2015</v>
      </c>
      <c r="I34" s="39" t="n">
        <f aca="false">PR_PH(I$2,$A34)</f>
        <v>2015</v>
      </c>
      <c r="J34" s="39" t="n">
        <f aca="false">PR_PH(J$2,$A34)</f>
        <v>2015</v>
      </c>
      <c r="K34" s="39" t="n">
        <f aca="false">PR_PH(K$2,$A34)</f>
        <v>2015</v>
      </c>
      <c r="L34" s="39" t="n">
        <f aca="false">PR_PH(L$2,$A34)</f>
        <v>2015</v>
      </c>
      <c r="M34" s="39" t="n">
        <f aca="false">PR_PH(M$2,$A34)</f>
        <v>2015</v>
      </c>
      <c r="N34" s="39" t="n">
        <f aca="false">PR_PH(N$2,$A34)</f>
        <v>2015</v>
      </c>
      <c r="O34" s="39" t="n">
        <f aca="false">PR_PH(O$2,$A34)</f>
        <v>2015</v>
      </c>
      <c r="P34" s="39" t="n">
        <f aca="false">PR_PH(P$2,$A34)</f>
        <v>2015</v>
      </c>
      <c r="Q34" s="39" t="n">
        <f aca="false">PR_PH(Q$2,$A34)</f>
        <v>2015</v>
      </c>
      <c r="R34" s="39" t="n">
        <f aca="false">PR_PH(R$2,$A34)</f>
        <v>2015</v>
      </c>
      <c r="S34" s="39" t="n">
        <f aca="false">PR_PH(S$2,$A34)</f>
        <v>2015</v>
      </c>
      <c r="T34" s="39" t="n">
        <f aca="false">PR_PH(T$2,$A34)</f>
        <v>2015</v>
      </c>
      <c r="U34" s="39" t="n">
        <f aca="false">PR_PH(U$2,$A34)</f>
        <v>2015</v>
      </c>
      <c r="V34" s="39" t="n">
        <f aca="false">PR_PH(V$2,$A34)</f>
        <v>2015</v>
      </c>
      <c r="W34" s="39" t="n">
        <f aca="false">PR_PH(W$2,$A34)</f>
        <v>2015</v>
      </c>
      <c r="X34" s="39" t="n">
        <f aca="false">PR_PH(X$2,$A34)</f>
        <v>2015</v>
      </c>
      <c r="Y34" s="39" t="n">
        <f aca="false">PR_PH(Y$2,$A34)</f>
        <v>1.45271172393938</v>
      </c>
      <c r="Z34" s="39" t="n">
        <f aca="false">PR_PH(Z$2,$A34)</f>
        <v>1.45287792017671</v>
      </c>
      <c r="AA34" s="39" t="n">
        <f aca="false">PR_PH(AA$2,$A34)</f>
        <v>1.45304427618119</v>
      </c>
      <c r="AB34" s="39" t="n">
        <f aca="false">PR_PH(AB$2,$A34)</f>
        <v>1.45321079186739</v>
      </c>
      <c r="AC34" s="39" t="n">
        <f aca="false">PR_PH(AC$2,$A34)</f>
        <v>1.45337746715014</v>
      </c>
      <c r="AD34" s="39" t="n">
        <f aca="false">PR_PH(AD$2,$A34)</f>
        <v>1.45354430194456</v>
      </c>
      <c r="AE34" s="39" t="n">
        <f aca="false">PR_PH(AE$2,$A34)</f>
        <v>1.45371129616601</v>
      </c>
      <c r="AF34" s="39" t="n">
        <f aca="false">PR_PH(AF$2,$A34)</f>
        <v>1.4538784497301</v>
      </c>
      <c r="AG34" s="39" t="n">
        <f aca="false">PR_PH(AG$2,$A34)</f>
        <v>1.45404576255274</v>
      </c>
      <c r="AH34" s="39" t="n">
        <f aca="false">PR_PH(AH$2,$A34)</f>
        <v>1.4557276316796</v>
      </c>
      <c r="AI34" s="39" t="n">
        <f aca="false">PR_PH(AI$2,$A34)</f>
        <v>1.45742533604927</v>
      </c>
      <c r="AJ34" s="39" t="n">
        <f aca="false">PR_PH(AJ$2,$A34)</f>
        <v>1.45913879574448</v>
      </c>
      <c r="AK34" s="39" t="n">
        <f aca="false">PR_PH(AK$2,$A34)</f>
        <v>1.46086793329675</v>
      </c>
      <c r="AL34" s="39" t="n">
        <f aca="false">PR_PH(AL$2,$A34)</f>
        <v>1.46261267361438</v>
      </c>
      <c r="AM34" s="39" t="n">
        <f aca="false">PR_PH(AM$2,$A34)</f>
        <v>1.46437294391245</v>
      </c>
      <c r="AN34" s="39" t="n">
        <f aca="false">PR_PH(AN$2,$A34)</f>
        <v>1.4661486736451</v>
      </c>
      <c r="AO34" s="39" t="n">
        <f aca="false">PR_PH(AO$2,$A34)</f>
        <v>1.46793979443994</v>
      </c>
      <c r="AP34" s="39" t="n">
        <f aca="false">PR_PH(AP$2,$A34)</f>
        <v>1.46974624003437</v>
      </c>
      <c r="AQ34" s="39" t="n">
        <f aca="false">PR_PH(AQ$2,$A34)</f>
        <v>1.48864037299678</v>
      </c>
    </row>
    <row r="35" customFormat="false" ht="13.8" hidden="false" customHeight="false" outlineLevel="0" collapsed="false">
      <c r="A35" s="0" t="n">
        <v>600</v>
      </c>
      <c r="B35" s="39" t="n">
        <f aca="false">PR_PH(B$2,$A35)</f>
        <v>2015</v>
      </c>
      <c r="C35" s="39" t="n">
        <f aca="false">PR_PH(C$2,$A35)</f>
        <v>2015</v>
      </c>
      <c r="D35" s="39" t="n">
        <f aca="false">PR_PH(D$2,$A35)</f>
        <v>2015</v>
      </c>
      <c r="E35" s="39" t="n">
        <f aca="false">PR_PH(E$2,$A35)</f>
        <v>2015</v>
      </c>
      <c r="F35" s="39" t="n">
        <f aca="false">PR_PH(F$2,$A35)</f>
        <v>2015</v>
      </c>
      <c r="G35" s="39" t="n">
        <f aca="false">PR_PH(G$2,$A35)</f>
        <v>2015</v>
      </c>
      <c r="H35" s="39" t="n">
        <f aca="false">PR_PH(H$2,$A35)</f>
        <v>2015</v>
      </c>
      <c r="I35" s="39" t="n">
        <f aca="false">PR_PH(I$2,$A35)</f>
        <v>2015</v>
      </c>
      <c r="J35" s="39" t="n">
        <f aca="false">PR_PH(J$2,$A35)</f>
        <v>2015</v>
      </c>
      <c r="K35" s="39" t="n">
        <f aca="false">PR_PH(K$2,$A35)</f>
        <v>2015</v>
      </c>
      <c r="L35" s="39" t="n">
        <f aca="false">PR_PH(L$2,$A35)</f>
        <v>2015</v>
      </c>
      <c r="M35" s="39" t="n">
        <f aca="false">PR_PH(M$2,$A35)</f>
        <v>2015</v>
      </c>
      <c r="N35" s="39" t="n">
        <f aca="false">PR_PH(N$2,$A35)</f>
        <v>2015</v>
      </c>
      <c r="O35" s="39" t="n">
        <f aca="false">PR_PH(O$2,$A35)</f>
        <v>2015</v>
      </c>
      <c r="P35" s="39" t="n">
        <f aca="false">PR_PH(P$2,$A35)</f>
        <v>2015</v>
      </c>
      <c r="Q35" s="39" t="n">
        <f aca="false">PR_PH(Q$2,$A35)</f>
        <v>2015</v>
      </c>
      <c r="R35" s="39" t="n">
        <f aca="false">PR_PH(R$2,$A35)</f>
        <v>2015</v>
      </c>
      <c r="S35" s="39" t="n">
        <f aca="false">PR_PH(S$2,$A35)</f>
        <v>2015</v>
      </c>
      <c r="T35" s="39" t="n">
        <f aca="false">PR_PH(T$2,$A35)</f>
        <v>2015</v>
      </c>
      <c r="U35" s="39" t="n">
        <f aca="false">PR_PH(U$2,$A35)</f>
        <v>2015</v>
      </c>
      <c r="V35" s="39" t="n">
        <f aca="false">PR_PH(V$2,$A35)</f>
        <v>2015</v>
      </c>
      <c r="W35" s="39" t="n">
        <f aca="false">PR_PH(W$2,$A35)</f>
        <v>2015</v>
      </c>
      <c r="X35" s="39" t="n">
        <f aca="false">PR_PH(X$2,$A35)</f>
        <v>2015</v>
      </c>
      <c r="Y35" s="39" t="n">
        <f aca="false">PR_PH(Y$2,$A35)</f>
        <v>2015</v>
      </c>
      <c r="Z35" s="39" t="n">
        <f aca="false">PR_PH(Z$2,$A35)</f>
        <v>2015</v>
      </c>
      <c r="AA35" s="39" t="n">
        <f aca="false">PR_PH(AA$2,$A35)</f>
        <v>1.20834884051322</v>
      </c>
      <c r="AB35" s="39" t="n">
        <f aca="false">PR_PH(AB$2,$A35)</f>
        <v>1.20843427815346</v>
      </c>
      <c r="AC35" s="39" t="n">
        <f aca="false">PR_PH(AC$2,$A35)</f>
        <v>1.20851985940603</v>
      </c>
      <c r="AD35" s="39" t="n">
        <f aca="false">PR_PH(AD$2,$A35)</f>
        <v>1.20860558412563</v>
      </c>
      <c r="AE35" s="39" t="n">
        <f aca="false">PR_PH(AE$2,$A35)</f>
        <v>1.20869145216733</v>
      </c>
      <c r="AF35" s="39" t="n">
        <f aca="false">PR_PH(AF$2,$A35)</f>
        <v>1.20877746338662</v>
      </c>
      <c r="AG35" s="39" t="n">
        <f aca="false">PR_PH(AG$2,$A35)</f>
        <v>1.20886361763939</v>
      </c>
      <c r="AH35" s="39" t="n">
        <f aca="false">PR_PH(AH$2,$A35)</f>
        <v>1.20973299558184</v>
      </c>
      <c r="AI35" s="39" t="n">
        <f aca="false">PR_PH(AI$2,$A35)</f>
        <v>1.21061652122755</v>
      </c>
      <c r="AJ35" s="39" t="n">
        <f aca="false">PR_PH(AJ$2,$A35)</f>
        <v>1.21151405678569</v>
      </c>
      <c r="AK35" s="39" t="n">
        <f aca="false">PR_PH(AK$2,$A35)</f>
        <v>1.21242546814737</v>
      </c>
      <c r="AL35" s="39" t="n">
        <f aca="false">PR_PH(AL$2,$A35)</f>
        <v>1.21335062476674</v>
      </c>
      <c r="AM35" s="39" t="n">
        <f aca="false">PR_PH(AM$2,$A35)</f>
        <v>1.21428939954587</v>
      </c>
      <c r="AN35" s="39" t="n">
        <f aca="false">PR_PH(AN$2,$A35)</f>
        <v>1.21524166872318</v>
      </c>
      <c r="AO35" s="39" t="n">
        <f aca="false">PR_PH(AO$2,$A35)</f>
        <v>1.21620731176559</v>
      </c>
      <c r="AP35" s="39" t="n">
        <f aca="false">PR_PH(AP$2,$A35)</f>
        <v>1.217186211264</v>
      </c>
      <c r="AQ35" s="39" t="n">
        <f aca="false">PR_PH(AQ$2,$A35)</f>
        <v>1.22768052200988</v>
      </c>
    </row>
    <row r="36" customFormat="false" ht="13.8" hidden="false" customHeight="false" outlineLevel="0" collapsed="false">
      <c r="A36" s="0" t="n">
        <v>700</v>
      </c>
      <c r="B36" s="39" t="n">
        <f aca="false">PR_PH(B$2,$A36)</f>
        <v>2015</v>
      </c>
      <c r="C36" s="39" t="n">
        <f aca="false">PR_PH(C$2,$A36)</f>
        <v>2015</v>
      </c>
      <c r="D36" s="39" t="n">
        <f aca="false">PR_PH(D$2,$A36)</f>
        <v>2015</v>
      </c>
      <c r="E36" s="39" t="n">
        <f aca="false">PR_PH(E$2,$A36)</f>
        <v>2015</v>
      </c>
      <c r="F36" s="39" t="n">
        <f aca="false">PR_PH(F$2,$A36)</f>
        <v>2015</v>
      </c>
      <c r="G36" s="39" t="n">
        <f aca="false">PR_PH(G$2,$A36)</f>
        <v>2015</v>
      </c>
      <c r="H36" s="39" t="n">
        <f aca="false">PR_PH(H$2,$A36)</f>
        <v>2015</v>
      </c>
      <c r="I36" s="39" t="n">
        <f aca="false">PR_PH(I$2,$A36)</f>
        <v>2015</v>
      </c>
      <c r="J36" s="39" t="n">
        <f aca="false">PR_PH(J$2,$A36)</f>
        <v>2015</v>
      </c>
      <c r="K36" s="39" t="n">
        <f aca="false">PR_PH(K$2,$A36)</f>
        <v>2015</v>
      </c>
      <c r="L36" s="39" t="n">
        <f aca="false">PR_PH(L$2,$A36)</f>
        <v>2015</v>
      </c>
      <c r="M36" s="39" t="n">
        <f aca="false">PR_PH(M$2,$A36)</f>
        <v>2015</v>
      </c>
      <c r="N36" s="39" t="n">
        <f aca="false">PR_PH(N$2,$A36)</f>
        <v>2015</v>
      </c>
      <c r="O36" s="39" t="n">
        <f aca="false">PR_PH(O$2,$A36)</f>
        <v>2015</v>
      </c>
      <c r="P36" s="39" t="n">
        <f aca="false">PR_PH(P$2,$A36)</f>
        <v>2015</v>
      </c>
      <c r="Q36" s="39" t="n">
        <f aca="false">PR_PH(Q$2,$A36)</f>
        <v>2015</v>
      </c>
      <c r="R36" s="39" t="n">
        <f aca="false">PR_PH(R$2,$A36)</f>
        <v>2015</v>
      </c>
      <c r="S36" s="39" t="n">
        <f aca="false">PR_PH(S$2,$A36)</f>
        <v>2015</v>
      </c>
      <c r="T36" s="39" t="n">
        <f aca="false">PR_PH(T$2,$A36)</f>
        <v>2015</v>
      </c>
      <c r="U36" s="39" t="n">
        <f aca="false">PR_PH(U$2,$A36)</f>
        <v>2015</v>
      </c>
      <c r="V36" s="39" t="n">
        <f aca="false">PR_PH(V$2,$A36)</f>
        <v>2015</v>
      </c>
      <c r="W36" s="39" t="n">
        <f aca="false">PR_PH(W$2,$A36)</f>
        <v>2015</v>
      </c>
      <c r="X36" s="39" t="n">
        <f aca="false">PR_PH(X$2,$A36)</f>
        <v>2015</v>
      </c>
      <c r="Y36" s="39" t="n">
        <f aca="false">PR_PH(Y$2,$A36)</f>
        <v>2015</v>
      </c>
      <c r="Z36" s="39" t="n">
        <f aca="false">PR_PH(Z$2,$A36)</f>
        <v>2015</v>
      </c>
      <c r="AA36" s="39" t="n">
        <f aca="false">PR_PH(AA$2,$A36)</f>
        <v>2015</v>
      </c>
      <c r="AB36" s="39" t="n">
        <f aca="false">PR_PH(AB$2,$A36)</f>
        <v>2015</v>
      </c>
      <c r="AC36" s="39" t="n">
        <f aca="false">PR_PH(AC$2,$A36)</f>
        <v>2015</v>
      </c>
      <c r="AD36" s="39" t="n">
        <f aca="false">PR_PH(AD$2,$A36)</f>
        <v>2015</v>
      </c>
      <c r="AE36" s="39" t="n">
        <f aca="false">PR_PH(AE$2,$A36)</f>
        <v>1.05043875871567</v>
      </c>
      <c r="AF36" s="39" t="n">
        <f aca="false">PR_PH(AF$2,$A36)</f>
        <v>1.05046676058677</v>
      </c>
      <c r="AG36" s="39" t="n">
        <f aca="false">PR_PH(AG$2,$A36)</f>
        <v>1.050494914395</v>
      </c>
      <c r="AH36" s="39" t="n">
        <f aca="false">PR_PH(AH$2,$A36)</f>
        <v>1.05078475898085</v>
      </c>
      <c r="AI36" s="39" t="n">
        <f aca="false">PR_PH(AI$2,$A36)</f>
        <v>1.05108954958761</v>
      </c>
      <c r="AJ36" s="39" t="n">
        <f aca="false">PR_PH(AJ$2,$A36)</f>
        <v>1.05140906726155</v>
      </c>
      <c r="AK36" s="39" t="n">
        <f aca="false">PR_PH(AK$2,$A36)</f>
        <v>1.05174309921946</v>
      </c>
      <c r="AL36" s="39" t="n">
        <f aca="false">PR_PH(AL$2,$A36)</f>
        <v>1.05209143863552</v>
      </c>
      <c r="AM36" s="39" t="n">
        <f aca="false">PR_PH(AM$2,$A36)</f>
        <v>1.05245388443567</v>
      </c>
      <c r="AN36" s="39" t="n">
        <f aca="false">PR_PH(AN$2,$A36)</f>
        <v>1.05283024109918</v>
      </c>
      <c r="AO36" s="39" t="n">
        <f aca="false">PR_PH(AO$2,$A36)</f>
        <v>1.05322031846719</v>
      </c>
      <c r="AP36" s="39" t="n">
        <f aca="false">PR_PH(AP$2,$A36)</f>
        <v>1.05362393155784</v>
      </c>
      <c r="AQ36" s="39" t="n">
        <f aca="false">PR_PH(AQ$2,$A36)</f>
        <v>1.05836719336828</v>
      </c>
    </row>
    <row r="37" customFormat="false" ht="13.8" hidden="false" customHeight="false" outlineLevel="0" collapsed="false">
      <c r="A37" s="0" t="n">
        <v>800</v>
      </c>
      <c r="B37" s="39" t="n">
        <f aca="false">PR_PH(B$2,$A37)</f>
        <v>2015</v>
      </c>
      <c r="C37" s="39" t="n">
        <f aca="false">PR_PH(C$2,$A37)</f>
        <v>2015</v>
      </c>
      <c r="D37" s="39" t="n">
        <f aca="false">PR_PH(D$2,$A37)</f>
        <v>2015</v>
      </c>
      <c r="E37" s="39" t="n">
        <f aca="false">PR_PH(E$2,$A37)</f>
        <v>2015</v>
      </c>
      <c r="F37" s="39" t="n">
        <f aca="false">PR_PH(F$2,$A37)</f>
        <v>2015</v>
      </c>
      <c r="G37" s="39" t="n">
        <f aca="false">PR_PH(G$2,$A37)</f>
        <v>2015</v>
      </c>
      <c r="H37" s="39" t="n">
        <f aca="false">PR_PH(H$2,$A37)</f>
        <v>2015</v>
      </c>
      <c r="I37" s="39" t="n">
        <f aca="false">PR_PH(I$2,$A37)</f>
        <v>2015</v>
      </c>
      <c r="J37" s="39" t="n">
        <f aca="false">PR_PH(J$2,$A37)</f>
        <v>2015</v>
      </c>
      <c r="K37" s="39" t="n">
        <f aca="false">PR_PH(K$2,$A37)</f>
        <v>2015</v>
      </c>
      <c r="L37" s="39" t="n">
        <f aca="false">PR_PH(L$2,$A37)</f>
        <v>2015</v>
      </c>
      <c r="M37" s="39" t="n">
        <f aca="false">PR_PH(M$2,$A37)</f>
        <v>2015</v>
      </c>
      <c r="N37" s="39" t="n">
        <f aca="false">PR_PH(N$2,$A37)</f>
        <v>2015</v>
      </c>
      <c r="O37" s="39" t="n">
        <f aca="false">PR_PH(O$2,$A37)</f>
        <v>2015</v>
      </c>
      <c r="P37" s="39" t="n">
        <f aca="false">PR_PH(P$2,$A37)</f>
        <v>2015</v>
      </c>
      <c r="Q37" s="39" t="n">
        <f aca="false">PR_PH(Q$2,$A37)</f>
        <v>2015</v>
      </c>
      <c r="R37" s="39" t="n">
        <f aca="false">PR_PH(R$2,$A37)</f>
        <v>2015</v>
      </c>
      <c r="S37" s="39" t="n">
        <f aca="false">PR_PH(S$2,$A37)</f>
        <v>2015</v>
      </c>
      <c r="T37" s="39" t="n">
        <f aca="false">PR_PH(T$2,$A37)</f>
        <v>2015</v>
      </c>
      <c r="U37" s="39" t="n">
        <f aca="false">PR_PH(U$2,$A37)</f>
        <v>2015</v>
      </c>
      <c r="V37" s="39" t="n">
        <f aca="false">PR_PH(V$2,$A37)</f>
        <v>2015</v>
      </c>
      <c r="W37" s="39" t="n">
        <f aca="false">PR_PH(W$2,$A37)</f>
        <v>2015</v>
      </c>
      <c r="X37" s="39" t="n">
        <f aca="false">PR_PH(X$2,$A37)</f>
        <v>2015</v>
      </c>
      <c r="Y37" s="39" t="n">
        <f aca="false">PR_PH(Y$2,$A37)</f>
        <v>2015</v>
      </c>
      <c r="Z37" s="39" t="n">
        <f aca="false">PR_PH(Z$2,$A37)</f>
        <v>2015</v>
      </c>
      <c r="AA37" s="39" t="n">
        <f aca="false">PR_PH(AA$2,$A37)</f>
        <v>2015</v>
      </c>
      <c r="AB37" s="39" t="n">
        <f aca="false">PR_PH(AB$2,$A37)</f>
        <v>2015</v>
      </c>
      <c r="AC37" s="39" t="n">
        <f aca="false">PR_PH(AC$2,$A37)</f>
        <v>2015</v>
      </c>
      <c r="AD37" s="39" t="n">
        <f aca="false">PR_PH(AD$2,$A37)</f>
        <v>2015</v>
      </c>
      <c r="AE37" s="39" t="n">
        <f aca="false">PR_PH(AE$2,$A37)</f>
        <v>2015</v>
      </c>
      <c r="AF37" s="39" t="n">
        <f aca="false">PR_PH(AF$2,$A37)</f>
        <v>2015</v>
      </c>
      <c r="AG37" s="39" t="n">
        <f aca="false">PR_PH(AG$2,$A37)</f>
        <v>2015</v>
      </c>
      <c r="AH37" s="39" t="n">
        <f aca="false">PR_PH(AH$2,$A37)</f>
        <v>0.947598870654975</v>
      </c>
      <c r="AI37" s="39" t="n">
        <f aca="false">PR_PH(AI$2,$A37)</f>
        <v>0.947417483696086</v>
      </c>
      <c r="AJ37" s="39" t="n">
        <f aca="false">PR_PH(AJ$2,$A37)</f>
        <v>0.947253980747109</v>
      </c>
      <c r="AK37" s="39" t="n">
        <f aca="false">PR_PH(AK$2,$A37)</f>
        <v>0.947108014345221</v>
      </c>
      <c r="AL37" s="39" t="n">
        <f aca="false">PR_PH(AL$2,$A37)</f>
        <v>0.946979247923556</v>
      </c>
      <c r="AM37" s="39" t="n">
        <f aca="false">PR_PH(AM$2,$A37)</f>
        <v>0.946867355392259</v>
      </c>
      <c r="AN37" s="39" t="n">
        <f aca="false">PR_PH(AN$2,$A37)</f>
        <v>0.94677202073745</v>
      </c>
      <c r="AO37" s="39" t="n">
        <f aca="false">PR_PH(AO$2,$A37)</f>
        <v>0.946692937637285</v>
      </c>
      <c r="AP37" s="39" t="n">
        <f aca="false">PR_PH(AP$2,$A37)</f>
        <v>0.946629809094158</v>
      </c>
      <c r="AQ37" s="39" t="n">
        <f aca="false">PR_PH(AQ$2,$A37)</f>
        <v>0.94681668773948</v>
      </c>
    </row>
    <row r="38" customFormat="false" ht="13.8" hidden="false" customHeight="false" outlineLevel="0" collapsed="false">
      <c r="A38" s="0" t="n">
        <v>900</v>
      </c>
      <c r="B38" s="39" t="n">
        <f aca="false">PR_PH(B$2,$A38)</f>
        <v>2015</v>
      </c>
      <c r="C38" s="39" t="n">
        <f aca="false">PR_PH(C$2,$A38)</f>
        <v>2015</v>
      </c>
      <c r="D38" s="39" t="n">
        <f aca="false">PR_PH(D$2,$A38)</f>
        <v>2015</v>
      </c>
      <c r="E38" s="39" t="n">
        <f aca="false">PR_PH(E$2,$A38)</f>
        <v>2015</v>
      </c>
      <c r="F38" s="39" t="n">
        <f aca="false">PR_PH(F$2,$A38)</f>
        <v>2015</v>
      </c>
      <c r="G38" s="39" t="n">
        <f aca="false">PR_PH(G$2,$A38)</f>
        <v>2015</v>
      </c>
      <c r="H38" s="39" t="n">
        <f aca="false">PR_PH(H$2,$A38)</f>
        <v>2015</v>
      </c>
      <c r="I38" s="39" t="n">
        <f aca="false">PR_PH(I$2,$A38)</f>
        <v>2015</v>
      </c>
      <c r="J38" s="39" t="n">
        <f aca="false">PR_PH(J$2,$A38)</f>
        <v>2015</v>
      </c>
      <c r="K38" s="39" t="n">
        <f aca="false">PR_PH(K$2,$A38)</f>
        <v>2015</v>
      </c>
      <c r="L38" s="39" t="n">
        <f aca="false">PR_PH(L$2,$A38)</f>
        <v>2015</v>
      </c>
      <c r="M38" s="39" t="n">
        <f aca="false">PR_PH(M$2,$A38)</f>
        <v>2015</v>
      </c>
      <c r="N38" s="39" t="n">
        <f aca="false">PR_PH(N$2,$A38)</f>
        <v>2015</v>
      </c>
      <c r="O38" s="39" t="n">
        <f aca="false">PR_PH(O$2,$A38)</f>
        <v>2015</v>
      </c>
      <c r="P38" s="39" t="n">
        <f aca="false">PR_PH(P$2,$A38)</f>
        <v>2015</v>
      </c>
      <c r="Q38" s="39" t="n">
        <f aca="false">PR_PH(Q$2,$A38)</f>
        <v>2015</v>
      </c>
      <c r="R38" s="39" t="n">
        <f aca="false">PR_PH(R$2,$A38)</f>
        <v>2015</v>
      </c>
      <c r="S38" s="39" t="n">
        <f aca="false">PR_PH(S$2,$A38)</f>
        <v>2015</v>
      </c>
      <c r="T38" s="39" t="n">
        <f aca="false">PR_PH(T$2,$A38)</f>
        <v>2015</v>
      </c>
      <c r="U38" s="39" t="n">
        <f aca="false">PR_PH(U$2,$A38)</f>
        <v>2015</v>
      </c>
      <c r="V38" s="39" t="n">
        <f aca="false">PR_PH(V$2,$A38)</f>
        <v>2015</v>
      </c>
      <c r="W38" s="39" t="n">
        <f aca="false">PR_PH(W$2,$A38)</f>
        <v>2015</v>
      </c>
      <c r="X38" s="39" t="n">
        <f aca="false">PR_PH(X$2,$A38)</f>
        <v>2015</v>
      </c>
      <c r="Y38" s="39" t="n">
        <f aca="false">PR_PH(Y$2,$A38)</f>
        <v>2015</v>
      </c>
      <c r="Z38" s="39" t="n">
        <f aca="false">PR_PH(Z$2,$A38)</f>
        <v>2015</v>
      </c>
      <c r="AA38" s="39" t="n">
        <f aca="false">PR_PH(AA$2,$A38)</f>
        <v>2015</v>
      </c>
      <c r="AB38" s="39" t="n">
        <f aca="false">PR_PH(AB$2,$A38)</f>
        <v>2015</v>
      </c>
      <c r="AC38" s="39" t="n">
        <f aca="false">PR_PH(AC$2,$A38)</f>
        <v>2015</v>
      </c>
      <c r="AD38" s="39" t="n">
        <f aca="false">PR_PH(AD$2,$A38)</f>
        <v>2015</v>
      </c>
      <c r="AE38" s="39" t="n">
        <f aca="false">PR_PH(AE$2,$A38)</f>
        <v>2015</v>
      </c>
      <c r="AF38" s="39" t="n">
        <f aca="false">PR_PH(AF$2,$A38)</f>
        <v>2015</v>
      </c>
      <c r="AG38" s="39" t="n">
        <f aca="false">PR_PH(AG$2,$A38)</f>
        <v>2015</v>
      </c>
      <c r="AH38" s="39" t="n">
        <f aca="false">PR_PH(AH$2,$A38)</f>
        <v>0.883175158689678</v>
      </c>
      <c r="AI38" s="39" t="n">
        <f aca="false">PR_PH(AI$2,$A38)</f>
        <v>0.882502034407354</v>
      </c>
      <c r="AJ38" s="39" t="n">
        <f aca="false">PR_PH(AJ$2,$A38)</f>
        <v>0.881853464761326</v>
      </c>
      <c r="AK38" s="39" t="n">
        <f aca="false">PR_PH(AK$2,$A38)</f>
        <v>0.881228840131457</v>
      </c>
      <c r="AL38" s="39" t="n">
        <f aca="false">PR_PH(AL$2,$A38)</f>
        <v>0.880627573329537</v>
      </c>
      <c r="AM38" s="39" t="n">
        <f aca="false">PR_PH(AM$2,$A38)</f>
        <v>0.880049098570754</v>
      </c>
      <c r="AN38" s="39" t="n">
        <f aca="false">PR_PH(AN$2,$A38)</f>
        <v>0.879492870500898</v>
      </c>
      <c r="AO38" s="39" t="n">
        <f aca="false">PR_PH(AO$2,$A38)</f>
        <v>0.878958363275371</v>
      </c>
      <c r="AP38" s="39" t="n">
        <f aca="false">PR_PH(AP$2,$A38)</f>
        <v>0.878445069686571</v>
      </c>
      <c r="AQ38" s="39" t="n">
        <f aca="false">PR_PH(AQ$2,$A38)</f>
        <v>0.874379086787746</v>
      </c>
    </row>
    <row r="39" customFormat="false" ht="13.8" hidden="false" customHeight="false" outlineLevel="0" collapsed="false">
      <c r="A39" s="0" t="n">
        <v>1000</v>
      </c>
      <c r="B39" s="39" t="n">
        <f aca="false">PR_PH(B$2,$A39)</f>
        <v>2015</v>
      </c>
      <c r="C39" s="39" t="n">
        <f aca="false">PR_PH(C$2,$A39)</f>
        <v>2015</v>
      </c>
      <c r="D39" s="39" t="n">
        <f aca="false">PR_PH(D$2,$A39)</f>
        <v>2015</v>
      </c>
      <c r="E39" s="39" t="n">
        <f aca="false">PR_PH(E$2,$A39)</f>
        <v>2015</v>
      </c>
      <c r="F39" s="39" t="n">
        <f aca="false">PR_PH(F$2,$A39)</f>
        <v>2015</v>
      </c>
      <c r="G39" s="39" t="n">
        <f aca="false">PR_PH(G$2,$A39)</f>
        <v>2015</v>
      </c>
      <c r="H39" s="39" t="n">
        <f aca="false">PR_PH(H$2,$A39)</f>
        <v>2015</v>
      </c>
      <c r="I39" s="39" t="n">
        <f aca="false">PR_PH(I$2,$A39)</f>
        <v>2015</v>
      </c>
      <c r="J39" s="39" t="n">
        <f aca="false">PR_PH(J$2,$A39)</f>
        <v>2015</v>
      </c>
      <c r="K39" s="39" t="n">
        <f aca="false">PR_PH(K$2,$A39)</f>
        <v>2015</v>
      </c>
      <c r="L39" s="39" t="n">
        <f aca="false">PR_PH(L$2,$A39)</f>
        <v>2015</v>
      </c>
      <c r="M39" s="39" t="n">
        <f aca="false">PR_PH(M$2,$A39)</f>
        <v>2015</v>
      </c>
      <c r="N39" s="39" t="n">
        <f aca="false">PR_PH(N$2,$A39)</f>
        <v>2015</v>
      </c>
      <c r="O39" s="39" t="n">
        <f aca="false">PR_PH(O$2,$A39)</f>
        <v>2015</v>
      </c>
      <c r="P39" s="39" t="n">
        <f aca="false">PR_PH(P$2,$A39)</f>
        <v>2015</v>
      </c>
      <c r="Q39" s="39" t="n">
        <f aca="false">PR_PH(Q$2,$A39)</f>
        <v>2015</v>
      </c>
      <c r="R39" s="39" t="n">
        <f aca="false">PR_PH(R$2,$A39)</f>
        <v>2015</v>
      </c>
      <c r="S39" s="39" t="n">
        <f aca="false">PR_PH(S$2,$A39)</f>
        <v>2015</v>
      </c>
      <c r="T39" s="39" t="n">
        <f aca="false">PR_PH(T$2,$A39)</f>
        <v>2015</v>
      </c>
      <c r="U39" s="39" t="n">
        <f aca="false">PR_PH(U$2,$A39)</f>
        <v>2015</v>
      </c>
      <c r="V39" s="39" t="n">
        <f aca="false">PR_PH(V$2,$A39)</f>
        <v>2015</v>
      </c>
      <c r="W39" s="39" t="n">
        <f aca="false">PR_PH(W$2,$A39)</f>
        <v>2015</v>
      </c>
      <c r="X39" s="39" t="n">
        <f aca="false">PR_PH(X$2,$A39)</f>
        <v>2015</v>
      </c>
      <c r="Y39" s="39" t="n">
        <f aca="false">PR_PH(Y$2,$A39)</f>
        <v>2015</v>
      </c>
      <c r="Z39" s="39" t="n">
        <f aca="false">PR_PH(Z$2,$A39)</f>
        <v>2015</v>
      </c>
      <c r="AA39" s="39" t="n">
        <f aca="false">PR_PH(AA$2,$A39)</f>
        <v>2015</v>
      </c>
      <c r="AB39" s="39" t="n">
        <f aca="false">PR_PH(AB$2,$A39)</f>
        <v>2015</v>
      </c>
      <c r="AC39" s="39" t="n">
        <f aca="false">PR_PH(AC$2,$A39)</f>
        <v>2015</v>
      </c>
      <c r="AD39" s="39" t="n">
        <f aca="false">PR_PH(AD$2,$A39)</f>
        <v>2015</v>
      </c>
      <c r="AE39" s="39" t="n">
        <f aca="false">PR_PH(AE$2,$A39)</f>
        <v>2015</v>
      </c>
      <c r="AF39" s="39" t="n">
        <f aca="false">PR_PH(AF$2,$A39)</f>
        <v>2015</v>
      </c>
      <c r="AG39" s="39" t="n">
        <f aca="false">PR_PH(AG$2,$A39)</f>
        <v>2015</v>
      </c>
      <c r="AH39" s="39" t="n">
        <f aca="false">PR_PH(AH$2,$A39)</f>
        <v>2015</v>
      </c>
      <c r="AI39" s="39" t="n">
        <f aca="false">PR_PH(AI$2,$A39)</f>
        <v>0.847203534427356</v>
      </c>
      <c r="AJ39" s="39" t="n">
        <f aca="false">PR_PH(AJ$2,$A39)</f>
        <v>0.845969398382368</v>
      </c>
      <c r="AK39" s="39" t="n">
        <f aca="false">PR_PH(AK$2,$A39)</f>
        <v>0.844771882434279</v>
      </c>
      <c r="AL39" s="39" t="n">
        <f aca="false">PR_PH(AL$2,$A39)</f>
        <v>0.843609845392455</v>
      </c>
      <c r="AM39" s="39" t="n">
        <f aca="false">PR_PH(AM$2,$A39)</f>
        <v>0.842482197341777</v>
      </c>
      <c r="AN39" s="39" t="n">
        <f aca="false">PR_PH(AN$2,$A39)</f>
        <v>0.841387896659371</v>
      </c>
      <c r="AO39" s="39" t="n">
        <f aca="false">PR_PH(AO$2,$A39)</f>
        <v>0.840325947265437</v>
      </c>
      <c r="AP39" s="39" t="n">
        <f aca="false">PR_PH(AP$2,$A39)</f>
        <v>0.839295396082568</v>
      </c>
      <c r="AQ39" s="39" t="n">
        <f aca="false">PR_PH(AQ$2,$A39)</f>
        <v>0.830533582121918</v>
      </c>
    </row>
    <row r="40" customFormat="false" ht="13.8" hidden="false" customHeight="false" outlineLevel="0" collapsed="false">
      <c r="A40" s="0" t="n">
        <v>2000</v>
      </c>
      <c r="B40" s="39" t="n">
        <f aca="false">PR_PH(B$2,$A40)</f>
        <v>2015</v>
      </c>
      <c r="C40" s="39" t="n">
        <f aca="false">PR_PH(C$2,$A40)</f>
        <v>2015</v>
      </c>
      <c r="D40" s="39" t="n">
        <f aca="false">PR_PH(D$2,$A40)</f>
        <v>2015</v>
      </c>
      <c r="E40" s="39" t="n">
        <f aca="false">PR_PH(E$2,$A40)</f>
        <v>2015</v>
      </c>
      <c r="F40" s="39" t="n">
        <f aca="false">PR_PH(F$2,$A40)</f>
        <v>2015</v>
      </c>
      <c r="G40" s="39" t="n">
        <f aca="false">PR_PH(G$2,$A40)</f>
        <v>2015</v>
      </c>
      <c r="H40" s="39" t="n">
        <f aca="false">PR_PH(H$2,$A40)</f>
        <v>2015</v>
      </c>
      <c r="I40" s="39" t="n">
        <f aca="false">PR_PH(I$2,$A40)</f>
        <v>2015</v>
      </c>
      <c r="J40" s="39" t="n">
        <f aca="false">PR_PH(J$2,$A40)</f>
        <v>2015</v>
      </c>
      <c r="K40" s="39" t="n">
        <f aca="false">PR_PH(K$2,$A40)</f>
        <v>2015</v>
      </c>
      <c r="L40" s="39" t="n">
        <f aca="false">PR_PH(L$2,$A40)</f>
        <v>2015</v>
      </c>
      <c r="M40" s="39" t="n">
        <f aca="false">PR_PH(M$2,$A40)</f>
        <v>2015</v>
      </c>
      <c r="N40" s="39" t="n">
        <f aca="false">PR_PH(N$2,$A40)</f>
        <v>2015</v>
      </c>
      <c r="O40" s="39" t="n">
        <f aca="false">PR_PH(O$2,$A40)</f>
        <v>2015</v>
      </c>
      <c r="P40" s="39" t="n">
        <f aca="false">PR_PH(P$2,$A40)</f>
        <v>2015</v>
      </c>
      <c r="Q40" s="39" t="n">
        <f aca="false">PR_PH(Q$2,$A40)</f>
        <v>2015</v>
      </c>
      <c r="R40" s="39" t="n">
        <f aca="false">PR_PH(R$2,$A40)</f>
        <v>2015</v>
      </c>
      <c r="S40" s="39" t="n">
        <f aca="false">PR_PH(S$2,$A40)</f>
        <v>2015</v>
      </c>
      <c r="T40" s="39" t="n">
        <f aca="false">PR_PH(T$2,$A40)</f>
        <v>2015</v>
      </c>
      <c r="U40" s="39" t="n">
        <f aca="false">PR_PH(U$2,$A40)</f>
        <v>2015</v>
      </c>
      <c r="V40" s="39" t="n">
        <f aca="false">PR_PH(V$2,$A40)</f>
        <v>2015</v>
      </c>
      <c r="W40" s="39" t="n">
        <f aca="false">PR_PH(W$2,$A40)</f>
        <v>2015</v>
      </c>
      <c r="X40" s="39" t="n">
        <f aca="false">PR_PH(X$2,$A40)</f>
        <v>2015</v>
      </c>
      <c r="Y40" s="39" t="n">
        <f aca="false">PR_PH(Y$2,$A40)</f>
        <v>2015</v>
      </c>
      <c r="Z40" s="39" t="n">
        <f aca="false">PR_PH(Z$2,$A40)</f>
        <v>2015</v>
      </c>
      <c r="AA40" s="39" t="n">
        <f aca="false">PR_PH(AA$2,$A40)</f>
        <v>2015</v>
      </c>
      <c r="AB40" s="39" t="n">
        <f aca="false">PR_PH(AB$2,$A40)</f>
        <v>2015</v>
      </c>
      <c r="AC40" s="39" t="n">
        <f aca="false">PR_PH(AC$2,$A40)</f>
        <v>2015</v>
      </c>
      <c r="AD40" s="39" t="n">
        <f aca="false">PR_PH(AD$2,$A40)</f>
        <v>2015</v>
      </c>
      <c r="AE40" s="39" t="n">
        <f aca="false">PR_PH(AE$2,$A40)</f>
        <v>2015</v>
      </c>
      <c r="AF40" s="39" t="n">
        <f aca="false">PR_PH(AF$2,$A40)</f>
        <v>2015</v>
      </c>
      <c r="AG40" s="39" t="n">
        <f aca="false">PR_PH(AG$2,$A40)</f>
        <v>2015</v>
      </c>
      <c r="AH40" s="39" t="n">
        <f aca="false">PR_PH(AH$2,$A40)</f>
        <v>2015</v>
      </c>
      <c r="AI40" s="39" t="n">
        <f aca="false">PR_PH(AI$2,$A40)</f>
        <v>2015</v>
      </c>
      <c r="AJ40" s="39" t="n">
        <f aca="false">PR_PH(AJ$2,$A40)</f>
        <v>2015</v>
      </c>
      <c r="AK40" s="39" t="n">
        <f aca="false">PR_PH(AK$2,$A40)</f>
        <v>2015</v>
      </c>
      <c r="AL40" s="39" t="n">
        <f aca="false">PR_PH(AL$2,$A40)</f>
        <v>2015</v>
      </c>
      <c r="AM40" s="39" t="n">
        <f aca="false">PR_PH(AM$2,$A40)</f>
        <v>2015</v>
      </c>
      <c r="AN40" s="39" t="n">
        <f aca="false">PR_PH(AN$2,$A40)</f>
        <v>2015</v>
      </c>
      <c r="AO40" s="39" t="n">
        <f aca="false">PR_PH(AO$2,$A40)</f>
        <v>2015</v>
      </c>
      <c r="AP40" s="39" t="n">
        <f aca="false">PR_PH(AP$2,$A40)</f>
        <v>2015</v>
      </c>
      <c r="AQ40" s="39" t="n">
        <f aca="false">PR_PH(AQ$2,$A40)</f>
        <v>2015</v>
      </c>
    </row>
    <row r="41" customFormat="false" ht="13.8" hidden="false" customHeight="false" outlineLevel="0" collapsed="false">
      <c r="A41" s="0" t="n">
        <v>2010</v>
      </c>
      <c r="B41" s="39" t="n">
        <f aca="false">PR_PH(B$2,$A41)</f>
        <v>2015</v>
      </c>
      <c r="C41" s="39" t="n">
        <f aca="false">PR_PH(C$2,$A41)</f>
        <v>2015</v>
      </c>
      <c r="D41" s="39" t="n">
        <f aca="false">PR_PH(D$2,$A41)</f>
        <v>2015</v>
      </c>
      <c r="E41" s="39" t="n">
        <f aca="false">PR_PH(E$2,$A41)</f>
        <v>2015</v>
      </c>
      <c r="F41" s="39" t="n">
        <f aca="false">PR_PH(F$2,$A41)</f>
        <v>2015</v>
      </c>
      <c r="G41" s="39" t="n">
        <f aca="false">PR_PH(G$2,$A41)</f>
        <v>2015</v>
      </c>
      <c r="H41" s="39" t="n">
        <f aca="false">PR_PH(H$2,$A41)</f>
        <v>2015</v>
      </c>
      <c r="I41" s="39" t="n">
        <f aca="false">PR_PH(I$2,$A41)</f>
        <v>2015</v>
      </c>
      <c r="J41" s="39" t="n">
        <f aca="false">PR_PH(J$2,$A41)</f>
        <v>2015</v>
      </c>
      <c r="K41" s="39" t="n">
        <f aca="false">PR_PH(K$2,$A41)</f>
        <v>2015</v>
      </c>
      <c r="L41" s="39" t="n">
        <f aca="false">PR_PH(L$2,$A41)</f>
        <v>2015</v>
      </c>
      <c r="M41" s="39" t="n">
        <f aca="false">PR_PH(M$2,$A41)</f>
        <v>2015</v>
      </c>
      <c r="N41" s="39" t="n">
        <f aca="false">PR_PH(N$2,$A41)</f>
        <v>2015</v>
      </c>
      <c r="O41" s="39" t="n">
        <f aca="false">PR_PH(O$2,$A41)</f>
        <v>2015</v>
      </c>
      <c r="P41" s="39" t="n">
        <f aca="false">PR_PH(P$2,$A41)</f>
        <v>2015</v>
      </c>
      <c r="Q41" s="39" t="n">
        <f aca="false">PR_PH(Q$2,$A41)</f>
        <v>2015</v>
      </c>
      <c r="R41" s="39" t="n">
        <f aca="false">PR_PH(R$2,$A41)</f>
        <v>2015</v>
      </c>
      <c r="S41" s="39" t="n">
        <f aca="false">PR_PH(S$2,$A41)</f>
        <v>2015</v>
      </c>
      <c r="T41" s="39" t="n">
        <f aca="false">PR_PH(T$2,$A41)</f>
        <v>2015</v>
      </c>
      <c r="U41" s="39" t="n">
        <f aca="false">PR_PH(U$2,$A41)</f>
        <v>2015</v>
      </c>
      <c r="V41" s="39" t="n">
        <f aca="false">PR_PH(V$2,$A41)</f>
        <v>2015</v>
      </c>
      <c r="W41" s="39" t="n">
        <f aca="false">PR_PH(W$2,$A41)</f>
        <v>2015</v>
      </c>
      <c r="X41" s="39" t="n">
        <f aca="false">PR_PH(X$2,$A41)</f>
        <v>2015</v>
      </c>
      <c r="Y41" s="39" t="n">
        <f aca="false">PR_PH(Y$2,$A41)</f>
        <v>2015</v>
      </c>
      <c r="Z41" s="39" t="n">
        <f aca="false">PR_PH(Z$2,$A41)</f>
        <v>2015</v>
      </c>
      <c r="AA41" s="39" t="n">
        <f aca="false">PR_PH(AA$2,$A41)</f>
        <v>2015</v>
      </c>
      <c r="AB41" s="39" t="n">
        <f aca="false">PR_PH(AB$2,$A41)</f>
        <v>2015</v>
      </c>
      <c r="AC41" s="39" t="n">
        <f aca="false">PR_PH(AC$2,$A41)</f>
        <v>2015</v>
      </c>
      <c r="AD41" s="39" t="n">
        <f aca="false">PR_PH(AD$2,$A41)</f>
        <v>2015</v>
      </c>
      <c r="AE41" s="39" t="n">
        <f aca="false">PR_PH(AE$2,$A41)</f>
        <v>2015</v>
      </c>
      <c r="AF41" s="39" t="n">
        <f aca="false">PR_PH(AF$2,$A41)</f>
        <v>2015</v>
      </c>
      <c r="AG41" s="39" t="n">
        <f aca="false">PR_PH(AG$2,$A41)</f>
        <v>2015</v>
      </c>
      <c r="AH41" s="39" t="n">
        <f aca="false">PR_PH(AH$2,$A41)</f>
        <v>2015</v>
      </c>
      <c r="AI41" s="39" t="n">
        <f aca="false">PR_PH(AI$2,$A41)</f>
        <v>2015</v>
      </c>
      <c r="AJ41" s="39" t="n">
        <f aca="false">PR_PH(AJ$2,$A41)</f>
        <v>2015</v>
      </c>
      <c r="AK41" s="39" t="n">
        <f aca="false">PR_PH(AK$2,$A41)</f>
        <v>2015</v>
      </c>
      <c r="AL41" s="39" t="n">
        <f aca="false">PR_PH(AL$2,$A41)</f>
        <v>2015</v>
      </c>
      <c r="AM41" s="39" t="n">
        <f aca="false">PR_PH(AM$2,$A41)</f>
        <v>2015</v>
      </c>
      <c r="AN41" s="39" t="n">
        <f aca="false">PR_PH(AN$2,$A41)</f>
        <v>2015</v>
      </c>
      <c r="AO41" s="39" t="n">
        <f aca="false">PR_PH(AO$2,$A41)</f>
        <v>2015</v>
      </c>
      <c r="AP41" s="39" t="n">
        <f aca="false">PR_PH(AP$2,$A41)</f>
        <v>2015</v>
      </c>
      <c r="AQ41" s="39" t="n">
        <f aca="false">PR_PH(AQ$2,$A41)</f>
        <v>2015</v>
      </c>
    </row>
    <row r="42" customFormat="false" ht="13.8" hidden="false" customHeight="false" outlineLevel="0" collapsed="false">
      <c r="A42" s="0" t="n">
        <v>2020</v>
      </c>
      <c r="B42" s="39" t="n">
        <f aca="false">PR_PH(B$2,$A42)</f>
        <v>2015</v>
      </c>
      <c r="C42" s="39" t="n">
        <f aca="false">PR_PH(C$2,$A42)</f>
        <v>2015</v>
      </c>
      <c r="D42" s="39" t="n">
        <f aca="false">PR_PH(D$2,$A42)</f>
        <v>2015</v>
      </c>
      <c r="E42" s="39" t="n">
        <f aca="false">PR_PH(E$2,$A42)</f>
        <v>2015</v>
      </c>
      <c r="F42" s="39" t="n">
        <f aca="false">PR_PH(F$2,$A42)</f>
        <v>2015</v>
      </c>
      <c r="G42" s="39" t="n">
        <f aca="false">PR_PH(G$2,$A42)</f>
        <v>2015</v>
      </c>
      <c r="H42" s="39" t="n">
        <f aca="false">PR_PH(H$2,$A42)</f>
        <v>2015</v>
      </c>
      <c r="I42" s="39" t="n">
        <f aca="false">PR_PH(I$2,$A42)</f>
        <v>2015</v>
      </c>
      <c r="J42" s="39" t="n">
        <f aca="false">PR_PH(J$2,$A42)</f>
        <v>2015</v>
      </c>
      <c r="K42" s="39" t="n">
        <f aca="false">PR_PH(K$2,$A42)</f>
        <v>2015</v>
      </c>
      <c r="L42" s="39" t="n">
        <f aca="false">PR_PH(L$2,$A42)</f>
        <v>2015</v>
      </c>
      <c r="M42" s="39" t="n">
        <f aca="false">PR_PH(M$2,$A42)</f>
        <v>2015</v>
      </c>
      <c r="N42" s="39" t="n">
        <f aca="false">PR_PH(N$2,$A42)</f>
        <v>2015</v>
      </c>
      <c r="O42" s="39" t="n">
        <f aca="false">PR_PH(O$2,$A42)</f>
        <v>2015</v>
      </c>
      <c r="P42" s="39" t="n">
        <f aca="false">PR_PH(P$2,$A42)</f>
        <v>2015</v>
      </c>
      <c r="Q42" s="39" t="n">
        <f aca="false">PR_PH(Q$2,$A42)</f>
        <v>2015</v>
      </c>
      <c r="R42" s="39" t="n">
        <f aca="false">PR_PH(R$2,$A42)</f>
        <v>2015</v>
      </c>
      <c r="S42" s="39" t="n">
        <f aca="false">PR_PH(S$2,$A42)</f>
        <v>2015</v>
      </c>
      <c r="T42" s="39" t="n">
        <f aca="false">PR_PH(T$2,$A42)</f>
        <v>2015</v>
      </c>
      <c r="U42" s="39" t="n">
        <f aca="false">PR_PH(U$2,$A42)</f>
        <v>2015</v>
      </c>
      <c r="V42" s="39" t="n">
        <f aca="false">PR_PH(V$2,$A42)</f>
        <v>2015</v>
      </c>
      <c r="W42" s="39" t="n">
        <f aca="false">PR_PH(W$2,$A42)</f>
        <v>2015</v>
      </c>
      <c r="X42" s="39" t="n">
        <f aca="false">PR_PH(X$2,$A42)</f>
        <v>2015</v>
      </c>
      <c r="Y42" s="39" t="n">
        <f aca="false">PR_PH(Y$2,$A42)</f>
        <v>2015</v>
      </c>
      <c r="Z42" s="39" t="n">
        <f aca="false">PR_PH(Z$2,$A42)</f>
        <v>2015</v>
      </c>
      <c r="AA42" s="39" t="n">
        <f aca="false">PR_PH(AA$2,$A42)</f>
        <v>2015</v>
      </c>
      <c r="AB42" s="39" t="n">
        <f aca="false">PR_PH(AB$2,$A42)</f>
        <v>2015</v>
      </c>
      <c r="AC42" s="39" t="n">
        <f aca="false">PR_PH(AC$2,$A42)</f>
        <v>2015</v>
      </c>
      <c r="AD42" s="39" t="n">
        <f aca="false">PR_PH(AD$2,$A42)</f>
        <v>2015</v>
      </c>
      <c r="AE42" s="39" t="n">
        <f aca="false">PR_PH(AE$2,$A42)</f>
        <v>2015</v>
      </c>
      <c r="AF42" s="39" t="n">
        <f aca="false">PR_PH(AF$2,$A42)</f>
        <v>2015</v>
      </c>
      <c r="AG42" s="39" t="n">
        <f aca="false">PR_PH(AG$2,$A42)</f>
        <v>2015</v>
      </c>
      <c r="AH42" s="39" t="n">
        <f aca="false">PR_PH(AH$2,$A42)</f>
        <v>2015</v>
      </c>
      <c r="AI42" s="39" t="n">
        <f aca="false">PR_PH(AI$2,$A42)</f>
        <v>2015</v>
      </c>
      <c r="AJ42" s="39" t="n">
        <f aca="false">PR_PH(AJ$2,$A42)</f>
        <v>2015</v>
      </c>
      <c r="AK42" s="39" t="n">
        <f aca="false">PR_PH(AK$2,$A42)</f>
        <v>2015</v>
      </c>
      <c r="AL42" s="39" t="n">
        <f aca="false">PR_PH(AL$2,$A42)</f>
        <v>2015</v>
      </c>
      <c r="AM42" s="39" t="n">
        <f aca="false">PR_PH(AM$2,$A42)</f>
        <v>2015</v>
      </c>
      <c r="AN42" s="39" t="n">
        <f aca="false">PR_PH(AN$2,$A42)</f>
        <v>2015</v>
      </c>
      <c r="AO42" s="39" t="n">
        <f aca="false">PR_PH(AO$2,$A42)</f>
        <v>2015</v>
      </c>
      <c r="AP42" s="39" t="n">
        <f aca="false">PR_PH(AP$2,$A42)</f>
        <v>2015</v>
      </c>
      <c r="AQ42" s="39" t="n">
        <f aca="false">PR_PH(AQ$2,$A42)</f>
        <v>2015</v>
      </c>
    </row>
    <row r="43" customFormat="false" ht="13.8" hidden="false" customHeight="false" outlineLevel="0" collapsed="false">
      <c r="A43" s="0" t="n">
        <v>2030</v>
      </c>
      <c r="B43" s="39" t="n">
        <f aca="false">PR_PH(B$2,$A43)</f>
        <v>2015</v>
      </c>
      <c r="C43" s="39" t="n">
        <f aca="false">PR_PH(C$2,$A43)</f>
        <v>2015</v>
      </c>
      <c r="D43" s="39" t="n">
        <f aca="false">PR_PH(D$2,$A43)</f>
        <v>2015</v>
      </c>
      <c r="E43" s="39" t="n">
        <f aca="false">PR_PH(E$2,$A43)</f>
        <v>2015</v>
      </c>
      <c r="F43" s="39" t="n">
        <f aca="false">PR_PH(F$2,$A43)</f>
        <v>2015</v>
      </c>
      <c r="G43" s="39" t="n">
        <f aca="false">PR_PH(G$2,$A43)</f>
        <v>2015</v>
      </c>
      <c r="H43" s="39" t="n">
        <f aca="false">PR_PH(H$2,$A43)</f>
        <v>2015</v>
      </c>
      <c r="I43" s="39" t="n">
        <f aca="false">PR_PH(I$2,$A43)</f>
        <v>2015</v>
      </c>
      <c r="J43" s="39" t="n">
        <f aca="false">PR_PH(J$2,$A43)</f>
        <v>2015</v>
      </c>
      <c r="K43" s="39" t="n">
        <f aca="false">PR_PH(K$2,$A43)</f>
        <v>2015</v>
      </c>
      <c r="L43" s="39" t="n">
        <f aca="false">PR_PH(L$2,$A43)</f>
        <v>2015</v>
      </c>
      <c r="M43" s="39" t="n">
        <f aca="false">PR_PH(M$2,$A43)</f>
        <v>2015</v>
      </c>
      <c r="N43" s="39" t="n">
        <f aca="false">PR_PH(N$2,$A43)</f>
        <v>2015</v>
      </c>
      <c r="O43" s="39" t="n">
        <f aca="false">PR_PH(O$2,$A43)</f>
        <v>2015</v>
      </c>
      <c r="P43" s="39" t="n">
        <f aca="false">PR_PH(P$2,$A43)</f>
        <v>2015</v>
      </c>
      <c r="Q43" s="39" t="n">
        <f aca="false">PR_PH(Q$2,$A43)</f>
        <v>2015</v>
      </c>
      <c r="R43" s="39" t="n">
        <f aca="false">PR_PH(R$2,$A43)</f>
        <v>2015</v>
      </c>
      <c r="S43" s="39" t="n">
        <f aca="false">PR_PH(S$2,$A43)</f>
        <v>2015</v>
      </c>
      <c r="T43" s="39" t="n">
        <f aca="false">PR_PH(T$2,$A43)</f>
        <v>2015</v>
      </c>
      <c r="U43" s="39" t="n">
        <f aca="false">PR_PH(U$2,$A43)</f>
        <v>2015</v>
      </c>
      <c r="V43" s="39" t="n">
        <f aca="false">PR_PH(V$2,$A43)</f>
        <v>2015</v>
      </c>
      <c r="W43" s="39" t="n">
        <f aca="false">PR_PH(W$2,$A43)</f>
        <v>2015</v>
      </c>
      <c r="X43" s="39" t="n">
        <f aca="false">PR_PH(X$2,$A43)</f>
        <v>2015</v>
      </c>
      <c r="Y43" s="39" t="n">
        <f aca="false">PR_PH(Y$2,$A43)</f>
        <v>2015</v>
      </c>
      <c r="Z43" s="39" t="n">
        <f aca="false">PR_PH(Z$2,$A43)</f>
        <v>2015</v>
      </c>
      <c r="AA43" s="39" t="n">
        <f aca="false">PR_PH(AA$2,$A43)</f>
        <v>2015</v>
      </c>
      <c r="AB43" s="39" t="n">
        <f aca="false">PR_PH(AB$2,$A43)</f>
        <v>2015</v>
      </c>
      <c r="AC43" s="39" t="n">
        <f aca="false">PR_PH(AC$2,$A43)</f>
        <v>2015</v>
      </c>
      <c r="AD43" s="39" t="n">
        <f aca="false">PR_PH(AD$2,$A43)</f>
        <v>2015</v>
      </c>
      <c r="AE43" s="39" t="n">
        <f aca="false">PR_PH(AE$2,$A43)</f>
        <v>2015</v>
      </c>
      <c r="AF43" s="39" t="n">
        <f aca="false">PR_PH(AF$2,$A43)</f>
        <v>2015</v>
      </c>
      <c r="AG43" s="39" t="n">
        <f aca="false">PR_PH(AG$2,$A43)</f>
        <v>2015</v>
      </c>
      <c r="AH43" s="39" t="n">
        <f aca="false">PR_PH(AH$2,$A43)</f>
        <v>2015</v>
      </c>
      <c r="AI43" s="39" t="n">
        <f aca="false">PR_PH(AI$2,$A43)</f>
        <v>2015</v>
      </c>
      <c r="AJ43" s="39" t="n">
        <f aca="false">PR_PH(AJ$2,$A43)</f>
        <v>2015</v>
      </c>
      <c r="AK43" s="39" t="n">
        <f aca="false">PR_PH(AK$2,$A43)</f>
        <v>2015</v>
      </c>
      <c r="AL43" s="39" t="n">
        <f aca="false">PR_PH(AL$2,$A43)</f>
        <v>2015</v>
      </c>
      <c r="AM43" s="39" t="n">
        <f aca="false">PR_PH(AM$2,$A43)</f>
        <v>2015</v>
      </c>
      <c r="AN43" s="39" t="n">
        <f aca="false">PR_PH(AN$2,$A43)</f>
        <v>2015</v>
      </c>
      <c r="AO43" s="39" t="n">
        <f aca="false">PR_PH(AO$2,$A43)</f>
        <v>2015</v>
      </c>
      <c r="AP43" s="39" t="n">
        <f aca="false">PR_PH(AP$2,$A43)</f>
        <v>2015</v>
      </c>
      <c r="AQ43" s="39" t="n">
        <f aca="false">PR_PH(AQ$2,$A43)</f>
        <v>2015</v>
      </c>
    </row>
    <row r="44" customFormat="false" ht="13.8" hidden="false" customHeight="false" outlineLevel="0" collapsed="false">
      <c r="A44" s="0" t="n">
        <v>2040</v>
      </c>
      <c r="B44" s="39" t="n">
        <f aca="false">PR_PH(B$2,$A44)</f>
        <v>2015</v>
      </c>
      <c r="C44" s="39" t="n">
        <f aca="false">PR_PH(C$2,$A44)</f>
        <v>2015</v>
      </c>
      <c r="D44" s="39" t="n">
        <f aca="false">PR_PH(D$2,$A44)</f>
        <v>2015</v>
      </c>
      <c r="E44" s="39" t="n">
        <f aca="false">PR_PH(E$2,$A44)</f>
        <v>2015</v>
      </c>
      <c r="F44" s="39" t="n">
        <f aca="false">PR_PH(F$2,$A44)</f>
        <v>2015</v>
      </c>
      <c r="G44" s="39" t="n">
        <f aca="false">PR_PH(G$2,$A44)</f>
        <v>2015</v>
      </c>
      <c r="H44" s="39" t="n">
        <f aca="false">PR_PH(H$2,$A44)</f>
        <v>2015</v>
      </c>
      <c r="I44" s="39" t="n">
        <f aca="false">PR_PH(I$2,$A44)</f>
        <v>2015</v>
      </c>
      <c r="J44" s="39" t="n">
        <f aca="false">PR_PH(J$2,$A44)</f>
        <v>2015</v>
      </c>
      <c r="K44" s="39" t="n">
        <f aca="false">PR_PH(K$2,$A44)</f>
        <v>2015</v>
      </c>
      <c r="L44" s="39" t="n">
        <f aca="false">PR_PH(L$2,$A44)</f>
        <v>2015</v>
      </c>
      <c r="M44" s="39" t="n">
        <f aca="false">PR_PH(M$2,$A44)</f>
        <v>2015</v>
      </c>
      <c r="N44" s="39" t="n">
        <f aca="false">PR_PH(N$2,$A44)</f>
        <v>2015</v>
      </c>
      <c r="O44" s="39" t="n">
        <f aca="false">PR_PH(O$2,$A44)</f>
        <v>2015</v>
      </c>
      <c r="P44" s="39" t="n">
        <f aca="false">PR_PH(P$2,$A44)</f>
        <v>2015</v>
      </c>
      <c r="Q44" s="39" t="n">
        <f aca="false">PR_PH(Q$2,$A44)</f>
        <v>2015</v>
      </c>
      <c r="R44" s="39" t="n">
        <f aca="false">PR_PH(R$2,$A44)</f>
        <v>2015</v>
      </c>
      <c r="S44" s="39" t="n">
        <f aca="false">PR_PH(S$2,$A44)</f>
        <v>2015</v>
      </c>
      <c r="T44" s="39" t="n">
        <f aca="false">PR_PH(T$2,$A44)</f>
        <v>2015</v>
      </c>
      <c r="U44" s="39" t="n">
        <f aca="false">PR_PH(U$2,$A44)</f>
        <v>2015</v>
      </c>
      <c r="V44" s="39" t="n">
        <f aca="false">PR_PH(V$2,$A44)</f>
        <v>2015</v>
      </c>
      <c r="W44" s="39" t="n">
        <f aca="false">PR_PH(W$2,$A44)</f>
        <v>2015</v>
      </c>
      <c r="X44" s="39" t="n">
        <f aca="false">PR_PH(X$2,$A44)</f>
        <v>2015</v>
      </c>
      <c r="Y44" s="39" t="n">
        <f aca="false">PR_PH(Y$2,$A44)</f>
        <v>2015</v>
      </c>
      <c r="Z44" s="39" t="n">
        <f aca="false">PR_PH(Z$2,$A44)</f>
        <v>2015</v>
      </c>
      <c r="AA44" s="39" t="n">
        <f aca="false">PR_PH(AA$2,$A44)</f>
        <v>2015</v>
      </c>
      <c r="AB44" s="39" t="n">
        <f aca="false">PR_PH(AB$2,$A44)</f>
        <v>2015</v>
      </c>
      <c r="AC44" s="39" t="n">
        <f aca="false">PR_PH(AC$2,$A44)</f>
        <v>2015</v>
      </c>
      <c r="AD44" s="39" t="n">
        <f aca="false">PR_PH(AD$2,$A44)</f>
        <v>2015</v>
      </c>
      <c r="AE44" s="39" t="n">
        <f aca="false">PR_PH(AE$2,$A44)</f>
        <v>2015</v>
      </c>
      <c r="AF44" s="39" t="n">
        <f aca="false">PR_PH(AF$2,$A44)</f>
        <v>2015</v>
      </c>
      <c r="AG44" s="39" t="n">
        <f aca="false">PR_PH(AG$2,$A44)</f>
        <v>2015</v>
      </c>
      <c r="AH44" s="39" t="n">
        <f aca="false">PR_PH(AH$2,$A44)</f>
        <v>2015</v>
      </c>
      <c r="AI44" s="39" t="n">
        <f aca="false">PR_PH(AI$2,$A44)</f>
        <v>2015</v>
      </c>
      <c r="AJ44" s="39" t="n">
        <f aca="false">PR_PH(AJ$2,$A44)</f>
        <v>2015</v>
      </c>
      <c r="AK44" s="39" t="n">
        <f aca="false">PR_PH(AK$2,$A44)</f>
        <v>2015</v>
      </c>
      <c r="AL44" s="39" t="n">
        <f aca="false">PR_PH(AL$2,$A44)</f>
        <v>2015</v>
      </c>
      <c r="AM44" s="39" t="n">
        <f aca="false">PR_PH(AM$2,$A44)</f>
        <v>2015</v>
      </c>
      <c r="AN44" s="39" t="n">
        <f aca="false">PR_PH(AN$2,$A44)</f>
        <v>2015</v>
      </c>
      <c r="AO44" s="39" t="n">
        <f aca="false">PR_PH(AO$2,$A44)</f>
        <v>2015</v>
      </c>
      <c r="AP44" s="39" t="n">
        <f aca="false">PR_PH(AP$2,$A44)</f>
        <v>2015</v>
      </c>
      <c r="AQ44" s="39" t="n">
        <f aca="false">PR_PH(AQ$2,$A44)</f>
        <v>2015</v>
      </c>
    </row>
    <row r="45" customFormat="false" ht="13.8" hidden="false" customHeight="false" outlineLevel="0" collapsed="false">
      <c r="A45" s="0" t="n">
        <v>2050</v>
      </c>
      <c r="B45" s="39" t="n">
        <f aca="false">PR_PH(B$2,$A45)</f>
        <v>2015</v>
      </c>
      <c r="C45" s="39" t="n">
        <f aca="false">PR_PH(C$2,$A45)</f>
        <v>2015</v>
      </c>
      <c r="D45" s="39" t="n">
        <f aca="false">PR_PH(D$2,$A45)</f>
        <v>2015</v>
      </c>
      <c r="E45" s="39" t="n">
        <f aca="false">PR_PH(E$2,$A45)</f>
        <v>2015</v>
      </c>
      <c r="F45" s="39" t="n">
        <f aca="false">PR_PH(F$2,$A45)</f>
        <v>2015</v>
      </c>
      <c r="G45" s="39" t="n">
        <f aca="false">PR_PH(G$2,$A45)</f>
        <v>2015</v>
      </c>
      <c r="H45" s="39" t="n">
        <f aca="false">PR_PH(H$2,$A45)</f>
        <v>2015</v>
      </c>
      <c r="I45" s="39" t="n">
        <f aca="false">PR_PH(I$2,$A45)</f>
        <v>2015</v>
      </c>
      <c r="J45" s="39" t="n">
        <f aca="false">PR_PH(J$2,$A45)</f>
        <v>2015</v>
      </c>
      <c r="K45" s="39" t="n">
        <f aca="false">PR_PH(K$2,$A45)</f>
        <v>2015</v>
      </c>
      <c r="L45" s="39" t="n">
        <f aca="false">PR_PH(L$2,$A45)</f>
        <v>2015</v>
      </c>
      <c r="M45" s="39" t="n">
        <f aca="false">PR_PH(M$2,$A45)</f>
        <v>2015</v>
      </c>
      <c r="N45" s="39" t="n">
        <f aca="false">PR_PH(N$2,$A45)</f>
        <v>2015</v>
      </c>
      <c r="O45" s="39" t="n">
        <f aca="false">PR_PH(O$2,$A45)</f>
        <v>2015</v>
      </c>
      <c r="P45" s="39" t="n">
        <f aca="false">PR_PH(P$2,$A45)</f>
        <v>2015</v>
      </c>
      <c r="Q45" s="39" t="n">
        <f aca="false">PR_PH(Q$2,$A45)</f>
        <v>2015</v>
      </c>
      <c r="R45" s="39" t="n">
        <f aca="false">PR_PH(R$2,$A45)</f>
        <v>2015</v>
      </c>
      <c r="S45" s="39" t="n">
        <f aca="false">PR_PH(S$2,$A45)</f>
        <v>2015</v>
      </c>
      <c r="T45" s="39" t="n">
        <f aca="false">PR_PH(T$2,$A45)</f>
        <v>2015</v>
      </c>
      <c r="U45" s="39" t="n">
        <f aca="false">PR_PH(U$2,$A45)</f>
        <v>2015</v>
      </c>
      <c r="V45" s="39" t="n">
        <f aca="false">PR_PH(V$2,$A45)</f>
        <v>2015</v>
      </c>
      <c r="W45" s="39" t="n">
        <f aca="false">PR_PH(W$2,$A45)</f>
        <v>2015</v>
      </c>
      <c r="X45" s="39" t="n">
        <f aca="false">PR_PH(X$2,$A45)</f>
        <v>2015</v>
      </c>
      <c r="Y45" s="39" t="n">
        <f aca="false">PR_PH(Y$2,$A45)</f>
        <v>2015</v>
      </c>
      <c r="Z45" s="39" t="n">
        <f aca="false">PR_PH(Z$2,$A45)</f>
        <v>2015</v>
      </c>
      <c r="AA45" s="39" t="n">
        <f aca="false">PR_PH(AA$2,$A45)</f>
        <v>2015</v>
      </c>
      <c r="AB45" s="39" t="n">
        <f aca="false">PR_PH(AB$2,$A45)</f>
        <v>2015</v>
      </c>
      <c r="AC45" s="39" t="n">
        <f aca="false">PR_PH(AC$2,$A45)</f>
        <v>2015</v>
      </c>
      <c r="AD45" s="39" t="n">
        <f aca="false">PR_PH(AD$2,$A45)</f>
        <v>2015</v>
      </c>
      <c r="AE45" s="39" t="n">
        <f aca="false">PR_PH(AE$2,$A45)</f>
        <v>2015</v>
      </c>
      <c r="AF45" s="39" t="n">
        <f aca="false">PR_PH(AF$2,$A45)</f>
        <v>2015</v>
      </c>
      <c r="AG45" s="39" t="n">
        <f aca="false">PR_PH(AG$2,$A45)</f>
        <v>2015</v>
      </c>
      <c r="AH45" s="39" t="n">
        <f aca="false">PR_PH(AH$2,$A45)</f>
        <v>2015</v>
      </c>
      <c r="AI45" s="39" t="n">
        <f aca="false">PR_PH(AI$2,$A45)</f>
        <v>2015</v>
      </c>
      <c r="AJ45" s="39" t="n">
        <f aca="false">PR_PH(AJ$2,$A45)</f>
        <v>2015</v>
      </c>
      <c r="AK45" s="39" t="n">
        <f aca="false">PR_PH(AK$2,$A45)</f>
        <v>2015</v>
      </c>
      <c r="AL45" s="39" t="n">
        <f aca="false">PR_PH(AL$2,$A45)</f>
        <v>2015</v>
      </c>
      <c r="AM45" s="39" t="n">
        <f aca="false">PR_PH(AM$2,$A45)</f>
        <v>2015</v>
      </c>
      <c r="AN45" s="39" t="n">
        <f aca="false">PR_PH(AN$2,$A45)</f>
        <v>2015</v>
      </c>
      <c r="AO45" s="39" t="n">
        <f aca="false">PR_PH(AO$2,$A45)</f>
        <v>2015</v>
      </c>
      <c r="AP45" s="39" t="n">
        <f aca="false">PR_PH(AP$2,$A45)</f>
        <v>2015</v>
      </c>
      <c r="AQ45" s="39" t="n">
        <f aca="false">PR_PH(AQ$2,$A45)</f>
        <v>2015</v>
      </c>
    </row>
    <row r="46" customFormat="false" ht="13.8" hidden="false" customHeight="false" outlineLevel="0" collapsed="false">
      <c r="A46" s="0" t="n">
        <v>2060</v>
      </c>
      <c r="B46" s="39" t="n">
        <f aca="false">PR_PH(B$2,$A46)</f>
        <v>2015</v>
      </c>
      <c r="C46" s="39" t="n">
        <f aca="false">PR_PH(C$2,$A46)</f>
        <v>2015</v>
      </c>
      <c r="D46" s="39" t="n">
        <f aca="false">PR_PH(D$2,$A46)</f>
        <v>2015</v>
      </c>
      <c r="E46" s="39" t="n">
        <f aca="false">PR_PH(E$2,$A46)</f>
        <v>2015</v>
      </c>
      <c r="F46" s="39" t="n">
        <f aca="false">PR_PH(F$2,$A46)</f>
        <v>2015</v>
      </c>
      <c r="G46" s="39" t="n">
        <f aca="false">PR_PH(G$2,$A46)</f>
        <v>2015</v>
      </c>
      <c r="H46" s="39" t="n">
        <f aca="false">PR_PH(H$2,$A46)</f>
        <v>2015</v>
      </c>
      <c r="I46" s="39" t="n">
        <f aca="false">PR_PH(I$2,$A46)</f>
        <v>2015</v>
      </c>
      <c r="J46" s="39" t="n">
        <f aca="false">PR_PH(J$2,$A46)</f>
        <v>2015</v>
      </c>
      <c r="K46" s="39" t="n">
        <f aca="false">PR_PH(K$2,$A46)</f>
        <v>2015</v>
      </c>
      <c r="L46" s="39" t="n">
        <f aca="false">PR_PH(L$2,$A46)</f>
        <v>2015</v>
      </c>
      <c r="M46" s="39" t="n">
        <f aca="false">PR_PH(M$2,$A46)</f>
        <v>2015</v>
      </c>
      <c r="N46" s="39" t="n">
        <f aca="false">PR_PH(N$2,$A46)</f>
        <v>2015</v>
      </c>
      <c r="O46" s="39" t="n">
        <f aca="false">PR_PH(O$2,$A46)</f>
        <v>2015</v>
      </c>
      <c r="P46" s="39" t="n">
        <f aca="false">PR_PH(P$2,$A46)</f>
        <v>2015</v>
      </c>
      <c r="Q46" s="39" t="n">
        <f aca="false">PR_PH(Q$2,$A46)</f>
        <v>2015</v>
      </c>
      <c r="R46" s="39" t="n">
        <f aca="false">PR_PH(R$2,$A46)</f>
        <v>2015</v>
      </c>
      <c r="S46" s="39" t="n">
        <f aca="false">PR_PH(S$2,$A46)</f>
        <v>2015</v>
      </c>
      <c r="T46" s="39" t="n">
        <f aca="false">PR_PH(T$2,$A46)</f>
        <v>2015</v>
      </c>
      <c r="U46" s="39" t="n">
        <f aca="false">PR_PH(U$2,$A46)</f>
        <v>2015</v>
      </c>
      <c r="V46" s="39" t="n">
        <f aca="false">PR_PH(V$2,$A46)</f>
        <v>2015</v>
      </c>
      <c r="W46" s="39" t="n">
        <f aca="false">PR_PH(W$2,$A46)</f>
        <v>2015</v>
      </c>
      <c r="X46" s="39" t="n">
        <f aca="false">PR_PH(X$2,$A46)</f>
        <v>2015</v>
      </c>
      <c r="Y46" s="39" t="n">
        <f aca="false">PR_PH(Y$2,$A46)</f>
        <v>2015</v>
      </c>
      <c r="Z46" s="39" t="n">
        <f aca="false">PR_PH(Z$2,$A46)</f>
        <v>2015</v>
      </c>
      <c r="AA46" s="39" t="n">
        <f aca="false">PR_PH(AA$2,$A46)</f>
        <v>2015</v>
      </c>
      <c r="AB46" s="39" t="n">
        <f aca="false">PR_PH(AB$2,$A46)</f>
        <v>2015</v>
      </c>
      <c r="AC46" s="39" t="n">
        <f aca="false">PR_PH(AC$2,$A46)</f>
        <v>2015</v>
      </c>
      <c r="AD46" s="39" t="n">
        <f aca="false">PR_PH(AD$2,$A46)</f>
        <v>2015</v>
      </c>
      <c r="AE46" s="39" t="n">
        <f aca="false">PR_PH(AE$2,$A46)</f>
        <v>2015</v>
      </c>
      <c r="AF46" s="39" t="n">
        <f aca="false">PR_PH(AF$2,$A46)</f>
        <v>2015</v>
      </c>
      <c r="AG46" s="39" t="n">
        <f aca="false">PR_PH(AG$2,$A46)</f>
        <v>2015</v>
      </c>
      <c r="AH46" s="39" t="n">
        <f aca="false">PR_PH(AH$2,$A46)</f>
        <v>2015</v>
      </c>
      <c r="AI46" s="39" t="n">
        <f aca="false">PR_PH(AI$2,$A46)</f>
        <v>2015</v>
      </c>
      <c r="AJ46" s="39" t="n">
        <f aca="false">PR_PH(AJ$2,$A46)</f>
        <v>2015</v>
      </c>
      <c r="AK46" s="39" t="n">
        <f aca="false">PR_PH(AK$2,$A46)</f>
        <v>2015</v>
      </c>
      <c r="AL46" s="39" t="n">
        <f aca="false">PR_PH(AL$2,$A46)</f>
        <v>2015</v>
      </c>
      <c r="AM46" s="39" t="n">
        <f aca="false">PR_PH(AM$2,$A46)</f>
        <v>2015</v>
      </c>
      <c r="AN46" s="39" t="n">
        <f aca="false">PR_PH(AN$2,$A46)</f>
        <v>2015</v>
      </c>
      <c r="AO46" s="39" t="n">
        <f aca="false">PR_PH(AO$2,$A46)</f>
        <v>2015</v>
      </c>
      <c r="AP46" s="39" t="n">
        <f aca="false">PR_PH(AP$2,$A46)</f>
        <v>2015</v>
      </c>
      <c r="AQ46" s="39" t="n">
        <f aca="false">PR_PH(AQ$2,$A46)</f>
        <v>2015</v>
      </c>
    </row>
    <row r="47" customFormat="false" ht="13.8" hidden="false" customHeight="false" outlineLevel="0" collapsed="false">
      <c r="A47" s="0" t="n">
        <v>2070</v>
      </c>
      <c r="B47" s="39" t="n">
        <f aca="false">PR_PH(B$2,$A47)</f>
        <v>2015</v>
      </c>
      <c r="C47" s="39" t="n">
        <f aca="false">PR_PH(C$2,$A47)</f>
        <v>2015</v>
      </c>
      <c r="D47" s="39" t="n">
        <f aca="false">PR_PH(D$2,$A47)</f>
        <v>2015</v>
      </c>
      <c r="E47" s="39" t="n">
        <f aca="false">PR_PH(E$2,$A47)</f>
        <v>2015</v>
      </c>
      <c r="F47" s="39" t="n">
        <f aca="false">PR_PH(F$2,$A47)</f>
        <v>2015</v>
      </c>
      <c r="G47" s="39" t="n">
        <f aca="false">PR_PH(G$2,$A47)</f>
        <v>2015</v>
      </c>
      <c r="H47" s="39" t="n">
        <f aca="false">PR_PH(H$2,$A47)</f>
        <v>2015</v>
      </c>
      <c r="I47" s="39" t="n">
        <f aca="false">PR_PH(I$2,$A47)</f>
        <v>2015</v>
      </c>
      <c r="J47" s="39" t="n">
        <f aca="false">PR_PH(J$2,$A47)</f>
        <v>2015</v>
      </c>
      <c r="K47" s="39" t="n">
        <f aca="false">PR_PH(K$2,$A47)</f>
        <v>2015</v>
      </c>
      <c r="L47" s="39" t="n">
        <f aca="false">PR_PH(L$2,$A47)</f>
        <v>2015</v>
      </c>
      <c r="M47" s="39" t="n">
        <f aca="false">PR_PH(M$2,$A47)</f>
        <v>2015</v>
      </c>
      <c r="N47" s="39" t="n">
        <f aca="false">PR_PH(N$2,$A47)</f>
        <v>2015</v>
      </c>
      <c r="O47" s="39" t="n">
        <f aca="false">PR_PH(O$2,$A47)</f>
        <v>2015</v>
      </c>
      <c r="P47" s="39" t="n">
        <f aca="false">PR_PH(P$2,$A47)</f>
        <v>2015</v>
      </c>
      <c r="Q47" s="39" t="n">
        <f aca="false">PR_PH(Q$2,$A47)</f>
        <v>2015</v>
      </c>
      <c r="R47" s="39" t="n">
        <f aca="false">PR_PH(R$2,$A47)</f>
        <v>2015</v>
      </c>
      <c r="S47" s="39" t="n">
        <f aca="false">PR_PH(S$2,$A47)</f>
        <v>2015</v>
      </c>
      <c r="T47" s="39" t="n">
        <f aca="false">PR_PH(T$2,$A47)</f>
        <v>2015</v>
      </c>
      <c r="U47" s="39" t="n">
        <f aca="false">PR_PH(U$2,$A47)</f>
        <v>2015</v>
      </c>
      <c r="V47" s="39" t="n">
        <f aca="false">PR_PH(V$2,$A47)</f>
        <v>2015</v>
      </c>
      <c r="W47" s="39" t="n">
        <f aca="false">PR_PH(W$2,$A47)</f>
        <v>2015</v>
      </c>
      <c r="X47" s="39" t="n">
        <f aca="false">PR_PH(X$2,$A47)</f>
        <v>2015</v>
      </c>
      <c r="Y47" s="39" t="n">
        <f aca="false">PR_PH(Y$2,$A47)</f>
        <v>2015</v>
      </c>
      <c r="Z47" s="39" t="n">
        <f aca="false">PR_PH(Z$2,$A47)</f>
        <v>2015</v>
      </c>
      <c r="AA47" s="39" t="n">
        <f aca="false">PR_PH(AA$2,$A47)</f>
        <v>2015</v>
      </c>
      <c r="AB47" s="39" t="n">
        <f aca="false">PR_PH(AB$2,$A47)</f>
        <v>2015</v>
      </c>
      <c r="AC47" s="39" t="n">
        <f aca="false">PR_PH(AC$2,$A47)</f>
        <v>2015</v>
      </c>
      <c r="AD47" s="39" t="n">
        <f aca="false">PR_PH(AD$2,$A47)</f>
        <v>2015</v>
      </c>
      <c r="AE47" s="39" t="n">
        <f aca="false">PR_PH(AE$2,$A47)</f>
        <v>2015</v>
      </c>
      <c r="AF47" s="39" t="n">
        <f aca="false">PR_PH(AF$2,$A47)</f>
        <v>2015</v>
      </c>
      <c r="AG47" s="39" t="n">
        <f aca="false">PR_PH(AG$2,$A47)</f>
        <v>2015</v>
      </c>
      <c r="AH47" s="39" t="n">
        <f aca="false">PR_PH(AH$2,$A47)</f>
        <v>2015</v>
      </c>
      <c r="AI47" s="39" t="n">
        <f aca="false">PR_PH(AI$2,$A47)</f>
        <v>2015</v>
      </c>
      <c r="AJ47" s="39" t="n">
        <f aca="false">PR_PH(AJ$2,$A47)</f>
        <v>2015</v>
      </c>
      <c r="AK47" s="39" t="n">
        <f aca="false">PR_PH(AK$2,$A47)</f>
        <v>2015</v>
      </c>
      <c r="AL47" s="39" t="n">
        <f aca="false">PR_PH(AL$2,$A47)</f>
        <v>2015</v>
      </c>
      <c r="AM47" s="39" t="n">
        <f aca="false">PR_PH(AM$2,$A47)</f>
        <v>2015</v>
      </c>
      <c r="AN47" s="39" t="n">
        <f aca="false">PR_PH(AN$2,$A47)</f>
        <v>2015</v>
      </c>
      <c r="AO47" s="39" t="n">
        <f aca="false">PR_PH(AO$2,$A47)</f>
        <v>2015</v>
      </c>
      <c r="AP47" s="39" t="n">
        <f aca="false">PR_PH(AP$2,$A47)</f>
        <v>2015</v>
      </c>
      <c r="AQ47" s="39" t="n">
        <f aca="false">PR_PH(AQ$2,$A47)</f>
        <v>2015</v>
      </c>
    </row>
    <row r="48" customFormat="false" ht="13.8" hidden="false" customHeight="false" outlineLevel="0" collapsed="false">
      <c r="A48" s="0" t="n">
        <v>2080</v>
      </c>
      <c r="B48" s="39" t="n">
        <f aca="false">PR_PH(B$2,$A48)</f>
        <v>2015</v>
      </c>
      <c r="C48" s="39" t="n">
        <f aca="false">PR_PH(C$2,$A48)</f>
        <v>2015</v>
      </c>
      <c r="D48" s="39" t="n">
        <f aca="false">PR_PH(D$2,$A48)</f>
        <v>2015</v>
      </c>
      <c r="E48" s="39" t="n">
        <f aca="false">PR_PH(E$2,$A48)</f>
        <v>2015</v>
      </c>
      <c r="F48" s="39" t="n">
        <f aca="false">PR_PH(F$2,$A48)</f>
        <v>2015</v>
      </c>
      <c r="G48" s="39" t="n">
        <f aca="false">PR_PH(G$2,$A48)</f>
        <v>2015</v>
      </c>
      <c r="H48" s="39" t="n">
        <f aca="false">PR_PH(H$2,$A48)</f>
        <v>2015</v>
      </c>
      <c r="I48" s="39" t="n">
        <f aca="false">PR_PH(I$2,$A48)</f>
        <v>2015</v>
      </c>
      <c r="J48" s="39" t="n">
        <f aca="false">PR_PH(J$2,$A48)</f>
        <v>2015</v>
      </c>
      <c r="K48" s="39" t="n">
        <f aca="false">PR_PH(K$2,$A48)</f>
        <v>2015</v>
      </c>
      <c r="L48" s="39" t="n">
        <f aca="false">PR_PH(L$2,$A48)</f>
        <v>2015</v>
      </c>
      <c r="M48" s="39" t="n">
        <f aca="false">PR_PH(M$2,$A48)</f>
        <v>2015</v>
      </c>
      <c r="N48" s="39" t="n">
        <f aca="false">PR_PH(N$2,$A48)</f>
        <v>2015</v>
      </c>
      <c r="O48" s="39" t="n">
        <f aca="false">PR_PH(O$2,$A48)</f>
        <v>2015</v>
      </c>
      <c r="P48" s="39" t="n">
        <f aca="false">PR_PH(P$2,$A48)</f>
        <v>2015</v>
      </c>
      <c r="Q48" s="39" t="n">
        <f aca="false">PR_PH(Q$2,$A48)</f>
        <v>2015</v>
      </c>
      <c r="R48" s="39" t="n">
        <f aca="false">PR_PH(R$2,$A48)</f>
        <v>2015</v>
      </c>
      <c r="S48" s="39" t="n">
        <f aca="false">PR_PH(S$2,$A48)</f>
        <v>2015</v>
      </c>
      <c r="T48" s="39" t="n">
        <f aca="false">PR_PH(T$2,$A48)</f>
        <v>2015</v>
      </c>
      <c r="U48" s="39" t="n">
        <f aca="false">PR_PH(U$2,$A48)</f>
        <v>2015</v>
      </c>
      <c r="V48" s="39" t="n">
        <f aca="false">PR_PH(V$2,$A48)</f>
        <v>2015</v>
      </c>
      <c r="W48" s="39" t="n">
        <f aca="false">PR_PH(W$2,$A48)</f>
        <v>2015</v>
      </c>
      <c r="X48" s="39" t="n">
        <f aca="false">PR_PH(X$2,$A48)</f>
        <v>2015</v>
      </c>
      <c r="Y48" s="39" t="n">
        <f aca="false">PR_PH(Y$2,$A48)</f>
        <v>2015</v>
      </c>
      <c r="Z48" s="39" t="n">
        <f aca="false">PR_PH(Z$2,$A48)</f>
        <v>2015</v>
      </c>
      <c r="AA48" s="39" t="n">
        <f aca="false">PR_PH(AA$2,$A48)</f>
        <v>2015</v>
      </c>
      <c r="AB48" s="39" t="n">
        <f aca="false">PR_PH(AB$2,$A48)</f>
        <v>2015</v>
      </c>
      <c r="AC48" s="39" t="n">
        <f aca="false">PR_PH(AC$2,$A48)</f>
        <v>2015</v>
      </c>
      <c r="AD48" s="39" t="n">
        <f aca="false">PR_PH(AD$2,$A48)</f>
        <v>2015</v>
      </c>
      <c r="AE48" s="39" t="n">
        <f aca="false">PR_PH(AE$2,$A48)</f>
        <v>2015</v>
      </c>
      <c r="AF48" s="39" t="n">
        <f aca="false">PR_PH(AF$2,$A48)</f>
        <v>2015</v>
      </c>
      <c r="AG48" s="39" t="n">
        <f aca="false">PR_PH(AG$2,$A48)</f>
        <v>2015</v>
      </c>
      <c r="AH48" s="39" t="n">
        <f aca="false">PR_PH(AH$2,$A48)</f>
        <v>2015</v>
      </c>
      <c r="AI48" s="39" t="n">
        <f aca="false">PR_PH(AI$2,$A48)</f>
        <v>2015</v>
      </c>
      <c r="AJ48" s="39" t="n">
        <f aca="false">PR_PH(AJ$2,$A48)</f>
        <v>2015</v>
      </c>
      <c r="AK48" s="39" t="n">
        <f aca="false">PR_PH(AK$2,$A48)</f>
        <v>2015</v>
      </c>
      <c r="AL48" s="39" t="n">
        <f aca="false">PR_PH(AL$2,$A48)</f>
        <v>2015</v>
      </c>
      <c r="AM48" s="39" t="n">
        <f aca="false">PR_PH(AM$2,$A48)</f>
        <v>2015</v>
      </c>
      <c r="AN48" s="39" t="n">
        <f aca="false">PR_PH(AN$2,$A48)</f>
        <v>2015</v>
      </c>
      <c r="AO48" s="39" t="n">
        <f aca="false">PR_PH(AO$2,$A48)</f>
        <v>2015</v>
      </c>
      <c r="AP48" s="39" t="n">
        <f aca="false">PR_PH(AP$2,$A48)</f>
        <v>2015</v>
      </c>
      <c r="AQ48" s="39" t="n">
        <f aca="false">PR_PH(AQ$2,$A48)</f>
        <v>2015</v>
      </c>
    </row>
    <row r="49" customFormat="false" ht="13.8" hidden="false" customHeight="false" outlineLevel="0" collapsed="false">
      <c r="A49" s="0" t="n">
        <v>2090</v>
      </c>
      <c r="B49" s="39" t="n">
        <f aca="false">PR_PH(B$2,$A49)</f>
        <v>2015</v>
      </c>
      <c r="C49" s="39" t="n">
        <f aca="false">PR_PH(C$2,$A49)</f>
        <v>2015</v>
      </c>
      <c r="D49" s="39" t="n">
        <f aca="false">PR_PH(D$2,$A49)</f>
        <v>2015</v>
      </c>
      <c r="E49" s="39" t="n">
        <f aca="false">PR_PH(E$2,$A49)</f>
        <v>2015</v>
      </c>
      <c r="F49" s="39" t="n">
        <f aca="false">PR_PH(F$2,$A49)</f>
        <v>2015</v>
      </c>
      <c r="G49" s="39" t="n">
        <f aca="false">PR_PH(G$2,$A49)</f>
        <v>2015</v>
      </c>
      <c r="H49" s="39" t="n">
        <f aca="false">PR_PH(H$2,$A49)</f>
        <v>2015</v>
      </c>
      <c r="I49" s="39" t="n">
        <f aca="false">PR_PH(I$2,$A49)</f>
        <v>2015</v>
      </c>
      <c r="J49" s="39" t="n">
        <f aca="false">PR_PH(J$2,$A49)</f>
        <v>2015</v>
      </c>
      <c r="K49" s="39" t="n">
        <f aca="false">PR_PH(K$2,$A49)</f>
        <v>2015</v>
      </c>
      <c r="L49" s="39" t="n">
        <f aca="false">PR_PH(L$2,$A49)</f>
        <v>2015</v>
      </c>
      <c r="M49" s="39" t="n">
        <f aca="false">PR_PH(M$2,$A49)</f>
        <v>2015</v>
      </c>
      <c r="N49" s="39" t="n">
        <f aca="false">PR_PH(N$2,$A49)</f>
        <v>2015</v>
      </c>
      <c r="O49" s="39" t="n">
        <f aca="false">PR_PH(O$2,$A49)</f>
        <v>2015</v>
      </c>
      <c r="P49" s="39" t="n">
        <f aca="false">PR_PH(P$2,$A49)</f>
        <v>2015</v>
      </c>
      <c r="Q49" s="39" t="n">
        <f aca="false">PR_PH(Q$2,$A49)</f>
        <v>2015</v>
      </c>
      <c r="R49" s="39" t="n">
        <f aca="false">PR_PH(R$2,$A49)</f>
        <v>2015</v>
      </c>
      <c r="S49" s="39" t="n">
        <f aca="false">PR_PH(S$2,$A49)</f>
        <v>2015</v>
      </c>
      <c r="T49" s="39" t="n">
        <f aca="false">PR_PH(T$2,$A49)</f>
        <v>2015</v>
      </c>
      <c r="U49" s="39" t="n">
        <f aca="false">PR_PH(U$2,$A49)</f>
        <v>2015</v>
      </c>
      <c r="V49" s="39" t="n">
        <f aca="false">PR_PH(V$2,$A49)</f>
        <v>2015</v>
      </c>
      <c r="W49" s="39" t="n">
        <f aca="false">PR_PH(W$2,$A49)</f>
        <v>2015</v>
      </c>
      <c r="X49" s="39" t="n">
        <f aca="false">PR_PH(X$2,$A49)</f>
        <v>2015</v>
      </c>
      <c r="Y49" s="39" t="n">
        <f aca="false">PR_PH(Y$2,$A49)</f>
        <v>2015</v>
      </c>
      <c r="Z49" s="39" t="n">
        <f aca="false">PR_PH(Z$2,$A49)</f>
        <v>2015</v>
      </c>
      <c r="AA49" s="39" t="n">
        <f aca="false">PR_PH(AA$2,$A49)</f>
        <v>2015</v>
      </c>
      <c r="AB49" s="39" t="n">
        <f aca="false">PR_PH(AB$2,$A49)</f>
        <v>2015</v>
      </c>
      <c r="AC49" s="39" t="n">
        <f aca="false">PR_PH(AC$2,$A49)</f>
        <v>2015</v>
      </c>
      <c r="AD49" s="39" t="n">
        <f aca="false">PR_PH(AD$2,$A49)</f>
        <v>2015</v>
      </c>
      <c r="AE49" s="39" t="n">
        <f aca="false">PR_PH(AE$2,$A49)</f>
        <v>2015</v>
      </c>
      <c r="AF49" s="39" t="n">
        <f aca="false">PR_PH(AF$2,$A49)</f>
        <v>2015</v>
      </c>
      <c r="AG49" s="39" t="n">
        <f aca="false">PR_PH(AG$2,$A49)</f>
        <v>2015</v>
      </c>
      <c r="AH49" s="39" t="n">
        <f aca="false">PR_PH(AH$2,$A49)</f>
        <v>2015</v>
      </c>
      <c r="AI49" s="39" t="n">
        <f aca="false">PR_PH(AI$2,$A49)</f>
        <v>2015</v>
      </c>
      <c r="AJ49" s="39" t="n">
        <f aca="false">PR_PH(AJ$2,$A49)</f>
        <v>2015</v>
      </c>
      <c r="AK49" s="39" t="n">
        <f aca="false">PR_PH(AK$2,$A49)</f>
        <v>2015</v>
      </c>
      <c r="AL49" s="39" t="n">
        <f aca="false">PR_PH(AL$2,$A49)</f>
        <v>2015</v>
      </c>
      <c r="AM49" s="39" t="n">
        <f aca="false">PR_PH(AM$2,$A49)</f>
        <v>2015</v>
      </c>
      <c r="AN49" s="39" t="n">
        <f aca="false">PR_PH(AN$2,$A49)</f>
        <v>2015</v>
      </c>
      <c r="AO49" s="39" t="n">
        <f aca="false">PR_PH(AO$2,$A49)</f>
        <v>2015</v>
      </c>
      <c r="AP49" s="39" t="n">
        <f aca="false">PR_PH(AP$2,$A49)</f>
        <v>2015</v>
      </c>
      <c r="AQ49" s="39" t="n">
        <f aca="false">PR_PH(AQ$2,$A49)</f>
        <v>2015</v>
      </c>
    </row>
    <row r="50" customFormat="false" ht="13.8" hidden="false" customHeight="false" outlineLevel="0" collapsed="false">
      <c r="A50" s="0" t="n">
        <v>2100</v>
      </c>
      <c r="B50" s="39" t="n">
        <f aca="false">PR_PH(B$2,$A50)</f>
        <v>2015</v>
      </c>
      <c r="C50" s="39" t="n">
        <f aca="false">PR_PH(C$2,$A50)</f>
        <v>2015</v>
      </c>
      <c r="D50" s="39" t="n">
        <f aca="false">PR_PH(D$2,$A50)</f>
        <v>2015</v>
      </c>
      <c r="E50" s="39" t="n">
        <f aca="false">PR_PH(E$2,$A50)</f>
        <v>2015</v>
      </c>
      <c r="F50" s="39" t="n">
        <f aca="false">PR_PH(F$2,$A50)</f>
        <v>2015</v>
      </c>
      <c r="G50" s="39" t="n">
        <f aca="false">PR_PH(G$2,$A50)</f>
        <v>2015</v>
      </c>
      <c r="H50" s="39" t="n">
        <f aca="false">PR_PH(H$2,$A50)</f>
        <v>2015</v>
      </c>
      <c r="I50" s="39" t="n">
        <f aca="false">PR_PH(I$2,$A50)</f>
        <v>2015</v>
      </c>
      <c r="J50" s="39" t="n">
        <f aca="false">PR_PH(J$2,$A50)</f>
        <v>2015</v>
      </c>
      <c r="K50" s="39" t="n">
        <f aca="false">PR_PH(K$2,$A50)</f>
        <v>2015</v>
      </c>
      <c r="L50" s="39" t="n">
        <f aca="false">PR_PH(L$2,$A50)</f>
        <v>2015</v>
      </c>
      <c r="M50" s="39" t="n">
        <f aca="false">PR_PH(M$2,$A50)</f>
        <v>2015</v>
      </c>
      <c r="N50" s="39" t="n">
        <f aca="false">PR_PH(N$2,$A50)</f>
        <v>2015</v>
      </c>
      <c r="O50" s="39" t="n">
        <f aca="false">PR_PH(O$2,$A50)</f>
        <v>2015</v>
      </c>
      <c r="P50" s="39" t="n">
        <f aca="false">PR_PH(P$2,$A50)</f>
        <v>2015</v>
      </c>
      <c r="Q50" s="39" t="n">
        <f aca="false">PR_PH(Q$2,$A50)</f>
        <v>2015</v>
      </c>
      <c r="R50" s="39" t="n">
        <f aca="false">PR_PH(R$2,$A50)</f>
        <v>2015</v>
      </c>
      <c r="S50" s="39" t="n">
        <f aca="false">PR_PH(S$2,$A50)</f>
        <v>2015</v>
      </c>
      <c r="T50" s="39" t="n">
        <f aca="false">PR_PH(T$2,$A50)</f>
        <v>2015</v>
      </c>
      <c r="U50" s="39" t="n">
        <f aca="false">PR_PH(U$2,$A50)</f>
        <v>2015</v>
      </c>
      <c r="V50" s="39" t="n">
        <f aca="false">PR_PH(V$2,$A50)</f>
        <v>2015</v>
      </c>
      <c r="W50" s="39" t="n">
        <f aca="false">PR_PH(W$2,$A50)</f>
        <v>2015</v>
      </c>
      <c r="X50" s="39" t="n">
        <f aca="false">PR_PH(X$2,$A50)</f>
        <v>2015</v>
      </c>
      <c r="Y50" s="39" t="n">
        <f aca="false">PR_PH(Y$2,$A50)</f>
        <v>2015</v>
      </c>
      <c r="Z50" s="39" t="n">
        <f aca="false">PR_PH(Z$2,$A50)</f>
        <v>2015</v>
      </c>
      <c r="AA50" s="39" t="n">
        <f aca="false">PR_PH(AA$2,$A50)</f>
        <v>2015</v>
      </c>
      <c r="AB50" s="39" t="n">
        <f aca="false">PR_PH(AB$2,$A50)</f>
        <v>2015</v>
      </c>
      <c r="AC50" s="39" t="n">
        <f aca="false">PR_PH(AC$2,$A50)</f>
        <v>2015</v>
      </c>
      <c r="AD50" s="39" t="n">
        <f aca="false">PR_PH(AD$2,$A50)</f>
        <v>2015</v>
      </c>
      <c r="AE50" s="39" t="n">
        <f aca="false">PR_PH(AE$2,$A50)</f>
        <v>2015</v>
      </c>
      <c r="AF50" s="39" t="n">
        <f aca="false">PR_PH(AF$2,$A50)</f>
        <v>2015</v>
      </c>
      <c r="AG50" s="39" t="n">
        <f aca="false">PR_PH(AG$2,$A50)</f>
        <v>2015</v>
      </c>
      <c r="AH50" s="39" t="n">
        <f aca="false">PR_PH(AH$2,$A50)</f>
        <v>2015</v>
      </c>
      <c r="AI50" s="39" t="n">
        <f aca="false">PR_PH(AI$2,$A50)</f>
        <v>2015</v>
      </c>
      <c r="AJ50" s="39" t="n">
        <f aca="false">PR_PH(AJ$2,$A50)</f>
        <v>2015</v>
      </c>
      <c r="AK50" s="39" t="n">
        <f aca="false">PR_PH(AK$2,$A50)</f>
        <v>2015</v>
      </c>
      <c r="AL50" s="39" t="n">
        <f aca="false">PR_PH(AL$2,$A50)</f>
        <v>2015</v>
      </c>
      <c r="AM50" s="39" t="n">
        <f aca="false">PR_PH(AM$2,$A50)</f>
        <v>2015</v>
      </c>
      <c r="AN50" s="39" t="n">
        <f aca="false">PR_PH(AN$2,$A50)</f>
        <v>2015</v>
      </c>
      <c r="AO50" s="39" t="n">
        <f aca="false">PR_PH(AO$2,$A50)</f>
        <v>2015</v>
      </c>
      <c r="AP50" s="39" t="n">
        <f aca="false">PR_PH(AP$2,$A50)</f>
        <v>2015</v>
      </c>
      <c r="AQ50" s="39" t="n">
        <f aca="false">PR_PH(AQ$2,$A50)</f>
        <v>2015</v>
      </c>
    </row>
    <row r="51" customFormat="false" ht="13.8" hidden="false" customHeight="false" outlineLevel="0" collapsed="false">
      <c r="A51" s="0" t="n">
        <v>2110</v>
      </c>
      <c r="B51" s="39" t="n">
        <f aca="false">PR_PH(B$2,$A51)</f>
        <v>2015</v>
      </c>
      <c r="C51" s="39" t="n">
        <f aca="false">PR_PH(C$2,$A51)</f>
        <v>2015</v>
      </c>
      <c r="D51" s="39" t="n">
        <f aca="false">PR_PH(D$2,$A51)</f>
        <v>2015</v>
      </c>
      <c r="E51" s="39" t="n">
        <f aca="false">PR_PH(E$2,$A51)</f>
        <v>2015</v>
      </c>
      <c r="F51" s="39" t="n">
        <f aca="false">PR_PH(F$2,$A51)</f>
        <v>2015</v>
      </c>
      <c r="G51" s="39" t="n">
        <f aca="false">PR_PH(G$2,$A51)</f>
        <v>2015</v>
      </c>
      <c r="H51" s="39" t="n">
        <f aca="false">PR_PH(H$2,$A51)</f>
        <v>2015</v>
      </c>
      <c r="I51" s="39" t="n">
        <f aca="false">PR_PH(I$2,$A51)</f>
        <v>2015</v>
      </c>
      <c r="J51" s="39" t="n">
        <f aca="false">PR_PH(J$2,$A51)</f>
        <v>2015</v>
      </c>
      <c r="K51" s="39" t="n">
        <f aca="false">PR_PH(K$2,$A51)</f>
        <v>2015</v>
      </c>
      <c r="L51" s="39" t="n">
        <f aca="false">PR_PH(L$2,$A51)</f>
        <v>2015</v>
      </c>
      <c r="M51" s="39" t="n">
        <f aca="false">PR_PH(M$2,$A51)</f>
        <v>2015</v>
      </c>
      <c r="N51" s="39" t="n">
        <f aca="false">PR_PH(N$2,$A51)</f>
        <v>2015</v>
      </c>
      <c r="O51" s="39" t="n">
        <f aca="false">PR_PH(O$2,$A51)</f>
        <v>2015</v>
      </c>
      <c r="P51" s="39" t="n">
        <f aca="false">PR_PH(P$2,$A51)</f>
        <v>2015</v>
      </c>
      <c r="Q51" s="39" t="n">
        <f aca="false">PR_PH(Q$2,$A51)</f>
        <v>2015</v>
      </c>
      <c r="R51" s="39" t="n">
        <f aca="false">PR_PH(R$2,$A51)</f>
        <v>2015</v>
      </c>
      <c r="S51" s="39" t="n">
        <f aca="false">PR_PH(S$2,$A51)</f>
        <v>2015</v>
      </c>
      <c r="T51" s="39" t="n">
        <f aca="false">PR_PH(T$2,$A51)</f>
        <v>2015</v>
      </c>
      <c r="U51" s="39" t="n">
        <f aca="false">PR_PH(U$2,$A51)</f>
        <v>2015</v>
      </c>
      <c r="V51" s="39" t="n">
        <f aca="false">PR_PH(V$2,$A51)</f>
        <v>2015</v>
      </c>
      <c r="W51" s="39" t="n">
        <f aca="false">PR_PH(W$2,$A51)</f>
        <v>2015</v>
      </c>
      <c r="X51" s="39" t="n">
        <f aca="false">PR_PH(X$2,$A51)</f>
        <v>2015</v>
      </c>
      <c r="Y51" s="39" t="n">
        <f aca="false">PR_PH(Y$2,$A51)</f>
        <v>2015</v>
      </c>
      <c r="Z51" s="39" t="n">
        <f aca="false">PR_PH(Z$2,$A51)</f>
        <v>2015</v>
      </c>
      <c r="AA51" s="39" t="n">
        <f aca="false">PR_PH(AA$2,$A51)</f>
        <v>2015</v>
      </c>
      <c r="AB51" s="39" t="n">
        <f aca="false">PR_PH(AB$2,$A51)</f>
        <v>2015</v>
      </c>
      <c r="AC51" s="39" t="n">
        <f aca="false">PR_PH(AC$2,$A51)</f>
        <v>2015</v>
      </c>
      <c r="AD51" s="39" t="n">
        <f aca="false">PR_PH(AD$2,$A51)</f>
        <v>2015</v>
      </c>
      <c r="AE51" s="39" t="n">
        <f aca="false">PR_PH(AE$2,$A51)</f>
        <v>2015</v>
      </c>
      <c r="AF51" s="39" t="n">
        <f aca="false">PR_PH(AF$2,$A51)</f>
        <v>2015</v>
      </c>
      <c r="AG51" s="39" t="n">
        <f aca="false">PR_PH(AG$2,$A51)</f>
        <v>2015</v>
      </c>
      <c r="AH51" s="39" t="n">
        <f aca="false">PR_PH(AH$2,$A51)</f>
        <v>2015</v>
      </c>
      <c r="AI51" s="39" t="n">
        <f aca="false">PR_PH(AI$2,$A51)</f>
        <v>2015</v>
      </c>
      <c r="AJ51" s="39" t="n">
        <f aca="false">PR_PH(AJ$2,$A51)</f>
        <v>2015</v>
      </c>
      <c r="AK51" s="39" t="n">
        <f aca="false">PR_PH(AK$2,$A51)</f>
        <v>2015</v>
      </c>
      <c r="AL51" s="39" t="n">
        <f aca="false">PR_PH(AL$2,$A51)</f>
        <v>2015</v>
      </c>
      <c r="AM51" s="39" t="n">
        <f aca="false">PR_PH(AM$2,$A51)</f>
        <v>2015</v>
      </c>
      <c r="AN51" s="39" t="n">
        <f aca="false">PR_PH(AN$2,$A51)</f>
        <v>2015</v>
      </c>
      <c r="AO51" s="39" t="n">
        <f aca="false">PR_PH(AO$2,$A51)</f>
        <v>2015</v>
      </c>
      <c r="AP51" s="39" t="n">
        <f aca="false">PR_PH(AP$2,$A51)</f>
        <v>2015</v>
      </c>
      <c r="AQ51" s="39" t="n">
        <f aca="false">PR_PH(AQ$2,$A51)</f>
        <v>2015</v>
      </c>
    </row>
    <row r="52" customFormat="false" ht="13.8" hidden="false" customHeight="false" outlineLevel="0" collapsed="false">
      <c r="A52" s="0" t="n">
        <v>2120</v>
      </c>
      <c r="B52" s="39" t="n">
        <f aca="false">PR_PH(B$2,$A52)</f>
        <v>2015</v>
      </c>
      <c r="C52" s="39" t="n">
        <f aca="false">PR_PH(C$2,$A52)</f>
        <v>2015</v>
      </c>
      <c r="D52" s="39" t="n">
        <f aca="false">PR_PH(D$2,$A52)</f>
        <v>2015</v>
      </c>
      <c r="E52" s="39" t="n">
        <f aca="false">PR_PH(E$2,$A52)</f>
        <v>2015</v>
      </c>
      <c r="F52" s="39" t="n">
        <f aca="false">PR_PH(F$2,$A52)</f>
        <v>2015</v>
      </c>
      <c r="G52" s="39" t="n">
        <f aca="false">PR_PH(G$2,$A52)</f>
        <v>2015</v>
      </c>
      <c r="H52" s="39" t="n">
        <f aca="false">PR_PH(H$2,$A52)</f>
        <v>2015</v>
      </c>
      <c r="I52" s="39" t="n">
        <f aca="false">PR_PH(I$2,$A52)</f>
        <v>2015</v>
      </c>
      <c r="J52" s="39" t="n">
        <f aca="false">PR_PH(J$2,$A52)</f>
        <v>2015</v>
      </c>
      <c r="K52" s="39" t="n">
        <f aca="false">PR_PH(K$2,$A52)</f>
        <v>2015</v>
      </c>
      <c r="L52" s="39" t="n">
        <f aca="false">PR_PH(L$2,$A52)</f>
        <v>2015</v>
      </c>
      <c r="M52" s="39" t="n">
        <f aca="false">PR_PH(M$2,$A52)</f>
        <v>2015</v>
      </c>
      <c r="N52" s="39" t="n">
        <f aca="false">PR_PH(N$2,$A52)</f>
        <v>2015</v>
      </c>
      <c r="O52" s="39" t="n">
        <f aca="false">PR_PH(O$2,$A52)</f>
        <v>2015</v>
      </c>
      <c r="P52" s="39" t="n">
        <f aca="false">PR_PH(P$2,$A52)</f>
        <v>2015</v>
      </c>
      <c r="Q52" s="39" t="n">
        <f aca="false">PR_PH(Q$2,$A52)</f>
        <v>2015</v>
      </c>
      <c r="R52" s="39" t="n">
        <f aca="false">PR_PH(R$2,$A52)</f>
        <v>2015</v>
      </c>
      <c r="S52" s="39" t="n">
        <f aca="false">PR_PH(S$2,$A52)</f>
        <v>2015</v>
      </c>
      <c r="T52" s="39" t="n">
        <f aca="false">PR_PH(T$2,$A52)</f>
        <v>2015</v>
      </c>
      <c r="U52" s="39" t="n">
        <f aca="false">PR_PH(U$2,$A52)</f>
        <v>2015</v>
      </c>
      <c r="V52" s="39" t="n">
        <f aca="false">PR_PH(V$2,$A52)</f>
        <v>2015</v>
      </c>
      <c r="W52" s="39" t="n">
        <f aca="false">PR_PH(W$2,$A52)</f>
        <v>2015</v>
      </c>
      <c r="X52" s="39" t="n">
        <f aca="false">PR_PH(X$2,$A52)</f>
        <v>2015</v>
      </c>
      <c r="Y52" s="39" t="n">
        <f aca="false">PR_PH(Y$2,$A52)</f>
        <v>2015</v>
      </c>
      <c r="Z52" s="39" t="n">
        <f aca="false">PR_PH(Z$2,$A52)</f>
        <v>2015</v>
      </c>
      <c r="AA52" s="39" t="n">
        <f aca="false">PR_PH(AA$2,$A52)</f>
        <v>2015</v>
      </c>
      <c r="AB52" s="39" t="n">
        <f aca="false">PR_PH(AB$2,$A52)</f>
        <v>2015</v>
      </c>
      <c r="AC52" s="39" t="n">
        <f aca="false">PR_PH(AC$2,$A52)</f>
        <v>2015</v>
      </c>
      <c r="AD52" s="39" t="n">
        <f aca="false">PR_PH(AD$2,$A52)</f>
        <v>2015</v>
      </c>
      <c r="AE52" s="39" t="n">
        <f aca="false">PR_PH(AE$2,$A52)</f>
        <v>2015</v>
      </c>
      <c r="AF52" s="39" t="n">
        <f aca="false">PR_PH(AF$2,$A52)</f>
        <v>2015</v>
      </c>
      <c r="AG52" s="39" t="n">
        <f aca="false">PR_PH(AG$2,$A52)</f>
        <v>2015</v>
      </c>
      <c r="AH52" s="39" t="n">
        <f aca="false">PR_PH(AH$2,$A52)</f>
        <v>2015</v>
      </c>
      <c r="AI52" s="39" t="n">
        <f aca="false">PR_PH(AI$2,$A52)</f>
        <v>2015</v>
      </c>
      <c r="AJ52" s="39" t="n">
        <f aca="false">PR_PH(AJ$2,$A52)</f>
        <v>2015</v>
      </c>
      <c r="AK52" s="39" t="n">
        <f aca="false">PR_PH(AK$2,$A52)</f>
        <v>2015</v>
      </c>
      <c r="AL52" s="39" t="n">
        <f aca="false">PR_PH(AL$2,$A52)</f>
        <v>2015</v>
      </c>
      <c r="AM52" s="39" t="n">
        <f aca="false">PR_PH(AM$2,$A52)</f>
        <v>2015</v>
      </c>
      <c r="AN52" s="39" t="n">
        <f aca="false">PR_PH(AN$2,$A52)</f>
        <v>2015</v>
      </c>
      <c r="AO52" s="39" t="n">
        <f aca="false">PR_PH(AO$2,$A52)</f>
        <v>2015</v>
      </c>
      <c r="AP52" s="39" t="n">
        <f aca="false">PR_PH(AP$2,$A52)</f>
        <v>2015</v>
      </c>
      <c r="AQ52" s="39" t="n">
        <f aca="false">PR_PH(AQ$2,$A52)</f>
        <v>2015</v>
      </c>
    </row>
    <row r="53" customFormat="false" ht="13.8" hidden="false" customHeight="false" outlineLevel="0" collapsed="false">
      <c r="A53" s="0" t="n">
        <v>2130</v>
      </c>
      <c r="B53" s="39" t="n">
        <f aca="false">PR_PH(B$2,$A53)</f>
        <v>2015</v>
      </c>
      <c r="C53" s="39" t="n">
        <f aca="false">PR_PH(C$2,$A53)</f>
        <v>2015</v>
      </c>
      <c r="D53" s="39" t="n">
        <f aca="false">PR_PH(D$2,$A53)</f>
        <v>2015</v>
      </c>
      <c r="E53" s="39" t="n">
        <f aca="false">PR_PH(E$2,$A53)</f>
        <v>2015</v>
      </c>
      <c r="F53" s="39" t="n">
        <f aca="false">PR_PH(F$2,$A53)</f>
        <v>2015</v>
      </c>
      <c r="G53" s="39" t="n">
        <f aca="false">PR_PH(G$2,$A53)</f>
        <v>2015</v>
      </c>
      <c r="H53" s="39" t="n">
        <f aca="false">PR_PH(H$2,$A53)</f>
        <v>2015</v>
      </c>
      <c r="I53" s="39" t="n">
        <f aca="false">PR_PH(I$2,$A53)</f>
        <v>2015</v>
      </c>
      <c r="J53" s="39" t="n">
        <f aca="false">PR_PH(J$2,$A53)</f>
        <v>2015</v>
      </c>
      <c r="K53" s="39" t="n">
        <f aca="false">PR_PH(K$2,$A53)</f>
        <v>2015</v>
      </c>
      <c r="L53" s="39" t="n">
        <f aca="false">PR_PH(L$2,$A53)</f>
        <v>2015</v>
      </c>
      <c r="M53" s="39" t="n">
        <f aca="false">PR_PH(M$2,$A53)</f>
        <v>2015</v>
      </c>
      <c r="N53" s="39" t="n">
        <f aca="false">PR_PH(N$2,$A53)</f>
        <v>2015</v>
      </c>
      <c r="O53" s="39" t="n">
        <f aca="false">PR_PH(O$2,$A53)</f>
        <v>2015</v>
      </c>
      <c r="P53" s="39" t="n">
        <f aca="false">PR_PH(P$2,$A53)</f>
        <v>2015</v>
      </c>
      <c r="Q53" s="39" t="n">
        <f aca="false">PR_PH(Q$2,$A53)</f>
        <v>2015</v>
      </c>
      <c r="R53" s="39" t="n">
        <f aca="false">PR_PH(R$2,$A53)</f>
        <v>2015</v>
      </c>
      <c r="S53" s="39" t="n">
        <f aca="false">PR_PH(S$2,$A53)</f>
        <v>2015</v>
      </c>
      <c r="T53" s="39" t="n">
        <f aca="false">PR_PH(T$2,$A53)</f>
        <v>2015</v>
      </c>
      <c r="U53" s="39" t="n">
        <f aca="false">PR_PH(U$2,$A53)</f>
        <v>2015</v>
      </c>
      <c r="V53" s="39" t="n">
        <f aca="false">PR_PH(V$2,$A53)</f>
        <v>2015</v>
      </c>
      <c r="W53" s="39" t="n">
        <f aca="false">PR_PH(W$2,$A53)</f>
        <v>2015</v>
      </c>
      <c r="X53" s="39" t="n">
        <f aca="false">PR_PH(X$2,$A53)</f>
        <v>2015</v>
      </c>
      <c r="Y53" s="39" t="n">
        <f aca="false">PR_PH(Y$2,$A53)</f>
        <v>2015</v>
      </c>
      <c r="Z53" s="39" t="n">
        <f aca="false">PR_PH(Z$2,$A53)</f>
        <v>2015</v>
      </c>
      <c r="AA53" s="39" t="n">
        <f aca="false">PR_PH(AA$2,$A53)</f>
        <v>2015</v>
      </c>
      <c r="AB53" s="39" t="n">
        <f aca="false">PR_PH(AB$2,$A53)</f>
        <v>2015</v>
      </c>
      <c r="AC53" s="39" t="n">
        <f aca="false">PR_PH(AC$2,$A53)</f>
        <v>2015</v>
      </c>
      <c r="AD53" s="39" t="n">
        <f aca="false">PR_PH(AD$2,$A53)</f>
        <v>2015</v>
      </c>
      <c r="AE53" s="39" t="n">
        <f aca="false">PR_PH(AE$2,$A53)</f>
        <v>2015</v>
      </c>
      <c r="AF53" s="39" t="n">
        <f aca="false">PR_PH(AF$2,$A53)</f>
        <v>2015</v>
      </c>
      <c r="AG53" s="39" t="n">
        <f aca="false">PR_PH(AG$2,$A53)</f>
        <v>2015</v>
      </c>
      <c r="AH53" s="39" t="n">
        <f aca="false">PR_PH(AH$2,$A53)</f>
        <v>2015</v>
      </c>
      <c r="AI53" s="39" t="n">
        <f aca="false">PR_PH(AI$2,$A53)</f>
        <v>2015</v>
      </c>
      <c r="AJ53" s="39" t="n">
        <f aca="false">PR_PH(AJ$2,$A53)</f>
        <v>2015</v>
      </c>
      <c r="AK53" s="39" t="n">
        <f aca="false">PR_PH(AK$2,$A53)</f>
        <v>2015</v>
      </c>
      <c r="AL53" s="39" t="n">
        <f aca="false">PR_PH(AL$2,$A53)</f>
        <v>2015</v>
      </c>
      <c r="AM53" s="39" t="n">
        <f aca="false">PR_PH(AM$2,$A53)</f>
        <v>2015</v>
      </c>
      <c r="AN53" s="39" t="n">
        <f aca="false">PR_PH(AN$2,$A53)</f>
        <v>2015</v>
      </c>
      <c r="AO53" s="39" t="n">
        <f aca="false">PR_PH(AO$2,$A53)</f>
        <v>2015</v>
      </c>
      <c r="AP53" s="39" t="n">
        <f aca="false">PR_PH(AP$2,$A53)</f>
        <v>2015</v>
      </c>
      <c r="AQ53" s="39" t="n">
        <f aca="false">PR_PH(AQ$2,$A53)</f>
        <v>2015</v>
      </c>
    </row>
    <row r="54" customFormat="false" ht="13.8" hidden="false" customHeight="false" outlineLevel="0" collapsed="false">
      <c r="A54" s="0" t="n">
        <v>2140</v>
      </c>
      <c r="B54" s="39" t="n">
        <f aca="false">PR_PH(B$2,$A54)</f>
        <v>2015</v>
      </c>
      <c r="C54" s="39" t="n">
        <f aca="false">PR_PH(C$2,$A54)</f>
        <v>2015</v>
      </c>
      <c r="D54" s="39" t="n">
        <f aca="false">PR_PH(D$2,$A54)</f>
        <v>2015</v>
      </c>
      <c r="E54" s="39" t="n">
        <f aca="false">PR_PH(E$2,$A54)</f>
        <v>2015</v>
      </c>
      <c r="F54" s="39" t="n">
        <f aca="false">PR_PH(F$2,$A54)</f>
        <v>2015</v>
      </c>
      <c r="G54" s="39" t="n">
        <f aca="false">PR_PH(G$2,$A54)</f>
        <v>2015</v>
      </c>
      <c r="H54" s="39" t="n">
        <f aca="false">PR_PH(H$2,$A54)</f>
        <v>2015</v>
      </c>
      <c r="I54" s="39" t="n">
        <f aca="false">PR_PH(I$2,$A54)</f>
        <v>2015</v>
      </c>
      <c r="J54" s="39" t="n">
        <f aca="false">PR_PH(J$2,$A54)</f>
        <v>2015</v>
      </c>
      <c r="K54" s="39" t="n">
        <f aca="false">PR_PH(K$2,$A54)</f>
        <v>2015</v>
      </c>
      <c r="L54" s="39" t="n">
        <f aca="false">PR_PH(L$2,$A54)</f>
        <v>2015</v>
      </c>
      <c r="M54" s="39" t="n">
        <f aca="false">PR_PH(M$2,$A54)</f>
        <v>2015</v>
      </c>
      <c r="N54" s="39" t="n">
        <f aca="false">PR_PH(N$2,$A54)</f>
        <v>2015</v>
      </c>
      <c r="O54" s="39" t="n">
        <f aca="false">PR_PH(O$2,$A54)</f>
        <v>2015</v>
      </c>
      <c r="P54" s="39" t="n">
        <f aca="false">PR_PH(P$2,$A54)</f>
        <v>2015</v>
      </c>
      <c r="Q54" s="39" t="n">
        <f aca="false">PR_PH(Q$2,$A54)</f>
        <v>2015</v>
      </c>
      <c r="R54" s="39" t="n">
        <f aca="false">PR_PH(R$2,$A54)</f>
        <v>2015</v>
      </c>
      <c r="S54" s="39" t="n">
        <f aca="false">PR_PH(S$2,$A54)</f>
        <v>2015</v>
      </c>
      <c r="T54" s="39" t="n">
        <f aca="false">PR_PH(T$2,$A54)</f>
        <v>2015</v>
      </c>
      <c r="U54" s="39" t="n">
        <f aca="false">PR_PH(U$2,$A54)</f>
        <v>2015</v>
      </c>
      <c r="V54" s="39" t="n">
        <f aca="false">PR_PH(V$2,$A54)</f>
        <v>2015</v>
      </c>
      <c r="W54" s="39" t="n">
        <f aca="false">PR_PH(W$2,$A54)</f>
        <v>2015</v>
      </c>
      <c r="X54" s="39" t="n">
        <f aca="false">PR_PH(X$2,$A54)</f>
        <v>2015</v>
      </c>
      <c r="Y54" s="39" t="n">
        <f aca="false">PR_PH(Y$2,$A54)</f>
        <v>2015</v>
      </c>
      <c r="Z54" s="39" t="n">
        <f aca="false">PR_PH(Z$2,$A54)</f>
        <v>2015</v>
      </c>
      <c r="AA54" s="39" t="n">
        <f aca="false">PR_PH(AA$2,$A54)</f>
        <v>2015</v>
      </c>
      <c r="AB54" s="39" t="n">
        <f aca="false">PR_PH(AB$2,$A54)</f>
        <v>2015</v>
      </c>
      <c r="AC54" s="39" t="n">
        <f aca="false">PR_PH(AC$2,$A54)</f>
        <v>2015</v>
      </c>
      <c r="AD54" s="39" t="n">
        <f aca="false">PR_PH(AD$2,$A54)</f>
        <v>2015</v>
      </c>
      <c r="AE54" s="39" t="n">
        <f aca="false">PR_PH(AE$2,$A54)</f>
        <v>2015</v>
      </c>
      <c r="AF54" s="39" t="n">
        <f aca="false">PR_PH(AF$2,$A54)</f>
        <v>2015</v>
      </c>
      <c r="AG54" s="39" t="n">
        <f aca="false">PR_PH(AG$2,$A54)</f>
        <v>2015</v>
      </c>
      <c r="AH54" s="39" t="n">
        <f aca="false">PR_PH(AH$2,$A54)</f>
        <v>2015</v>
      </c>
      <c r="AI54" s="39" t="n">
        <f aca="false">PR_PH(AI$2,$A54)</f>
        <v>2015</v>
      </c>
      <c r="AJ54" s="39" t="n">
        <f aca="false">PR_PH(AJ$2,$A54)</f>
        <v>2015</v>
      </c>
      <c r="AK54" s="39" t="n">
        <f aca="false">PR_PH(AK$2,$A54)</f>
        <v>2015</v>
      </c>
      <c r="AL54" s="39" t="n">
        <f aca="false">PR_PH(AL$2,$A54)</f>
        <v>2015</v>
      </c>
      <c r="AM54" s="39" t="n">
        <f aca="false">PR_PH(AM$2,$A54)</f>
        <v>2015</v>
      </c>
      <c r="AN54" s="39" t="n">
        <f aca="false">PR_PH(AN$2,$A54)</f>
        <v>2015</v>
      </c>
      <c r="AO54" s="39" t="n">
        <f aca="false">PR_PH(AO$2,$A54)</f>
        <v>2015</v>
      </c>
      <c r="AP54" s="39" t="n">
        <f aca="false">PR_PH(AP$2,$A54)</f>
        <v>2015</v>
      </c>
      <c r="AQ54" s="39" t="n">
        <f aca="false">PR_PH(AQ$2,$A54)</f>
        <v>2015</v>
      </c>
    </row>
    <row r="55" customFormat="false" ht="13.8" hidden="false" customHeight="false" outlineLevel="0" collapsed="false">
      <c r="A55" s="0" t="n">
        <v>2150</v>
      </c>
      <c r="B55" s="39" t="n">
        <f aca="false">PR_PH(B$2,$A55)</f>
        <v>2015</v>
      </c>
      <c r="C55" s="39" t="n">
        <f aca="false">PR_PH(C$2,$A55)</f>
        <v>2015</v>
      </c>
      <c r="D55" s="39" t="n">
        <f aca="false">PR_PH(D$2,$A55)</f>
        <v>2015</v>
      </c>
      <c r="E55" s="39" t="n">
        <f aca="false">PR_PH(E$2,$A55)</f>
        <v>2015</v>
      </c>
      <c r="F55" s="39" t="n">
        <f aca="false">PR_PH(F$2,$A55)</f>
        <v>2015</v>
      </c>
      <c r="G55" s="39" t="n">
        <f aca="false">PR_PH(G$2,$A55)</f>
        <v>2015</v>
      </c>
      <c r="H55" s="39" t="n">
        <f aca="false">PR_PH(H$2,$A55)</f>
        <v>2015</v>
      </c>
      <c r="I55" s="39" t="n">
        <f aca="false">PR_PH(I$2,$A55)</f>
        <v>2015</v>
      </c>
      <c r="J55" s="39" t="n">
        <f aca="false">PR_PH(J$2,$A55)</f>
        <v>2015</v>
      </c>
      <c r="K55" s="39" t="n">
        <f aca="false">PR_PH(K$2,$A55)</f>
        <v>2015</v>
      </c>
      <c r="L55" s="39" t="n">
        <f aca="false">PR_PH(L$2,$A55)</f>
        <v>2015</v>
      </c>
      <c r="M55" s="39" t="n">
        <f aca="false">PR_PH(M$2,$A55)</f>
        <v>2015</v>
      </c>
      <c r="N55" s="39" t="n">
        <f aca="false">PR_PH(N$2,$A55)</f>
        <v>2015</v>
      </c>
      <c r="O55" s="39" t="n">
        <f aca="false">PR_PH(O$2,$A55)</f>
        <v>2015</v>
      </c>
      <c r="P55" s="39" t="n">
        <f aca="false">PR_PH(P$2,$A55)</f>
        <v>2015</v>
      </c>
      <c r="Q55" s="39" t="n">
        <f aca="false">PR_PH(Q$2,$A55)</f>
        <v>2015</v>
      </c>
      <c r="R55" s="39" t="n">
        <f aca="false">PR_PH(R$2,$A55)</f>
        <v>2015</v>
      </c>
      <c r="S55" s="39" t="n">
        <f aca="false">PR_PH(S$2,$A55)</f>
        <v>2015</v>
      </c>
      <c r="T55" s="39" t="n">
        <f aca="false">PR_PH(T$2,$A55)</f>
        <v>2015</v>
      </c>
      <c r="U55" s="39" t="n">
        <f aca="false">PR_PH(U$2,$A55)</f>
        <v>2015</v>
      </c>
      <c r="V55" s="39" t="n">
        <f aca="false">PR_PH(V$2,$A55)</f>
        <v>2015</v>
      </c>
      <c r="W55" s="39" t="n">
        <f aca="false">PR_PH(W$2,$A55)</f>
        <v>2015</v>
      </c>
      <c r="X55" s="39" t="n">
        <f aca="false">PR_PH(X$2,$A55)</f>
        <v>2015</v>
      </c>
      <c r="Y55" s="39" t="n">
        <f aca="false">PR_PH(Y$2,$A55)</f>
        <v>2015</v>
      </c>
      <c r="Z55" s="39" t="n">
        <f aca="false">PR_PH(Z$2,$A55)</f>
        <v>2015</v>
      </c>
      <c r="AA55" s="39" t="n">
        <f aca="false">PR_PH(AA$2,$A55)</f>
        <v>2015</v>
      </c>
      <c r="AB55" s="39" t="n">
        <f aca="false">PR_PH(AB$2,$A55)</f>
        <v>2015</v>
      </c>
      <c r="AC55" s="39" t="n">
        <f aca="false">PR_PH(AC$2,$A55)</f>
        <v>2015</v>
      </c>
      <c r="AD55" s="39" t="n">
        <f aca="false">PR_PH(AD$2,$A55)</f>
        <v>2015</v>
      </c>
      <c r="AE55" s="39" t="n">
        <f aca="false">PR_PH(AE$2,$A55)</f>
        <v>2015</v>
      </c>
      <c r="AF55" s="39" t="n">
        <f aca="false">PR_PH(AF$2,$A55)</f>
        <v>2015</v>
      </c>
      <c r="AG55" s="39" t="n">
        <f aca="false">PR_PH(AG$2,$A55)</f>
        <v>2015</v>
      </c>
      <c r="AH55" s="39" t="n">
        <f aca="false">PR_PH(AH$2,$A55)</f>
        <v>2015</v>
      </c>
      <c r="AI55" s="39" t="n">
        <f aca="false">PR_PH(AI$2,$A55)</f>
        <v>2015</v>
      </c>
      <c r="AJ55" s="39" t="n">
        <f aca="false">PR_PH(AJ$2,$A55)</f>
        <v>2015</v>
      </c>
      <c r="AK55" s="39" t="n">
        <f aca="false">PR_PH(AK$2,$A55)</f>
        <v>2015</v>
      </c>
      <c r="AL55" s="39" t="n">
        <f aca="false">PR_PH(AL$2,$A55)</f>
        <v>2015</v>
      </c>
      <c r="AM55" s="39" t="n">
        <f aca="false">PR_PH(AM$2,$A55)</f>
        <v>2015</v>
      </c>
      <c r="AN55" s="39" t="n">
        <f aca="false">PR_PH(AN$2,$A55)</f>
        <v>2015</v>
      </c>
      <c r="AO55" s="39" t="n">
        <f aca="false">PR_PH(AO$2,$A55)</f>
        <v>2015</v>
      </c>
      <c r="AP55" s="39" t="n">
        <f aca="false">PR_PH(AP$2,$A55)</f>
        <v>2015</v>
      </c>
      <c r="AQ55" s="39" t="n">
        <f aca="false">PR_PH(AQ$2,$A55)</f>
        <v>2015</v>
      </c>
    </row>
    <row r="56" customFormat="false" ht="13.8" hidden="false" customHeight="false" outlineLevel="0" collapsed="false">
      <c r="A56" s="0" t="n">
        <v>2160</v>
      </c>
      <c r="B56" s="39" t="n">
        <f aca="false">PR_PH(B$2,$A56)</f>
        <v>2015</v>
      </c>
      <c r="C56" s="39" t="n">
        <f aca="false">PR_PH(C$2,$A56)</f>
        <v>2015</v>
      </c>
      <c r="D56" s="39" t="n">
        <f aca="false">PR_PH(D$2,$A56)</f>
        <v>2015</v>
      </c>
      <c r="E56" s="39" t="n">
        <f aca="false">PR_PH(E$2,$A56)</f>
        <v>2015</v>
      </c>
      <c r="F56" s="39" t="n">
        <f aca="false">PR_PH(F$2,$A56)</f>
        <v>2015</v>
      </c>
      <c r="G56" s="39" t="n">
        <f aca="false">PR_PH(G$2,$A56)</f>
        <v>2015</v>
      </c>
      <c r="H56" s="39" t="n">
        <f aca="false">PR_PH(H$2,$A56)</f>
        <v>2015</v>
      </c>
      <c r="I56" s="39" t="n">
        <f aca="false">PR_PH(I$2,$A56)</f>
        <v>2015</v>
      </c>
      <c r="J56" s="39" t="n">
        <f aca="false">PR_PH(J$2,$A56)</f>
        <v>2015</v>
      </c>
      <c r="K56" s="39" t="n">
        <f aca="false">PR_PH(K$2,$A56)</f>
        <v>2015</v>
      </c>
      <c r="L56" s="39" t="n">
        <f aca="false">PR_PH(L$2,$A56)</f>
        <v>2015</v>
      </c>
      <c r="M56" s="39" t="n">
        <f aca="false">PR_PH(M$2,$A56)</f>
        <v>2015</v>
      </c>
      <c r="N56" s="39" t="n">
        <f aca="false">PR_PH(N$2,$A56)</f>
        <v>2015</v>
      </c>
      <c r="O56" s="39" t="n">
        <f aca="false">PR_PH(O$2,$A56)</f>
        <v>2015</v>
      </c>
      <c r="P56" s="39" t="n">
        <f aca="false">PR_PH(P$2,$A56)</f>
        <v>2015</v>
      </c>
      <c r="Q56" s="39" t="n">
        <f aca="false">PR_PH(Q$2,$A56)</f>
        <v>2015</v>
      </c>
      <c r="R56" s="39" t="n">
        <f aca="false">PR_PH(R$2,$A56)</f>
        <v>2015</v>
      </c>
      <c r="S56" s="39" t="n">
        <f aca="false">PR_PH(S$2,$A56)</f>
        <v>2015</v>
      </c>
      <c r="T56" s="39" t="n">
        <f aca="false">PR_PH(T$2,$A56)</f>
        <v>2015</v>
      </c>
      <c r="U56" s="39" t="n">
        <f aca="false">PR_PH(U$2,$A56)</f>
        <v>2015</v>
      </c>
      <c r="V56" s="39" t="n">
        <f aca="false">PR_PH(V$2,$A56)</f>
        <v>2015</v>
      </c>
      <c r="W56" s="39" t="n">
        <f aca="false">PR_PH(W$2,$A56)</f>
        <v>2015</v>
      </c>
      <c r="X56" s="39" t="n">
        <f aca="false">PR_PH(X$2,$A56)</f>
        <v>2015</v>
      </c>
      <c r="Y56" s="39" t="n">
        <f aca="false">PR_PH(Y$2,$A56)</f>
        <v>2015</v>
      </c>
      <c r="Z56" s="39" t="n">
        <f aca="false">PR_PH(Z$2,$A56)</f>
        <v>2015</v>
      </c>
      <c r="AA56" s="39" t="n">
        <f aca="false">PR_PH(AA$2,$A56)</f>
        <v>2015</v>
      </c>
      <c r="AB56" s="39" t="n">
        <f aca="false">PR_PH(AB$2,$A56)</f>
        <v>2015</v>
      </c>
      <c r="AC56" s="39" t="n">
        <f aca="false">PR_PH(AC$2,$A56)</f>
        <v>2015</v>
      </c>
      <c r="AD56" s="39" t="n">
        <f aca="false">PR_PH(AD$2,$A56)</f>
        <v>2015</v>
      </c>
      <c r="AE56" s="39" t="n">
        <f aca="false">PR_PH(AE$2,$A56)</f>
        <v>2015</v>
      </c>
      <c r="AF56" s="39" t="n">
        <f aca="false">PR_PH(AF$2,$A56)</f>
        <v>2015</v>
      </c>
      <c r="AG56" s="39" t="n">
        <f aca="false">PR_PH(AG$2,$A56)</f>
        <v>2015</v>
      </c>
      <c r="AH56" s="39" t="n">
        <f aca="false">PR_PH(AH$2,$A56)</f>
        <v>2015</v>
      </c>
      <c r="AI56" s="39" t="n">
        <f aca="false">PR_PH(AI$2,$A56)</f>
        <v>2015</v>
      </c>
      <c r="AJ56" s="39" t="n">
        <f aca="false">PR_PH(AJ$2,$A56)</f>
        <v>2015</v>
      </c>
      <c r="AK56" s="39" t="n">
        <f aca="false">PR_PH(AK$2,$A56)</f>
        <v>2015</v>
      </c>
      <c r="AL56" s="39" t="n">
        <f aca="false">PR_PH(AL$2,$A56)</f>
        <v>2015</v>
      </c>
      <c r="AM56" s="39" t="n">
        <f aca="false">PR_PH(AM$2,$A56)</f>
        <v>2015</v>
      </c>
      <c r="AN56" s="39" t="n">
        <f aca="false">PR_PH(AN$2,$A56)</f>
        <v>2015</v>
      </c>
      <c r="AO56" s="39" t="n">
        <f aca="false">PR_PH(AO$2,$A56)</f>
        <v>2015</v>
      </c>
      <c r="AP56" s="39" t="n">
        <f aca="false">PR_PH(AP$2,$A56)</f>
        <v>2015</v>
      </c>
      <c r="AQ56" s="39" t="n">
        <f aca="false">PR_PH(AQ$2,$A56)</f>
        <v>2015</v>
      </c>
    </row>
    <row r="57" customFormat="false" ht="13.8" hidden="false" customHeight="false" outlineLevel="0" collapsed="false">
      <c r="A57" s="0" t="n">
        <v>2170</v>
      </c>
      <c r="B57" s="39" t="n">
        <f aca="false">PR_PH(B$2,$A57)</f>
        <v>2015</v>
      </c>
      <c r="C57" s="39" t="n">
        <f aca="false">PR_PH(C$2,$A57)</f>
        <v>2015</v>
      </c>
      <c r="D57" s="39" t="n">
        <f aca="false">PR_PH(D$2,$A57)</f>
        <v>2015</v>
      </c>
      <c r="E57" s="39" t="n">
        <f aca="false">PR_PH(E$2,$A57)</f>
        <v>2015</v>
      </c>
      <c r="F57" s="39" t="n">
        <f aca="false">PR_PH(F$2,$A57)</f>
        <v>2015</v>
      </c>
      <c r="G57" s="39" t="n">
        <f aca="false">PR_PH(G$2,$A57)</f>
        <v>2015</v>
      </c>
      <c r="H57" s="39" t="n">
        <f aca="false">PR_PH(H$2,$A57)</f>
        <v>2015</v>
      </c>
      <c r="I57" s="39" t="n">
        <f aca="false">PR_PH(I$2,$A57)</f>
        <v>2015</v>
      </c>
      <c r="J57" s="39" t="n">
        <f aca="false">PR_PH(J$2,$A57)</f>
        <v>2015</v>
      </c>
      <c r="K57" s="39" t="n">
        <f aca="false">PR_PH(K$2,$A57)</f>
        <v>2015</v>
      </c>
      <c r="L57" s="39" t="n">
        <f aca="false">PR_PH(L$2,$A57)</f>
        <v>2015</v>
      </c>
      <c r="M57" s="39" t="n">
        <f aca="false">PR_PH(M$2,$A57)</f>
        <v>2015</v>
      </c>
      <c r="N57" s="39" t="n">
        <f aca="false">PR_PH(N$2,$A57)</f>
        <v>2015</v>
      </c>
      <c r="O57" s="39" t="n">
        <f aca="false">PR_PH(O$2,$A57)</f>
        <v>2015</v>
      </c>
      <c r="P57" s="39" t="n">
        <f aca="false">PR_PH(P$2,$A57)</f>
        <v>2015</v>
      </c>
      <c r="Q57" s="39" t="n">
        <f aca="false">PR_PH(Q$2,$A57)</f>
        <v>2015</v>
      </c>
      <c r="R57" s="39" t="n">
        <f aca="false">PR_PH(R$2,$A57)</f>
        <v>2015</v>
      </c>
      <c r="S57" s="39" t="n">
        <f aca="false">PR_PH(S$2,$A57)</f>
        <v>2015</v>
      </c>
      <c r="T57" s="39" t="n">
        <f aca="false">PR_PH(T$2,$A57)</f>
        <v>2015</v>
      </c>
      <c r="U57" s="39" t="n">
        <f aca="false">PR_PH(U$2,$A57)</f>
        <v>2015</v>
      </c>
      <c r="V57" s="39" t="n">
        <f aca="false">PR_PH(V$2,$A57)</f>
        <v>2015</v>
      </c>
      <c r="W57" s="39" t="n">
        <f aca="false">PR_PH(W$2,$A57)</f>
        <v>2015</v>
      </c>
      <c r="X57" s="39" t="n">
        <f aca="false">PR_PH(X$2,$A57)</f>
        <v>2015</v>
      </c>
      <c r="Y57" s="39" t="n">
        <f aca="false">PR_PH(Y$2,$A57)</f>
        <v>2015</v>
      </c>
      <c r="Z57" s="39" t="n">
        <f aca="false">PR_PH(Z$2,$A57)</f>
        <v>2015</v>
      </c>
      <c r="AA57" s="39" t="n">
        <f aca="false">PR_PH(AA$2,$A57)</f>
        <v>2015</v>
      </c>
      <c r="AB57" s="39" t="n">
        <f aca="false">PR_PH(AB$2,$A57)</f>
        <v>2015</v>
      </c>
      <c r="AC57" s="39" t="n">
        <f aca="false">PR_PH(AC$2,$A57)</f>
        <v>2015</v>
      </c>
      <c r="AD57" s="39" t="n">
        <f aca="false">PR_PH(AD$2,$A57)</f>
        <v>2015</v>
      </c>
      <c r="AE57" s="39" t="n">
        <f aca="false">PR_PH(AE$2,$A57)</f>
        <v>2015</v>
      </c>
      <c r="AF57" s="39" t="n">
        <f aca="false">PR_PH(AF$2,$A57)</f>
        <v>2015</v>
      </c>
      <c r="AG57" s="39" t="n">
        <f aca="false">PR_PH(AG$2,$A57)</f>
        <v>2015</v>
      </c>
      <c r="AH57" s="39" t="n">
        <f aca="false">PR_PH(AH$2,$A57)</f>
        <v>2015</v>
      </c>
      <c r="AI57" s="39" t="n">
        <f aca="false">PR_PH(AI$2,$A57)</f>
        <v>2015</v>
      </c>
      <c r="AJ57" s="39" t="n">
        <f aca="false">PR_PH(AJ$2,$A57)</f>
        <v>2015</v>
      </c>
      <c r="AK57" s="39" t="n">
        <f aca="false">PR_PH(AK$2,$A57)</f>
        <v>2015</v>
      </c>
      <c r="AL57" s="39" t="n">
        <f aca="false">PR_PH(AL$2,$A57)</f>
        <v>2015</v>
      </c>
      <c r="AM57" s="39" t="n">
        <f aca="false">PR_PH(AM$2,$A57)</f>
        <v>2015</v>
      </c>
      <c r="AN57" s="39" t="n">
        <f aca="false">PR_PH(AN$2,$A57)</f>
        <v>2015</v>
      </c>
      <c r="AO57" s="39" t="n">
        <f aca="false">PR_PH(AO$2,$A57)</f>
        <v>2015</v>
      </c>
      <c r="AP57" s="39" t="n">
        <f aca="false">PR_PH(AP$2,$A57)</f>
        <v>2015</v>
      </c>
      <c r="AQ57" s="39" t="n">
        <f aca="false">PR_PH(AQ$2,$A57)</f>
        <v>2015</v>
      </c>
    </row>
    <row r="58" customFormat="false" ht="13.8" hidden="false" customHeight="false" outlineLevel="0" collapsed="false">
      <c r="A58" s="0" t="n">
        <v>2180</v>
      </c>
      <c r="B58" s="39" t="n">
        <f aca="false">PR_PH(B$2,$A58)</f>
        <v>2015</v>
      </c>
      <c r="C58" s="39" t="n">
        <f aca="false">PR_PH(C$2,$A58)</f>
        <v>2015</v>
      </c>
      <c r="D58" s="39" t="n">
        <f aca="false">PR_PH(D$2,$A58)</f>
        <v>2015</v>
      </c>
      <c r="E58" s="39" t="n">
        <f aca="false">PR_PH(E$2,$A58)</f>
        <v>2015</v>
      </c>
      <c r="F58" s="39" t="n">
        <f aca="false">PR_PH(F$2,$A58)</f>
        <v>2015</v>
      </c>
      <c r="G58" s="39" t="n">
        <f aca="false">PR_PH(G$2,$A58)</f>
        <v>2015</v>
      </c>
      <c r="H58" s="39" t="n">
        <f aca="false">PR_PH(H$2,$A58)</f>
        <v>2015</v>
      </c>
      <c r="I58" s="39" t="n">
        <f aca="false">PR_PH(I$2,$A58)</f>
        <v>2015</v>
      </c>
      <c r="J58" s="39" t="n">
        <f aca="false">PR_PH(J$2,$A58)</f>
        <v>2015</v>
      </c>
      <c r="K58" s="39" t="n">
        <f aca="false">PR_PH(K$2,$A58)</f>
        <v>2015</v>
      </c>
      <c r="L58" s="39" t="n">
        <f aca="false">PR_PH(L$2,$A58)</f>
        <v>2015</v>
      </c>
      <c r="M58" s="39" t="n">
        <f aca="false">PR_PH(M$2,$A58)</f>
        <v>2015</v>
      </c>
      <c r="N58" s="39" t="n">
        <f aca="false">PR_PH(N$2,$A58)</f>
        <v>2015</v>
      </c>
      <c r="O58" s="39" t="n">
        <f aca="false">PR_PH(O$2,$A58)</f>
        <v>2015</v>
      </c>
      <c r="P58" s="39" t="n">
        <f aca="false">PR_PH(P$2,$A58)</f>
        <v>2015</v>
      </c>
      <c r="Q58" s="39" t="n">
        <f aca="false">PR_PH(Q$2,$A58)</f>
        <v>2015</v>
      </c>
      <c r="R58" s="39" t="n">
        <f aca="false">PR_PH(R$2,$A58)</f>
        <v>2015</v>
      </c>
      <c r="S58" s="39" t="n">
        <f aca="false">PR_PH(S$2,$A58)</f>
        <v>2015</v>
      </c>
      <c r="T58" s="39" t="n">
        <f aca="false">PR_PH(T$2,$A58)</f>
        <v>2015</v>
      </c>
      <c r="U58" s="39" t="n">
        <f aca="false">PR_PH(U$2,$A58)</f>
        <v>2015</v>
      </c>
      <c r="V58" s="39" t="n">
        <f aca="false">PR_PH(V$2,$A58)</f>
        <v>2015</v>
      </c>
      <c r="W58" s="39" t="n">
        <f aca="false">PR_PH(W$2,$A58)</f>
        <v>2015</v>
      </c>
      <c r="X58" s="39" t="n">
        <f aca="false">PR_PH(X$2,$A58)</f>
        <v>2015</v>
      </c>
      <c r="Y58" s="39" t="n">
        <f aca="false">PR_PH(Y$2,$A58)</f>
        <v>2015</v>
      </c>
      <c r="Z58" s="39" t="n">
        <f aca="false">PR_PH(Z$2,$A58)</f>
        <v>2015</v>
      </c>
      <c r="AA58" s="39" t="n">
        <f aca="false">PR_PH(AA$2,$A58)</f>
        <v>2015</v>
      </c>
      <c r="AB58" s="39" t="n">
        <f aca="false">PR_PH(AB$2,$A58)</f>
        <v>2015</v>
      </c>
      <c r="AC58" s="39" t="n">
        <f aca="false">PR_PH(AC$2,$A58)</f>
        <v>2015</v>
      </c>
      <c r="AD58" s="39" t="n">
        <f aca="false">PR_PH(AD$2,$A58)</f>
        <v>2015</v>
      </c>
      <c r="AE58" s="39" t="n">
        <f aca="false">PR_PH(AE$2,$A58)</f>
        <v>2015</v>
      </c>
      <c r="AF58" s="39" t="n">
        <f aca="false">PR_PH(AF$2,$A58)</f>
        <v>2015</v>
      </c>
      <c r="AG58" s="39" t="n">
        <f aca="false">PR_PH(AG$2,$A58)</f>
        <v>2015</v>
      </c>
      <c r="AH58" s="39" t="n">
        <f aca="false">PR_PH(AH$2,$A58)</f>
        <v>2015</v>
      </c>
      <c r="AI58" s="39" t="n">
        <f aca="false">PR_PH(AI$2,$A58)</f>
        <v>2015</v>
      </c>
      <c r="AJ58" s="39" t="n">
        <f aca="false">PR_PH(AJ$2,$A58)</f>
        <v>2015</v>
      </c>
      <c r="AK58" s="39" t="n">
        <f aca="false">PR_PH(AK$2,$A58)</f>
        <v>2015</v>
      </c>
      <c r="AL58" s="39" t="n">
        <f aca="false">PR_PH(AL$2,$A58)</f>
        <v>2015</v>
      </c>
      <c r="AM58" s="39" t="n">
        <f aca="false">PR_PH(AM$2,$A58)</f>
        <v>2015</v>
      </c>
      <c r="AN58" s="39" t="n">
        <f aca="false">PR_PH(AN$2,$A58)</f>
        <v>2015</v>
      </c>
      <c r="AO58" s="39" t="n">
        <f aca="false">PR_PH(AO$2,$A58)</f>
        <v>2015</v>
      </c>
      <c r="AP58" s="39" t="n">
        <f aca="false">PR_PH(AP$2,$A58)</f>
        <v>2015</v>
      </c>
      <c r="AQ58" s="39" t="n">
        <f aca="false">PR_PH(AQ$2,$A58)</f>
        <v>2015</v>
      </c>
    </row>
    <row r="59" customFormat="false" ht="13.8" hidden="false" customHeight="false" outlineLevel="0" collapsed="false">
      <c r="A59" s="0" t="n">
        <v>2190</v>
      </c>
      <c r="B59" s="39" t="n">
        <f aca="false">PR_PH(B$2,$A59)</f>
        <v>2015</v>
      </c>
      <c r="C59" s="39" t="n">
        <f aca="false">PR_PH(C$2,$A59)</f>
        <v>2015</v>
      </c>
      <c r="D59" s="39" t="n">
        <f aca="false">PR_PH(D$2,$A59)</f>
        <v>2015</v>
      </c>
      <c r="E59" s="39" t="n">
        <f aca="false">PR_PH(E$2,$A59)</f>
        <v>2015</v>
      </c>
      <c r="F59" s="39" t="n">
        <f aca="false">PR_PH(F$2,$A59)</f>
        <v>2015</v>
      </c>
      <c r="G59" s="39" t="n">
        <f aca="false">PR_PH(G$2,$A59)</f>
        <v>2015</v>
      </c>
      <c r="H59" s="39" t="n">
        <f aca="false">PR_PH(H$2,$A59)</f>
        <v>2015</v>
      </c>
      <c r="I59" s="39" t="n">
        <f aca="false">PR_PH(I$2,$A59)</f>
        <v>2015</v>
      </c>
      <c r="J59" s="39" t="n">
        <f aca="false">PR_PH(J$2,$A59)</f>
        <v>2015</v>
      </c>
      <c r="K59" s="39" t="n">
        <f aca="false">PR_PH(K$2,$A59)</f>
        <v>2015</v>
      </c>
      <c r="L59" s="39" t="n">
        <f aca="false">PR_PH(L$2,$A59)</f>
        <v>2015</v>
      </c>
      <c r="M59" s="39" t="n">
        <f aca="false">PR_PH(M$2,$A59)</f>
        <v>2015</v>
      </c>
      <c r="N59" s="39" t="n">
        <f aca="false">PR_PH(N$2,$A59)</f>
        <v>2015</v>
      </c>
      <c r="O59" s="39" t="n">
        <f aca="false">PR_PH(O$2,$A59)</f>
        <v>2015</v>
      </c>
      <c r="P59" s="39" t="n">
        <f aca="false">PR_PH(P$2,$A59)</f>
        <v>2015</v>
      </c>
      <c r="Q59" s="39" t="n">
        <f aca="false">PR_PH(Q$2,$A59)</f>
        <v>2015</v>
      </c>
      <c r="R59" s="39" t="n">
        <f aca="false">PR_PH(R$2,$A59)</f>
        <v>2015</v>
      </c>
      <c r="S59" s="39" t="n">
        <f aca="false">PR_PH(S$2,$A59)</f>
        <v>2015</v>
      </c>
      <c r="T59" s="39" t="n">
        <f aca="false">PR_PH(T$2,$A59)</f>
        <v>2015</v>
      </c>
      <c r="U59" s="39" t="n">
        <f aca="false">PR_PH(U$2,$A59)</f>
        <v>2015</v>
      </c>
      <c r="V59" s="39" t="n">
        <f aca="false">PR_PH(V$2,$A59)</f>
        <v>2015</v>
      </c>
      <c r="W59" s="39" t="n">
        <f aca="false">PR_PH(W$2,$A59)</f>
        <v>2015</v>
      </c>
      <c r="X59" s="39" t="n">
        <f aca="false">PR_PH(X$2,$A59)</f>
        <v>2015</v>
      </c>
      <c r="Y59" s="39" t="n">
        <f aca="false">PR_PH(Y$2,$A59)</f>
        <v>2015</v>
      </c>
      <c r="Z59" s="39" t="n">
        <f aca="false">PR_PH(Z$2,$A59)</f>
        <v>2015</v>
      </c>
      <c r="AA59" s="39" t="n">
        <f aca="false">PR_PH(AA$2,$A59)</f>
        <v>2015</v>
      </c>
      <c r="AB59" s="39" t="n">
        <f aca="false">PR_PH(AB$2,$A59)</f>
        <v>2015</v>
      </c>
      <c r="AC59" s="39" t="n">
        <f aca="false">PR_PH(AC$2,$A59)</f>
        <v>2015</v>
      </c>
      <c r="AD59" s="39" t="n">
        <f aca="false">PR_PH(AD$2,$A59)</f>
        <v>2015</v>
      </c>
      <c r="AE59" s="39" t="n">
        <f aca="false">PR_PH(AE$2,$A59)</f>
        <v>2015</v>
      </c>
      <c r="AF59" s="39" t="n">
        <f aca="false">PR_PH(AF$2,$A59)</f>
        <v>2015</v>
      </c>
      <c r="AG59" s="39" t="n">
        <f aca="false">PR_PH(AG$2,$A59)</f>
        <v>2015</v>
      </c>
      <c r="AH59" s="39" t="n">
        <f aca="false">PR_PH(AH$2,$A59)</f>
        <v>2015</v>
      </c>
      <c r="AI59" s="39" t="n">
        <f aca="false">PR_PH(AI$2,$A59)</f>
        <v>2015</v>
      </c>
      <c r="AJ59" s="39" t="n">
        <f aca="false">PR_PH(AJ$2,$A59)</f>
        <v>2015</v>
      </c>
      <c r="AK59" s="39" t="n">
        <f aca="false">PR_PH(AK$2,$A59)</f>
        <v>2015</v>
      </c>
      <c r="AL59" s="39" t="n">
        <f aca="false">PR_PH(AL$2,$A59)</f>
        <v>2015</v>
      </c>
      <c r="AM59" s="39" t="n">
        <f aca="false">PR_PH(AM$2,$A59)</f>
        <v>2015</v>
      </c>
      <c r="AN59" s="39" t="n">
        <f aca="false">PR_PH(AN$2,$A59)</f>
        <v>2015</v>
      </c>
      <c r="AO59" s="39" t="n">
        <f aca="false">PR_PH(AO$2,$A59)</f>
        <v>2015</v>
      </c>
      <c r="AP59" s="39" t="n">
        <f aca="false">PR_PH(AP$2,$A59)</f>
        <v>2015</v>
      </c>
      <c r="AQ59" s="39" t="n">
        <f aca="false">PR_PH(AQ$2,$A59)</f>
        <v>2015</v>
      </c>
    </row>
    <row r="60" customFormat="false" ht="13.8" hidden="false" customHeight="false" outlineLevel="0" collapsed="false">
      <c r="A60" s="0" t="n">
        <v>2200</v>
      </c>
      <c r="B60" s="39" t="n">
        <f aca="false">PR_PH(B$2,$A60)</f>
        <v>2015</v>
      </c>
      <c r="C60" s="39" t="n">
        <f aca="false">PR_PH(C$2,$A60)</f>
        <v>2015</v>
      </c>
      <c r="D60" s="39" t="n">
        <f aca="false">PR_PH(D$2,$A60)</f>
        <v>2015</v>
      </c>
      <c r="E60" s="39" t="n">
        <f aca="false">PR_PH(E$2,$A60)</f>
        <v>2015</v>
      </c>
      <c r="F60" s="39" t="n">
        <f aca="false">PR_PH(F$2,$A60)</f>
        <v>2015</v>
      </c>
      <c r="G60" s="39" t="n">
        <f aca="false">PR_PH(G$2,$A60)</f>
        <v>2015</v>
      </c>
      <c r="H60" s="39" t="n">
        <f aca="false">PR_PH(H$2,$A60)</f>
        <v>2015</v>
      </c>
      <c r="I60" s="39" t="n">
        <f aca="false">PR_PH(I$2,$A60)</f>
        <v>2015</v>
      </c>
      <c r="J60" s="39" t="n">
        <f aca="false">PR_PH(J$2,$A60)</f>
        <v>2015</v>
      </c>
      <c r="K60" s="39" t="n">
        <f aca="false">PR_PH(K$2,$A60)</f>
        <v>2015</v>
      </c>
      <c r="L60" s="39" t="n">
        <f aca="false">PR_PH(L$2,$A60)</f>
        <v>2015</v>
      </c>
      <c r="M60" s="39" t="n">
        <f aca="false">PR_PH(M$2,$A60)</f>
        <v>2015</v>
      </c>
      <c r="N60" s="39" t="n">
        <f aca="false">PR_PH(N$2,$A60)</f>
        <v>2015</v>
      </c>
      <c r="O60" s="39" t="n">
        <f aca="false">PR_PH(O$2,$A60)</f>
        <v>2015</v>
      </c>
      <c r="P60" s="39" t="n">
        <f aca="false">PR_PH(P$2,$A60)</f>
        <v>2015</v>
      </c>
      <c r="Q60" s="39" t="n">
        <f aca="false">PR_PH(Q$2,$A60)</f>
        <v>2015</v>
      </c>
      <c r="R60" s="39" t="n">
        <f aca="false">PR_PH(R$2,$A60)</f>
        <v>2015</v>
      </c>
      <c r="S60" s="39" t="n">
        <f aca="false">PR_PH(S$2,$A60)</f>
        <v>2015</v>
      </c>
      <c r="T60" s="39" t="n">
        <f aca="false">PR_PH(T$2,$A60)</f>
        <v>2015</v>
      </c>
      <c r="U60" s="39" t="n">
        <f aca="false">PR_PH(U$2,$A60)</f>
        <v>2015</v>
      </c>
      <c r="V60" s="39" t="n">
        <f aca="false">PR_PH(V$2,$A60)</f>
        <v>2015</v>
      </c>
      <c r="W60" s="39" t="n">
        <f aca="false">PR_PH(W$2,$A60)</f>
        <v>2015</v>
      </c>
      <c r="X60" s="39" t="n">
        <f aca="false">PR_PH(X$2,$A60)</f>
        <v>2015</v>
      </c>
      <c r="Y60" s="39" t="n">
        <f aca="false">PR_PH(Y$2,$A60)</f>
        <v>2015</v>
      </c>
      <c r="Z60" s="39" t="n">
        <f aca="false">PR_PH(Z$2,$A60)</f>
        <v>2015</v>
      </c>
      <c r="AA60" s="39" t="n">
        <f aca="false">PR_PH(AA$2,$A60)</f>
        <v>2015</v>
      </c>
      <c r="AB60" s="39" t="n">
        <f aca="false">PR_PH(AB$2,$A60)</f>
        <v>2015</v>
      </c>
      <c r="AC60" s="39" t="n">
        <f aca="false">PR_PH(AC$2,$A60)</f>
        <v>2015</v>
      </c>
      <c r="AD60" s="39" t="n">
        <f aca="false">PR_PH(AD$2,$A60)</f>
        <v>2015</v>
      </c>
      <c r="AE60" s="39" t="n">
        <f aca="false">PR_PH(AE$2,$A60)</f>
        <v>2015</v>
      </c>
      <c r="AF60" s="39" t="n">
        <f aca="false">PR_PH(AF$2,$A60)</f>
        <v>2015</v>
      </c>
      <c r="AG60" s="39" t="n">
        <f aca="false">PR_PH(AG$2,$A60)</f>
        <v>2015</v>
      </c>
      <c r="AH60" s="39" t="n">
        <f aca="false">PR_PH(AH$2,$A60)</f>
        <v>2015</v>
      </c>
      <c r="AI60" s="39" t="n">
        <f aca="false">PR_PH(AI$2,$A60)</f>
        <v>2015</v>
      </c>
      <c r="AJ60" s="39" t="n">
        <f aca="false">PR_PH(AJ$2,$A60)</f>
        <v>2015</v>
      </c>
      <c r="AK60" s="39" t="n">
        <f aca="false">PR_PH(AK$2,$A60)</f>
        <v>2015</v>
      </c>
      <c r="AL60" s="39" t="n">
        <f aca="false">PR_PH(AL$2,$A60)</f>
        <v>2015</v>
      </c>
      <c r="AM60" s="39" t="n">
        <f aca="false">PR_PH(AM$2,$A60)</f>
        <v>2015</v>
      </c>
      <c r="AN60" s="39" t="n">
        <f aca="false">PR_PH(AN$2,$A60)</f>
        <v>2015</v>
      </c>
      <c r="AO60" s="39" t="n">
        <f aca="false">PR_PH(AO$2,$A60)</f>
        <v>2015</v>
      </c>
      <c r="AP60" s="39" t="n">
        <f aca="false">PR_PH(AP$2,$A60)</f>
        <v>2015</v>
      </c>
      <c r="AQ60" s="39" t="n">
        <f aca="false">PR_PH(AQ$2,$A60)</f>
        <v>2015</v>
      </c>
    </row>
    <row r="61" customFormat="false" ht="13.8" hidden="false" customHeight="false" outlineLevel="0" collapsed="false">
      <c r="A61" s="0" t="n">
        <v>2210</v>
      </c>
      <c r="B61" s="39" t="n">
        <f aca="false">PR_PH(B$2,$A61)</f>
        <v>2015</v>
      </c>
      <c r="C61" s="39" t="n">
        <f aca="false">PR_PH(C$2,$A61)</f>
        <v>2015</v>
      </c>
      <c r="D61" s="39" t="n">
        <f aca="false">PR_PH(D$2,$A61)</f>
        <v>2015</v>
      </c>
      <c r="E61" s="39" t="n">
        <f aca="false">PR_PH(E$2,$A61)</f>
        <v>2015</v>
      </c>
      <c r="F61" s="39" t="n">
        <f aca="false">PR_PH(F$2,$A61)</f>
        <v>2015</v>
      </c>
      <c r="G61" s="39" t="n">
        <f aca="false">PR_PH(G$2,$A61)</f>
        <v>2015</v>
      </c>
      <c r="H61" s="39" t="n">
        <f aca="false">PR_PH(H$2,$A61)</f>
        <v>2015</v>
      </c>
      <c r="I61" s="39" t="n">
        <f aca="false">PR_PH(I$2,$A61)</f>
        <v>2015</v>
      </c>
      <c r="J61" s="39" t="n">
        <f aca="false">PR_PH(J$2,$A61)</f>
        <v>2015</v>
      </c>
      <c r="K61" s="39" t="n">
        <f aca="false">PR_PH(K$2,$A61)</f>
        <v>2015</v>
      </c>
      <c r="L61" s="39" t="n">
        <f aca="false">PR_PH(L$2,$A61)</f>
        <v>2015</v>
      </c>
      <c r="M61" s="39" t="n">
        <f aca="false">PR_PH(M$2,$A61)</f>
        <v>2015</v>
      </c>
      <c r="N61" s="39" t="n">
        <f aca="false">PR_PH(N$2,$A61)</f>
        <v>2015</v>
      </c>
      <c r="O61" s="39" t="n">
        <f aca="false">PR_PH(O$2,$A61)</f>
        <v>2015</v>
      </c>
      <c r="P61" s="39" t="n">
        <f aca="false">PR_PH(P$2,$A61)</f>
        <v>2015</v>
      </c>
      <c r="Q61" s="39" t="n">
        <f aca="false">PR_PH(Q$2,$A61)</f>
        <v>2015</v>
      </c>
      <c r="R61" s="39" t="n">
        <f aca="false">PR_PH(R$2,$A61)</f>
        <v>2015</v>
      </c>
      <c r="S61" s="39" t="n">
        <f aca="false">PR_PH(S$2,$A61)</f>
        <v>2015</v>
      </c>
      <c r="T61" s="39" t="n">
        <f aca="false">PR_PH(T$2,$A61)</f>
        <v>2015</v>
      </c>
      <c r="U61" s="39" t="n">
        <f aca="false">PR_PH(U$2,$A61)</f>
        <v>2015</v>
      </c>
      <c r="V61" s="39" t="n">
        <f aca="false">PR_PH(V$2,$A61)</f>
        <v>2015</v>
      </c>
      <c r="W61" s="39" t="n">
        <f aca="false">PR_PH(W$2,$A61)</f>
        <v>2015</v>
      </c>
      <c r="X61" s="39" t="n">
        <f aca="false">PR_PH(X$2,$A61)</f>
        <v>2015</v>
      </c>
      <c r="Y61" s="39" t="n">
        <f aca="false">PR_PH(Y$2,$A61)</f>
        <v>2015</v>
      </c>
      <c r="Z61" s="39" t="n">
        <f aca="false">PR_PH(Z$2,$A61)</f>
        <v>2015</v>
      </c>
      <c r="AA61" s="39" t="n">
        <f aca="false">PR_PH(AA$2,$A61)</f>
        <v>2015</v>
      </c>
      <c r="AB61" s="39" t="n">
        <f aca="false">PR_PH(AB$2,$A61)</f>
        <v>2015</v>
      </c>
      <c r="AC61" s="39" t="n">
        <f aca="false">PR_PH(AC$2,$A61)</f>
        <v>2015</v>
      </c>
      <c r="AD61" s="39" t="n">
        <f aca="false">PR_PH(AD$2,$A61)</f>
        <v>2015</v>
      </c>
      <c r="AE61" s="39" t="n">
        <f aca="false">PR_PH(AE$2,$A61)</f>
        <v>2015</v>
      </c>
      <c r="AF61" s="39" t="n">
        <f aca="false">PR_PH(AF$2,$A61)</f>
        <v>2015</v>
      </c>
      <c r="AG61" s="39" t="n">
        <f aca="false">PR_PH(AG$2,$A61)</f>
        <v>2015</v>
      </c>
      <c r="AH61" s="39" t="n">
        <f aca="false">PR_PH(AH$2,$A61)</f>
        <v>2015</v>
      </c>
      <c r="AI61" s="39" t="n">
        <f aca="false">PR_PH(AI$2,$A61)</f>
        <v>2015</v>
      </c>
      <c r="AJ61" s="39" t="n">
        <f aca="false">PR_PH(AJ$2,$A61)</f>
        <v>2015</v>
      </c>
      <c r="AK61" s="39" t="n">
        <f aca="false">PR_PH(AK$2,$A61)</f>
        <v>2015</v>
      </c>
      <c r="AL61" s="39" t="n">
        <f aca="false">PR_PH(AL$2,$A61)</f>
        <v>2015</v>
      </c>
      <c r="AM61" s="39" t="n">
        <f aca="false">PR_PH(AM$2,$A61)</f>
        <v>2015</v>
      </c>
      <c r="AN61" s="39" t="n">
        <f aca="false">PR_PH(AN$2,$A61)</f>
        <v>2015</v>
      </c>
      <c r="AO61" s="39" t="n">
        <f aca="false">PR_PH(AO$2,$A61)</f>
        <v>2015</v>
      </c>
      <c r="AP61" s="39" t="n">
        <f aca="false">PR_PH(AP$2,$A61)</f>
        <v>2015</v>
      </c>
      <c r="AQ61" s="39" t="n">
        <f aca="false">PR_PH(AQ$2,$A61)</f>
        <v>2015</v>
      </c>
    </row>
    <row r="62" customFormat="false" ht="13.8" hidden="false" customHeight="false" outlineLevel="0" collapsed="false">
      <c r="A62" s="0" t="n">
        <v>2220</v>
      </c>
      <c r="B62" s="39" t="n">
        <f aca="false">PR_PH(B$2,$A62)</f>
        <v>2015</v>
      </c>
      <c r="C62" s="39" t="n">
        <f aca="false">PR_PH(C$2,$A62)</f>
        <v>2015</v>
      </c>
      <c r="D62" s="39" t="n">
        <f aca="false">PR_PH(D$2,$A62)</f>
        <v>2015</v>
      </c>
      <c r="E62" s="39" t="n">
        <f aca="false">PR_PH(E$2,$A62)</f>
        <v>2015</v>
      </c>
      <c r="F62" s="39" t="n">
        <f aca="false">PR_PH(F$2,$A62)</f>
        <v>2015</v>
      </c>
      <c r="G62" s="39" t="n">
        <f aca="false">PR_PH(G$2,$A62)</f>
        <v>2015</v>
      </c>
      <c r="H62" s="39" t="n">
        <f aca="false">PR_PH(H$2,$A62)</f>
        <v>2015</v>
      </c>
      <c r="I62" s="39" t="n">
        <f aca="false">PR_PH(I$2,$A62)</f>
        <v>2015</v>
      </c>
      <c r="J62" s="39" t="n">
        <f aca="false">PR_PH(J$2,$A62)</f>
        <v>2015</v>
      </c>
      <c r="K62" s="39" t="n">
        <f aca="false">PR_PH(K$2,$A62)</f>
        <v>2015</v>
      </c>
      <c r="L62" s="39" t="n">
        <f aca="false">PR_PH(L$2,$A62)</f>
        <v>2015</v>
      </c>
      <c r="M62" s="39" t="n">
        <f aca="false">PR_PH(M$2,$A62)</f>
        <v>2015</v>
      </c>
      <c r="N62" s="39" t="n">
        <f aca="false">PR_PH(N$2,$A62)</f>
        <v>2015</v>
      </c>
      <c r="O62" s="39" t="n">
        <f aca="false">PR_PH(O$2,$A62)</f>
        <v>2015</v>
      </c>
      <c r="P62" s="39" t="n">
        <f aca="false">PR_PH(P$2,$A62)</f>
        <v>2015</v>
      </c>
      <c r="Q62" s="39" t="n">
        <f aca="false">PR_PH(Q$2,$A62)</f>
        <v>2015</v>
      </c>
      <c r="R62" s="39" t="n">
        <f aca="false">PR_PH(R$2,$A62)</f>
        <v>2015</v>
      </c>
      <c r="S62" s="39" t="n">
        <f aca="false">PR_PH(S$2,$A62)</f>
        <v>2015</v>
      </c>
      <c r="T62" s="39" t="n">
        <f aca="false">PR_PH(T$2,$A62)</f>
        <v>2015</v>
      </c>
      <c r="U62" s="39" t="n">
        <f aca="false">PR_PH(U$2,$A62)</f>
        <v>2015</v>
      </c>
      <c r="V62" s="39" t="n">
        <f aca="false">PR_PH(V$2,$A62)</f>
        <v>2015</v>
      </c>
      <c r="W62" s="39" t="n">
        <f aca="false">PR_PH(W$2,$A62)</f>
        <v>2015</v>
      </c>
      <c r="X62" s="39" t="n">
        <f aca="false">PR_PH(X$2,$A62)</f>
        <v>2015</v>
      </c>
      <c r="Y62" s="39" t="n">
        <f aca="false">PR_PH(Y$2,$A62)</f>
        <v>2015</v>
      </c>
      <c r="Z62" s="39" t="n">
        <f aca="false">PR_PH(Z$2,$A62)</f>
        <v>2015</v>
      </c>
      <c r="AA62" s="39" t="n">
        <f aca="false">PR_PH(AA$2,$A62)</f>
        <v>2015</v>
      </c>
      <c r="AB62" s="39" t="n">
        <f aca="false">PR_PH(AB$2,$A62)</f>
        <v>2015</v>
      </c>
      <c r="AC62" s="39" t="n">
        <f aca="false">PR_PH(AC$2,$A62)</f>
        <v>2015</v>
      </c>
      <c r="AD62" s="39" t="n">
        <f aca="false">PR_PH(AD$2,$A62)</f>
        <v>2015</v>
      </c>
      <c r="AE62" s="39" t="n">
        <f aca="false">PR_PH(AE$2,$A62)</f>
        <v>2015</v>
      </c>
      <c r="AF62" s="39" t="n">
        <f aca="false">PR_PH(AF$2,$A62)</f>
        <v>2015</v>
      </c>
      <c r="AG62" s="39" t="n">
        <f aca="false">PR_PH(AG$2,$A62)</f>
        <v>2015</v>
      </c>
      <c r="AH62" s="39" t="n">
        <f aca="false">PR_PH(AH$2,$A62)</f>
        <v>2015</v>
      </c>
      <c r="AI62" s="39" t="n">
        <f aca="false">PR_PH(AI$2,$A62)</f>
        <v>2015</v>
      </c>
      <c r="AJ62" s="39" t="n">
        <f aca="false">PR_PH(AJ$2,$A62)</f>
        <v>2015</v>
      </c>
      <c r="AK62" s="39" t="n">
        <f aca="false">PR_PH(AK$2,$A62)</f>
        <v>2015</v>
      </c>
      <c r="AL62" s="39" t="n">
        <f aca="false">PR_PH(AL$2,$A62)</f>
        <v>2015</v>
      </c>
      <c r="AM62" s="39" t="n">
        <f aca="false">PR_PH(AM$2,$A62)</f>
        <v>2015</v>
      </c>
      <c r="AN62" s="39" t="n">
        <f aca="false">PR_PH(AN$2,$A62)</f>
        <v>2015</v>
      </c>
      <c r="AO62" s="39" t="n">
        <f aca="false">PR_PH(AO$2,$A62)</f>
        <v>2015</v>
      </c>
      <c r="AP62" s="39" t="n">
        <f aca="false">PR_PH(AP$2,$A62)</f>
        <v>2015</v>
      </c>
      <c r="AQ62" s="39" t="n">
        <f aca="false">PR_PH(AQ$2,$A62)</f>
        <v>2015</v>
      </c>
    </row>
    <row r="63" customFormat="false" ht="13.8" hidden="false" customHeight="false" outlineLevel="0" collapsed="false">
      <c r="A63" s="0" t="n">
        <v>2230</v>
      </c>
      <c r="B63" s="39" t="n">
        <f aca="false">PR_PH(B$2,$A63)</f>
        <v>2015</v>
      </c>
      <c r="C63" s="39" t="n">
        <f aca="false">PR_PH(C$2,$A63)</f>
        <v>2015</v>
      </c>
      <c r="D63" s="39" t="n">
        <f aca="false">PR_PH(D$2,$A63)</f>
        <v>2015</v>
      </c>
      <c r="E63" s="39" t="n">
        <f aca="false">PR_PH(E$2,$A63)</f>
        <v>2015</v>
      </c>
      <c r="F63" s="39" t="n">
        <f aca="false">PR_PH(F$2,$A63)</f>
        <v>2015</v>
      </c>
      <c r="G63" s="39" t="n">
        <f aca="false">PR_PH(G$2,$A63)</f>
        <v>2015</v>
      </c>
      <c r="H63" s="39" t="n">
        <f aca="false">PR_PH(H$2,$A63)</f>
        <v>2015</v>
      </c>
      <c r="I63" s="39" t="n">
        <f aca="false">PR_PH(I$2,$A63)</f>
        <v>2015</v>
      </c>
      <c r="J63" s="39" t="n">
        <f aca="false">PR_PH(J$2,$A63)</f>
        <v>2015</v>
      </c>
      <c r="K63" s="39" t="n">
        <f aca="false">PR_PH(K$2,$A63)</f>
        <v>2015</v>
      </c>
      <c r="L63" s="39" t="n">
        <f aca="false">PR_PH(L$2,$A63)</f>
        <v>2015</v>
      </c>
      <c r="M63" s="39" t="n">
        <f aca="false">PR_PH(M$2,$A63)</f>
        <v>2015</v>
      </c>
      <c r="N63" s="39" t="n">
        <f aca="false">PR_PH(N$2,$A63)</f>
        <v>2015</v>
      </c>
      <c r="O63" s="39" t="n">
        <f aca="false">PR_PH(O$2,$A63)</f>
        <v>2015</v>
      </c>
      <c r="P63" s="39" t="n">
        <f aca="false">PR_PH(P$2,$A63)</f>
        <v>2015</v>
      </c>
      <c r="Q63" s="39" t="n">
        <f aca="false">PR_PH(Q$2,$A63)</f>
        <v>2015</v>
      </c>
      <c r="R63" s="39" t="n">
        <f aca="false">PR_PH(R$2,$A63)</f>
        <v>2015</v>
      </c>
      <c r="S63" s="39" t="n">
        <f aca="false">PR_PH(S$2,$A63)</f>
        <v>2015</v>
      </c>
      <c r="T63" s="39" t="n">
        <f aca="false">PR_PH(T$2,$A63)</f>
        <v>2015</v>
      </c>
      <c r="U63" s="39" t="n">
        <f aca="false">PR_PH(U$2,$A63)</f>
        <v>2015</v>
      </c>
      <c r="V63" s="39" t="n">
        <f aca="false">PR_PH(V$2,$A63)</f>
        <v>2015</v>
      </c>
      <c r="W63" s="39" t="n">
        <f aca="false">PR_PH(W$2,$A63)</f>
        <v>2015</v>
      </c>
      <c r="X63" s="39" t="n">
        <f aca="false">PR_PH(X$2,$A63)</f>
        <v>2015</v>
      </c>
      <c r="Y63" s="39" t="n">
        <f aca="false">PR_PH(Y$2,$A63)</f>
        <v>2015</v>
      </c>
      <c r="Z63" s="39" t="n">
        <f aca="false">PR_PH(Z$2,$A63)</f>
        <v>2015</v>
      </c>
      <c r="AA63" s="39" t="n">
        <f aca="false">PR_PH(AA$2,$A63)</f>
        <v>2015</v>
      </c>
      <c r="AB63" s="39" t="n">
        <f aca="false">PR_PH(AB$2,$A63)</f>
        <v>2015</v>
      </c>
      <c r="AC63" s="39" t="n">
        <f aca="false">PR_PH(AC$2,$A63)</f>
        <v>2015</v>
      </c>
      <c r="AD63" s="39" t="n">
        <f aca="false">PR_PH(AD$2,$A63)</f>
        <v>2015</v>
      </c>
      <c r="AE63" s="39" t="n">
        <f aca="false">PR_PH(AE$2,$A63)</f>
        <v>2015</v>
      </c>
      <c r="AF63" s="39" t="n">
        <f aca="false">PR_PH(AF$2,$A63)</f>
        <v>2015</v>
      </c>
      <c r="AG63" s="39" t="n">
        <f aca="false">PR_PH(AG$2,$A63)</f>
        <v>2015</v>
      </c>
      <c r="AH63" s="39" t="n">
        <f aca="false">PR_PH(AH$2,$A63)</f>
        <v>2015</v>
      </c>
      <c r="AI63" s="39" t="n">
        <f aca="false">PR_PH(AI$2,$A63)</f>
        <v>2015</v>
      </c>
      <c r="AJ63" s="39" t="n">
        <f aca="false">PR_PH(AJ$2,$A63)</f>
        <v>2015</v>
      </c>
      <c r="AK63" s="39" t="n">
        <f aca="false">PR_PH(AK$2,$A63)</f>
        <v>2015</v>
      </c>
      <c r="AL63" s="39" t="n">
        <f aca="false">PR_PH(AL$2,$A63)</f>
        <v>2015</v>
      </c>
      <c r="AM63" s="39" t="n">
        <f aca="false">PR_PH(AM$2,$A63)</f>
        <v>2015</v>
      </c>
      <c r="AN63" s="39" t="n">
        <f aca="false">PR_PH(AN$2,$A63)</f>
        <v>2015</v>
      </c>
      <c r="AO63" s="39" t="n">
        <f aca="false">PR_PH(AO$2,$A63)</f>
        <v>2015</v>
      </c>
      <c r="AP63" s="39" t="n">
        <f aca="false">PR_PH(AP$2,$A63)</f>
        <v>2015</v>
      </c>
      <c r="AQ63" s="39" t="n">
        <f aca="false">PR_PH(AQ$2,$A63)</f>
        <v>2015</v>
      </c>
    </row>
    <row r="64" customFormat="false" ht="13.8" hidden="false" customHeight="false" outlineLevel="0" collapsed="false">
      <c r="A64" s="0" t="n">
        <v>2240</v>
      </c>
      <c r="B64" s="39" t="n">
        <f aca="false">PR_PH(B$2,$A64)</f>
        <v>2015</v>
      </c>
      <c r="C64" s="39" t="n">
        <f aca="false">PR_PH(C$2,$A64)</f>
        <v>2015</v>
      </c>
      <c r="D64" s="39" t="n">
        <f aca="false">PR_PH(D$2,$A64)</f>
        <v>2015</v>
      </c>
      <c r="E64" s="39" t="n">
        <f aca="false">PR_PH(E$2,$A64)</f>
        <v>2015</v>
      </c>
      <c r="F64" s="39" t="n">
        <f aca="false">PR_PH(F$2,$A64)</f>
        <v>2015</v>
      </c>
      <c r="G64" s="39" t="n">
        <f aca="false">PR_PH(G$2,$A64)</f>
        <v>2015</v>
      </c>
      <c r="H64" s="39" t="n">
        <f aca="false">PR_PH(H$2,$A64)</f>
        <v>2015</v>
      </c>
      <c r="I64" s="39" t="n">
        <f aca="false">PR_PH(I$2,$A64)</f>
        <v>2015</v>
      </c>
      <c r="J64" s="39" t="n">
        <f aca="false">PR_PH(J$2,$A64)</f>
        <v>2015</v>
      </c>
      <c r="K64" s="39" t="n">
        <f aca="false">PR_PH(K$2,$A64)</f>
        <v>2015</v>
      </c>
      <c r="L64" s="39" t="n">
        <f aca="false">PR_PH(L$2,$A64)</f>
        <v>2015</v>
      </c>
      <c r="M64" s="39" t="n">
        <f aca="false">PR_PH(M$2,$A64)</f>
        <v>2015</v>
      </c>
      <c r="N64" s="39" t="n">
        <f aca="false">PR_PH(N$2,$A64)</f>
        <v>2015</v>
      </c>
      <c r="O64" s="39" t="n">
        <f aca="false">PR_PH(O$2,$A64)</f>
        <v>2015</v>
      </c>
      <c r="P64" s="39" t="n">
        <f aca="false">PR_PH(P$2,$A64)</f>
        <v>2015</v>
      </c>
      <c r="Q64" s="39" t="n">
        <f aca="false">PR_PH(Q$2,$A64)</f>
        <v>2015</v>
      </c>
      <c r="R64" s="39" t="n">
        <f aca="false">PR_PH(R$2,$A64)</f>
        <v>2015</v>
      </c>
      <c r="S64" s="39" t="n">
        <f aca="false">PR_PH(S$2,$A64)</f>
        <v>2015</v>
      </c>
      <c r="T64" s="39" t="n">
        <f aca="false">PR_PH(T$2,$A64)</f>
        <v>2015</v>
      </c>
      <c r="U64" s="39" t="n">
        <f aca="false">PR_PH(U$2,$A64)</f>
        <v>2015</v>
      </c>
      <c r="V64" s="39" t="n">
        <f aca="false">PR_PH(V$2,$A64)</f>
        <v>2015</v>
      </c>
      <c r="W64" s="39" t="n">
        <f aca="false">PR_PH(W$2,$A64)</f>
        <v>2015</v>
      </c>
      <c r="X64" s="39" t="n">
        <f aca="false">PR_PH(X$2,$A64)</f>
        <v>2015</v>
      </c>
      <c r="Y64" s="39" t="n">
        <f aca="false">PR_PH(Y$2,$A64)</f>
        <v>2015</v>
      </c>
      <c r="Z64" s="39" t="n">
        <f aca="false">PR_PH(Z$2,$A64)</f>
        <v>2015</v>
      </c>
      <c r="AA64" s="39" t="n">
        <f aca="false">PR_PH(AA$2,$A64)</f>
        <v>2015</v>
      </c>
      <c r="AB64" s="39" t="n">
        <f aca="false">PR_PH(AB$2,$A64)</f>
        <v>2015</v>
      </c>
      <c r="AC64" s="39" t="n">
        <f aca="false">PR_PH(AC$2,$A64)</f>
        <v>2015</v>
      </c>
      <c r="AD64" s="39" t="n">
        <f aca="false">PR_PH(AD$2,$A64)</f>
        <v>2015</v>
      </c>
      <c r="AE64" s="39" t="n">
        <f aca="false">PR_PH(AE$2,$A64)</f>
        <v>2015</v>
      </c>
      <c r="AF64" s="39" t="n">
        <f aca="false">PR_PH(AF$2,$A64)</f>
        <v>2015</v>
      </c>
      <c r="AG64" s="39" t="n">
        <f aca="false">PR_PH(AG$2,$A64)</f>
        <v>2015</v>
      </c>
      <c r="AH64" s="39" t="n">
        <f aca="false">PR_PH(AH$2,$A64)</f>
        <v>2015</v>
      </c>
      <c r="AI64" s="39" t="n">
        <f aca="false">PR_PH(AI$2,$A64)</f>
        <v>2015</v>
      </c>
      <c r="AJ64" s="39" t="n">
        <f aca="false">PR_PH(AJ$2,$A64)</f>
        <v>2015</v>
      </c>
      <c r="AK64" s="39" t="n">
        <f aca="false">PR_PH(AK$2,$A64)</f>
        <v>2015</v>
      </c>
      <c r="AL64" s="39" t="n">
        <f aca="false">PR_PH(AL$2,$A64)</f>
        <v>2015</v>
      </c>
      <c r="AM64" s="39" t="n">
        <f aca="false">PR_PH(AM$2,$A64)</f>
        <v>2015</v>
      </c>
      <c r="AN64" s="39" t="n">
        <f aca="false">PR_PH(AN$2,$A64)</f>
        <v>2015</v>
      </c>
      <c r="AO64" s="39" t="n">
        <f aca="false">PR_PH(AO$2,$A64)</f>
        <v>2015</v>
      </c>
      <c r="AP64" s="39" t="n">
        <f aca="false">PR_PH(AP$2,$A64)</f>
        <v>2015</v>
      </c>
      <c r="AQ64" s="39" t="n">
        <f aca="false">PR_PH(AQ$2,$A64)</f>
        <v>2015</v>
      </c>
    </row>
    <row r="65" customFormat="false" ht="13.8" hidden="false" customHeight="false" outlineLevel="0" collapsed="false">
      <c r="A65" s="0" t="n">
        <v>2250</v>
      </c>
      <c r="B65" s="39" t="n">
        <f aca="false">PR_PH(B$2,$A65)</f>
        <v>2015</v>
      </c>
      <c r="C65" s="39" t="n">
        <f aca="false">PR_PH(C$2,$A65)</f>
        <v>2015</v>
      </c>
      <c r="D65" s="39" t="n">
        <f aca="false">PR_PH(D$2,$A65)</f>
        <v>2015</v>
      </c>
      <c r="E65" s="39" t="n">
        <f aca="false">PR_PH(E$2,$A65)</f>
        <v>2015</v>
      </c>
      <c r="F65" s="39" t="n">
        <f aca="false">PR_PH(F$2,$A65)</f>
        <v>2015</v>
      </c>
      <c r="G65" s="39" t="n">
        <f aca="false">PR_PH(G$2,$A65)</f>
        <v>2015</v>
      </c>
      <c r="H65" s="39" t="n">
        <f aca="false">PR_PH(H$2,$A65)</f>
        <v>2015</v>
      </c>
      <c r="I65" s="39" t="n">
        <f aca="false">PR_PH(I$2,$A65)</f>
        <v>2015</v>
      </c>
      <c r="J65" s="39" t="n">
        <f aca="false">PR_PH(J$2,$A65)</f>
        <v>2015</v>
      </c>
      <c r="K65" s="39" t="n">
        <f aca="false">PR_PH(K$2,$A65)</f>
        <v>2015</v>
      </c>
      <c r="L65" s="39" t="n">
        <f aca="false">PR_PH(L$2,$A65)</f>
        <v>2015</v>
      </c>
      <c r="M65" s="39" t="n">
        <f aca="false">PR_PH(M$2,$A65)</f>
        <v>2015</v>
      </c>
      <c r="N65" s="39" t="n">
        <f aca="false">PR_PH(N$2,$A65)</f>
        <v>2015</v>
      </c>
      <c r="O65" s="39" t="n">
        <f aca="false">PR_PH(O$2,$A65)</f>
        <v>2015</v>
      </c>
      <c r="P65" s="39" t="n">
        <f aca="false">PR_PH(P$2,$A65)</f>
        <v>2015</v>
      </c>
      <c r="Q65" s="39" t="n">
        <f aca="false">PR_PH(Q$2,$A65)</f>
        <v>2015</v>
      </c>
      <c r="R65" s="39" t="n">
        <f aca="false">PR_PH(R$2,$A65)</f>
        <v>2015</v>
      </c>
      <c r="S65" s="39" t="n">
        <f aca="false">PR_PH(S$2,$A65)</f>
        <v>2015</v>
      </c>
      <c r="T65" s="39" t="n">
        <f aca="false">PR_PH(T$2,$A65)</f>
        <v>2015</v>
      </c>
      <c r="U65" s="39" t="n">
        <f aca="false">PR_PH(U$2,$A65)</f>
        <v>2015</v>
      </c>
      <c r="V65" s="39" t="n">
        <f aca="false">PR_PH(V$2,$A65)</f>
        <v>2015</v>
      </c>
      <c r="W65" s="39" t="n">
        <f aca="false">PR_PH(W$2,$A65)</f>
        <v>2015</v>
      </c>
      <c r="X65" s="39" t="n">
        <f aca="false">PR_PH(X$2,$A65)</f>
        <v>2015</v>
      </c>
      <c r="Y65" s="39" t="n">
        <f aca="false">PR_PH(Y$2,$A65)</f>
        <v>2015</v>
      </c>
      <c r="Z65" s="39" t="n">
        <f aca="false">PR_PH(Z$2,$A65)</f>
        <v>2015</v>
      </c>
      <c r="AA65" s="39" t="n">
        <f aca="false">PR_PH(AA$2,$A65)</f>
        <v>2015</v>
      </c>
      <c r="AB65" s="39" t="n">
        <f aca="false">PR_PH(AB$2,$A65)</f>
        <v>2015</v>
      </c>
      <c r="AC65" s="39" t="n">
        <f aca="false">PR_PH(AC$2,$A65)</f>
        <v>2015</v>
      </c>
      <c r="AD65" s="39" t="n">
        <f aca="false">PR_PH(AD$2,$A65)</f>
        <v>2015</v>
      </c>
      <c r="AE65" s="39" t="n">
        <f aca="false">PR_PH(AE$2,$A65)</f>
        <v>2015</v>
      </c>
      <c r="AF65" s="39" t="n">
        <f aca="false">PR_PH(AF$2,$A65)</f>
        <v>2015</v>
      </c>
      <c r="AG65" s="39" t="n">
        <f aca="false">PR_PH(AG$2,$A65)</f>
        <v>2015</v>
      </c>
      <c r="AH65" s="39" t="n">
        <f aca="false">PR_PH(AH$2,$A65)</f>
        <v>2015</v>
      </c>
      <c r="AI65" s="39" t="n">
        <f aca="false">PR_PH(AI$2,$A65)</f>
        <v>2015</v>
      </c>
      <c r="AJ65" s="39" t="n">
        <f aca="false">PR_PH(AJ$2,$A65)</f>
        <v>2015</v>
      </c>
      <c r="AK65" s="39" t="n">
        <f aca="false">PR_PH(AK$2,$A65)</f>
        <v>2015</v>
      </c>
      <c r="AL65" s="39" t="n">
        <f aca="false">PR_PH(AL$2,$A65)</f>
        <v>2015</v>
      </c>
      <c r="AM65" s="39" t="n">
        <f aca="false">PR_PH(AM$2,$A65)</f>
        <v>2015</v>
      </c>
      <c r="AN65" s="39" t="n">
        <f aca="false">PR_PH(AN$2,$A65)</f>
        <v>2015</v>
      </c>
      <c r="AO65" s="39" t="n">
        <f aca="false">PR_PH(AO$2,$A65)</f>
        <v>2015</v>
      </c>
      <c r="AP65" s="39" t="n">
        <f aca="false">PR_PH(AP$2,$A65)</f>
        <v>2015</v>
      </c>
      <c r="AQ65" s="39" t="n">
        <f aca="false">PR_PH(AQ$2,$A65)</f>
        <v>2015</v>
      </c>
    </row>
    <row r="66" customFormat="false" ht="13.8" hidden="false" customHeight="false" outlineLevel="0" collapsed="false">
      <c r="A66" s="0" t="n">
        <v>2260</v>
      </c>
      <c r="B66" s="39" t="n">
        <f aca="false">PR_PH(B$2,$A66)</f>
        <v>2015</v>
      </c>
      <c r="C66" s="39" t="n">
        <f aca="false">PR_PH(C$2,$A66)</f>
        <v>2015</v>
      </c>
      <c r="D66" s="39" t="n">
        <f aca="false">PR_PH(D$2,$A66)</f>
        <v>2015</v>
      </c>
      <c r="E66" s="39" t="n">
        <f aca="false">PR_PH(E$2,$A66)</f>
        <v>2015</v>
      </c>
      <c r="F66" s="39" t="n">
        <f aca="false">PR_PH(F$2,$A66)</f>
        <v>2015</v>
      </c>
      <c r="G66" s="39" t="n">
        <f aca="false">PR_PH(G$2,$A66)</f>
        <v>2015</v>
      </c>
      <c r="H66" s="39" t="n">
        <f aca="false">PR_PH(H$2,$A66)</f>
        <v>2015</v>
      </c>
      <c r="I66" s="39" t="n">
        <f aca="false">PR_PH(I$2,$A66)</f>
        <v>2015</v>
      </c>
      <c r="J66" s="39" t="n">
        <f aca="false">PR_PH(J$2,$A66)</f>
        <v>2015</v>
      </c>
      <c r="K66" s="39" t="n">
        <f aca="false">PR_PH(K$2,$A66)</f>
        <v>2015</v>
      </c>
      <c r="L66" s="39" t="n">
        <f aca="false">PR_PH(L$2,$A66)</f>
        <v>2015</v>
      </c>
      <c r="M66" s="39" t="n">
        <f aca="false">PR_PH(M$2,$A66)</f>
        <v>2015</v>
      </c>
      <c r="N66" s="39" t="n">
        <f aca="false">PR_PH(N$2,$A66)</f>
        <v>2015</v>
      </c>
      <c r="O66" s="39" t="n">
        <f aca="false">PR_PH(O$2,$A66)</f>
        <v>2015</v>
      </c>
      <c r="P66" s="39" t="n">
        <f aca="false">PR_PH(P$2,$A66)</f>
        <v>2015</v>
      </c>
      <c r="Q66" s="39" t="n">
        <f aca="false">PR_PH(Q$2,$A66)</f>
        <v>2015</v>
      </c>
      <c r="R66" s="39" t="n">
        <f aca="false">PR_PH(R$2,$A66)</f>
        <v>2015</v>
      </c>
      <c r="S66" s="39" t="n">
        <f aca="false">PR_PH(S$2,$A66)</f>
        <v>2015</v>
      </c>
      <c r="T66" s="39" t="n">
        <f aca="false">PR_PH(T$2,$A66)</f>
        <v>2015</v>
      </c>
      <c r="U66" s="39" t="n">
        <f aca="false">PR_PH(U$2,$A66)</f>
        <v>2015</v>
      </c>
      <c r="V66" s="39" t="n">
        <f aca="false">PR_PH(V$2,$A66)</f>
        <v>2015</v>
      </c>
      <c r="W66" s="39" t="n">
        <f aca="false">PR_PH(W$2,$A66)</f>
        <v>2015</v>
      </c>
      <c r="X66" s="39" t="n">
        <f aca="false">PR_PH(X$2,$A66)</f>
        <v>2015</v>
      </c>
      <c r="Y66" s="39" t="n">
        <f aca="false">PR_PH(Y$2,$A66)</f>
        <v>2015</v>
      </c>
      <c r="Z66" s="39" t="n">
        <f aca="false">PR_PH(Z$2,$A66)</f>
        <v>2015</v>
      </c>
      <c r="AA66" s="39" t="n">
        <f aca="false">PR_PH(AA$2,$A66)</f>
        <v>2015</v>
      </c>
      <c r="AB66" s="39" t="n">
        <f aca="false">PR_PH(AB$2,$A66)</f>
        <v>2015</v>
      </c>
      <c r="AC66" s="39" t="n">
        <f aca="false">PR_PH(AC$2,$A66)</f>
        <v>2015</v>
      </c>
      <c r="AD66" s="39" t="n">
        <f aca="false">PR_PH(AD$2,$A66)</f>
        <v>2015</v>
      </c>
      <c r="AE66" s="39" t="n">
        <f aca="false">PR_PH(AE$2,$A66)</f>
        <v>2015</v>
      </c>
      <c r="AF66" s="39" t="n">
        <f aca="false">PR_PH(AF$2,$A66)</f>
        <v>2015</v>
      </c>
      <c r="AG66" s="39" t="n">
        <f aca="false">PR_PH(AG$2,$A66)</f>
        <v>2015</v>
      </c>
      <c r="AH66" s="39" t="n">
        <f aca="false">PR_PH(AH$2,$A66)</f>
        <v>2015</v>
      </c>
      <c r="AI66" s="39" t="n">
        <f aca="false">PR_PH(AI$2,$A66)</f>
        <v>2015</v>
      </c>
      <c r="AJ66" s="39" t="n">
        <f aca="false">PR_PH(AJ$2,$A66)</f>
        <v>2015</v>
      </c>
      <c r="AK66" s="39" t="n">
        <f aca="false">PR_PH(AK$2,$A66)</f>
        <v>2015</v>
      </c>
      <c r="AL66" s="39" t="n">
        <f aca="false">PR_PH(AL$2,$A66)</f>
        <v>2015</v>
      </c>
      <c r="AM66" s="39" t="n">
        <f aca="false">PR_PH(AM$2,$A66)</f>
        <v>2015</v>
      </c>
      <c r="AN66" s="39" t="n">
        <f aca="false">PR_PH(AN$2,$A66)</f>
        <v>2015</v>
      </c>
      <c r="AO66" s="39" t="n">
        <f aca="false">PR_PH(AO$2,$A66)</f>
        <v>2015</v>
      </c>
      <c r="AP66" s="39" t="n">
        <f aca="false">PR_PH(AP$2,$A66)</f>
        <v>2015</v>
      </c>
      <c r="AQ66" s="39" t="n">
        <f aca="false">PR_PH(AQ$2,$A66)</f>
        <v>2015</v>
      </c>
    </row>
    <row r="67" customFormat="false" ht="13.8" hidden="false" customHeight="false" outlineLevel="0" collapsed="false">
      <c r="A67" s="0" t="n">
        <v>2270</v>
      </c>
      <c r="B67" s="39" t="n">
        <f aca="false">PR_PH(B$2,$A67)</f>
        <v>2015</v>
      </c>
      <c r="C67" s="39" t="n">
        <f aca="false">PR_PH(C$2,$A67)</f>
        <v>2015</v>
      </c>
      <c r="D67" s="39" t="n">
        <f aca="false">PR_PH(D$2,$A67)</f>
        <v>2015</v>
      </c>
      <c r="E67" s="39" t="n">
        <f aca="false">PR_PH(E$2,$A67)</f>
        <v>2015</v>
      </c>
      <c r="F67" s="39" t="n">
        <f aca="false">PR_PH(F$2,$A67)</f>
        <v>2015</v>
      </c>
      <c r="G67" s="39" t="n">
        <f aca="false">PR_PH(G$2,$A67)</f>
        <v>2015</v>
      </c>
      <c r="H67" s="39" t="n">
        <f aca="false">PR_PH(H$2,$A67)</f>
        <v>2015</v>
      </c>
      <c r="I67" s="39" t="n">
        <f aca="false">PR_PH(I$2,$A67)</f>
        <v>2015</v>
      </c>
      <c r="J67" s="39" t="n">
        <f aca="false">PR_PH(J$2,$A67)</f>
        <v>2015</v>
      </c>
      <c r="K67" s="39" t="n">
        <f aca="false">PR_PH(K$2,$A67)</f>
        <v>2015</v>
      </c>
      <c r="L67" s="39" t="n">
        <f aca="false">PR_PH(L$2,$A67)</f>
        <v>2015</v>
      </c>
      <c r="M67" s="39" t="n">
        <f aca="false">PR_PH(M$2,$A67)</f>
        <v>2015</v>
      </c>
      <c r="N67" s="39" t="n">
        <f aca="false">PR_PH(N$2,$A67)</f>
        <v>2015</v>
      </c>
      <c r="O67" s="39" t="n">
        <f aca="false">PR_PH(O$2,$A67)</f>
        <v>2015</v>
      </c>
      <c r="P67" s="39" t="n">
        <f aca="false">PR_PH(P$2,$A67)</f>
        <v>2015</v>
      </c>
      <c r="Q67" s="39" t="n">
        <f aca="false">PR_PH(Q$2,$A67)</f>
        <v>2015</v>
      </c>
      <c r="R67" s="39" t="n">
        <f aca="false">PR_PH(R$2,$A67)</f>
        <v>2015</v>
      </c>
      <c r="S67" s="39" t="n">
        <f aca="false">PR_PH(S$2,$A67)</f>
        <v>2015</v>
      </c>
      <c r="T67" s="39" t="n">
        <f aca="false">PR_PH(T$2,$A67)</f>
        <v>2015</v>
      </c>
      <c r="U67" s="39" t="n">
        <f aca="false">PR_PH(U$2,$A67)</f>
        <v>2015</v>
      </c>
      <c r="V67" s="39" t="n">
        <f aca="false">PR_PH(V$2,$A67)</f>
        <v>2015</v>
      </c>
      <c r="W67" s="39" t="n">
        <f aca="false">PR_PH(W$2,$A67)</f>
        <v>2015</v>
      </c>
      <c r="X67" s="39" t="n">
        <f aca="false">PR_PH(X$2,$A67)</f>
        <v>2015</v>
      </c>
      <c r="Y67" s="39" t="n">
        <f aca="false">PR_PH(Y$2,$A67)</f>
        <v>2015</v>
      </c>
      <c r="Z67" s="39" t="n">
        <f aca="false">PR_PH(Z$2,$A67)</f>
        <v>2015</v>
      </c>
      <c r="AA67" s="39" t="n">
        <f aca="false">PR_PH(AA$2,$A67)</f>
        <v>2015</v>
      </c>
      <c r="AB67" s="39" t="n">
        <f aca="false">PR_PH(AB$2,$A67)</f>
        <v>2015</v>
      </c>
      <c r="AC67" s="39" t="n">
        <f aca="false">PR_PH(AC$2,$A67)</f>
        <v>2015</v>
      </c>
      <c r="AD67" s="39" t="n">
        <f aca="false">PR_PH(AD$2,$A67)</f>
        <v>2015</v>
      </c>
      <c r="AE67" s="39" t="n">
        <f aca="false">PR_PH(AE$2,$A67)</f>
        <v>2015</v>
      </c>
      <c r="AF67" s="39" t="n">
        <f aca="false">PR_PH(AF$2,$A67)</f>
        <v>2015</v>
      </c>
      <c r="AG67" s="39" t="n">
        <f aca="false">PR_PH(AG$2,$A67)</f>
        <v>2015</v>
      </c>
      <c r="AH67" s="39" t="n">
        <f aca="false">PR_PH(AH$2,$A67)</f>
        <v>2015</v>
      </c>
      <c r="AI67" s="39" t="n">
        <f aca="false">PR_PH(AI$2,$A67)</f>
        <v>2015</v>
      </c>
      <c r="AJ67" s="39" t="n">
        <f aca="false">PR_PH(AJ$2,$A67)</f>
        <v>2015</v>
      </c>
      <c r="AK67" s="39" t="n">
        <f aca="false">PR_PH(AK$2,$A67)</f>
        <v>2015</v>
      </c>
      <c r="AL67" s="39" t="n">
        <f aca="false">PR_PH(AL$2,$A67)</f>
        <v>2015</v>
      </c>
      <c r="AM67" s="39" t="n">
        <f aca="false">PR_PH(AM$2,$A67)</f>
        <v>2015</v>
      </c>
      <c r="AN67" s="39" t="n">
        <f aca="false">PR_PH(AN$2,$A67)</f>
        <v>2015</v>
      </c>
      <c r="AO67" s="39" t="n">
        <f aca="false">PR_PH(AO$2,$A67)</f>
        <v>2015</v>
      </c>
      <c r="AP67" s="39" t="n">
        <f aca="false">PR_PH(AP$2,$A67)</f>
        <v>2015</v>
      </c>
      <c r="AQ67" s="39" t="n">
        <f aca="false">PR_PH(AQ$2,$A67)</f>
        <v>2015</v>
      </c>
    </row>
    <row r="68" customFormat="false" ht="13.8" hidden="false" customHeight="false" outlineLevel="0" collapsed="false">
      <c r="A68" s="0" t="n">
        <v>2280</v>
      </c>
      <c r="B68" s="39" t="n">
        <f aca="false">PR_PH(B$2,$A68)</f>
        <v>2015</v>
      </c>
      <c r="C68" s="39" t="n">
        <f aca="false">PR_PH(C$2,$A68)</f>
        <v>2015</v>
      </c>
      <c r="D68" s="39" t="n">
        <f aca="false">PR_PH(D$2,$A68)</f>
        <v>2015</v>
      </c>
      <c r="E68" s="39" t="n">
        <f aca="false">PR_PH(E$2,$A68)</f>
        <v>2015</v>
      </c>
      <c r="F68" s="39" t="n">
        <f aca="false">PR_PH(F$2,$A68)</f>
        <v>2015</v>
      </c>
      <c r="G68" s="39" t="n">
        <f aca="false">PR_PH(G$2,$A68)</f>
        <v>2015</v>
      </c>
      <c r="H68" s="39" t="n">
        <f aca="false">PR_PH(H$2,$A68)</f>
        <v>2015</v>
      </c>
      <c r="I68" s="39" t="n">
        <f aca="false">PR_PH(I$2,$A68)</f>
        <v>2015</v>
      </c>
      <c r="J68" s="39" t="n">
        <f aca="false">PR_PH(J$2,$A68)</f>
        <v>2015</v>
      </c>
      <c r="K68" s="39" t="n">
        <f aca="false">PR_PH(K$2,$A68)</f>
        <v>2015</v>
      </c>
      <c r="L68" s="39" t="n">
        <f aca="false">PR_PH(L$2,$A68)</f>
        <v>2015</v>
      </c>
      <c r="M68" s="39" t="n">
        <f aca="false">PR_PH(M$2,$A68)</f>
        <v>2015</v>
      </c>
      <c r="N68" s="39" t="n">
        <f aca="false">PR_PH(N$2,$A68)</f>
        <v>2015</v>
      </c>
      <c r="O68" s="39" t="n">
        <f aca="false">PR_PH(O$2,$A68)</f>
        <v>2015</v>
      </c>
      <c r="P68" s="39" t="n">
        <f aca="false">PR_PH(P$2,$A68)</f>
        <v>2015</v>
      </c>
      <c r="Q68" s="39" t="n">
        <f aca="false">PR_PH(Q$2,$A68)</f>
        <v>2015</v>
      </c>
      <c r="R68" s="39" t="n">
        <f aca="false">PR_PH(R$2,$A68)</f>
        <v>2015</v>
      </c>
      <c r="S68" s="39" t="n">
        <f aca="false">PR_PH(S$2,$A68)</f>
        <v>2015</v>
      </c>
      <c r="T68" s="39" t="n">
        <f aca="false">PR_PH(T$2,$A68)</f>
        <v>2015</v>
      </c>
      <c r="U68" s="39" t="n">
        <f aca="false">PR_PH(U$2,$A68)</f>
        <v>2015</v>
      </c>
      <c r="V68" s="39" t="n">
        <f aca="false">PR_PH(V$2,$A68)</f>
        <v>2015</v>
      </c>
      <c r="W68" s="39" t="n">
        <f aca="false">PR_PH(W$2,$A68)</f>
        <v>2015</v>
      </c>
      <c r="X68" s="39" t="n">
        <f aca="false">PR_PH(X$2,$A68)</f>
        <v>2015</v>
      </c>
      <c r="Y68" s="39" t="n">
        <f aca="false">PR_PH(Y$2,$A68)</f>
        <v>2015</v>
      </c>
      <c r="Z68" s="39" t="n">
        <f aca="false">PR_PH(Z$2,$A68)</f>
        <v>2015</v>
      </c>
      <c r="AA68" s="39" t="n">
        <f aca="false">PR_PH(AA$2,$A68)</f>
        <v>2015</v>
      </c>
      <c r="AB68" s="39" t="n">
        <f aca="false">PR_PH(AB$2,$A68)</f>
        <v>2015</v>
      </c>
      <c r="AC68" s="39" t="n">
        <f aca="false">PR_PH(AC$2,$A68)</f>
        <v>2015</v>
      </c>
      <c r="AD68" s="39" t="n">
        <f aca="false">PR_PH(AD$2,$A68)</f>
        <v>2015</v>
      </c>
      <c r="AE68" s="39" t="n">
        <f aca="false">PR_PH(AE$2,$A68)</f>
        <v>2015</v>
      </c>
      <c r="AF68" s="39" t="n">
        <f aca="false">PR_PH(AF$2,$A68)</f>
        <v>2015</v>
      </c>
      <c r="AG68" s="39" t="n">
        <f aca="false">PR_PH(AG$2,$A68)</f>
        <v>2015</v>
      </c>
      <c r="AH68" s="39" t="n">
        <f aca="false">PR_PH(AH$2,$A68)</f>
        <v>2015</v>
      </c>
      <c r="AI68" s="39" t="n">
        <f aca="false">PR_PH(AI$2,$A68)</f>
        <v>2015</v>
      </c>
      <c r="AJ68" s="39" t="n">
        <f aca="false">PR_PH(AJ$2,$A68)</f>
        <v>2015</v>
      </c>
      <c r="AK68" s="39" t="n">
        <f aca="false">PR_PH(AK$2,$A68)</f>
        <v>2015</v>
      </c>
      <c r="AL68" s="39" t="n">
        <f aca="false">PR_PH(AL$2,$A68)</f>
        <v>2015</v>
      </c>
      <c r="AM68" s="39" t="n">
        <f aca="false">PR_PH(AM$2,$A68)</f>
        <v>2015</v>
      </c>
      <c r="AN68" s="39" t="n">
        <f aca="false">PR_PH(AN$2,$A68)</f>
        <v>2015</v>
      </c>
      <c r="AO68" s="39" t="n">
        <f aca="false">PR_PH(AO$2,$A68)</f>
        <v>2015</v>
      </c>
      <c r="AP68" s="39" t="n">
        <f aca="false">PR_PH(AP$2,$A68)</f>
        <v>2015</v>
      </c>
      <c r="AQ68" s="39" t="n">
        <f aca="false">PR_PH(AQ$2,$A68)</f>
        <v>2015</v>
      </c>
    </row>
    <row r="69" customFormat="false" ht="13.8" hidden="false" customHeight="false" outlineLevel="0" collapsed="false">
      <c r="A69" s="0" t="n">
        <v>2290</v>
      </c>
      <c r="B69" s="39" t="n">
        <f aca="false">PR_PH(B$2,$A69)</f>
        <v>2015</v>
      </c>
      <c r="C69" s="39" t="n">
        <f aca="false">PR_PH(C$2,$A69)</f>
        <v>2015</v>
      </c>
      <c r="D69" s="39" t="n">
        <f aca="false">PR_PH(D$2,$A69)</f>
        <v>2015</v>
      </c>
      <c r="E69" s="39" t="n">
        <f aca="false">PR_PH(E$2,$A69)</f>
        <v>2015</v>
      </c>
      <c r="F69" s="39" t="n">
        <f aca="false">PR_PH(F$2,$A69)</f>
        <v>2015</v>
      </c>
      <c r="G69" s="39" t="n">
        <f aca="false">PR_PH(G$2,$A69)</f>
        <v>2015</v>
      </c>
      <c r="H69" s="39" t="n">
        <f aca="false">PR_PH(H$2,$A69)</f>
        <v>2015</v>
      </c>
      <c r="I69" s="39" t="n">
        <f aca="false">PR_PH(I$2,$A69)</f>
        <v>2015</v>
      </c>
      <c r="J69" s="39" t="n">
        <f aca="false">PR_PH(J$2,$A69)</f>
        <v>2015</v>
      </c>
      <c r="K69" s="39" t="n">
        <f aca="false">PR_PH(K$2,$A69)</f>
        <v>2015</v>
      </c>
      <c r="L69" s="39" t="n">
        <f aca="false">PR_PH(L$2,$A69)</f>
        <v>2015</v>
      </c>
      <c r="M69" s="39" t="n">
        <f aca="false">PR_PH(M$2,$A69)</f>
        <v>2015</v>
      </c>
      <c r="N69" s="39" t="n">
        <f aca="false">PR_PH(N$2,$A69)</f>
        <v>2015</v>
      </c>
      <c r="O69" s="39" t="n">
        <f aca="false">PR_PH(O$2,$A69)</f>
        <v>2015</v>
      </c>
      <c r="P69" s="39" t="n">
        <f aca="false">PR_PH(P$2,$A69)</f>
        <v>2015</v>
      </c>
      <c r="Q69" s="39" t="n">
        <f aca="false">PR_PH(Q$2,$A69)</f>
        <v>2015</v>
      </c>
      <c r="R69" s="39" t="n">
        <f aca="false">PR_PH(R$2,$A69)</f>
        <v>2015</v>
      </c>
      <c r="S69" s="39" t="n">
        <f aca="false">PR_PH(S$2,$A69)</f>
        <v>2015</v>
      </c>
      <c r="T69" s="39" t="n">
        <f aca="false">PR_PH(T$2,$A69)</f>
        <v>2015</v>
      </c>
      <c r="U69" s="39" t="n">
        <f aca="false">PR_PH(U$2,$A69)</f>
        <v>2015</v>
      </c>
      <c r="V69" s="39" t="n">
        <f aca="false">PR_PH(V$2,$A69)</f>
        <v>2015</v>
      </c>
      <c r="W69" s="39" t="n">
        <f aca="false">PR_PH(W$2,$A69)</f>
        <v>2015</v>
      </c>
      <c r="X69" s="39" t="n">
        <f aca="false">PR_PH(X$2,$A69)</f>
        <v>2015</v>
      </c>
      <c r="Y69" s="39" t="n">
        <f aca="false">PR_PH(Y$2,$A69)</f>
        <v>2015</v>
      </c>
      <c r="Z69" s="39" t="n">
        <f aca="false">PR_PH(Z$2,$A69)</f>
        <v>2015</v>
      </c>
      <c r="AA69" s="39" t="n">
        <f aca="false">PR_PH(AA$2,$A69)</f>
        <v>2015</v>
      </c>
      <c r="AB69" s="39" t="n">
        <f aca="false">PR_PH(AB$2,$A69)</f>
        <v>2015</v>
      </c>
      <c r="AC69" s="39" t="n">
        <f aca="false">PR_PH(AC$2,$A69)</f>
        <v>2015</v>
      </c>
      <c r="AD69" s="39" t="n">
        <f aca="false">PR_PH(AD$2,$A69)</f>
        <v>2015</v>
      </c>
      <c r="AE69" s="39" t="n">
        <f aca="false">PR_PH(AE$2,$A69)</f>
        <v>2015</v>
      </c>
      <c r="AF69" s="39" t="n">
        <f aca="false">PR_PH(AF$2,$A69)</f>
        <v>2015</v>
      </c>
      <c r="AG69" s="39" t="n">
        <f aca="false">PR_PH(AG$2,$A69)</f>
        <v>2015</v>
      </c>
      <c r="AH69" s="39" t="n">
        <f aca="false">PR_PH(AH$2,$A69)</f>
        <v>2015</v>
      </c>
      <c r="AI69" s="39" t="n">
        <f aca="false">PR_PH(AI$2,$A69)</f>
        <v>2015</v>
      </c>
      <c r="AJ69" s="39" t="n">
        <f aca="false">PR_PH(AJ$2,$A69)</f>
        <v>2015</v>
      </c>
      <c r="AK69" s="39" t="n">
        <f aca="false">PR_PH(AK$2,$A69)</f>
        <v>2015</v>
      </c>
      <c r="AL69" s="39" t="n">
        <f aca="false">PR_PH(AL$2,$A69)</f>
        <v>2015</v>
      </c>
      <c r="AM69" s="39" t="n">
        <f aca="false">PR_PH(AM$2,$A69)</f>
        <v>2015</v>
      </c>
      <c r="AN69" s="39" t="n">
        <f aca="false">PR_PH(AN$2,$A69)</f>
        <v>2015</v>
      </c>
      <c r="AO69" s="39" t="n">
        <f aca="false">PR_PH(AO$2,$A69)</f>
        <v>2015</v>
      </c>
      <c r="AP69" s="39" t="n">
        <f aca="false">PR_PH(AP$2,$A69)</f>
        <v>2015</v>
      </c>
      <c r="AQ69" s="39" t="n">
        <f aca="false">PR_PH(AQ$2,$A69)</f>
        <v>2015</v>
      </c>
    </row>
    <row r="70" customFormat="false" ht="13.8" hidden="false" customHeight="false" outlineLevel="0" collapsed="false">
      <c r="A70" s="0" t="n">
        <v>2300</v>
      </c>
      <c r="B70" s="39" t="n">
        <f aca="false">PR_PH(B$2,$A70)</f>
        <v>2015</v>
      </c>
      <c r="C70" s="39" t="n">
        <f aca="false">PR_PH(C$2,$A70)</f>
        <v>2015</v>
      </c>
      <c r="D70" s="39" t="n">
        <f aca="false">PR_PH(D$2,$A70)</f>
        <v>2015</v>
      </c>
      <c r="E70" s="39" t="n">
        <f aca="false">PR_PH(E$2,$A70)</f>
        <v>2015</v>
      </c>
      <c r="F70" s="39" t="n">
        <f aca="false">PR_PH(F$2,$A70)</f>
        <v>2015</v>
      </c>
      <c r="G70" s="39" t="n">
        <f aca="false">PR_PH(G$2,$A70)</f>
        <v>2015</v>
      </c>
      <c r="H70" s="39" t="n">
        <f aca="false">PR_PH(H$2,$A70)</f>
        <v>2015</v>
      </c>
      <c r="I70" s="39" t="n">
        <f aca="false">PR_PH(I$2,$A70)</f>
        <v>2015</v>
      </c>
      <c r="J70" s="39" t="n">
        <f aca="false">PR_PH(J$2,$A70)</f>
        <v>2015</v>
      </c>
      <c r="K70" s="39" t="n">
        <f aca="false">PR_PH(K$2,$A70)</f>
        <v>2015</v>
      </c>
      <c r="L70" s="39" t="n">
        <f aca="false">PR_PH(L$2,$A70)</f>
        <v>2015</v>
      </c>
      <c r="M70" s="39" t="n">
        <f aca="false">PR_PH(M$2,$A70)</f>
        <v>2015</v>
      </c>
      <c r="N70" s="39" t="n">
        <f aca="false">PR_PH(N$2,$A70)</f>
        <v>2015</v>
      </c>
      <c r="O70" s="39" t="n">
        <f aca="false">PR_PH(O$2,$A70)</f>
        <v>2015</v>
      </c>
      <c r="P70" s="39" t="n">
        <f aca="false">PR_PH(P$2,$A70)</f>
        <v>2015</v>
      </c>
      <c r="Q70" s="39" t="n">
        <f aca="false">PR_PH(Q$2,$A70)</f>
        <v>2015</v>
      </c>
      <c r="R70" s="39" t="n">
        <f aca="false">PR_PH(R$2,$A70)</f>
        <v>2015</v>
      </c>
      <c r="S70" s="39" t="n">
        <f aca="false">PR_PH(S$2,$A70)</f>
        <v>2015</v>
      </c>
      <c r="T70" s="39" t="n">
        <f aca="false">PR_PH(T$2,$A70)</f>
        <v>2015</v>
      </c>
      <c r="U70" s="39" t="n">
        <f aca="false">PR_PH(U$2,$A70)</f>
        <v>2015</v>
      </c>
      <c r="V70" s="39" t="n">
        <f aca="false">PR_PH(V$2,$A70)</f>
        <v>2015</v>
      </c>
      <c r="W70" s="39" t="n">
        <f aca="false">PR_PH(W$2,$A70)</f>
        <v>2015</v>
      </c>
      <c r="X70" s="39" t="n">
        <f aca="false">PR_PH(X$2,$A70)</f>
        <v>2015</v>
      </c>
      <c r="Y70" s="39" t="n">
        <f aca="false">PR_PH(Y$2,$A70)</f>
        <v>2015</v>
      </c>
      <c r="Z70" s="39" t="n">
        <f aca="false">PR_PH(Z$2,$A70)</f>
        <v>2015</v>
      </c>
      <c r="AA70" s="39" t="n">
        <f aca="false">PR_PH(AA$2,$A70)</f>
        <v>2015</v>
      </c>
      <c r="AB70" s="39" t="n">
        <f aca="false">PR_PH(AB$2,$A70)</f>
        <v>2015</v>
      </c>
      <c r="AC70" s="39" t="n">
        <f aca="false">PR_PH(AC$2,$A70)</f>
        <v>2015</v>
      </c>
      <c r="AD70" s="39" t="n">
        <f aca="false">PR_PH(AD$2,$A70)</f>
        <v>2015</v>
      </c>
      <c r="AE70" s="39" t="n">
        <f aca="false">PR_PH(AE$2,$A70)</f>
        <v>2015</v>
      </c>
      <c r="AF70" s="39" t="n">
        <f aca="false">PR_PH(AF$2,$A70)</f>
        <v>2015</v>
      </c>
      <c r="AG70" s="39" t="n">
        <f aca="false">PR_PH(AG$2,$A70)</f>
        <v>2015</v>
      </c>
      <c r="AH70" s="39" t="n">
        <f aca="false">PR_PH(AH$2,$A70)</f>
        <v>2015</v>
      </c>
      <c r="AI70" s="39" t="n">
        <f aca="false">PR_PH(AI$2,$A70)</f>
        <v>2015</v>
      </c>
      <c r="AJ70" s="39" t="n">
        <f aca="false">PR_PH(AJ$2,$A70)</f>
        <v>2015</v>
      </c>
      <c r="AK70" s="39" t="n">
        <f aca="false">PR_PH(AK$2,$A70)</f>
        <v>2015</v>
      </c>
      <c r="AL70" s="39" t="n">
        <f aca="false">PR_PH(AL$2,$A70)</f>
        <v>2015</v>
      </c>
      <c r="AM70" s="39" t="n">
        <f aca="false">PR_PH(AM$2,$A70)</f>
        <v>2015</v>
      </c>
      <c r="AN70" s="39" t="n">
        <f aca="false">PR_PH(AN$2,$A70)</f>
        <v>2015</v>
      </c>
      <c r="AO70" s="39" t="n">
        <f aca="false">PR_PH(AO$2,$A70)</f>
        <v>2015</v>
      </c>
      <c r="AP70" s="39" t="n">
        <f aca="false">PR_PH(AP$2,$A70)</f>
        <v>2015</v>
      </c>
      <c r="AQ70" s="39" t="n">
        <f aca="false">PR_PH(AQ$2,$A70)</f>
        <v>2015</v>
      </c>
    </row>
    <row r="71" customFormat="false" ht="13.8" hidden="false" customHeight="false" outlineLevel="0" collapsed="false">
      <c r="A71" s="0" t="n">
        <v>2310</v>
      </c>
      <c r="B71" s="39" t="n">
        <f aca="false">PR_PH(B$2,$A71)</f>
        <v>2015</v>
      </c>
      <c r="C71" s="39" t="n">
        <f aca="false">PR_PH(C$2,$A71)</f>
        <v>2015</v>
      </c>
      <c r="D71" s="39" t="n">
        <f aca="false">PR_PH(D$2,$A71)</f>
        <v>2015</v>
      </c>
      <c r="E71" s="39" t="n">
        <f aca="false">PR_PH(E$2,$A71)</f>
        <v>2015</v>
      </c>
      <c r="F71" s="39" t="n">
        <f aca="false">PR_PH(F$2,$A71)</f>
        <v>2015</v>
      </c>
      <c r="G71" s="39" t="n">
        <f aca="false">PR_PH(G$2,$A71)</f>
        <v>2015</v>
      </c>
      <c r="H71" s="39" t="n">
        <f aca="false">PR_PH(H$2,$A71)</f>
        <v>2015</v>
      </c>
      <c r="I71" s="39" t="n">
        <f aca="false">PR_PH(I$2,$A71)</f>
        <v>2015</v>
      </c>
      <c r="J71" s="39" t="n">
        <f aca="false">PR_PH(J$2,$A71)</f>
        <v>2015</v>
      </c>
      <c r="K71" s="39" t="n">
        <f aca="false">PR_PH(K$2,$A71)</f>
        <v>2015</v>
      </c>
      <c r="L71" s="39" t="n">
        <f aca="false">PR_PH(L$2,$A71)</f>
        <v>2015</v>
      </c>
      <c r="M71" s="39" t="n">
        <f aca="false">PR_PH(M$2,$A71)</f>
        <v>2015</v>
      </c>
      <c r="N71" s="39" t="n">
        <f aca="false">PR_PH(N$2,$A71)</f>
        <v>2015</v>
      </c>
      <c r="O71" s="39" t="n">
        <f aca="false">PR_PH(O$2,$A71)</f>
        <v>2015</v>
      </c>
      <c r="P71" s="39" t="n">
        <f aca="false">PR_PH(P$2,$A71)</f>
        <v>2015</v>
      </c>
      <c r="Q71" s="39" t="n">
        <f aca="false">PR_PH(Q$2,$A71)</f>
        <v>2015</v>
      </c>
      <c r="R71" s="39" t="n">
        <f aca="false">PR_PH(R$2,$A71)</f>
        <v>2015</v>
      </c>
      <c r="S71" s="39" t="n">
        <f aca="false">PR_PH(S$2,$A71)</f>
        <v>2015</v>
      </c>
      <c r="T71" s="39" t="n">
        <f aca="false">PR_PH(T$2,$A71)</f>
        <v>2015</v>
      </c>
      <c r="U71" s="39" t="n">
        <f aca="false">PR_PH(U$2,$A71)</f>
        <v>2015</v>
      </c>
      <c r="V71" s="39" t="n">
        <f aca="false">PR_PH(V$2,$A71)</f>
        <v>2015</v>
      </c>
      <c r="W71" s="39" t="n">
        <f aca="false">PR_PH(W$2,$A71)</f>
        <v>2015</v>
      </c>
      <c r="X71" s="39" t="n">
        <f aca="false">PR_PH(X$2,$A71)</f>
        <v>2015</v>
      </c>
      <c r="Y71" s="39" t="n">
        <f aca="false">PR_PH(Y$2,$A71)</f>
        <v>2015</v>
      </c>
      <c r="Z71" s="39" t="n">
        <f aca="false">PR_PH(Z$2,$A71)</f>
        <v>2015</v>
      </c>
      <c r="AA71" s="39" t="n">
        <f aca="false">PR_PH(AA$2,$A71)</f>
        <v>2015</v>
      </c>
      <c r="AB71" s="39" t="n">
        <f aca="false">PR_PH(AB$2,$A71)</f>
        <v>2015</v>
      </c>
      <c r="AC71" s="39" t="n">
        <f aca="false">PR_PH(AC$2,$A71)</f>
        <v>2015</v>
      </c>
      <c r="AD71" s="39" t="n">
        <f aca="false">PR_PH(AD$2,$A71)</f>
        <v>2015</v>
      </c>
      <c r="AE71" s="39" t="n">
        <f aca="false">PR_PH(AE$2,$A71)</f>
        <v>2015</v>
      </c>
      <c r="AF71" s="39" t="n">
        <f aca="false">PR_PH(AF$2,$A71)</f>
        <v>2015</v>
      </c>
      <c r="AG71" s="39" t="n">
        <f aca="false">PR_PH(AG$2,$A71)</f>
        <v>2015</v>
      </c>
      <c r="AH71" s="39" t="n">
        <f aca="false">PR_PH(AH$2,$A71)</f>
        <v>2015</v>
      </c>
      <c r="AI71" s="39" t="n">
        <f aca="false">PR_PH(AI$2,$A71)</f>
        <v>2015</v>
      </c>
      <c r="AJ71" s="39" t="n">
        <f aca="false">PR_PH(AJ$2,$A71)</f>
        <v>2015</v>
      </c>
      <c r="AK71" s="39" t="n">
        <f aca="false">PR_PH(AK$2,$A71)</f>
        <v>2015</v>
      </c>
      <c r="AL71" s="39" t="n">
        <f aca="false">PR_PH(AL$2,$A71)</f>
        <v>2015</v>
      </c>
      <c r="AM71" s="39" t="n">
        <f aca="false">PR_PH(AM$2,$A71)</f>
        <v>2015</v>
      </c>
      <c r="AN71" s="39" t="n">
        <f aca="false">PR_PH(AN$2,$A71)</f>
        <v>2015</v>
      </c>
      <c r="AO71" s="39" t="n">
        <f aca="false">PR_PH(AO$2,$A71)</f>
        <v>2015</v>
      </c>
      <c r="AP71" s="39" t="n">
        <f aca="false">PR_PH(AP$2,$A71)</f>
        <v>2015</v>
      </c>
      <c r="AQ71" s="39" t="n">
        <f aca="false">PR_PH(AQ$2,$A71)</f>
        <v>2015</v>
      </c>
    </row>
    <row r="72" customFormat="false" ht="13.8" hidden="false" customHeight="false" outlineLevel="0" collapsed="false">
      <c r="A72" s="0" t="n">
        <v>2320</v>
      </c>
      <c r="B72" s="39" t="n">
        <f aca="false">PR_PH(B$2,$A72)</f>
        <v>2015</v>
      </c>
      <c r="C72" s="39" t="n">
        <f aca="false">PR_PH(C$2,$A72)</f>
        <v>2015</v>
      </c>
      <c r="D72" s="39" t="n">
        <f aca="false">PR_PH(D$2,$A72)</f>
        <v>2015</v>
      </c>
      <c r="E72" s="39" t="n">
        <f aca="false">PR_PH(E$2,$A72)</f>
        <v>2015</v>
      </c>
      <c r="F72" s="39" t="n">
        <f aca="false">PR_PH(F$2,$A72)</f>
        <v>2015</v>
      </c>
      <c r="G72" s="39" t="n">
        <f aca="false">PR_PH(G$2,$A72)</f>
        <v>2015</v>
      </c>
      <c r="H72" s="39" t="n">
        <f aca="false">PR_PH(H$2,$A72)</f>
        <v>2015</v>
      </c>
      <c r="I72" s="39" t="n">
        <f aca="false">PR_PH(I$2,$A72)</f>
        <v>2015</v>
      </c>
      <c r="J72" s="39" t="n">
        <f aca="false">PR_PH(J$2,$A72)</f>
        <v>2015</v>
      </c>
      <c r="K72" s="39" t="n">
        <f aca="false">PR_PH(K$2,$A72)</f>
        <v>2015</v>
      </c>
      <c r="L72" s="39" t="n">
        <f aca="false">PR_PH(L$2,$A72)</f>
        <v>2015</v>
      </c>
      <c r="M72" s="39" t="n">
        <f aca="false">PR_PH(M$2,$A72)</f>
        <v>2015</v>
      </c>
      <c r="N72" s="39" t="n">
        <f aca="false">PR_PH(N$2,$A72)</f>
        <v>2015</v>
      </c>
      <c r="O72" s="39" t="n">
        <f aca="false">PR_PH(O$2,$A72)</f>
        <v>2015</v>
      </c>
      <c r="P72" s="39" t="n">
        <f aca="false">PR_PH(P$2,$A72)</f>
        <v>2015</v>
      </c>
      <c r="Q72" s="39" t="n">
        <f aca="false">PR_PH(Q$2,$A72)</f>
        <v>2015</v>
      </c>
      <c r="R72" s="39" t="n">
        <f aca="false">PR_PH(R$2,$A72)</f>
        <v>2015</v>
      </c>
      <c r="S72" s="39" t="n">
        <f aca="false">PR_PH(S$2,$A72)</f>
        <v>2015</v>
      </c>
      <c r="T72" s="39" t="n">
        <f aca="false">PR_PH(T$2,$A72)</f>
        <v>2015</v>
      </c>
      <c r="U72" s="39" t="n">
        <f aca="false">PR_PH(U$2,$A72)</f>
        <v>2015</v>
      </c>
      <c r="V72" s="39" t="n">
        <f aca="false">PR_PH(V$2,$A72)</f>
        <v>2015</v>
      </c>
      <c r="W72" s="39" t="n">
        <f aca="false">PR_PH(W$2,$A72)</f>
        <v>2015</v>
      </c>
      <c r="X72" s="39" t="n">
        <f aca="false">PR_PH(X$2,$A72)</f>
        <v>2015</v>
      </c>
      <c r="Y72" s="39" t="n">
        <f aca="false">PR_PH(Y$2,$A72)</f>
        <v>2015</v>
      </c>
      <c r="Z72" s="39" t="n">
        <f aca="false">PR_PH(Z$2,$A72)</f>
        <v>2015</v>
      </c>
      <c r="AA72" s="39" t="n">
        <f aca="false">PR_PH(AA$2,$A72)</f>
        <v>2015</v>
      </c>
      <c r="AB72" s="39" t="n">
        <f aca="false">PR_PH(AB$2,$A72)</f>
        <v>2015</v>
      </c>
      <c r="AC72" s="39" t="n">
        <f aca="false">PR_PH(AC$2,$A72)</f>
        <v>2015</v>
      </c>
      <c r="AD72" s="39" t="n">
        <f aca="false">PR_PH(AD$2,$A72)</f>
        <v>2015</v>
      </c>
      <c r="AE72" s="39" t="n">
        <f aca="false">PR_PH(AE$2,$A72)</f>
        <v>2015</v>
      </c>
      <c r="AF72" s="39" t="n">
        <f aca="false">PR_PH(AF$2,$A72)</f>
        <v>2015</v>
      </c>
      <c r="AG72" s="39" t="n">
        <f aca="false">PR_PH(AG$2,$A72)</f>
        <v>2015</v>
      </c>
      <c r="AH72" s="39" t="n">
        <f aca="false">PR_PH(AH$2,$A72)</f>
        <v>2015</v>
      </c>
      <c r="AI72" s="39" t="n">
        <f aca="false">PR_PH(AI$2,$A72)</f>
        <v>2015</v>
      </c>
      <c r="AJ72" s="39" t="n">
        <f aca="false">PR_PH(AJ$2,$A72)</f>
        <v>2015</v>
      </c>
      <c r="AK72" s="39" t="n">
        <f aca="false">PR_PH(AK$2,$A72)</f>
        <v>2015</v>
      </c>
      <c r="AL72" s="39" t="n">
        <f aca="false">PR_PH(AL$2,$A72)</f>
        <v>2015</v>
      </c>
      <c r="AM72" s="39" t="n">
        <f aca="false">PR_PH(AM$2,$A72)</f>
        <v>2015</v>
      </c>
      <c r="AN72" s="39" t="n">
        <f aca="false">PR_PH(AN$2,$A72)</f>
        <v>2015</v>
      </c>
      <c r="AO72" s="39" t="n">
        <f aca="false">PR_PH(AO$2,$A72)</f>
        <v>2015</v>
      </c>
      <c r="AP72" s="39" t="n">
        <f aca="false">PR_PH(AP$2,$A72)</f>
        <v>2015</v>
      </c>
      <c r="AQ72" s="39" t="n">
        <f aca="false">PR_PH(AQ$2,$A72)</f>
        <v>2015</v>
      </c>
    </row>
    <row r="73" customFormat="false" ht="13.8" hidden="false" customHeight="false" outlineLevel="0" collapsed="false">
      <c r="A73" s="0" t="n">
        <v>2330</v>
      </c>
      <c r="B73" s="39" t="n">
        <f aca="false">PR_PH(B$2,$A73)</f>
        <v>2015</v>
      </c>
      <c r="C73" s="39" t="n">
        <f aca="false">PR_PH(C$2,$A73)</f>
        <v>2015</v>
      </c>
      <c r="D73" s="39" t="n">
        <f aca="false">PR_PH(D$2,$A73)</f>
        <v>2015</v>
      </c>
      <c r="E73" s="39" t="n">
        <f aca="false">PR_PH(E$2,$A73)</f>
        <v>2015</v>
      </c>
      <c r="F73" s="39" t="n">
        <f aca="false">PR_PH(F$2,$A73)</f>
        <v>2015</v>
      </c>
      <c r="G73" s="39" t="n">
        <f aca="false">PR_PH(G$2,$A73)</f>
        <v>2015</v>
      </c>
      <c r="H73" s="39" t="n">
        <f aca="false">PR_PH(H$2,$A73)</f>
        <v>2015</v>
      </c>
      <c r="I73" s="39" t="n">
        <f aca="false">PR_PH(I$2,$A73)</f>
        <v>2015</v>
      </c>
      <c r="J73" s="39" t="n">
        <f aca="false">PR_PH(J$2,$A73)</f>
        <v>2015</v>
      </c>
      <c r="K73" s="39" t="n">
        <f aca="false">PR_PH(K$2,$A73)</f>
        <v>2015</v>
      </c>
      <c r="L73" s="39" t="n">
        <f aca="false">PR_PH(L$2,$A73)</f>
        <v>2015</v>
      </c>
      <c r="M73" s="39" t="n">
        <f aca="false">PR_PH(M$2,$A73)</f>
        <v>2015</v>
      </c>
      <c r="N73" s="39" t="n">
        <f aca="false">PR_PH(N$2,$A73)</f>
        <v>2015</v>
      </c>
      <c r="O73" s="39" t="n">
        <f aca="false">PR_PH(O$2,$A73)</f>
        <v>2015</v>
      </c>
      <c r="P73" s="39" t="n">
        <f aca="false">PR_PH(P$2,$A73)</f>
        <v>2015</v>
      </c>
      <c r="Q73" s="39" t="n">
        <f aca="false">PR_PH(Q$2,$A73)</f>
        <v>2015</v>
      </c>
      <c r="R73" s="39" t="n">
        <f aca="false">PR_PH(R$2,$A73)</f>
        <v>2015</v>
      </c>
      <c r="S73" s="39" t="n">
        <f aca="false">PR_PH(S$2,$A73)</f>
        <v>2015</v>
      </c>
      <c r="T73" s="39" t="n">
        <f aca="false">PR_PH(T$2,$A73)</f>
        <v>2015</v>
      </c>
      <c r="U73" s="39" t="n">
        <f aca="false">PR_PH(U$2,$A73)</f>
        <v>2015</v>
      </c>
      <c r="V73" s="39" t="n">
        <f aca="false">PR_PH(V$2,$A73)</f>
        <v>2015</v>
      </c>
      <c r="W73" s="39" t="n">
        <f aca="false">PR_PH(W$2,$A73)</f>
        <v>2015</v>
      </c>
      <c r="X73" s="39" t="n">
        <f aca="false">PR_PH(X$2,$A73)</f>
        <v>2015</v>
      </c>
      <c r="Y73" s="39" t="n">
        <f aca="false">PR_PH(Y$2,$A73)</f>
        <v>2015</v>
      </c>
      <c r="Z73" s="39" t="n">
        <f aca="false">PR_PH(Z$2,$A73)</f>
        <v>2015</v>
      </c>
      <c r="AA73" s="39" t="n">
        <f aca="false">PR_PH(AA$2,$A73)</f>
        <v>2015</v>
      </c>
      <c r="AB73" s="39" t="n">
        <f aca="false">PR_PH(AB$2,$A73)</f>
        <v>2015</v>
      </c>
      <c r="AC73" s="39" t="n">
        <f aca="false">PR_PH(AC$2,$A73)</f>
        <v>2015</v>
      </c>
      <c r="AD73" s="39" t="n">
        <f aca="false">PR_PH(AD$2,$A73)</f>
        <v>2015</v>
      </c>
      <c r="AE73" s="39" t="n">
        <f aca="false">PR_PH(AE$2,$A73)</f>
        <v>2015</v>
      </c>
      <c r="AF73" s="39" t="n">
        <f aca="false">PR_PH(AF$2,$A73)</f>
        <v>2015</v>
      </c>
      <c r="AG73" s="39" t="n">
        <f aca="false">PR_PH(AG$2,$A73)</f>
        <v>2015</v>
      </c>
      <c r="AH73" s="39" t="n">
        <f aca="false">PR_PH(AH$2,$A73)</f>
        <v>2015</v>
      </c>
      <c r="AI73" s="39" t="n">
        <f aca="false">PR_PH(AI$2,$A73)</f>
        <v>2015</v>
      </c>
      <c r="AJ73" s="39" t="n">
        <f aca="false">PR_PH(AJ$2,$A73)</f>
        <v>2015</v>
      </c>
      <c r="AK73" s="39" t="n">
        <f aca="false">PR_PH(AK$2,$A73)</f>
        <v>2015</v>
      </c>
      <c r="AL73" s="39" t="n">
        <f aca="false">PR_PH(AL$2,$A73)</f>
        <v>2015</v>
      </c>
      <c r="AM73" s="39" t="n">
        <f aca="false">PR_PH(AM$2,$A73)</f>
        <v>2015</v>
      </c>
      <c r="AN73" s="39" t="n">
        <f aca="false">PR_PH(AN$2,$A73)</f>
        <v>2015</v>
      </c>
      <c r="AO73" s="39" t="n">
        <f aca="false">PR_PH(AO$2,$A73)</f>
        <v>2015</v>
      </c>
      <c r="AP73" s="39" t="n">
        <f aca="false">PR_PH(AP$2,$A73)</f>
        <v>2015</v>
      </c>
      <c r="AQ73" s="39" t="n">
        <f aca="false">PR_PH(AQ$2,$A73)</f>
        <v>2015</v>
      </c>
    </row>
    <row r="74" customFormat="false" ht="13.8" hidden="false" customHeight="false" outlineLevel="0" collapsed="false">
      <c r="A74" s="0" t="n">
        <v>2340</v>
      </c>
      <c r="B74" s="39" t="n">
        <f aca="false">PR_PH(B$2,$A74)</f>
        <v>2015</v>
      </c>
      <c r="C74" s="39" t="n">
        <f aca="false">PR_PH(C$2,$A74)</f>
        <v>2015</v>
      </c>
      <c r="D74" s="39" t="n">
        <f aca="false">PR_PH(D$2,$A74)</f>
        <v>2015</v>
      </c>
      <c r="E74" s="39" t="n">
        <f aca="false">PR_PH(E$2,$A74)</f>
        <v>2015</v>
      </c>
      <c r="F74" s="39" t="n">
        <f aca="false">PR_PH(F$2,$A74)</f>
        <v>2015</v>
      </c>
      <c r="G74" s="39" t="n">
        <f aca="false">PR_PH(G$2,$A74)</f>
        <v>2015</v>
      </c>
      <c r="H74" s="39" t="n">
        <f aca="false">PR_PH(H$2,$A74)</f>
        <v>2015</v>
      </c>
      <c r="I74" s="39" t="n">
        <f aca="false">PR_PH(I$2,$A74)</f>
        <v>2015</v>
      </c>
      <c r="J74" s="39" t="n">
        <f aca="false">PR_PH(J$2,$A74)</f>
        <v>2015</v>
      </c>
      <c r="K74" s="39" t="n">
        <f aca="false">PR_PH(K$2,$A74)</f>
        <v>2015</v>
      </c>
      <c r="L74" s="39" t="n">
        <f aca="false">PR_PH(L$2,$A74)</f>
        <v>2015</v>
      </c>
      <c r="M74" s="39" t="n">
        <f aca="false">PR_PH(M$2,$A74)</f>
        <v>2015</v>
      </c>
      <c r="N74" s="39" t="n">
        <f aca="false">PR_PH(N$2,$A74)</f>
        <v>2015</v>
      </c>
      <c r="O74" s="39" t="n">
        <f aca="false">PR_PH(O$2,$A74)</f>
        <v>2015</v>
      </c>
      <c r="P74" s="39" t="n">
        <f aca="false">PR_PH(P$2,$A74)</f>
        <v>2015</v>
      </c>
      <c r="Q74" s="39" t="n">
        <f aca="false">PR_PH(Q$2,$A74)</f>
        <v>2015</v>
      </c>
      <c r="R74" s="39" t="n">
        <f aca="false">PR_PH(R$2,$A74)</f>
        <v>2015</v>
      </c>
      <c r="S74" s="39" t="n">
        <f aca="false">PR_PH(S$2,$A74)</f>
        <v>2015</v>
      </c>
      <c r="T74" s="39" t="n">
        <f aca="false">PR_PH(T$2,$A74)</f>
        <v>2015</v>
      </c>
      <c r="U74" s="39" t="n">
        <f aca="false">PR_PH(U$2,$A74)</f>
        <v>2015</v>
      </c>
      <c r="V74" s="39" t="n">
        <f aca="false">PR_PH(V$2,$A74)</f>
        <v>2015</v>
      </c>
      <c r="W74" s="39" t="n">
        <f aca="false">PR_PH(W$2,$A74)</f>
        <v>2015</v>
      </c>
      <c r="X74" s="39" t="n">
        <f aca="false">PR_PH(X$2,$A74)</f>
        <v>2015</v>
      </c>
      <c r="Y74" s="39" t="n">
        <f aca="false">PR_PH(Y$2,$A74)</f>
        <v>2015</v>
      </c>
      <c r="Z74" s="39" t="n">
        <f aca="false">PR_PH(Z$2,$A74)</f>
        <v>2015</v>
      </c>
      <c r="AA74" s="39" t="n">
        <f aca="false">PR_PH(AA$2,$A74)</f>
        <v>2015</v>
      </c>
      <c r="AB74" s="39" t="n">
        <f aca="false">PR_PH(AB$2,$A74)</f>
        <v>2015</v>
      </c>
      <c r="AC74" s="39" t="n">
        <f aca="false">PR_PH(AC$2,$A74)</f>
        <v>2015</v>
      </c>
      <c r="AD74" s="39" t="n">
        <f aca="false">PR_PH(AD$2,$A74)</f>
        <v>2015</v>
      </c>
      <c r="AE74" s="39" t="n">
        <f aca="false">PR_PH(AE$2,$A74)</f>
        <v>2015</v>
      </c>
      <c r="AF74" s="39" t="n">
        <f aca="false">PR_PH(AF$2,$A74)</f>
        <v>2015</v>
      </c>
      <c r="AG74" s="39" t="n">
        <f aca="false">PR_PH(AG$2,$A74)</f>
        <v>2015</v>
      </c>
      <c r="AH74" s="39" t="n">
        <f aca="false">PR_PH(AH$2,$A74)</f>
        <v>2015</v>
      </c>
      <c r="AI74" s="39" t="n">
        <f aca="false">PR_PH(AI$2,$A74)</f>
        <v>2015</v>
      </c>
      <c r="AJ74" s="39" t="n">
        <f aca="false">PR_PH(AJ$2,$A74)</f>
        <v>2015</v>
      </c>
      <c r="AK74" s="39" t="n">
        <f aca="false">PR_PH(AK$2,$A74)</f>
        <v>2015</v>
      </c>
      <c r="AL74" s="39" t="n">
        <f aca="false">PR_PH(AL$2,$A74)</f>
        <v>2015</v>
      </c>
      <c r="AM74" s="39" t="n">
        <f aca="false">PR_PH(AM$2,$A74)</f>
        <v>2015</v>
      </c>
      <c r="AN74" s="39" t="n">
        <f aca="false">PR_PH(AN$2,$A74)</f>
        <v>2015</v>
      </c>
      <c r="AO74" s="39" t="n">
        <f aca="false">PR_PH(AO$2,$A74)</f>
        <v>2015</v>
      </c>
      <c r="AP74" s="39" t="n">
        <f aca="false">PR_PH(AP$2,$A74)</f>
        <v>2015</v>
      </c>
      <c r="AQ74" s="39" t="n">
        <f aca="false">PR_PH(AQ$2,$A74)</f>
        <v>2015</v>
      </c>
    </row>
    <row r="75" customFormat="false" ht="13.8" hidden="false" customHeight="false" outlineLevel="0" collapsed="false">
      <c r="A75" s="0" t="n">
        <v>2350</v>
      </c>
      <c r="B75" s="39" t="n">
        <f aca="false">PR_PH(B$2,$A75)</f>
        <v>2015</v>
      </c>
      <c r="C75" s="39" t="n">
        <f aca="false">PR_PH(C$2,$A75)</f>
        <v>2015</v>
      </c>
      <c r="D75" s="39" t="n">
        <f aca="false">PR_PH(D$2,$A75)</f>
        <v>2015</v>
      </c>
      <c r="E75" s="39" t="n">
        <f aca="false">PR_PH(E$2,$A75)</f>
        <v>2015</v>
      </c>
      <c r="F75" s="39" t="n">
        <f aca="false">PR_PH(F$2,$A75)</f>
        <v>2015</v>
      </c>
      <c r="G75" s="39" t="n">
        <f aca="false">PR_PH(G$2,$A75)</f>
        <v>2015</v>
      </c>
      <c r="H75" s="39" t="n">
        <f aca="false">PR_PH(H$2,$A75)</f>
        <v>2015</v>
      </c>
      <c r="I75" s="39" t="n">
        <f aca="false">PR_PH(I$2,$A75)</f>
        <v>2015</v>
      </c>
      <c r="J75" s="39" t="n">
        <f aca="false">PR_PH(J$2,$A75)</f>
        <v>2015</v>
      </c>
      <c r="K75" s="39" t="n">
        <f aca="false">PR_PH(K$2,$A75)</f>
        <v>2015</v>
      </c>
      <c r="L75" s="39" t="n">
        <f aca="false">PR_PH(L$2,$A75)</f>
        <v>2015</v>
      </c>
      <c r="M75" s="39" t="n">
        <f aca="false">PR_PH(M$2,$A75)</f>
        <v>2015</v>
      </c>
      <c r="N75" s="39" t="n">
        <f aca="false">PR_PH(N$2,$A75)</f>
        <v>2015</v>
      </c>
      <c r="O75" s="39" t="n">
        <f aca="false">PR_PH(O$2,$A75)</f>
        <v>2015</v>
      </c>
      <c r="P75" s="39" t="n">
        <f aca="false">PR_PH(P$2,$A75)</f>
        <v>2015</v>
      </c>
      <c r="Q75" s="39" t="n">
        <f aca="false">PR_PH(Q$2,$A75)</f>
        <v>2015</v>
      </c>
      <c r="R75" s="39" t="n">
        <f aca="false">PR_PH(R$2,$A75)</f>
        <v>2015</v>
      </c>
      <c r="S75" s="39" t="n">
        <f aca="false">PR_PH(S$2,$A75)</f>
        <v>2015</v>
      </c>
      <c r="T75" s="39" t="n">
        <f aca="false">PR_PH(T$2,$A75)</f>
        <v>2015</v>
      </c>
      <c r="U75" s="39" t="n">
        <f aca="false">PR_PH(U$2,$A75)</f>
        <v>2015</v>
      </c>
      <c r="V75" s="39" t="n">
        <f aca="false">PR_PH(V$2,$A75)</f>
        <v>2015</v>
      </c>
      <c r="W75" s="39" t="n">
        <f aca="false">PR_PH(W$2,$A75)</f>
        <v>2015</v>
      </c>
      <c r="X75" s="39" t="n">
        <f aca="false">PR_PH(X$2,$A75)</f>
        <v>2015</v>
      </c>
      <c r="Y75" s="39" t="n">
        <f aca="false">PR_PH(Y$2,$A75)</f>
        <v>2015</v>
      </c>
      <c r="Z75" s="39" t="n">
        <f aca="false">PR_PH(Z$2,$A75)</f>
        <v>2015</v>
      </c>
      <c r="AA75" s="39" t="n">
        <f aca="false">PR_PH(AA$2,$A75)</f>
        <v>2015</v>
      </c>
      <c r="AB75" s="39" t="n">
        <f aca="false">PR_PH(AB$2,$A75)</f>
        <v>2015</v>
      </c>
      <c r="AC75" s="39" t="n">
        <f aca="false">PR_PH(AC$2,$A75)</f>
        <v>2015</v>
      </c>
      <c r="AD75" s="39" t="n">
        <f aca="false">PR_PH(AD$2,$A75)</f>
        <v>2015</v>
      </c>
      <c r="AE75" s="39" t="n">
        <f aca="false">PR_PH(AE$2,$A75)</f>
        <v>2015</v>
      </c>
      <c r="AF75" s="39" t="n">
        <f aca="false">PR_PH(AF$2,$A75)</f>
        <v>2015</v>
      </c>
      <c r="AG75" s="39" t="n">
        <f aca="false">PR_PH(AG$2,$A75)</f>
        <v>2015</v>
      </c>
      <c r="AH75" s="39" t="n">
        <f aca="false">PR_PH(AH$2,$A75)</f>
        <v>2015</v>
      </c>
      <c r="AI75" s="39" t="n">
        <f aca="false">PR_PH(AI$2,$A75)</f>
        <v>2015</v>
      </c>
      <c r="AJ75" s="39" t="n">
        <f aca="false">PR_PH(AJ$2,$A75)</f>
        <v>2015</v>
      </c>
      <c r="AK75" s="39" t="n">
        <f aca="false">PR_PH(AK$2,$A75)</f>
        <v>2015</v>
      </c>
      <c r="AL75" s="39" t="n">
        <f aca="false">PR_PH(AL$2,$A75)</f>
        <v>2015</v>
      </c>
      <c r="AM75" s="39" t="n">
        <f aca="false">PR_PH(AM$2,$A75)</f>
        <v>2015</v>
      </c>
      <c r="AN75" s="39" t="n">
        <f aca="false">PR_PH(AN$2,$A75)</f>
        <v>2015</v>
      </c>
      <c r="AO75" s="39" t="n">
        <f aca="false">PR_PH(AO$2,$A75)</f>
        <v>2015</v>
      </c>
      <c r="AP75" s="39" t="n">
        <f aca="false">PR_PH(AP$2,$A75)</f>
        <v>2015</v>
      </c>
      <c r="AQ75" s="39" t="n">
        <f aca="false">PR_PH(AQ$2,$A75)</f>
        <v>2015</v>
      </c>
    </row>
    <row r="76" customFormat="false" ht="13.8" hidden="false" customHeight="false" outlineLevel="0" collapsed="false">
      <c r="A76" s="0" t="n">
        <v>2360</v>
      </c>
      <c r="B76" s="39" t="n">
        <f aca="false">PR_PH(B$2,$A76)</f>
        <v>2015</v>
      </c>
      <c r="C76" s="39" t="n">
        <f aca="false">PR_PH(C$2,$A76)</f>
        <v>2015</v>
      </c>
      <c r="D76" s="39" t="n">
        <f aca="false">PR_PH(D$2,$A76)</f>
        <v>2015</v>
      </c>
      <c r="E76" s="39" t="n">
        <f aca="false">PR_PH(E$2,$A76)</f>
        <v>2015</v>
      </c>
      <c r="F76" s="39" t="n">
        <f aca="false">PR_PH(F$2,$A76)</f>
        <v>2015</v>
      </c>
      <c r="G76" s="39" t="n">
        <f aca="false">PR_PH(G$2,$A76)</f>
        <v>2015</v>
      </c>
      <c r="H76" s="39" t="n">
        <f aca="false">PR_PH(H$2,$A76)</f>
        <v>2015</v>
      </c>
      <c r="I76" s="39" t="n">
        <f aca="false">PR_PH(I$2,$A76)</f>
        <v>2015</v>
      </c>
      <c r="J76" s="39" t="n">
        <f aca="false">PR_PH(J$2,$A76)</f>
        <v>2015</v>
      </c>
      <c r="K76" s="39" t="n">
        <f aca="false">PR_PH(K$2,$A76)</f>
        <v>2015</v>
      </c>
      <c r="L76" s="39" t="n">
        <f aca="false">PR_PH(L$2,$A76)</f>
        <v>2015</v>
      </c>
      <c r="M76" s="39" t="n">
        <f aca="false">PR_PH(M$2,$A76)</f>
        <v>2015</v>
      </c>
      <c r="N76" s="39" t="n">
        <f aca="false">PR_PH(N$2,$A76)</f>
        <v>2015</v>
      </c>
      <c r="O76" s="39" t="n">
        <f aca="false">PR_PH(O$2,$A76)</f>
        <v>2015</v>
      </c>
      <c r="P76" s="39" t="n">
        <f aca="false">PR_PH(P$2,$A76)</f>
        <v>2015</v>
      </c>
      <c r="Q76" s="39" t="n">
        <f aca="false">PR_PH(Q$2,$A76)</f>
        <v>2015</v>
      </c>
      <c r="R76" s="39" t="n">
        <f aca="false">PR_PH(R$2,$A76)</f>
        <v>2015</v>
      </c>
      <c r="S76" s="39" t="n">
        <f aca="false">PR_PH(S$2,$A76)</f>
        <v>2015</v>
      </c>
      <c r="T76" s="39" t="n">
        <f aca="false">PR_PH(T$2,$A76)</f>
        <v>2015</v>
      </c>
      <c r="U76" s="39" t="n">
        <f aca="false">PR_PH(U$2,$A76)</f>
        <v>2015</v>
      </c>
      <c r="V76" s="39" t="n">
        <f aca="false">PR_PH(V$2,$A76)</f>
        <v>2015</v>
      </c>
      <c r="W76" s="39" t="n">
        <f aca="false">PR_PH(W$2,$A76)</f>
        <v>2015</v>
      </c>
      <c r="X76" s="39" t="n">
        <f aca="false">PR_PH(X$2,$A76)</f>
        <v>2015</v>
      </c>
      <c r="Y76" s="39" t="n">
        <f aca="false">PR_PH(Y$2,$A76)</f>
        <v>2015</v>
      </c>
      <c r="Z76" s="39" t="n">
        <f aca="false">PR_PH(Z$2,$A76)</f>
        <v>2015</v>
      </c>
      <c r="AA76" s="39" t="n">
        <f aca="false">PR_PH(AA$2,$A76)</f>
        <v>2015</v>
      </c>
      <c r="AB76" s="39" t="n">
        <f aca="false">PR_PH(AB$2,$A76)</f>
        <v>2015</v>
      </c>
      <c r="AC76" s="39" t="n">
        <f aca="false">PR_PH(AC$2,$A76)</f>
        <v>2015</v>
      </c>
      <c r="AD76" s="39" t="n">
        <f aca="false">PR_PH(AD$2,$A76)</f>
        <v>2015</v>
      </c>
      <c r="AE76" s="39" t="n">
        <f aca="false">PR_PH(AE$2,$A76)</f>
        <v>2015</v>
      </c>
      <c r="AF76" s="39" t="n">
        <f aca="false">PR_PH(AF$2,$A76)</f>
        <v>2015</v>
      </c>
      <c r="AG76" s="39" t="n">
        <f aca="false">PR_PH(AG$2,$A76)</f>
        <v>2015</v>
      </c>
      <c r="AH76" s="39" t="n">
        <f aca="false">PR_PH(AH$2,$A76)</f>
        <v>2015</v>
      </c>
      <c r="AI76" s="39" t="n">
        <f aca="false">PR_PH(AI$2,$A76)</f>
        <v>2015</v>
      </c>
      <c r="AJ76" s="39" t="n">
        <f aca="false">PR_PH(AJ$2,$A76)</f>
        <v>2015</v>
      </c>
      <c r="AK76" s="39" t="n">
        <f aca="false">PR_PH(AK$2,$A76)</f>
        <v>2015</v>
      </c>
      <c r="AL76" s="39" t="n">
        <f aca="false">PR_PH(AL$2,$A76)</f>
        <v>2015</v>
      </c>
      <c r="AM76" s="39" t="n">
        <f aca="false">PR_PH(AM$2,$A76)</f>
        <v>2015</v>
      </c>
      <c r="AN76" s="39" t="n">
        <f aca="false">PR_PH(AN$2,$A76)</f>
        <v>2015</v>
      </c>
      <c r="AO76" s="39" t="n">
        <f aca="false">PR_PH(AO$2,$A76)</f>
        <v>2015</v>
      </c>
      <c r="AP76" s="39" t="n">
        <f aca="false">PR_PH(AP$2,$A76)</f>
        <v>2015</v>
      </c>
      <c r="AQ76" s="39" t="n">
        <f aca="false">PR_PH(AQ$2,$A76)</f>
        <v>2015</v>
      </c>
    </row>
    <row r="77" customFormat="false" ht="13.8" hidden="false" customHeight="false" outlineLevel="0" collapsed="false">
      <c r="A77" s="0" t="n">
        <v>2370</v>
      </c>
      <c r="B77" s="39" t="n">
        <f aca="false">PR_PH(B$2,$A77)</f>
        <v>2015</v>
      </c>
      <c r="C77" s="39" t="n">
        <f aca="false">PR_PH(C$2,$A77)</f>
        <v>2015</v>
      </c>
      <c r="D77" s="39" t="n">
        <f aca="false">PR_PH(D$2,$A77)</f>
        <v>2015</v>
      </c>
      <c r="E77" s="39" t="n">
        <f aca="false">PR_PH(E$2,$A77)</f>
        <v>2015</v>
      </c>
      <c r="F77" s="39" t="n">
        <f aca="false">PR_PH(F$2,$A77)</f>
        <v>2015</v>
      </c>
      <c r="G77" s="39" t="n">
        <f aca="false">PR_PH(G$2,$A77)</f>
        <v>2015</v>
      </c>
      <c r="H77" s="39" t="n">
        <f aca="false">PR_PH(H$2,$A77)</f>
        <v>2015</v>
      </c>
      <c r="I77" s="39" t="n">
        <f aca="false">PR_PH(I$2,$A77)</f>
        <v>2015</v>
      </c>
      <c r="J77" s="39" t="n">
        <f aca="false">PR_PH(J$2,$A77)</f>
        <v>2015</v>
      </c>
      <c r="K77" s="39" t="n">
        <f aca="false">PR_PH(K$2,$A77)</f>
        <v>2015</v>
      </c>
      <c r="L77" s="39" t="n">
        <f aca="false">PR_PH(L$2,$A77)</f>
        <v>2015</v>
      </c>
      <c r="M77" s="39" t="n">
        <f aca="false">PR_PH(M$2,$A77)</f>
        <v>2015</v>
      </c>
      <c r="N77" s="39" t="n">
        <f aca="false">PR_PH(N$2,$A77)</f>
        <v>2015</v>
      </c>
      <c r="O77" s="39" t="n">
        <f aca="false">PR_PH(O$2,$A77)</f>
        <v>2015</v>
      </c>
      <c r="P77" s="39" t="n">
        <f aca="false">PR_PH(P$2,$A77)</f>
        <v>2015</v>
      </c>
      <c r="Q77" s="39" t="n">
        <f aca="false">PR_PH(Q$2,$A77)</f>
        <v>2015</v>
      </c>
      <c r="R77" s="39" t="n">
        <f aca="false">PR_PH(R$2,$A77)</f>
        <v>2015</v>
      </c>
      <c r="S77" s="39" t="n">
        <f aca="false">PR_PH(S$2,$A77)</f>
        <v>2015</v>
      </c>
      <c r="T77" s="39" t="n">
        <f aca="false">PR_PH(T$2,$A77)</f>
        <v>2015</v>
      </c>
      <c r="U77" s="39" t="n">
        <f aca="false">PR_PH(U$2,$A77)</f>
        <v>2015</v>
      </c>
      <c r="V77" s="39" t="n">
        <f aca="false">PR_PH(V$2,$A77)</f>
        <v>2015</v>
      </c>
      <c r="W77" s="39" t="n">
        <f aca="false">PR_PH(W$2,$A77)</f>
        <v>2015</v>
      </c>
      <c r="X77" s="39" t="n">
        <f aca="false">PR_PH(X$2,$A77)</f>
        <v>2015</v>
      </c>
      <c r="Y77" s="39" t="n">
        <f aca="false">PR_PH(Y$2,$A77)</f>
        <v>2015</v>
      </c>
      <c r="Z77" s="39" t="n">
        <f aca="false">PR_PH(Z$2,$A77)</f>
        <v>2015</v>
      </c>
      <c r="AA77" s="39" t="n">
        <f aca="false">PR_PH(AA$2,$A77)</f>
        <v>2015</v>
      </c>
      <c r="AB77" s="39" t="n">
        <f aca="false">PR_PH(AB$2,$A77)</f>
        <v>2015</v>
      </c>
      <c r="AC77" s="39" t="n">
        <f aca="false">PR_PH(AC$2,$A77)</f>
        <v>2015</v>
      </c>
      <c r="AD77" s="39" t="n">
        <f aca="false">PR_PH(AD$2,$A77)</f>
        <v>2015</v>
      </c>
      <c r="AE77" s="39" t="n">
        <f aca="false">PR_PH(AE$2,$A77)</f>
        <v>2015</v>
      </c>
      <c r="AF77" s="39" t="n">
        <f aca="false">PR_PH(AF$2,$A77)</f>
        <v>2015</v>
      </c>
      <c r="AG77" s="39" t="n">
        <f aca="false">PR_PH(AG$2,$A77)</f>
        <v>2015</v>
      </c>
      <c r="AH77" s="39" t="n">
        <f aca="false">PR_PH(AH$2,$A77)</f>
        <v>2015</v>
      </c>
      <c r="AI77" s="39" t="n">
        <f aca="false">PR_PH(AI$2,$A77)</f>
        <v>2015</v>
      </c>
      <c r="AJ77" s="39" t="n">
        <f aca="false">PR_PH(AJ$2,$A77)</f>
        <v>2015</v>
      </c>
      <c r="AK77" s="39" t="n">
        <f aca="false">PR_PH(AK$2,$A77)</f>
        <v>2015</v>
      </c>
      <c r="AL77" s="39" t="n">
        <f aca="false">PR_PH(AL$2,$A77)</f>
        <v>2015</v>
      </c>
      <c r="AM77" s="39" t="n">
        <f aca="false">PR_PH(AM$2,$A77)</f>
        <v>2015</v>
      </c>
      <c r="AN77" s="39" t="n">
        <f aca="false">PR_PH(AN$2,$A77)</f>
        <v>2015</v>
      </c>
      <c r="AO77" s="39" t="n">
        <f aca="false">PR_PH(AO$2,$A77)</f>
        <v>2015</v>
      </c>
      <c r="AP77" s="39" t="n">
        <f aca="false">PR_PH(AP$2,$A77)</f>
        <v>2015</v>
      </c>
      <c r="AQ77" s="39" t="n">
        <f aca="false">PR_PH(AQ$2,$A77)</f>
        <v>2015</v>
      </c>
    </row>
    <row r="78" customFormat="false" ht="13.8" hidden="false" customHeight="false" outlineLevel="0" collapsed="false">
      <c r="A78" s="0" t="n">
        <v>2380</v>
      </c>
      <c r="B78" s="39" t="n">
        <f aca="false">PR_PH(B$2,$A78)</f>
        <v>2015</v>
      </c>
      <c r="C78" s="39" t="n">
        <f aca="false">PR_PH(C$2,$A78)</f>
        <v>2015</v>
      </c>
      <c r="D78" s="39" t="n">
        <f aca="false">PR_PH(D$2,$A78)</f>
        <v>2015</v>
      </c>
      <c r="E78" s="39" t="n">
        <f aca="false">PR_PH(E$2,$A78)</f>
        <v>2015</v>
      </c>
      <c r="F78" s="39" t="n">
        <f aca="false">PR_PH(F$2,$A78)</f>
        <v>2015</v>
      </c>
      <c r="G78" s="39" t="n">
        <f aca="false">PR_PH(G$2,$A78)</f>
        <v>2015</v>
      </c>
      <c r="H78" s="39" t="n">
        <f aca="false">PR_PH(H$2,$A78)</f>
        <v>2015</v>
      </c>
      <c r="I78" s="39" t="n">
        <f aca="false">PR_PH(I$2,$A78)</f>
        <v>2015</v>
      </c>
      <c r="J78" s="39" t="n">
        <f aca="false">PR_PH(J$2,$A78)</f>
        <v>2015</v>
      </c>
      <c r="K78" s="39" t="n">
        <f aca="false">PR_PH(K$2,$A78)</f>
        <v>2015</v>
      </c>
      <c r="L78" s="39" t="n">
        <f aca="false">PR_PH(L$2,$A78)</f>
        <v>2015</v>
      </c>
      <c r="M78" s="39" t="n">
        <f aca="false">PR_PH(M$2,$A78)</f>
        <v>2015</v>
      </c>
      <c r="N78" s="39" t="n">
        <f aca="false">PR_PH(N$2,$A78)</f>
        <v>2015</v>
      </c>
      <c r="O78" s="39" t="n">
        <f aca="false">PR_PH(O$2,$A78)</f>
        <v>2015</v>
      </c>
      <c r="P78" s="39" t="n">
        <f aca="false">PR_PH(P$2,$A78)</f>
        <v>2015</v>
      </c>
      <c r="Q78" s="39" t="n">
        <f aca="false">PR_PH(Q$2,$A78)</f>
        <v>2015</v>
      </c>
      <c r="R78" s="39" t="n">
        <f aca="false">PR_PH(R$2,$A78)</f>
        <v>2015</v>
      </c>
      <c r="S78" s="39" t="n">
        <f aca="false">PR_PH(S$2,$A78)</f>
        <v>2015</v>
      </c>
      <c r="T78" s="39" t="n">
        <f aca="false">PR_PH(T$2,$A78)</f>
        <v>2015</v>
      </c>
      <c r="U78" s="39" t="n">
        <f aca="false">PR_PH(U$2,$A78)</f>
        <v>2015</v>
      </c>
      <c r="V78" s="39" t="n">
        <f aca="false">PR_PH(V$2,$A78)</f>
        <v>2015</v>
      </c>
      <c r="W78" s="39" t="n">
        <f aca="false">PR_PH(W$2,$A78)</f>
        <v>2015</v>
      </c>
      <c r="X78" s="39" t="n">
        <f aca="false">PR_PH(X$2,$A78)</f>
        <v>2015</v>
      </c>
      <c r="Y78" s="39" t="n">
        <f aca="false">PR_PH(Y$2,$A78)</f>
        <v>2015</v>
      </c>
      <c r="Z78" s="39" t="n">
        <f aca="false">PR_PH(Z$2,$A78)</f>
        <v>2015</v>
      </c>
      <c r="AA78" s="39" t="n">
        <f aca="false">PR_PH(AA$2,$A78)</f>
        <v>2015</v>
      </c>
      <c r="AB78" s="39" t="n">
        <f aca="false">PR_PH(AB$2,$A78)</f>
        <v>2015</v>
      </c>
      <c r="AC78" s="39" t="n">
        <f aca="false">PR_PH(AC$2,$A78)</f>
        <v>2015</v>
      </c>
      <c r="AD78" s="39" t="n">
        <f aca="false">PR_PH(AD$2,$A78)</f>
        <v>2015</v>
      </c>
      <c r="AE78" s="39" t="n">
        <f aca="false">PR_PH(AE$2,$A78)</f>
        <v>2015</v>
      </c>
      <c r="AF78" s="39" t="n">
        <f aca="false">PR_PH(AF$2,$A78)</f>
        <v>2015</v>
      </c>
      <c r="AG78" s="39" t="n">
        <f aca="false">PR_PH(AG$2,$A78)</f>
        <v>2015</v>
      </c>
      <c r="AH78" s="39" t="n">
        <f aca="false">PR_PH(AH$2,$A78)</f>
        <v>2015</v>
      </c>
      <c r="AI78" s="39" t="n">
        <f aca="false">PR_PH(AI$2,$A78)</f>
        <v>2015</v>
      </c>
      <c r="AJ78" s="39" t="n">
        <f aca="false">PR_PH(AJ$2,$A78)</f>
        <v>2015</v>
      </c>
      <c r="AK78" s="39" t="n">
        <f aca="false">PR_PH(AK$2,$A78)</f>
        <v>2015</v>
      </c>
      <c r="AL78" s="39" t="n">
        <f aca="false">PR_PH(AL$2,$A78)</f>
        <v>2015</v>
      </c>
      <c r="AM78" s="39" t="n">
        <f aca="false">PR_PH(AM$2,$A78)</f>
        <v>2015</v>
      </c>
      <c r="AN78" s="39" t="n">
        <f aca="false">PR_PH(AN$2,$A78)</f>
        <v>2015</v>
      </c>
      <c r="AO78" s="39" t="n">
        <f aca="false">PR_PH(AO$2,$A78)</f>
        <v>2015</v>
      </c>
      <c r="AP78" s="39" t="n">
        <f aca="false">PR_PH(AP$2,$A78)</f>
        <v>2015</v>
      </c>
      <c r="AQ78" s="39" t="n">
        <f aca="false">PR_PH(AQ$2,$A78)</f>
        <v>2015</v>
      </c>
    </row>
    <row r="79" customFormat="false" ht="13.8" hidden="false" customHeight="false" outlineLevel="0" collapsed="false">
      <c r="A79" s="0" t="n">
        <v>2390</v>
      </c>
      <c r="B79" s="39" t="n">
        <f aca="false">PR_PH(B$2,$A79)</f>
        <v>2015</v>
      </c>
      <c r="C79" s="39" t="n">
        <f aca="false">PR_PH(C$2,$A79)</f>
        <v>2015</v>
      </c>
      <c r="D79" s="39" t="n">
        <f aca="false">PR_PH(D$2,$A79)</f>
        <v>2015</v>
      </c>
      <c r="E79" s="39" t="n">
        <f aca="false">PR_PH(E$2,$A79)</f>
        <v>2015</v>
      </c>
      <c r="F79" s="39" t="n">
        <f aca="false">PR_PH(F$2,$A79)</f>
        <v>2015</v>
      </c>
      <c r="G79" s="39" t="n">
        <f aca="false">PR_PH(G$2,$A79)</f>
        <v>2015</v>
      </c>
      <c r="H79" s="39" t="n">
        <f aca="false">PR_PH(H$2,$A79)</f>
        <v>2015</v>
      </c>
      <c r="I79" s="39" t="n">
        <f aca="false">PR_PH(I$2,$A79)</f>
        <v>2015</v>
      </c>
      <c r="J79" s="39" t="n">
        <f aca="false">PR_PH(J$2,$A79)</f>
        <v>2015</v>
      </c>
      <c r="K79" s="39" t="n">
        <f aca="false">PR_PH(K$2,$A79)</f>
        <v>2015</v>
      </c>
      <c r="L79" s="39" t="n">
        <f aca="false">PR_PH(L$2,$A79)</f>
        <v>2015</v>
      </c>
      <c r="M79" s="39" t="n">
        <f aca="false">PR_PH(M$2,$A79)</f>
        <v>2015</v>
      </c>
      <c r="N79" s="39" t="n">
        <f aca="false">PR_PH(N$2,$A79)</f>
        <v>2015</v>
      </c>
      <c r="O79" s="39" t="n">
        <f aca="false">PR_PH(O$2,$A79)</f>
        <v>2015</v>
      </c>
      <c r="P79" s="39" t="n">
        <f aca="false">PR_PH(P$2,$A79)</f>
        <v>2015</v>
      </c>
      <c r="Q79" s="39" t="n">
        <f aca="false">PR_PH(Q$2,$A79)</f>
        <v>2015</v>
      </c>
      <c r="R79" s="39" t="n">
        <f aca="false">PR_PH(R$2,$A79)</f>
        <v>2015</v>
      </c>
      <c r="S79" s="39" t="n">
        <f aca="false">PR_PH(S$2,$A79)</f>
        <v>2015</v>
      </c>
      <c r="T79" s="39" t="n">
        <f aca="false">PR_PH(T$2,$A79)</f>
        <v>2015</v>
      </c>
      <c r="U79" s="39" t="n">
        <f aca="false">PR_PH(U$2,$A79)</f>
        <v>2015</v>
      </c>
      <c r="V79" s="39" t="n">
        <f aca="false">PR_PH(V$2,$A79)</f>
        <v>2015</v>
      </c>
      <c r="W79" s="39" t="n">
        <f aca="false">PR_PH(W$2,$A79)</f>
        <v>2015</v>
      </c>
      <c r="X79" s="39" t="n">
        <f aca="false">PR_PH(X$2,$A79)</f>
        <v>2015</v>
      </c>
      <c r="Y79" s="39" t="n">
        <f aca="false">PR_PH(Y$2,$A79)</f>
        <v>2015</v>
      </c>
      <c r="Z79" s="39" t="n">
        <f aca="false">PR_PH(Z$2,$A79)</f>
        <v>2015</v>
      </c>
      <c r="AA79" s="39" t="n">
        <f aca="false">PR_PH(AA$2,$A79)</f>
        <v>2015</v>
      </c>
      <c r="AB79" s="39" t="n">
        <f aca="false">PR_PH(AB$2,$A79)</f>
        <v>2015</v>
      </c>
      <c r="AC79" s="39" t="n">
        <f aca="false">PR_PH(AC$2,$A79)</f>
        <v>2015</v>
      </c>
      <c r="AD79" s="39" t="n">
        <f aca="false">PR_PH(AD$2,$A79)</f>
        <v>2015</v>
      </c>
      <c r="AE79" s="39" t="n">
        <f aca="false">PR_PH(AE$2,$A79)</f>
        <v>2015</v>
      </c>
      <c r="AF79" s="39" t="n">
        <f aca="false">PR_PH(AF$2,$A79)</f>
        <v>2015</v>
      </c>
      <c r="AG79" s="39" t="n">
        <f aca="false">PR_PH(AG$2,$A79)</f>
        <v>2015</v>
      </c>
      <c r="AH79" s="39" t="n">
        <f aca="false">PR_PH(AH$2,$A79)</f>
        <v>2015</v>
      </c>
      <c r="AI79" s="39" t="n">
        <f aca="false">PR_PH(AI$2,$A79)</f>
        <v>2015</v>
      </c>
      <c r="AJ79" s="39" t="n">
        <f aca="false">PR_PH(AJ$2,$A79)</f>
        <v>2015</v>
      </c>
      <c r="AK79" s="39" t="n">
        <f aca="false">PR_PH(AK$2,$A79)</f>
        <v>2015</v>
      </c>
      <c r="AL79" s="39" t="n">
        <f aca="false">PR_PH(AL$2,$A79)</f>
        <v>2015</v>
      </c>
      <c r="AM79" s="39" t="n">
        <f aca="false">PR_PH(AM$2,$A79)</f>
        <v>2015</v>
      </c>
      <c r="AN79" s="39" t="n">
        <f aca="false">PR_PH(AN$2,$A79)</f>
        <v>2015</v>
      </c>
      <c r="AO79" s="39" t="n">
        <f aca="false">PR_PH(AO$2,$A79)</f>
        <v>2015</v>
      </c>
      <c r="AP79" s="39" t="n">
        <f aca="false">PR_PH(AP$2,$A79)</f>
        <v>2015</v>
      </c>
      <c r="AQ79" s="39" t="n">
        <f aca="false">PR_PH(AQ$2,$A79)</f>
        <v>2015</v>
      </c>
    </row>
    <row r="80" customFormat="false" ht="13.8" hidden="false" customHeight="false" outlineLevel="0" collapsed="false">
      <c r="A80" s="0" t="n">
        <v>2400</v>
      </c>
      <c r="B80" s="39" t="n">
        <f aca="false">PR_PH(B$2,$A80)</f>
        <v>2015</v>
      </c>
      <c r="C80" s="39" t="n">
        <f aca="false">PR_PH(C$2,$A80)</f>
        <v>2015</v>
      </c>
      <c r="D80" s="39" t="n">
        <f aca="false">PR_PH(D$2,$A80)</f>
        <v>2015</v>
      </c>
      <c r="E80" s="39" t="n">
        <f aca="false">PR_PH(E$2,$A80)</f>
        <v>2015</v>
      </c>
      <c r="F80" s="39" t="n">
        <f aca="false">PR_PH(F$2,$A80)</f>
        <v>2015</v>
      </c>
      <c r="G80" s="39" t="n">
        <f aca="false">PR_PH(G$2,$A80)</f>
        <v>2015</v>
      </c>
      <c r="H80" s="39" t="n">
        <f aca="false">PR_PH(H$2,$A80)</f>
        <v>2015</v>
      </c>
      <c r="I80" s="39" t="n">
        <f aca="false">PR_PH(I$2,$A80)</f>
        <v>2015</v>
      </c>
      <c r="J80" s="39" t="n">
        <f aca="false">PR_PH(J$2,$A80)</f>
        <v>2015</v>
      </c>
      <c r="K80" s="39" t="n">
        <f aca="false">PR_PH(K$2,$A80)</f>
        <v>2015</v>
      </c>
      <c r="L80" s="39" t="n">
        <f aca="false">PR_PH(L$2,$A80)</f>
        <v>2015</v>
      </c>
      <c r="M80" s="39" t="n">
        <f aca="false">PR_PH(M$2,$A80)</f>
        <v>2015</v>
      </c>
      <c r="N80" s="39" t="n">
        <f aca="false">PR_PH(N$2,$A80)</f>
        <v>2015</v>
      </c>
      <c r="O80" s="39" t="n">
        <f aca="false">PR_PH(O$2,$A80)</f>
        <v>2015</v>
      </c>
      <c r="P80" s="39" t="n">
        <f aca="false">PR_PH(P$2,$A80)</f>
        <v>2015</v>
      </c>
      <c r="Q80" s="39" t="n">
        <f aca="false">PR_PH(Q$2,$A80)</f>
        <v>2015</v>
      </c>
      <c r="R80" s="39" t="n">
        <f aca="false">PR_PH(R$2,$A80)</f>
        <v>2015</v>
      </c>
      <c r="S80" s="39" t="n">
        <f aca="false">PR_PH(S$2,$A80)</f>
        <v>2015</v>
      </c>
      <c r="T80" s="39" t="n">
        <f aca="false">PR_PH(T$2,$A80)</f>
        <v>2015</v>
      </c>
      <c r="U80" s="39" t="n">
        <f aca="false">PR_PH(U$2,$A80)</f>
        <v>2015</v>
      </c>
      <c r="V80" s="39" t="n">
        <f aca="false">PR_PH(V$2,$A80)</f>
        <v>2015</v>
      </c>
      <c r="W80" s="39" t="n">
        <f aca="false">PR_PH(W$2,$A80)</f>
        <v>2015</v>
      </c>
      <c r="X80" s="39" t="n">
        <f aca="false">PR_PH(X$2,$A80)</f>
        <v>2015</v>
      </c>
      <c r="Y80" s="39" t="n">
        <f aca="false">PR_PH(Y$2,$A80)</f>
        <v>2015</v>
      </c>
      <c r="Z80" s="39" t="n">
        <f aca="false">PR_PH(Z$2,$A80)</f>
        <v>2015</v>
      </c>
      <c r="AA80" s="39" t="n">
        <f aca="false">PR_PH(AA$2,$A80)</f>
        <v>2015</v>
      </c>
      <c r="AB80" s="39" t="n">
        <f aca="false">PR_PH(AB$2,$A80)</f>
        <v>2015</v>
      </c>
      <c r="AC80" s="39" t="n">
        <f aca="false">PR_PH(AC$2,$A80)</f>
        <v>2015</v>
      </c>
      <c r="AD80" s="39" t="n">
        <f aca="false">PR_PH(AD$2,$A80)</f>
        <v>2015</v>
      </c>
      <c r="AE80" s="39" t="n">
        <f aca="false">PR_PH(AE$2,$A80)</f>
        <v>2015</v>
      </c>
      <c r="AF80" s="39" t="n">
        <f aca="false">PR_PH(AF$2,$A80)</f>
        <v>2015</v>
      </c>
      <c r="AG80" s="39" t="n">
        <f aca="false">PR_PH(AG$2,$A80)</f>
        <v>2015</v>
      </c>
      <c r="AH80" s="39" t="n">
        <f aca="false">PR_PH(AH$2,$A80)</f>
        <v>2015</v>
      </c>
      <c r="AI80" s="39" t="n">
        <f aca="false">PR_PH(AI$2,$A80)</f>
        <v>2015</v>
      </c>
      <c r="AJ80" s="39" t="n">
        <f aca="false">PR_PH(AJ$2,$A80)</f>
        <v>2015</v>
      </c>
      <c r="AK80" s="39" t="n">
        <f aca="false">PR_PH(AK$2,$A80)</f>
        <v>2015</v>
      </c>
      <c r="AL80" s="39" t="n">
        <f aca="false">PR_PH(AL$2,$A80)</f>
        <v>2015</v>
      </c>
      <c r="AM80" s="39" t="n">
        <f aca="false">PR_PH(AM$2,$A80)</f>
        <v>2015</v>
      </c>
      <c r="AN80" s="39" t="n">
        <f aca="false">PR_PH(AN$2,$A80)</f>
        <v>2015</v>
      </c>
      <c r="AO80" s="39" t="n">
        <f aca="false">PR_PH(AO$2,$A80)</f>
        <v>2015</v>
      </c>
      <c r="AP80" s="39" t="n">
        <f aca="false">PR_PH(AP$2,$A80)</f>
        <v>2015</v>
      </c>
      <c r="AQ80" s="39" t="n">
        <f aca="false">PR_PH(AQ$2,$A80)</f>
        <v>2015</v>
      </c>
    </row>
    <row r="81" customFormat="false" ht="13.8" hidden="false" customHeight="false" outlineLevel="0" collapsed="false">
      <c r="A81" s="0" t="n">
        <v>2410</v>
      </c>
      <c r="B81" s="39" t="n">
        <f aca="false">PR_PH(B$2,$A81)</f>
        <v>2015</v>
      </c>
      <c r="C81" s="39" t="n">
        <f aca="false">PR_PH(C$2,$A81)</f>
        <v>2015</v>
      </c>
      <c r="D81" s="39" t="n">
        <f aca="false">PR_PH(D$2,$A81)</f>
        <v>2015</v>
      </c>
      <c r="E81" s="39" t="n">
        <f aca="false">PR_PH(E$2,$A81)</f>
        <v>2015</v>
      </c>
      <c r="F81" s="39" t="n">
        <f aca="false">PR_PH(F$2,$A81)</f>
        <v>2015</v>
      </c>
      <c r="G81" s="39" t="n">
        <f aca="false">PR_PH(G$2,$A81)</f>
        <v>2015</v>
      </c>
      <c r="H81" s="39" t="n">
        <f aca="false">PR_PH(H$2,$A81)</f>
        <v>2015</v>
      </c>
      <c r="I81" s="39" t="n">
        <f aca="false">PR_PH(I$2,$A81)</f>
        <v>2015</v>
      </c>
      <c r="J81" s="39" t="n">
        <f aca="false">PR_PH(J$2,$A81)</f>
        <v>2015</v>
      </c>
      <c r="K81" s="39" t="n">
        <f aca="false">PR_PH(K$2,$A81)</f>
        <v>2015</v>
      </c>
      <c r="L81" s="39" t="n">
        <f aca="false">PR_PH(L$2,$A81)</f>
        <v>2015</v>
      </c>
      <c r="M81" s="39" t="n">
        <f aca="false">PR_PH(M$2,$A81)</f>
        <v>2015</v>
      </c>
      <c r="N81" s="39" t="n">
        <f aca="false">PR_PH(N$2,$A81)</f>
        <v>2015</v>
      </c>
      <c r="O81" s="39" t="n">
        <f aca="false">PR_PH(O$2,$A81)</f>
        <v>2015</v>
      </c>
      <c r="P81" s="39" t="n">
        <f aca="false">PR_PH(P$2,$A81)</f>
        <v>2015</v>
      </c>
      <c r="Q81" s="39" t="n">
        <f aca="false">PR_PH(Q$2,$A81)</f>
        <v>2015</v>
      </c>
      <c r="R81" s="39" t="n">
        <f aca="false">PR_PH(R$2,$A81)</f>
        <v>2015</v>
      </c>
      <c r="S81" s="39" t="n">
        <f aca="false">PR_PH(S$2,$A81)</f>
        <v>2015</v>
      </c>
      <c r="T81" s="39" t="n">
        <f aca="false">PR_PH(T$2,$A81)</f>
        <v>2015</v>
      </c>
      <c r="U81" s="39" t="n">
        <f aca="false">PR_PH(U$2,$A81)</f>
        <v>2015</v>
      </c>
      <c r="V81" s="39" t="n">
        <f aca="false">PR_PH(V$2,$A81)</f>
        <v>2015</v>
      </c>
      <c r="W81" s="39" t="n">
        <f aca="false">PR_PH(W$2,$A81)</f>
        <v>2015</v>
      </c>
      <c r="X81" s="39" t="n">
        <f aca="false">PR_PH(X$2,$A81)</f>
        <v>2015</v>
      </c>
      <c r="Y81" s="39" t="n">
        <f aca="false">PR_PH(Y$2,$A81)</f>
        <v>2015</v>
      </c>
      <c r="Z81" s="39" t="n">
        <f aca="false">PR_PH(Z$2,$A81)</f>
        <v>2015</v>
      </c>
      <c r="AA81" s="39" t="n">
        <f aca="false">PR_PH(AA$2,$A81)</f>
        <v>2015</v>
      </c>
      <c r="AB81" s="39" t="n">
        <f aca="false">PR_PH(AB$2,$A81)</f>
        <v>2015</v>
      </c>
      <c r="AC81" s="39" t="n">
        <f aca="false">PR_PH(AC$2,$A81)</f>
        <v>2015</v>
      </c>
      <c r="AD81" s="39" t="n">
        <f aca="false">PR_PH(AD$2,$A81)</f>
        <v>2015</v>
      </c>
      <c r="AE81" s="39" t="n">
        <f aca="false">PR_PH(AE$2,$A81)</f>
        <v>2015</v>
      </c>
      <c r="AF81" s="39" t="n">
        <f aca="false">PR_PH(AF$2,$A81)</f>
        <v>2015</v>
      </c>
      <c r="AG81" s="39" t="n">
        <f aca="false">PR_PH(AG$2,$A81)</f>
        <v>2015</v>
      </c>
      <c r="AH81" s="39" t="n">
        <f aca="false">PR_PH(AH$2,$A81)</f>
        <v>2015</v>
      </c>
      <c r="AI81" s="39" t="n">
        <f aca="false">PR_PH(AI$2,$A81)</f>
        <v>2015</v>
      </c>
      <c r="AJ81" s="39" t="n">
        <f aca="false">PR_PH(AJ$2,$A81)</f>
        <v>2015</v>
      </c>
      <c r="AK81" s="39" t="n">
        <f aca="false">PR_PH(AK$2,$A81)</f>
        <v>2015</v>
      </c>
      <c r="AL81" s="39" t="n">
        <f aca="false">PR_PH(AL$2,$A81)</f>
        <v>2015</v>
      </c>
      <c r="AM81" s="39" t="n">
        <f aca="false">PR_PH(AM$2,$A81)</f>
        <v>2015</v>
      </c>
      <c r="AN81" s="39" t="n">
        <f aca="false">PR_PH(AN$2,$A81)</f>
        <v>2015</v>
      </c>
      <c r="AO81" s="39" t="n">
        <f aca="false">PR_PH(AO$2,$A81)</f>
        <v>2015</v>
      </c>
      <c r="AP81" s="39" t="n">
        <f aca="false">PR_PH(AP$2,$A81)</f>
        <v>2015</v>
      </c>
      <c r="AQ81" s="39" t="n">
        <f aca="false">PR_PH(AQ$2,$A81)</f>
        <v>2015</v>
      </c>
    </row>
    <row r="82" customFormat="false" ht="13.8" hidden="false" customHeight="false" outlineLevel="0" collapsed="false">
      <c r="A82" s="0" t="n">
        <v>2420</v>
      </c>
      <c r="B82" s="39" t="n">
        <f aca="false">PR_PH(B$2,$A82)</f>
        <v>2015</v>
      </c>
      <c r="C82" s="39" t="n">
        <f aca="false">PR_PH(C$2,$A82)</f>
        <v>2015</v>
      </c>
      <c r="D82" s="39" t="n">
        <f aca="false">PR_PH(D$2,$A82)</f>
        <v>2015</v>
      </c>
      <c r="E82" s="39" t="n">
        <f aca="false">PR_PH(E$2,$A82)</f>
        <v>2015</v>
      </c>
      <c r="F82" s="39" t="n">
        <f aca="false">PR_PH(F$2,$A82)</f>
        <v>2015</v>
      </c>
      <c r="G82" s="39" t="n">
        <f aca="false">PR_PH(G$2,$A82)</f>
        <v>2015</v>
      </c>
      <c r="H82" s="39" t="n">
        <f aca="false">PR_PH(H$2,$A82)</f>
        <v>2015</v>
      </c>
      <c r="I82" s="39" t="n">
        <f aca="false">PR_PH(I$2,$A82)</f>
        <v>2015</v>
      </c>
      <c r="J82" s="39" t="n">
        <f aca="false">PR_PH(J$2,$A82)</f>
        <v>2015</v>
      </c>
      <c r="K82" s="39" t="n">
        <f aca="false">PR_PH(K$2,$A82)</f>
        <v>2015</v>
      </c>
      <c r="L82" s="39" t="n">
        <f aca="false">PR_PH(L$2,$A82)</f>
        <v>2015</v>
      </c>
      <c r="M82" s="39" t="n">
        <f aca="false">PR_PH(M$2,$A82)</f>
        <v>2015</v>
      </c>
      <c r="N82" s="39" t="n">
        <f aca="false">PR_PH(N$2,$A82)</f>
        <v>2015</v>
      </c>
      <c r="O82" s="39" t="n">
        <f aca="false">PR_PH(O$2,$A82)</f>
        <v>2015</v>
      </c>
      <c r="P82" s="39" t="n">
        <f aca="false">PR_PH(P$2,$A82)</f>
        <v>2015</v>
      </c>
      <c r="Q82" s="39" t="n">
        <f aca="false">PR_PH(Q$2,$A82)</f>
        <v>2015</v>
      </c>
      <c r="R82" s="39" t="n">
        <f aca="false">PR_PH(R$2,$A82)</f>
        <v>2015</v>
      </c>
      <c r="S82" s="39" t="n">
        <f aca="false">PR_PH(S$2,$A82)</f>
        <v>2015</v>
      </c>
      <c r="T82" s="39" t="n">
        <f aca="false">PR_PH(T$2,$A82)</f>
        <v>2015</v>
      </c>
      <c r="U82" s="39" t="n">
        <f aca="false">PR_PH(U$2,$A82)</f>
        <v>2015</v>
      </c>
      <c r="V82" s="39" t="n">
        <f aca="false">PR_PH(V$2,$A82)</f>
        <v>2015</v>
      </c>
      <c r="W82" s="39" t="n">
        <f aca="false">PR_PH(W$2,$A82)</f>
        <v>2015</v>
      </c>
      <c r="X82" s="39" t="n">
        <f aca="false">PR_PH(X$2,$A82)</f>
        <v>2015</v>
      </c>
      <c r="Y82" s="39" t="n">
        <f aca="false">PR_PH(Y$2,$A82)</f>
        <v>2015</v>
      </c>
      <c r="Z82" s="39" t="n">
        <f aca="false">PR_PH(Z$2,$A82)</f>
        <v>2015</v>
      </c>
      <c r="AA82" s="39" t="n">
        <f aca="false">PR_PH(AA$2,$A82)</f>
        <v>2015</v>
      </c>
      <c r="AB82" s="39" t="n">
        <f aca="false">PR_PH(AB$2,$A82)</f>
        <v>2015</v>
      </c>
      <c r="AC82" s="39" t="n">
        <f aca="false">PR_PH(AC$2,$A82)</f>
        <v>2015</v>
      </c>
      <c r="AD82" s="39" t="n">
        <f aca="false">PR_PH(AD$2,$A82)</f>
        <v>2015</v>
      </c>
      <c r="AE82" s="39" t="n">
        <f aca="false">PR_PH(AE$2,$A82)</f>
        <v>2015</v>
      </c>
      <c r="AF82" s="39" t="n">
        <f aca="false">PR_PH(AF$2,$A82)</f>
        <v>2015</v>
      </c>
      <c r="AG82" s="39" t="n">
        <f aca="false">PR_PH(AG$2,$A82)</f>
        <v>2015</v>
      </c>
      <c r="AH82" s="39" t="n">
        <f aca="false">PR_PH(AH$2,$A82)</f>
        <v>2015</v>
      </c>
      <c r="AI82" s="39" t="n">
        <f aca="false">PR_PH(AI$2,$A82)</f>
        <v>2015</v>
      </c>
      <c r="AJ82" s="39" t="n">
        <f aca="false">PR_PH(AJ$2,$A82)</f>
        <v>2015</v>
      </c>
      <c r="AK82" s="39" t="n">
        <f aca="false">PR_PH(AK$2,$A82)</f>
        <v>2015</v>
      </c>
      <c r="AL82" s="39" t="n">
        <f aca="false">PR_PH(AL$2,$A82)</f>
        <v>2015</v>
      </c>
      <c r="AM82" s="39" t="n">
        <f aca="false">PR_PH(AM$2,$A82)</f>
        <v>2015</v>
      </c>
      <c r="AN82" s="39" t="n">
        <f aca="false">PR_PH(AN$2,$A82)</f>
        <v>2015</v>
      </c>
      <c r="AO82" s="39" t="n">
        <f aca="false">PR_PH(AO$2,$A82)</f>
        <v>2015</v>
      </c>
      <c r="AP82" s="39" t="n">
        <f aca="false">PR_PH(AP$2,$A82)</f>
        <v>2015</v>
      </c>
      <c r="AQ82" s="39" t="n">
        <f aca="false">PR_PH(AQ$2,$A82)</f>
        <v>5.14649803312735</v>
      </c>
    </row>
    <row r="83" customFormat="false" ht="13.8" hidden="false" customHeight="false" outlineLevel="0" collapsed="false">
      <c r="A83" s="0" t="n">
        <v>2430</v>
      </c>
      <c r="B83" s="39" t="n">
        <f aca="false">PR_PH(B$2,$A83)</f>
        <v>2015</v>
      </c>
      <c r="C83" s="39" t="n">
        <f aca="false">PR_PH(C$2,$A83)</f>
        <v>2015</v>
      </c>
      <c r="D83" s="39" t="n">
        <f aca="false">PR_PH(D$2,$A83)</f>
        <v>2015</v>
      </c>
      <c r="E83" s="39" t="n">
        <f aca="false">PR_PH(E$2,$A83)</f>
        <v>2015</v>
      </c>
      <c r="F83" s="39" t="n">
        <f aca="false">PR_PH(F$2,$A83)</f>
        <v>2015</v>
      </c>
      <c r="G83" s="39" t="n">
        <f aca="false">PR_PH(G$2,$A83)</f>
        <v>2015</v>
      </c>
      <c r="H83" s="39" t="n">
        <f aca="false">PR_PH(H$2,$A83)</f>
        <v>2015</v>
      </c>
      <c r="I83" s="39" t="n">
        <f aca="false">PR_PH(I$2,$A83)</f>
        <v>2015</v>
      </c>
      <c r="J83" s="39" t="n">
        <f aca="false">PR_PH(J$2,$A83)</f>
        <v>2015</v>
      </c>
      <c r="K83" s="39" t="n">
        <f aca="false">PR_PH(K$2,$A83)</f>
        <v>2015</v>
      </c>
      <c r="L83" s="39" t="n">
        <f aca="false">PR_PH(L$2,$A83)</f>
        <v>2015</v>
      </c>
      <c r="M83" s="39" t="n">
        <f aca="false">PR_PH(M$2,$A83)</f>
        <v>2015</v>
      </c>
      <c r="N83" s="39" t="n">
        <f aca="false">PR_PH(N$2,$A83)</f>
        <v>2015</v>
      </c>
      <c r="O83" s="39" t="n">
        <f aca="false">PR_PH(O$2,$A83)</f>
        <v>2015</v>
      </c>
      <c r="P83" s="39" t="n">
        <f aca="false">PR_PH(P$2,$A83)</f>
        <v>2015</v>
      </c>
      <c r="Q83" s="39" t="n">
        <f aca="false">PR_PH(Q$2,$A83)</f>
        <v>2015</v>
      </c>
      <c r="R83" s="39" t="n">
        <f aca="false">PR_PH(R$2,$A83)</f>
        <v>2015</v>
      </c>
      <c r="S83" s="39" t="n">
        <f aca="false">PR_PH(S$2,$A83)</f>
        <v>2015</v>
      </c>
      <c r="T83" s="39" t="n">
        <f aca="false">PR_PH(T$2,$A83)</f>
        <v>2015</v>
      </c>
      <c r="U83" s="39" t="n">
        <f aca="false">PR_PH(U$2,$A83)</f>
        <v>2015</v>
      </c>
      <c r="V83" s="39" t="n">
        <f aca="false">PR_PH(V$2,$A83)</f>
        <v>2015</v>
      </c>
      <c r="W83" s="39" t="n">
        <f aca="false">PR_PH(W$2,$A83)</f>
        <v>2015</v>
      </c>
      <c r="X83" s="39" t="n">
        <f aca="false">PR_PH(X$2,$A83)</f>
        <v>2015</v>
      </c>
      <c r="Y83" s="39" t="n">
        <f aca="false">PR_PH(Y$2,$A83)</f>
        <v>2015</v>
      </c>
      <c r="Z83" s="39" t="n">
        <f aca="false">PR_PH(Z$2,$A83)</f>
        <v>2015</v>
      </c>
      <c r="AA83" s="39" t="n">
        <f aca="false">PR_PH(AA$2,$A83)</f>
        <v>2015</v>
      </c>
      <c r="AB83" s="39" t="n">
        <f aca="false">PR_PH(AB$2,$A83)</f>
        <v>2015</v>
      </c>
      <c r="AC83" s="39" t="n">
        <f aca="false">PR_PH(AC$2,$A83)</f>
        <v>2015</v>
      </c>
      <c r="AD83" s="39" t="n">
        <f aca="false">PR_PH(AD$2,$A83)</f>
        <v>2015</v>
      </c>
      <c r="AE83" s="39" t="n">
        <f aca="false">PR_PH(AE$2,$A83)</f>
        <v>2015</v>
      </c>
      <c r="AF83" s="39" t="n">
        <f aca="false">PR_PH(AF$2,$A83)</f>
        <v>2015</v>
      </c>
      <c r="AG83" s="39" t="n">
        <f aca="false">PR_PH(AG$2,$A83)</f>
        <v>2015</v>
      </c>
      <c r="AH83" s="39" t="n">
        <f aca="false">PR_PH(AH$2,$A83)</f>
        <v>2015</v>
      </c>
      <c r="AI83" s="39" t="n">
        <f aca="false">PR_PH(AI$2,$A83)</f>
        <v>2015</v>
      </c>
      <c r="AJ83" s="39" t="n">
        <f aca="false">PR_PH(AJ$2,$A83)</f>
        <v>2015</v>
      </c>
      <c r="AK83" s="39" t="n">
        <f aca="false">PR_PH(AK$2,$A83)</f>
        <v>2015</v>
      </c>
      <c r="AL83" s="39" t="n">
        <f aca="false">PR_PH(AL$2,$A83)</f>
        <v>2015</v>
      </c>
      <c r="AM83" s="39" t="n">
        <f aca="false">PR_PH(AM$2,$A83)</f>
        <v>2015</v>
      </c>
      <c r="AN83" s="39" t="n">
        <f aca="false">PR_PH(AN$2,$A83)</f>
        <v>2015</v>
      </c>
      <c r="AO83" s="39" t="n">
        <f aca="false">PR_PH(AO$2,$A83)</f>
        <v>2015</v>
      </c>
      <c r="AP83" s="39" t="n">
        <f aca="false">PR_PH(AP$2,$A83)</f>
        <v>2015</v>
      </c>
      <c r="AQ83" s="39" t="n">
        <f aca="false">PR_PH(AQ$2,$A83)</f>
        <v>4.74762127557101</v>
      </c>
    </row>
    <row r="84" customFormat="false" ht="13.8" hidden="false" customHeight="false" outlineLevel="0" collapsed="false">
      <c r="A84" s="0" t="n">
        <v>2440</v>
      </c>
      <c r="B84" s="39" t="n">
        <f aca="false">PR_PH(B$2,$A84)</f>
        <v>2015</v>
      </c>
      <c r="C84" s="39" t="n">
        <f aca="false">PR_PH(C$2,$A84)</f>
        <v>2015</v>
      </c>
      <c r="D84" s="39" t="n">
        <f aca="false">PR_PH(D$2,$A84)</f>
        <v>2015</v>
      </c>
      <c r="E84" s="39" t="n">
        <f aca="false">PR_PH(E$2,$A84)</f>
        <v>2015</v>
      </c>
      <c r="F84" s="39" t="n">
        <f aca="false">PR_PH(F$2,$A84)</f>
        <v>2015</v>
      </c>
      <c r="G84" s="39" t="n">
        <f aca="false">PR_PH(G$2,$A84)</f>
        <v>2015</v>
      </c>
      <c r="H84" s="39" t="n">
        <f aca="false">PR_PH(H$2,$A84)</f>
        <v>2015</v>
      </c>
      <c r="I84" s="39" t="n">
        <f aca="false">PR_PH(I$2,$A84)</f>
        <v>2015</v>
      </c>
      <c r="J84" s="39" t="n">
        <f aca="false">PR_PH(J$2,$A84)</f>
        <v>2015</v>
      </c>
      <c r="K84" s="39" t="n">
        <f aca="false">PR_PH(K$2,$A84)</f>
        <v>2015</v>
      </c>
      <c r="L84" s="39" t="n">
        <f aca="false">PR_PH(L$2,$A84)</f>
        <v>2015</v>
      </c>
      <c r="M84" s="39" t="n">
        <f aca="false">PR_PH(M$2,$A84)</f>
        <v>2015</v>
      </c>
      <c r="N84" s="39" t="n">
        <f aca="false">PR_PH(N$2,$A84)</f>
        <v>2015</v>
      </c>
      <c r="O84" s="39" t="n">
        <f aca="false">PR_PH(O$2,$A84)</f>
        <v>2015</v>
      </c>
      <c r="P84" s="39" t="n">
        <f aca="false">PR_PH(P$2,$A84)</f>
        <v>2015</v>
      </c>
      <c r="Q84" s="39" t="n">
        <f aca="false">PR_PH(Q$2,$A84)</f>
        <v>2015</v>
      </c>
      <c r="R84" s="39" t="n">
        <f aca="false">PR_PH(R$2,$A84)</f>
        <v>2015</v>
      </c>
      <c r="S84" s="39" t="n">
        <f aca="false">PR_PH(S$2,$A84)</f>
        <v>2015</v>
      </c>
      <c r="T84" s="39" t="n">
        <f aca="false">PR_PH(T$2,$A84)</f>
        <v>2015</v>
      </c>
      <c r="U84" s="39" t="n">
        <f aca="false">PR_PH(U$2,$A84)</f>
        <v>2015</v>
      </c>
      <c r="V84" s="39" t="n">
        <f aca="false">PR_PH(V$2,$A84)</f>
        <v>2015</v>
      </c>
      <c r="W84" s="39" t="n">
        <f aca="false">PR_PH(W$2,$A84)</f>
        <v>2015</v>
      </c>
      <c r="X84" s="39" t="n">
        <f aca="false">PR_PH(X$2,$A84)</f>
        <v>2015</v>
      </c>
      <c r="Y84" s="39" t="n">
        <f aca="false">PR_PH(Y$2,$A84)</f>
        <v>2015</v>
      </c>
      <c r="Z84" s="39" t="n">
        <f aca="false">PR_PH(Z$2,$A84)</f>
        <v>2015</v>
      </c>
      <c r="AA84" s="39" t="n">
        <f aca="false">PR_PH(AA$2,$A84)</f>
        <v>2015</v>
      </c>
      <c r="AB84" s="39" t="n">
        <f aca="false">PR_PH(AB$2,$A84)</f>
        <v>2015</v>
      </c>
      <c r="AC84" s="39" t="n">
        <f aca="false">PR_PH(AC$2,$A84)</f>
        <v>2015</v>
      </c>
      <c r="AD84" s="39" t="n">
        <f aca="false">PR_PH(AD$2,$A84)</f>
        <v>2015</v>
      </c>
      <c r="AE84" s="39" t="n">
        <f aca="false">PR_PH(AE$2,$A84)</f>
        <v>2015</v>
      </c>
      <c r="AF84" s="39" t="n">
        <f aca="false">PR_PH(AF$2,$A84)</f>
        <v>2015</v>
      </c>
      <c r="AG84" s="39" t="n">
        <f aca="false">PR_PH(AG$2,$A84)</f>
        <v>2015</v>
      </c>
      <c r="AH84" s="39" t="n">
        <f aca="false">PR_PH(AH$2,$A84)</f>
        <v>2015</v>
      </c>
      <c r="AI84" s="39" t="n">
        <f aca="false">PR_PH(AI$2,$A84)</f>
        <v>2015</v>
      </c>
      <c r="AJ84" s="39" t="n">
        <f aca="false">PR_PH(AJ$2,$A84)</f>
        <v>2015</v>
      </c>
      <c r="AK84" s="39" t="n">
        <f aca="false">PR_PH(AK$2,$A84)</f>
        <v>2015</v>
      </c>
      <c r="AL84" s="39" t="n">
        <f aca="false">PR_PH(AL$2,$A84)</f>
        <v>2015</v>
      </c>
      <c r="AM84" s="39" t="n">
        <f aca="false">PR_PH(AM$2,$A84)</f>
        <v>2015</v>
      </c>
      <c r="AN84" s="39" t="n">
        <f aca="false">PR_PH(AN$2,$A84)</f>
        <v>2015</v>
      </c>
      <c r="AO84" s="39" t="n">
        <f aca="false">PR_PH(AO$2,$A84)</f>
        <v>2015</v>
      </c>
      <c r="AP84" s="39" t="n">
        <f aca="false">PR_PH(AP$2,$A84)</f>
        <v>2015</v>
      </c>
      <c r="AQ84" s="39" t="n">
        <f aca="false">PR_PH(AQ$2,$A84)</f>
        <v>4.4044406482228</v>
      </c>
    </row>
    <row r="85" customFormat="false" ht="13.8" hidden="false" customHeight="false" outlineLevel="0" collapsed="false">
      <c r="A85" s="0" t="n">
        <v>2450</v>
      </c>
      <c r="B85" s="39" t="n">
        <f aca="false">PR_PH(B$2,$A85)</f>
        <v>2015</v>
      </c>
      <c r="C85" s="39" t="n">
        <f aca="false">PR_PH(C$2,$A85)</f>
        <v>2015</v>
      </c>
      <c r="D85" s="39" t="n">
        <f aca="false">PR_PH(D$2,$A85)</f>
        <v>2015</v>
      </c>
      <c r="E85" s="39" t="n">
        <f aca="false">PR_PH(E$2,$A85)</f>
        <v>2015</v>
      </c>
      <c r="F85" s="39" t="n">
        <f aca="false">PR_PH(F$2,$A85)</f>
        <v>2015</v>
      </c>
      <c r="G85" s="39" t="n">
        <f aca="false">PR_PH(G$2,$A85)</f>
        <v>2015</v>
      </c>
      <c r="H85" s="39" t="n">
        <f aca="false">PR_PH(H$2,$A85)</f>
        <v>2015</v>
      </c>
      <c r="I85" s="39" t="n">
        <f aca="false">PR_PH(I$2,$A85)</f>
        <v>2015</v>
      </c>
      <c r="J85" s="39" t="n">
        <f aca="false">PR_PH(J$2,$A85)</f>
        <v>2015</v>
      </c>
      <c r="K85" s="39" t="n">
        <f aca="false">PR_PH(K$2,$A85)</f>
        <v>2015</v>
      </c>
      <c r="L85" s="39" t="n">
        <f aca="false">PR_PH(L$2,$A85)</f>
        <v>2015</v>
      </c>
      <c r="M85" s="39" t="n">
        <f aca="false">PR_PH(M$2,$A85)</f>
        <v>2015</v>
      </c>
      <c r="N85" s="39" t="n">
        <f aca="false">PR_PH(N$2,$A85)</f>
        <v>2015</v>
      </c>
      <c r="O85" s="39" t="n">
        <f aca="false">PR_PH(O$2,$A85)</f>
        <v>2015</v>
      </c>
      <c r="P85" s="39" t="n">
        <f aca="false">PR_PH(P$2,$A85)</f>
        <v>2015</v>
      </c>
      <c r="Q85" s="39" t="n">
        <f aca="false">PR_PH(Q$2,$A85)</f>
        <v>2015</v>
      </c>
      <c r="R85" s="39" t="n">
        <f aca="false">PR_PH(R$2,$A85)</f>
        <v>2015</v>
      </c>
      <c r="S85" s="39" t="n">
        <f aca="false">PR_PH(S$2,$A85)</f>
        <v>2015</v>
      </c>
      <c r="T85" s="39" t="n">
        <f aca="false">PR_PH(T$2,$A85)</f>
        <v>2015</v>
      </c>
      <c r="U85" s="39" t="n">
        <f aca="false">PR_PH(U$2,$A85)</f>
        <v>2015</v>
      </c>
      <c r="V85" s="39" t="n">
        <f aca="false">PR_PH(V$2,$A85)</f>
        <v>2015</v>
      </c>
      <c r="W85" s="39" t="n">
        <f aca="false">PR_PH(W$2,$A85)</f>
        <v>2015</v>
      </c>
      <c r="X85" s="39" t="n">
        <f aca="false">PR_PH(X$2,$A85)</f>
        <v>2015</v>
      </c>
      <c r="Y85" s="39" t="n">
        <f aca="false">PR_PH(Y$2,$A85)</f>
        <v>2015</v>
      </c>
      <c r="Z85" s="39" t="n">
        <f aca="false">PR_PH(Z$2,$A85)</f>
        <v>2015</v>
      </c>
      <c r="AA85" s="39" t="n">
        <f aca="false">PR_PH(AA$2,$A85)</f>
        <v>2015</v>
      </c>
      <c r="AB85" s="39" t="n">
        <f aca="false">PR_PH(AB$2,$A85)</f>
        <v>2015</v>
      </c>
      <c r="AC85" s="39" t="n">
        <f aca="false">PR_PH(AC$2,$A85)</f>
        <v>2015</v>
      </c>
      <c r="AD85" s="39" t="n">
        <f aca="false">PR_PH(AD$2,$A85)</f>
        <v>2015</v>
      </c>
      <c r="AE85" s="39" t="n">
        <f aca="false">PR_PH(AE$2,$A85)</f>
        <v>2015</v>
      </c>
      <c r="AF85" s="39" t="n">
        <f aca="false">PR_PH(AF$2,$A85)</f>
        <v>2015</v>
      </c>
      <c r="AG85" s="39" t="n">
        <f aca="false">PR_PH(AG$2,$A85)</f>
        <v>2015</v>
      </c>
      <c r="AH85" s="39" t="n">
        <f aca="false">PR_PH(AH$2,$A85)</f>
        <v>2015</v>
      </c>
      <c r="AI85" s="39" t="n">
        <f aca="false">PR_PH(AI$2,$A85)</f>
        <v>2015</v>
      </c>
      <c r="AJ85" s="39" t="n">
        <f aca="false">PR_PH(AJ$2,$A85)</f>
        <v>2015</v>
      </c>
      <c r="AK85" s="39" t="n">
        <f aca="false">PR_PH(AK$2,$A85)</f>
        <v>2015</v>
      </c>
      <c r="AL85" s="39" t="n">
        <f aca="false">PR_PH(AL$2,$A85)</f>
        <v>2015</v>
      </c>
      <c r="AM85" s="39" t="n">
        <f aca="false">PR_PH(AM$2,$A85)</f>
        <v>2015</v>
      </c>
      <c r="AN85" s="39" t="n">
        <f aca="false">PR_PH(AN$2,$A85)</f>
        <v>2015</v>
      </c>
      <c r="AO85" s="39" t="n">
        <f aca="false">PR_PH(AO$2,$A85)</f>
        <v>2015</v>
      </c>
      <c r="AP85" s="39" t="n">
        <f aca="false">PR_PH(AP$2,$A85)</f>
        <v>2015</v>
      </c>
      <c r="AQ85" s="39" t="n">
        <f aca="false">PR_PH(AQ$2,$A85)</f>
        <v>4.10671802333387</v>
      </c>
    </row>
    <row r="86" customFormat="false" ht="13.8" hidden="false" customHeight="false" outlineLevel="0" collapsed="false">
      <c r="A86" s="0" t="n">
        <v>2460</v>
      </c>
      <c r="B86" s="39" t="n">
        <f aca="false">PR_PH(B$2,$A86)</f>
        <v>2015</v>
      </c>
      <c r="C86" s="39" t="n">
        <f aca="false">PR_PH(C$2,$A86)</f>
        <v>2015</v>
      </c>
      <c r="D86" s="39" t="n">
        <f aca="false">PR_PH(D$2,$A86)</f>
        <v>2015</v>
      </c>
      <c r="E86" s="39" t="n">
        <f aca="false">PR_PH(E$2,$A86)</f>
        <v>2015</v>
      </c>
      <c r="F86" s="39" t="n">
        <f aca="false">PR_PH(F$2,$A86)</f>
        <v>2015</v>
      </c>
      <c r="G86" s="39" t="n">
        <f aca="false">PR_PH(G$2,$A86)</f>
        <v>2015</v>
      </c>
      <c r="H86" s="39" t="n">
        <f aca="false">PR_PH(H$2,$A86)</f>
        <v>2015</v>
      </c>
      <c r="I86" s="39" t="n">
        <f aca="false">PR_PH(I$2,$A86)</f>
        <v>2015</v>
      </c>
      <c r="J86" s="39" t="n">
        <f aca="false">PR_PH(J$2,$A86)</f>
        <v>2015</v>
      </c>
      <c r="K86" s="39" t="n">
        <f aca="false">PR_PH(K$2,$A86)</f>
        <v>2015</v>
      </c>
      <c r="L86" s="39" t="n">
        <f aca="false">PR_PH(L$2,$A86)</f>
        <v>2015</v>
      </c>
      <c r="M86" s="39" t="n">
        <f aca="false">PR_PH(M$2,$A86)</f>
        <v>2015</v>
      </c>
      <c r="N86" s="39" t="n">
        <f aca="false">PR_PH(N$2,$A86)</f>
        <v>2015</v>
      </c>
      <c r="O86" s="39" t="n">
        <f aca="false">PR_PH(O$2,$A86)</f>
        <v>2015</v>
      </c>
      <c r="P86" s="39" t="n">
        <f aca="false">PR_PH(P$2,$A86)</f>
        <v>2015</v>
      </c>
      <c r="Q86" s="39" t="n">
        <f aca="false">PR_PH(Q$2,$A86)</f>
        <v>2015</v>
      </c>
      <c r="R86" s="39" t="n">
        <f aca="false">PR_PH(R$2,$A86)</f>
        <v>2015</v>
      </c>
      <c r="S86" s="39" t="n">
        <f aca="false">PR_PH(S$2,$A86)</f>
        <v>2015</v>
      </c>
      <c r="T86" s="39" t="n">
        <f aca="false">PR_PH(T$2,$A86)</f>
        <v>2015</v>
      </c>
      <c r="U86" s="39" t="n">
        <f aca="false">PR_PH(U$2,$A86)</f>
        <v>2015</v>
      </c>
      <c r="V86" s="39" t="n">
        <f aca="false">PR_PH(V$2,$A86)</f>
        <v>2015</v>
      </c>
      <c r="W86" s="39" t="n">
        <f aca="false">PR_PH(W$2,$A86)</f>
        <v>2015</v>
      </c>
      <c r="X86" s="39" t="n">
        <f aca="false">PR_PH(X$2,$A86)</f>
        <v>2015</v>
      </c>
      <c r="Y86" s="39" t="n">
        <f aca="false">PR_PH(Y$2,$A86)</f>
        <v>2015</v>
      </c>
      <c r="Z86" s="39" t="n">
        <f aca="false">PR_PH(Z$2,$A86)</f>
        <v>2015</v>
      </c>
      <c r="AA86" s="39" t="n">
        <f aca="false">PR_PH(AA$2,$A86)</f>
        <v>2015</v>
      </c>
      <c r="AB86" s="39" t="n">
        <f aca="false">PR_PH(AB$2,$A86)</f>
        <v>2015</v>
      </c>
      <c r="AC86" s="39" t="n">
        <f aca="false">PR_PH(AC$2,$A86)</f>
        <v>2015</v>
      </c>
      <c r="AD86" s="39" t="n">
        <f aca="false">PR_PH(AD$2,$A86)</f>
        <v>2015</v>
      </c>
      <c r="AE86" s="39" t="n">
        <f aca="false">PR_PH(AE$2,$A86)</f>
        <v>2015</v>
      </c>
      <c r="AF86" s="39" t="n">
        <f aca="false">PR_PH(AF$2,$A86)</f>
        <v>2015</v>
      </c>
      <c r="AG86" s="39" t="n">
        <f aca="false">PR_PH(AG$2,$A86)</f>
        <v>2015</v>
      </c>
      <c r="AH86" s="39" t="n">
        <f aca="false">PR_PH(AH$2,$A86)</f>
        <v>2015</v>
      </c>
      <c r="AI86" s="39" t="n">
        <f aca="false">PR_PH(AI$2,$A86)</f>
        <v>2015</v>
      </c>
      <c r="AJ86" s="39" t="n">
        <f aca="false">PR_PH(AJ$2,$A86)</f>
        <v>2015</v>
      </c>
      <c r="AK86" s="39" t="n">
        <f aca="false">PR_PH(AK$2,$A86)</f>
        <v>2015</v>
      </c>
      <c r="AL86" s="39" t="n">
        <f aca="false">PR_PH(AL$2,$A86)</f>
        <v>2015</v>
      </c>
      <c r="AM86" s="39" t="n">
        <f aca="false">PR_PH(AM$2,$A86)</f>
        <v>2015</v>
      </c>
      <c r="AN86" s="39" t="n">
        <f aca="false">PR_PH(AN$2,$A86)</f>
        <v>2015</v>
      </c>
      <c r="AO86" s="39" t="n">
        <f aca="false">PR_PH(AO$2,$A86)</f>
        <v>2015</v>
      </c>
      <c r="AP86" s="39" t="n">
        <f aca="false">PR_PH(AP$2,$A86)</f>
        <v>2015</v>
      </c>
      <c r="AQ86" s="39" t="n">
        <f aca="false">PR_PH(AQ$2,$A86)</f>
        <v>3.84660751168808</v>
      </c>
    </row>
    <row r="87" customFormat="false" ht="13.8" hidden="false" customHeight="false" outlineLevel="0" collapsed="false">
      <c r="A87" s="0" t="n">
        <v>2470</v>
      </c>
      <c r="B87" s="39" t="n">
        <f aca="false">PR_PH(B$2,$A87)</f>
        <v>2015</v>
      </c>
      <c r="C87" s="39" t="n">
        <f aca="false">PR_PH(C$2,$A87)</f>
        <v>2015</v>
      </c>
      <c r="D87" s="39" t="n">
        <f aca="false">PR_PH(D$2,$A87)</f>
        <v>2015</v>
      </c>
      <c r="E87" s="39" t="n">
        <f aca="false">PR_PH(E$2,$A87)</f>
        <v>2015</v>
      </c>
      <c r="F87" s="39" t="n">
        <f aca="false">PR_PH(F$2,$A87)</f>
        <v>2015</v>
      </c>
      <c r="G87" s="39" t="n">
        <f aca="false">PR_PH(G$2,$A87)</f>
        <v>2015</v>
      </c>
      <c r="H87" s="39" t="n">
        <f aca="false">PR_PH(H$2,$A87)</f>
        <v>2015</v>
      </c>
      <c r="I87" s="39" t="n">
        <f aca="false">PR_PH(I$2,$A87)</f>
        <v>2015</v>
      </c>
      <c r="J87" s="39" t="n">
        <f aca="false">PR_PH(J$2,$A87)</f>
        <v>2015</v>
      </c>
      <c r="K87" s="39" t="n">
        <f aca="false">PR_PH(K$2,$A87)</f>
        <v>2015</v>
      </c>
      <c r="L87" s="39" t="n">
        <f aca="false">PR_PH(L$2,$A87)</f>
        <v>2015</v>
      </c>
      <c r="M87" s="39" t="n">
        <f aca="false">PR_PH(M$2,$A87)</f>
        <v>2015</v>
      </c>
      <c r="N87" s="39" t="n">
        <f aca="false">PR_PH(N$2,$A87)</f>
        <v>2015</v>
      </c>
      <c r="O87" s="39" t="n">
        <f aca="false">PR_PH(O$2,$A87)</f>
        <v>2015</v>
      </c>
      <c r="P87" s="39" t="n">
        <f aca="false">PR_PH(P$2,$A87)</f>
        <v>2015</v>
      </c>
      <c r="Q87" s="39" t="n">
        <f aca="false">PR_PH(Q$2,$A87)</f>
        <v>2015</v>
      </c>
      <c r="R87" s="39" t="n">
        <f aca="false">PR_PH(R$2,$A87)</f>
        <v>2015</v>
      </c>
      <c r="S87" s="39" t="n">
        <f aca="false">PR_PH(S$2,$A87)</f>
        <v>2015</v>
      </c>
      <c r="T87" s="39" t="n">
        <f aca="false">PR_PH(T$2,$A87)</f>
        <v>2015</v>
      </c>
      <c r="U87" s="39" t="n">
        <f aca="false">PR_PH(U$2,$A87)</f>
        <v>2015</v>
      </c>
      <c r="V87" s="39" t="n">
        <f aca="false">PR_PH(V$2,$A87)</f>
        <v>2015</v>
      </c>
      <c r="W87" s="39" t="n">
        <f aca="false">PR_PH(W$2,$A87)</f>
        <v>2015</v>
      </c>
      <c r="X87" s="39" t="n">
        <f aca="false">PR_PH(X$2,$A87)</f>
        <v>2015</v>
      </c>
      <c r="Y87" s="39" t="n">
        <f aca="false">PR_PH(Y$2,$A87)</f>
        <v>2015</v>
      </c>
      <c r="Z87" s="39" t="n">
        <f aca="false">PR_PH(Z$2,$A87)</f>
        <v>2015</v>
      </c>
      <c r="AA87" s="39" t="n">
        <f aca="false">PR_PH(AA$2,$A87)</f>
        <v>2015</v>
      </c>
      <c r="AB87" s="39" t="n">
        <f aca="false">PR_PH(AB$2,$A87)</f>
        <v>2015</v>
      </c>
      <c r="AC87" s="39" t="n">
        <f aca="false">PR_PH(AC$2,$A87)</f>
        <v>2015</v>
      </c>
      <c r="AD87" s="39" t="n">
        <f aca="false">PR_PH(AD$2,$A87)</f>
        <v>2015</v>
      </c>
      <c r="AE87" s="39" t="n">
        <f aca="false">PR_PH(AE$2,$A87)</f>
        <v>2015</v>
      </c>
      <c r="AF87" s="39" t="n">
        <f aca="false">PR_PH(AF$2,$A87)</f>
        <v>2015</v>
      </c>
      <c r="AG87" s="39" t="n">
        <f aca="false">PR_PH(AG$2,$A87)</f>
        <v>2015</v>
      </c>
      <c r="AH87" s="39" t="n">
        <f aca="false">PR_PH(AH$2,$A87)</f>
        <v>2015</v>
      </c>
      <c r="AI87" s="39" t="n">
        <f aca="false">PR_PH(AI$2,$A87)</f>
        <v>2015</v>
      </c>
      <c r="AJ87" s="39" t="n">
        <f aca="false">PR_PH(AJ$2,$A87)</f>
        <v>2015</v>
      </c>
      <c r="AK87" s="39" t="n">
        <f aca="false">PR_PH(AK$2,$A87)</f>
        <v>2015</v>
      </c>
      <c r="AL87" s="39" t="n">
        <f aca="false">PR_PH(AL$2,$A87)</f>
        <v>2015</v>
      </c>
      <c r="AM87" s="39" t="n">
        <f aca="false">PR_PH(AM$2,$A87)</f>
        <v>2015</v>
      </c>
      <c r="AN87" s="39" t="n">
        <f aca="false">PR_PH(AN$2,$A87)</f>
        <v>2015</v>
      </c>
      <c r="AO87" s="39" t="n">
        <f aca="false">PR_PH(AO$2,$A87)</f>
        <v>2015</v>
      </c>
      <c r="AP87" s="39" t="n">
        <f aca="false">PR_PH(AP$2,$A87)</f>
        <v>2015</v>
      </c>
      <c r="AQ87" s="39" t="n">
        <f aca="false">PR_PH(AQ$2,$A87)</f>
        <v>3.61801189723928</v>
      </c>
    </row>
    <row r="88" customFormat="false" ht="13.8" hidden="false" customHeight="false" outlineLevel="0" collapsed="false">
      <c r="A88" s="0" t="n">
        <v>2480</v>
      </c>
      <c r="B88" s="39" t="n">
        <f aca="false">PR_PH(B$2,$A88)</f>
        <v>2015</v>
      </c>
      <c r="C88" s="39" t="n">
        <f aca="false">PR_PH(C$2,$A88)</f>
        <v>2015</v>
      </c>
      <c r="D88" s="39" t="n">
        <f aca="false">PR_PH(D$2,$A88)</f>
        <v>2015</v>
      </c>
      <c r="E88" s="39" t="n">
        <f aca="false">PR_PH(E$2,$A88)</f>
        <v>2015</v>
      </c>
      <c r="F88" s="39" t="n">
        <f aca="false">PR_PH(F$2,$A88)</f>
        <v>2015</v>
      </c>
      <c r="G88" s="39" t="n">
        <f aca="false">PR_PH(G$2,$A88)</f>
        <v>2015</v>
      </c>
      <c r="H88" s="39" t="n">
        <f aca="false">PR_PH(H$2,$A88)</f>
        <v>2015</v>
      </c>
      <c r="I88" s="39" t="n">
        <f aca="false">PR_PH(I$2,$A88)</f>
        <v>2015</v>
      </c>
      <c r="J88" s="39" t="n">
        <f aca="false">PR_PH(J$2,$A88)</f>
        <v>2015</v>
      </c>
      <c r="K88" s="39" t="n">
        <f aca="false">PR_PH(K$2,$A88)</f>
        <v>2015</v>
      </c>
      <c r="L88" s="39" t="n">
        <f aca="false">PR_PH(L$2,$A88)</f>
        <v>2015</v>
      </c>
      <c r="M88" s="39" t="n">
        <f aca="false">PR_PH(M$2,$A88)</f>
        <v>2015</v>
      </c>
      <c r="N88" s="39" t="n">
        <f aca="false">PR_PH(N$2,$A88)</f>
        <v>2015</v>
      </c>
      <c r="O88" s="39" t="n">
        <f aca="false">PR_PH(O$2,$A88)</f>
        <v>2015</v>
      </c>
      <c r="P88" s="39" t="n">
        <f aca="false">PR_PH(P$2,$A88)</f>
        <v>2015</v>
      </c>
      <c r="Q88" s="39" t="n">
        <f aca="false">PR_PH(Q$2,$A88)</f>
        <v>2015</v>
      </c>
      <c r="R88" s="39" t="n">
        <f aca="false">PR_PH(R$2,$A88)</f>
        <v>2015</v>
      </c>
      <c r="S88" s="39" t="n">
        <f aca="false">PR_PH(S$2,$A88)</f>
        <v>2015</v>
      </c>
      <c r="T88" s="39" t="n">
        <f aca="false">PR_PH(T$2,$A88)</f>
        <v>2015</v>
      </c>
      <c r="U88" s="39" t="n">
        <f aca="false">PR_PH(U$2,$A88)</f>
        <v>2015</v>
      </c>
      <c r="V88" s="39" t="n">
        <f aca="false">PR_PH(V$2,$A88)</f>
        <v>2015</v>
      </c>
      <c r="W88" s="39" t="n">
        <f aca="false">PR_PH(W$2,$A88)</f>
        <v>2015</v>
      </c>
      <c r="X88" s="39" t="n">
        <f aca="false">PR_PH(X$2,$A88)</f>
        <v>2015</v>
      </c>
      <c r="Y88" s="39" t="n">
        <f aca="false">PR_PH(Y$2,$A88)</f>
        <v>2015</v>
      </c>
      <c r="Z88" s="39" t="n">
        <f aca="false">PR_PH(Z$2,$A88)</f>
        <v>2015</v>
      </c>
      <c r="AA88" s="39" t="n">
        <f aca="false">PR_PH(AA$2,$A88)</f>
        <v>2015</v>
      </c>
      <c r="AB88" s="39" t="n">
        <f aca="false">PR_PH(AB$2,$A88)</f>
        <v>2015</v>
      </c>
      <c r="AC88" s="39" t="n">
        <f aca="false">PR_PH(AC$2,$A88)</f>
        <v>2015</v>
      </c>
      <c r="AD88" s="39" t="n">
        <f aca="false">PR_PH(AD$2,$A88)</f>
        <v>2015</v>
      </c>
      <c r="AE88" s="39" t="n">
        <f aca="false">PR_PH(AE$2,$A88)</f>
        <v>2015</v>
      </c>
      <c r="AF88" s="39" t="n">
        <f aca="false">PR_PH(AF$2,$A88)</f>
        <v>2015</v>
      </c>
      <c r="AG88" s="39" t="n">
        <f aca="false">PR_PH(AG$2,$A88)</f>
        <v>2015</v>
      </c>
      <c r="AH88" s="39" t="n">
        <f aca="false">PR_PH(AH$2,$A88)</f>
        <v>2015</v>
      </c>
      <c r="AI88" s="39" t="n">
        <f aca="false">PR_PH(AI$2,$A88)</f>
        <v>2015</v>
      </c>
      <c r="AJ88" s="39" t="n">
        <f aca="false">PR_PH(AJ$2,$A88)</f>
        <v>2015</v>
      </c>
      <c r="AK88" s="39" t="n">
        <f aca="false">PR_PH(AK$2,$A88)</f>
        <v>2015</v>
      </c>
      <c r="AL88" s="39" t="n">
        <f aca="false">PR_PH(AL$2,$A88)</f>
        <v>2015</v>
      </c>
      <c r="AM88" s="39" t="n">
        <f aca="false">PR_PH(AM$2,$A88)</f>
        <v>2015</v>
      </c>
      <c r="AN88" s="39" t="n">
        <f aca="false">PR_PH(AN$2,$A88)</f>
        <v>2015</v>
      </c>
      <c r="AO88" s="39" t="n">
        <f aca="false">PR_PH(AO$2,$A88)</f>
        <v>2015</v>
      </c>
      <c r="AP88" s="39" t="n">
        <f aca="false">PR_PH(AP$2,$A88)</f>
        <v>2015</v>
      </c>
      <c r="AQ88" s="39" t="n">
        <f aca="false">PR_PH(AQ$2,$A88)</f>
        <v>3.41614128328881</v>
      </c>
    </row>
    <row r="89" customFormat="false" ht="13.8" hidden="false" customHeight="false" outlineLevel="0" collapsed="false">
      <c r="A89" s="0" t="n">
        <v>2490</v>
      </c>
      <c r="B89" s="39" t="n">
        <f aca="false">PR_PH(B$2,$A89)</f>
        <v>2015</v>
      </c>
      <c r="C89" s="39" t="n">
        <f aca="false">PR_PH(C$2,$A89)</f>
        <v>2015</v>
      </c>
      <c r="D89" s="39" t="n">
        <f aca="false">PR_PH(D$2,$A89)</f>
        <v>2015</v>
      </c>
      <c r="E89" s="39" t="n">
        <f aca="false">PR_PH(E$2,$A89)</f>
        <v>2015</v>
      </c>
      <c r="F89" s="39" t="n">
        <f aca="false">PR_PH(F$2,$A89)</f>
        <v>2015</v>
      </c>
      <c r="G89" s="39" t="n">
        <f aca="false">PR_PH(G$2,$A89)</f>
        <v>2015</v>
      </c>
      <c r="H89" s="39" t="n">
        <f aca="false">PR_PH(H$2,$A89)</f>
        <v>2015</v>
      </c>
      <c r="I89" s="39" t="n">
        <f aca="false">PR_PH(I$2,$A89)</f>
        <v>2015</v>
      </c>
      <c r="J89" s="39" t="n">
        <f aca="false">PR_PH(J$2,$A89)</f>
        <v>2015</v>
      </c>
      <c r="K89" s="39" t="n">
        <f aca="false">PR_PH(K$2,$A89)</f>
        <v>2015</v>
      </c>
      <c r="L89" s="39" t="n">
        <f aca="false">PR_PH(L$2,$A89)</f>
        <v>2015</v>
      </c>
      <c r="M89" s="39" t="n">
        <f aca="false">PR_PH(M$2,$A89)</f>
        <v>2015</v>
      </c>
      <c r="N89" s="39" t="n">
        <f aca="false">PR_PH(N$2,$A89)</f>
        <v>2015</v>
      </c>
      <c r="O89" s="39" t="n">
        <f aca="false">PR_PH(O$2,$A89)</f>
        <v>2015</v>
      </c>
      <c r="P89" s="39" t="n">
        <f aca="false">PR_PH(P$2,$A89)</f>
        <v>2015</v>
      </c>
      <c r="Q89" s="39" t="n">
        <f aca="false">PR_PH(Q$2,$A89)</f>
        <v>2015</v>
      </c>
      <c r="R89" s="39" t="n">
        <f aca="false">PR_PH(R$2,$A89)</f>
        <v>2015</v>
      </c>
      <c r="S89" s="39" t="n">
        <f aca="false">PR_PH(S$2,$A89)</f>
        <v>2015</v>
      </c>
      <c r="T89" s="39" t="n">
        <f aca="false">PR_PH(T$2,$A89)</f>
        <v>2015</v>
      </c>
      <c r="U89" s="39" t="n">
        <f aca="false">PR_PH(U$2,$A89)</f>
        <v>2015</v>
      </c>
      <c r="V89" s="39" t="n">
        <f aca="false">PR_PH(V$2,$A89)</f>
        <v>2015</v>
      </c>
      <c r="W89" s="39" t="n">
        <f aca="false">PR_PH(W$2,$A89)</f>
        <v>2015</v>
      </c>
      <c r="X89" s="39" t="n">
        <f aca="false">PR_PH(X$2,$A89)</f>
        <v>2015</v>
      </c>
      <c r="Y89" s="39" t="n">
        <f aca="false">PR_PH(Y$2,$A89)</f>
        <v>2015</v>
      </c>
      <c r="Z89" s="39" t="n">
        <f aca="false">PR_PH(Z$2,$A89)</f>
        <v>2015</v>
      </c>
      <c r="AA89" s="39" t="n">
        <f aca="false">PR_PH(AA$2,$A89)</f>
        <v>2015</v>
      </c>
      <c r="AB89" s="39" t="n">
        <f aca="false">PR_PH(AB$2,$A89)</f>
        <v>2015</v>
      </c>
      <c r="AC89" s="39" t="n">
        <f aca="false">PR_PH(AC$2,$A89)</f>
        <v>2015</v>
      </c>
      <c r="AD89" s="39" t="n">
        <f aca="false">PR_PH(AD$2,$A89)</f>
        <v>2015</v>
      </c>
      <c r="AE89" s="39" t="n">
        <f aca="false">PR_PH(AE$2,$A89)</f>
        <v>2015</v>
      </c>
      <c r="AF89" s="39" t="n">
        <f aca="false">PR_PH(AF$2,$A89)</f>
        <v>2015</v>
      </c>
      <c r="AG89" s="39" t="n">
        <f aca="false">PR_PH(AG$2,$A89)</f>
        <v>2015</v>
      </c>
      <c r="AH89" s="39" t="n">
        <f aca="false">PR_PH(AH$2,$A89)</f>
        <v>2015</v>
      </c>
      <c r="AI89" s="39" t="n">
        <f aca="false">PR_PH(AI$2,$A89)</f>
        <v>2015</v>
      </c>
      <c r="AJ89" s="39" t="n">
        <f aca="false">PR_PH(AJ$2,$A89)</f>
        <v>2015</v>
      </c>
      <c r="AK89" s="39" t="n">
        <f aca="false">PR_PH(AK$2,$A89)</f>
        <v>2015</v>
      </c>
      <c r="AL89" s="39" t="n">
        <f aca="false">PR_PH(AL$2,$A89)</f>
        <v>2015</v>
      </c>
      <c r="AM89" s="39" t="n">
        <f aca="false">PR_PH(AM$2,$A89)</f>
        <v>2015</v>
      </c>
      <c r="AN89" s="39" t="n">
        <f aca="false">PR_PH(AN$2,$A89)</f>
        <v>2015</v>
      </c>
      <c r="AO89" s="39" t="n">
        <f aca="false">PR_PH(AO$2,$A89)</f>
        <v>2015</v>
      </c>
      <c r="AP89" s="39" t="n">
        <f aca="false">PR_PH(AP$2,$A89)</f>
        <v>2015</v>
      </c>
      <c r="AQ89" s="39" t="n">
        <f aca="false">PR_PH(AQ$2,$A89)</f>
        <v>3.23720628864147</v>
      </c>
    </row>
    <row r="90" customFormat="false" ht="13.8" hidden="false" customHeight="false" outlineLevel="0" collapsed="false">
      <c r="A90" s="0" t="n">
        <v>2500</v>
      </c>
      <c r="B90" s="39" t="n">
        <f aca="false">PR_PH(B$2,$A90)</f>
        <v>2015</v>
      </c>
      <c r="C90" s="39" t="n">
        <f aca="false">PR_PH(C$2,$A90)</f>
        <v>2015</v>
      </c>
      <c r="D90" s="39" t="n">
        <f aca="false">PR_PH(D$2,$A90)</f>
        <v>2015</v>
      </c>
      <c r="E90" s="39" t="n">
        <f aca="false">PR_PH(E$2,$A90)</f>
        <v>2015</v>
      </c>
      <c r="F90" s="39" t="n">
        <f aca="false">PR_PH(F$2,$A90)</f>
        <v>2015</v>
      </c>
      <c r="G90" s="39" t="n">
        <f aca="false">PR_PH(G$2,$A90)</f>
        <v>2015</v>
      </c>
      <c r="H90" s="39" t="n">
        <f aca="false">PR_PH(H$2,$A90)</f>
        <v>2015</v>
      </c>
      <c r="I90" s="39" t="n">
        <f aca="false">PR_PH(I$2,$A90)</f>
        <v>2015</v>
      </c>
      <c r="J90" s="39" t="n">
        <f aca="false">PR_PH(J$2,$A90)</f>
        <v>2015</v>
      </c>
      <c r="K90" s="39" t="n">
        <f aca="false">PR_PH(K$2,$A90)</f>
        <v>2015</v>
      </c>
      <c r="L90" s="39" t="n">
        <f aca="false">PR_PH(L$2,$A90)</f>
        <v>2015</v>
      </c>
      <c r="M90" s="39" t="n">
        <f aca="false">PR_PH(M$2,$A90)</f>
        <v>2015</v>
      </c>
      <c r="N90" s="39" t="n">
        <f aca="false">PR_PH(N$2,$A90)</f>
        <v>2015</v>
      </c>
      <c r="O90" s="39" t="n">
        <f aca="false">PR_PH(O$2,$A90)</f>
        <v>2015</v>
      </c>
      <c r="P90" s="39" t="n">
        <f aca="false">PR_PH(P$2,$A90)</f>
        <v>2015</v>
      </c>
      <c r="Q90" s="39" t="n">
        <f aca="false">PR_PH(Q$2,$A90)</f>
        <v>2015</v>
      </c>
      <c r="R90" s="39" t="n">
        <f aca="false">PR_PH(R$2,$A90)</f>
        <v>2015</v>
      </c>
      <c r="S90" s="39" t="n">
        <f aca="false">PR_PH(S$2,$A90)</f>
        <v>2015</v>
      </c>
      <c r="T90" s="39" t="n">
        <f aca="false">PR_PH(T$2,$A90)</f>
        <v>2015</v>
      </c>
      <c r="U90" s="39" t="n">
        <f aca="false">PR_PH(U$2,$A90)</f>
        <v>2015</v>
      </c>
      <c r="V90" s="39" t="n">
        <f aca="false">PR_PH(V$2,$A90)</f>
        <v>2015</v>
      </c>
      <c r="W90" s="39" t="n">
        <f aca="false">PR_PH(W$2,$A90)</f>
        <v>2015</v>
      </c>
      <c r="X90" s="39" t="n">
        <f aca="false">PR_PH(X$2,$A90)</f>
        <v>2015</v>
      </c>
      <c r="Y90" s="39" t="n">
        <f aca="false">PR_PH(Y$2,$A90)</f>
        <v>2015</v>
      </c>
      <c r="Z90" s="39" t="n">
        <f aca="false">PR_PH(Z$2,$A90)</f>
        <v>2015</v>
      </c>
      <c r="AA90" s="39" t="n">
        <f aca="false">PR_PH(AA$2,$A90)</f>
        <v>2015</v>
      </c>
      <c r="AB90" s="39" t="n">
        <f aca="false">PR_PH(AB$2,$A90)</f>
        <v>2015</v>
      </c>
      <c r="AC90" s="39" t="n">
        <f aca="false">PR_PH(AC$2,$A90)</f>
        <v>2015</v>
      </c>
      <c r="AD90" s="39" t="n">
        <f aca="false">PR_PH(AD$2,$A90)</f>
        <v>2015</v>
      </c>
      <c r="AE90" s="39" t="n">
        <f aca="false">PR_PH(AE$2,$A90)</f>
        <v>2015</v>
      </c>
      <c r="AF90" s="39" t="n">
        <f aca="false">PR_PH(AF$2,$A90)</f>
        <v>2015</v>
      </c>
      <c r="AG90" s="39" t="n">
        <f aca="false">PR_PH(AG$2,$A90)</f>
        <v>2015</v>
      </c>
      <c r="AH90" s="39" t="n">
        <f aca="false">PR_PH(AH$2,$A90)</f>
        <v>2015</v>
      </c>
      <c r="AI90" s="39" t="n">
        <f aca="false">PR_PH(AI$2,$A90)</f>
        <v>2015</v>
      </c>
      <c r="AJ90" s="39" t="n">
        <f aca="false">PR_PH(AJ$2,$A90)</f>
        <v>2015</v>
      </c>
      <c r="AK90" s="39" t="n">
        <f aca="false">PR_PH(AK$2,$A90)</f>
        <v>2015</v>
      </c>
      <c r="AL90" s="39" t="n">
        <f aca="false">PR_PH(AL$2,$A90)</f>
        <v>2015</v>
      </c>
      <c r="AM90" s="39" t="n">
        <f aca="false">PR_PH(AM$2,$A90)</f>
        <v>2015</v>
      </c>
      <c r="AN90" s="39" t="n">
        <f aca="false">PR_PH(AN$2,$A90)</f>
        <v>2015</v>
      </c>
      <c r="AO90" s="39" t="n">
        <f aca="false">PR_PH(AO$2,$A90)</f>
        <v>2015</v>
      </c>
      <c r="AP90" s="39" t="n">
        <f aca="false">PR_PH(AP$2,$A90)</f>
        <v>2015</v>
      </c>
      <c r="AQ90" s="39" t="n">
        <f aca="false">PR_PH(AQ$2,$A90)</f>
        <v>3.07820444097495</v>
      </c>
    </row>
    <row r="91" customFormat="false" ht="13.8" hidden="false" customHeight="false" outlineLevel="0" collapsed="false">
      <c r="A91" s="0" t="n">
        <v>2510</v>
      </c>
      <c r="B91" s="39" t="n">
        <f aca="false">PR_PH(B$2,$A91)</f>
        <v>1.04005372239405</v>
      </c>
      <c r="C91" s="39" t="n">
        <f aca="false">PR_PH(C$2,$A91)</f>
        <v>1.04275627304315</v>
      </c>
      <c r="D91" s="39" t="n">
        <f aca="false">PR_PH(D$2,$A91)</f>
        <v>1.045938595976</v>
      </c>
      <c r="E91" s="39" t="n">
        <f aca="false">PR_PH(E$2,$A91)</f>
        <v>2015</v>
      </c>
      <c r="F91" s="39" t="n">
        <f aca="false">PR_PH(F$2,$A91)</f>
        <v>2015</v>
      </c>
      <c r="G91" s="39" t="n">
        <f aca="false">PR_PH(G$2,$A91)</f>
        <v>2015</v>
      </c>
      <c r="H91" s="39" t="n">
        <f aca="false">PR_PH(H$2,$A91)</f>
        <v>2015</v>
      </c>
      <c r="I91" s="39" t="n">
        <f aca="false">PR_PH(I$2,$A91)</f>
        <v>2015</v>
      </c>
      <c r="J91" s="39" t="n">
        <f aca="false">PR_PH(J$2,$A91)</f>
        <v>2015</v>
      </c>
      <c r="K91" s="39" t="n">
        <f aca="false">PR_PH(K$2,$A91)</f>
        <v>2015</v>
      </c>
      <c r="L91" s="39" t="n">
        <f aca="false">PR_PH(L$2,$A91)</f>
        <v>2015</v>
      </c>
      <c r="M91" s="39" t="n">
        <f aca="false">PR_PH(M$2,$A91)</f>
        <v>2015</v>
      </c>
      <c r="N91" s="39" t="n">
        <f aca="false">PR_PH(N$2,$A91)</f>
        <v>2015</v>
      </c>
      <c r="O91" s="39" t="n">
        <f aca="false">PR_PH(O$2,$A91)</f>
        <v>2015</v>
      </c>
      <c r="P91" s="39" t="n">
        <f aca="false">PR_PH(P$2,$A91)</f>
        <v>2015</v>
      </c>
      <c r="Q91" s="39" t="n">
        <f aca="false">PR_PH(Q$2,$A91)</f>
        <v>2015</v>
      </c>
      <c r="R91" s="39" t="n">
        <f aca="false">PR_PH(R$2,$A91)</f>
        <v>2015</v>
      </c>
      <c r="S91" s="39" t="n">
        <f aca="false">PR_PH(S$2,$A91)</f>
        <v>2015</v>
      </c>
      <c r="T91" s="39" t="n">
        <f aca="false">PR_PH(T$2,$A91)</f>
        <v>2015</v>
      </c>
      <c r="U91" s="39" t="n">
        <f aca="false">PR_PH(U$2,$A91)</f>
        <v>2015</v>
      </c>
      <c r="V91" s="39" t="n">
        <f aca="false">PR_PH(V$2,$A91)</f>
        <v>2015</v>
      </c>
      <c r="W91" s="39" t="n">
        <f aca="false">PR_PH(W$2,$A91)</f>
        <v>2015</v>
      </c>
      <c r="X91" s="39" t="n">
        <f aca="false">PR_PH(X$2,$A91)</f>
        <v>2015</v>
      </c>
      <c r="Y91" s="39" t="n">
        <f aca="false">PR_PH(Y$2,$A91)</f>
        <v>2015</v>
      </c>
      <c r="Z91" s="39" t="n">
        <f aca="false">PR_PH(Z$2,$A91)</f>
        <v>2015</v>
      </c>
      <c r="AA91" s="39" t="n">
        <f aca="false">PR_PH(AA$2,$A91)</f>
        <v>2015</v>
      </c>
      <c r="AB91" s="39" t="n">
        <f aca="false">PR_PH(AB$2,$A91)</f>
        <v>2015</v>
      </c>
      <c r="AC91" s="39" t="n">
        <f aca="false">PR_PH(AC$2,$A91)</f>
        <v>2015</v>
      </c>
      <c r="AD91" s="39" t="n">
        <f aca="false">PR_PH(AD$2,$A91)</f>
        <v>2015</v>
      </c>
      <c r="AE91" s="39" t="n">
        <f aca="false">PR_PH(AE$2,$A91)</f>
        <v>2015</v>
      </c>
      <c r="AF91" s="39" t="n">
        <f aca="false">PR_PH(AF$2,$A91)</f>
        <v>2015</v>
      </c>
      <c r="AG91" s="39" t="n">
        <f aca="false">PR_PH(AG$2,$A91)</f>
        <v>2015</v>
      </c>
      <c r="AH91" s="39" t="n">
        <f aca="false">PR_PH(AH$2,$A91)</f>
        <v>2015</v>
      </c>
      <c r="AI91" s="39" t="n">
        <f aca="false">PR_PH(AI$2,$A91)</f>
        <v>2015</v>
      </c>
      <c r="AJ91" s="39" t="n">
        <f aca="false">PR_PH(AJ$2,$A91)</f>
        <v>2015</v>
      </c>
      <c r="AK91" s="39" t="n">
        <f aca="false">PR_PH(AK$2,$A91)</f>
        <v>2015</v>
      </c>
      <c r="AL91" s="39" t="n">
        <f aca="false">PR_PH(AL$2,$A91)</f>
        <v>2015</v>
      </c>
      <c r="AM91" s="39" t="n">
        <f aca="false">PR_PH(AM$2,$A91)</f>
        <v>2015</v>
      </c>
      <c r="AN91" s="39" t="n">
        <f aca="false">PR_PH(AN$2,$A91)</f>
        <v>2015</v>
      </c>
      <c r="AO91" s="39" t="n">
        <f aca="false">PR_PH(AO$2,$A91)</f>
        <v>2015</v>
      </c>
      <c r="AP91" s="39" t="n">
        <f aca="false">PR_PH(AP$2,$A91)</f>
        <v>2015</v>
      </c>
      <c r="AQ91" s="39" t="n">
        <f aca="false">PR_PH(AQ$2,$A91)</f>
        <v>2.93677493616204</v>
      </c>
    </row>
    <row r="92" customFormat="false" ht="13.8" hidden="false" customHeight="false" outlineLevel="0" collapsed="false">
      <c r="A92" s="0" t="n">
        <v>2520</v>
      </c>
      <c r="B92" s="39" t="n">
        <f aca="false">PR_PH(B$2,$A92)</f>
        <v>1.0286610124917</v>
      </c>
      <c r="C92" s="39" t="n">
        <f aca="false">PR_PH(C$2,$A92)</f>
        <v>1.03002068376908</v>
      </c>
      <c r="D92" s="39" t="n">
        <f aca="false">PR_PH(D$2,$A92)</f>
        <v>1.03157582890841</v>
      </c>
      <c r="E92" s="39" t="n">
        <f aca="false">PR_PH(E$2,$A92)</f>
        <v>1.03334292200985</v>
      </c>
      <c r="F92" s="39" t="n">
        <f aca="false">PR_PH(F$2,$A92)</f>
        <v>1.03533798566458</v>
      </c>
      <c r="G92" s="39" t="n">
        <f aca="false">PR_PH(G$2,$A92)</f>
        <v>2015</v>
      </c>
      <c r="H92" s="39" t="n">
        <f aca="false">PR_PH(H$2,$A92)</f>
        <v>2015</v>
      </c>
      <c r="I92" s="39" t="n">
        <f aca="false">PR_PH(I$2,$A92)</f>
        <v>2015</v>
      </c>
      <c r="J92" s="39" t="n">
        <f aca="false">PR_PH(J$2,$A92)</f>
        <v>2015</v>
      </c>
      <c r="K92" s="39" t="n">
        <f aca="false">PR_PH(K$2,$A92)</f>
        <v>2015</v>
      </c>
      <c r="L92" s="39" t="n">
        <f aca="false">PR_PH(L$2,$A92)</f>
        <v>2015</v>
      </c>
      <c r="M92" s="39" t="n">
        <f aca="false">PR_PH(M$2,$A92)</f>
        <v>2015</v>
      </c>
      <c r="N92" s="39" t="n">
        <f aca="false">PR_PH(N$2,$A92)</f>
        <v>2015</v>
      </c>
      <c r="O92" s="39" t="n">
        <f aca="false">PR_PH(O$2,$A92)</f>
        <v>2015</v>
      </c>
      <c r="P92" s="39" t="n">
        <f aca="false">PR_PH(P$2,$A92)</f>
        <v>2015</v>
      </c>
      <c r="Q92" s="39" t="n">
        <f aca="false">PR_PH(Q$2,$A92)</f>
        <v>2015</v>
      </c>
      <c r="R92" s="39" t="n">
        <f aca="false">PR_PH(R$2,$A92)</f>
        <v>2015</v>
      </c>
      <c r="S92" s="39" t="n">
        <f aca="false">PR_PH(S$2,$A92)</f>
        <v>2015</v>
      </c>
      <c r="T92" s="39" t="n">
        <f aca="false">PR_PH(T$2,$A92)</f>
        <v>2015</v>
      </c>
      <c r="U92" s="39" t="n">
        <f aca="false">PR_PH(U$2,$A92)</f>
        <v>2015</v>
      </c>
      <c r="V92" s="39" t="n">
        <f aca="false">PR_PH(V$2,$A92)</f>
        <v>2015</v>
      </c>
      <c r="W92" s="39" t="n">
        <f aca="false">PR_PH(W$2,$A92)</f>
        <v>2015</v>
      </c>
      <c r="X92" s="39" t="n">
        <f aca="false">PR_PH(X$2,$A92)</f>
        <v>2015</v>
      </c>
      <c r="Y92" s="39" t="n">
        <f aca="false">PR_PH(Y$2,$A92)</f>
        <v>2015</v>
      </c>
      <c r="Z92" s="39" t="n">
        <f aca="false">PR_PH(Z$2,$A92)</f>
        <v>2015</v>
      </c>
      <c r="AA92" s="39" t="n">
        <f aca="false">PR_PH(AA$2,$A92)</f>
        <v>2015</v>
      </c>
      <c r="AB92" s="39" t="n">
        <f aca="false">PR_PH(AB$2,$A92)</f>
        <v>2015</v>
      </c>
      <c r="AC92" s="39" t="n">
        <f aca="false">PR_PH(AC$2,$A92)</f>
        <v>2015</v>
      </c>
      <c r="AD92" s="39" t="n">
        <f aca="false">PR_PH(AD$2,$A92)</f>
        <v>2015</v>
      </c>
      <c r="AE92" s="39" t="n">
        <f aca="false">PR_PH(AE$2,$A92)</f>
        <v>2015</v>
      </c>
      <c r="AF92" s="39" t="n">
        <f aca="false">PR_PH(AF$2,$A92)</f>
        <v>2015</v>
      </c>
      <c r="AG92" s="39" t="n">
        <f aca="false">PR_PH(AG$2,$A92)</f>
        <v>2015</v>
      </c>
      <c r="AH92" s="39" t="n">
        <f aca="false">PR_PH(AH$2,$A92)</f>
        <v>2015</v>
      </c>
      <c r="AI92" s="39" t="n">
        <f aca="false">PR_PH(AI$2,$A92)</f>
        <v>2015</v>
      </c>
      <c r="AJ92" s="39" t="n">
        <f aca="false">PR_PH(AJ$2,$A92)</f>
        <v>2015</v>
      </c>
      <c r="AK92" s="39" t="n">
        <f aca="false">PR_PH(AK$2,$A92)</f>
        <v>2015</v>
      </c>
      <c r="AL92" s="39" t="n">
        <f aca="false">PR_PH(AL$2,$A92)</f>
        <v>2015</v>
      </c>
      <c r="AM92" s="39" t="n">
        <f aca="false">PR_PH(AM$2,$A92)</f>
        <v>2015</v>
      </c>
      <c r="AN92" s="39" t="n">
        <f aca="false">PR_PH(AN$2,$A92)</f>
        <v>2015</v>
      </c>
      <c r="AO92" s="39" t="n">
        <f aca="false">PR_PH(AO$2,$A92)</f>
        <v>2015</v>
      </c>
      <c r="AP92" s="39" t="n">
        <f aca="false">PR_PH(AP$2,$A92)</f>
        <v>2015</v>
      </c>
      <c r="AQ92" s="39" t="n">
        <f aca="false">PR_PH(AQ$2,$A92)</f>
        <v>2.81110853797644</v>
      </c>
    </row>
    <row r="93" customFormat="false" ht="13.8" hidden="false" customHeight="false" outlineLevel="0" collapsed="false">
      <c r="A93" s="0" t="n">
        <v>2530</v>
      </c>
      <c r="B93" s="39" t="n">
        <f aca="false">PR_PH(B$2,$A93)</f>
        <v>1.01995222456376</v>
      </c>
      <c r="C93" s="39" t="n">
        <f aca="false">PR_PH(C$2,$A93)</f>
        <v>1.02073967629726</v>
      </c>
      <c r="D93" s="39" t="n">
        <f aca="false">PR_PH(D$2,$A93)</f>
        <v>1.02160695844355</v>
      </c>
      <c r="E93" s="39" t="n">
        <f aca="false">PR_PH(E$2,$A93)</f>
        <v>1.02256115233745</v>
      </c>
      <c r="F93" s="39" t="n">
        <f aca="false">PR_PH(F$2,$A93)</f>
        <v>1.02360917502016</v>
      </c>
      <c r="G93" s="39" t="n">
        <f aca="false">PR_PH(G$2,$A93)</f>
        <v>2015</v>
      </c>
      <c r="H93" s="39" t="n">
        <f aca="false">PR_PH(H$2,$A93)</f>
        <v>2015</v>
      </c>
      <c r="I93" s="39" t="n">
        <f aca="false">PR_PH(I$2,$A93)</f>
        <v>2015</v>
      </c>
      <c r="J93" s="39" t="n">
        <f aca="false">PR_PH(J$2,$A93)</f>
        <v>2015</v>
      </c>
      <c r="K93" s="39" t="n">
        <f aca="false">PR_PH(K$2,$A93)</f>
        <v>2015</v>
      </c>
      <c r="L93" s="39" t="n">
        <f aca="false">PR_PH(L$2,$A93)</f>
        <v>2015</v>
      </c>
      <c r="M93" s="39" t="n">
        <f aca="false">PR_PH(M$2,$A93)</f>
        <v>2015</v>
      </c>
      <c r="N93" s="39" t="n">
        <f aca="false">PR_PH(N$2,$A93)</f>
        <v>2015</v>
      </c>
      <c r="O93" s="39" t="n">
        <f aca="false">PR_PH(O$2,$A93)</f>
        <v>2015</v>
      </c>
      <c r="P93" s="39" t="n">
        <f aca="false">PR_PH(P$2,$A93)</f>
        <v>2015</v>
      </c>
      <c r="Q93" s="39" t="n">
        <f aca="false">PR_PH(Q$2,$A93)</f>
        <v>2015</v>
      </c>
      <c r="R93" s="39" t="n">
        <f aca="false">PR_PH(R$2,$A93)</f>
        <v>2015</v>
      </c>
      <c r="S93" s="39" t="n">
        <f aca="false">PR_PH(S$2,$A93)</f>
        <v>2015</v>
      </c>
      <c r="T93" s="39" t="n">
        <f aca="false">PR_PH(T$2,$A93)</f>
        <v>2015</v>
      </c>
      <c r="U93" s="39" t="n">
        <f aca="false">PR_PH(U$2,$A93)</f>
        <v>2015</v>
      </c>
      <c r="V93" s="39" t="n">
        <f aca="false">PR_PH(V$2,$A93)</f>
        <v>2015</v>
      </c>
      <c r="W93" s="39" t="n">
        <f aca="false">PR_PH(W$2,$A93)</f>
        <v>2015</v>
      </c>
      <c r="X93" s="39" t="n">
        <f aca="false">PR_PH(X$2,$A93)</f>
        <v>2015</v>
      </c>
      <c r="Y93" s="39" t="n">
        <f aca="false">PR_PH(Y$2,$A93)</f>
        <v>2015</v>
      </c>
      <c r="Z93" s="39" t="n">
        <f aca="false">PR_PH(Z$2,$A93)</f>
        <v>2015</v>
      </c>
      <c r="AA93" s="39" t="n">
        <f aca="false">PR_PH(AA$2,$A93)</f>
        <v>2015</v>
      </c>
      <c r="AB93" s="39" t="n">
        <f aca="false">PR_PH(AB$2,$A93)</f>
        <v>2015</v>
      </c>
      <c r="AC93" s="39" t="n">
        <f aca="false">PR_PH(AC$2,$A93)</f>
        <v>2015</v>
      </c>
      <c r="AD93" s="39" t="n">
        <f aca="false">PR_PH(AD$2,$A93)</f>
        <v>2015</v>
      </c>
      <c r="AE93" s="39" t="n">
        <f aca="false">PR_PH(AE$2,$A93)</f>
        <v>2015</v>
      </c>
      <c r="AF93" s="39" t="n">
        <f aca="false">PR_PH(AF$2,$A93)</f>
        <v>2015</v>
      </c>
      <c r="AG93" s="39" t="n">
        <f aca="false">PR_PH(AG$2,$A93)</f>
        <v>2015</v>
      </c>
      <c r="AH93" s="39" t="n">
        <f aca="false">PR_PH(AH$2,$A93)</f>
        <v>2015</v>
      </c>
      <c r="AI93" s="39" t="n">
        <f aca="false">PR_PH(AI$2,$A93)</f>
        <v>2015</v>
      </c>
      <c r="AJ93" s="39" t="n">
        <f aca="false">PR_PH(AJ$2,$A93)</f>
        <v>2015</v>
      </c>
      <c r="AK93" s="39" t="n">
        <f aca="false">PR_PH(AK$2,$A93)</f>
        <v>2015</v>
      </c>
      <c r="AL93" s="39" t="n">
        <f aca="false">PR_PH(AL$2,$A93)</f>
        <v>2015</v>
      </c>
      <c r="AM93" s="39" t="n">
        <f aca="false">PR_PH(AM$2,$A93)</f>
        <v>2015</v>
      </c>
      <c r="AN93" s="39" t="n">
        <f aca="false">PR_PH(AN$2,$A93)</f>
        <v>2015</v>
      </c>
      <c r="AO93" s="39" t="n">
        <f aca="false">PR_PH(AO$2,$A93)</f>
        <v>2015</v>
      </c>
      <c r="AP93" s="39" t="n">
        <f aca="false">PR_PH(AP$2,$A93)</f>
        <v>2015</v>
      </c>
      <c r="AQ93" s="39" t="n">
        <f aca="false">PR_PH(AQ$2,$A93)</f>
        <v>2.69990950090176</v>
      </c>
    </row>
    <row r="94" customFormat="false" ht="13.8" hidden="false" customHeight="false" outlineLevel="0" collapsed="false">
      <c r="A94" s="0" t="n">
        <v>2540</v>
      </c>
      <c r="B94" s="39" t="n">
        <f aca="false">PR_PH(B$2,$A94)</f>
        <v>1.01273522758975</v>
      </c>
      <c r="C94" s="39" t="n">
        <f aca="false">PR_PH(C$2,$A94)</f>
        <v>1.01326231658924</v>
      </c>
      <c r="D94" s="39" t="n">
        <f aca="false">PR_PH(D$2,$A94)</f>
        <v>1.01382191232403</v>
      </c>
      <c r="E94" s="39" t="n">
        <f aca="false">PR_PH(E$2,$A94)</f>
        <v>1.01441707574865</v>
      </c>
      <c r="F94" s="39" t="n">
        <f aca="false">PR_PH(F$2,$A94)</f>
        <v>1.01505080556392</v>
      </c>
      <c r="G94" s="39" t="n">
        <f aca="false">PR_PH(G$2,$A94)</f>
        <v>1.02412692720476</v>
      </c>
      <c r="H94" s="39" t="n">
        <f aca="false">PR_PH(H$2,$A94)</f>
        <v>2015</v>
      </c>
      <c r="I94" s="39" t="n">
        <f aca="false">PR_PH(I$2,$A94)</f>
        <v>2015</v>
      </c>
      <c r="J94" s="39" t="n">
        <f aca="false">PR_PH(J$2,$A94)</f>
        <v>2015</v>
      </c>
      <c r="K94" s="39" t="n">
        <f aca="false">PR_PH(K$2,$A94)</f>
        <v>2015</v>
      </c>
      <c r="L94" s="39" t="n">
        <f aca="false">PR_PH(L$2,$A94)</f>
        <v>2015</v>
      </c>
      <c r="M94" s="39" t="n">
        <f aca="false">PR_PH(M$2,$A94)</f>
        <v>2015</v>
      </c>
      <c r="N94" s="39" t="n">
        <f aca="false">PR_PH(N$2,$A94)</f>
        <v>2015</v>
      </c>
      <c r="O94" s="39" t="n">
        <f aca="false">PR_PH(O$2,$A94)</f>
        <v>2015</v>
      </c>
      <c r="P94" s="39" t="n">
        <f aca="false">PR_PH(P$2,$A94)</f>
        <v>2015</v>
      </c>
      <c r="Q94" s="39" t="n">
        <f aca="false">PR_PH(Q$2,$A94)</f>
        <v>2015</v>
      </c>
      <c r="R94" s="39" t="n">
        <f aca="false">PR_PH(R$2,$A94)</f>
        <v>2015</v>
      </c>
      <c r="S94" s="39" t="n">
        <f aca="false">PR_PH(S$2,$A94)</f>
        <v>2015</v>
      </c>
      <c r="T94" s="39" t="n">
        <f aca="false">PR_PH(T$2,$A94)</f>
        <v>2015</v>
      </c>
      <c r="U94" s="39" t="n">
        <f aca="false">PR_PH(U$2,$A94)</f>
        <v>2015</v>
      </c>
      <c r="V94" s="39" t="n">
        <f aca="false">PR_PH(V$2,$A94)</f>
        <v>2015</v>
      </c>
      <c r="W94" s="39" t="n">
        <f aca="false">PR_PH(W$2,$A94)</f>
        <v>2015</v>
      </c>
      <c r="X94" s="39" t="n">
        <f aca="false">PR_PH(X$2,$A94)</f>
        <v>2015</v>
      </c>
      <c r="Y94" s="39" t="n">
        <f aca="false">PR_PH(Y$2,$A94)</f>
        <v>2015</v>
      </c>
      <c r="Z94" s="39" t="n">
        <f aca="false">PR_PH(Z$2,$A94)</f>
        <v>2015</v>
      </c>
      <c r="AA94" s="39" t="n">
        <f aca="false">PR_PH(AA$2,$A94)</f>
        <v>2015</v>
      </c>
      <c r="AB94" s="39" t="n">
        <f aca="false">PR_PH(AB$2,$A94)</f>
        <v>2015</v>
      </c>
      <c r="AC94" s="39" t="n">
        <f aca="false">PR_PH(AC$2,$A94)</f>
        <v>2015</v>
      </c>
      <c r="AD94" s="39" t="n">
        <f aca="false">PR_PH(AD$2,$A94)</f>
        <v>2015</v>
      </c>
      <c r="AE94" s="39" t="n">
        <f aca="false">PR_PH(AE$2,$A94)</f>
        <v>2015</v>
      </c>
      <c r="AF94" s="39" t="n">
        <f aca="false">PR_PH(AF$2,$A94)</f>
        <v>2015</v>
      </c>
      <c r="AG94" s="39" t="n">
        <f aca="false">PR_PH(AG$2,$A94)</f>
        <v>2015</v>
      </c>
      <c r="AH94" s="39" t="n">
        <f aca="false">PR_PH(AH$2,$A94)</f>
        <v>2015</v>
      </c>
      <c r="AI94" s="39" t="n">
        <f aca="false">PR_PH(AI$2,$A94)</f>
        <v>2015</v>
      </c>
      <c r="AJ94" s="39" t="n">
        <f aca="false">PR_PH(AJ$2,$A94)</f>
        <v>2015</v>
      </c>
      <c r="AK94" s="39" t="n">
        <f aca="false">PR_PH(AK$2,$A94)</f>
        <v>2015</v>
      </c>
      <c r="AL94" s="39" t="n">
        <f aca="false">PR_PH(AL$2,$A94)</f>
        <v>2015</v>
      </c>
      <c r="AM94" s="39" t="n">
        <f aca="false">PR_PH(AM$2,$A94)</f>
        <v>2015</v>
      </c>
      <c r="AN94" s="39" t="n">
        <f aca="false">PR_PH(AN$2,$A94)</f>
        <v>2015</v>
      </c>
      <c r="AO94" s="39" t="n">
        <f aca="false">PR_PH(AO$2,$A94)</f>
        <v>2015</v>
      </c>
      <c r="AP94" s="39" t="n">
        <f aca="false">PR_PH(AP$2,$A94)</f>
        <v>2015</v>
      </c>
      <c r="AQ94" s="39" t="n">
        <f aca="false">PR_PH(AQ$2,$A94)</f>
        <v>2.60241860587348</v>
      </c>
    </row>
    <row r="95" customFormat="false" ht="13.8" hidden="false" customHeight="false" outlineLevel="0" collapsed="false">
      <c r="A95" s="0" t="n">
        <v>2550</v>
      </c>
      <c r="B95" s="39" t="n">
        <f aca="false">PR_PH(B$2,$A95)</f>
        <v>1.00649113108333</v>
      </c>
      <c r="C95" s="39" t="n">
        <f aca="false">PR_PH(C$2,$A95)</f>
        <v>1.0068872391893</v>
      </c>
      <c r="D95" s="39" t="n">
        <f aca="false">PR_PH(D$2,$A95)</f>
        <v>1.00729640206044</v>
      </c>
      <c r="E95" s="39" t="n">
        <f aca="false">PR_PH(E$2,$A95)</f>
        <v>1.00771995508529</v>
      </c>
      <c r="F95" s="39" t="n">
        <f aca="false">PR_PH(F$2,$A95)</f>
        <v>1.00815920857553</v>
      </c>
      <c r="G95" s="39" t="n">
        <f aca="false">PR_PH(G$2,$A95)</f>
        <v>1.01368716005096</v>
      </c>
      <c r="H95" s="39" t="n">
        <f aca="false">PR_PH(H$2,$A95)</f>
        <v>1.02206340653554</v>
      </c>
      <c r="I95" s="39" t="n">
        <f aca="false">PR_PH(I$2,$A95)</f>
        <v>2015</v>
      </c>
      <c r="J95" s="39" t="n">
        <f aca="false">PR_PH(J$2,$A95)</f>
        <v>2015</v>
      </c>
      <c r="K95" s="39" t="n">
        <f aca="false">PR_PH(K$2,$A95)</f>
        <v>2015</v>
      </c>
      <c r="L95" s="39" t="n">
        <f aca="false">PR_PH(L$2,$A95)</f>
        <v>2015</v>
      </c>
      <c r="M95" s="39" t="n">
        <f aca="false">PR_PH(M$2,$A95)</f>
        <v>2015</v>
      </c>
      <c r="N95" s="39" t="n">
        <f aca="false">PR_PH(N$2,$A95)</f>
        <v>2015</v>
      </c>
      <c r="O95" s="39" t="n">
        <f aca="false">PR_PH(O$2,$A95)</f>
        <v>2015</v>
      </c>
      <c r="P95" s="39" t="n">
        <f aca="false">PR_PH(P$2,$A95)</f>
        <v>2015</v>
      </c>
      <c r="Q95" s="39" t="n">
        <f aca="false">PR_PH(Q$2,$A95)</f>
        <v>2015</v>
      </c>
      <c r="R95" s="39" t="n">
        <f aca="false">PR_PH(R$2,$A95)</f>
        <v>2015</v>
      </c>
      <c r="S95" s="39" t="n">
        <f aca="false">PR_PH(S$2,$A95)</f>
        <v>2015</v>
      </c>
      <c r="T95" s="39" t="n">
        <f aca="false">PR_PH(T$2,$A95)</f>
        <v>2015</v>
      </c>
      <c r="U95" s="39" t="n">
        <f aca="false">PR_PH(U$2,$A95)</f>
        <v>2015</v>
      </c>
      <c r="V95" s="39" t="n">
        <f aca="false">PR_PH(V$2,$A95)</f>
        <v>2015</v>
      </c>
      <c r="W95" s="39" t="n">
        <f aca="false">PR_PH(W$2,$A95)</f>
        <v>2015</v>
      </c>
      <c r="X95" s="39" t="n">
        <f aca="false">PR_PH(X$2,$A95)</f>
        <v>2015</v>
      </c>
      <c r="Y95" s="39" t="n">
        <f aca="false">PR_PH(Y$2,$A95)</f>
        <v>2015</v>
      </c>
      <c r="Z95" s="39" t="n">
        <f aca="false">PR_PH(Z$2,$A95)</f>
        <v>2015</v>
      </c>
      <c r="AA95" s="39" t="n">
        <f aca="false">PR_PH(AA$2,$A95)</f>
        <v>2015</v>
      </c>
      <c r="AB95" s="39" t="n">
        <f aca="false">PR_PH(AB$2,$A95)</f>
        <v>2015</v>
      </c>
      <c r="AC95" s="39" t="n">
        <f aca="false">PR_PH(AC$2,$A95)</f>
        <v>2015</v>
      </c>
      <c r="AD95" s="39" t="n">
        <f aca="false">PR_PH(AD$2,$A95)</f>
        <v>2015</v>
      </c>
      <c r="AE95" s="39" t="n">
        <f aca="false">PR_PH(AE$2,$A95)</f>
        <v>2015</v>
      </c>
      <c r="AF95" s="39" t="n">
        <f aca="false">PR_PH(AF$2,$A95)</f>
        <v>2015</v>
      </c>
      <c r="AG95" s="39" t="n">
        <f aca="false">PR_PH(AG$2,$A95)</f>
        <v>2015</v>
      </c>
      <c r="AH95" s="39" t="n">
        <f aca="false">PR_PH(AH$2,$A95)</f>
        <v>2015</v>
      </c>
      <c r="AI95" s="39" t="n">
        <f aca="false">PR_PH(AI$2,$A95)</f>
        <v>2015</v>
      </c>
      <c r="AJ95" s="39" t="n">
        <f aca="false">PR_PH(AJ$2,$A95)</f>
        <v>2015</v>
      </c>
      <c r="AK95" s="39" t="n">
        <f aca="false">PR_PH(AK$2,$A95)</f>
        <v>2015</v>
      </c>
      <c r="AL95" s="39" t="n">
        <f aca="false">PR_PH(AL$2,$A95)</f>
        <v>2015</v>
      </c>
      <c r="AM95" s="39" t="n">
        <f aca="false">PR_PH(AM$2,$A95)</f>
        <v>2015</v>
      </c>
      <c r="AN95" s="39" t="n">
        <f aca="false">PR_PH(AN$2,$A95)</f>
        <v>2015</v>
      </c>
      <c r="AO95" s="39" t="n">
        <f aca="false">PR_PH(AO$2,$A95)</f>
        <v>2015</v>
      </c>
      <c r="AP95" s="39" t="n">
        <f aca="false">PR_PH(AP$2,$A95)</f>
        <v>2015</v>
      </c>
      <c r="AQ95" s="39" t="n">
        <f aca="false">PR_PH(AQ$2,$A95)</f>
        <v>2.51852673488814</v>
      </c>
    </row>
    <row r="96" customFormat="false" ht="13.8" hidden="false" customHeight="false" outlineLevel="0" collapsed="false">
      <c r="A96" s="0" t="n">
        <v>2560</v>
      </c>
      <c r="B96" s="39" t="n">
        <f aca="false">PR_PH(B$2,$A96)</f>
        <v>1.0009705182617</v>
      </c>
      <c r="C96" s="39" t="n">
        <f aca="false">PR_PH(C$2,$A96)</f>
        <v>1.00129146418691</v>
      </c>
      <c r="D96" s="39" t="n">
        <f aca="false">PR_PH(D$2,$A96)</f>
        <v>1.0016174612809</v>
      </c>
      <c r="E96" s="39" t="n">
        <f aca="false">PR_PH(E$2,$A96)</f>
        <v>1.0019491002129</v>
      </c>
      <c r="F96" s="39" t="n">
        <f aca="false">PR_PH(F$2,$A96)</f>
        <v>1.00228696058403</v>
      </c>
      <c r="G96" s="39" t="n">
        <f aca="false">PR_PH(G$2,$A96)</f>
        <v>1.0061284377597</v>
      </c>
      <c r="H96" s="39" t="n">
        <f aca="false">PR_PH(H$2,$A96)</f>
        <v>1.0111631831839</v>
      </c>
      <c r="I96" s="39" t="n">
        <f aca="false">PR_PH(I$2,$A96)</f>
        <v>1.01783457873792</v>
      </c>
      <c r="J96" s="39" t="n">
        <f aca="false">PR_PH(J$2,$A96)</f>
        <v>2015</v>
      </c>
      <c r="K96" s="39" t="n">
        <f aca="false">PR_PH(K$2,$A96)</f>
        <v>2015</v>
      </c>
      <c r="L96" s="39" t="n">
        <f aca="false">PR_PH(L$2,$A96)</f>
        <v>2015</v>
      </c>
      <c r="M96" s="39" t="n">
        <f aca="false">PR_PH(M$2,$A96)</f>
        <v>2015</v>
      </c>
      <c r="N96" s="39" t="n">
        <f aca="false">PR_PH(N$2,$A96)</f>
        <v>2015</v>
      </c>
      <c r="O96" s="39" t="n">
        <f aca="false">PR_PH(O$2,$A96)</f>
        <v>2015</v>
      </c>
      <c r="P96" s="39" t="n">
        <f aca="false">PR_PH(P$2,$A96)</f>
        <v>2015</v>
      </c>
      <c r="Q96" s="39" t="n">
        <f aca="false">PR_PH(Q$2,$A96)</f>
        <v>2015</v>
      </c>
      <c r="R96" s="39" t="n">
        <f aca="false">PR_PH(R$2,$A96)</f>
        <v>2015</v>
      </c>
      <c r="S96" s="39" t="n">
        <f aca="false">PR_PH(S$2,$A96)</f>
        <v>2015</v>
      </c>
      <c r="T96" s="39" t="n">
        <f aca="false">PR_PH(T$2,$A96)</f>
        <v>2015</v>
      </c>
      <c r="U96" s="39" t="n">
        <f aca="false">PR_PH(U$2,$A96)</f>
        <v>2015</v>
      </c>
      <c r="V96" s="39" t="n">
        <f aca="false">PR_PH(V$2,$A96)</f>
        <v>2015</v>
      </c>
      <c r="W96" s="39" t="n">
        <f aca="false">PR_PH(W$2,$A96)</f>
        <v>2015</v>
      </c>
      <c r="X96" s="39" t="n">
        <f aca="false">PR_PH(X$2,$A96)</f>
        <v>2015</v>
      </c>
      <c r="Y96" s="39" t="n">
        <f aca="false">PR_PH(Y$2,$A96)</f>
        <v>2015</v>
      </c>
      <c r="Z96" s="39" t="n">
        <f aca="false">PR_PH(Z$2,$A96)</f>
        <v>2015</v>
      </c>
      <c r="AA96" s="39" t="n">
        <f aca="false">PR_PH(AA$2,$A96)</f>
        <v>2015</v>
      </c>
      <c r="AB96" s="39" t="n">
        <f aca="false">PR_PH(AB$2,$A96)</f>
        <v>2015</v>
      </c>
      <c r="AC96" s="39" t="n">
        <f aca="false">PR_PH(AC$2,$A96)</f>
        <v>2015</v>
      </c>
      <c r="AD96" s="39" t="n">
        <f aca="false">PR_PH(AD$2,$A96)</f>
        <v>2015</v>
      </c>
      <c r="AE96" s="39" t="n">
        <f aca="false">PR_PH(AE$2,$A96)</f>
        <v>2015</v>
      </c>
      <c r="AF96" s="39" t="n">
        <f aca="false">PR_PH(AF$2,$A96)</f>
        <v>2015</v>
      </c>
      <c r="AG96" s="39" t="n">
        <f aca="false">PR_PH(AG$2,$A96)</f>
        <v>2015</v>
      </c>
      <c r="AH96" s="39" t="n">
        <f aca="false">PR_PH(AH$2,$A96)</f>
        <v>2015</v>
      </c>
      <c r="AI96" s="39" t="n">
        <f aca="false">PR_PH(AI$2,$A96)</f>
        <v>2015</v>
      </c>
      <c r="AJ96" s="39" t="n">
        <f aca="false">PR_PH(AJ$2,$A96)</f>
        <v>2015</v>
      </c>
      <c r="AK96" s="39" t="n">
        <f aca="false">PR_PH(AK$2,$A96)</f>
        <v>2015</v>
      </c>
      <c r="AL96" s="39" t="n">
        <f aca="false">PR_PH(AL$2,$A96)</f>
        <v>2015</v>
      </c>
      <c r="AM96" s="39" t="n">
        <f aca="false">PR_PH(AM$2,$A96)</f>
        <v>2015</v>
      </c>
      <c r="AN96" s="39" t="n">
        <f aca="false">PR_PH(AN$2,$A96)</f>
        <v>2015</v>
      </c>
      <c r="AO96" s="39" t="n">
        <f aca="false">PR_PH(AO$2,$A96)</f>
        <v>2015</v>
      </c>
      <c r="AP96" s="39" t="n">
        <f aca="false">PR_PH(AP$2,$A96)</f>
        <v>2015</v>
      </c>
      <c r="AQ96" s="39" t="n">
        <f aca="false">PR_PH(AQ$2,$A96)</f>
        <v>2.44905042005916</v>
      </c>
    </row>
    <row r="97" customFormat="false" ht="13.8" hidden="false" customHeight="false" outlineLevel="0" collapsed="false">
      <c r="A97" s="0" t="n">
        <v>2570</v>
      </c>
      <c r="B97" s="39" t="n">
        <f aca="false">PR_PH(B$2,$A97)</f>
        <v>0.996035896603663</v>
      </c>
      <c r="C97" s="39" t="n">
        <f aca="false">PR_PH(C$2,$A97)</f>
        <v>0.996307323975577</v>
      </c>
      <c r="D97" s="39" t="n">
        <f aca="false">PR_PH(D$2,$A97)</f>
        <v>0.9965805284844</v>
      </c>
      <c r="E97" s="39" t="n">
        <f aca="false">PR_PH(E$2,$A97)</f>
        <v>0.996855776758059</v>
      </c>
      <c r="F97" s="39" t="n">
        <f aca="false">PR_PH(F$2,$A97)</f>
        <v>0.997133329897198</v>
      </c>
      <c r="G97" s="39" t="n">
        <f aca="false">PR_PH(G$2,$A97)</f>
        <v>1.00008994333959</v>
      </c>
      <c r="H97" s="39" t="n">
        <f aca="false">PR_PH(H$2,$A97)</f>
        <v>1.00353484272225</v>
      </c>
      <c r="I97" s="39" t="n">
        <f aca="false">PR_PH(I$2,$A97)</f>
        <v>1.00767125615253</v>
      </c>
      <c r="J97" s="39" t="n">
        <f aca="false">PR_PH(J$2,$A97)</f>
        <v>1.01267464567632</v>
      </c>
      <c r="K97" s="39" t="n">
        <f aca="false">PR_PH(K$2,$A97)</f>
        <v>1.01869521604977</v>
      </c>
      <c r="L97" s="39" t="n">
        <f aca="false">PR_PH(L$2,$A97)</f>
        <v>2015</v>
      </c>
      <c r="M97" s="39" t="n">
        <f aca="false">PR_PH(M$2,$A97)</f>
        <v>2015</v>
      </c>
      <c r="N97" s="39" t="n">
        <f aca="false">PR_PH(N$2,$A97)</f>
        <v>2015</v>
      </c>
      <c r="O97" s="39" t="n">
        <f aca="false">PR_PH(O$2,$A97)</f>
        <v>2015</v>
      </c>
      <c r="P97" s="39" t="n">
        <f aca="false">PR_PH(P$2,$A97)</f>
        <v>2015</v>
      </c>
      <c r="Q97" s="39" t="n">
        <f aca="false">PR_PH(Q$2,$A97)</f>
        <v>2015</v>
      </c>
      <c r="R97" s="39" t="n">
        <f aca="false">PR_PH(R$2,$A97)</f>
        <v>2015</v>
      </c>
      <c r="S97" s="39" t="n">
        <f aca="false">PR_PH(S$2,$A97)</f>
        <v>2015</v>
      </c>
      <c r="T97" s="39" t="n">
        <f aca="false">PR_PH(T$2,$A97)</f>
        <v>2015</v>
      </c>
      <c r="U97" s="39" t="n">
        <f aca="false">PR_PH(U$2,$A97)</f>
        <v>2015</v>
      </c>
      <c r="V97" s="39" t="n">
        <f aca="false">PR_PH(V$2,$A97)</f>
        <v>2015</v>
      </c>
      <c r="W97" s="39" t="n">
        <f aca="false">PR_PH(W$2,$A97)</f>
        <v>2015</v>
      </c>
      <c r="X97" s="39" t="n">
        <f aca="false">PR_PH(X$2,$A97)</f>
        <v>2015</v>
      </c>
      <c r="Y97" s="39" t="n">
        <f aca="false">PR_PH(Y$2,$A97)</f>
        <v>2015</v>
      </c>
      <c r="Z97" s="39" t="n">
        <f aca="false">PR_PH(Z$2,$A97)</f>
        <v>2015</v>
      </c>
      <c r="AA97" s="39" t="n">
        <f aca="false">PR_PH(AA$2,$A97)</f>
        <v>2015</v>
      </c>
      <c r="AB97" s="39" t="n">
        <f aca="false">PR_PH(AB$2,$A97)</f>
        <v>2015</v>
      </c>
      <c r="AC97" s="39" t="n">
        <f aca="false">PR_PH(AC$2,$A97)</f>
        <v>2015</v>
      </c>
      <c r="AD97" s="39" t="n">
        <f aca="false">PR_PH(AD$2,$A97)</f>
        <v>2015</v>
      </c>
      <c r="AE97" s="39" t="n">
        <f aca="false">PR_PH(AE$2,$A97)</f>
        <v>2015</v>
      </c>
      <c r="AF97" s="39" t="n">
        <f aca="false">PR_PH(AF$2,$A97)</f>
        <v>2015</v>
      </c>
      <c r="AG97" s="39" t="n">
        <f aca="false">PR_PH(AG$2,$A97)</f>
        <v>2015</v>
      </c>
      <c r="AH97" s="39" t="n">
        <f aca="false">PR_PH(AH$2,$A97)</f>
        <v>2015</v>
      </c>
      <c r="AI97" s="39" t="n">
        <f aca="false">PR_PH(AI$2,$A97)</f>
        <v>2015</v>
      </c>
      <c r="AJ97" s="39" t="n">
        <f aca="false">PR_PH(AJ$2,$A97)</f>
        <v>2015</v>
      </c>
      <c r="AK97" s="39" t="n">
        <f aca="false">PR_PH(AK$2,$A97)</f>
        <v>2015</v>
      </c>
      <c r="AL97" s="39" t="n">
        <f aca="false">PR_PH(AL$2,$A97)</f>
        <v>2015</v>
      </c>
      <c r="AM97" s="39" t="n">
        <f aca="false">PR_PH(AM$2,$A97)</f>
        <v>2015</v>
      </c>
      <c r="AN97" s="39" t="n">
        <f aca="false">PR_PH(AN$2,$A97)</f>
        <v>2015</v>
      </c>
      <c r="AO97" s="39" t="n">
        <f aca="false">PR_PH(AO$2,$A97)</f>
        <v>2015</v>
      </c>
      <c r="AP97" s="39" t="n">
        <f aca="false">PR_PH(AP$2,$A97)</f>
        <v>2015</v>
      </c>
      <c r="AQ97" s="39" t="n">
        <f aca="false">PR_PH(AQ$2,$A97)</f>
        <v>2.39633940938203</v>
      </c>
    </row>
    <row r="98" customFormat="false" ht="13.8" hidden="false" customHeight="false" outlineLevel="0" collapsed="false">
      <c r="A98" s="0" t="n">
        <v>2580</v>
      </c>
      <c r="B98" s="39" t="n">
        <f aca="false">PR_PH(B$2,$A98)</f>
        <v>0.991599112658704</v>
      </c>
      <c r="C98" s="39" t="n">
        <f aca="false">PR_PH(C$2,$A98)</f>
        <v>0.991833977957382</v>
      </c>
      <c r="D98" s="39" t="n">
        <f aca="false">PR_PH(D$2,$A98)</f>
        <v>0.992069306932298</v>
      </c>
      <c r="E98" s="39" t="n">
        <f aca="false">PR_PH(E$2,$A98)</f>
        <v>0.992305223612444</v>
      </c>
      <c r="F98" s="39" t="n">
        <f aca="false">PR_PH(F$2,$A98)</f>
        <v>0.992541848854692</v>
      </c>
      <c r="G98" s="39" t="n">
        <f aca="false">PR_PH(G$2,$A98)</f>
        <v>0.994972033316711</v>
      </c>
      <c r="H98" s="39" t="n">
        <f aca="false">PR_PH(H$2,$A98)</f>
        <v>0.997591422691822</v>
      </c>
      <c r="I98" s="39" t="n">
        <f aca="false">PR_PH(I$2,$A98)</f>
        <v>1.00049385524063</v>
      </c>
      <c r="J98" s="39" t="n">
        <f aca="false">PR_PH(J$2,$A98)</f>
        <v>1.00376166274946</v>
      </c>
      <c r="K98" s="39" t="n">
        <f aca="false">PR_PH(K$2,$A98)</f>
        <v>1.00746692913113</v>
      </c>
      <c r="L98" s="39" t="n">
        <f aca="false">PR_PH(L$2,$A98)</f>
        <v>1.01167234284694</v>
      </c>
      <c r="M98" s="39" t="n">
        <f aca="false">PR_PH(M$2,$A98)</f>
        <v>1.01643190162506</v>
      </c>
      <c r="N98" s="39" t="n">
        <f aca="false">PR_PH(N$2,$A98)</f>
        <v>2015</v>
      </c>
      <c r="O98" s="39" t="n">
        <f aca="false">PR_PH(O$2,$A98)</f>
        <v>2015</v>
      </c>
      <c r="P98" s="39" t="n">
        <f aca="false">PR_PH(P$2,$A98)</f>
        <v>2015</v>
      </c>
      <c r="Q98" s="39" t="n">
        <f aca="false">PR_PH(Q$2,$A98)</f>
        <v>2015</v>
      </c>
      <c r="R98" s="39" t="n">
        <f aca="false">PR_PH(R$2,$A98)</f>
        <v>2015</v>
      </c>
      <c r="S98" s="39" t="n">
        <f aca="false">PR_PH(S$2,$A98)</f>
        <v>2015</v>
      </c>
      <c r="T98" s="39" t="n">
        <f aca="false">PR_PH(T$2,$A98)</f>
        <v>2015</v>
      </c>
      <c r="U98" s="39" t="n">
        <f aca="false">PR_PH(U$2,$A98)</f>
        <v>2015</v>
      </c>
      <c r="V98" s="39" t="n">
        <f aca="false">PR_PH(V$2,$A98)</f>
        <v>2015</v>
      </c>
      <c r="W98" s="39" t="n">
        <f aca="false">PR_PH(W$2,$A98)</f>
        <v>2015</v>
      </c>
      <c r="X98" s="39" t="n">
        <f aca="false">PR_PH(X$2,$A98)</f>
        <v>2015</v>
      </c>
      <c r="Y98" s="39" t="n">
        <f aca="false">PR_PH(Y$2,$A98)</f>
        <v>2015</v>
      </c>
      <c r="Z98" s="39" t="n">
        <f aca="false">PR_PH(Z$2,$A98)</f>
        <v>2015</v>
      </c>
      <c r="AA98" s="39" t="n">
        <f aca="false">PR_PH(AA$2,$A98)</f>
        <v>2015</v>
      </c>
      <c r="AB98" s="39" t="n">
        <f aca="false">PR_PH(AB$2,$A98)</f>
        <v>2015</v>
      </c>
      <c r="AC98" s="39" t="n">
        <f aca="false">PR_PH(AC$2,$A98)</f>
        <v>2015</v>
      </c>
      <c r="AD98" s="39" t="n">
        <f aca="false">PR_PH(AD$2,$A98)</f>
        <v>2015</v>
      </c>
      <c r="AE98" s="39" t="n">
        <f aca="false">PR_PH(AE$2,$A98)</f>
        <v>2015</v>
      </c>
      <c r="AF98" s="39" t="n">
        <f aca="false">PR_PH(AF$2,$A98)</f>
        <v>2015</v>
      </c>
      <c r="AG98" s="39" t="n">
        <f aca="false">PR_PH(AG$2,$A98)</f>
        <v>2015</v>
      </c>
      <c r="AH98" s="39" t="n">
        <f aca="false">PR_PH(AH$2,$A98)</f>
        <v>2015</v>
      </c>
      <c r="AI98" s="39" t="n">
        <f aca="false">PR_PH(AI$2,$A98)</f>
        <v>2015</v>
      </c>
      <c r="AJ98" s="39" t="n">
        <f aca="false">PR_PH(AJ$2,$A98)</f>
        <v>2015</v>
      </c>
      <c r="AK98" s="39" t="n">
        <f aca="false">PR_PH(AK$2,$A98)</f>
        <v>2015</v>
      </c>
      <c r="AL98" s="39" t="n">
        <f aca="false">PR_PH(AL$2,$A98)</f>
        <v>2015</v>
      </c>
      <c r="AM98" s="39" t="n">
        <f aca="false">PR_PH(AM$2,$A98)</f>
        <v>2015</v>
      </c>
      <c r="AN98" s="39" t="n">
        <f aca="false">PR_PH(AN$2,$A98)</f>
        <v>2015</v>
      </c>
      <c r="AO98" s="39" t="n">
        <f aca="false">PR_PH(AO$2,$A98)</f>
        <v>2015</v>
      </c>
      <c r="AP98" s="39" t="n">
        <f aca="false">PR_PH(AP$2,$A98)</f>
        <v>2015</v>
      </c>
      <c r="AQ98" s="39" t="n">
        <f aca="false">PR_PH(AQ$2,$A98)</f>
        <v>2.36563627226025</v>
      </c>
    </row>
    <row r="99" customFormat="false" ht="13.8" hidden="false" customHeight="false" outlineLevel="0" collapsed="false">
      <c r="A99" s="0" t="n">
        <v>2590</v>
      </c>
      <c r="B99" s="39" t="n">
        <f aca="false">PR_PH(B$2,$A99)</f>
        <v>0.987595871031785</v>
      </c>
      <c r="C99" s="39" t="n">
        <f aca="false">PR_PH(C$2,$A99)</f>
        <v>0.98780158817103</v>
      </c>
      <c r="D99" s="39" t="n">
        <f aca="false">PR_PH(D$2,$A99)</f>
        <v>0.988007267371346</v>
      </c>
      <c r="E99" s="39" t="n">
        <f aca="false">PR_PH(E$2,$A99)</f>
        <v>0.988212968917809</v>
      </c>
      <c r="F99" s="39" t="n">
        <f aca="false">PR_PH(F$2,$A99)</f>
        <v>0.988418751031405</v>
      </c>
      <c r="G99" s="39" t="n">
        <f aca="false">PR_PH(G$2,$A99)</f>
        <v>0.990492842925043</v>
      </c>
      <c r="H99" s="39" t="n">
        <f aca="false">PR_PH(H$2,$A99)</f>
        <v>0.992630765970374</v>
      </c>
      <c r="I99" s="39" t="n">
        <f aca="false">PR_PH(I$2,$A99)</f>
        <v>0.994876497585538</v>
      </c>
      <c r="J99" s="39" t="n">
        <f aca="false">PR_PH(J$2,$A99)</f>
        <v>0.997268935563767</v>
      </c>
      <c r="K99" s="39" t="n">
        <f aca="false">PR_PH(K$2,$A99)</f>
        <v>0.999842640684287</v>
      </c>
      <c r="L99" s="39" t="n">
        <f aca="false">PR_PH(L$2,$A99)</f>
        <v>1.00262826251134</v>
      </c>
      <c r="M99" s="39" t="n">
        <f aca="false">PR_PH(M$2,$A99)</f>
        <v>1.00565285550251</v>
      </c>
      <c r="N99" s="39" t="n">
        <f aca="false">PR_PH(N$2,$A99)</f>
        <v>1.00894014408573</v>
      </c>
      <c r="O99" s="39" t="n">
        <f aca="false">PR_PH(O$2,$A99)</f>
        <v>1.01251075872895</v>
      </c>
      <c r="P99" s="39" t="n">
        <f aca="false">PR_PH(P$2,$A99)</f>
        <v>2015</v>
      </c>
      <c r="Q99" s="39" t="n">
        <f aca="false">PR_PH(Q$2,$A99)</f>
        <v>2015</v>
      </c>
      <c r="R99" s="39" t="n">
        <f aca="false">PR_PH(R$2,$A99)</f>
        <v>2015</v>
      </c>
      <c r="S99" s="39" t="n">
        <f aca="false">PR_PH(S$2,$A99)</f>
        <v>2015</v>
      </c>
      <c r="T99" s="39" t="n">
        <f aca="false">PR_PH(T$2,$A99)</f>
        <v>2015</v>
      </c>
      <c r="U99" s="39" t="n">
        <f aca="false">PR_PH(U$2,$A99)</f>
        <v>2015</v>
      </c>
      <c r="V99" s="39" t="n">
        <f aca="false">PR_PH(V$2,$A99)</f>
        <v>2015</v>
      </c>
      <c r="W99" s="39" t="n">
        <f aca="false">PR_PH(W$2,$A99)</f>
        <v>2015</v>
      </c>
      <c r="X99" s="39" t="n">
        <f aca="false">PR_PH(X$2,$A99)</f>
        <v>2015</v>
      </c>
      <c r="Y99" s="39" t="n">
        <f aca="false">PR_PH(Y$2,$A99)</f>
        <v>2015</v>
      </c>
      <c r="Z99" s="39" t="n">
        <f aca="false">PR_PH(Z$2,$A99)</f>
        <v>2015</v>
      </c>
      <c r="AA99" s="39" t="n">
        <f aca="false">PR_PH(AA$2,$A99)</f>
        <v>2015</v>
      </c>
      <c r="AB99" s="39" t="n">
        <f aca="false">PR_PH(AB$2,$A99)</f>
        <v>2015</v>
      </c>
      <c r="AC99" s="39" t="n">
        <f aca="false">PR_PH(AC$2,$A99)</f>
        <v>2015</v>
      </c>
      <c r="AD99" s="39" t="n">
        <f aca="false">PR_PH(AD$2,$A99)</f>
        <v>2015</v>
      </c>
      <c r="AE99" s="39" t="n">
        <f aca="false">PR_PH(AE$2,$A99)</f>
        <v>2015</v>
      </c>
      <c r="AF99" s="39" t="n">
        <f aca="false">PR_PH(AF$2,$A99)</f>
        <v>2015</v>
      </c>
      <c r="AG99" s="39" t="n">
        <f aca="false">PR_PH(AG$2,$A99)</f>
        <v>2015</v>
      </c>
      <c r="AH99" s="39" t="n">
        <f aca="false">PR_PH(AH$2,$A99)</f>
        <v>2015</v>
      </c>
      <c r="AI99" s="39" t="n">
        <f aca="false">PR_PH(AI$2,$A99)</f>
        <v>2015</v>
      </c>
      <c r="AJ99" s="39" t="n">
        <f aca="false">PR_PH(AJ$2,$A99)</f>
        <v>2015</v>
      </c>
      <c r="AK99" s="39" t="n">
        <f aca="false">PR_PH(AK$2,$A99)</f>
        <v>2015</v>
      </c>
      <c r="AL99" s="39" t="n">
        <f aca="false">PR_PH(AL$2,$A99)</f>
        <v>2015</v>
      </c>
      <c r="AM99" s="39" t="n">
        <f aca="false">PR_PH(AM$2,$A99)</f>
        <v>2015</v>
      </c>
      <c r="AN99" s="39" t="n">
        <f aca="false">PR_PH(AN$2,$A99)</f>
        <v>2015</v>
      </c>
      <c r="AO99" s="39" t="n">
        <f aca="false">PR_PH(AO$2,$A99)</f>
        <v>2015</v>
      </c>
      <c r="AP99" s="39" t="n">
        <f aca="false">PR_PH(AP$2,$A99)</f>
        <v>2015</v>
      </c>
      <c r="AQ99" s="39" t="n">
        <f aca="false">PR_PH(AQ$2,$A99)</f>
        <v>2.36822971126752</v>
      </c>
    </row>
    <row r="100" customFormat="false" ht="13.8" hidden="false" customHeight="false" outlineLevel="0" collapsed="false">
      <c r="A100" s="0" t="n">
        <v>2600</v>
      </c>
      <c r="B100" s="39" t="n">
        <f aca="false">PR_PH(B$2,$A100)</f>
        <v>0.983974967332964</v>
      </c>
      <c r="C100" s="39" t="n">
        <f aca="false">PR_PH(C$2,$A100)</f>
        <v>0.98415637709064</v>
      </c>
      <c r="D100" s="39" t="n">
        <f aca="false">PR_PH(D$2,$A100)</f>
        <v>0.984337580226747</v>
      </c>
      <c r="E100" s="39" t="n">
        <f aca="false">PR_PH(E$2,$A100)</f>
        <v>0.984518607890979</v>
      </c>
      <c r="F100" s="39" t="n">
        <f aca="false">PR_PH(F$2,$A100)</f>
        <v>0.984699489760216</v>
      </c>
      <c r="G100" s="39" t="n">
        <f aca="false">PR_PH(G$2,$A100)</f>
        <v>0.986506170440738</v>
      </c>
      <c r="H100" s="39" t="n">
        <f aca="false">PR_PH(H$2,$A100)</f>
        <v>0.98832560779325</v>
      </c>
      <c r="I100" s="39" t="n">
        <f aca="false">PR_PH(I$2,$A100)</f>
        <v>0.990178927512122</v>
      </c>
      <c r="J100" s="39" t="n">
        <f aca="false">PR_PH(J$2,$A100)</f>
        <v>0.992084801197162</v>
      </c>
      <c r="K100" s="39" t="n">
        <f aca="false">PR_PH(K$2,$A100)</f>
        <v>0.994059946295475</v>
      </c>
      <c r="L100" s="39" t="n">
        <f aca="false">PR_PH(L$2,$A100)</f>
        <v>0.99611937452775</v>
      </c>
      <c r="M100" s="39" t="n">
        <f aca="false">PR_PH(M$2,$A100)</f>
        <v>0.99827655520927</v>
      </c>
      <c r="N100" s="39" t="n">
        <f aca="false">PR_PH(N$2,$A100)</f>
        <v>1.00054354065299</v>
      </c>
      <c r="O100" s="39" t="n">
        <f aca="false">PR_PH(O$2,$A100)</f>
        <v>1.00293107140382</v>
      </c>
      <c r="P100" s="39" t="n">
        <f aca="false">PR_PH(P$2,$A100)</f>
        <v>2015</v>
      </c>
      <c r="Q100" s="39" t="n">
        <f aca="false">PR_PH(Q$2,$A100)</f>
        <v>2015</v>
      </c>
      <c r="R100" s="39" t="n">
        <f aca="false">PR_PH(R$2,$A100)</f>
        <v>2015</v>
      </c>
      <c r="S100" s="39" t="n">
        <f aca="false">PR_PH(S$2,$A100)</f>
        <v>2015</v>
      </c>
      <c r="T100" s="39" t="n">
        <f aca="false">PR_PH(T$2,$A100)</f>
        <v>2015</v>
      </c>
      <c r="U100" s="39" t="n">
        <f aca="false">PR_PH(U$2,$A100)</f>
        <v>2015</v>
      </c>
      <c r="V100" s="39" t="n">
        <f aca="false">PR_PH(V$2,$A100)</f>
        <v>2015</v>
      </c>
      <c r="W100" s="39" t="n">
        <f aca="false">PR_PH(W$2,$A100)</f>
        <v>2015</v>
      </c>
      <c r="X100" s="39" t="n">
        <f aca="false">PR_PH(X$2,$A100)</f>
        <v>2015</v>
      </c>
      <c r="Y100" s="39" t="n">
        <f aca="false">PR_PH(Y$2,$A100)</f>
        <v>2015</v>
      </c>
      <c r="Z100" s="39" t="n">
        <f aca="false">PR_PH(Z$2,$A100)</f>
        <v>2015</v>
      </c>
      <c r="AA100" s="39" t="n">
        <f aca="false">PR_PH(AA$2,$A100)</f>
        <v>2015</v>
      </c>
      <c r="AB100" s="39" t="n">
        <f aca="false">PR_PH(AB$2,$A100)</f>
        <v>2015</v>
      </c>
      <c r="AC100" s="39" t="n">
        <f aca="false">PR_PH(AC$2,$A100)</f>
        <v>2015</v>
      </c>
      <c r="AD100" s="39" t="n">
        <f aca="false">PR_PH(AD$2,$A100)</f>
        <v>2015</v>
      </c>
      <c r="AE100" s="39" t="n">
        <f aca="false">PR_PH(AE$2,$A100)</f>
        <v>2015</v>
      </c>
      <c r="AF100" s="39" t="n">
        <f aca="false">PR_PH(AF$2,$A100)</f>
        <v>2015</v>
      </c>
      <c r="AG100" s="39" t="n">
        <f aca="false">PR_PH(AG$2,$A100)</f>
        <v>2015</v>
      </c>
      <c r="AH100" s="39" t="n">
        <f aca="false">PR_PH(AH$2,$A100)</f>
        <v>2015</v>
      </c>
      <c r="AI100" s="39" t="n">
        <f aca="false">PR_PH(AI$2,$A100)</f>
        <v>2015</v>
      </c>
      <c r="AJ100" s="39" t="n">
        <f aca="false">PR_PH(AJ$2,$A100)</f>
        <v>2015</v>
      </c>
      <c r="AK100" s="39" t="n">
        <f aca="false">PR_PH(AK$2,$A100)</f>
        <v>2015</v>
      </c>
      <c r="AL100" s="39" t="n">
        <f aca="false">PR_PH(AL$2,$A100)</f>
        <v>2015</v>
      </c>
      <c r="AM100" s="39" t="n">
        <f aca="false">PR_PH(AM$2,$A100)</f>
        <v>2015</v>
      </c>
      <c r="AN100" s="39" t="n">
        <f aca="false">PR_PH(AN$2,$A100)</f>
        <v>2015</v>
      </c>
      <c r="AO100" s="39" t="n">
        <f aca="false">PR_PH(AO$2,$A100)</f>
        <v>2015</v>
      </c>
      <c r="AP100" s="39" t="n">
        <f aca="false">PR_PH(AP$2,$A100)</f>
        <v>2015</v>
      </c>
      <c r="AQ100" s="39" t="n">
        <f aca="false">PR_PH(AQ$2,$A100)</f>
        <v>2.29348122783191</v>
      </c>
    </row>
    <row r="101" customFormat="false" ht="13.8" hidden="false" customHeight="false" outlineLevel="0" collapsed="false">
      <c r="A101" s="0" t="n">
        <v>2610</v>
      </c>
      <c r="B101" s="39" t="n">
        <f aca="false">PR_PH(B$2,$A101)</f>
        <v>0.980693465116029</v>
      </c>
      <c r="C101" s="39" t="n">
        <f aca="false">PR_PH(C$2,$A101)</f>
        <v>0.980854099709282</v>
      </c>
      <c r="D101" s="39" t="n">
        <f aca="false">PR_PH(D$2,$A101)</f>
        <v>0.981014491902373</v>
      </c>
      <c r="E101" s="39" t="n">
        <f aca="false">PR_PH(E$2,$A101)</f>
        <v>0.981174659094704</v>
      </c>
      <c r="F101" s="39" t="n">
        <f aca="false">PR_PH(F$2,$A101)</f>
        <v>0.981334617571545</v>
      </c>
      <c r="G101" s="39" t="n">
        <f aca="false">PR_PH(G$2,$A101)</f>
        <v>0.982925834741094</v>
      </c>
      <c r="H101" s="39" t="n">
        <f aca="false">PR_PH(H$2,$A101)</f>
        <v>0.984510343290425</v>
      </c>
      <c r="I101" s="39" t="n">
        <f aca="false">PR_PH(I$2,$A101)</f>
        <v>0.986098682560247</v>
      </c>
      <c r="J101" s="39" t="n">
        <f aca="false">PR_PH(J$2,$A101)</f>
        <v>0.987700062712005</v>
      </c>
      <c r="K101" s="39" t="n">
        <f aca="false">PR_PH(K$2,$A101)</f>
        <v>0.989322731869631</v>
      </c>
      <c r="L101" s="39" t="n">
        <f aca="false">PR_PH(L$2,$A101)</f>
        <v>0.99097414152258</v>
      </c>
      <c r="M101" s="39" t="n">
        <f aca="false">PR_PH(M$2,$A101)</f>
        <v>0.992661044356103</v>
      </c>
      <c r="N101" s="39" t="n">
        <f aca="false">PR_PH(N$2,$A101)</f>
        <v>0.994389562571601</v>
      </c>
      <c r="O101" s="39" t="n">
        <f aca="false">PR_PH(O$2,$A101)</f>
        <v>0.996165241026845</v>
      </c>
      <c r="P101" s="39" t="n">
        <f aca="false">PR_PH(P$2,$A101)</f>
        <v>1.01739919260801</v>
      </c>
      <c r="Q101" s="39" t="n">
        <f aca="false">PR_PH(Q$2,$A101)</f>
        <v>2015</v>
      </c>
      <c r="R101" s="39" t="n">
        <f aca="false">PR_PH(R$2,$A101)</f>
        <v>2015</v>
      </c>
      <c r="S101" s="39" t="n">
        <f aca="false">PR_PH(S$2,$A101)</f>
        <v>2015</v>
      </c>
      <c r="T101" s="39" t="n">
        <f aca="false">PR_PH(T$2,$A101)</f>
        <v>2015</v>
      </c>
      <c r="U101" s="39" t="n">
        <f aca="false">PR_PH(U$2,$A101)</f>
        <v>2015</v>
      </c>
      <c r="V101" s="39" t="n">
        <f aca="false">PR_PH(V$2,$A101)</f>
        <v>2015</v>
      </c>
      <c r="W101" s="39" t="n">
        <f aca="false">PR_PH(W$2,$A101)</f>
        <v>2015</v>
      </c>
      <c r="X101" s="39" t="n">
        <f aca="false">PR_PH(X$2,$A101)</f>
        <v>2015</v>
      </c>
      <c r="Y101" s="39" t="n">
        <f aca="false">PR_PH(Y$2,$A101)</f>
        <v>2015</v>
      </c>
      <c r="Z101" s="39" t="n">
        <f aca="false">PR_PH(Z$2,$A101)</f>
        <v>2015</v>
      </c>
      <c r="AA101" s="39" t="n">
        <f aca="false">PR_PH(AA$2,$A101)</f>
        <v>2015</v>
      </c>
      <c r="AB101" s="39" t="n">
        <f aca="false">PR_PH(AB$2,$A101)</f>
        <v>2015</v>
      </c>
      <c r="AC101" s="39" t="n">
        <f aca="false">PR_PH(AC$2,$A101)</f>
        <v>2015</v>
      </c>
      <c r="AD101" s="39" t="n">
        <f aca="false">PR_PH(AD$2,$A101)</f>
        <v>2015</v>
      </c>
      <c r="AE101" s="39" t="n">
        <f aca="false">PR_PH(AE$2,$A101)</f>
        <v>2015</v>
      </c>
      <c r="AF101" s="39" t="n">
        <f aca="false">PR_PH(AF$2,$A101)</f>
        <v>2015</v>
      </c>
      <c r="AG101" s="39" t="n">
        <f aca="false">PR_PH(AG$2,$A101)</f>
        <v>2015</v>
      </c>
      <c r="AH101" s="39" t="n">
        <f aca="false">PR_PH(AH$2,$A101)</f>
        <v>2015</v>
      </c>
      <c r="AI101" s="39" t="n">
        <f aca="false">PR_PH(AI$2,$A101)</f>
        <v>2015</v>
      </c>
      <c r="AJ101" s="39" t="n">
        <f aca="false">PR_PH(AJ$2,$A101)</f>
        <v>2015</v>
      </c>
      <c r="AK101" s="39" t="n">
        <f aca="false">PR_PH(AK$2,$A101)</f>
        <v>2015</v>
      </c>
      <c r="AL101" s="39" t="n">
        <f aca="false">PR_PH(AL$2,$A101)</f>
        <v>2015</v>
      </c>
      <c r="AM101" s="39" t="n">
        <f aca="false">PR_PH(AM$2,$A101)</f>
        <v>2015</v>
      </c>
      <c r="AN101" s="39" t="n">
        <f aca="false">PR_PH(AN$2,$A101)</f>
        <v>2015</v>
      </c>
      <c r="AO101" s="39" t="n">
        <f aca="false">PR_PH(AO$2,$A101)</f>
        <v>2015</v>
      </c>
      <c r="AP101" s="39" t="n">
        <f aca="false">PR_PH(AP$2,$A101)</f>
        <v>2015</v>
      </c>
      <c r="AQ101" s="39" t="n">
        <f aca="false">PR_PH(AQ$2,$A101)</f>
        <v>2.23299801438483</v>
      </c>
    </row>
    <row r="102" customFormat="false" ht="13.8" hidden="false" customHeight="false" outlineLevel="0" collapsed="false">
      <c r="A102" s="0" t="n">
        <v>2620</v>
      </c>
      <c r="B102" s="39" t="n">
        <f aca="false">PR_PH(B$2,$A102)</f>
        <v>0.977714336133087</v>
      </c>
      <c r="C102" s="39" t="n">
        <f aca="false">PR_PH(C$2,$A102)</f>
        <v>0.977856978369863</v>
      </c>
      <c r="D102" s="39" t="n">
        <f aca="false">PR_PH(D$2,$A102)</f>
        <v>0.977999392110414</v>
      </c>
      <c r="E102" s="39" t="n">
        <f aca="false">PR_PH(E$2,$A102)</f>
        <v>0.978141587962278</v>
      </c>
      <c r="F102" s="39" t="n">
        <f aca="false">PR_PH(F$2,$A102)</f>
        <v>0.978283575660822</v>
      </c>
      <c r="G102" s="39" t="n">
        <f aca="false">PR_PH(G$2,$A102)</f>
        <v>0.97969378558222</v>
      </c>
      <c r="H102" s="39" t="n">
        <f aca="false">PR_PH(H$2,$A102)</f>
        <v>0.981091066590892</v>
      </c>
      <c r="I102" s="39" t="n">
        <f aca="false">PR_PH(I$2,$A102)</f>
        <v>0.982480967046988</v>
      </c>
      <c r="J102" s="39" t="n">
        <f aca="false">PR_PH(J$2,$A102)</f>
        <v>0.983868222579096</v>
      </c>
      <c r="K102" s="39" t="n">
        <f aca="false">PR_PH(K$2,$A102)</f>
        <v>0.985257039571401</v>
      </c>
      <c r="L102" s="39" t="n">
        <f aca="false">PR_PH(L$2,$A102)</f>
        <v>0.986651215763322</v>
      </c>
      <c r="M102" s="39" t="n">
        <f aca="false">PR_PH(M$2,$A102)</f>
        <v>0.988054206524897</v>
      </c>
      <c r="N102" s="39" t="n">
        <f aca="false">PR_PH(N$2,$A102)</f>
        <v>0.989469167613662</v>
      </c>
      <c r="O102" s="39" t="n">
        <f aca="false">PR_PH(O$2,$A102)</f>
        <v>0.990898986015856</v>
      </c>
      <c r="P102" s="39" t="n">
        <f aca="false">PR_PH(P$2,$A102)</f>
        <v>1.00649658076715</v>
      </c>
      <c r="Q102" s="39" t="n">
        <f aca="false">PR_PH(Q$2,$A102)</f>
        <v>2015</v>
      </c>
      <c r="R102" s="39" t="n">
        <f aca="false">PR_PH(R$2,$A102)</f>
        <v>2015</v>
      </c>
      <c r="S102" s="39" t="n">
        <f aca="false">PR_PH(S$2,$A102)</f>
        <v>2015</v>
      </c>
      <c r="T102" s="39" t="n">
        <f aca="false">PR_PH(T$2,$A102)</f>
        <v>2015</v>
      </c>
      <c r="U102" s="39" t="n">
        <f aca="false">PR_PH(U$2,$A102)</f>
        <v>2015</v>
      </c>
      <c r="V102" s="39" t="n">
        <f aca="false">PR_PH(V$2,$A102)</f>
        <v>2015</v>
      </c>
      <c r="W102" s="39" t="n">
        <f aca="false">PR_PH(W$2,$A102)</f>
        <v>2015</v>
      </c>
      <c r="X102" s="39" t="n">
        <f aca="false">PR_PH(X$2,$A102)</f>
        <v>2015</v>
      </c>
      <c r="Y102" s="39" t="n">
        <f aca="false">PR_PH(Y$2,$A102)</f>
        <v>2015</v>
      </c>
      <c r="Z102" s="39" t="n">
        <f aca="false">PR_PH(Z$2,$A102)</f>
        <v>2015</v>
      </c>
      <c r="AA102" s="39" t="n">
        <f aca="false">PR_PH(AA$2,$A102)</f>
        <v>2015</v>
      </c>
      <c r="AB102" s="39" t="n">
        <f aca="false">PR_PH(AB$2,$A102)</f>
        <v>2015</v>
      </c>
      <c r="AC102" s="39" t="n">
        <f aca="false">PR_PH(AC$2,$A102)</f>
        <v>2015</v>
      </c>
      <c r="AD102" s="39" t="n">
        <f aca="false">PR_PH(AD$2,$A102)</f>
        <v>2015</v>
      </c>
      <c r="AE102" s="39" t="n">
        <f aca="false">PR_PH(AE$2,$A102)</f>
        <v>2015</v>
      </c>
      <c r="AF102" s="39" t="n">
        <f aca="false">PR_PH(AF$2,$A102)</f>
        <v>2015</v>
      </c>
      <c r="AG102" s="39" t="n">
        <f aca="false">PR_PH(AG$2,$A102)</f>
        <v>2015</v>
      </c>
      <c r="AH102" s="39" t="n">
        <f aca="false">PR_PH(AH$2,$A102)</f>
        <v>2015</v>
      </c>
      <c r="AI102" s="39" t="n">
        <f aca="false">PR_PH(AI$2,$A102)</f>
        <v>2015</v>
      </c>
      <c r="AJ102" s="39" t="n">
        <f aca="false">PR_PH(AJ$2,$A102)</f>
        <v>2015</v>
      </c>
      <c r="AK102" s="39" t="n">
        <f aca="false">PR_PH(AK$2,$A102)</f>
        <v>2015</v>
      </c>
      <c r="AL102" s="39" t="n">
        <f aca="false">PR_PH(AL$2,$A102)</f>
        <v>2015</v>
      </c>
      <c r="AM102" s="39" t="n">
        <f aca="false">PR_PH(AM$2,$A102)</f>
        <v>2015</v>
      </c>
      <c r="AN102" s="39" t="n">
        <f aca="false">PR_PH(AN$2,$A102)</f>
        <v>2015</v>
      </c>
      <c r="AO102" s="39" t="n">
        <f aca="false">PR_PH(AO$2,$A102)</f>
        <v>2015</v>
      </c>
      <c r="AP102" s="39" t="n">
        <f aca="false">PR_PH(AP$2,$A102)</f>
        <v>2015</v>
      </c>
      <c r="AQ102" s="39" t="n">
        <f aca="false">PR_PH(AQ$2,$A102)</f>
        <v>2.18511722684788</v>
      </c>
    </row>
    <row r="103" customFormat="false" ht="13.8" hidden="false" customHeight="false" outlineLevel="0" collapsed="false">
      <c r="A103" s="0" t="n">
        <v>2630</v>
      </c>
      <c r="B103" s="39" t="n">
        <f aca="false">PR_PH(B$2,$A103)</f>
        <v>0.975005161221974</v>
      </c>
      <c r="C103" s="39" t="n">
        <f aca="false">PR_PH(C$2,$A103)</f>
        <v>0.975132106822864</v>
      </c>
      <c r="D103" s="39" t="n">
        <f aca="false">PR_PH(D$2,$A103)</f>
        <v>0.975258853396152</v>
      </c>
      <c r="E103" s="39" t="n">
        <f aca="false">PR_PH(E$2,$A103)</f>
        <v>0.975385407981204</v>
      </c>
      <c r="F103" s="39" t="n">
        <f aca="false">PR_PH(F$2,$A103)</f>
        <v>0.975511776920953</v>
      </c>
      <c r="G103" s="39" t="n">
        <f aca="false">PR_PH(G$2,$A103)</f>
        <v>0.97676636701107</v>
      </c>
      <c r="H103" s="39" t="n">
        <f aca="false">PR_PH(H$2,$A103)</f>
        <v>0.978007164280465</v>
      </c>
      <c r="I103" s="39" t="n">
        <f aca="false">PR_PH(I$2,$A103)</f>
        <v>0.979237300133768</v>
      </c>
      <c r="J103" s="39" t="n">
        <f aca="false">PR_PH(J$2,$A103)</f>
        <v>0.980459353707286</v>
      </c>
      <c r="K103" s="39" t="n">
        <f aca="false">PR_PH(K$2,$A103)</f>
        <v>0.981675576858296</v>
      </c>
      <c r="L103" s="39" t="n">
        <f aca="false">PR_PH(L$2,$A103)</f>
        <v>0.982887986991704</v>
      </c>
      <c r="M103" s="39" t="n">
        <f aca="false">PR_PH(M$2,$A103)</f>
        <v>0.984098415888618</v>
      </c>
      <c r="N103" s="39" t="n">
        <f aca="false">PR_PH(N$2,$A103)</f>
        <v>0.985308539555953</v>
      </c>
      <c r="O103" s="39" t="n">
        <f aca="false">PR_PH(O$2,$A103)</f>
        <v>0.986519898522482</v>
      </c>
      <c r="P103" s="39" t="n">
        <f aca="false">PR_PH(P$2,$A103)</f>
        <v>0.998966528075782</v>
      </c>
      <c r="Q103" s="39" t="n">
        <f aca="false">PR_PH(Q$2,$A103)</f>
        <v>1.01258554676627</v>
      </c>
      <c r="R103" s="39" t="n">
        <f aca="false">PR_PH(R$2,$A103)</f>
        <v>2015</v>
      </c>
      <c r="S103" s="39" t="n">
        <f aca="false">PR_PH(S$2,$A103)</f>
        <v>2015</v>
      </c>
      <c r="T103" s="39" t="n">
        <f aca="false">PR_PH(T$2,$A103)</f>
        <v>2015</v>
      </c>
      <c r="U103" s="39" t="n">
        <f aca="false">PR_PH(U$2,$A103)</f>
        <v>2015</v>
      </c>
      <c r="V103" s="39" t="n">
        <f aca="false">PR_PH(V$2,$A103)</f>
        <v>2015</v>
      </c>
      <c r="W103" s="39" t="n">
        <f aca="false">PR_PH(W$2,$A103)</f>
        <v>2015</v>
      </c>
      <c r="X103" s="39" t="n">
        <f aca="false">PR_PH(X$2,$A103)</f>
        <v>2015</v>
      </c>
      <c r="Y103" s="39" t="n">
        <f aca="false">PR_PH(Y$2,$A103)</f>
        <v>2015</v>
      </c>
      <c r="Z103" s="39" t="n">
        <f aca="false">PR_PH(Z$2,$A103)</f>
        <v>2015</v>
      </c>
      <c r="AA103" s="39" t="n">
        <f aca="false">PR_PH(AA$2,$A103)</f>
        <v>2015</v>
      </c>
      <c r="AB103" s="39" t="n">
        <f aca="false">PR_PH(AB$2,$A103)</f>
        <v>2015</v>
      </c>
      <c r="AC103" s="39" t="n">
        <f aca="false">PR_PH(AC$2,$A103)</f>
        <v>2015</v>
      </c>
      <c r="AD103" s="39" t="n">
        <f aca="false">PR_PH(AD$2,$A103)</f>
        <v>2015</v>
      </c>
      <c r="AE103" s="39" t="n">
        <f aca="false">PR_PH(AE$2,$A103)</f>
        <v>2015</v>
      </c>
      <c r="AF103" s="39" t="n">
        <f aca="false">PR_PH(AF$2,$A103)</f>
        <v>2015</v>
      </c>
      <c r="AG103" s="39" t="n">
        <f aca="false">PR_PH(AG$2,$A103)</f>
        <v>2015</v>
      </c>
      <c r="AH103" s="39" t="n">
        <f aca="false">PR_PH(AH$2,$A103)</f>
        <v>2015</v>
      </c>
      <c r="AI103" s="39" t="n">
        <f aca="false">PR_PH(AI$2,$A103)</f>
        <v>2015</v>
      </c>
      <c r="AJ103" s="39" t="n">
        <f aca="false">PR_PH(AJ$2,$A103)</f>
        <v>2015</v>
      </c>
      <c r="AK103" s="39" t="n">
        <f aca="false">PR_PH(AK$2,$A103)</f>
        <v>2015</v>
      </c>
      <c r="AL103" s="39" t="n">
        <f aca="false">PR_PH(AL$2,$A103)</f>
        <v>2015</v>
      </c>
      <c r="AM103" s="39" t="n">
        <f aca="false">PR_PH(AM$2,$A103)</f>
        <v>2015</v>
      </c>
      <c r="AN103" s="39" t="n">
        <f aca="false">PR_PH(AN$2,$A103)</f>
        <v>2015</v>
      </c>
      <c r="AO103" s="39" t="n">
        <f aca="false">PR_PH(AO$2,$A103)</f>
        <v>2015</v>
      </c>
      <c r="AP103" s="39" t="n">
        <f aca="false">PR_PH(AP$2,$A103)</f>
        <v>2015</v>
      </c>
      <c r="AQ103" s="39" t="n">
        <f aca="false">PR_PH(AQ$2,$A103)</f>
        <v>2.14407312013155</v>
      </c>
    </row>
    <row r="104" customFormat="false" ht="13.8" hidden="false" customHeight="false" outlineLevel="0" collapsed="false">
      <c r="A104" s="0" t="n">
        <v>2640</v>
      </c>
      <c r="B104" s="39" t="n">
        <f aca="false">PR_PH(B$2,$A104)</f>
        <v>0.972537315522863</v>
      </c>
      <c r="C104" s="39" t="n">
        <f aca="false">PR_PH(C$2,$A104)</f>
        <v>0.972650507526403</v>
      </c>
      <c r="D104" s="39" t="n">
        <f aca="false">PR_PH(D$2,$A104)</f>
        <v>0.972763532053883</v>
      </c>
      <c r="E104" s="39" t="n">
        <f aca="false">PR_PH(E$2,$A104)</f>
        <v>0.972876394121512</v>
      </c>
      <c r="F104" s="39" t="n">
        <f aca="false">PR_PH(F$2,$A104)</f>
        <v>0.972989098182789</v>
      </c>
      <c r="G104" s="39" t="n">
        <f aca="false">PR_PH(G$2,$A104)</f>
        <v>0.974108200017739</v>
      </c>
      <c r="H104" s="39" t="n">
        <f aca="false">PR_PH(H$2,$A104)</f>
        <v>0.975214638336526</v>
      </c>
      <c r="I104" s="39" t="n">
        <f aca="false">PR_PH(I$2,$A104)</f>
        <v>0.976310327322267</v>
      </c>
      <c r="J104" s="39" t="n">
        <f aca="false">PR_PH(J$2,$A104)</f>
        <v>0.977396775815498</v>
      </c>
      <c r="K104" s="39" t="n">
        <f aca="false">PR_PH(K$2,$A104)</f>
        <v>0.978475268626841</v>
      </c>
      <c r="L104" s="39" t="n">
        <f aca="false">PR_PH(L$2,$A104)</f>
        <v>0.979546940179793</v>
      </c>
      <c r="M104" s="39" t="n">
        <f aca="false">PR_PH(M$2,$A104)</f>
        <v>0.980612812336187</v>
      </c>
      <c r="N104" s="39" t="n">
        <f aca="false">PR_PH(N$2,$A104)</f>
        <v>0.981673816794151</v>
      </c>
      <c r="O104" s="39" t="n">
        <f aca="false">PR_PH(O$2,$A104)</f>
        <v>0.982730809740759</v>
      </c>
      <c r="P104" s="39" t="n">
        <f aca="false">PR_PH(P$2,$A104)</f>
        <v>0.993229698480878</v>
      </c>
      <c r="Q104" s="39" t="n">
        <f aca="false">PR_PH(Q$2,$A104)</f>
        <v>1.00393694108413</v>
      </c>
      <c r="R104" s="39" t="n">
        <f aca="false">PR_PH(R$2,$A104)</f>
        <v>1.01517202977734</v>
      </c>
      <c r="S104" s="39" t="n">
        <f aca="false">PR_PH(S$2,$A104)</f>
        <v>2015</v>
      </c>
      <c r="T104" s="39" t="n">
        <f aca="false">PR_PH(T$2,$A104)</f>
        <v>2015</v>
      </c>
      <c r="U104" s="39" t="n">
        <f aca="false">PR_PH(U$2,$A104)</f>
        <v>2015</v>
      </c>
      <c r="V104" s="39" t="n">
        <f aca="false">PR_PH(V$2,$A104)</f>
        <v>2015</v>
      </c>
      <c r="W104" s="39" t="n">
        <f aca="false">PR_PH(W$2,$A104)</f>
        <v>2015</v>
      </c>
      <c r="X104" s="39" t="n">
        <f aca="false">PR_PH(X$2,$A104)</f>
        <v>2015</v>
      </c>
      <c r="Y104" s="39" t="n">
        <f aca="false">PR_PH(Y$2,$A104)</f>
        <v>2015</v>
      </c>
      <c r="Z104" s="39" t="n">
        <f aca="false">PR_PH(Z$2,$A104)</f>
        <v>2015</v>
      </c>
      <c r="AA104" s="39" t="n">
        <f aca="false">PR_PH(AA$2,$A104)</f>
        <v>2015</v>
      </c>
      <c r="AB104" s="39" t="n">
        <f aca="false">PR_PH(AB$2,$A104)</f>
        <v>2015</v>
      </c>
      <c r="AC104" s="39" t="n">
        <f aca="false">PR_PH(AC$2,$A104)</f>
        <v>2015</v>
      </c>
      <c r="AD104" s="39" t="n">
        <f aca="false">PR_PH(AD$2,$A104)</f>
        <v>2015</v>
      </c>
      <c r="AE104" s="39" t="n">
        <f aca="false">PR_PH(AE$2,$A104)</f>
        <v>2015</v>
      </c>
      <c r="AF104" s="39" t="n">
        <f aca="false">PR_PH(AF$2,$A104)</f>
        <v>2015</v>
      </c>
      <c r="AG104" s="39" t="n">
        <f aca="false">PR_PH(AG$2,$A104)</f>
        <v>2015</v>
      </c>
      <c r="AH104" s="39" t="n">
        <f aca="false">PR_PH(AH$2,$A104)</f>
        <v>2015</v>
      </c>
      <c r="AI104" s="39" t="n">
        <f aca="false">PR_PH(AI$2,$A104)</f>
        <v>2015</v>
      </c>
      <c r="AJ104" s="39" t="n">
        <f aca="false">PR_PH(AJ$2,$A104)</f>
        <v>2015</v>
      </c>
      <c r="AK104" s="39" t="n">
        <f aca="false">PR_PH(AK$2,$A104)</f>
        <v>2015</v>
      </c>
      <c r="AL104" s="39" t="n">
        <f aca="false">PR_PH(AL$2,$A104)</f>
        <v>2015</v>
      </c>
      <c r="AM104" s="39" t="n">
        <f aca="false">PR_PH(AM$2,$A104)</f>
        <v>2015</v>
      </c>
      <c r="AN104" s="39" t="n">
        <f aca="false">PR_PH(AN$2,$A104)</f>
        <v>2015</v>
      </c>
      <c r="AO104" s="39" t="n">
        <f aca="false">PR_PH(AO$2,$A104)</f>
        <v>2015</v>
      </c>
      <c r="AP104" s="39" t="n">
        <f aca="false">PR_PH(AP$2,$A104)</f>
        <v>2015</v>
      </c>
      <c r="AQ104" s="39" t="n">
        <f aca="false">PR_PH(AQ$2,$A104)</f>
        <v>2.10527875975813</v>
      </c>
    </row>
    <row r="105" customFormat="false" ht="13.8" hidden="false" customHeight="false" outlineLevel="0" collapsed="false">
      <c r="A105" s="0" t="n">
        <v>2650</v>
      </c>
      <c r="B105" s="39" t="n">
        <f aca="false">PR_PH(B$2,$A105)</f>
        <v>0.97028539478769</v>
      </c>
      <c r="C105" s="39" t="n">
        <f aca="false">PR_PH(C$2,$A105)</f>
        <v>0.970386500762242</v>
      </c>
      <c r="D105" s="39" t="n">
        <f aca="false">PR_PH(D$2,$A105)</f>
        <v>0.970487468020969</v>
      </c>
      <c r="E105" s="39" t="n">
        <f aca="false">PR_PH(E$2,$A105)</f>
        <v>0.970588300333184</v>
      </c>
      <c r="F105" s="39" t="n">
        <f aca="false">PR_PH(F$2,$A105)</f>
        <v>0.970689001010041</v>
      </c>
      <c r="G105" s="39" t="n">
        <f aca="false">PR_PH(G$2,$A105)</f>
        <v>0.971689311115954</v>
      </c>
      <c r="H105" s="39" t="n">
        <f aca="false">PR_PH(H$2,$A105)</f>
        <v>0.972678674155513</v>
      </c>
      <c r="I105" s="39" t="n">
        <f aca="false">PR_PH(I$2,$A105)</f>
        <v>0.973658357327452</v>
      </c>
      <c r="J105" s="39" t="n">
        <f aca="false">PR_PH(J$2,$A105)</f>
        <v>0.974629315164719</v>
      </c>
      <c r="K105" s="39" t="n">
        <f aca="false">PR_PH(K$2,$A105)</f>
        <v>0.975592336990448</v>
      </c>
      <c r="L105" s="39" t="n">
        <f aca="false">PR_PH(L$2,$A105)</f>
        <v>0.976548106337128</v>
      </c>
      <c r="M105" s="39" t="n">
        <f aca="false">PR_PH(M$2,$A105)</f>
        <v>0.977497231089389</v>
      </c>
      <c r="N105" s="39" t="n">
        <f aca="false">PR_PH(N$2,$A105)</f>
        <v>0.97844026102375</v>
      </c>
      <c r="O105" s="39" t="n">
        <f aca="false">PR_PH(O$2,$A105)</f>
        <v>0.979377699027833</v>
      </c>
      <c r="P105" s="39" t="n">
        <f aca="false">PR_PH(P$2,$A105)</f>
        <v>0.988532623560898</v>
      </c>
      <c r="Q105" s="39" t="n">
        <f aca="false">PR_PH(Q$2,$A105)</f>
        <v>0.99749325355387</v>
      </c>
      <c r="R105" s="39" t="n">
        <f aca="false">PR_PH(R$2,$A105)</f>
        <v>1.00646663641407</v>
      </c>
      <c r="S105" s="39" t="n">
        <f aca="false">PR_PH(S$2,$A105)</f>
        <v>1.01561578879047</v>
      </c>
      <c r="T105" s="39" t="n">
        <f aca="false">PR_PH(T$2,$A105)</f>
        <v>2015</v>
      </c>
      <c r="U105" s="39" t="n">
        <f aca="false">PR_PH(U$2,$A105)</f>
        <v>2015</v>
      </c>
      <c r="V105" s="39" t="n">
        <f aca="false">PR_PH(V$2,$A105)</f>
        <v>2015</v>
      </c>
      <c r="W105" s="39" t="n">
        <f aca="false">PR_PH(W$2,$A105)</f>
        <v>2015</v>
      </c>
      <c r="X105" s="39" t="n">
        <f aca="false">PR_PH(X$2,$A105)</f>
        <v>2015</v>
      </c>
      <c r="Y105" s="39" t="n">
        <f aca="false">PR_PH(Y$2,$A105)</f>
        <v>2015</v>
      </c>
      <c r="Z105" s="39" t="n">
        <f aca="false">PR_PH(Z$2,$A105)</f>
        <v>2015</v>
      </c>
      <c r="AA105" s="39" t="n">
        <f aca="false">PR_PH(AA$2,$A105)</f>
        <v>2015</v>
      </c>
      <c r="AB105" s="39" t="n">
        <f aca="false">PR_PH(AB$2,$A105)</f>
        <v>2015</v>
      </c>
      <c r="AC105" s="39" t="n">
        <f aca="false">PR_PH(AC$2,$A105)</f>
        <v>2015</v>
      </c>
      <c r="AD105" s="39" t="n">
        <f aca="false">PR_PH(AD$2,$A105)</f>
        <v>2015</v>
      </c>
      <c r="AE105" s="39" t="n">
        <f aca="false">PR_PH(AE$2,$A105)</f>
        <v>2015</v>
      </c>
      <c r="AF105" s="39" t="n">
        <f aca="false">PR_PH(AF$2,$A105)</f>
        <v>2015</v>
      </c>
      <c r="AG105" s="39" t="n">
        <f aca="false">PR_PH(AG$2,$A105)</f>
        <v>2015</v>
      </c>
      <c r="AH105" s="39" t="n">
        <f aca="false">PR_PH(AH$2,$A105)</f>
        <v>2015</v>
      </c>
      <c r="AI105" s="39" t="n">
        <f aca="false">PR_PH(AI$2,$A105)</f>
        <v>2015</v>
      </c>
      <c r="AJ105" s="39" t="n">
        <f aca="false">PR_PH(AJ$2,$A105)</f>
        <v>2015</v>
      </c>
      <c r="AK105" s="39" t="n">
        <f aca="false">PR_PH(AK$2,$A105)</f>
        <v>2015</v>
      </c>
      <c r="AL105" s="39" t="n">
        <f aca="false">PR_PH(AL$2,$A105)</f>
        <v>2015</v>
      </c>
      <c r="AM105" s="39" t="n">
        <f aca="false">PR_PH(AM$2,$A105)</f>
        <v>2015</v>
      </c>
      <c r="AN105" s="39" t="n">
        <f aca="false">PR_PH(AN$2,$A105)</f>
        <v>2015</v>
      </c>
      <c r="AO105" s="39" t="n">
        <f aca="false">PR_PH(AO$2,$A105)</f>
        <v>2015</v>
      </c>
      <c r="AP105" s="39" t="n">
        <f aca="false">PR_PH(AP$2,$A105)</f>
        <v>2015</v>
      </c>
      <c r="AQ105" s="39" t="n">
        <f aca="false">PR_PH(AQ$2,$A105)</f>
        <v>2.06907082736282</v>
      </c>
    </row>
    <row r="106" customFormat="false" ht="13.8" hidden="false" customHeight="false" outlineLevel="0" collapsed="false">
      <c r="A106" s="0" t="n">
        <v>2660</v>
      </c>
      <c r="B106" s="39" t="n">
        <f aca="false">PR_PH(B$2,$A106)</f>
        <v>0.968226775922243</v>
      </c>
      <c r="C106" s="39" t="n">
        <f aca="false">PR_PH(C$2,$A106)</f>
        <v>0.968317238080026</v>
      </c>
      <c r="D106" s="39" t="n">
        <f aca="false">PR_PH(D$2,$A106)</f>
        <v>0.968407586131438</v>
      </c>
      <c r="E106" s="39" t="n">
        <f aca="false">PR_PH(E$2,$A106)</f>
        <v>0.96849782301393</v>
      </c>
      <c r="F106" s="39" t="n">
        <f aca="false">PR_PH(F$2,$A106)</f>
        <v>0.968587951289873</v>
      </c>
      <c r="G106" s="39" t="n">
        <f aca="false">PR_PH(G$2,$A106)</f>
        <v>0.969483673078563</v>
      </c>
      <c r="H106" s="39" t="n">
        <f aca="false">PR_PH(H$2,$A106)</f>
        <v>0.970370189212541</v>
      </c>
      <c r="I106" s="39" t="n">
        <f aca="false">PR_PH(I$2,$A106)</f>
        <v>0.971248398797461</v>
      </c>
      <c r="J106" s="39" t="n">
        <f aca="false">PR_PH(J$2,$A106)</f>
        <v>0.972118952410771</v>
      </c>
      <c r="K106" s="39" t="n">
        <f aca="false">PR_PH(K$2,$A106)</f>
        <v>0.972982372755812</v>
      </c>
      <c r="L106" s="39" t="n">
        <f aca="false">PR_PH(L$2,$A106)</f>
        <v>0.973839103086287</v>
      </c>
      <c r="M106" s="39" t="n">
        <f aca="false">PR_PH(M$2,$A106)</f>
        <v>0.97468953161481</v>
      </c>
      <c r="N106" s="39" t="n">
        <f aca="false">PR_PH(N$2,$A106)</f>
        <v>0.975534005585509</v>
      </c>
      <c r="O106" s="39" t="n">
        <f aca="false">PR_PH(O$2,$A106)</f>
        <v>0.976372840165146</v>
      </c>
      <c r="P106" s="39" t="n">
        <f aca="false">PR_PH(P$2,$A106)</f>
        <v>0.984505832827927</v>
      </c>
      <c r="Q106" s="39" t="n">
        <f aca="false">PR_PH(Q$2,$A106)</f>
        <v>0.992303295970776</v>
      </c>
      <c r="R106" s="39" t="n">
        <f aca="false">PR_PH(R$2,$A106)</f>
        <v>0.99989981072633</v>
      </c>
      <c r="S106" s="39" t="n">
        <f aca="false">PR_PH(S$2,$A106)</f>
        <v>1.0074043001764</v>
      </c>
      <c r="T106" s="39" t="n">
        <f aca="false">PR_PH(T$2,$A106)</f>
        <v>1.01492801294641</v>
      </c>
      <c r="U106" s="39" t="n">
        <f aca="false">PR_PH(U$2,$A106)</f>
        <v>1.02260105366633</v>
      </c>
      <c r="V106" s="39" t="n">
        <f aca="false">PR_PH(V$2,$A106)</f>
        <v>2015</v>
      </c>
      <c r="W106" s="39" t="n">
        <f aca="false">PR_PH(W$2,$A106)</f>
        <v>2015</v>
      </c>
      <c r="X106" s="39" t="n">
        <f aca="false">PR_PH(X$2,$A106)</f>
        <v>2015</v>
      </c>
      <c r="Y106" s="39" t="n">
        <f aca="false">PR_PH(Y$2,$A106)</f>
        <v>2015</v>
      </c>
      <c r="Z106" s="39" t="n">
        <f aca="false">PR_PH(Z$2,$A106)</f>
        <v>2015</v>
      </c>
      <c r="AA106" s="39" t="n">
        <f aca="false">PR_PH(AA$2,$A106)</f>
        <v>2015</v>
      </c>
      <c r="AB106" s="39" t="n">
        <f aca="false">PR_PH(AB$2,$A106)</f>
        <v>2015</v>
      </c>
      <c r="AC106" s="39" t="n">
        <f aca="false">PR_PH(AC$2,$A106)</f>
        <v>2015</v>
      </c>
      <c r="AD106" s="39" t="n">
        <f aca="false">PR_PH(AD$2,$A106)</f>
        <v>2015</v>
      </c>
      <c r="AE106" s="39" t="n">
        <f aca="false">PR_PH(AE$2,$A106)</f>
        <v>2015</v>
      </c>
      <c r="AF106" s="39" t="n">
        <f aca="false">PR_PH(AF$2,$A106)</f>
        <v>2015</v>
      </c>
      <c r="AG106" s="39" t="n">
        <f aca="false">PR_PH(AG$2,$A106)</f>
        <v>2015</v>
      </c>
      <c r="AH106" s="39" t="n">
        <f aca="false">PR_PH(AH$2,$A106)</f>
        <v>2015</v>
      </c>
      <c r="AI106" s="39" t="n">
        <f aca="false">PR_PH(AI$2,$A106)</f>
        <v>2015</v>
      </c>
      <c r="AJ106" s="39" t="n">
        <f aca="false">PR_PH(AJ$2,$A106)</f>
        <v>2015</v>
      </c>
      <c r="AK106" s="39" t="n">
        <f aca="false">PR_PH(AK$2,$A106)</f>
        <v>2015</v>
      </c>
      <c r="AL106" s="39" t="n">
        <f aca="false">PR_PH(AL$2,$A106)</f>
        <v>2015</v>
      </c>
      <c r="AM106" s="39" t="n">
        <f aca="false">PR_PH(AM$2,$A106)</f>
        <v>2015</v>
      </c>
      <c r="AN106" s="39" t="n">
        <f aca="false">PR_PH(AN$2,$A106)</f>
        <v>2015</v>
      </c>
      <c r="AO106" s="39" t="n">
        <f aca="false">PR_PH(AO$2,$A106)</f>
        <v>2015</v>
      </c>
      <c r="AP106" s="39" t="n">
        <f aca="false">PR_PH(AP$2,$A106)</f>
        <v>2015</v>
      </c>
      <c r="AQ106" s="39" t="n">
        <f aca="false">PR_PH(AQ$2,$A106)</f>
        <v>2.03465280550598</v>
      </c>
    </row>
    <row r="107" customFormat="false" ht="13.8" hidden="false" customHeight="false" outlineLevel="0" collapsed="false">
      <c r="A107" s="0" t="n">
        <v>2670</v>
      </c>
      <c r="B107" s="39" t="n">
        <f aca="false">PR_PH(B$2,$A107)</f>
        <v>0.966341261891146</v>
      </c>
      <c r="C107" s="39" t="n">
        <f aca="false">PR_PH(C$2,$A107)</f>
        <v>0.966422333211467</v>
      </c>
      <c r="D107" s="39" t="n">
        <f aca="false">PR_PH(D$2,$A107)</f>
        <v>0.966503310889808</v>
      </c>
      <c r="E107" s="39" t="n">
        <f aca="false">PR_PH(E$2,$A107)</f>
        <v>0.9665841972708</v>
      </c>
      <c r="F107" s="39" t="n">
        <f aca="false">PR_PH(F$2,$A107)</f>
        <v>0.966664994390687</v>
      </c>
      <c r="G107" s="39" t="n">
        <f aca="false">PR_PH(G$2,$A107)</f>
        <v>0.967468379886964</v>
      </c>
      <c r="H107" s="39" t="n">
        <f aca="false">PR_PH(H$2,$A107)</f>
        <v>0.968264123979652</v>
      </c>
      <c r="I107" s="39" t="n">
        <f aca="false">PR_PH(I$2,$A107)</f>
        <v>0.969052899707756</v>
      </c>
      <c r="J107" s="39" t="n">
        <f aca="false">PR_PH(J$2,$A107)</f>
        <v>0.96983517899679</v>
      </c>
      <c r="K107" s="39" t="n">
        <f aca="false">PR_PH(K$2,$A107)</f>
        <v>0.970611331834983</v>
      </c>
      <c r="L107" s="39" t="n">
        <f aca="false">PR_PH(L$2,$A107)</f>
        <v>0.971381665995393</v>
      </c>
      <c r="M107" s="39" t="n">
        <f aca="false">PR_PH(M$2,$A107)</f>
        <v>0.972146446991822</v>
      </c>
      <c r="N107" s="39" t="n">
        <f aca="false">PR_PH(N$2,$A107)</f>
        <v>0.97290590952895</v>
      </c>
      <c r="O107" s="39" t="n">
        <f aca="false">PR_PH(O$2,$A107)</f>
        <v>0.973660264688951</v>
      </c>
      <c r="P107" s="39" t="n">
        <f aca="false">PR_PH(P$2,$A107)</f>
        <v>0.980959126130292</v>
      </c>
      <c r="Q107" s="39" t="n">
        <f aca="false">PR_PH(Q$2,$A107)</f>
        <v>0.987897927108059</v>
      </c>
      <c r="R107" s="39" t="n">
        <f aca="false">PR_PH(R$2,$A107)</f>
        <v>0.994566282470719</v>
      </c>
      <c r="S107" s="39" t="n">
        <f aca="false">PR_PH(S$2,$A107)</f>
        <v>1.00103690132305</v>
      </c>
      <c r="T107" s="39" t="n">
        <f aca="false">PR_PH(T$2,$A107)</f>
        <v>1.00738188996508</v>
      </c>
      <c r="U107" s="39" t="n">
        <f aca="false">PR_PH(U$2,$A107)</f>
        <v>1.01368234516969</v>
      </c>
      <c r="V107" s="39" t="n">
        <f aca="false">PR_PH(V$2,$A107)</f>
        <v>1.02003385792138</v>
      </c>
      <c r="W107" s="39" t="n">
        <f aca="false">PR_PH(W$2,$A107)</f>
        <v>2015</v>
      </c>
      <c r="X107" s="39" t="n">
        <f aca="false">PR_PH(X$2,$A107)</f>
        <v>2015</v>
      </c>
      <c r="Y107" s="39" t="n">
        <f aca="false">PR_PH(Y$2,$A107)</f>
        <v>2015</v>
      </c>
      <c r="Z107" s="39" t="n">
        <f aca="false">PR_PH(Z$2,$A107)</f>
        <v>2015</v>
      </c>
      <c r="AA107" s="39" t="n">
        <f aca="false">PR_PH(AA$2,$A107)</f>
        <v>2015</v>
      </c>
      <c r="AB107" s="39" t="n">
        <f aca="false">PR_PH(AB$2,$A107)</f>
        <v>2015</v>
      </c>
      <c r="AC107" s="39" t="n">
        <f aca="false">PR_PH(AC$2,$A107)</f>
        <v>2015</v>
      </c>
      <c r="AD107" s="39" t="n">
        <f aca="false">PR_PH(AD$2,$A107)</f>
        <v>2015</v>
      </c>
      <c r="AE107" s="39" t="n">
        <f aca="false">PR_PH(AE$2,$A107)</f>
        <v>2015</v>
      </c>
      <c r="AF107" s="39" t="n">
        <f aca="false">PR_PH(AF$2,$A107)</f>
        <v>2015</v>
      </c>
      <c r="AG107" s="39" t="n">
        <f aca="false">PR_PH(AG$2,$A107)</f>
        <v>2015</v>
      </c>
      <c r="AH107" s="39" t="n">
        <f aca="false">PR_PH(AH$2,$A107)</f>
        <v>2015</v>
      </c>
      <c r="AI107" s="39" t="n">
        <f aca="false">PR_PH(AI$2,$A107)</f>
        <v>2015</v>
      </c>
      <c r="AJ107" s="39" t="n">
        <f aca="false">PR_PH(AJ$2,$A107)</f>
        <v>2015</v>
      </c>
      <c r="AK107" s="39" t="n">
        <f aca="false">PR_PH(AK$2,$A107)</f>
        <v>2015</v>
      </c>
      <c r="AL107" s="39" t="n">
        <f aca="false">PR_PH(AL$2,$A107)</f>
        <v>2015</v>
      </c>
      <c r="AM107" s="39" t="n">
        <f aca="false">PR_PH(AM$2,$A107)</f>
        <v>2015</v>
      </c>
      <c r="AN107" s="39" t="n">
        <f aca="false">PR_PH(AN$2,$A107)</f>
        <v>2015</v>
      </c>
      <c r="AO107" s="39" t="n">
        <f aca="false">PR_PH(AO$2,$A107)</f>
        <v>2015</v>
      </c>
      <c r="AP107" s="39" t="n">
        <f aca="false">PR_PH(AP$2,$A107)</f>
        <v>2015</v>
      </c>
      <c r="AQ107" s="39" t="n">
        <f aca="false">PR_PH(AQ$2,$A107)</f>
        <v>2.00154202407852</v>
      </c>
    </row>
    <row r="108" customFormat="false" ht="13.8" hidden="false" customHeight="false" outlineLevel="0" collapsed="false">
      <c r="A108" s="0" t="n">
        <v>2680</v>
      </c>
      <c r="B108" s="39" t="n">
        <f aca="false">PR_PH(B$2,$A108)</f>
        <v>0.964610785624687</v>
      </c>
      <c r="C108" s="39" t="n">
        <f aca="false">PR_PH(C$2,$A108)</f>
        <v>0.964683557904412</v>
      </c>
      <c r="D108" s="39" t="n">
        <f aca="false">PR_PH(D$2,$A108)</f>
        <v>0.964756253335778</v>
      </c>
      <c r="E108" s="39" t="n">
        <f aca="false">PR_PH(E$2,$A108)</f>
        <v>0.964828873819709</v>
      </c>
      <c r="F108" s="39" t="n">
        <f aca="false">PR_PH(F$2,$A108)</f>
        <v>0.964901421002571</v>
      </c>
      <c r="G108" s="39" t="n">
        <f aca="false">PR_PH(G$2,$A108)</f>
        <v>0.965623120934824</v>
      </c>
      <c r="H108" s="39" t="n">
        <f aca="false">PR_PH(H$2,$A108)</f>
        <v>0.966338514228425</v>
      </c>
      <c r="I108" s="39" t="n">
        <f aca="false">PR_PH(I$2,$A108)</f>
        <v>0.967048124203798</v>
      </c>
      <c r="J108" s="39" t="n">
        <f aca="false">PR_PH(J$2,$A108)</f>
        <v>0.96775230963745</v>
      </c>
      <c r="K108" s="39" t="n">
        <f aca="false">PR_PH(K$2,$A108)</f>
        <v>0.968451346593063</v>
      </c>
      <c r="L108" s="39" t="n">
        <f aca="false">PR_PH(L$2,$A108)</f>
        <v>0.969145461160418</v>
      </c>
      <c r="M108" s="39" t="n">
        <f aca="false">PR_PH(M$2,$A108)</f>
        <v>0.969834845874563</v>
      </c>
      <c r="N108" s="39" t="n">
        <f aca="false">PR_PH(N$2,$A108)</f>
        <v>0.970519669112673</v>
      </c>
      <c r="O108" s="39" t="n">
        <f aca="false">PR_PH(O$2,$A108)</f>
        <v>0.971200080971335</v>
      </c>
      <c r="P108" s="39" t="n">
        <f aca="false">PR_PH(P$2,$A108)</f>
        <v>0.977786918848246</v>
      </c>
      <c r="Q108" s="39" t="n">
        <f aca="false">PR_PH(Q$2,$A108)</f>
        <v>0.984037419761432</v>
      </c>
      <c r="R108" s="39" t="n">
        <f aca="false">PR_PH(R$2,$A108)</f>
        <v>0.990013367171497</v>
      </c>
      <c r="S108" s="39" t="n">
        <f aca="false">PR_PH(S$2,$A108)</f>
        <v>0.995764246443516</v>
      </c>
      <c r="T108" s="39" t="n">
        <f aca="false">PR_PH(T$2,$A108)</f>
        <v>1.00133742901557</v>
      </c>
      <c r="U108" s="39" t="n">
        <f aca="false">PR_PH(U$2,$A108)</f>
        <v>1.00678396335909</v>
      </c>
      <c r="V108" s="39" t="n">
        <f aca="false">PR_PH(V$2,$A108)</f>
        <v>1.01216206194899</v>
      </c>
      <c r="W108" s="39" t="n">
        <f aca="false">PR_PH(W$2,$A108)</f>
        <v>1.01753895453022</v>
      </c>
      <c r="X108" s="39" t="n">
        <f aca="false">PR_PH(X$2,$A108)</f>
        <v>1.02299146903979</v>
      </c>
      <c r="Y108" s="39" t="n">
        <f aca="false">PR_PH(Y$2,$A108)</f>
        <v>2015</v>
      </c>
      <c r="Z108" s="39" t="n">
        <f aca="false">PR_PH(Z$2,$A108)</f>
        <v>2015</v>
      </c>
      <c r="AA108" s="39" t="n">
        <f aca="false">PR_PH(AA$2,$A108)</f>
        <v>2015</v>
      </c>
      <c r="AB108" s="39" t="n">
        <f aca="false">PR_PH(AB$2,$A108)</f>
        <v>2015</v>
      </c>
      <c r="AC108" s="39" t="n">
        <f aca="false">PR_PH(AC$2,$A108)</f>
        <v>2015</v>
      </c>
      <c r="AD108" s="39" t="n">
        <f aca="false">PR_PH(AD$2,$A108)</f>
        <v>2015</v>
      </c>
      <c r="AE108" s="39" t="n">
        <f aca="false">PR_PH(AE$2,$A108)</f>
        <v>2015</v>
      </c>
      <c r="AF108" s="39" t="n">
        <f aca="false">PR_PH(AF$2,$A108)</f>
        <v>2015</v>
      </c>
      <c r="AG108" s="39" t="n">
        <f aca="false">PR_PH(AG$2,$A108)</f>
        <v>2015</v>
      </c>
      <c r="AH108" s="39" t="n">
        <f aca="false">PR_PH(AH$2,$A108)</f>
        <v>2015</v>
      </c>
      <c r="AI108" s="39" t="n">
        <f aca="false">PR_PH(AI$2,$A108)</f>
        <v>2015</v>
      </c>
      <c r="AJ108" s="39" t="n">
        <f aca="false">PR_PH(AJ$2,$A108)</f>
        <v>2015</v>
      </c>
      <c r="AK108" s="39" t="n">
        <f aca="false">PR_PH(AK$2,$A108)</f>
        <v>2015</v>
      </c>
      <c r="AL108" s="39" t="n">
        <f aca="false">PR_PH(AL$2,$A108)</f>
        <v>2015</v>
      </c>
      <c r="AM108" s="39" t="n">
        <f aca="false">PR_PH(AM$2,$A108)</f>
        <v>2015</v>
      </c>
      <c r="AN108" s="39" t="n">
        <f aca="false">PR_PH(AN$2,$A108)</f>
        <v>2015</v>
      </c>
      <c r="AO108" s="39" t="n">
        <f aca="false">PR_PH(AO$2,$A108)</f>
        <v>2015</v>
      </c>
      <c r="AP108" s="39" t="n">
        <f aca="false">PR_PH(AP$2,$A108)</f>
        <v>2015</v>
      </c>
      <c r="AQ108" s="39" t="n">
        <f aca="false">PR_PH(AQ$2,$A108)</f>
        <v>1.96943414750321</v>
      </c>
    </row>
    <row r="109" customFormat="false" ht="13.8" hidden="false" customHeight="false" outlineLevel="0" collapsed="false">
      <c r="A109" s="0" t="n">
        <v>2690</v>
      </c>
      <c r="B109" s="39" t="n">
        <f aca="false">PR_PH(B$2,$A109)</f>
        <v>0.963019158564746</v>
      </c>
      <c r="C109" s="39" t="n">
        <f aca="false">PR_PH(C$2,$A109)</f>
        <v>0.963084585224182</v>
      </c>
      <c r="D109" s="39" t="n">
        <f aca="false">PR_PH(D$2,$A109)</f>
        <v>0.963149948738267</v>
      </c>
      <c r="E109" s="39" t="n">
        <f aca="false">PR_PH(E$2,$A109)</f>
        <v>0.96321525066424</v>
      </c>
      <c r="F109" s="39" t="n">
        <f aca="false">PR_PH(F$2,$A109)</f>
        <v>0.963280492348589</v>
      </c>
      <c r="G109" s="39" t="n">
        <f aca="false">PR_PH(G$2,$A109)</f>
        <v>0.963929807248156</v>
      </c>
      <c r="H109" s="39" t="n">
        <f aca="false">PR_PH(H$2,$A109)</f>
        <v>0.964573927344773</v>
      </c>
      <c r="I109" s="39" t="n">
        <f aca="false">PR_PH(I$2,$A109)</f>
        <v>0.965213270105289</v>
      </c>
      <c r="J109" s="39" t="n">
        <f aca="false">PR_PH(J$2,$A109)</f>
        <v>0.965848117397912</v>
      </c>
      <c r="K109" s="39" t="n">
        <f aca="false">PR_PH(K$2,$A109)</f>
        <v>0.966478683238886</v>
      </c>
      <c r="L109" s="39" t="n">
        <f aca="false">PR_PH(L$2,$A109)</f>
        <v>0.967105140879967</v>
      </c>
      <c r="M109" s="39" t="n">
        <f aca="false">PR_PH(M$2,$A109)</f>
        <v>0.96772763638051</v>
      </c>
      <c r="N109" s="39" t="n">
        <f aca="false">PR_PH(N$2,$A109)</f>
        <v>0.968346296364323</v>
      </c>
      <c r="O109" s="39" t="n">
        <f aca="false">PR_PH(O$2,$A109)</f>
        <v>0.968961232862018</v>
      </c>
      <c r="P109" s="39" t="n">
        <f aca="false">PR_PH(P$2,$A109)</f>
        <v>0.974924437384216</v>
      </c>
      <c r="Q109" s="39" t="n">
        <f aca="false">PR_PH(Q$2,$A109)</f>
        <v>0.980591712458948</v>
      </c>
      <c r="R109" s="39" t="n">
        <f aca="false">PR_PH(R$2,$A109)</f>
        <v>0.98600728624911</v>
      </c>
      <c r="S109" s="39" t="n">
        <f aca="false">PR_PH(S$2,$A109)</f>
        <v>0.991205842094938</v>
      </c>
      <c r="T109" s="39" t="n">
        <f aca="false">PR_PH(T$2,$A109)</f>
        <v>0.996219347065618</v>
      </c>
      <c r="U109" s="39" t="n">
        <f aca="false">PR_PH(U$2,$A109)</f>
        <v>1.00108072576802</v>
      </c>
      <c r="V109" s="39" t="n">
        <f aca="false">PR_PH(V$2,$A109)</f>
        <v>1.00582610366966</v>
      </c>
      <c r="W109" s="39" t="n">
        <f aca="false">PR_PH(W$2,$A109)</f>
        <v>1.01049612823202</v>
      </c>
      <c r="X109" s="39" t="n">
        <f aca="false">PR_PH(X$2,$A109)</f>
        <v>1.0151365989149</v>
      </c>
      <c r="Y109" s="39" t="n">
        <f aca="false">PR_PH(Y$2,$A109)</f>
        <v>2015</v>
      </c>
      <c r="Z109" s="39" t="n">
        <f aca="false">PR_PH(Z$2,$A109)</f>
        <v>2015</v>
      </c>
      <c r="AA109" s="39" t="n">
        <f aca="false">PR_PH(AA$2,$A109)</f>
        <v>2015</v>
      </c>
      <c r="AB109" s="39" t="n">
        <f aca="false">PR_PH(AB$2,$A109)</f>
        <v>2015</v>
      </c>
      <c r="AC109" s="39" t="n">
        <f aca="false">PR_PH(AC$2,$A109)</f>
        <v>2015</v>
      </c>
      <c r="AD109" s="39" t="n">
        <f aca="false">PR_PH(AD$2,$A109)</f>
        <v>2015</v>
      </c>
      <c r="AE109" s="39" t="n">
        <f aca="false">PR_PH(AE$2,$A109)</f>
        <v>2015</v>
      </c>
      <c r="AF109" s="39" t="n">
        <f aca="false">PR_PH(AF$2,$A109)</f>
        <v>2015</v>
      </c>
      <c r="AG109" s="39" t="n">
        <f aca="false">PR_PH(AG$2,$A109)</f>
        <v>2015</v>
      </c>
      <c r="AH109" s="39" t="n">
        <f aca="false">PR_PH(AH$2,$A109)</f>
        <v>2015</v>
      </c>
      <c r="AI109" s="39" t="n">
        <f aca="false">PR_PH(AI$2,$A109)</f>
        <v>2015</v>
      </c>
      <c r="AJ109" s="39" t="n">
        <f aca="false">PR_PH(AJ$2,$A109)</f>
        <v>2015</v>
      </c>
      <c r="AK109" s="39" t="n">
        <f aca="false">PR_PH(AK$2,$A109)</f>
        <v>2015</v>
      </c>
      <c r="AL109" s="39" t="n">
        <f aca="false">PR_PH(AL$2,$A109)</f>
        <v>2015</v>
      </c>
      <c r="AM109" s="39" t="n">
        <f aca="false">PR_PH(AM$2,$A109)</f>
        <v>2015</v>
      </c>
      <c r="AN109" s="39" t="n">
        <f aca="false">PR_PH(AN$2,$A109)</f>
        <v>2015</v>
      </c>
      <c r="AO109" s="39" t="n">
        <f aca="false">PR_PH(AO$2,$A109)</f>
        <v>2015</v>
      </c>
      <c r="AP109" s="39" t="n">
        <f aca="false">PR_PH(AP$2,$A109)</f>
        <v>2015</v>
      </c>
      <c r="AQ109" s="39" t="n">
        <f aca="false">PR_PH(AQ$2,$A109)</f>
        <v>1.93813732320506</v>
      </c>
    </row>
    <row r="110" customFormat="false" ht="13.8" hidden="false" customHeight="false" outlineLevel="0" collapsed="false">
      <c r="A110" s="0" t="n">
        <v>2700</v>
      </c>
      <c r="B110" s="39" t="n">
        <f aca="false">PR_PH(B$2,$A110)</f>
        <v>0.961551854742444</v>
      </c>
      <c r="C110" s="39" t="n">
        <f aca="false">PR_PH(C$2,$A110)</f>
        <v>0.961610769857491</v>
      </c>
      <c r="D110" s="39" t="n">
        <f aca="false">PR_PH(D$2,$A110)</f>
        <v>0.961669632988269</v>
      </c>
      <c r="E110" s="39" t="n">
        <f aca="false">PR_PH(E$2,$A110)</f>
        <v>0.961728445419766</v>
      </c>
      <c r="F110" s="39" t="n">
        <f aca="false">PR_PH(F$2,$A110)</f>
        <v>0.961787208261923</v>
      </c>
      <c r="G110" s="39" t="n">
        <f aca="false">PR_PH(G$2,$A110)</f>
        <v>0.962372282964832</v>
      </c>
      <c r="H110" s="39" t="n">
        <f aca="false">PR_PH(H$2,$A110)</f>
        <v>0.962953078463009</v>
      </c>
      <c r="I110" s="39" t="n">
        <f aca="false">PR_PH(I$2,$A110)</f>
        <v>0.963529933487306</v>
      </c>
      <c r="J110" s="39" t="n">
        <f aca="false">PR_PH(J$2,$A110)</f>
        <v>0.964103074445029</v>
      </c>
      <c r="K110" s="39" t="n">
        <f aca="false">PR_PH(K$2,$A110)</f>
        <v>0.964672671680918</v>
      </c>
      <c r="L110" s="39" t="n">
        <f aca="false">PR_PH(L$2,$A110)</f>
        <v>0.965238861964026</v>
      </c>
      <c r="M110" s="39" t="n">
        <f aca="false">PR_PH(M$2,$A110)</f>
        <v>0.965801759748698</v>
      </c>
      <c r="N110" s="39" t="n">
        <f aca="false">PR_PH(N$2,$A110)</f>
        <v>0.966361463605709</v>
      </c>
      <c r="O110" s="39" t="n">
        <f aca="false">PR_PH(O$2,$A110)</f>
        <v>0.966918060232848</v>
      </c>
      <c r="P110" s="39" t="n">
        <f aca="false">PR_PH(P$2,$A110)</f>
        <v>0.972327361078527</v>
      </c>
      <c r="Q110" s="39" t="n">
        <f aca="false">PR_PH(Q$2,$A110)</f>
        <v>0.977483842100449</v>
      </c>
      <c r="R110" s="39" t="n">
        <f aca="false">PR_PH(R$2,$A110)</f>
        <v>0.982420294537875</v>
      </c>
      <c r="S110" s="39" t="n">
        <f aca="false">PR_PH(S$2,$A110)</f>
        <v>0.987161823744989</v>
      </c>
      <c r="T110" s="39" t="n">
        <f aca="false">PR_PH(T$2,$A110)</f>
        <v>0.991730728974537</v>
      </c>
      <c r="U110" s="39" t="n">
        <f aca="false">PR_PH(U$2,$A110)</f>
        <v>0.996148966578186</v>
      </c>
      <c r="V110" s="39" t="n">
        <f aca="false">PR_PH(V$2,$A110)</f>
        <v>1.00043963731578</v>
      </c>
      <c r="W110" s="39" t="n">
        <f aca="false">PR_PH(W$2,$A110)</f>
        <v>1.00462790817393</v>
      </c>
      <c r="X110" s="39" t="n">
        <f aca="false">PR_PH(X$2,$A110)</f>
        <v>1.00874153677321</v>
      </c>
      <c r="Y110" s="39" t="n">
        <f aca="false">PR_PH(Y$2,$A110)</f>
        <v>2015</v>
      </c>
      <c r="Z110" s="39" t="n">
        <f aca="false">PR_PH(Z$2,$A110)</f>
        <v>2015</v>
      </c>
      <c r="AA110" s="39" t="n">
        <f aca="false">PR_PH(AA$2,$A110)</f>
        <v>2015</v>
      </c>
      <c r="AB110" s="39" t="n">
        <f aca="false">PR_PH(AB$2,$A110)</f>
        <v>2015</v>
      </c>
      <c r="AC110" s="39" t="n">
        <f aca="false">PR_PH(AC$2,$A110)</f>
        <v>2015</v>
      </c>
      <c r="AD110" s="39" t="n">
        <f aca="false">PR_PH(AD$2,$A110)</f>
        <v>2015</v>
      </c>
      <c r="AE110" s="39" t="n">
        <f aca="false">PR_PH(AE$2,$A110)</f>
        <v>2015</v>
      </c>
      <c r="AF110" s="39" t="n">
        <f aca="false">PR_PH(AF$2,$A110)</f>
        <v>2015</v>
      </c>
      <c r="AG110" s="39" t="n">
        <f aca="false">PR_PH(AG$2,$A110)</f>
        <v>2015</v>
      </c>
      <c r="AH110" s="39" t="n">
        <f aca="false">PR_PH(AH$2,$A110)</f>
        <v>2015</v>
      </c>
      <c r="AI110" s="39" t="n">
        <f aca="false">PR_PH(AI$2,$A110)</f>
        <v>2015</v>
      </c>
      <c r="AJ110" s="39" t="n">
        <f aca="false">PR_PH(AJ$2,$A110)</f>
        <v>2015</v>
      </c>
      <c r="AK110" s="39" t="n">
        <f aca="false">PR_PH(AK$2,$A110)</f>
        <v>2015</v>
      </c>
      <c r="AL110" s="39" t="n">
        <f aca="false">PR_PH(AL$2,$A110)</f>
        <v>2015</v>
      </c>
      <c r="AM110" s="39" t="n">
        <f aca="false">PR_PH(AM$2,$A110)</f>
        <v>2015</v>
      </c>
      <c r="AN110" s="39" t="n">
        <f aca="false">PR_PH(AN$2,$A110)</f>
        <v>2015</v>
      </c>
      <c r="AO110" s="39" t="n">
        <f aca="false">PR_PH(AO$2,$A110)</f>
        <v>2015</v>
      </c>
      <c r="AP110" s="39" t="n">
        <f aca="false">PR_PH(AP$2,$A110)</f>
        <v>2015</v>
      </c>
      <c r="AQ110" s="39" t="n">
        <f aca="false">PR_PH(AQ$2,$A110)</f>
        <v>1.90753714634273</v>
      </c>
    </row>
    <row r="111" customFormat="false" ht="13.8" hidden="false" customHeight="false" outlineLevel="0" collapsed="false">
      <c r="A111" s="0" t="n">
        <v>2710</v>
      </c>
      <c r="B111" s="39" t="n">
        <f aca="false">PR_PH(B$2,$A111)</f>
        <v>0.960195824017721</v>
      </c>
      <c r="C111" s="39" t="n">
        <f aca="false">PR_PH(C$2,$A111)</f>
        <v>0.960248958431107</v>
      </c>
      <c r="D111" s="39" t="n">
        <f aca="false">PR_PH(D$2,$A111)</f>
        <v>0.960302049953409</v>
      </c>
      <c r="E111" s="39" t="n">
        <f aca="false">PR_PH(E$2,$A111)</f>
        <v>0.960355099650662</v>
      </c>
      <c r="F111" s="39" t="n">
        <f aca="false">PR_PH(F$2,$A111)</f>
        <v>0.960408108443065</v>
      </c>
      <c r="G111" s="39" t="n">
        <f aca="false">PR_PH(G$2,$A111)</f>
        <v>0.960936090333102</v>
      </c>
      <c r="H111" s="39" t="n">
        <f aca="false">PR_PH(H$2,$A111)</f>
        <v>0.961460543221326</v>
      </c>
      <c r="I111" s="39" t="n">
        <f aca="false">PR_PH(I$2,$A111)</f>
        <v>0.96198174510428</v>
      </c>
      <c r="J111" s="39" t="n">
        <f aca="false">PR_PH(J$2,$A111)</f>
        <v>0.96249988055845</v>
      </c>
      <c r="K111" s="39" t="n">
        <f aca="false">PR_PH(K$2,$A111)</f>
        <v>0.963015087600336</v>
      </c>
      <c r="L111" s="39" t="n">
        <f aca="false">PR_PH(L$2,$A111)</f>
        <v>0.963527476411424</v>
      </c>
      <c r="M111" s="39" t="n">
        <f aca="false">PR_PH(M$2,$A111)</f>
        <v>0.964037138712376</v>
      </c>
      <c r="N111" s="39" t="n">
        <f aca="false">PR_PH(N$2,$A111)</f>
        <v>0.964544153114173</v>
      </c>
      <c r="O111" s="39" t="n">
        <f aca="false">PR_PH(O$2,$A111)</f>
        <v>0.965048588453335</v>
      </c>
      <c r="P111" s="39" t="n">
        <f aca="false">PR_PH(P$2,$A111)</f>
        <v>0.969962276721696</v>
      </c>
      <c r="Q111" s="39" t="n">
        <f aca="false">PR_PH(Q$2,$A111)</f>
        <v>0.974663229614072</v>
      </c>
      <c r="R111" s="39" t="n">
        <f aca="false">PR_PH(R$2,$A111)</f>
        <v>0.979176491555071</v>
      </c>
      <c r="S111" s="39" t="n">
        <f aca="false">PR_PH(S$2,$A111)</f>
        <v>0.983520796178511</v>
      </c>
      <c r="T111" s="39" t="n">
        <f aca="false">PR_PH(T$2,$A111)</f>
        <v>0.987712237588295</v>
      </c>
      <c r="U111" s="39" t="n">
        <f aca="false">PR_PH(U$2,$A111)</f>
        <v>0.991766014514825</v>
      </c>
      <c r="V111" s="39" t="n">
        <f aca="false">PR_PH(V$2,$A111)</f>
        <v>0.995697455803237</v>
      </c>
      <c r="W111" s="39" t="n">
        <f aca="false">PR_PH(W$2,$A111)</f>
        <v>0.999522667789191</v>
      </c>
      <c r="X111" s="39" t="n">
        <f aca="false">PR_PH(X$2,$A111)</f>
        <v>1.00325893593712</v>
      </c>
      <c r="Y111" s="39" t="n">
        <f aca="false">PR_PH(Y$2,$A111)</f>
        <v>1.04048678854335</v>
      </c>
      <c r="Z111" s="39" t="n">
        <f aca="false">PR_PH(Z$2,$A111)</f>
        <v>2015</v>
      </c>
      <c r="AA111" s="39" t="n">
        <f aca="false">PR_PH(AA$2,$A111)</f>
        <v>2015</v>
      </c>
      <c r="AB111" s="39" t="n">
        <f aca="false">PR_PH(AB$2,$A111)</f>
        <v>2015</v>
      </c>
      <c r="AC111" s="39" t="n">
        <f aca="false">PR_PH(AC$2,$A111)</f>
        <v>2015</v>
      </c>
      <c r="AD111" s="39" t="n">
        <f aca="false">PR_PH(AD$2,$A111)</f>
        <v>2015</v>
      </c>
      <c r="AE111" s="39" t="n">
        <f aca="false">PR_PH(AE$2,$A111)</f>
        <v>2015</v>
      </c>
      <c r="AF111" s="39" t="n">
        <f aca="false">PR_PH(AF$2,$A111)</f>
        <v>2015</v>
      </c>
      <c r="AG111" s="39" t="n">
        <f aca="false">PR_PH(AG$2,$A111)</f>
        <v>2015</v>
      </c>
      <c r="AH111" s="39" t="n">
        <f aca="false">PR_PH(AH$2,$A111)</f>
        <v>2015</v>
      </c>
      <c r="AI111" s="39" t="n">
        <f aca="false">PR_PH(AI$2,$A111)</f>
        <v>2015</v>
      </c>
      <c r="AJ111" s="39" t="n">
        <f aca="false">PR_PH(AJ$2,$A111)</f>
        <v>2015</v>
      </c>
      <c r="AK111" s="39" t="n">
        <f aca="false">PR_PH(AK$2,$A111)</f>
        <v>2015</v>
      </c>
      <c r="AL111" s="39" t="n">
        <f aca="false">PR_PH(AL$2,$A111)</f>
        <v>2015</v>
      </c>
      <c r="AM111" s="39" t="n">
        <f aca="false">PR_PH(AM$2,$A111)</f>
        <v>2015</v>
      </c>
      <c r="AN111" s="39" t="n">
        <f aca="false">PR_PH(AN$2,$A111)</f>
        <v>2015</v>
      </c>
      <c r="AO111" s="39" t="n">
        <f aca="false">PR_PH(AO$2,$A111)</f>
        <v>2015</v>
      </c>
      <c r="AP111" s="39" t="n">
        <f aca="false">PR_PH(AP$2,$A111)</f>
        <v>2015</v>
      </c>
      <c r="AQ111" s="39" t="n">
        <f aca="false">PR_PH(AQ$2,$A111)</f>
        <v>1.87757535658829</v>
      </c>
    </row>
    <row r="112" customFormat="false" ht="13.8" hidden="false" customHeight="false" outlineLevel="0" collapsed="false">
      <c r="A112" s="0" t="n">
        <v>2720</v>
      </c>
      <c r="B112" s="39" t="n">
        <f aca="false">PR_PH(B$2,$A112)</f>
        <v>0.958939329693645</v>
      </c>
      <c r="C112" s="39" t="n">
        <f aca="false">PR_PH(C$2,$A112)</f>
        <v>0.958987324760975</v>
      </c>
      <c r="D112" s="39" t="n">
        <f aca="false">PR_PH(D$2,$A112)</f>
        <v>0.959035284355796</v>
      </c>
      <c r="E112" s="39" t="n">
        <f aca="false">PR_PH(E$2,$A112)</f>
        <v>0.959083209366248</v>
      </c>
      <c r="F112" s="39" t="n">
        <f aca="false">PR_PH(F$2,$A112)</f>
        <v>0.959131100558667</v>
      </c>
      <c r="G112" s="39" t="n">
        <f aca="false">PR_PH(G$2,$A112)</f>
        <v>0.959608272040122</v>
      </c>
      <c r="H112" s="39" t="n">
        <f aca="false">PR_PH(H$2,$A112)</f>
        <v>0.960082528190648</v>
      </c>
      <c r="I112" s="39" t="n">
        <f aca="false">PR_PH(I$2,$A112)</f>
        <v>0.960554098978798</v>
      </c>
      <c r="J112" s="39" t="n">
        <f aca="false">PR_PH(J$2,$A112)</f>
        <v>0.961023136410052</v>
      </c>
      <c r="K112" s="39" t="n">
        <f aca="false">PR_PH(K$2,$A112)</f>
        <v>0.961489753666696</v>
      </c>
      <c r="L112" s="39" t="n">
        <f aca="false">PR_PH(L$2,$A112)</f>
        <v>0.961954040745414</v>
      </c>
      <c r="M112" s="39" t="n">
        <f aca="false">PR_PH(M$2,$A112)</f>
        <v>0.962416072284109</v>
      </c>
      <c r="N112" s="39" t="n">
        <f aca="false">PR_PH(N$2,$A112)</f>
        <v>0.962875912028638</v>
      </c>
      <c r="O112" s="39" t="n">
        <f aca="false">PR_PH(O$2,$A112)</f>
        <v>0.963333615615797</v>
      </c>
      <c r="P112" s="39" t="n">
        <f aca="false">PR_PH(P$2,$A112)</f>
        <v>0.96780212895375</v>
      </c>
      <c r="Q112" s="39" t="n">
        <f aca="false">PR_PH(Q$2,$A112)</f>
        <v>0.972093022864757</v>
      </c>
      <c r="R112" s="39" t="n">
        <f aca="false">PR_PH(R$2,$A112)</f>
        <v>0.976225881789516</v>
      </c>
      <c r="S112" s="39" t="n">
        <f aca="false">PR_PH(S$2,$A112)</f>
        <v>0.980215055098889</v>
      </c>
      <c r="T112" s="39" t="n">
        <f aca="false">PR_PH(T$2,$A112)</f>
        <v>0.984072526593624</v>
      </c>
      <c r="U112" s="39" t="n">
        <f aca="false">PR_PH(U$2,$A112)</f>
        <v>0.987809210591478</v>
      </c>
      <c r="V112" s="39" t="n">
        <f aca="false">PR_PH(V$2,$A112)</f>
        <v>0.991435689529686</v>
      </c>
      <c r="W112" s="39" t="n">
        <f aca="false">PR_PH(W$2,$A112)</f>
        <v>0.9949626786851</v>
      </c>
      <c r="X112" s="39" t="n">
        <f aca="false">PR_PH(X$2,$A112)</f>
        <v>0.998401326554654</v>
      </c>
      <c r="Y112" s="39" t="n">
        <f aca="false">PR_PH(Y$2,$A112)</f>
        <v>1.03086373435194</v>
      </c>
      <c r="Z112" s="39" t="n">
        <f aca="false">PR_PH(Z$2,$A112)</f>
        <v>2015</v>
      </c>
      <c r="AA112" s="39" t="n">
        <f aca="false">PR_PH(AA$2,$A112)</f>
        <v>2015</v>
      </c>
      <c r="AB112" s="39" t="n">
        <f aca="false">PR_PH(AB$2,$A112)</f>
        <v>2015</v>
      </c>
      <c r="AC112" s="39" t="n">
        <f aca="false">PR_PH(AC$2,$A112)</f>
        <v>2015</v>
      </c>
      <c r="AD112" s="39" t="n">
        <f aca="false">PR_PH(AD$2,$A112)</f>
        <v>2015</v>
      </c>
      <c r="AE112" s="39" t="n">
        <f aca="false">PR_PH(AE$2,$A112)</f>
        <v>2015</v>
      </c>
      <c r="AF112" s="39" t="n">
        <f aca="false">PR_PH(AF$2,$A112)</f>
        <v>2015</v>
      </c>
      <c r="AG112" s="39" t="n">
        <f aca="false">PR_PH(AG$2,$A112)</f>
        <v>2015</v>
      </c>
      <c r="AH112" s="39" t="n">
        <f aca="false">PR_PH(AH$2,$A112)</f>
        <v>2015</v>
      </c>
      <c r="AI112" s="39" t="n">
        <f aca="false">PR_PH(AI$2,$A112)</f>
        <v>2015</v>
      </c>
      <c r="AJ112" s="39" t="n">
        <f aca="false">PR_PH(AJ$2,$A112)</f>
        <v>2015</v>
      </c>
      <c r="AK112" s="39" t="n">
        <f aca="false">PR_PH(AK$2,$A112)</f>
        <v>2015</v>
      </c>
      <c r="AL112" s="39" t="n">
        <f aca="false">PR_PH(AL$2,$A112)</f>
        <v>2015</v>
      </c>
      <c r="AM112" s="39" t="n">
        <f aca="false">PR_PH(AM$2,$A112)</f>
        <v>2015</v>
      </c>
      <c r="AN112" s="39" t="n">
        <f aca="false">PR_PH(AN$2,$A112)</f>
        <v>2015</v>
      </c>
      <c r="AO112" s="39" t="n">
        <f aca="false">PR_PH(AO$2,$A112)</f>
        <v>2015</v>
      </c>
      <c r="AP112" s="39" t="n">
        <f aca="false">PR_PH(AP$2,$A112)</f>
        <v>2015</v>
      </c>
      <c r="AQ112" s="39" t="n">
        <f aca="false">PR_PH(AQ$2,$A112)</f>
        <v>1.84823471554142</v>
      </c>
    </row>
    <row r="113" customFormat="false" ht="13.8" hidden="false" customHeight="false" outlineLevel="0" collapsed="false">
      <c r="A113" s="0" t="n">
        <v>2730</v>
      </c>
      <c r="B113" s="39" t="n">
        <f aca="false">PR_PH(B$2,$A113)</f>
        <v>0.95777180673487</v>
      </c>
      <c r="C113" s="39" t="n">
        <f aca="false">PR_PH(C$2,$A113)</f>
        <v>0.957815226105512</v>
      </c>
      <c r="D113" s="39" t="n">
        <f aca="false">PR_PH(D$2,$A113)</f>
        <v>0.957858616067763</v>
      </c>
      <c r="E113" s="39" t="n">
        <f aca="false">PR_PH(E$2,$A113)</f>
        <v>0.957901977364216</v>
      </c>
      <c r="F113" s="39" t="n">
        <f aca="false">PR_PH(F$2,$A113)</f>
        <v>0.957945310635411</v>
      </c>
      <c r="G113" s="39" t="n">
        <f aca="false">PR_PH(G$2,$A113)</f>
        <v>0.958377201801422</v>
      </c>
      <c r="H113" s="39" t="n">
        <f aca="false">PR_PH(H$2,$A113)</f>
        <v>0.958806679715593</v>
      </c>
      <c r="I113" s="39" t="n">
        <f aca="false">PR_PH(I$2,$A113)</f>
        <v>0.959233935725532</v>
      </c>
      <c r="J113" s="39" t="n">
        <f aca="false">PR_PH(J$2,$A113)</f>
        <v>0.95965909591732</v>
      </c>
      <c r="K113" s="39" t="n">
        <f aca="false">PR_PH(K$2,$A113)</f>
        <v>0.960082253896041</v>
      </c>
      <c r="L113" s="39" t="n">
        <f aca="false">PR_PH(L$2,$A113)</f>
        <v>0.960503483880965</v>
      </c>
      <c r="M113" s="39" t="n">
        <f aca="false">PR_PH(M$2,$A113)</f>
        <v>0.960922847258891</v>
      </c>
      <c r="N113" s="39" t="n">
        <f aca="false">PR_PH(N$2,$A113)</f>
        <v>0.96134039632351</v>
      </c>
      <c r="O113" s="39" t="n">
        <f aca="false">PR_PH(O$2,$A113)</f>
        <v>0.961756176604597</v>
      </c>
      <c r="P113" s="39" t="n">
        <f aca="false">PR_PH(P$2,$A113)</f>
        <v>0.965823987851168</v>
      </c>
      <c r="Q113" s="39" t="n">
        <f aca="false">PR_PH(Q$2,$A113)</f>
        <v>0.969744049077573</v>
      </c>
      <c r="R113" s="39" t="n">
        <f aca="false">PR_PH(R$2,$A113)</f>
        <v>0.973531954645324</v>
      </c>
      <c r="S113" s="39" t="n">
        <f aca="false">PR_PH(S$2,$A113)</f>
        <v>0.977198931121545</v>
      </c>
      <c r="T113" s="39" t="n">
        <f aca="false">PR_PH(T$2,$A113)</f>
        <v>0.980754140963459</v>
      </c>
      <c r="U113" s="39" t="n">
        <f aca="false">PR_PH(U$2,$A113)</f>
        <v>0.984205683887862</v>
      </c>
      <c r="V113" s="39" t="n">
        <f aca="false">PR_PH(V$2,$A113)</f>
        <v>0.987561149071112</v>
      </c>
      <c r="W113" s="39" t="n">
        <f aca="false">PR_PH(W$2,$A113)</f>
        <v>0.990827958619408</v>
      </c>
      <c r="X113" s="39" t="n">
        <f aca="false">PR_PH(X$2,$A113)</f>
        <v>0.994013592937927</v>
      </c>
      <c r="Y113" s="39" t="n">
        <f aca="false">PR_PH(Y$2,$A113)</f>
        <v>1.02326127396661</v>
      </c>
      <c r="Z113" s="39" t="n">
        <f aca="false">PR_PH(Z$2,$A113)</f>
        <v>1.05451895378787</v>
      </c>
      <c r="AA113" s="39" t="n">
        <f aca="false">PR_PH(AA$2,$A113)</f>
        <v>2015</v>
      </c>
      <c r="AB113" s="39" t="n">
        <f aca="false">PR_PH(AB$2,$A113)</f>
        <v>2015</v>
      </c>
      <c r="AC113" s="39" t="n">
        <f aca="false">PR_PH(AC$2,$A113)</f>
        <v>2015</v>
      </c>
      <c r="AD113" s="39" t="n">
        <f aca="false">PR_PH(AD$2,$A113)</f>
        <v>2015</v>
      </c>
      <c r="AE113" s="39" t="n">
        <f aca="false">PR_PH(AE$2,$A113)</f>
        <v>2015</v>
      </c>
      <c r="AF113" s="39" t="n">
        <f aca="false">PR_PH(AF$2,$A113)</f>
        <v>2015</v>
      </c>
      <c r="AG113" s="39" t="n">
        <f aca="false">PR_PH(AG$2,$A113)</f>
        <v>2015</v>
      </c>
      <c r="AH113" s="39" t="n">
        <f aca="false">PR_PH(AH$2,$A113)</f>
        <v>2015</v>
      </c>
      <c r="AI113" s="39" t="n">
        <f aca="false">PR_PH(AI$2,$A113)</f>
        <v>2015</v>
      </c>
      <c r="AJ113" s="39" t="n">
        <f aca="false">PR_PH(AJ$2,$A113)</f>
        <v>2015</v>
      </c>
      <c r="AK113" s="39" t="n">
        <f aca="false">PR_PH(AK$2,$A113)</f>
        <v>2015</v>
      </c>
      <c r="AL113" s="39" t="n">
        <f aca="false">PR_PH(AL$2,$A113)</f>
        <v>2015</v>
      </c>
      <c r="AM113" s="39" t="n">
        <f aca="false">PR_PH(AM$2,$A113)</f>
        <v>2015</v>
      </c>
      <c r="AN113" s="39" t="n">
        <f aca="false">PR_PH(AN$2,$A113)</f>
        <v>2015</v>
      </c>
      <c r="AO113" s="39" t="n">
        <f aca="false">PR_PH(AO$2,$A113)</f>
        <v>2015</v>
      </c>
      <c r="AP113" s="39" t="n">
        <f aca="false">PR_PH(AP$2,$A113)</f>
        <v>1.80821753124635</v>
      </c>
      <c r="AQ113" s="39" t="n">
        <f aca="false">PR_PH(AQ$2,$A113)</f>
        <v>1.81952686073713</v>
      </c>
    </row>
    <row r="114" customFormat="false" ht="13.8" hidden="false" customHeight="false" outlineLevel="0" collapsed="false">
      <c r="A114" s="0" t="n">
        <v>2740</v>
      </c>
      <c r="B114" s="39" t="n">
        <f aca="false">PR_PH(B$2,$A114)</f>
        <v>0.956683737533842</v>
      </c>
      <c r="C114" s="39" t="n">
        <f aca="false">PR_PH(C$2,$A114)</f>
        <v>0.95672307727607</v>
      </c>
      <c r="D114" s="39" t="n">
        <f aca="false">PR_PH(D$2,$A114)</f>
        <v>0.956762392577924</v>
      </c>
      <c r="E114" s="39" t="n">
        <f aca="false">PR_PH(E$2,$A114)</f>
        <v>0.956801684062234</v>
      </c>
      <c r="F114" s="39" t="n">
        <f aca="false">PR_PH(F$2,$A114)</f>
        <v>0.956840952266152</v>
      </c>
      <c r="G114" s="39" t="n">
        <f aca="false">PR_PH(G$2,$A114)</f>
        <v>0.957232437558151</v>
      </c>
      <c r="H114" s="39" t="n">
        <f aca="false">PR_PH(H$2,$A114)</f>
        <v>0.957621920862649</v>
      </c>
      <c r="I114" s="39" t="n">
        <f aca="false">PR_PH(I$2,$A114)</f>
        <v>0.958009562115062</v>
      </c>
      <c r="J114" s="39" t="n">
        <f aca="false">PR_PH(J$2,$A114)</f>
        <v>0.958395466467935</v>
      </c>
      <c r="K114" s="39" t="n">
        <f aca="false">PR_PH(K$2,$A114)</f>
        <v>0.958779711817637</v>
      </c>
      <c r="L114" s="39" t="n">
        <f aca="false">PR_PH(L$2,$A114)</f>
        <v>0.959162359799585</v>
      </c>
      <c r="M114" s="39" t="n">
        <f aca="false">PR_PH(M$2,$A114)</f>
        <v>0.959543461290134</v>
      </c>
      <c r="N114" s="39" t="n">
        <f aca="false">PR_PH(N$2,$A114)</f>
        <v>0.959923059545514</v>
      </c>
      <c r="O114" s="39" t="n">
        <f aca="false">PR_PH(O$2,$A114)</f>
        <v>0.96030119215677</v>
      </c>
      <c r="P114" s="39" t="n">
        <f aca="false">PR_PH(P$2,$A114)</f>
        <v>0.964007898493617</v>
      </c>
      <c r="Q114" s="39" t="n">
        <f aca="false">PR_PH(Q$2,$A114)</f>
        <v>0.967591875144026</v>
      </c>
      <c r="R114" s="39" t="n">
        <f aca="false">PR_PH(R$2,$A114)</f>
        <v>0.97106571057582</v>
      </c>
      <c r="S114" s="39" t="n">
        <f aca="false">PR_PH(S$2,$A114)</f>
        <v>0.97443833542859</v>
      </c>
      <c r="T114" s="39" t="n">
        <f aca="false">PR_PH(T$2,$A114)</f>
        <v>0.977716906016585</v>
      </c>
      <c r="U114" s="39" t="n">
        <f aca="false">PR_PH(U$2,$A114)</f>
        <v>0.980907601009797</v>
      </c>
      <c r="V114" s="39" t="n">
        <f aca="false">PR_PH(V$2,$A114)</f>
        <v>0.984016049242973</v>
      </c>
      <c r="W114" s="39" t="n">
        <f aca="false">PR_PH(W$2,$A114)</f>
        <v>0.987047591398096</v>
      </c>
      <c r="X114" s="39" t="n">
        <f aca="false">PR_PH(X$2,$A114)</f>
        <v>0.990007451815773</v>
      </c>
      <c r="Y114" s="39" t="n">
        <f aca="false">PR_PH(Y$2,$A114)</f>
        <v>1.01687537633347</v>
      </c>
      <c r="Z114" s="39" t="n">
        <f aca="false">PR_PH(Z$2,$A114)</f>
        <v>1.04307251742384</v>
      </c>
      <c r="AA114" s="39" t="n">
        <f aca="false">PR_PH(AA$2,$A114)</f>
        <v>1.07437303690821</v>
      </c>
      <c r="AB114" s="39" t="n">
        <f aca="false">PR_PH(AB$2,$A114)</f>
        <v>2015</v>
      </c>
      <c r="AC114" s="39" t="n">
        <f aca="false">PR_PH(AC$2,$A114)</f>
        <v>2015</v>
      </c>
      <c r="AD114" s="39" t="n">
        <f aca="false">PR_PH(AD$2,$A114)</f>
        <v>2015</v>
      </c>
      <c r="AE114" s="39" t="n">
        <f aca="false">PR_PH(AE$2,$A114)</f>
        <v>2015</v>
      </c>
      <c r="AF114" s="39" t="n">
        <f aca="false">PR_PH(AF$2,$A114)</f>
        <v>2015</v>
      </c>
      <c r="AG114" s="39" t="n">
        <f aca="false">PR_PH(AG$2,$A114)</f>
        <v>2015</v>
      </c>
      <c r="AH114" s="39" t="n">
        <f aca="false">PR_PH(AH$2,$A114)</f>
        <v>2015</v>
      </c>
      <c r="AI114" s="39" t="n">
        <f aca="false">PR_PH(AI$2,$A114)</f>
        <v>2015</v>
      </c>
      <c r="AJ114" s="39" t="n">
        <f aca="false">PR_PH(AJ$2,$A114)</f>
        <v>2015</v>
      </c>
      <c r="AK114" s="39" t="n">
        <f aca="false">PR_PH(AK$2,$A114)</f>
        <v>2015</v>
      </c>
      <c r="AL114" s="39" t="n">
        <f aca="false">PR_PH(AL$2,$A114)</f>
        <v>2015</v>
      </c>
      <c r="AM114" s="39" t="n">
        <f aca="false">PR_PH(AM$2,$A114)</f>
        <v>2015</v>
      </c>
      <c r="AN114" s="39" t="n">
        <f aca="false">PR_PH(AN$2,$A114)</f>
        <v>2015</v>
      </c>
      <c r="AO114" s="39" t="n">
        <f aca="false">PR_PH(AO$2,$A114)</f>
        <v>2015</v>
      </c>
      <c r="AP114" s="39" t="n">
        <f aca="false">PR_PH(AP$2,$A114)</f>
        <v>1.75597950517175</v>
      </c>
      <c r="AQ114" s="39" t="n">
        <f aca="false">PR_PH(AQ$2,$A114)</f>
        <v>1.79148193582276</v>
      </c>
    </row>
    <row r="115" customFormat="false" ht="13.8" hidden="false" customHeight="false" outlineLevel="0" collapsed="false">
      <c r="A115" s="0" t="n">
        <v>2750</v>
      </c>
      <c r="B115" s="39" t="n">
        <f aca="false">PR_PH(B$2,$A115)</f>
        <v>0.95566654270365</v>
      </c>
      <c r="C115" s="39" t="n">
        <f aca="false">PR_PH(C$2,$A115)</f>
        <v>0.955702240024219</v>
      </c>
      <c r="D115" s="39" t="n">
        <f aca="false">PR_PH(D$2,$A115)</f>
        <v>0.955737916984037</v>
      </c>
      <c r="E115" s="39" t="n">
        <f aca="false">PR_PH(E$2,$A115)</f>
        <v>0.955773574107</v>
      </c>
      <c r="F115" s="39" t="n">
        <f aca="false">PR_PH(F$2,$A115)</f>
        <v>0.955809211844848</v>
      </c>
      <c r="G115" s="39" t="n">
        <f aca="false">PR_PH(G$2,$A115)</f>
        <v>0.956164593382525</v>
      </c>
      <c r="H115" s="39" t="n">
        <f aca="false">PR_PH(H$2,$A115)</f>
        <v>0.956518310386299</v>
      </c>
      <c r="I115" s="39" t="n">
        <f aca="false">PR_PH(I$2,$A115)</f>
        <v>0.956870497036958</v>
      </c>
      <c r="J115" s="39" t="n">
        <f aca="false">PR_PH(J$2,$A115)</f>
        <v>0.957221241406468</v>
      </c>
      <c r="K115" s="39" t="n">
        <f aca="false">PR_PH(K$2,$A115)</f>
        <v>0.957570608631922</v>
      </c>
      <c r="L115" s="39" t="n">
        <f aca="false">PR_PH(L$2,$A115)</f>
        <v>0.957918650171263</v>
      </c>
      <c r="M115" s="39" t="n">
        <f aca="false">PR_PH(M$2,$A115)</f>
        <v>0.958265408434355</v>
      </c>
      <c r="N115" s="39" t="n">
        <f aca="false">PR_PH(N$2,$A115)</f>
        <v>0.958610919424824</v>
      </c>
      <c r="O115" s="39" t="n">
        <f aca="false">PR_PH(O$2,$A115)</f>
        <v>0.958955214385261</v>
      </c>
      <c r="P115" s="39" t="n">
        <f aca="false">PR_PH(P$2,$A115)</f>
        <v>0.962336241715193</v>
      </c>
      <c r="Q115" s="39" t="n">
        <f aca="false">PR_PH(Q$2,$A115)</f>
        <v>0.965615331818433</v>
      </c>
      <c r="R115" s="39" t="n">
        <f aca="false">PR_PH(R$2,$A115)</f>
        <v>0.96880275336663</v>
      </c>
      <c r="S115" s="39" t="n">
        <f aca="false">PR_PH(S$2,$A115)</f>
        <v>0.971905702927277</v>
      </c>
      <c r="T115" s="39" t="n">
        <f aca="false">PR_PH(T$2,$A115)</f>
        <v>0.974929864145064</v>
      </c>
      <c r="U115" s="39" t="n">
        <f aca="false">PR_PH(U$2,$A115)</f>
        <v>0.977880055085059</v>
      </c>
      <c r="V115" s="39" t="n">
        <f aca="false">PR_PH(V$2,$A115)</f>
        <v>0.980760568805372</v>
      </c>
      <c r="W115" s="39" t="n">
        <f aca="false">PR_PH(W$2,$A115)</f>
        <v>0.983575378315366</v>
      </c>
      <c r="X115" s="39" t="n">
        <f aca="false">PR_PH(X$2,$A115)</f>
        <v>0.986328270299591</v>
      </c>
      <c r="Y115" s="39" t="n">
        <f aca="false">PR_PH(Y$2,$A115)</f>
        <v>1.01127195992314</v>
      </c>
      <c r="Z115" s="39" t="n">
        <f aca="false">PR_PH(Z$2,$A115)</f>
        <v>1.03429271813857</v>
      </c>
      <c r="AA115" s="39" t="n">
        <f aca="false">PR_PH(AA$2,$A115)</f>
        <v>1.0592379342961</v>
      </c>
      <c r="AB115" s="39" t="n">
        <f aca="false">PR_PH(AB$2,$A115)</f>
        <v>1.08872668647044</v>
      </c>
      <c r="AC115" s="39" t="n">
        <f aca="false">PR_PH(AC$2,$A115)</f>
        <v>2015</v>
      </c>
      <c r="AD115" s="39" t="n">
        <f aca="false">PR_PH(AD$2,$A115)</f>
        <v>2015</v>
      </c>
      <c r="AE115" s="39" t="n">
        <f aca="false">PR_PH(AE$2,$A115)</f>
        <v>2015</v>
      </c>
      <c r="AF115" s="39" t="n">
        <f aca="false">PR_PH(AF$2,$A115)</f>
        <v>2015</v>
      </c>
      <c r="AG115" s="39" t="n">
        <f aca="false">PR_PH(AG$2,$A115)</f>
        <v>2015</v>
      </c>
      <c r="AH115" s="39" t="n">
        <f aca="false">PR_PH(AH$2,$A115)</f>
        <v>2015</v>
      </c>
      <c r="AI115" s="39" t="n">
        <f aca="false">PR_PH(AI$2,$A115)</f>
        <v>2015</v>
      </c>
      <c r="AJ115" s="39" t="n">
        <f aca="false">PR_PH(AJ$2,$A115)</f>
        <v>2015</v>
      </c>
      <c r="AK115" s="39" t="n">
        <f aca="false">PR_PH(AK$2,$A115)</f>
        <v>2015</v>
      </c>
      <c r="AL115" s="39" t="n">
        <f aca="false">PR_PH(AL$2,$A115)</f>
        <v>2015</v>
      </c>
      <c r="AM115" s="39" t="n">
        <f aca="false">PR_PH(AM$2,$A115)</f>
        <v>2015</v>
      </c>
      <c r="AN115" s="39" t="n">
        <f aca="false">PR_PH(AN$2,$A115)</f>
        <v>2015</v>
      </c>
      <c r="AO115" s="39" t="n">
        <f aca="false">PR_PH(AO$2,$A115)</f>
        <v>1.70452804479825</v>
      </c>
      <c r="AP115" s="39" t="n">
        <f aca="false">PR_PH(AP$2,$A115)</f>
        <v>1.71045560653342</v>
      </c>
      <c r="AQ115" s="39" t="n">
        <f aca="false">PR_PH(AQ$2,$A115)</f>
        <v>1.76413968464243</v>
      </c>
    </row>
    <row r="116" customFormat="false" ht="13.8" hidden="false" customHeight="false" outlineLevel="0" collapsed="false">
      <c r="A116" s="0" t="n">
        <v>2760</v>
      </c>
      <c r="B116" s="39" t="n">
        <f aca="false">PR_PH(B$2,$A116)</f>
        <v>0.954712484795351</v>
      </c>
      <c r="C116" s="39" t="n">
        <f aca="false">PR_PH(C$2,$A116)</f>
        <v>0.954744925560773</v>
      </c>
      <c r="D116" s="39" t="n">
        <f aca="false">PR_PH(D$2,$A116)</f>
        <v>0.954777349323578</v>
      </c>
      <c r="E116" s="39" t="n">
        <f aca="false">PR_PH(E$2,$A116)</f>
        <v>0.95480975652562</v>
      </c>
      <c r="F116" s="39" t="n">
        <f aca="false">PR_PH(F$2,$A116)</f>
        <v>0.954842147547852</v>
      </c>
      <c r="G116" s="39" t="n">
        <f aca="false">PR_PH(G$2,$A116)</f>
        <v>0.955165227177842</v>
      </c>
      <c r="H116" s="39" t="n">
        <f aca="false">PR_PH(H$2,$A116)</f>
        <v>0.955486919715176</v>
      </c>
      <c r="I116" s="39" t="n">
        <f aca="false">PR_PH(I$2,$A116)</f>
        <v>0.955807338099147</v>
      </c>
      <c r="J116" s="39" t="n">
        <f aca="false">PR_PH(J$2,$A116)</f>
        <v>0.956126556362241</v>
      </c>
      <c r="K116" s="39" t="n">
        <f aca="false">PR_PH(K$2,$A116)</f>
        <v>0.956444629188061</v>
      </c>
      <c r="L116" s="39" t="n">
        <f aca="false">PR_PH(L$2,$A116)</f>
        <v>0.956761599722155</v>
      </c>
      <c r="M116" s="39" t="n">
        <f aca="false">PR_PH(M$2,$A116)</f>
        <v>0.957077503479877</v>
      </c>
      <c r="N116" s="39" t="n">
        <f aca="false">PR_PH(N$2,$A116)</f>
        <v>0.957392370575465</v>
      </c>
      <c r="O116" s="39" t="n">
        <f aca="false">PR_PH(O$2,$A116)</f>
        <v>0.95770622711008</v>
      </c>
      <c r="P116" s="39" t="n">
        <f aca="false">PR_PH(P$2,$A116)</f>
        <v>0.960793341480209</v>
      </c>
      <c r="Q116" s="39" t="n">
        <f aca="false">PR_PH(Q$2,$A116)</f>
        <v>0.963795730447073</v>
      </c>
      <c r="R116" s="39" t="n">
        <f aca="false">PR_PH(R$2,$A116)</f>
        <v>0.966721838838562</v>
      </c>
      <c r="S116" s="39" t="n">
        <f aca="false">PR_PH(S$2,$A116)</f>
        <v>0.969577524717522</v>
      </c>
      <c r="T116" s="39" t="n">
        <f aca="false">PR_PH(T$2,$A116)</f>
        <v>0.972367361219409</v>
      </c>
      <c r="U116" s="39" t="n">
        <f aca="false">PR_PH(U$2,$A116)</f>
        <v>0.975095170418395</v>
      </c>
      <c r="V116" s="39" t="n">
        <f aca="false">PR_PH(V$2,$A116)</f>
        <v>0.977764300057982</v>
      </c>
      <c r="W116" s="39" t="n">
        <f aca="false">PR_PH(W$2,$A116)</f>
        <v>0.980377787817765</v>
      </c>
      <c r="X116" s="39" t="n">
        <f aca="false">PR_PH(X$2,$A116)</f>
        <v>0.982938467573401</v>
      </c>
      <c r="Y116" s="39" t="n">
        <f aca="false">PR_PH(Y$2,$A116)</f>
        <v>1.00621678951524</v>
      </c>
      <c r="Z116" s="39" t="n">
        <f aca="false">PR_PH(Z$2,$A116)</f>
        <v>1.02710187210072</v>
      </c>
      <c r="AA116" s="39" t="n">
        <f aca="false">PR_PH(AA$2,$A116)</f>
        <v>1.04815261124391</v>
      </c>
      <c r="AB116" s="39" t="n">
        <f aca="false">PR_PH(AB$2,$A116)</f>
        <v>1.07131486135785</v>
      </c>
      <c r="AC116" s="39" t="n">
        <f aca="false">PR_PH(AC$2,$A116)</f>
        <v>1.09752467577797</v>
      </c>
      <c r="AD116" s="39" t="n">
        <f aca="false">PR_PH(AD$2,$A116)</f>
        <v>2015</v>
      </c>
      <c r="AE116" s="39" t="n">
        <f aca="false">PR_PH(AE$2,$A116)</f>
        <v>2015</v>
      </c>
      <c r="AF116" s="39" t="n">
        <f aca="false">PR_PH(AF$2,$A116)</f>
        <v>2015</v>
      </c>
      <c r="AG116" s="39" t="n">
        <f aca="false">PR_PH(AG$2,$A116)</f>
        <v>2015</v>
      </c>
      <c r="AH116" s="39" t="n">
        <f aca="false">PR_PH(AH$2,$A116)</f>
        <v>2015</v>
      </c>
      <c r="AI116" s="39" t="n">
        <f aca="false">PR_PH(AI$2,$A116)</f>
        <v>2015</v>
      </c>
      <c r="AJ116" s="39" t="n">
        <f aca="false">PR_PH(AJ$2,$A116)</f>
        <v>2015</v>
      </c>
      <c r="AK116" s="39" t="n">
        <f aca="false">PR_PH(AK$2,$A116)</f>
        <v>2015</v>
      </c>
      <c r="AL116" s="39" t="n">
        <f aca="false">PR_PH(AL$2,$A116)</f>
        <v>2015</v>
      </c>
      <c r="AM116" s="39" t="n">
        <f aca="false">PR_PH(AM$2,$A116)</f>
        <v>2015</v>
      </c>
      <c r="AN116" s="39" t="n">
        <f aca="false">PR_PH(AN$2,$A116)</f>
        <v>1.64887263930534</v>
      </c>
      <c r="AO116" s="39" t="n">
        <f aca="false">PR_PH(AO$2,$A116)</f>
        <v>1.6594240388162</v>
      </c>
      <c r="AP116" s="39" t="n">
        <f aca="false">PR_PH(AP$2,$A116)</f>
        <v>1.67021047379489</v>
      </c>
      <c r="AQ116" s="39" t="n">
        <f aca="false">PR_PH(AQ$2,$A116)</f>
        <v>1.73754203657935</v>
      </c>
    </row>
    <row r="117" customFormat="false" ht="13.8" hidden="false" customHeight="false" outlineLevel="0" collapsed="false">
      <c r="A117" s="0" t="n">
        <v>2770</v>
      </c>
      <c r="B117" s="39" t="n">
        <f aca="false">PR_PH(B$2,$A117)</f>
        <v>0.953814583173911</v>
      </c>
      <c r="C117" s="39" t="n">
        <f aca="false">PR_PH(C$2,$A117)</f>
        <v>0.95384410840757</v>
      </c>
      <c r="D117" s="39" t="n">
        <f aca="false">PR_PH(D$2,$A117)</f>
        <v>0.953873619409446</v>
      </c>
      <c r="E117" s="39" t="n">
        <f aca="false">PR_PH(E$2,$A117)</f>
        <v>0.953903116553168</v>
      </c>
      <c r="F117" s="39" t="n">
        <f aca="false">PR_PH(F$2,$A117)</f>
        <v>0.953932600160821</v>
      </c>
      <c r="G117" s="39" t="n">
        <f aca="false">PR_PH(G$2,$A117)</f>
        <v>0.954226741872761</v>
      </c>
      <c r="H117" s="39" t="n">
        <f aca="false">PR_PH(H$2,$A117)</f>
        <v>0.95451972507796</v>
      </c>
      <c r="I117" s="39" t="n">
        <f aca="false">PR_PH(I$2,$A117)</f>
        <v>0.954811645115082</v>
      </c>
      <c r="J117" s="39" t="n">
        <f aca="false">PR_PH(J$2,$A117)</f>
        <v>0.955102564412661</v>
      </c>
      <c r="K117" s="39" t="n">
        <f aca="false">PR_PH(K$2,$A117)</f>
        <v>0.955392529035018</v>
      </c>
      <c r="L117" s="39" t="n">
        <f aca="false">PR_PH(L$2,$A117)</f>
        <v>0.955681575289779</v>
      </c>
      <c r="M117" s="39" t="n">
        <f aca="false">PR_PH(M$2,$A117)</f>
        <v>0.955969733033451</v>
      </c>
      <c r="N117" s="39" t="n">
        <f aca="false">PR_PH(N$2,$A117)</f>
        <v>0.956257027556813</v>
      </c>
      <c r="O117" s="39" t="n">
        <f aca="false">PR_PH(O$2,$A117)</f>
        <v>0.956543480758877</v>
      </c>
      <c r="P117" s="39" t="n">
        <f aca="false">PR_PH(P$2,$A117)</f>
        <v>0.959365195713991</v>
      </c>
      <c r="Q117" s="39" t="n">
        <f aca="false">PR_PH(Q$2,$A117)</f>
        <v>0.962116410409289</v>
      </c>
      <c r="R117" s="39" t="n">
        <f aca="false">PR_PH(R$2,$A117)</f>
        <v>0.964804115365846</v>
      </c>
      <c r="S117" s="39" t="n">
        <f aca="false">PR_PH(S$2,$A117)</f>
        <v>0.967433117692993</v>
      </c>
      <c r="T117" s="39" t="n">
        <f aca="false">PR_PH(T$2,$A117)</f>
        <v>0.970007134781331</v>
      </c>
      <c r="U117" s="39" t="n">
        <f aca="false">PR_PH(U$2,$A117)</f>
        <v>0.972529239204593</v>
      </c>
      <c r="V117" s="39" t="n">
        <f aca="false">PR_PH(V$2,$A117)</f>
        <v>0.975002086959709</v>
      </c>
      <c r="W117" s="39" t="n">
        <f aca="false">PR_PH(W$2,$A117)</f>
        <v>0.977428051516908</v>
      </c>
      <c r="X117" s="39" t="n">
        <f aca="false">PR_PH(X$2,$A117)</f>
        <v>0.979809309813707</v>
      </c>
      <c r="Y117" s="39" t="n">
        <f aca="false">PR_PH(Y$2,$A117)</f>
        <v>1.00158167093754</v>
      </c>
      <c r="Z117" s="39" t="n">
        <f aca="false">PR_PH(Z$2,$A117)</f>
        <v>1.02089950886827</v>
      </c>
      <c r="AA117" s="39" t="n">
        <f aca="false">PR_PH(AA$2,$A117)</f>
        <v>1.03947849678994</v>
      </c>
      <c r="AB117" s="39" t="n">
        <f aca="false">PR_PH(AB$2,$A117)</f>
        <v>1.05871354084013</v>
      </c>
      <c r="AC117" s="39" t="n">
        <f aca="false">PR_PH(AC$2,$A117)</f>
        <v>1.0794459312927</v>
      </c>
      <c r="AD117" s="39" t="n">
        <f aca="false">PR_PH(AD$2,$A117)</f>
        <v>1.10194263870158</v>
      </c>
      <c r="AE117" s="39" t="n">
        <f aca="false">PR_PH(AE$2,$A117)</f>
        <v>1.12602571231116</v>
      </c>
      <c r="AF117" s="39" t="n">
        <f aca="false">PR_PH(AF$2,$A117)</f>
        <v>2015</v>
      </c>
      <c r="AG117" s="39" t="n">
        <f aca="false">PR_PH(AG$2,$A117)</f>
        <v>2015</v>
      </c>
      <c r="AH117" s="39" t="n">
        <f aca="false">PR_PH(AH$2,$A117)</f>
        <v>2015</v>
      </c>
      <c r="AI117" s="39" t="n">
        <f aca="false">PR_PH(AI$2,$A117)</f>
        <v>2015</v>
      </c>
      <c r="AJ117" s="39" t="n">
        <f aca="false">PR_PH(AJ$2,$A117)</f>
        <v>2015</v>
      </c>
      <c r="AK117" s="39" t="n">
        <f aca="false">PR_PH(AK$2,$A117)</f>
        <v>2015</v>
      </c>
      <c r="AL117" s="39" t="n">
        <f aca="false">PR_PH(AL$2,$A117)</f>
        <v>2015</v>
      </c>
      <c r="AM117" s="39" t="n">
        <f aca="false">PR_PH(AM$2,$A117)</f>
        <v>2015</v>
      </c>
      <c r="AN117" s="39" t="n">
        <f aca="false">PR_PH(AN$2,$A117)</f>
        <v>1.60479969911377</v>
      </c>
      <c r="AO117" s="39" t="n">
        <f aca="false">PR_PH(AO$2,$A117)</f>
        <v>1.62008874353302</v>
      </c>
      <c r="AP117" s="39" t="n">
        <f aca="false">PR_PH(AP$2,$A117)</f>
        <v>1.63410857717117</v>
      </c>
      <c r="AQ117" s="39" t="n">
        <f aca="false">PR_PH(AQ$2,$A117)</f>
        <v>1.71172728064485</v>
      </c>
    </row>
    <row r="118" customFormat="false" ht="13.8" hidden="false" customHeight="false" outlineLevel="0" collapsed="false">
      <c r="A118" s="0" t="n">
        <v>2780</v>
      </c>
      <c r="B118" s="39" t="n">
        <f aca="false">PR_PH(B$2,$A118)</f>
        <v>0.952966538561465</v>
      </c>
      <c r="C118" s="39" t="n">
        <f aca="false">PR_PH(C$2,$A118)</f>
        <v>0.952993450063755</v>
      </c>
      <c r="D118" s="39" t="n">
        <f aca="false">PR_PH(D$2,$A118)</f>
        <v>0.953020349625946</v>
      </c>
      <c r="E118" s="39" t="n">
        <f aca="false">PR_PH(E$2,$A118)</f>
        <v>0.953047237564722</v>
      </c>
      <c r="F118" s="39" t="n">
        <f aca="false">PR_PH(F$2,$A118)</f>
        <v>0.953074114153074</v>
      </c>
      <c r="G118" s="39" t="n">
        <f aca="false">PR_PH(G$2,$A118)</f>
        <v>0.953342298231195</v>
      </c>
      <c r="H118" s="39" t="n">
        <f aca="false">PR_PH(H$2,$A118)</f>
        <v>0.953609512546113</v>
      </c>
      <c r="I118" s="39" t="n">
        <f aca="false">PR_PH(I$2,$A118)</f>
        <v>0.953875837796722</v>
      </c>
      <c r="J118" s="39" t="n">
        <f aca="false">PR_PH(J$2,$A118)</f>
        <v>0.954141326778105</v>
      </c>
      <c r="K118" s="39" t="n">
        <f aca="false">PR_PH(K$2,$A118)</f>
        <v>0.954406018412243</v>
      </c>
      <c r="L118" s="39" t="n">
        <f aca="false">PR_PH(L$2,$A118)</f>
        <v>0.954669943350745</v>
      </c>
      <c r="M118" s="39" t="n">
        <f aca="false">PR_PH(M$2,$A118)</f>
        <v>0.954933126777564</v>
      </c>
      <c r="N118" s="39" t="n">
        <f aca="false">PR_PH(N$2,$A118)</f>
        <v>0.955195590007513</v>
      </c>
      <c r="O118" s="39" t="n">
        <f aca="false">PR_PH(O$2,$A118)</f>
        <v>0.955457351481478</v>
      </c>
      <c r="P118" s="39" t="n">
        <f aca="false">PR_PH(P$2,$A118)</f>
        <v>0.958039272819064</v>
      </c>
      <c r="Q118" s="39" t="n">
        <f aca="false">PR_PH(Q$2,$A118)</f>
        <v>0.960562447564875</v>
      </c>
      <c r="R118" s="39" t="n">
        <f aca="false">PR_PH(R$2,$A118)</f>
        <v>0.963032693992726</v>
      </c>
      <c r="S118" s="39" t="n">
        <f aca="false">PR_PH(S$2,$A118)</f>
        <v>0.965453983009577</v>
      </c>
      <c r="T118" s="39" t="n">
        <f aca="false">PR_PH(T$2,$A118)</f>
        <v>0.967829361267059</v>
      </c>
      <c r="U118" s="39" t="n">
        <f aca="false">PR_PH(U$2,$A118)</f>
        <v>0.970161324704531</v>
      </c>
      <c r="V118" s="39" t="n">
        <f aca="false">PR_PH(V$2,$A118)</f>
        <v>0.972452008836921</v>
      </c>
      <c r="W118" s="39" t="n">
        <f aca="false">PR_PH(W$2,$A118)</f>
        <v>0.974703299647237</v>
      </c>
      <c r="X118" s="39" t="n">
        <f aca="false">PR_PH(X$2,$A118)</f>
        <v>0.976916904227848</v>
      </c>
      <c r="Y118" s="39" t="n">
        <f aca="false">PR_PH(Y$2,$A118)</f>
        <v>0.997293790616085</v>
      </c>
      <c r="Z118" s="39" t="n">
        <f aca="false">PR_PH(Z$2,$A118)</f>
        <v>1.01535465995193</v>
      </c>
      <c r="AA118" s="39" t="n">
        <f aca="false">PR_PH(AA$2,$A118)</f>
        <v>1.03226760738626</v>
      </c>
      <c r="AB118" s="39" t="n">
        <f aca="false">PR_PH(AB$2,$A118)</f>
        <v>1.04901717278085</v>
      </c>
      <c r="AC118" s="39" t="n">
        <f aca="false">PR_PH(AC$2,$A118)</f>
        <v>1.06628180570765</v>
      </c>
      <c r="AD118" s="39" t="n">
        <f aca="false">PR_PH(AD$2,$A118)</f>
        <v>1.08440145685102</v>
      </c>
      <c r="AE118" s="39" t="n">
        <f aca="false">PR_PH(AE$2,$A118)</f>
        <v>1.10342890459397</v>
      </c>
      <c r="AF118" s="39" t="n">
        <f aca="false">PR_PH(AF$2,$A118)</f>
        <v>1.12321704406879</v>
      </c>
      <c r="AG118" s="39" t="n">
        <f aca="false">PR_PH(AG$2,$A118)</f>
        <v>1.14350619402485</v>
      </c>
      <c r="AH118" s="39" t="n">
        <f aca="false">PR_PH(AH$2,$A118)</f>
        <v>2015</v>
      </c>
      <c r="AI118" s="39" t="n">
        <f aca="false">PR_PH(AI$2,$A118)</f>
        <v>2015</v>
      </c>
      <c r="AJ118" s="39" t="n">
        <f aca="false">PR_PH(AJ$2,$A118)</f>
        <v>2015</v>
      </c>
      <c r="AK118" s="39" t="n">
        <f aca="false">PR_PH(AK$2,$A118)</f>
        <v>2015</v>
      </c>
      <c r="AL118" s="39" t="n">
        <f aca="false">PR_PH(AL$2,$A118)</f>
        <v>2015</v>
      </c>
      <c r="AM118" s="39" t="n">
        <f aca="false">PR_PH(AM$2,$A118)</f>
        <v>1.54654935313226</v>
      </c>
      <c r="AN118" s="39" t="n">
        <f aca="false">PR_PH(AN$2,$A118)</f>
        <v>1.56675196991695</v>
      </c>
      <c r="AO118" s="39" t="n">
        <f aca="false">PR_PH(AO$2,$A118)</f>
        <v>1.58519609111753</v>
      </c>
      <c r="AP118" s="39" t="n">
        <f aca="false">PR_PH(AP$2,$A118)</f>
        <v>1.60127410804196</v>
      </c>
      <c r="AQ118" s="39" t="n">
        <f aca="false">PR_PH(AQ$2,$A118)</f>
        <v>1.68672587226974</v>
      </c>
    </row>
    <row r="119" customFormat="false" ht="13.8" hidden="false" customHeight="false" outlineLevel="0" collapsed="false">
      <c r="A119" s="0" t="n">
        <v>2790</v>
      </c>
      <c r="B119" s="39" t="n">
        <f aca="false">PR_PH(B$2,$A119)</f>
        <v>0.952162665982968</v>
      </c>
      <c r="C119" s="39" t="n">
        <f aca="false">PR_PH(C$2,$A119)</f>
        <v>0.952187231199599</v>
      </c>
      <c r="D119" s="39" t="n">
        <f aca="false">PR_PH(D$2,$A119)</f>
        <v>0.952211786375911</v>
      </c>
      <c r="E119" s="39" t="n">
        <f aca="false">PR_PH(E$2,$A119)</f>
        <v>0.952236331780961</v>
      </c>
      <c r="F119" s="39" t="n">
        <f aca="false">PR_PH(F$2,$A119)</f>
        <v>0.952260867646669</v>
      </c>
      <c r="G119" s="39" t="n">
        <f aca="false">PR_PH(G$2,$A119)</f>
        <v>0.952505737711139</v>
      </c>
      <c r="H119" s="39" t="n">
        <f aca="false">PR_PH(H$2,$A119)</f>
        <v>0.952749794198613</v>
      </c>
      <c r="I119" s="39" t="n">
        <f aca="false">PR_PH(I$2,$A119)</f>
        <v>0.952993105590481</v>
      </c>
      <c r="J119" s="39" t="n">
        <f aca="false">PR_PH(J$2,$A119)</f>
        <v>0.953235716654524</v>
      </c>
      <c r="K119" s="39" t="n">
        <f aca="false">PR_PH(K$2,$A119)</f>
        <v>0.953477660370011</v>
      </c>
      <c r="L119" s="39" t="n">
        <f aca="false">PR_PH(L$2,$A119)</f>
        <v>0.953718962689316</v>
      </c>
      <c r="M119" s="39" t="n">
        <f aca="false">PR_PH(M$2,$A119)</f>
        <v>0.953959644919775</v>
      </c>
      <c r="N119" s="39" t="n">
        <f aca="false">PR_PH(N$2,$A119)</f>
        <v>0.954199725082055</v>
      </c>
      <c r="O119" s="39" t="n">
        <f aca="false">PR_PH(O$2,$A119)</f>
        <v>0.954439218755853</v>
      </c>
      <c r="P119" s="39" t="n">
        <f aca="false">PR_PH(P$2,$A119)</f>
        <v>0.956804346412807</v>
      </c>
      <c r="Q119" s="39" t="n">
        <f aca="false">PR_PH(Q$2,$A119)</f>
        <v>0.959120444080053</v>
      </c>
      <c r="R119" s="39" t="n">
        <f aca="false">PR_PH(R$2,$A119)</f>
        <v>0.961392377117062</v>
      </c>
      <c r="S119" s="39" t="n">
        <f aca="false">PR_PH(S$2,$A119)</f>
        <v>0.963623444140195</v>
      </c>
      <c r="T119" s="39" t="n">
        <f aca="false">PR_PH(T$2,$A119)</f>
        <v>0.965816159049111</v>
      </c>
      <c r="U119" s="39" t="n">
        <f aca="false">PR_PH(U$2,$A119)</f>
        <v>0.96797256639429</v>
      </c>
      <c r="V119" s="39" t="n">
        <f aca="false">PR_PH(V$2,$A119)</f>
        <v>0.970094401272769</v>
      </c>
      <c r="W119" s="39" t="n">
        <f aca="false">PR_PH(W$2,$A119)</f>
        <v>0.972183181997056</v>
      </c>
      <c r="X119" s="39" t="n">
        <f aca="false">PR_PH(X$2,$A119)</f>
        <v>0.974240268807343</v>
      </c>
      <c r="Y119" s="39" t="n">
        <f aca="false">PR_PH(Y$2,$A119)</f>
        <v>0.993308833278841</v>
      </c>
      <c r="Z119" s="39" t="n">
        <f aca="false">PR_PH(Z$2,$A119)</f>
        <v>1.01028537657328</v>
      </c>
      <c r="AA119" s="39" t="n">
        <f aca="false">PR_PH(AA$2,$A119)</f>
        <v>1.02598146979324</v>
      </c>
      <c r="AB119" s="39" t="n">
        <f aca="false">PR_PH(AB$2,$A119)</f>
        <v>1.0410900070758</v>
      </c>
      <c r="AC119" s="39" t="n">
        <f aca="false">PR_PH(AC$2,$A119)</f>
        <v>1.0561305379009</v>
      </c>
      <c r="AD119" s="39" t="n">
        <f aca="false">PR_PH(AD$2,$A119)</f>
        <v>1.07142402301008</v>
      </c>
      <c r="AE119" s="39" t="n">
        <f aca="false">PR_PH(AE$2,$A119)</f>
        <v>1.08711099819221</v>
      </c>
      <c r="AF119" s="39" t="n">
        <f aca="false">PR_PH(AF$2,$A119)</f>
        <v>1.10319348514653</v>
      </c>
      <c r="AG119" s="39" t="n">
        <f aca="false">PR_PH(AG$2,$A119)</f>
        <v>1.11958189099388</v>
      </c>
      <c r="AH119" s="39" t="n">
        <f aca="false">PR_PH(AH$2,$A119)</f>
        <v>2015</v>
      </c>
      <c r="AI119" s="39" t="n">
        <f aca="false">PR_PH(AI$2,$A119)</f>
        <v>2015</v>
      </c>
      <c r="AJ119" s="39" t="n">
        <f aca="false">PR_PH(AJ$2,$A119)</f>
        <v>2015</v>
      </c>
      <c r="AK119" s="39" t="n">
        <f aca="false">PR_PH(AK$2,$A119)</f>
        <v>2015</v>
      </c>
      <c r="AL119" s="39" t="n">
        <f aca="false">PR_PH(AL$2,$A119)</f>
        <v>1.48427604626791</v>
      </c>
      <c r="AM119" s="39" t="n">
        <f aca="false">PR_PH(AM$2,$A119)</f>
        <v>1.51015804001087</v>
      </c>
      <c r="AN119" s="39" t="n">
        <f aca="false">PR_PH(AN$2,$A119)</f>
        <v>1.5332803350756</v>
      </c>
      <c r="AO119" s="39" t="n">
        <f aca="false">PR_PH(AO$2,$A119)</f>
        <v>1.55374150309561</v>
      </c>
      <c r="AP119" s="39" t="n">
        <f aca="false">PR_PH(AP$2,$A119)</f>
        <v>1.57104709204663</v>
      </c>
      <c r="AQ119" s="39" t="n">
        <f aca="false">PR_PH(AQ$2,$A119)</f>
        <v>1.66255781904999</v>
      </c>
    </row>
    <row r="120" customFormat="false" ht="13.8" hidden="false" customHeight="false" outlineLevel="0" collapsed="false">
      <c r="A120" s="0" t="n">
        <v>2800</v>
      </c>
      <c r="B120" s="39" t="n">
        <f aca="false">PR_PH(B$2,$A120)</f>
        <v>0.951397835037361</v>
      </c>
      <c r="C120" s="39" t="n">
        <f aca="false">PR_PH(C$2,$A120)</f>
        <v>0.9514202912821</v>
      </c>
      <c r="D120" s="39" t="n">
        <f aca="false">PR_PH(D$2,$A120)</f>
        <v>0.951442739065004</v>
      </c>
      <c r="E120" s="39" t="n">
        <f aca="false">PR_PH(E$2,$A120)</f>
        <v>0.951465178615186</v>
      </c>
      <c r="F120" s="39" t="n">
        <f aca="false">PR_PH(F$2,$A120)</f>
        <v>0.95148761013013</v>
      </c>
      <c r="G120" s="39" t="n">
        <f aca="false">PR_PH(G$2,$A120)</f>
        <v>0.951711514050466</v>
      </c>
      <c r="H120" s="39" t="n">
        <f aca="false">PR_PH(H$2,$A120)</f>
        <v>0.951934733919163</v>
      </c>
      <c r="I120" s="39" t="n">
        <f aca="false">PR_PH(I$2,$A120)</f>
        <v>0.952157327991114</v>
      </c>
      <c r="J120" s="39" t="n">
        <f aca="false">PR_PH(J$2,$A120)</f>
        <v>0.952379334323374</v>
      </c>
      <c r="K120" s="39" t="n">
        <f aca="false">PR_PH(K$2,$A120)</f>
        <v>0.95260078093322</v>
      </c>
      <c r="L120" s="39" t="n">
        <f aca="false">PR_PH(L$2,$A120)</f>
        <v>0.95282168985403</v>
      </c>
      <c r="M120" s="39" t="n">
        <f aca="false">PR_PH(M$2,$A120)</f>
        <v>0.953042079163968</v>
      </c>
      <c r="N120" s="39" t="n">
        <f aca="false">PR_PH(N$2,$A120)</f>
        <v>0.95326196414291</v>
      </c>
      <c r="O120" s="39" t="n">
        <f aca="false">PR_PH(O$2,$A120)</f>
        <v>0.953481357992692</v>
      </c>
      <c r="P120" s="39" t="n">
        <f aca="false">PR_PH(P$2,$A120)</f>
        <v>0.955650354894201</v>
      </c>
      <c r="Q120" s="39" t="n">
        <f aca="false">PR_PH(Q$2,$A120)</f>
        <v>0.957778362193189</v>
      </c>
      <c r="R120" s="39" t="n">
        <f aca="false">PR_PH(R$2,$A120)</f>
        <v>0.959869465334661</v>
      </c>
      <c r="S120" s="39" t="n">
        <f aca="false">PR_PH(S$2,$A120)</f>
        <v>0.961926417910892</v>
      </c>
      <c r="T120" s="39" t="n">
        <f aca="false">PR_PH(T$2,$A120)</f>
        <v>0.963951306227512</v>
      </c>
      <c r="U120" s="39" t="n">
        <f aca="false">PR_PH(U$2,$A120)</f>
        <v>0.965945816694816</v>
      </c>
      <c r="V120" s="39" t="n">
        <f aca="false">PR_PH(V$2,$A120)</f>
        <v>0.967911370971786</v>
      </c>
      <c r="W120" s="39" t="n">
        <f aca="false">PR_PH(W$2,$A120)</f>
        <v>0.969849203991735</v>
      </c>
      <c r="X120" s="39" t="n">
        <f aca="false">PR_PH(X$2,$A120)</f>
        <v>0.971760413198776</v>
      </c>
      <c r="Y120" s="39" t="n">
        <f aca="false">PR_PH(Y$2,$A120)</f>
        <v>0.989596958404252</v>
      </c>
      <c r="Z120" s="39" t="n">
        <f aca="false">PR_PH(Z$2,$A120)</f>
        <v>1.00559056393452</v>
      </c>
      <c r="AA120" s="39" t="n">
        <f aca="false">PR_PH(AA$2,$A120)</f>
        <v>1.02031815418045</v>
      </c>
      <c r="AB120" s="39" t="n">
        <f aca="false">PR_PH(AB$2,$A120)</f>
        <v>1.0342700485829</v>
      </c>
      <c r="AC120" s="39" t="n">
        <f aca="false">PR_PH(AC$2,$A120)</f>
        <v>1.04783417872881</v>
      </c>
      <c r="AD120" s="39" t="n">
        <f aca="false">PR_PH(AD$2,$A120)</f>
        <v>1.06128129550563</v>
      </c>
      <c r="AE120" s="39" t="n">
        <f aca="false">PR_PH(AE$2,$A120)</f>
        <v>1.07477043472583</v>
      </c>
      <c r="AF120" s="39" t="n">
        <f aca="false">PR_PH(AF$2,$A120)</f>
        <v>1.08836844792812</v>
      </c>
      <c r="AG120" s="39" t="n">
        <f aca="false">PR_PH(AG$2,$A120)</f>
        <v>1.10207453399307</v>
      </c>
      <c r="AH120" s="39" t="n">
        <f aca="false">PR_PH(AH$2,$A120)</f>
        <v>1.23092268441568</v>
      </c>
      <c r="AI120" s="39" t="n">
        <f aca="false">PR_PH(AI$2,$A120)</f>
        <v>2015</v>
      </c>
      <c r="AJ120" s="39" t="n">
        <f aca="false">PR_PH(AJ$2,$A120)</f>
        <v>2015</v>
      </c>
      <c r="AK120" s="39" t="n">
        <f aca="false">PR_PH(AK$2,$A120)</f>
        <v>1.41709974917013</v>
      </c>
      <c r="AL120" s="39" t="n">
        <f aca="false">PR_PH(AL$2,$A120)</f>
        <v>1.44989807178006</v>
      </c>
      <c r="AM120" s="39" t="n">
        <f aca="false">PR_PH(AM$2,$A120)</f>
        <v>1.47851048405592</v>
      </c>
      <c r="AN120" s="39" t="n">
        <f aca="false">PR_PH(AN$2,$A120)</f>
        <v>1.50331002568529</v>
      </c>
      <c r="AO120" s="39" t="n">
        <f aca="false">PR_PH(AO$2,$A120)</f>
        <v>1.52498084988754</v>
      </c>
      <c r="AP120" s="39" t="n">
        <f aca="false">PR_PH(AP$2,$A120)</f>
        <v>1.54294023870192</v>
      </c>
      <c r="AQ120" s="39" t="n">
        <f aca="false">PR_PH(AQ$2,$A120)</f>
        <v>1.63923149343321</v>
      </c>
    </row>
    <row r="121" customFormat="false" ht="13.8" hidden="false" customHeight="false" outlineLevel="0" collapsed="false">
      <c r="A121" s="0" t="n">
        <v>2810</v>
      </c>
      <c r="B121" s="39" t="n">
        <f aca="false">PR_PH(B$2,$A121)</f>
        <v>0.950667416574273</v>
      </c>
      <c r="C121" s="39" t="n">
        <f aca="false">PR_PH(C$2,$A121)</f>
        <v>0.950687974696766</v>
      </c>
      <c r="D121" s="39" t="n">
        <f aca="false">PR_PH(D$2,$A121)</f>
        <v>0.950708525671882</v>
      </c>
      <c r="E121" s="39" t="n">
        <f aca="false">PR_PH(E$2,$A121)</f>
        <v>0.950729069695158</v>
      </c>
      <c r="F121" s="39" t="n">
        <f aca="false">PR_PH(F$2,$A121)</f>
        <v>0.950749606935124</v>
      </c>
      <c r="G121" s="39" t="n">
        <f aca="false">PR_PH(G$2,$A121)</f>
        <v>0.950954632455368</v>
      </c>
      <c r="H121" s="39" t="n">
        <f aca="false">PR_PH(H$2,$A121)</f>
        <v>0.951159081569753</v>
      </c>
      <c r="I121" s="39" t="n">
        <f aca="false">PR_PH(I$2,$A121)</f>
        <v>0.951363003949639</v>
      </c>
      <c r="J121" s="39" t="n">
        <f aca="false">PR_PH(J$2,$A121)</f>
        <v>0.951566432025408</v>
      </c>
      <c r="K121" s="39" t="n">
        <f aca="false">PR_PH(K$2,$A121)</f>
        <v>0.951769389658216</v>
      </c>
      <c r="L121" s="39" t="n">
        <f aca="false">PR_PH(L$2,$A121)</f>
        <v>0.951971895602276</v>
      </c>
      <c r="M121" s="39" t="n">
        <f aca="false">PR_PH(M$2,$A121)</f>
        <v>0.952173965236511</v>
      </c>
      <c r="N121" s="39" t="n">
        <f aca="false">PR_PH(N$2,$A121)</f>
        <v>0.952375611552054</v>
      </c>
      <c r="O121" s="39" t="n">
        <f aca="false">PR_PH(O$2,$A121)</f>
        <v>0.952576845766995</v>
      </c>
      <c r="P121" s="39" t="n">
        <f aca="false">PR_PH(P$2,$A121)</f>
        <v>0.954568279001246</v>
      </c>
      <c r="Q121" s="39" t="n">
        <f aca="false">PR_PH(Q$2,$A121)</f>
        <v>0.956525384199135</v>
      </c>
      <c r="R121" s="39" t="n">
        <f aca="false">PR_PH(R$2,$A121)</f>
        <v>0.95845160484921</v>
      </c>
      <c r="S121" s="39" t="n">
        <f aca="false">PR_PH(S$2,$A121)</f>
        <v>0.960349249661079</v>
      </c>
      <c r="T121" s="39" t="n">
        <f aca="false">PR_PH(T$2,$A121)</f>
        <v>0.962220058855256</v>
      </c>
      <c r="U121" s="39" t="n">
        <f aca="false">PR_PH(U$2,$A121)</f>
        <v>0.964065431662495</v>
      </c>
      <c r="V121" s="39" t="n">
        <f aca="false">PR_PH(V$2,$A121)</f>
        <v>0.965886541062547</v>
      </c>
      <c r="W121" s="39" t="n">
        <f aca="false">PR_PH(W$2,$A121)</f>
        <v>0.967684399855571</v>
      </c>
      <c r="X121" s="39" t="n">
        <f aca="false">PR_PH(X$2,$A121)</f>
        <v>0.969459902235408</v>
      </c>
      <c r="Y121" s="39" t="n">
        <f aca="false">PR_PH(Y$2,$A121)</f>
        <v>0.986135623243351</v>
      </c>
      <c r="Z121" s="39" t="n">
        <f aca="false">PR_PH(Z$2,$A121)</f>
        <v>1.00121217954276</v>
      </c>
      <c r="AA121" s="39" t="n">
        <f aca="false">PR_PH(AA$2,$A121)</f>
        <v>1.01510940057184</v>
      </c>
      <c r="AB121" s="39" t="n">
        <f aca="false">PR_PH(AB$2,$A121)</f>
        <v>1.02817805175013</v>
      </c>
      <c r="AC121" s="39" t="n">
        <f aca="false">PR_PH(AC$2,$A121)</f>
        <v>1.0407047342301</v>
      </c>
      <c r="AD121" s="39" t="n">
        <f aca="false">PR_PH(AD$2,$A121)</f>
        <v>1.05290572266176</v>
      </c>
      <c r="AE121" s="39" t="n">
        <f aca="false">PR_PH(AE$2,$A121)</f>
        <v>1.0649284487101</v>
      </c>
      <c r="AF121" s="39" t="n">
        <f aca="false">PR_PH(AF$2,$A121)</f>
        <v>1.07686045183955</v>
      </c>
      <c r="AG121" s="39" t="n">
        <f aca="false">PR_PH(AG$2,$A121)</f>
        <v>1.0887419404587</v>
      </c>
      <c r="AH121" s="39" t="n">
        <f aca="false">PR_PH(AH$2,$A121)</f>
        <v>1.20021041862589</v>
      </c>
      <c r="AI121" s="39" t="n">
        <f aca="false">PR_PH(AI$2,$A121)</f>
        <v>1.28370054728656</v>
      </c>
      <c r="AJ121" s="39" t="n">
        <f aca="false">PR_PH(AJ$2,$A121)</f>
        <v>1.34147241441352</v>
      </c>
      <c r="AK121" s="39" t="n">
        <f aca="false">PR_PH(AK$2,$A121)</f>
        <v>1.38452376763126</v>
      </c>
      <c r="AL121" s="39" t="n">
        <f aca="false">PR_PH(AL$2,$A121)</f>
        <v>1.41972749099976</v>
      </c>
      <c r="AM121" s="39" t="n">
        <f aca="false">PR_PH(AM$2,$A121)</f>
        <v>1.45002340743121</v>
      </c>
      <c r="AN121" s="39" t="n">
        <f aca="false">PR_PH(AN$2,$A121)</f>
        <v>1.47605961534946</v>
      </c>
      <c r="AO121" s="39" t="n">
        <f aca="false">PR_PH(AO$2,$A121)</f>
        <v>1.49837355811438</v>
      </c>
      <c r="AP121" s="39" t="n">
        <f aca="false">PR_PH(AP$2,$A121)</f>
        <v>1.51659955509861</v>
      </c>
      <c r="AQ121" s="39" t="n">
        <f aca="false">PR_PH(AQ$2,$A121)</f>
        <v>1.61674364397598</v>
      </c>
    </row>
    <row r="122" customFormat="false" ht="13.8" hidden="false" customHeight="false" outlineLevel="0" collapsed="false">
      <c r="A122" s="0" t="n">
        <v>2820</v>
      </c>
      <c r="B122" s="39" t="n">
        <f aca="false">PR_PH(B$2,$A122)</f>
        <v>0.949967234987723</v>
      </c>
      <c r="C122" s="39" t="n">
        <f aca="false">PR_PH(C$2,$A122)</f>
        <v>0.949986082563729</v>
      </c>
      <c r="D122" s="39" t="n">
        <f aca="false">PR_PH(D$2,$A122)</f>
        <v>0.950004924089346</v>
      </c>
      <c r="E122" s="39" t="n">
        <f aca="false">PR_PH(E$2,$A122)</f>
        <v>0.950023759731818</v>
      </c>
      <c r="F122" s="39" t="n">
        <f aca="false">PR_PH(F$2,$A122)</f>
        <v>0.950042589635279</v>
      </c>
      <c r="G122" s="39" t="n">
        <f aca="false">PR_PH(G$2,$A122)</f>
        <v>0.95023059543066</v>
      </c>
      <c r="H122" s="39" t="n">
        <f aca="false">PR_PH(H$2,$A122)</f>
        <v>0.950418114471314</v>
      </c>
      <c r="I122" s="39" t="n">
        <f aca="false">PR_PH(I$2,$A122)</f>
        <v>0.950605189205379</v>
      </c>
      <c r="J122" s="39" t="n">
        <f aca="false">PR_PH(J$2,$A122)</f>
        <v>0.950791847332576</v>
      </c>
      <c r="K122" s="39" t="n">
        <f aca="false">PR_PH(K$2,$A122)</f>
        <v>0.950978109222943</v>
      </c>
      <c r="L122" s="39" t="n">
        <f aca="false">PR_PH(L$2,$A122)</f>
        <v>0.951163990878624</v>
      </c>
      <c r="M122" s="39" t="n">
        <f aca="false">PR_PH(M$2,$A122)</f>
        <v>0.951349505415151</v>
      </c>
      <c r="N122" s="39" t="n">
        <f aca="false">PR_PH(N$2,$A122)</f>
        <v>0.951534663906156</v>
      </c>
      <c r="O122" s="39" t="n">
        <f aca="false">PR_PH(O$2,$A122)</f>
        <v>0.951719475909169</v>
      </c>
      <c r="P122" s="39" t="n">
        <f aca="false">PR_PH(P$2,$A122)</f>
        <v>0.953550033591681</v>
      </c>
      <c r="Q122" s="39" t="n">
        <f aca="false">PR_PH(Q$2,$A122)</f>
        <v>0.955351790111667</v>
      </c>
      <c r="R122" s="39" t="n">
        <f aca="false">PR_PH(R$2,$A122)</f>
        <v>0.957127657966904</v>
      </c>
      <c r="S122" s="39" t="n">
        <f aca="false">PR_PH(S$2,$A122)</f>
        <v>0.958879580613239</v>
      </c>
      <c r="T122" s="39" t="n">
        <f aca="false">PR_PH(T$2,$A122)</f>
        <v>0.960609016207152</v>
      </c>
      <c r="U122" s="39" t="n">
        <f aca="false">PR_PH(U$2,$A122)</f>
        <v>0.9623171317341</v>
      </c>
      <c r="V122" s="39" t="n">
        <f aca="false">PR_PH(V$2,$A122)</f>
        <v>0.9640049007755</v>
      </c>
      <c r="W122" s="39" t="n">
        <f aca="false">PR_PH(W$2,$A122)</f>
        <v>0.965673159706101</v>
      </c>
      <c r="X122" s="39" t="n">
        <f aca="false">PR_PH(X$2,$A122)</f>
        <v>0.967322642982674</v>
      </c>
      <c r="Y122" s="39" t="n">
        <f aca="false">PR_PH(Y$2,$A122)</f>
        <v>0.982905998355202</v>
      </c>
      <c r="Z122" s="39" t="n">
        <f aca="false">PR_PH(Z$2,$A122)</f>
        <v>0.997114647105932</v>
      </c>
      <c r="AA122" s="39" t="n">
        <f aca="false">PR_PH(AA$2,$A122)</f>
        <v>1.01026096379811</v>
      </c>
      <c r="AB122" s="39" t="n">
        <f aca="false">PR_PH(AB$2,$A122)</f>
        <v>1.02259940743923</v>
      </c>
      <c r="AC122" s="39" t="n">
        <f aca="false">PR_PH(AC$2,$A122)</f>
        <v>1.03434133547159</v>
      </c>
      <c r="AD122" s="39" t="n">
        <f aca="false">PR_PH(AD$2,$A122)</f>
        <v>1.04565467088824</v>
      </c>
      <c r="AE122" s="39" t="n">
        <f aca="false">PR_PH(AE$2,$A122)</f>
        <v>1.05666473399094</v>
      </c>
      <c r="AF122" s="39" t="n">
        <f aca="false">PR_PH(AF$2,$A122)</f>
        <v>1.06745844073645</v>
      </c>
      <c r="AG122" s="39" t="n">
        <f aca="false">PR_PH(AG$2,$A122)</f>
        <v>1.07809066111284</v>
      </c>
      <c r="AH122" s="39" t="n">
        <f aca="false">PR_PH(AH$2,$A122)</f>
        <v>1.17650255993109</v>
      </c>
      <c r="AI122" s="39" t="n">
        <f aca="false">PR_PH(AI$2,$A122)</f>
        <v>1.25408659680818</v>
      </c>
      <c r="AJ122" s="39" t="n">
        <f aca="false">PR_PH(AJ$2,$A122)</f>
        <v>1.31164506475782</v>
      </c>
      <c r="AK122" s="39" t="n">
        <f aca="false">PR_PH(AK$2,$A122)</f>
        <v>1.35622438911899</v>
      </c>
      <c r="AL122" s="39" t="n">
        <f aca="false">PR_PH(AL$2,$A122)</f>
        <v>1.3929150039153</v>
      </c>
      <c r="AM122" s="39" t="n">
        <f aca="false">PR_PH(AM$2,$A122)</f>
        <v>1.42423389180435</v>
      </c>
      <c r="AN122" s="39" t="n">
        <f aca="false">PR_PH(AN$2,$A122)</f>
        <v>1.45104445811908</v>
      </c>
      <c r="AO122" s="39" t="n">
        <f aca="false">PR_PH(AO$2,$A122)</f>
        <v>1.47353279012755</v>
      </c>
      <c r="AP122" s="39" t="n">
        <f aca="false">PR_PH(AP$2,$A122)</f>
        <v>1.49177044764678</v>
      </c>
      <c r="AQ122" s="39" t="n">
        <f aca="false">PR_PH(AQ$2,$A122)</f>
        <v>2015</v>
      </c>
    </row>
    <row r="123" customFormat="false" ht="13.8" hidden="false" customHeight="false" outlineLevel="0" collapsed="false">
      <c r="A123" s="0" t="n">
        <v>2830</v>
      </c>
      <c r="B123" s="39" t="n">
        <f aca="false">PR_PH(B$2,$A123)</f>
        <v>0.949293525449047</v>
      </c>
      <c r="C123" s="39" t="n">
        <f aca="false">PR_PH(C$2,$A123)</f>
        <v>0.94931082955902</v>
      </c>
      <c r="D123" s="39" t="n">
        <f aca="false">PR_PH(D$2,$A123)</f>
        <v>0.949328128536075</v>
      </c>
      <c r="E123" s="39" t="n">
        <f aca="false">PR_PH(E$2,$A123)</f>
        <v>0.949345422523561</v>
      </c>
      <c r="F123" s="39" t="n">
        <f aca="false">PR_PH(F$2,$A123)</f>
        <v>0.949362711644999</v>
      </c>
      <c r="G123" s="39" t="n">
        <f aca="false">PR_PH(G$2,$A123)</f>
        <v>0.949535354427666</v>
      </c>
      <c r="H123" s="39" t="n">
        <f aca="false">PR_PH(H$2,$A123)</f>
        <v>0.949707585275455</v>
      </c>
      <c r="I123" s="39" t="n">
        <f aca="false">PR_PH(I$2,$A123)</f>
        <v>0.949879440542995</v>
      </c>
      <c r="J123" s="39" t="n">
        <f aca="false">PR_PH(J$2,$A123)</f>
        <v>0.950050943942463</v>
      </c>
      <c r="K123" s="39" t="n">
        <f aca="false">PR_PH(K$2,$A123)</f>
        <v>0.950222112903465</v>
      </c>
      <c r="L123" s="39" t="n">
        <f aca="false">PR_PH(L$2,$A123)</f>
        <v>0.950392961111978</v>
      </c>
      <c r="M123" s="39" t="n">
        <f aca="false">PR_PH(M$2,$A123)</f>
        <v>0.950563499780145</v>
      </c>
      <c r="N123" s="39" t="n">
        <f aca="false">PR_PH(N$2,$A123)</f>
        <v>0.950733738370287</v>
      </c>
      <c r="O123" s="39" t="n">
        <f aca="false">PR_PH(O$2,$A123)</f>
        <v>0.950903685045594</v>
      </c>
      <c r="P123" s="39" t="n">
        <f aca="false">PR_PH(P$2,$A123)</f>
        <v>0.952588371339104</v>
      </c>
      <c r="Q123" s="39" t="n">
        <f aca="false">PR_PH(Q$2,$A123)</f>
        <v>0.954248848715846</v>
      </c>
      <c r="R123" s="39" t="n">
        <f aca="false">PR_PH(R$2,$A123)</f>
        <v>0.955887588561768</v>
      </c>
      <c r="S123" s="39" t="n">
        <f aca="false">PR_PH(S$2,$A123)</f>
        <v>0.957506232932287</v>
      </c>
      <c r="T123" s="39" t="n">
        <f aca="false">PR_PH(T$2,$A123)</f>
        <v>0.959106008733734</v>
      </c>
      <c r="U123" s="39" t="n">
        <f aca="false">PR_PH(U$2,$A123)</f>
        <v>0.960687893806512</v>
      </c>
      <c r="V123" s="39" t="n">
        <f aca="false">PR_PH(V$2,$A123)</f>
        <v>0.962252700483547</v>
      </c>
      <c r="W123" s="39" t="n">
        <f aca="false">PR_PH(W$2,$A123)</f>
        <v>0.963801123560824</v>
      </c>
      <c r="X123" s="39" t="n">
        <f aca="false">PR_PH(X$2,$A123)</f>
        <v>0.965333770377159</v>
      </c>
      <c r="Y123" s="39" t="n">
        <f aca="false">PR_PH(Y$2,$A123)</f>
        <v>0.979891238060725</v>
      </c>
      <c r="Z123" s="39" t="n">
        <f aca="false">PR_PH(Z$2,$A123)</f>
        <v>0.993273854990969</v>
      </c>
      <c r="AA123" s="39" t="n">
        <f aca="false">PR_PH(AA$2,$A123)</f>
        <v>1.00571873083679</v>
      </c>
      <c r="AB123" s="39" t="n">
        <f aca="false">PR_PH(AB$2,$A123)</f>
        <v>1.01741328485159</v>
      </c>
      <c r="AC123" s="39" t="n">
        <f aca="false">PR_PH(AC$2,$A123)</f>
        <v>1.02851392816713</v>
      </c>
      <c r="AD123" s="39" t="n">
        <f aca="false">PR_PH(AD$2,$A123)</f>
        <v>1.03914916625436</v>
      </c>
      <c r="AE123" s="39" t="n">
        <f aca="false">PR_PH(AE$2,$A123)</f>
        <v>1.04942079695232</v>
      </c>
      <c r="AF123" s="39" t="n">
        <f aca="false">PR_PH(AF$2,$A123)</f>
        <v>1.0594061084818</v>
      </c>
      <c r="AG123" s="39" t="n">
        <f aca="false">PR_PH(AG$2,$A123)</f>
        <v>1.06916112789873</v>
      </c>
      <c r="AH123" s="39" t="n">
        <f aca="false">PR_PH(AH$2,$A123)</f>
        <v>1.15785904979598</v>
      </c>
      <c r="AI123" s="39" t="n">
        <f aca="false">PR_PH(AI$2,$A123)</f>
        <v>1.22998691187776</v>
      </c>
      <c r="AJ123" s="39" t="n">
        <f aca="false">PR_PH(AJ$2,$A123)</f>
        <v>1.28633268662899</v>
      </c>
      <c r="AK123" s="39" t="n">
        <f aca="false">PR_PH(AK$2,$A123)</f>
        <v>1.33140415629599</v>
      </c>
      <c r="AL123" s="39" t="n">
        <f aca="false">PR_PH(AL$2,$A123)</f>
        <v>1.3688147988883</v>
      </c>
      <c r="AM123" s="39" t="n">
        <f aca="false">PR_PH(AM$2,$A123)</f>
        <v>1.40061792630054</v>
      </c>
      <c r="AN123" s="39" t="n">
        <f aca="false">PR_PH(AN$2,$A123)</f>
        <v>1.42763174559375</v>
      </c>
      <c r="AO123" s="39" t="n">
        <f aca="false">PR_PH(AO$2,$A123)</f>
        <v>1.45018401677753</v>
      </c>
      <c r="AP123" s="39" t="n">
        <f aca="false">PR_PH(AP$2,$A123)</f>
        <v>1.46826999078912</v>
      </c>
      <c r="AQ123" s="39" t="n">
        <f aca="false">PR_PH(AQ$2,$A123)</f>
        <v>2015</v>
      </c>
    </row>
    <row r="124" customFormat="false" ht="13.8" hidden="false" customHeight="false" outlineLevel="0" collapsed="false">
      <c r="A124" s="0" t="n">
        <v>2840</v>
      </c>
      <c r="B124" s="39" t="n">
        <f aca="false">PR_PH(B$2,$A124)</f>
        <v>0.948642895494395</v>
      </c>
      <c r="C124" s="39" t="n">
        <f aca="false">PR_PH(C$2,$A124)</f>
        <v>0.948658805146894</v>
      </c>
      <c r="D124" s="39" t="n">
        <f aca="false">PR_PH(D$2,$A124)</f>
        <v>0.948674710435428</v>
      </c>
      <c r="E124" s="39" t="n">
        <f aca="false">PR_PH(E$2,$A124)</f>
        <v>0.9486906114831</v>
      </c>
      <c r="F124" s="39" t="n">
        <f aca="false">PR_PH(F$2,$A124)</f>
        <v>0.948706508395999</v>
      </c>
      <c r="G124" s="39" t="n">
        <f aca="false">PR_PH(G$2,$A124)</f>
        <v>0.948865266600361</v>
      </c>
      <c r="H124" s="39" t="n">
        <f aca="false">PR_PH(H$2,$A124)</f>
        <v>0.949023675439848</v>
      </c>
      <c r="I124" s="39" t="n">
        <f aca="false">PR_PH(I$2,$A124)</f>
        <v>0.949181766116457</v>
      </c>
      <c r="J124" s="39" t="n">
        <f aca="false">PR_PH(J$2,$A124)</f>
        <v>0.94933955897293</v>
      </c>
      <c r="K124" s="39" t="n">
        <f aca="false">PR_PH(K$2,$A124)</f>
        <v>0.94949706895596</v>
      </c>
      <c r="L124" s="39" t="n">
        <f aca="false">PR_PH(L$2,$A124)</f>
        <v>0.949654307797124</v>
      </c>
      <c r="M124" s="39" t="n">
        <f aca="false">PR_PH(M$2,$A124)</f>
        <v>0.949811285103541</v>
      </c>
      <c r="N124" s="39" t="n">
        <f aca="false">PR_PH(N$2,$A124)</f>
        <v>0.94996800897972</v>
      </c>
      <c r="O124" s="39" t="n">
        <f aca="false">PR_PH(O$2,$A124)</f>
        <v>0.950124486414699</v>
      </c>
      <c r="P124" s="39" t="n">
        <f aca="false">PR_PH(P$2,$A124)</f>
        <v>0.95167679675033</v>
      </c>
      <c r="Q124" s="39" t="n">
        <f aca="false">PR_PH(Q$2,$A124)</f>
        <v>0.953208719679081</v>
      </c>
      <c r="R124" s="39" t="n">
        <f aca="false">PR_PH(R$2,$A124)</f>
        <v>0.954722358699765</v>
      </c>
      <c r="S124" s="39" t="n">
        <f aca="false">PR_PH(S$2,$A124)</f>
        <v>0.956219106027048</v>
      </c>
      <c r="T124" s="39" t="n">
        <f aca="false">PR_PH(T$2,$A124)</f>
        <v>0.957699997989603</v>
      </c>
      <c r="U124" s="39" t="n">
        <f aca="false">PR_PH(U$2,$A124)</f>
        <v>0.959165857456497</v>
      </c>
      <c r="V124" s="39" t="n">
        <f aca="false">PR_PH(V$2,$A124)</f>
        <v>0.960617365441347</v>
      </c>
      <c r="W124" s="39" t="n">
        <f aca="false">PR_PH(W$2,$A124)</f>
        <v>0.962055102173837</v>
      </c>
      <c r="X124" s="39" t="n">
        <f aca="false">PR_PH(X$2,$A124)</f>
        <v>0.963479572827416</v>
      </c>
      <c r="Y124" s="39" t="n">
        <f aca="false">PR_PH(Y$2,$A124)</f>
        <v>0.977075689089864</v>
      </c>
      <c r="Z124" s="39" t="n">
        <f aca="false">PR_PH(Z$2,$A124)</f>
        <v>0.989671407131593</v>
      </c>
      <c r="AA124" s="39" t="n">
        <f aca="false">PR_PH(AA$2,$A124)</f>
        <v>1.00144983971983</v>
      </c>
      <c r="AB124" s="39" t="n">
        <f aca="false">PR_PH(AB$2,$A124)</f>
        <v>1.01255111876428</v>
      </c>
      <c r="AC124" s="39" t="n">
        <f aca="false">PR_PH(AC$2,$A124)</f>
        <v>1.02309173740888</v>
      </c>
      <c r="AD124" s="39" t="n">
        <f aca="false">PR_PH(AD$2,$A124)</f>
        <v>1.03316939561596</v>
      </c>
      <c r="AE124" s="39" t="n">
        <f aca="false">PR_PH(AE$2,$A124)</f>
        <v>1.04286468910846</v>
      </c>
      <c r="AF124" s="39" t="n">
        <f aca="false">PR_PH(AF$2,$A124)</f>
        <v>1.05224253374658</v>
      </c>
      <c r="AG124" s="39" t="n">
        <f aca="false">PR_PH(AG$2,$A124)</f>
        <v>1.06135390765208</v>
      </c>
      <c r="AH124" s="39" t="n">
        <f aca="false">PR_PH(AH$2,$A124)</f>
        <v>1.14279477072725</v>
      </c>
      <c r="AI124" s="39" t="n">
        <f aca="false">PR_PH(AI$2,$A124)</f>
        <v>1.21006489295377</v>
      </c>
      <c r="AJ124" s="39" t="n">
        <f aca="false">PR_PH(AJ$2,$A124)</f>
        <v>1.26462180878687</v>
      </c>
      <c r="AK124" s="39" t="n">
        <f aca="false">PR_PH(AK$2,$A124)</f>
        <v>1.30941618490717</v>
      </c>
      <c r="AL124" s="39" t="n">
        <f aca="false">PR_PH(AL$2,$A124)</f>
        <v>1.34693742866297</v>
      </c>
      <c r="AM124" s="39" t="n">
        <f aca="false">PR_PH(AM$2,$A124)</f>
        <v>1.3787976425121</v>
      </c>
      <c r="AN124" s="39" t="n">
        <f aca="false">PR_PH(AN$2,$A124)</f>
        <v>1.40572859117754</v>
      </c>
      <c r="AO124" s="39" t="n">
        <f aca="false">PR_PH(AO$2,$A124)</f>
        <v>1.42801813804153</v>
      </c>
      <c r="AP124" s="39" t="n">
        <f aca="false">PR_PH(AP$2,$A124)</f>
        <v>1.44596528032762</v>
      </c>
      <c r="AQ124" s="39" t="n">
        <f aca="false">PR_PH(AQ$2,$A124)</f>
        <v>2015</v>
      </c>
    </row>
    <row r="125" customFormat="false" ht="13.8" hidden="false" customHeight="false" outlineLevel="0" collapsed="false">
      <c r="A125" s="0" t="n">
        <v>2850</v>
      </c>
      <c r="B125" s="39" t="n">
        <f aca="false">PR_PH(B$2,$A125)</f>
        <v>0.948012290461415</v>
      </c>
      <c r="C125" s="39" t="n">
        <f aca="false">PR_PH(C$2,$A125)</f>
        <v>0.948026938709551</v>
      </c>
      <c r="D125" s="39" t="n">
        <f aca="false">PR_PH(D$2,$A125)</f>
        <v>0.948041583239524</v>
      </c>
      <c r="E125" s="39" t="n">
        <f aca="false">PR_PH(E$2,$A125)</f>
        <v>0.948056224157273</v>
      </c>
      <c r="F125" s="39" t="n">
        <f aca="false">PR_PH(F$2,$A125)</f>
        <v>0.948070861554089</v>
      </c>
      <c r="G125" s="39" t="n">
        <f aca="false">PR_PH(G$2,$A125)</f>
        <v>0.948217056057901</v>
      </c>
      <c r="H125" s="39" t="n">
        <f aca="false">PR_PH(H$2,$A125)</f>
        <v>0.948362953628148</v>
      </c>
      <c r="I125" s="39" t="n">
        <f aca="false">PR_PH(I$2,$A125)</f>
        <v>0.948508581099847</v>
      </c>
      <c r="J125" s="39" t="n">
        <f aca="false">PR_PH(J$2,$A125)</f>
        <v>0.948653955961889</v>
      </c>
      <c r="K125" s="39" t="n">
        <f aca="false">PR_PH(K$2,$A125)</f>
        <v>0.948799091059315</v>
      </c>
      <c r="L125" s="39" t="n">
        <f aca="false">PR_PH(L$2,$A125)</f>
        <v>0.948943996470411</v>
      </c>
      <c r="M125" s="39" t="n">
        <f aca="false">PR_PH(M$2,$A125)</f>
        <v>0.949088680445384</v>
      </c>
      <c r="N125" s="39" t="n">
        <f aca="false">PR_PH(N$2,$A125)</f>
        <v>0.949233149941563</v>
      </c>
      <c r="O125" s="39" t="n">
        <f aca="false">PR_PH(O$2,$A125)</f>
        <v>0.94937741095652</v>
      </c>
      <c r="P125" s="39" t="n">
        <f aca="false">PR_PH(P$2,$A125)</f>
        <v>0.950809489280564</v>
      </c>
      <c r="Q125" s="39" t="n">
        <f aca="false">PR_PH(Q$2,$A125)</f>
        <v>0.952224365286365</v>
      </c>
      <c r="R125" s="39" t="n">
        <f aca="false">PR_PH(R$2,$A125)</f>
        <v>0.953623834542778</v>
      </c>
      <c r="S125" s="39" t="n">
        <f aca="false">PR_PH(S$2,$A125)</f>
        <v>0.955009081302998</v>
      </c>
      <c r="T125" s="39" t="n">
        <f aca="false">PR_PH(T$2,$A125)</f>
        <v>0.956380984101035</v>
      </c>
      <c r="U125" s="39" t="n">
        <f aca="false">PR_PH(U$2,$A125)</f>
        <v>0.957740238161284</v>
      </c>
      <c r="V125" s="39" t="n">
        <f aca="false">PR_PH(V$2,$A125)</f>
        <v>0.959087416905403</v>
      </c>
      <c r="W125" s="39" t="n">
        <f aca="false">PR_PH(W$2,$A125)</f>
        <v>0.960423007209418</v>
      </c>
      <c r="X125" s="39" t="n">
        <f aca="false">PR_PH(X$2,$A125)</f>
        <v>0.961747431473182</v>
      </c>
      <c r="Y125" s="39" t="n">
        <f aca="false">PR_PH(Y$2,$A125)</f>
        <v>0.974444559773565</v>
      </c>
      <c r="Z125" s="39" t="n">
        <f aca="false">PR_PH(Z$2,$A125)</f>
        <v>0.986291707750699</v>
      </c>
      <c r="AA125" s="39" t="n">
        <f aca="false">PR_PH(AA$2,$A125)</f>
        <v>0.997432365509688</v>
      </c>
      <c r="AB125" s="39" t="n">
        <f aca="false">PR_PH(AB$2,$A125)</f>
        <v>1.00797278331417</v>
      </c>
      <c r="AC125" s="39" t="n">
        <f aca="false">PR_PH(AC$2,$A125)</f>
        <v>1.01800039546876</v>
      </c>
      <c r="AD125" s="39" t="n">
        <f aca="false">PR_PH(AD$2,$A125)</f>
        <v>1.02758933589366</v>
      </c>
      <c r="AE125" s="39" t="n">
        <f aca="false">PR_PH(AE$2,$A125)</f>
        <v>1.03680246448815</v>
      </c>
      <c r="AF125" s="39" t="n">
        <f aca="false">PR_PH(AF$2,$A125)</f>
        <v>1.04569252100567</v>
      </c>
      <c r="AG125" s="39" t="n">
        <f aca="false">PR_PH(AG$2,$A125)</f>
        <v>1.05430316260308</v>
      </c>
      <c r="AH125" s="39" t="n">
        <f aca="false">PR_PH(AH$2,$A125)</f>
        <v>1.1302249284736</v>
      </c>
      <c r="AI125" s="39" t="n">
        <f aca="false">PR_PH(AI$2,$A125)</f>
        <v>1.19327544073227</v>
      </c>
      <c r="AJ125" s="39" t="n">
        <f aca="false">PR_PH(AJ$2,$A125)</f>
        <v>1.24575823198091</v>
      </c>
      <c r="AK125" s="39" t="n">
        <f aca="false">PR_PH(AK$2,$A125)</f>
        <v>1.28973956714426</v>
      </c>
      <c r="AL125" s="39" t="n">
        <f aca="false">PR_PH(AL$2,$A125)</f>
        <v>1.32690946217194</v>
      </c>
      <c r="AM125" s="39" t="n">
        <f aca="false">PR_PH(AM$2,$A125)</f>
        <v>1.35849788692112</v>
      </c>
      <c r="AN125" s="39" t="n">
        <f aca="false">PR_PH(AN$2,$A125)</f>
        <v>1.3851315578824</v>
      </c>
      <c r="AO125" s="39" t="n">
        <f aca="false">PR_PH(AO$2,$A125)</f>
        <v>1.40710168182444</v>
      </c>
      <c r="AP125" s="39" t="n">
        <f aca="false">PR_PH(AP$2,$A125)</f>
        <v>1.42475729782592</v>
      </c>
      <c r="AQ125" s="39" t="n">
        <f aca="false">PR_PH(AQ$2,$A125)</f>
        <v>2015</v>
      </c>
    </row>
    <row r="126" customFormat="false" ht="13.8" hidden="false" customHeight="false" outlineLevel="0" collapsed="false">
      <c r="A126" s="0" t="n">
        <v>2860</v>
      </c>
      <c r="B126" s="39" t="n">
        <f aca="false">PR_PH(B$2,$A126)</f>
        <v>0.947398962336595</v>
      </c>
      <c r="C126" s="39" t="n">
        <f aca="false">PR_PH(C$2,$A126)</f>
        <v>0.947412468128879</v>
      </c>
      <c r="D126" s="39" t="n">
        <f aca="false">PR_PH(D$2,$A126)</f>
        <v>0.94742597074649</v>
      </c>
      <c r="E126" s="39" t="n">
        <f aca="false">PR_PH(E$2,$A126)</f>
        <v>0.947439470280763</v>
      </c>
      <c r="F126" s="39" t="n">
        <f aca="false">PR_PH(F$2,$A126)</f>
        <v>0.947452966810423</v>
      </c>
      <c r="G126" s="39" t="n">
        <f aca="false">PR_PH(G$2,$A126)</f>
        <v>0.947587779084144</v>
      </c>
      <c r="H126" s="39" t="n">
        <f aca="false">PR_PH(H$2,$A126)</f>
        <v>0.947722338447127</v>
      </c>
      <c r="I126" s="39" t="n">
        <f aca="false">PR_PH(I$2,$A126)</f>
        <v>0.947856668025133</v>
      </c>
      <c r="J126" s="39" t="n">
        <f aca="false">PR_PH(J$2,$A126)</f>
        <v>0.947990782884395</v>
      </c>
      <c r="K126" s="39" t="n">
        <f aca="false">PR_PH(K$2,$A126)</f>
        <v>0.948124694086872</v>
      </c>
      <c r="L126" s="39" t="n">
        <f aca="false">PR_PH(L$2,$A126)</f>
        <v>0.948258410308921</v>
      </c>
      <c r="M126" s="39" t="n">
        <f aca="false">PR_PH(M$2,$A126)</f>
        <v>0.948391938650792</v>
      </c>
      <c r="N126" s="39" t="n">
        <f aca="false">PR_PH(N$2,$A126)</f>
        <v>0.948525285098127</v>
      </c>
      <c r="O126" s="39" t="n">
        <f aca="false">PR_PH(O$2,$A126)</f>
        <v>0.948658454809156</v>
      </c>
      <c r="P126" s="39" t="n">
        <f aca="false">PR_PH(P$2,$A126)</f>
        <v>0.949981234534251</v>
      </c>
      <c r="Q126" s="39" t="n">
        <f aca="false">PR_PH(Q$2,$A126)</f>
        <v>0.951289470778761</v>
      </c>
      <c r="R126" s="39" t="n">
        <f aca="false">PR_PH(R$2,$A126)</f>
        <v>0.952584700494737</v>
      </c>
      <c r="S126" s="39" t="n">
        <f aca="false">PR_PH(S$2,$A126)</f>
        <v>0.953867934166322</v>
      </c>
      <c r="T126" s="39" t="n">
        <f aca="false">PR_PH(T$2,$A126)</f>
        <v>0.955139919114768</v>
      </c>
      <c r="U126" s="39" t="n">
        <f aca="false">PR_PH(U$2,$A126)</f>
        <v>0.956401244925223</v>
      </c>
      <c r="V126" s="39" t="n">
        <f aca="false">PR_PH(V$2,$A126)</f>
        <v>0.957652396397165</v>
      </c>
      <c r="W126" s="39" t="n">
        <f aca="false">PR_PH(W$2,$A126)</f>
        <v>0.95889378388201</v>
      </c>
      <c r="X126" s="39" t="n">
        <f aca="false">PR_PH(X$2,$A126)</f>
        <v>0.960125762262811</v>
      </c>
      <c r="Y126" s="39" t="n">
        <f aca="false">PR_PH(Y$2,$A126)</f>
        <v>0.971983804642653</v>
      </c>
      <c r="Z126" s="39" t="n">
        <f aca="false">PR_PH(Z$2,$A126)</f>
        <v>0.983120548053789</v>
      </c>
      <c r="AA126" s="39" t="n">
        <f aca="false">PR_PH(AA$2,$A126)</f>
        <v>0.993649818025143</v>
      </c>
      <c r="AB126" s="39" t="n">
        <f aca="false">PR_PH(AB$2,$A126)</f>
        <v>1.00365318750494</v>
      </c>
      <c r="AC126" s="39" t="n">
        <f aca="false">PR_PH(AC$2,$A126)</f>
        <v>1.01319680329765</v>
      </c>
      <c r="AD126" s="39" t="n">
        <f aca="false">PR_PH(AD$2,$A126)</f>
        <v>1.02233694734166</v>
      </c>
      <c r="AE126" s="39" t="n">
        <f aca="false">PR_PH(AE$2,$A126)</f>
        <v>1.03112221026453</v>
      </c>
      <c r="AF126" s="39" t="n">
        <f aca="false">PR_PH(AF$2,$A126)</f>
        <v>1.03959455420486</v>
      </c>
      <c r="AG126" s="39" t="n">
        <f aca="false">PR_PH(AG$2,$A126)</f>
        <v>1.04779003015771</v>
      </c>
      <c r="AH126" s="39" t="n">
        <f aca="false">PR_PH(AH$2,$A126)</f>
        <v>1.11938485395082</v>
      </c>
      <c r="AI126" s="39" t="n">
        <f aca="false">PR_PH(AI$2,$A126)</f>
        <v>1.17881679529079</v>
      </c>
      <c r="AJ126" s="39" t="n">
        <f aca="false">PR_PH(AJ$2,$A126)</f>
        <v>1.22913370083224</v>
      </c>
      <c r="AK126" s="39" t="n">
        <f aca="false">PR_PH(AK$2,$A126)</f>
        <v>1.27195610958461</v>
      </c>
      <c r="AL126" s="39" t="n">
        <f aca="false">PR_PH(AL$2,$A126)</f>
        <v>1.30844193989295</v>
      </c>
      <c r="AM126" s="39" t="n">
        <f aca="false">PR_PH(AM$2,$A126)</f>
        <v>1.339513944294</v>
      </c>
      <c r="AN126" s="39" t="n">
        <f aca="false">PR_PH(AN$2,$A126)</f>
        <v>1.3656926586755</v>
      </c>
      <c r="AO126" s="39" t="n">
        <f aca="false">PR_PH(AO$2,$A126)</f>
        <v>1.38725727196683</v>
      </c>
      <c r="AP126" s="39" t="n">
        <f aca="false">PR_PH(AP$2,$A126)</f>
        <v>1.40438760741074</v>
      </c>
      <c r="AQ126" s="39" t="n">
        <f aca="false">PR_PH(AQ$2,$A126)</f>
        <v>2015</v>
      </c>
    </row>
    <row r="127" customFormat="false" ht="13.8" hidden="false" customHeight="false" outlineLevel="0" collapsed="false">
      <c r="A127" s="0" t="n">
        <v>2870</v>
      </c>
      <c r="B127" s="39" t="n">
        <f aca="false">PR_PH(B$2,$A127)</f>
        <v>0.94680044163198</v>
      </c>
      <c r="C127" s="39" t="n">
        <f aca="false">PR_PH(C$2,$A127)</f>
        <v>0.946812911433073</v>
      </c>
      <c r="D127" s="39" t="n">
        <f aca="false">PR_PH(D$2,$A127)</f>
        <v>0.946825378517782</v>
      </c>
      <c r="E127" s="39" t="n">
        <f aca="false">PR_PH(E$2,$A127)</f>
        <v>0.946837842965023</v>
      </c>
      <c r="F127" s="39" t="n">
        <f aca="false">PR_PH(F$2,$A127)</f>
        <v>0.946850304842799</v>
      </c>
      <c r="G127" s="39" t="n">
        <f aca="false">PR_PH(G$2,$A127)</f>
        <v>0.946974792865154</v>
      </c>
      <c r="H127" s="39" t="n">
        <f aca="false">PR_PH(H$2,$A127)</f>
        <v>0.947099065012181</v>
      </c>
      <c r="I127" s="39" t="n">
        <f aca="false">PR_PH(I$2,$A127)</f>
        <v>0.947223141252284</v>
      </c>
      <c r="J127" s="39" t="n">
        <f aca="false">PR_PH(J$2,$A127)</f>
        <v>0.947347034590593</v>
      </c>
      <c r="K127" s="39" t="n">
        <f aca="false">PR_PH(K$2,$A127)</f>
        <v>0.947470754572816</v>
      </c>
      <c r="L127" s="39" t="n">
        <f aca="false">PR_PH(L$2,$A127)</f>
        <v>0.947594308683824</v>
      </c>
      <c r="M127" s="39" t="n">
        <f aca="false">PR_PH(M$2,$A127)</f>
        <v>0.947717703046994</v>
      </c>
      <c r="N127" s="39" t="n">
        <f aca="false">PR_PH(N$2,$A127)</f>
        <v>0.947840942822923</v>
      </c>
      <c r="O127" s="39" t="n">
        <f aca="false">PR_PH(O$2,$A127)</f>
        <v>0.947964032457574</v>
      </c>
      <c r="P127" s="39" t="n">
        <f aca="false">PR_PH(P$2,$A127)</f>
        <v>0.949187362677338</v>
      </c>
      <c r="Q127" s="39" t="n">
        <f aca="false">PR_PH(Q$2,$A127)</f>
        <v>0.95039837247195</v>
      </c>
      <c r="R127" s="39" t="n">
        <f aca="false">PR_PH(R$2,$A127)</f>
        <v>0.951598380900016</v>
      </c>
      <c r="S127" s="39" t="n">
        <f aca="false">PR_PH(S$2,$A127)</f>
        <v>0.952788252722803</v>
      </c>
      <c r="T127" s="39" t="n">
        <f aca="false">PR_PH(T$2,$A127)</f>
        <v>0.953968625715871</v>
      </c>
      <c r="U127" s="39" t="n">
        <f aca="false">PR_PH(U$2,$A127)</f>
        <v>0.955140001652154</v>
      </c>
      <c r="V127" s="39" t="n">
        <f aca="false">PR_PH(V$2,$A127)</f>
        <v>0.956302791981497</v>
      </c>
      <c r="W127" s="39" t="n">
        <f aca="false">PR_PH(W$2,$A127)</f>
        <v>0.957457343992241</v>
      </c>
      <c r="X127" s="39" t="n">
        <f aca="false">PR_PH(X$2,$A127)</f>
        <v>0.958603957171589</v>
      </c>
      <c r="Y127" s="39" t="n">
        <f aca="false">PR_PH(Y$2,$A127)</f>
        <v>0.969680101236125</v>
      </c>
      <c r="Z127" s="39" t="n">
        <f aca="false">PR_PH(Z$2,$A127)</f>
        <v>0.980144470784765</v>
      </c>
      <c r="AA127" s="39" t="n">
        <f aca="false">PR_PH(AA$2,$A127)</f>
        <v>0.99008829834472</v>
      </c>
      <c r="AB127" s="39" t="n">
        <f aca="false">PR_PH(AB$2,$A127)</f>
        <v>0.999574898450711</v>
      </c>
      <c r="AC127" s="39" t="n">
        <f aca="false">PR_PH(AC$2,$A127)</f>
        <v>1.00865469062905</v>
      </c>
      <c r="AD127" s="39" t="n">
        <f aca="false">PR_PH(AD$2,$A127)</f>
        <v>1.01737047554927</v>
      </c>
      <c r="AE127" s="39" t="n">
        <f aca="false">PR_PH(AE$2,$A127)</f>
        <v>1.02575960641942</v>
      </c>
      <c r="AF127" s="39" t="n">
        <f aca="false">PR_PH(AF$2,$A127)</f>
        <v>1.03385500737226</v>
      </c>
      <c r="AG127" s="39" t="n">
        <f aca="false">PR_PH(AG$2,$A127)</f>
        <v>1.04168574559908</v>
      </c>
      <c r="AH127" s="39" t="n">
        <f aca="false">PR_PH(AH$2,$A127)</f>
        <v>1.10975073667535</v>
      </c>
      <c r="AI127" s="39" t="n">
        <f aca="false">PR_PH(AI$2,$A127)</f>
        <v>1.16608681856858</v>
      </c>
      <c r="AJ127" s="39" t="n">
        <f aca="false">PR_PH(AJ$2,$A127)</f>
        <v>1.21426688582471</v>
      </c>
      <c r="AK127" s="39" t="n">
        <f aca="false">PR_PH(AK$2,$A127)</f>
        <v>1.25573051344698</v>
      </c>
      <c r="AL127" s="39" t="n">
        <f aca="false">PR_PH(AL$2,$A127)</f>
        <v>1.29130718058423</v>
      </c>
      <c r="AM127" s="39" t="n">
        <f aca="false">PR_PH(AM$2,$A127)</f>
        <v>1.32168869098155</v>
      </c>
      <c r="AN127" s="39" t="n">
        <f aca="false">PR_PH(AN$2,$A127)</f>
        <v>1.34729997209762</v>
      </c>
      <c r="AO127" s="39" t="n">
        <f aca="false">PR_PH(AO$2,$A127)</f>
        <v>1.36840032565741</v>
      </c>
      <c r="AP127" s="39" t="n">
        <f aca="false">PR_PH(AP$2,$A127)</f>
        <v>1.3851890338133</v>
      </c>
      <c r="AQ127" s="39" t="n">
        <f aca="false">PR_PH(AQ$2,$A127)</f>
        <v>2015</v>
      </c>
    </row>
    <row r="128" customFormat="false" ht="13.8" hidden="false" customHeight="false" outlineLevel="0" collapsed="false">
      <c r="A128" s="0" t="n">
        <v>2880</v>
      </c>
      <c r="B128" s="39" t="n">
        <f aca="false">PR_PH(B$2,$A128)</f>
        <v>0.946214511958773</v>
      </c>
      <c r="C128" s="39" t="n">
        <f aca="false">PR_PH(C$2,$A128)</f>
        <v>0.946226041170528</v>
      </c>
      <c r="D128" s="39" t="n">
        <f aca="false">PR_PH(D$2,$A128)</f>
        <v>0.946237568053126</v>
      </c>
      <c r="E128" s="39" t="n">
        <f aca="false">PR_PH(E$2,$A128)</f>
        <v>0.946249092674871</v>
      </c>
      <c r="F128" s="39" t="n">
        <f aca="false">PR_PH(F$2,$A128)</f>
        <v>0.946260615094621</v>
      </c>
      <c r="G128" s="39" t="n">
        <f aca="false">PR_PH(G$2,$A128)</f>
        <v>0.946375727325845</v>
      </c>
      <c r="H128" s="39" t="n">
        <f aca="false">PR_PH(H$2,$A128)</f>
        <v>0.946490654899237</v>
      </c>
      <c r="I128" s="39" t="n">
        <f aca="false">PR_PH(I$2,$A128)</f>
        <v>0.946605415090061</v>
      </c>
      <c r="J128" s="39" t="n">
        <f aca="false">PR_PH(J$2,$A128)</f>
        <v>0.94672001914619</v>
      </c>
      <c r="K128" s="39" t="n">
        <f aca="false">PR_PH(K$2,$A128)</f>
        <v>0.946834475321212</v>
      </c>
      <c r="L128" s="39" t="n">
        <f aca="false">PR_PH(L$2,$A128)</f>
        <v>0.946948790085089</v>
      </c>
      <c r="M128" s="39" t="n">
        <f aca="false">PR_PH(M$2,$A128)</f>
        <v>0.947062968729471</v>
      </c>
      <c r="N128" s="39" t="n">
        <f aca="false">PR_PH(N$2,$A128)</f>
        <v>0.947177015712827</v>
      </c>
      <c r="O128" s="39" t="n">
        <f aca="false">PR_PH(O$2,$A128)</f>
        <v>0.947290934875205</v>
      </c>
      <c r="P128" s="39" t="n">
        <f aca="false">PR_PH(P$2,$A128)</f>
        <v>0.94842369328848</v>
      </c>
      <c r="Q128" s="39" t="n">
        <f aca="false">PR_PH(Q$2,$A128)</f>
        <v>0.949545992936151</v>
      </c>
      <c r="R128" s="39" t="n">
        <f aca="false">PR_PH(R$2,$A128)</f>
        <v>0.950658968739271</v>
      </c>
      <c r="S128" s="39" t="n">
        <f aca="false">PR_PH(S$2,$A128)</f>
        <v>0.951763362838812</v>
      </c>
      <c r="T128" s="39" t="n">
        <f aca="false">PR_PH(T$2,$A128)</f>
        <v>0.952859721209406</v>
      </c>
      <c r="U128" s="39" t="n">
        <f aca="false">PR_PH(U$2,$A128)</f>
        <v>0.953948472330444</v>
      </c>
      <c r="V128" s="39" t="n">
        <f aca="false">PR_PH(V$2,$A128)</f>
        <v>0.955029966671744</v>
      </c>
      <c r="W128" s="39" t="n">
        <f aca="false">PR_PH(W$2,$A128)</f>
        <v>0.956104499300508</v>
      </c>
      <c r="X128" s="39" t="n">
        <f aca="false">PR_PH(X$2,$A128)</f>
        <v>0.95717232401393</v>
      </c>
      <c r="Y128" s="39" t="n">
        <f aca="false">PR_PH(Y$2,$A128)</f>
        <v>0.967520859181949</v>
      </c>
      <c r="Z128" s="39" t="n">
        <f aca="false">PR_PH(Z$2,$A128)</f>
        <v>0.9773505242064</v>
      </c>
      <c r="AA128" s="39" t="n">
        <f aca="false">PR_PH(AA$2,$A128)</f>
        <v>0.986735097854619</v>
      </c>
      <c r="AB128" s="39" t="n">
        <f aca="false">PR_PH(AB$2,$A128)</f>
        <v>0.995724192301796</v>
      </c>
      <c r="AC128" s="39" t="n">
        <f aca="false">PR_PH(AC$2,$A128)</f>
        <v>1.00435650112755</v>
      </c>
      <c r="AD128" s="39" t="n">
        <f aca="false">PR_PH(AD$2,$A128)</f>
        <v>1.01266463810378</v>
      </c>
      <c r="AE128" s="39" t="n">
        <f aca="false">PR_PH(AE$2,$A128)</f>
        <v>1.0206772102649</v>
      </c>
      <c r="AF128" s="39" t="n">
        <f aca="false">PR_PH(AF$2,$A128)</f>
        <v>1.02841979165781</v>
      </c>
      <c r="AG128" s="39" t="n">
        <f aca="false">PR_PH(AG$2,$A128)</f>
        <v>1.03591542468155</v>
      </c>
      <c r="AH128" s="39" t="n">
        <f aca="false">PR_PH(AH$2,$A128)</f>
        <v>1.10097232669315</v>
      </c>
      <c r="AI128" s="39" t="n">
        <f aca="false">PR_PH(AI$2,$A128)</f>
        <v>1.1546426115158</v>
      </c>
      <c r="AJ128" s="39" t="n">
        <f aca="false">PR_PH(AJ$2,$A128)</f>
        <v>1.20078297225258</v>
      </c>
      <c r="AK128" s="39" t="n">
        <f aca="false">PR_PH(AK$2,$A128)</f>
        <v>1.24079425537194</v>
      </c>
      <c r="AL128" s="39" t="n">
        <f aca="false">PR_PH(AL$2,$A128)</f>
        <v>1.27532243206091</v>
      </c>
      <c r="AM128" s="39" t="n">
        <f aca="false">PR_PH(AM$2,$A128)</f>
        <v>1.30489712689406</v>
      </c>
      <c r="AN128" s="39" t="n">
        <f aca="false">PR_PH(AN$2,$A128)</f>
        <v>1.32986472966542</v>
      </c>
      <c r="AO128" s="39" t="n">
        <f aca="false">PR_PH(AO$2,$A128)</f>
        <v>1.35046322282908</v>
      </c>
      <c r="AP128" s="39" t="n">
        <f aca="false">PR_PH(AP$2,$A128)</f>
        <v>1.36690871003132</v>
      </c>
      <c r="AQ128" s="39" t="n">
        <f aca="false">PR_PH(AQ$2,$A128)</f>
        <v>2015</v>
      </c>
    </row>
    <row r="129" customFormat="false" ht="13.8" hidden="false" customHeight="false" outlineLevel="0" collapsed="false">
      <c r="A129" s="0" t="n">
        <v>2890</v>
      </c>
      <c r="B129" s="39" t="n">
        <f aca="false">PR_PH(B$2,$A129)</f>
        <v>0.945639187006996</v>
      </c>
      <c r="C129" s="39" t="n">
        <f aca="false">PR_PH(C$2,$A129)</f>
        <v>0.945649861216068</v>
      </c>
      <c r="D129" s="39" t="n">
        <f aca="false">PR_PH(D$2,$A129)</f>
        <v>0.9456605334238</v>
      </c>
      <c r="E129" s="39" t="n">
        <f aca="false">PR_PH(E$2,$A129)</f>
        <v>0.945671203689428</v>
      </c>
      <c r="F129" s="39" t="n">
        <f aca="false">PR_PH(F$2,$A129)</f>
        <v>0.945681872063977</v>
      </c>
      <c r="G129" s="39" t="n">
        <f aca="false">PR_PH(G$2,$A129)</f>
        <v>0.945788459728018</v>
      </c>
      <c r="H129" s="39" t="n">
        <f aca="false">PR_PH(H$2,$A129)</f>
        <v>0.945894889098306</v>
      </c>
      <c r="I129" s="39" t="n">
        <f aca="false">PR_PH(I$2,$A129)</f>
        <v>0.946001175148257</v>
      </c>
      <c r="J129" s="39" t="n">
        <f aca="false">PR_PH(J$2,$A129)</f>
        <v>0.946107327624435</v>
      </c>
      <c r="K129" s="39" t="n">
        <f aca="false">PR_PH(K$2,$A129)</f>
        <v>0.946213353677004</v>
      </c>
      <c r="L129" s="39" t="n">
        <f aca="false">PR_PH(L$2,$A129)</f>
        <v>0.946319258909555</v>
      </c>
      <c r="M129" s="39" t="n">
        <f aca="false">PR_PH(M$2,$A129)</f>
        <v>0.946425047904045</v>
      </c>
      <c r="N129" s="39" t="n">
        <f aca="false">PR_PH(N$2,$A129)</f>
        <v>0.946530724520062</v>
      </c>
      <c r="O129" s="39" t="n">
        <f aca="false">PR_PH(O$2,$A129)</f>
        <v>0.946636292081072</v>
      </c>
      <c r="P129" s="39" t="n">
        <f aca="false">PR_PH(P$2,$A129)</f>
        <v>0.947686485960415</v>
      </c>
      <c r="Q129" s="39" t="n">
        <f aca="false">PR_PH(Q$2,$A129)</f>
        <v>0.948727782584919</v>
      </c>
      <c r="R129" s="39" t="n">
        <f aca="false">PR_PH(R$2,$A129)</f>
        <v>0.949761160816698</v>
      </c>
      <c r="S129" s="39" t="n">
        <f aca="false">PR_PH(S$2,$A129)</f>
        <v>0.950787259282089</v>
      </c>
      <c r="T129" s="39" t="n">
        <f aca="false">PR_PH(T$2,$A129)</f>
        <v>0.951806546750782</v>
      </c>
      <c r="U129" s="39" t="n">
        <f aca="false">PR_PH(U$2,$A129)</f>
        <v>0.952819390289651</v>
      </c>
      <c r="V129" s="39" t="n">
        <f aca="false">PR_PH(V$2,$A129)</f>
        <v>0.953826089460112</v>
      </c>
      <c r="W129" s="39" t="n">
        <f aca="false">PR_PH(W$2,$A129)</f>
        <v>0.954826895891826</v>
      </c>
      <c r="X129" s="39" t="n">
        <f aca="false">PR_PH(X$2,$A129)</f>
        <v>0.955822025515622</v>
      </c>
      <c r="Y129" s="39" t="n">
        <f aca="false">PR_PH(Y$2,$A129)</f>
        <v>0.965494233973149</v>
      </c>
      <c r="Z129" s="39" t="n">
        <f aca="false">PR_PH(Z$2,$A129)</f>
        <v>0.974726200491494</v>
      </c>
      <c r="AA129" s="39" t="n">
        <f aca="false">PR_PH(AA$2,$A129)</f>
        <v>0.983578061990699</v>
      </c>
      <c r="AB129" s="39" t="n">
        <f aca="false">PR_PH(AB$2,$A129)</f>
        <v>0.992089020716579</v>
      </c>
      <c r="AC129" s="39" t="n">
        <f aca="false">PR_PH(AC$2,$A129)</f>
        <v>1.00028895084255</v>
      </c>
      <c r="AD129" s="39" t="n">
        <f aca="false">PR_PH(AD$2,$A129)</f>
        <v>1.00820274981707</v>
      </c>
      <c r="AE129" s="39" t="n">
        <f aca="false">PR_PH(AE$2,$A129)</f>
        <v>1.01585226071429</v>
      </c>
      <c r="AF129" s="39" t="n">
        <f aca="false">PR_PH(AF$2,$A129)</f>
        <v>1.02325718996379</v>
      </c>
      <c r="AG129" s="39" t="n">
        <f aca="false">PR_PH(AG$2,$A129)</f>
        <v>1.03043556659233</v>
      </c>
      <c r="AH129" s="39" t="n">
        <f aca="false">PR_PH(AH$2,$A129)</f>
        <v>1.09282037691762</v>
      </c>
      <c r="AI129" s="39" t="n">
        <f aca="false">PR_PH(AI$2,$A129)</f>
        <v>1.14416464136047</v>
      </c>
      <c r="AJ129" s="39" t="n">
        <f aca="false">PR_PH(AJ$2,$A129)</f>
        <v>1.1883941690554</v>
      </c>
      <c r="AK129" s="39" t="n">
        <f aca="false">PR_PH(AK$2,$A129)</f>
        <v>1.22693268949986</v>
      </c>
      <c r="AL129" s="39" t="n">
        <f aca="false">PR_PH(AL$2,$A129)</f>
        <v>1.26033863507204</v>
      </c>
      <c r="AM129" s="39" t="n">
        <f aca="false">PR_PH(AM$2,$A129)</f>
        <v>1.28903632291542</v>
      </c>
      <c r="AN129" s="39" t="n">
        <f aca="false">PR_PH(AN$2,$A129)</f>
        <v>1.31331309989995</v>
      </c>
      <c r="AO129" s="39" t="n">
        <f aca="false">PR_PH(AO$2,$A129)</f>
        <v>1.33338913993252</v>
      </c>
      <c r="AP129" s="39" t="n">
        <f aca="false">PR_PH(AP$2,$A129)</f>
        <v>1.34950008974512</v>
      </c>
      <c r="AQ129" s="39" t="n">
        <f aca="false">PR_PH(AQ$2,$A129)</f>
        <v>2015</v>
      </c>
    </row>
    <row r="130" customFormat="false" ht="13.8" hidden="false" customHeight="false" outlineLevel="0" collapsed="false">
      <c r="A130" s="0" t="n">
        <v>2900</v>
      </c>
      <c r="B130" s="39" t="n">
        <f aca="false">PR_PH(B$2,$A130)</f>
        <v>0.945072689676366</v>
      </c>
      <c r="C130" s="39" t="n">
        <f aca="false">PR_PH(C$2,$A130)</f>
        <v>0.945082585750889</v>
      </c>
      <c r="D130" s="39" t="n">
        <f aca="false">PR_PH(D$2,$A130)</f>
        <v>0.945092480102128</v>
      </c>
      <c r="E130" s="39" t="n">
        <f aca="false">PR_PH(E$2,$A130)</f>
        <v>0.945102372781541</v>
      </c>
      <c r="F130" s="39" t="n">
        <f aca="false">PR_PH(F$2,$A130)</f>
        <v>0.945112263833457</v>
      </c>
      <c r="G130" s="39" t="n">
        <f aca="false">PR_PH(G$2,$A130)</f>
        <v>0.945211091726431</v>
      </c>
      <c r="H130" s="39" t="n">
        <f aca="false">PR_PH(H$2,$A130)</f>
        <v>0.945309783633228</v>
      </c>
      <c r="I130" s="39" t="n">
        <f aca="false">PR_PH(I$2,$A130)</f>
        <v>0.945408352555989</v>
      </c>
      <c r="J130" s="39" t="n">
        <f aca="false">PR_PH(J$2,$A130)</f>
        <v>0.945506806956104</v>
      </c>
      <c r="K130" s="39" t="n">
        <f aca="false">PR_PH(K$2,$A130)</f>
        <v>0.94560515303948</v>
      </c>
      <c r="L130" s="39" t="n">
        <f aca="false">PR_PH(L$2,$A130)</f>
        <v>0.94570339566861</v>
      </c>
      <c r="M130" s="39" t="n">
        <f aca="false">PR_PH(M$2,$A130)</f>
        <v>0.9458015388186</v>
      </c>
      <c r="N130" s="39" t="n">
        <f aca="false">PR_PH(N$2,$A130)</f>
        <v>0.945899585837145</v>
      </c>
      <c r="O130" s="39" t="n">
        <f aca="false">PR_PH(O$2,$A130)</f>
        <v>0.945997539606272</v>
      </c>
      <c r="P130" s="39" t="n">
        <f aca="false">PR_PH(P$2,$A130)</f>
        <v>0.946972396035049</v>
      </c>
      <c r="Q130" s="39" t="n">
        <f aca="false">PR_PH(Q$2,$A130)</f>
        <v>0.947939667071417</v>
      </c>
      <c r="R130" s="39" t="n">
        <f aca="false">PR_PH(R$2,$A130)</f>
        <v>0.948900198951936</v>
      </c>
      <c r="S130" s="39" t="n">
        <f aca="false">PR_PH(S$2,$A130)</f>
        <v>0.949854542647391</v>
      </c>
      <c r="T130" s="39" t="n">
        <f aca="false">PR_PH(T$2,$A130)</f>
        <v>0.950803101777455</v>
      </c>
      <c r="U130" s="39" t="n">
        <f aca="false">PR_PH(U$2,$A130)</f>
        <v>0.951746191762173</v>
      </c>
      <c r="V130" s="39" t="n">
        <f aca="false">PR_PH(V$2,$A130)</f>
        <v>0.952684069494579</v>
      </c>
      <c r="W130" s="39" t="n">
        <f aca="false">PR_PH(W$2,$A130)</f>
        <v>0.953616950320252</v>
      </c>
      <c r="X130" s="39" t="n">
        <f aca="false">PR_PH(X$2,$A130)</f>
        <v>0.954545018646325</v>
      </c>
      <c r="Y130" s="39" t="n">
        <f aca="false">PR_PH(Y$2,$A130)</f>
        <v>0.963589134076598</v>
      </c>
      <c r="Z130" s="39" t="n">
        <f aca="false">PR_PH(Z$2,$A130)</f>
        <v>0.972259452700468</v>
      </c>
      <c r="AA130" s="39" t="n">
        <f aca="false">PR_PH(AA$2,$A130)</f>
        <v>0.980605346083991</v>
      </c>
      <c r="AB130" s="39" t="n">
        <f aca="false">PR_PH(AB$2,$A130)</f>
        <v>0.98865802639488</v>
      </c>
      <c r="AC130" s="39" t="n">
        <f aca="false">PR_PH(AC$2,$A130)</f>
        <v>0.99644068295984</v>
      </c>
      <c r="AD130" s="39" t="n">
        <f aca="false">PR_PH(AD$2,$A130)</f>
        <v>1.0039723507524</v>
      </c>
      <c r="AE130" s="39" t="n">
        <f aca="false">PR_PH(AE$2,$A130)</f>
        <v>1.01126965990919</v>
      </c>
      <c r="AF130" s="39" t="n">
        <f aca="false">PR_PH(AF$2,$A130)</f>
        <v>1.01834768761624</v>
      </c>
      <c r="AG130" s="39" t="n">
        <f aca="false">PR_PH(AG$2,$A130)</f>
        <v>1.02522038471444</v>
      </c>
      <c r="AH130" s="39" t="n">
        <f aca="false">PR_PH(AH$2,$A130)</f>
        <v>1.08514774829654</v>
      </c>
      <c r="AI130" s="39" t="n">
        <f aca="false">PR_PH(AI$2,$A130)</f>
        <v>1.134426404058</v>
      </c>
      <c r="AJ130" s="39" t="n">
        <f aca="false">PR_PH(AJ$2,$A130)</f>
        <v>1.17688226580437</v>
      </c>
      <c r="AK130" s="39" t="n">
        <f aca="false">PR_PH(AK$2,$A130)</f>
        <v>1.21397472051232</v>
      </c>
      <c r="AL130" s="39" t="n">
        <f aca="false">PR_PH(AL$2,$A130)</f>
        <v>1.24623275826366</v>
      </c>
      <c r="AM130" s="39" t="n">
        <f aca="false">PR_PH(AM$2,$A130)</f>
        <v>1.27401912093888</v>
      </c>
      <c r="AN130" s="39" t="n">
        <f aca="false">PR_PH(AN$2,$A130)</f>
        <v>1.29758123382073</v>
      </c>
      <c r="AO130" s="39" t="n">
        <f aca="false">PR_PH(AO$2,$A130)</f>
        <v>1.31712848483916</v>
      </c>
      <c r="AP130" s="39" t="n">
        <f aca="false">PR_PH(AP$2,$A130)</f>
        <v>1.33292427215404</v>
      </c>
      <c r="AQ130" s="39" t="n">
        <f aca="false">PR_PH(AQ$2,$A130)</f>
        <v>2015</v>
      </c>
    </row>
    <row r="131" customFormat="false" ht="13.8" hidden="false" customHeight="false" outlineLevel="0" collapsed="false">
      <c r="A131" s="0" t="n">
        <v>2910</v>
      </c>
      <c r="B131" s="39" t="n">
        <f aca="false">PR_PH(B$2,$A131)</f>
        <v>0.944513433134372</v>
      </c>
      <c r="C131" s="39" t="n">
        <f aca="false">PR_PH(C$2,$A131)</f>
        <v>0.944522620189144</v>
      </c>
      <c r="D131" s="39" t="n">
        <f aca="false">PR_PH(D$2,$A131)</f>
        <v>0.944531805756938</v>
      </c>
      <c r="E131" s="39" t="n">
        <f aca="false">PR_PH(E$2,$A131)</f>
        <v>0.94454098988254</v>
      </c>
      <c r="F131" s="39" t="n">
        <f aca="false">PR_PH(F$2,$A131)</f>
        <v>0.944550172604516</v>
      </c>
      <c r="G131" s="39" t="n">
        <f aca="false">PR_PH(G$2,$A131)</f>
        <v>0.944641928617018</v>
      </c>
      <c r="H131" s="39" t="n">
        <f aca="false">PR_PH(H$2,$A131)</f>
        <v>0.94473356755421</v>
      </c>
      <c r="I131" s="39" t="n">
        <f aca="false">PR_PH(I$2,$A131)</f>
        <v>0.944825100726832</v>
      </c>
      <c r="J131" s="39" t="n">
        <f aca="false">PR_PH(J$2,$A131)</f>
        <v>0.944916535493936</v>
      </c>
      <c r="K131" s="39" t="n">
        <f aca="false">PR_PH(K$2,$A131)</f>
        <v>0.945007877251796</v>
      </c>
      <c r="L131" s="39" t="n">
        <f aca="false">PR_PH(L$2,$A131)</f>
        <v>0.94509913022768</v>
      </c>
      <c r="M131" s="39" t="n">
        <f aca="false">PR_PH(M$2,$A131)</f>
        <v>0.945190297876712</v>
      </c>
      <c r="N131" s="39" t="n">
        <f aca="false">PR_PH(N$2,$A131)</f>
        <v>0.945281383108097</v>
      </c>
      <c r="O131" s="39" t="n">
        <f aca="false">PR_PH(O$2,$A131)</f>
        <v>0.945372388425892</v>
      </c>
      <c r="P131" s="39" t="n">
        <f aca="false">PR_PH(P$2,$A131)</f>
        <v>0.946278434920842</v>
      </c>
      <c r="Q131" s="39" t="n">
        <f aca="false">PR_PH(Q$2,$A131)</f>
        <v>0.947177999936842</v>
      </c>
      <c r="R131" s="39" t="n">
        <f aca="false">PR_PH(R$2,$A131)</f>
        <v>0.948071816703031</v>
      </c>
      <c r="S131" s="39" t="n">
        <f aca="false">PR_PH(S$2,$A131)</f>
        <v>0.948960361745204</v>
      </c>
      <c r="T131" s="39" t="n">
        <f aca="false">PR_PH(T$2,$A131)</f>
        <v>0.949843983527651</v>
      </c>
      <c r="U131" s="39" t="n">
        <f aca="false">PR_PH(U$2,$A131)</f>
        <v>0.950722953883983</v>
      </c>
      <c r="V131" s="39" t="n">
        <f aca="false">PR_PH(V$2,$A131)</f>
        <v>0.951597493810469</v>
      </c>
      <c r="W131" s="39" t="n">
        <f aca="false">PR_PH(W$2,$A131)</f>
        <v>0.952467788222345</v>
      </c>
      <c r="X131" s="39" t="n">
        <f aca="false">PR_PH(X$2,$A131)</f>
        <v>0.953333995171593</v>
      </c>
      <c r="Y131" s="39" t="n">
        <f aca="false">PR_PH(Y$2,$A131)</f>
        <v>0.961795217872113</v>
      </c>
      <c r="Z131" s="39" t="n">
        <f aca="false">PR_PH(Z$2,$A131)</f>
        <v>0.96993873754448</v>
      </c>
      <c r="AA131" s="39" t="n">
        <f aca="false">PR_PH(AA$2,$A131)</f>
        <v>0.977805361790617</v>
      </c>
      <c r="AB131" s="39" t="n">
        <f aca="false">PR_PH(AB$2,$A131)</f>
        <v>0.985420118057132</v>
      </c>
      <c r="AC131" s="39" t="n">
        <f aca="false">PR_PH(AC$2,$A131)</f>
        <v>0.992801095936943</v>
      </c>
      <c r="AD131" s="39" t="n">
        <f aca="false">PR_PH(AD$2,$A131)</f>
        <v>0.999962864027374</v>
      </c>
      <c r="AE131" s="39" t="n">
        <f aca="false">PR_PH(AE$2,$A131)</f>
        <v>1.00691804327455</v>
      </c>
      <c r="AF131" s="39" t="n">
        <f aca="false">PR_PH(AF$2,$A131)</f>
        <v>1.01367808790211</v>
      </c>
      <c r="AG131" s="39" t="n">
        <f aca="false">PR_PH(AG$2,$A131)</f>
        <v>1.02025368171935</v>
      </c>
      <c r="AH131" s="39" t="n">
        <f aca="false">PR_PH(AH$2,$A131)</f>
        <v>1.07786170157677</v>
      </c>
      <c r="AI131" s="39" t="n">
        <f aca="false">PR_PH(AI$2,$A131)</f>
        <v>1.12526988627498</v>
      </c>
      <c r="AJ131" s="39" t="n">
        <f aca="false">PR_PH(AJ$2,$A131)</f>
        <v>1.16608367261516</v>
      </c>
      <c r="AK131" s="39" t="n">
        <f aca="false">PR_PH(AK$2,$A131)</f>
        <v>1.20178446473583</v>
      </c>
      <c r="AL131" s="39" t="n">
        <f aca="false">PR_PH(AL$2,$A131)</f>
        <v>1.23290250196556</v>
      </c>
      <c r="AM131" s="39" t="n">
        <f aca="false">PR_PH(AM$2,$A131)</f>
        <v>1.25977029543541</v>
      </c>
      <c r="AN131" s="39" t="n">
        <f aca="false">PR_PH(AN$2,$A131)</f>
        <v>1.28261247133009</v>
      </c>
      <c r="AO131" s="39" t="n">
        <f aca="false">PR_PH(AO$2,$A131)</f>
        <v>1.30163708539741</v>
      </c>
      <c r="AP131" s="39" t="n">
        <f aca="false">PR_PH(AP$2,$A131)</f>
        <v>1.31714944019378</v>
      </c>
      <c r="AQ131" s="39" t="n">
        <f aca="false">PR_PH(AQ$2,$A131)</f>
        <v>2015</v>
      </c>
    </row>
    <row r="132" customFormat="false" ht="13.8" hidden="false" customHeight="false" outlineLevel="0" collapsed="false">
      <c r="A132" s="0" t="n">
        <v>2920</v>
      </c>
      <c r="B132" s="39" t="n">
        <f aca="false">PR_PH(B$2,$A132)</f>
        <v>0.943960003604147</v>
      </c>
      <c r="C132" s="39" t="n">
        <f aca="false">PR_PH(C$2,$A132)</f>
        <v>0.94396854385119</v>
      </c>
      <c r="D132" s="39" t="n">
        <f aca="false">PR_PH(D$2,$A132)</f>
        <v>0.943977082812457</v>
      </c>
      <c r="E132" s="39" t="n">
        <f aca="false">PR_PH(E$2,$A132)</f>
        <v>0.94398562052698</v>
      </c>
      <c r="F132" s="39" t="n">
        <f aca="false">PR_PH(F$2,$A132)</f>
        <v>0.943994157028392</v>
      </c>
      <c r="G132" s="39" t="n">
        <f aca="false">PR_PH(G$2,$A132)</f>
        <v>0.944079460544319</v>
      </c>
      <c r="H132" s="39" t="n">
        <f aca="false">PR_PH(H$2,$A132)</f>
        <v>0.944164663046378</v>
      </c>
      <c r="I132" s="39" t="n">
        <f aca="false">PR_PH(I$2,$A132)</f>
        <v>0.944249774391311</v>
      </c>
      <c r="J132" s="39" t="n">
        <f aca="false">PR_PH(J$2,$A132)</f>
        <v>0.94433480099088</v>
      </c>
      <c r="K132" s="39" t="n">
        <f aca="false">PR_PH(K$2,$A132)</f>
        <v>0.944419747545808</v>
      </c>
      <c r="L132" s="39" t="n">
        <f aca="false">PR_PH(L$2,$A132)</f>
        <v>0.944504617737812</v>
      </c>
      <c r="M132" s="39" t="n">
        <f aca="false">PR_PH(M$2,$A132)</f>
        <v>0.944589414575579</v>
      </c>
      <c r="N132" s="39" t="n">
        <f aca="false">PR_PH(N$2,$A132)</f>
        <v>0.944674140591953</v>
      </c>
      <c r="O132" s="39" t="n">
        <f aca="false">PR_PH(O$2,$A132)</f>
        <v>0.94475879796669</v>
      </c>
      <c r="P132" s="39" t="n">
        <f aca="false">PR_PH(P$2,$A132)</f>
        <v>0.945601934499337</v>
      </c>
      <c r="Q132" s="39" t="n">
        <f aca="false">PR_PH(Q$2,$A132)</f>
        <v>0.94643951999945</v>
      </c>
      <c r="R132" s="39" t="n">
        <f aca="false">PR_PH(R$2,$A132)</f>
        <v>0.947272191161925</v>
      </c>
      <c r="S132" s="39" t="n">
        <f aca="false">PR_PH(S$2,$A132)</f>
        <v>0.94810036110887</v>
      </c>
      <c r="T132" s="39" t="n">
        <f aca="false">PR_PH(T$2,$A132)</f>
        <v>0.94892433146609</v>
      </c>
      <c r="U132" s="39" t="n">
        <f aca="false">PR_PH(U$2,$A132)</f>
        <v>0.949744337159827</v>
      </c>
      <c r="V132" s="39" t="n">
        <f aca="false">PR_PH(V$2,$A132)</f>
        <v>0.950560568877887</v>
      </c>
      <c r="W132" s="39" t="n">
        <f aca="false">PR_PH(W$2,$A132)</f>
        <v>0.95137318591673</v>
      </c>
      <c r="X132" s="39" t="n">
        <f aca="false">PR_PH(X$2,$A132)</f>
        <v>0.952182324204948</v>
      </c>
      <c r="Y132" s="39" t="n">
        <f aca="false">PR_PH(Y$2,$A132)</f>
        <v>0.960102880512238</v>
      </c>
      <c r="Z132" s="39" t="n">
        <f aca="false">PR_PH(Z$2,$A132)</f>
        <v>0.967753059068114</v>
      </c>
      <c r="AA132" s="39" t="n">
        <f aca="false">PR_PH(AA$2,$A132)</f>
        <v>0.975166807404444</v>
      </c>
      <c r="AB132" s="39" t="n">
        <f aca="false">PR_PH(AB$2,$A132)</f>
        <v>0.982364332265022</v>
      </c>
      <c r="AC132" s="39" t="n">
        <f aca="false">PR_PH(AC$2,$A132)</f>
        <v>0.989359812698481</v>
      </c>
      <c r="AD132" s="39" t="n">
        <f aca="false">PR_PH(AD$2,$A132)</f>
        <v>0.996164407427028</v>
      </c>
      <c r="AE132" s="39" t="n">
        <f aca="false">PR_PH(AE$2,$A132)</f>
        <v>1.00278765924215</v>
      </c>
      <c r="AF132" s="39" t="n">
        <f aca="false">PR_PH(AF$2,$A132)</f>
        <v>1.00923820421511</v>
      </c>
      <c r="AG132" s="39" t="n">
        <f aca="false">PR_PH(AG$2,$A132)</f>
        <v>1.01552413805653</v>
      </c>
      <c r="AH132" s="39" t="n">
        <f aca="false">PR_PH(AH$2,$A132)</f>
        <v>1.07090471937015</v>
      </c>
      <c r="AI132" s="39" t="n">
        <f aca="false">PR_PH(AI$2,$A132)</f>
        <v>1.11658643933003</v>
      </c>
      <c r="AJ132" s="39" t="n">
        <f aca="false">PR_PH(AJ$2,$A132)</f>
        <v>1.15587698227519</v>
      </c>
      <c r="AK132" s="39" t="n">
        <f aca="false">PR_PH(AK$2,$A132)</f>
        <v>1.19025445074567</v>
      </c>
      <c r="AL132" s="39" t="n">
        <f aca="false">PR_PH(AL$2,$A132)</f>
        <v>1.22026251599268</v>
      </c>
      <c r="AM132" s="39" t="n">
        <f aca="false">PR_PH(AM$2,$A132)</f>
        <v>1.24622424367989</v>
      </c>
      <c r="AN132" s="39" t="n">
        <f aca="false">PR_PH(AN$2,$A132)</f>
        <v>1.26835591020746</v>
      </c>
      <c r="AO132" s="39" t="n">
        <f aca="false">PR_PH(AO$2,$A132)</f>
        <v>1.28687554189317</v>
      </c>
      <c r="AP132" s="39" t="n">
        <f aca="false">PR_PH(AP$2,$A132)</f>
        <v>1.30215162749091</v>
      </c>
      <c r="AQ132" s="39" t="n">
        <f aca="false">PR_PH(AQ$2,$A132)</f>
        <v>2015</v>
      </c>
    </row>
    <row r="133" customFormat="false" ht="13.8" hidden="false" customHeight="false" outlineLevel="0" collapsed="false">
      <c r="A133" s="0" t="n">
        <v>2930</v>
      </c>
      <c r="B133" s="39" t="n">
        <f aca="false">PR_PH(B$2,$A133)</f>
        <v>0.94341114470798</v>
      </c>
      <c r="C133" s="39" t="n">
        <f aca="false">PR_PH(C$2,$A133)</f>
        <v>0.943419094206888</v>
      </c>
      <c r="D133" s="39" t="n">
        <f aca="false">PR_PH(D$2,$A133)</f>
        <v>0.943427042591654</v>
      </c>
      <c r="E133" s="39" t="n">
        <f aca="false">PR_PH(E$2,$A133)</f>
        <v>0.94343498989636</v>
      </c>
      <c r="F133" s="39" t="n">
        <f aca="false">PR_PH(F$2,$A133)</f>
        <v>0.943442936150373</v>
      </c>
      <c r="G133" s="39" t="n">
        <f aca="false">PR_PH(G$2,$A133)</f>
        <v>0.943522345463034</v>
      </c>
      <c r="H133" s="39" t="n">
        <f aca="false">PR_PH(H$2,$A133)</f>
        <v>0.943601667428637</v>
      </c>
      <c r="I133" s="39" t="n">
        <f aca="false">PR_PH(I$2,$A133)</f>
        <v>0.943680910651759</v>
      </c>
      <c r="J133" s="39" t="n">
        <f aca="false">PR_PH(J$2,$A133)</f>
        <v>0.943760080728558</v>
      </c>
      <c r="K133" s="39" t="n">
        <f aca="false">PR_PH(K$2,$A133)</f>
        <v>0.943839181761103</v>
      </c>
      <c r="L133" s="39" t="n">
        <f aca="false">PR_PH(L$2,$A133)</f>
        <v>0.943918216961689</v>
      </c>
      <c r="M133" s="39" t="n">
        <f aca="false">PR_PH(M$2,$A133)</f>
        <v>0.943997188954951</v>
      </c>
      <c r="N133" s="39" t="n">
        <f aca="false">PR_PH(N$2,$A133)</f>
        <v>0.944076099950079</v>
      </c>
      <c r="O133" s="39" t="n">
        <f aca="false">PR_PH(O$2,$A133)</f>
        <v>0.944154951847992</v>
      </c>
      <c r="P133" s="39" t="n">
        <f aca="false">PR_PH(P$2,$A133)</f>
        <v>0.944940515180916</v>
      </c>
      <c r="Q133" s="39" t="n">
        <f aca="false">PR_PH(Q$2,$A133)</f>
        <v>0.945721313015295</v>
      </c>
      <c r="R133" s="39" t="n">
        <f aca="false">PR_PH(R$2,$A133)</f>
        <v>0.946497899383862</v>
      </c>
      <c r="S133" s="39" t="n">
        <f aca="false">PR_PH(S$2,$A133)</f>
        <v>0.947270633262922</v>
      </c>
      <c r="T133" s="39" t="n">
        <f aca="false">PR_PH(T$2,$A133)</f>
        <v>0.948039776384764</v>
      </c>
      <c r="U133" s="39" t="n">
        <f aca="false">PR_PH(U$2,$A133)</f>
        <v>0.948805532323615</v>
      </c>
      <c r="V133" s="39" t="n">
        <f aca="false">PR_PH(V$2,$A133)</f>
        <v>0.949568066089005</v>
      </c>
      <c r="W133" s="39" t="n">
        <f aca="false">PR_PH(W$2,$A133)</f>
        <v>0.950327515330269</v>
      </c>
      <c r="X133" s="39" t="n">
        <f aca="false">PR_PH(X$2,$A133)</f>
        <v>0.951083997332756</v>
      </c>
      <c r="Y133" s="39" t="n">
        <f aca="false">PR_PH(Y$2,$A133)</f>
        <v>0.958503232249057</v>
      </c>
      <c r="Z133" s="39" t="n">
        <f aca="false">PR_PH(Z$2,$A133)</f>
        <v>0.965692002803719</v>
      </c>
      <c r="AA133" s="39" t="n">
        <f aca="false">PR_PH(AA$2,$A133)</f>
        <v>0.972678727293886</v>
      </c>
      <c r="AB133" s="39" t="n">
        <f aca="false">PR_PH(AB$2,$A133)</f>
        <v>0.979479832954295</v>
      </c>
      <c r="AC133" s="39" t="n">
        <f aca="false">PR_PH(AC$2,$A133)</f>
        <v>0.986106488294242</v>
      </c>
      <c r="AD133" s="39" t="n">
        <f aca="false">PR_PH(AD$2,$A133)</f>
        <v>0.992567245632361</v>
      </c>
      <c r="AE133" s="39" t="n">
        <f aca="false">PR_PH(AE$2,$A133)</f>
        <v>0.998869289014107</v>
      </c>
      <c r="AF133" s="39" t="n">
        <f aca="false">PR_PH(AF$2,$A133)</f>
        <v>1.0050190740195</v>
      </c>
      <c r="AG133" s="39" t="n">
        <f aca="false">PR_PH(AG$2,$A133)</f>
        <v>1.01102266445144</v>
      </c>
      <c r="AH133" s="39" t="n">
        <f aca="false">PR_PH(AH$2,$A133)</f>
        <v>1.06424153737346</v>
      </c>
      <c r="AI133" s="39" t="n">
        <f aca="false">PR_PH(AI$2,$A133)</f>
        <v>1.10830231100328</v>
      </c>
      <c r="AJ133" s="39" t="n">
        <f aca="false">PR_PH(AJ$2,$A133)</f>
        <v>1.14617287972828</v>
      </c>
      <c r="AK133" s="39" t="n">
        <f aca="false">PR_PH(AK$2,$A133)</f>
        <v>1.17930003676438</v>
      </c>
      <c r="AL133" s="39" t="n">
        <f aca="false">PR_PH(AL$2,$A133)</f>
        <v>1.20824156738193</v>
      </c>
      <c r="AM133" s="39" t="n">
        <f aca="false">PR_PH(AM$2,$A133)</f>
        <v>1.23332357434015</v>
      </c>
      <c r="AN133" s="39" t="n">
        <f aca="false">PR_PH(AN$2,$A133)</f>
        <v>1.25476579398619</v>
      </c>
      <c r="AO133" s="39" t="n">
        <f aca="false">PR_PH(AO$2,$A133)</f>
        <v>1.27280937263132</v>
      </c>
      <c r="AP133" s="39" t="n">
        <f aca="false">PR_PH(AP$2,$A133)</f>
        <v>1.28791682443546</v>
      </c>
      <c r="AQ133" s="39" t="n">
        <f aca="false">PR_PH(AQ$2,$A133)</f>
        <v>2015</v>
      </c>
    </row>
    <row r="134" customFormat="false" ht="13.8" hidden="false" customHeight="false" outlineLevel="0" collapsed="false">
      <c r="A134" s="0" t="n">
        <v>2940</v>
      </c>
      <c r="B134" s="39" t="n">
        <f aca="false">PR_PH(B$2,$A134)</f>
        <v>0.942865743212076</v>
      </c>
      <c r="C134" s="39" t="n">
        <f aca="false">PR_PH(C$2,$A134)</f>
        <v>0.942873152532814</v>
      </c>
      <c r="D134" s="39" t="n">
        <f aca="false">PR_PH(D$2,$A134)</f>
        <v>0.942880560886091</v>
      </c>
      <c r="E134" s="39" t="n">
        <f aca="false">PR_PH(E$2,$A134)</f>
        <v>0.94288796830172</v>
      </c>
      <c r="F134" s="39" t="n">
        <f aca="false">PR_PH(F$2,$A134)</f>
        <v>0.942895374805384</v>
      </c>
      <c r="G134" s="39" t="n">
        <f aca="false">PR_PH(G$2,$A134)</f>
        <v>0.942969393673135</v>
      </c>
      <c r="H134" s="39" t="n">
        <f aca="false">PR_PH(H$2,$A134)</f>
        <v>0.943043336844671</v>
      </c>
      <c r="I134" s="39" t="n">
        <f aca="false">PR_PH(I$2,$A134)</f>
        <v>0.943117211844244</v>
      </c>
      <c r="J134" s="39" t="n">
        <f aca="false">PR_PH(J$2,$A134)</f>
        <v>0.943191023564567</v>
      </c>
      <c r="K134" s="39" t="n">
        <f aca="false">PR_PH(K$2,$A134)</f>
        <v>0.943264775591488</v>
      </c>
      <c r="L134" s="39" t="n">
        <f aca="false">PR_PH(L$2,$A134)</f>
        <v>0.943338470732626</v>
      </c>
      <c r="M134" s="39" t="n">
        <f aca="false">PR_PH(M$2,$A134)</f>
        <v>0.943412111281626</v>
      </c>
      <c r="N134" s="39" t="n">
        <f aca="false">PR_PH(N$2,$A134)</f>
        <v>0.9434856991688</v>
      </c>
      <c r="O134" s="39" t="n">
        <f aca="false">PR_PH(O$2,$A134)</f>
        <v>0.943559236054863</v>
      </c>
      <c r="P134" s="39" t="n">
        <f aca="false">PR_PH(P$2,$A134)</f>
        <v>0.944292057217276</v>
      </c>
      <c r="Q134" s="39" t="n">
        <f aca="false">PR_PH(Q$2,$A134)</f>
        <v>0.945020777182805</v>
      </c>
      <c r="R134" s="39" t="n">
        <f aca="false">PR_PH(R$2,$A134)</f>
        <v>0.945745879035674</v>
      </c>
      <c r="S134" s="39" t="n">
        <f aca="false">PR_PH(S$2,$A134)</f>
        <v>0.946467675392777</v>
      </c>
      <c r="T134" s="39" t="n">
        <f aca="false">PR_PH(T$2,$A134)</f>
        <v>0.94718639391174</v>
      </c>
      <c r="U134" s="39" t="n">
        <f aca="false">PR_PH(U$2,$A134)</f>
        <v>0.94790221145208</v>
      </c>
      <c r="V134" s="39" t="n">
        <f aca="false">PR_PH(V$2,$A134)</f>
        <v>0.948615271196128</v>
      </c>
      <c r="W134" s="39" t="n">
        <f aca="false">PR_PH(W$2,$A134)</f>
        <v>0.949325692437689</v>
      </c>
      <c r="X134" s="39" t="n">
        <f aca="false">PR_PH(X$2,$A134)</f>
        <v>0.95003357669301</v>
      </c>
      <c r="Y134" s="39" t="n">
        <f aca="false">PR_PH(Y$2,$A134)</f>
        <v>0.956988070194729</v>
      </c>
      <c r="Z134" s="39" t="n">
        <f aca="false">PR_PH(Z$2,$A134)</f>
        <v>0.963745757156269</v>
      </c>
      <c r="AA134" s="39" t="n">
        <f aca="false">PR_PH(AA$2,$A134)</f>
        <v>0.970330573764873</v>
      </c>
      <c r="AB134" s="39" t="n">
        <f aca="false">PR_PH(AB$2,$A134)</f>
        <v>0.976755969000246</v>
      </c>
      <c r="AC134" s="39" t="n">
        <f aca="false">PR_PH(AC$2,$A134)</f>
        <v>0.983030786800871</v>
      </c>
      <c r="AD134" s="39" t="n">
        <f aca="false">PR_PH(AD$2,$A134)</f>
        <v>0.989161586755522</v>
      </c>
      <c r="AE134" s="39" t="n">
        <f aca="false">PR_PH(AE$2,$A134)</f>
        <v>0.995153750064753</v>
      </c>
      <c r="AF134" s="39" t="n">
        <f aca="false">PR_PH(AF$2,$A134)</f>
        <v>1.00101205410135</v>
      </c>
      <c r="AG134" s="39" t="n">
        <f aca="false">PR_PH(AG$2,$A134)</f>
        <v>1.00674098017679</v>
      </c>
      <c r="AH134" s="39" t="n">
        <f aca="false">PR_PH(AH$2,$A134)</f>
        <v>1.05785054899264</v>
      </c>
      <c r="AI134" s="39" t="n">
        <f aca="false">PR_PH(AI$2,$A134)</f>
        <v>1.10036796224639</v>
      </c>
      <c r="AJ134" s="39" t="n">
        <f aca="false">PR_PH(AJ$2,$A134)</f>
        <v>1.13690612096408</v>
      </c>
      <c r="AK134" s="39" t="n">
        <f aca="false">PR_PH(AK$2,$A134)</f>
        <v>1.16885481596743</v>
      </c>
      <c r="AL134" s="39" t="n">
        <f aca="false">PR_PH(AL$2,$A134)</f>
        <v>1.19678030993432</v>
      </c>
      <c r="AM134" s="39" t="n">
        <f aca="false">PR_PH(AM$2,$A134)</f>
        <v>1.22101819767587</v>
      </c>
      <c r="AN134" s="39" t="n">
        <f aca="false">PR_PH(AN$2,$A134)</f>
        <v>1.24180137779268</v>
      </c>
      <c r="AO134" s="39" t="n">
        <f aca="false">PR_PH(AO$2,$A134)</f>
        <v>1.25940977308036</v>
      </c>
      <c r="AP134" s="39" t="n">
        <f aca="false">PR_PH(AP$2,$A134)</f>
        <v>1.27444481846113</v>
      </c>
      <c r="AQ134" s="39" t="n">
        <f aca="false">PR_PH(AQ$2,$A134)</f>
        <v>2015</v>
      </c>
    </row>
    <row r="135" customFormat="false" ht="13.8" hidden="false" customHeight="false" outlineLevel="0" collapsed="false">
      <c r="A135" s="0" t="n">
        <v>2950</v>
      </c>
      <c r="B135" s="39" t="n">
        <f aca="false">PR_PH(B$2,$A135)</f>
        <v>0.94232281603584</v>
      </c>
      <c r="C135" s="39" t="n">
        <f aca="false">PR_PH(C$2,$A135)</f>
        <v>0.942329730844828</v>
      </c>
      <c r="D135" s="39" t="n">
        <f aca="false">PR_PH(D$2,$A135)</f>
        <v>0.942336644811945</v>
      </c>
      <c r="E135" s="39" t="n">
        <f aca="false">PR_PH(E$2,$A135)</f>
        <v>0.942343557963318</v>
      </c>
      <c r="F135" s="39" t="n">
        <f aca="false">PR_PH(F$2,$A135)</f>
        <v>0.942350470321445</v>
      </c>
      <c r="G135" s="39" t="n">
        <f aca="false">PR_PH(G$2,$A135)</f>
        <v>0.942419553769008</v>
      </c>
      <c r="H135" s="39" t="n">
        <f aca="false">PR_PH(H$2,$A135)</f>
        <v>0.942488571471012</v>
      </c>
      <c r="I135" s="39" t="n">
        <f aca="false">PR_PH(I$2,$A135)</f>
        <v>0.942557530018047</v>
      </c>
      <c r="J135" s="39" t="n">
        <f aca="false">PR_PH(J$2,$A135)</f>
        <v>0.942626433695015</v>
      </c>
      <c r="K135" s="39" t="n">
        <f aca="false">PR_PH(K$2,$A135)</f>
        <v>0.942695285641851</v>
      </c>
      <c r="L135" s="39" t="n">
        <f aca="false">PR_PH(L$2,$A135)</f>
        <v>0.942764088316672</v>
      </c>
      <c r="M135" s="39" t="n">
        <f aca="false">PR_PH(M$2,$A135)</f>
        <v>0.942832843727335</v>
      </c>
      <c r="N135" s="39" t="n">
        <f aca="false">PR_PH(N$2,$A135)</f>
        <v>0.942901553563415</v>
      </c>
      <c r="O135" s="39" t="n">
        <f aca="false">PR_PH(O$2,$A135)</f>
        <v>0.942970219278327</v>
      </c>
      <c r="P135" s="39" t="n">
        <f aca="false">PR_PH(P$2,$A135)</f>
        <v>0.94365467492151</v>
      </c>
      <c r="Q135" s="39" t="n">
        <f aca="false">PR_PH(Q$2,$A135)</f>
        <v>0.944335592102518</v>
      </c>
      <c r="R135" s="39" t="n">
        <f aca="false">PR_PH(R$2,$A135)</f>
        <v>0.94501339287428</v>
      </c>
      <c r="S135" s="39" t="n">
        <f aca="false">PR_PH(S$2,$A135)</f>
        <v>0.945688350062292</v>
      </c>
      <c r="T135" s="39" t="n">
        <f aca="false">PR_PH(T$2,$A135)</f>
        <v>0.946360662140568</v>
      </c>
      <c r="U135" s="39" t="n">
        <f aca="false">PR_PH(U$2,$A135)</f>
        <v>0.947030483138305</v>
      </c>
      <c r="V135" s="39" t="n">
        <f aca="false">PR_PH(V$2,$A135)</f>
        <v>0.947697937625477</v>
      </c>
      <c r="W135" s="39" t="n">
        <f aca="false">PR_PH(W$2,$A135)</f>
        <v>0.948363129278915</v>
      </c>
      <c r="X135" s="39" t="n">
        <f aca="false">PR_PH(X$2,$A135)</f>
        <v>0.949026146229044</v>
      </c>
      <c r="Y135" s="39" t="n">
        <f aca="false">PR_PH(Y$2,$A135)</f>
        <v>0.955549845429568</v>
      </c>
      <c r="Z135" s="39" t="n">
        <f aca="false">PR_PH(Z$2,$A135)</f>
        <v>0.961905122186789</v>
      </c>
      <c r="AA135" s="39" t="n">
        <f aca="false">PR_PH(AA$2,$A135)</f>
        <v>0.968112259530198</v>
      </c>
      <c r="AB135" s="39" t="n">
        <f aca="false">PR_PH(AB$2,$A135)</f>
        <v>0.974182348719049</v>
      </c>
      <c r="AC135" s="39" t="n">
        <f aca="false">PR_PH(AC$2,$A135)</f>
        <v>0.980122434773483</v>
      </c>
      <c r="AD135" s="39" t="n">
        <f aca="false">PR_PH(AD$2,$A135)</f>
        <v>0.985937554796183</v>
      </c>
      <c r="AE135" s="39" t="n">
        <f aca="false">PR_PH(AE$2,$A135)</f>
        <v>0.991631716754064</v>
      </c>
      <c r="AF135" s="39" t="n">
        <f aca="false">PR_PH(AF$2,$A135)</f>
        <v>0.997208413861114</v>
      </c>
      <c r="AG135" s="39" t="n">
        <f aca="false">PR_PH(AG$2,$A135)</f>
        <v>1.00267090466383</v>
      </c>
      <c r="AH135" s="39" t="n">
        <f aca="false">PR_PH(AH$2,$A135)</f>
        <v>1.051718215595</v>
      </c>
      <c r="AI135" s="39" t="n">
        <f aca="false">PR_PH(AI$2,$A135)</f>
        <v>1.09275033370655</v>
      </c>
      <c r="AJ135" s="39" t="n">
        <f aca="false">PR_PH(AJ$2,$A135)</f>
        <v>1.12802926798097</v>
      </c>
      <c r="AK135" s="39" t="n">
        <f aca="false">PR_PH(AK$2,$A135)</f>
        <v>1.15886684274152</v>
      </c>
      <c r="AL135" s="39" t="n">
        <f aca="false">PR_PH(AL$2,$A135)</f>
        <v>1.18582945414037</v>
      </c>
      <c r="AM135" s="39" t="n">
        <f aca="false">PR_PH(AM$2,$A135)</f>
        <v>1.20926468863548</v>
      </c>
      <c r="AN135" s="39" t="n">
        <f aca="false">PR_PH(AN$2,$A135)</f>
        <v>1.22942708735208</v>
      </c>
      <c r="AO135" s="39" t="n">
        <f aca="false">PR_PH(AO$2,$A135)</f>
        <v>1.24665499149776</v>
      </c>
      <c r="AP135" s="39" t="n">
        <f aca="false">PR_PH(AP$2,$A135)</f>
        <v>1.26175575923251</v>
      </c>
      <c r="AQ135" s="39" t="n">
        <f aca="false">PR_PH(AQ$2,$A135)</f>
        <v>2015</v>
      </c>
    </row>
    <row r="136" customFormat="false" ht="13.8" hidden="false" customHeight="false" outlineLevel="0" collapsed="false">
      <c r="A136" s="0" t="n">
        <v>2960</v>
      </c>
      <c r="B136" s="39" t="n">
        <f aca="false">PR_PH(B$2,$A136)</f>
        <v>0.941781498403988</v>
      </c>
      <c r="C136" s="39" t="n">
        <f aca="false">PR_PH(C$2,$A136)</f>
        <v>0.94178795998297</v>
      </c>
      <c r="D136" s="39" t="n">
        <f aca="false">PR_PH(D$2,$A136)</f>
        <v>0.941794420827817</v>
      </c>
      <c r="E136" s="39" t="n">
        <f aca="false">PR_PH(E$2,$A136)</f>
        <v>0.941800880961446</v>
      </c>
      <c r="F136" s="39" t="n">
        <f aca="false">PR_PH(F$2,$A136)</f>
        <v>0.941807340403612</v>
      </c>
      <c r="G136" s="39" t="n">
        <f aca="false">PR_PH(G$2,$A136)</f>
        <v>0.941871899861361</v>
      </c>
      <c r="H136" s="39" t="n">
        <f aca="false">PR_PH(H$2,$A136)</f>
        <v>0.941936402087856</v>
      </c>
      <c r="I136" s="39" t="n">
        <f aca="false">PR_PH(I$2,$A136)</f>
        <v>0.942000852865421</v>
      </c>
      <c r="J136" s="39" t="n">
        <f aca="false">PR_PH(J$2,$A136)</f>
        <v>0.942065255952878</v>
      </c>
      <c r="K136" s="39" t="n">
        <f aca="false">PR_PH(K$2,$A136)</f>
        <v>0.942129614104285</v>
      </c>
      <c r="L136" s="39" t="n">
        <f aca="false">PR_PH(L$2,$A136)</f>
        <v>0.942193929475393</v>
      </c>
      <c r="M136" s="39" t="n">
        <f aca="false">PR_PH(M$2,$A136)</f>
        <v>0.942258203826858</v>
      </c>
      <c r="N136" s="39" t="n">
        <f aca="false">PR_PH(N$2,$A136)</f>
        <v>0.94232243864006</v>
      </c>
      <c r="O136" s="39" t="n">
        <f aca="false">PR_PH(O$2,$A136)</f>
        <v>0.942386635189177</v>
      </c>
      <c r="P136" s="39" t="n">
        <f aca="false">PR_PH(P$2,$A136)</f>
        <v>0.943026693484888</v>
      </c>
      <c r="Q136" s="39" t="n">
        <f aca="false">PR_PH(Q$2,$A136)</f>
        <v>0.943663690840391</v>
      </c>
      <c r="R136" s="39" t="n">
        <f aca="false">PR_PH(R$2,$A136)</f>
        <v>0.944297996694826</v>
      </c>
      <c r="S136" s="39" t="n">
        <f aca="false">PR_PH(S$2,$A136)</f>
        <v>0.944929849638297</v>
      </c>
      <c r="T136" s="39" t="n">
        <f aca="false">PR_PH(T$2,$A136)</f>
        <v>0.945559423085046</v>
      </c>
      <c r="U136" s="39" t="n">
        <f aca="false">PR_PH(U$2,$A136)</f>
        <v>0.946186851498543</v>
      </c>
      <c r="V136" s="39" t="n">
        <f aca="false">PR_PH(V$2,$A136)</f>
        <v>0.94681224352963</v>
      </c>
      <c r="W136" s="39" t="n">
        <f aca="false">PR_PH(W$2,$A136)</f>
        <v>0.947435689525111</v>
      </c>
      <c r="X136" s="39" t="n">
        <f aca="false">PR_PH(X$2,$A136)</f>
        <v>0.948057266213602</v>
      </c>
      <c r="Y136" s="39" t="n">
        <f aca="false">PR_PH(Y$2,$A136)</f>
        <v>0.954181627127078</v>
      </c>
      <c r="Z136" s="39" t="n">
        <f aca="false">PR_PH(Z$2,$A136)</f>
        <v>0.960161507407986</v>
      </c>
      <c r="AA136" s="39" t="n">
        <f aca="false">PR_PH(AA$2,$A136)</f>
        <v>0.96601419663833</v>
      </c>
      <c r="AB136" s="39" t="n">
        <f aca="false">PR_PH(AB$2,$A136)</f>
        <v>0.971748911326436</v>
      </c>
      <c r="AC136" s="39" t="n">
        <f aca="false">PR_PH(AC$2,$A136)</f>
        <v>0.97737130193662</v>
      </c>
      <c r="AD136" s="39" t="n">
        <f aca="false">PR_PH(AD$2,$A136)</f>
        <v>0.982885244174304</v>
      </c>
      <c r="AE136" s="39" t="n">
        <f aca="false">PR_PH(AE$2,$A136)</f>
        <v>0.988293704683196</v>
      </c>
      <c r="AF136" s="39" t="n">
        <f aca="false">PR_PH(AF$2,$A136)</f>
        <v>0.993599200623875</v>
      </c>
      <c r="AG136" s="39" t="n">
        <f aca="false">PR_PH(AG$2,$A136)</f>
        <v>0.998804053673315</v>
      </c>
      <c r="AH136" s="39" t="n">
        <f aca="false">PR_PH(AH$2,$A136)</f>
        <v>1.04583550295926</v>
      </c>
      <c r="AI136" s="39" t="n">
        <f aca="false">PR_PH(AI$2,$A136)</f>
        <v>1.08542734144332</v>
      </c>
      <c r="AJ136" s="39" t="n">
        <f aca="false">PR_PH(AJ$2,$A136)</f>
        <v>1.11950787123715</v>
      </c>
      <c r="AK136" s="39" t="n">
        <f aca="false">PR_PH(AK$2,$A136)</f>
        <v>1.14929555124606</v>
      </c>
      <c r="AL136" s="39" t="n">
        <f aca="false">PR_PH(AL$2,$A136)</f>
        <v>1.17534822840057</v>
      </c>
      <c r="AM136" s="39" t="n">
        <f aca="false">PR_PH(AM$2,$A136)</f>
        <v>1.19802580853788</v>
      </c>
      <c r="AN136" s="39" t="n">
        <f aca="false">PR_PH(AN$2,$A136)</f>
        <v>1.21761290734607</v>
      </c>
      <c r="AO136" s="39" t="n">
        <f aca="false">PR_PH(AO$2,$A136)</f>
        <v>1.23453253135057</v>
      </c>
      <c r="AP136" s="39" t="n">
        <f aca="false">PR_PH(AP$2,$A136)</f>
        <v>1.24990150800964</v>
      </c>
      <c r="AQ136" s="39" t="n">
        <f aca="false">PR_PH(AQ$2,$A136)</f>
        <v>2015</v>
      </c>
    </row>
    <row r="137" customFormat="false" ht="13.8" hidden="false" customHeight="false" outlineLevel="0" collapsed="false">
      <c r="A137" s="0" t="n">
        <v>2970</v>
      </c>
      <c r="B137" s="39" t="n">
        <f aca="false">PR_PH(B$2,$A137)</f>
        <v>0.941241033033137</v>
      </c>
      <c r="C137" s="39" t="n">
        <f aca="false">PR_PH(C$2,$A137)</f>
        <v>0.941247078739038</v>
      </c>
      <c r="D137" s="39" t="n">
        <f aca="false">PR_PH(D$2,$A137)</f>
        <v>0.941253123803371</v>
      </c>
      <c r="E137" s="39" t="n">
        <f aca="false">PR_PH(E$2,$A137)</f>
        <v>0.941259168246305</v>
      </c>
      <c r="F137" s="39" t="n">
        <f aca="false">PR_PH(F$2,$A137)</f>
        <v>0.94126521208519</v>
      </c>
      <c r="G137" s="39" t="n">
        <f aca="false">PR_PH(G$2,$A137)</f>
        <v>0.941325619946754</v>
      </c>
      <c r="H137" s="39" t="n">
        <f aca="false">PR_PH(H$2,$A137)</f>
        <v>0.941385977875879</v>
      </c>
      <c r="I137" s="39" t="n">
        <f aca="false">PR_PH(I$2,$A137)</f>
        <v>0.941446290953956</v>
      </c>
      <c r="J137" s="39" t="n">
        <f aca="false">PR_PH(J$2,$A137)</f>
        <v>0.941506562483731</v>
      </c>
      <c r="K137" s="39" t="n">
        <f aca="false">PR_PH(K$2,$A137)</f>
        <v>0.941566794884768</v>
      </c>
      <c r="L137" s="39" t="n">
        <f aca="false">PR_PH(L$2,$A137)</f>
        <v>0.941626990050773</v>
      </c>
      <c r="M137" s="39" t="n">
        <f aca="false">PR_PH(M$2,$A137)</f>
        <v>0.941687149528203</v>
      </c>
      <c r="N137" s="39" t="n">
        <f aca="false">PR_PH(N$2,$A137)</f>
        <v>0.941747274618083</v>
      </c>
      <c r="O137" s="39" t="n">
        <f aca="false">PR_PH(O$2,$A137)</f>
        <v>0.94180736643933</v>
      </c>
      <c r="P137" s="39" t="n">
        <f aca="false">PR_PH(P$2,$A137)</f>
        <v>0.942406628114042</v>
      </c>
      <c r="Q137" s="39" t="n">
        <f aca="false">PR_PH(Q$2,$A137)</f>
        <v>0.943003234777168</v>
      </c>
      <c r="R137" s="39" t="n">
        <f aca="false">PR_PH(R$2,$A137)</f>
        <v>0.943597510416051</v>
      </c>
      <c r="S137" s="39" t="n">
        <f aca="false">PR_PH(S$2,$A137)</f>
        <v>0.944189664098073</v>
      </c>
      <c r="T137" s="39" t="n">
        <f aca="false">PR_PH(T$2,$A137)</f>
        <v>0.944779847665055</v>
      </c>
      <c r="U137" s="39" t="n">
        <f aca="false">PR_PH(U$2,$A137)</f>
        <v>0.945368178767176</v>
      </c>
      <c r="V137" s="39" t="n">
        <f aca="false">PR_PH(V$2,$A137)</f>
        <v>0.945954752400093</v>
      </c>
      <c r="W137" s="39" t="n">
        <f aca="false">PR_PH(W$2,$A137)</f>
        <v>0.946539647497318</v>
      </c>
      <c r="X137" s="39" t="n">
        <f aca="false">PR_PH(X$2,$A137)</f>
        <v>0.947122931043524</v>
      </c>
      <c r="Y137" s="39" t="n">
        <f aca="false">PR_PH(Y$2,$A137)</f>
        <v>0.95287706506667</v>
      </c>
      <c r="Z137" s="39" t="n">
        <f aca="false">PR_PH(Z$2,$A137)</f>
        <v>0.958506920665496</v>
      </c>
      <c r="AA137" s="39" t="n">
        <f aca="false">PR_PH(AA$2,$A137)</f>
        <v>0.964027321494929</v>
      </c>
      <c r="AB137" s="39" t="n">
        <f aca="false">PR_PH(AB$2,$A137)</f>
        <v>0.969445986705462</v>
      </c>
      <c r="AC137" s="39" t="n">
        <f aca="false">PR_PH(AC$2,$A137)</f>
        <v>0.974767484069836</v>
      </c>
      <c r="AD137" s="39" t="n">
        <f aca="false">PR_PH(AD$2,$A137)</f>
        <v>0.979994805417476</v>
      </c>
      <c r="AE137" s="39" t="n">
        <f aca="false">PR_PH(AE$2,$A137)</f>
        <v>0.98513013223131</v>
      </c>
      <c r="AF137" s="39" t="n">
        <f aca="false">PR_PH(AF$2,$A137)</f>
        <v>0.990175245731767</v>
      </c>
      <c r="AG137" s="39" t="n">
        <f aca="false">PR_PH(AG$2,$A137)</f>
        <v>0.995131756588263</v>
      </c>
      <c r="AH137" s="39" t="n">
        <f aca="false">PR_PH(AH$2,$A137)</f>
        <v>1.04019566205524</v>
      </c>
      <c r="AI137" s="39" t="n">
        <f aca="false">PR_PH(AI$2,$A137)</f>
        <v>1.07838401884412</v>
      </c>
      <c r="AJ137" s="39" t="n">
        <f aca="false">PR_PH(AJ$2,$A137)</f>
        <v>1.11131681788187</v>
      </c>
      <c r="AK137" s="39" t="n">
        <f aca="false">PR_PH(AK$2,$A137)</f>
        <v>1.14010926124692</v>
      </c>
      <c r="AL137" s="39" t="n">
        <f aca="false">PR_PH(AL$2,$A137)</f>
        <v>1.16530307671789</v>
      </c>
      <c r="AM137" s="39" t="n">
        <f aca="false">PR_PH(AM$2,$A137)</f>
        <v>1.18727014647479</v>
      </c>
      <c r="AN137" s="39" t="n">
        <f aca="false">PR_PH(AN$2,$A137)</f>
        <v>1.20633503778662</v>
      </c>
      <c r="AO137" s="39" t="n">
        <f aca="false">PR_PH(AO$2,$A137)</f>
        <v>1.22304268455746</v>
      </c>
      <c r="AP137" s="39" t="n">
        <f aca="false">PR_PH(AP$2,$A137)</f>
        <v>1.23898589637876</v>
      </c>
      <c r="AQ137" s="39" t="n">
        <f aca="false">PR_PH(AQ$2,$A137)</f>
        <v>2015</v>
      </c>
    </row>
    <row r="138" customFormat="false" ht="13.8" hidden="false" customHeight="false" outlineLevel="0" collapsed="false">
      <c r="A138" s="0" t="n">
        <v>2980</v>
      </c>
      <c r="B138" s="39" t="n">
        <f aca="false">PR_PH(B$2,$A138)</f>
        <v>0.940700760256134</v>
      </c>
      <c r="C138" s="39" t="n">
        <f aca="false">PR_PH(C$2,$A138)</f>
        <v>0.940706423929038</v>
      </c>
      <c r="D138" s="39" t="n">
        <f aca="false">PR_PH(D$2,$A138)</f>
        <v>0.94071208704009</v>
      </c>
      <c r="E138" s="39" t="n">
        <f aca="false">PR_PH(E$2,$A138)</f>
        <v>0.940717749607027</v>
      </c>
      <c r="F138" s="39" t="n">
        <f aca="false">PR_PH(F$2,$A138)</f>
        <v>0.940723411645133</v>
      </c>
      <c r="G138" s="39" t="n">
        <f aca="false">PR_PH(G$2,$A138)</f>
        <v>0.940780005313446</v>
      </c>
      <c r="H138" s="39" t="n">
        <f aca="false">PR_PH(H$2,$A138)</f>
        <v>0.940836555317743</v>
      </c>
      <c r="I138" s="39" t="n">
        <f aca="false">PR_PH(I$2,$A138)</f>
        <v>0.940893066130633</v>
      </c>
      <c r="J138" s="39" t="n">
        <f aca="false">PR_PH(J$2,$A138)</f>
        <v>0.940949540658774</v>
      </c>
      <c r="K138" s="39" t="n">
        <f aca="false">PR_PH(K$2,$A138)</f>
        <v>0.941005981031314</v>
      </c>
      <c r="L138" s="39" t="n">
        <f aca="false">PR_PH(L$2,$A138)</f>
        <v>0.941062388914474</v>
      </c>
      <c r="M138" s="39" t="n">
        <f aca="false">PR_PH(M$2,$A138)</f>
        <v>0.941118765668798</v>
      </c>
      <c r="N138" s="39" t="n">
        <f aca="false">PR_PH(N$2,$A138)</f>
        <v>0.941175112438794</v>
      </c>
      <c r="O138" s="39" t="n">
        <f aca="false">PR_PH(O$2,$A138)</f>
        <v>0.941231430208665</v>
      </c>
      <c r="P138" s="39" t="n">
        <f aca="false">PR_PH(P$2,$A138)</f>
        <v>0.941793165242932</v>
      </c>
      <c r="Q138" s="39" t="n">
        <f aca="false">PR_PH(Q$2,$A138)</f>
        <v>0.942352590958318</v>
      </c>
      <c r="R138" s="39" t="n">
        <f aca="false">PR_PH(R$2,$A138)</f>
        <v>0.942909991998433</v>
      </c>
      <c r="S138" s="39" t="n">
        <f aca="false">PR_PH(S$2,$A138)</f>
        <v>0.943465551915697</v>
      </c>
      <c r="T138" s="39" t="n">
        <f aca="false">PR_PH(T$2,$A138)</f>
        <v>0.944019403937011</v>
      </c>
      <c r="U138" s="39" t="n">
        <f aca="false">PR_PH(U$2,$A138)</f>
        <v>0.944571651227061</v>
      </c>
      <c r="V138" s="39" t="n">
        <f aca="false">PR_PH(V$2,$A138)</f>
        <v>0.945122377035692</v>
      </c>
      <c r="W138" s="39" t="n">
        <f aca="false">PR_PH(W$2,$A138)</f>
        <v>0.945671650495152</v>
      </c>
      <c r="X138" s="39" t="n">
        <f aca="false">PR_PH(X$2,$A138)</f>
        <v>0.946219530236584</v>
      </c>
      <c r="Y138" s="39" t="n">
        <f aca="false">PR_PH(Y$2,$A138)</f>
        <v>0.951630351614059</v>
      </c>
      <c r="Z138" s="39" t="n">
        <f aca="false">PR_PH(Z$2,$A138)</f>
        <v>0.95693395016724</v>
      </c>
      <c r="AA138" s="39" t="n">
        <f aca="false">PR_PH(AA$2,$A138)</f>
        <v>0.962143107322308</v>
      </c>
      <c r="AB138" s="39" t="n">
        <f aca="false">PR_PH(AB$2,$A138)</f>
        <v>0.967264340735743</v>
      </c>
      <c r="AC138" s="39" t="n">
        <f aca="false">PR_PH(AC$2,$A138)</f>
        <v>0.972301376388711</v>
      </c>
      <c r="AD138" s="39" t="n">
        <f aca="false">PR_PH(AD$2,$A138)</f>
        <v>0.977256535483697</v>
      </c>
      <c r="AE138" s="39" t="n">
        <f aca="false">PR_PH(AE$2,$A138)</f>
        <v>0.982131411665082</v>
      </c>
      <c r="AF138" s="39" t="n">
        <f aca="false">PR_PH(AF$2,$A138)</f>
        <v>0.986927236651969</v>
      </c>
      <c r="AG138" s="39" t="n">
        <f aca="false">PR_PH(AG$2,$A138)</f>
        <v>0.991645087541193</v>
      </c>
      <c r="AH138" s="39" t="n">
        <f aca="false">PR_PH(AH$2,$A138)</f>
        <v>1.03479288923471</v>
      </c>
      <c r="AI138" s="39" t="n">
        <f aca="false">PR_PH(AI$2,$A138)</f>
        <v>1.07160985314433</v>
      </c>
      <c r="AJ138" s="39" t="n">
        <f aca="false">PR_PH(AJ$2,$A138)</f>
        <v>1.10343760131265</v>
      </c>
      <c r="AK138" s="39" t="n">
        <f aca="false">PR_PH(AK$2,$A138)</f>
        <v>1.13128318200207</v>
      </c>
      <c r="AL138" s="39" t="n">
        <f aca="false">PR_PH(AL$2,$A138)</f>
        <v>1.15566656836694</v>
      </c>
      <c r="AM138" s="39" t="n">
        <f aca="false">PR_PH(AM$2,$A138)</f>
        <v>1.17697189278241</v>
      </c>
      <c r="AN138" s="39" t="n">
        <f aca="false">PR_PH(AN$2,$A138)</f>
        <v>1.19557696384648</v>
      </c>
      <c r="AO138" s="39" t="n">
        <f aca="false">PR_PH(AO$2,$A138)</f>
        <v>1.2122043966071</v>
      </c>
      <c r="AP138" s="39" t="n">
        <f aca="false">PR_PH(AP$2,$A138)</f>
        <v>1.2292019110331</v>
      </c>
      <c r="AQ138" s="39" t="n">
        <f aca="false">PR_PH(AQ$2,$A138)</f>
        <v>2015</v>
      </c>
    </row>
    <row r="139" customFormat="false" ht="13.8" hidden="false" customHeight="false" outlineLevel="0" collapsed="false">
      <c r="A139" s="0" t="n">
        <v>2990</v>
      </c>
      <c r="B139" s="39" t="n">
        <f aca="false">PR_PH(B$2,$A139)</f>
        <v>0.940160108997602</v>
      </c>
      <c r="C139" s="39" t="n">
        <f aca="false">PR_PH(C$2,$A139)</f>
        <v>0.940165421323159</v>
      </c>
      <c r="D139" s="39" t="n">
        <f aca="false">PR_PH(D$2,$A139)</f>
        <v>0.940170733155606</v>
      </c>
      <c r="E139" s="39" t="n">
        <f aca="false">PR_PH(E$2,$A139)</f>
        <v>0.940176044510591</v>
      </c>
      <c r="F139" s="39" t="n">
        <f aca="false">PR_PH(F$2,$A139)</f>
        <v>0.940181355401581</v>
      </c>
      <c r="G139" s="39" t="n">
        <f aca="false">PR_PH(G$2,$A139)</f>
        <v>0.940234440884391</v>
      </c>
      <c r="H139" s="39" t="n">
        <f aca="false">PR_PH(H$2,$A139)</f>
        <v>0.94028748809671</v>
      </c>
      <c r="I139" s="39" t="n">
        <f aca="false">PR_PH(I$2,$A139)</f>
        <v>0.940340500981516</v>
      </c>
      <c r="J139" s="39" t="n">
        <f aca="false">PR_PH(J$2,$A139)</f>
        <v>0.940393482100958</v>
      </c>
      <c r="K139" s="39" t="n">
        <f aca="false">PR_PH(K$2,$A139)</f>
        <v>0.940446433331611</v>
      </c>
      <c r="L139" s="39" t="n">
        <f aca="false">PR_PH(L$2,$A139)</f>
        <v>0.940499356141894</v>
      </c>
      <c r="M139" s="39" t="n">
        <f aca="false">PR_PH(M$2,$A139)</f>
        <v>0.940552251730717</v>
      </c>
      <c r="N139" s="39" t="n">
        <f aca="false">PR_PH(N$2,$A139)</f>
        <v>0.940605121106522</v>
      </c>
      <c r="O139" s="39" t="n">
        <f aca="false">PR_PH(O$2,$A139)</f>
        <v>0.940657965136443</v>
      </c>
      <c r="P139" s="39" t="n">
        <f aca="false">PR_PH(P$2,$A139)</f>
        <v>0.94118514560128</v>
      </c>
      <c r="Q139" s="39" t="n">
        <f aca="false">PR_PH(Q$2,$A139)</f>
        <v>0.941710311688016</v>
      </c>
      <c r="R139" s="39" t="n">
        <f aca="false">PR_PH(R$2,$A139)</f>
        <v>0.94223371391749</v>
      </c>
      <c r="S139" s="39" t="n">
        <f aca="false">PR_PH(S$2,$A139)</f>
        <v>0.942755513744055</v>
      </c>
      <c r="T139" s="39" t="n">
        <f aca="false">PR_PH(T$2,$A139)</f>
        <v>0.943275828294716</v>
      </c>
      <c r="U139" s="39" t="n">
        <f aca="false">PR_PH(U$2,$A139)</f>
        <v>0.943794748223169</v>
      </c>
      <c r="V139" s="39" t="n">
        <f aca="false">PR_PH(V$2,$A139)</f>
        <v>0.944312346648902</v>
      </c>
      <c r="W139" s="39" t="n">
        <f aca="false">PR_PH(W$2,$A139)</f>
        <v>0.94482868426321</v>
      </c>
      <c r="X139" s="39" t="n">
        <f aca="false">PR_PH(X$2,$A139)</f>
        <v>0.945343812513964</v>
      </c>
      <c r="Y139" s="39" t="n">
        <f aca="false">PR_PH(Y$2,$A139)</f>
        <v>0.950436183992644</v>
      </c>
      <c r="Z139" s="39" t="n">
        <f aca="false">PR_PH(Z$2,$A139)</f>
        <v>0.955435741508696</v>
      </c>
      <c r="AA139" s="39" t="n">
        <f aca="false">PR_PH(AA$2,$A139)</f>
        <v>0.960353566039833</v>
      </c>
      <c r="AB139" s="39" t="n">
        <f aca="false">PR_PH(AB$2,$A139)</f>
        <v>0.965195206361542</v>
      </c>
      <c r="AC139" s="39" t="n">
        <f aca="false">PR_PH(AC$2,$A139)</f>
        <v>0.969963732889698</v>
      </c>
      <c r="AD139" s="39" t="n">
        <f aca="false">PR_PH(AD$2,$A139)</f>
        <v>0.974660959861808</v>
      </c>
      <c r="AE139" s="39" t="n">
        <f aca="false">PR_PH(AE$2,$A139)</f>
        <v>0.97928804464454</v>
      </c>
      <c r="AF139" s="39" t="n">
        <f aca="false">PR_PH(AF$2,$A139)</f>
        <v>0.983845813593846</v>
      </c>
      <c r="AG139" s="39" t="n">
        <f aca="false">PR_PH(AG$2,$A139)</f>
        <v>0.988334948825974</v>
      </c>
      <c r="AH139" s="39" t="n">
        <f aca="false">PR_PH(AH$2,$A139)</f>
        <v>1.02962155384087</v>
      </c>
      <c r="AI139" s="39" t="n">
        <f aca="false">PR_PH(AI$2,$A139)</f>
        <v>1.06509697723661</v>
      </c>
      <c r="AJ139" s="39" t="n">
        <f aca="false">PR_PH(AJ$2,$A139)</f>
        <v>1.09585630776298</v>
      </c>
      <c r="AK139" s="39" t="n">
        <f aca="false">PR_PH(AK$2,$A139)</f>
        <v>1.12279783738149</v>
      </c>
      <c r="AL139" s="39" t="n">
        <f aca="false">PR_PH(AL$2,$A139)</f>
        <v>1.14641651233978</v>
      </c>
      <c r="AM139" s="39" t="n">
        <f aca="false">PR_PH(AM$2,$A139)</f>
        <v>1.16711079795208</v>
      </c>
      <c r="AN139" s="39" t="n">
        <f aca="false">PR_PH(AN$2,$A139)</f>
        <v>1.18533122974055</v>
      </c>
      <c r="AO139" s="39" t="n">
        <f aca="false">PR_PH(AO$2,$A139)</f>
        <v>1.2020653910791</v>
      </c>
      <c r="AP139" s="39" t="n">
        <f aca="false">PR_PH(AP$2,$A139)</f>
        <v>1.22089851223635</v>
      </c>
      <c r="AQ139" s="39" t="n">
        <f aca="false">PR_PH(AQ$2,$A139)</f>
        <v>2015</v>
      </c>
    </row>
    <row r="140" customFormat="false" ht="13.8" hidden="false" customHeight="false" outlineLevel="0" collapsed="false">
      <c r="A140" s="0" t="n">
        <v>3000</v>
      </c>
      <c r="B140" s="39" t="n">
        <f aca="false">PR_PH(B$2,$A140)</f>
        <v>0.939618588523185</v>
      </c>
      <c r="C140" s="39" t="n">
        <f aca="false">PR_PH(C$2,$A140)</f>
        <v>0.939623577354792</v>
      </c>
      <c r="D140" s="39" t="n">
        <f aca="false">PR_PH(D$2,$A140)</f>
        <v>0.939628565752689</v>
      </c>
      <c r="E140" s="39" t="n">
        <f aca="false">PR_PH(E$2,$A140)</f>
        <v>0.939633553730694</v>
      </c>
      <c r="F140" s="39" t="n">
        <f aca="false">PR_PH(F$2,$A140)</f>
        <v>0.93963854130071</v>
      </c>
      <c r="G140" s="39" t="n">
        <f aca="false">PR_PH(G$2,$A140)</f>
        <v>0.939688396409049</v>
      </c>
      <c r="H140" s="39" t="n">
        <f aca="false">PR_PH(H$2,$A140)</f>
        <v>0.939738217896288</v>
      </c>
      <c r="I140" s="39" t="n">
        <f aca="false">PR_PH(I$2,$A140)</f>
        <v>0.939788009243934</v>
      </c>
      <c r="J140" s="39" t="n">
        <f aca="false">PR_PH(J$2,$A140)</f>
        <v>0.939837772713998</v>
      </c>
      <c r="K140" s="39" t="n">
        <f aca="false">PR_PH(K$2,$A140)</f>
        <v>0.939887509963058</v>
      </c>
      <c r="L140" s="39" t="n">
        <f aca="false">PR_PH(L$2,$A140)</f>
        <v>0.939937222287255</v>
      </c>
      <c r="M140" s="39" t="n">
        <f aca="false">PR_PH(M$2,$A140)</f>
        <v>0.939986910744747</v>
      </c>
      <c r="N140" s="39" t="n">
        <f aca="false">PR_PH(N$2,$A140)</f>
        <v>0.940036576225516</v>
      </c>
      <c r="O140" s="39" t="n">
        <f aca="false">PR_PH(O$2,$A140)</f>
        <v>0.940086219494761</v>
      </c>
      <c r="P140" s="39" t="n">
        <f aca="false">PR_PH(P$2,$A140)</f>
        <v>0.940581548945417</v>
      </c>
      <c r="Q140" s="39" t="n">
        <f aca="false">PR_PH(Q$2,$A140)</f>
        <v>0.941075116136973</v>
      </c>
      <c r="R140" s="39" t="n">
        <f aca="false">PR_PH(R$2,$A140)</f>
        <v>0.941567141940031</v>
      </c>
      <c r="S140" s="39" t="n">
        <f aca="false">PR_PH(S$2,$A140)</f>
        <v>0.942057768630996</v>
      </c>
      <c r="T140" s="39" t="n">
        <f aca="false">PR_PH(T$2,$A140)</f>
        <v>0.942547099381413</v>
      </c>
      <c r="U140" s="39" t="n">
        <f aca="false">PR_PH(U$2,$A140)</f>
        <v>0.943035214013594</v>
      </c>
      <c r="V140" s="39" t="n">
        <f aca="false">PR_PH(V$2,$A140)</f>
        <v>0.943522176887583</v>
      </c>
      <c r="W140" s="39" t="n">
        <f aca="false">PR_PH(W$2,$A140)</f>
        <v>0.944008041405394</v>
      </c>
      <c r="X140" s="39" t="n">
        <f aca="false">PR_PH(X$2,$A140)</f>
        <v>0.944492852819941</v>
      </c>
      <c r="Y140" s="39" t="n">
        <f aca="false">PR_PH(Y$2,$A140)</f>
        <v>0.949289727453728</v>
      </c>
      <c r="Z140" s="39" t="n">
        <f aca="false">PR_PH(Z$2,$A140)</f>
        <v>0.954005971258602</v>
      </c>
      <c r="AA140" s="39" t="n">
        <f aca="false">PR_PH(AA$2,$A140)</f>
        <v>0.95865124165045</v>
      </c>
      <c r="AB140" s="39" t="n">
        <f aca="false">PR_PH(AB$2,$A140)</f>
        <v>0.963230301897581</v>
      </c>
      <c r="AC140" s="39" t="n">
        <f aca="false">PR_PH(AC$2,$A140)</f>
        <v>0.967745710838316</v>
      </c>
      <c r="AD140" s="39" t="n">
        <f aca="false">PR_PH(AD$2,$A140)</f>
        <v>0.97219890108287</v>
      </c>
      <c r="AE140" s="39" t="n">
        <f aca="false">PR_PH(AE$2,$A140)</f>
        <v>0.976590709681272</v>
      </c>
      <c r="AF140" s="39" t="n">
        <f aca="false">PR_PH(AF$2,$A140)</f>
        <v>0.980921668487254</v>
      </c>
      <c r="AG140" s="39" t="n">
        <f aca="false">PR_PH(AG$2,$A140)</f>
        <v>0.985192172216076</v>
      </c>
      <c r="AH140" s="39" t="n">
        <f aca="false">PR_PH(AH$2,$A140)</f>
        <v>1.02467578647415</v>
      </c>
      <c r="AI140" s="39" t="n">
        <f aca="false">PR_PH(AI$2,$A140)</f>
        <v>1.05883896732851</v>
      </c>
      <c r="AJ140" s="39" t="n">
        <f aca="false">PR_PH(AJ$2,$A140)</f>
        <v>1.08856215423429</v>
      </c>
      <c r="AK140" s="39" t="n">
        <f aca="false">PR_PH(AK$2,$A140)</f>
        <v>1.11463784684729</v>
      </c>
      <c r="AL140" s="39" t="n">
        <f aca="false">PR_PH(AL$2,$A140)</f>
        <v>1.13753528166459</v>
      </c>
      <c r="AM140" s="39" t="n">
        <f aca="false">PR_PH(AM$2,$A140)</f>
        <v>1.15767241571389</v>
      </c>
      <c r="AN140" s="39" t="n">
        <f aca="false">PR_PH(AN$2,$A140)</f>
        <v>1.17560244823091</v>
      </c>
      <c r="AO140" s="39" t="n">
        <f aca="false">PR_PH(AO$2,$A140)</f>
        <v>1.19272022406232</v>
      </c>
      <c r="AP140" s="39" t="n">
        <f aca="false">PR_PH(AP$2,$A140)</f>
        <v>1.2146642623426</v>
      </c>
      <c r="AQ140" s="39" t="n">
        <f aca="false">PR_PH(AQ$2,$A140)</f>
        <v>2015</v>
      </c>
    </row>
    <row r="141" customFormat="false" ht="13.8" hidden="false" customHeight="false" outlineLevel="0" collapsed="false">
      <c r="A141" s="0" t="n">
        <v>3010</v>
      </c>
      <c r="B141" s="39" t="n">
        <f aca="false">PR_PH(B$2,$A141)</f>
        <v>0.939075780892884</v>
      </c>
      <c r="C141" s="39" t="n">
        <f aca="false">PR_PH(C$2,$A141)</f>
        <v>0.939080471538463</v>
      </c>
      <c r="D141" s="39" t="n">
        <f aca="false">PR_PH(D$2,$A141)</f>
        <v>0.939085161801755</v>
      </c>
      <c r="E141" s="39" t="n">
        <f aca="false">PR_PH(E$2,$A141)</f>
        <v>0.939089851694975</v>
      </c>
      <c r="F141" s="39" t="n">
        <f aca="false">PR_PH(F$2,$A141)</f>
        <v>0.939094541228656</v>
      </c>
      <c r="G141" s="39" t="n">
        <f aca="false">PR_PH(G$2,$A141)</f>
        <v>0.939141418424908</v>
      </c>
      <c r="H141" s="39" t="n">
        <f aca="false">PR_PH(H$2,$A141)</f>
        <v>0.939188266015508</v>
      </c>
      <c r="I141" s="39" t="n">
        <f aca="false">PR_PH(I$2,$A141)</f>
        <v>0.939235087079246</v>
      </c>
      <c r="J141" s="39" t="n">
        <f aca="false">PR_PH(J$2,$A141)</f>
        <v>0.939281883616261</v>
      </c>
      <c r="K141" s="39" t="n">
        <f aca="false">PR_PH(K$2,$A141)</f>
        <v>0.939328657091197</v>
      </c>
      <c r="L141" s="39" t="n">
        <f aca="false">PR_PH(L$2,$A141)</f>
        <v>0.939375408649926</v>
      </c>
      <c r="M141" s="39" t="n">
        <f aca="false">PR_PH(M$2,$A141)</f>
        <v>0.939422139227849</v>
      </c>
      <c r="N141" s="39" t="n">
        <f aca="false">PR_PH(N$2,$A141)</f>
        <v>0.939468849611627</v>
      </c>
      <c r="O141" s="39" t="n">
        <f aca="false">PR_PH(O$2,$A141)</f>
        <v>0.939515540477593</v>
      </c>
      <c r="P141" s="39" t="n">
        <f aca="false">PR_PH(P$2,$A141)</f>
        <v>0.939981480278908</v>
      </c>
      <c r="Q141" s="39" t="n">
        <f aca="false">PR_PH(Q$2,$A141)</f>
        <v>0.940445873758109</v>
      </c>
      <c r="R141" s="39" t="n">
        <f aca="false">PR_PH(R$2,$A141)</f>
        <v>0.940908915974974</v>
      </c>
      <c r="S141" s="39" t="n">
        <f aca="false">PR_PH(S$2,$A141)</f>
        <v>0.941370732529425</v>
      </c>
      <c r="T141" s="39" t="n">
        <f aca="false">PR_PH(T$2,$A141)</f>
        <v>0.941831414470607</v>
      </c>
      <c r="U141" s="39" t="n">
        <f aca="false">PR_PH(U$2,$A141)</f>
        <v>0.942291032222114</v>
      </c>
      <c r="V141" s="39" t="n">
        <f aca="false">PR_PH(V$2,$A141)</f>
        <v>0.94274964255142</v>
      </c>
      <c r="W141" s="39" t="n">
        <f aca="false">PR_PH(W$2,$A141)</f>
        <v>0.943207292549323</v>
      </c>
      <c r="X141" s="39" t="n">
        <f aca="false">PR_PH(X$2,$A141)</f>
        <v>0.943664022111214</v>
      </c>
      <c r="Y141" s="39" t="n">
        <f aca="false">PR_PH(Y$2,$A141)</f>
        <v>0.94818657977823</v>
      </c>
      <c r="Z141" s="39" t="n">
        <f aca="false">PR_PH(Z$2,$A141)</f>
        <v>0.952638818382303</v>
      </c>
      <c r="AA141" s="39" t="n">
        <f aca="false">PR_PH(AA$2,$A141)</f>
        <v>0.957029197071176</v>
      </c>
      <c r="AB141" s="39" t="n">
        <f aca="false">PR_PH(AB$2,$A141)</f>
        <v>0.961361838549085</v>
      </c>
      <c r="AC141" s="39" t="n">
        <f aca="false">PR_PH(AC$2,$A141)</f>
        <v>0.965638901382594</v>
      </c>
      <c r="AD141" s="39" t="n">
        <f aca="false">PR_PH(AD$2,$A141)</f>
        <v>0.969861532258001</v>
      </c>
      <c r="AE141" s="39" t="n">
        <f aca="false">PR_PH(AE$2,$A141)</f>
        <v>0.974030336194814</v>
      </c>
      <c r="AF141" s="39" t="n">
        <f aca="false">PR_PH(AF$2,$A141)</f>
        <v>0.97814563528589</v>
      </c>
      <c r="AG141" s="39" t="n">
        <f aca="false">PR_PH(AG$2,$A141)</f>
        <v>0.982207619770108</v>
      </c>
      <c r="AH141" s="39" t="n">
        <f aca="false">PR_PH(AH$2,$A141)</f>
        <v>1.01994929229333</v>
      </c>
      <c r="AI141" s="39" t="n">
        <f aca="false">PR_PH(AI$2,$A141)</f>
        <v>1.05283006598563</v>
      </c>
      <c r="AJ141" s="39" t="n">
        <f aca="false">PR_PH(AJ$2,$A141)</f>
        <v>1.08154644680966</v>
      </c>
      <c r="AK141" s="39" t="n">
        <f aca="false">PR_PH(AK$2,$A141)</f>
        <v>1.10679100866598</v>
      </c>
      <c r="AL141" s="39" t="n">
        <f aca="false">PR_PH(AL$2,$A141)</f>
        <v>1.12900936621415</v>
      </c>
      <c r="AM141" s="39" t="n">
        <f aca="false">PR_PH(AM$2,$A141)</f>
        <v>1.14864879694511</v>
      </c>
      <c r="AN141" s="39" t="n">
        <f aca="false">PR_PH(AN$2,$A141)</f>
        <v>1.1664125178117</v>
      </c>
      <c r="AO141" s="39" t="n">
        <f aca="false">PR_PH(AO$2,$A141)</f>
        <v>1.18434263205115</v>
      </c>
      <c r="AP141" s="39" t="n">
        <f aca="false">PR_PH(AP$2,$A141)</f>
        <v>1.2109285776481</v>
      </c>
      <c r="AQ141" s="39" t="n">
        <f aca="false">PR_PH(AQ$2,$A141)</f>
        <v>2015</v>
      </c>
    </row>
    <row r="142" customFormat="false" ht="13.8" hidden="false" customHeight="false" outlineLevel="0" collapsed="false">
      <c r="A142" s="0" t="n">
        <v>3020</v>
      </c>
      <c r="B142" s="39" t="n">
        <f aca="false">PR_PH(B$2,$A142)</f>
        <v>0.938531334055876</v>
      </c>
      <c r="C142" s="39" t="n">
        <f aca="false">PR_PH(C$2,$A142)</f>
        <v>0.938535749533381</v>
      </c>
      <c r="D142" s="39" t="n">
        <f aca="false">PR_PH(D$2,$A142)</f>
        <v>0.93854016467319</v>
      </c>
      <c r="E142" s="39" t="n">
        <f aca="false">PR_PH(E$2,$A142)</f>
        <v>0.938544579486122</v>
      </c>
      <c r="F142" s="39" t="n">
        <f aca="false">PR_PH(F$2,$A142)</f>
        <v>0.938548993981511</v>
      </c>
      <c r="G142" s="39" t="n">
        <f aca="false">PR_PH(G$2,$A142)</f>
        <v>0.938593122917996</v>
      </c>
      <c r="H142" s="39" t="n">
        <f aca="false">PR_PH(H$2,$A142)</f>
        <v>0.938637225723297</v>
      </c>
      <c r="I142" s="39" t="n">
        <f aca="false">PR_PH(I$2,$A142)</f>
        <v>0.938681305124262</v>
      </c>
      <c r="J142" s="39" t="n">
        <f aca="false">PR_PH(J$2,$A142)</f>
        <v>0.938725362892176</v>
      </c>
      <c r="K142" s="39" t="n">
        <f aca="false">PR_PH(K$2,$A142)</f>
        <v>0.938769400324001</v>
      </c>
      <c r="L142" s="39" t="n">
        <f aca="false">PR_PH(L$2,$A142)</f>
        <v>0.938813418434317</v>
      </c>
      <c r="M142" s="39" t="n">
        <f aca="false">PR_PH(M$2,$A142)</f>
        <v>0.938857418051291</v>
      </c>
      <c r="N142" s="39" t="n">
        <f aca="false">PR_PH(N$2,$A142)</f>
        <v>0.938901399871357</v>
      </c>
      <c r="O142" s="39" t="n">
        <f aca="false">PR_PH(O$2,$A142)</f>
        <v>0.938945364493219</v>
      </c>
      <c r="P142" s="39" t="n">
        <f aca="false">PR_PH(P$2,$A142)</f>
        <v>0.939384157409574</v>
      </c>
      <c r="Q142" s="39" t="n">
        <f aca="false">PR_PH(Q$2,$A142)</f>
        <v>0.939821589325402</v>
      </c>
      <c r="R142" s="39" t="n">
        <f aca="false">PR_PH(R$2,$A142)</f>
        <v>0.94025783279238</v>
      </c>
      <c r="S142" s="39" t="n">
        <f aca="false">PR_PH(S$2,$A142)</f>
        <v>0.940692998881547</v>
      </c>
      <c r="T142" s="39" t="n">
        <f aca="false">PR_PH(T$2,$A142)</f>
        <v>0.941127168090426</v>
      </c>
      <c r="U142" s="39" t="n">
        <f aca="false">PR_PH(U$2,$A142)</f>
        <v>0.941560402669203</v>
      </c>
      <c r="V142" s="39" t="n">
        <f aca="false">PR_PH(V$2,$A142)</f>
        <v>0.941992752788755</v>
      </c>
      <c r="W142" s="39" t="n">
        <f aca="false">PR_PH(W$2,$A142)</f>
        <v>0.942424260061802</v>
      </c>
      <c r="X142" s="39" t="n">
        <f aca="false">PR_PH(X$2,$A142)</f>
        <v>0.942854959738109</v>
      </c>
      <c r="Y142" s="39" t="n">
        <f aca="false">PR_PH(Y$2,$A142)</f>
        <v>0.94712273740335</v>
      </c>
      <c r="Z142" s="39" t="n">
        <f aca="false">PR_PH(Z$2,$A142)</f>
        <v>0.951328934518311</v>
      </c>
      <c r="AA142" s="39" t="n">
        <f aca="false">PR_PH(AA$2,$A142)</f>
        <v>0.955480996098614</v>
      </c>
      <c r="AB142" s="39" t="n">
        <f aca="false">PR_PH(AB$2,$A142)</f>
        <v>0.959582519173477</v>
      </c>
      <c r="AC142" s="39" t="n">
        <f aca="false">PR_PH(AC$2,$A142)</f>
        <v>0.963635348041715</v>
      </c>
      <c r="AD142" s="39" t="n">
        <f aca="false">PR_PH(AD$2,$A142)</f>
        <v>0.967640416268462</v>
      </c>
      <c r="AE142" s="39" t="n">
        <f aca="false">PR_PH(AE$2,$A142)</f>
        <v>0.97159816365163</v>
      </c>
      <c r="AF142" s="39" t="n">
        <f aca="false">PR_PH(AF$2,$A142)</f>
        <v>0.975508766822914</v>
      </c>
      <c r="AG142" s="39" t="n">
        <f aca="false">PR_PH(AG$2,$A142)</f>
        <v>0.979372274954659</v>
      </c>
      <c r="AH142" s="39" t="n">
        <f aca="false">PR_PH(AH$2,$A142)</f>
        <v>1.01543530120502</v>
      </c>
      <c r="AI142" s="39" t="n">
        <f aca="false">PR_PH(AI$2,$A142)</f>
        <v>1.04706470158006</v>
      </c>
      <c r="AJ142" s="39" t="n">
        <f aca="false">PR_PH(AJ$2,$A142)</f>
        <v>1.07480185833193</v>
      </c>
      <c r="AK142" s="39" t="n">
        <f aca="false">PR_PH(AK$2,$A142)</f>
        <v>1.09924764455469</v>
      </c>
      <c r="AL142" s="39" t="n">
        <f aca="false">PR_PH(AL$2,$A142)</f>
        <v>1.12082919329217</v>
      </c>
      <c r="AM142" s="39" t="n">
        <f aca="false">PR_PH(AM$2,$A142)</f>
        <v>1.14003991951867</v>
      </c>
      <c r="AN142" s="39" t="n">
        <f aca="false">PR_PH(AN$2,$A142)</f>
        <v>1.15780983340589</v>
      </c>
      <c r="AO142" s="39" t="n">
        <f aca="false">PR_PH(AO$2,$A142)</f>
        <v>1.17723650048582</v>
      </c>
      <c r="AP142" s="39" t="n">
        <f aca="false">PR_PH(AP$2,$A142)</f>
        <v>1.19918966632851</v>
      </c>
      <c r="AQ142" s="39" t="n">
        <f aca="false">PR_PH(AQ$2,$A142)</f>
        <v>2015</v>
      </c>
    </row>
    <row r="143" customFormat="false" ht="13.8" hidden="false" customHeight="false" outlineLevel="0" collapsed="false">
      <c r="A143" s="0" t="n">
        <v>3030</v>
      </c>
      <c r="B143" s="39" t="n">
        <f aca="false">PR_PH(B$2,$A143)</f>
        <v>0.937984955530466</v>
      </c>
      <c r="C143" s="39" t="n">
        <f aca="false">PR_PH(C$2,$A143)</f>
        <v>0.937989116795746</v>
      </c>
      <c r="D143" s="39" t="n">
        <f aca="false">PR_PH(D$2,$A143)</f>
        <v>0.93799327776207</v>
      </c>
      <c r="E143" s="39" t="n">
        <f aca="false">PR_PH(E$2,$A143)</f>
        <v>0.937997438439035</v>
      </c>
      <c r="F143" s="39" t="n">
        <f aca="false">PR_PH(F$2,$A143)</f>
        <v>0.938001598834929</v>
      </c>
      <c r="G143" s="39" t="n">
        <f aca="false">PR_PH(G$2,$A143)</f>
        <v>0.938043188618821</v>
      </c>
      <c r="H143" s="39" t="n">
        <f aca="false">PR_PH(H$2,$A143)</f>
        <v>0.938084755283614</v>
      </c>
      <c r="I143" s="39" t="n">
        <f aca="false">PR_PH(I$2,$A143)</f>
        <v>0.938126301248104</v>
      </c>
      <c r="J143" s="39" t="n">
        <f aca="false">PR_PH(J$2,$A143)</f>
        <v>0.938167828083327</v>
      </c>
      <c r="K143" s="39" t="n">
        <f aca="false">PR_PH(K$2,$A143)</f>
        <v>0.938209336939495</v>
      </c>
      <c r="L143" s="39" t="n">
        <f aca="false">PR_PH(L$2,$A143)</f>
        <v>0.938250828716326</v>
      </c>
      <c r="M143" s="39" t="n">
        <f aca="false">PR_PH(M$2,$A143)</f>
        <v>0.938292304148171</v>
      </c>
      <c r="N143" s="39" t="n">
        <f aca="false">PR_PH(N$2,$A143)</f>
        <v>0.93833376385253</v>
      </c>
      <c r="O143" s="39" t="n">
        <f aca="false">PR_PH(O$2,$A143)</f>
        <v>0.938375208360217</v>
      </c>
      <c r="P143" s="39" t="n">
        <f aca="false">PR_PH(P$2,$A143)</f>
        <v>0.938788899706186</v>
      </c>
      <c r="Q143" s="39" t="n">
        <f aca="false">PR_PH(Q$2,$A143)</f>
        <v>0.939201389430874</v>
      </c>
      <c r="R143" s="39" t="n">
        <f aca="false">PR_PH(R$2,$A143)</f>
        <v>0.939612830424533</v>
      </c>
      <c r="S143" s="39" t="n">
        <f aca="false">PR_PH(S$2,$A143)</f>
        <v>0.940023321077201</v>
      </c>
      <c r="T143" s="39" t="n">
        <f aca="false">PR_PH(T$2,$A143)</f>
        <v>0.940432932683943</v>
      </c>
      <c r="U143" s="39" t="n">
        <f aca="false">PR_PH(U$2,$A143)</f>
        <v>0.940841720372187</v>
      </c>
      <c r="V143" s="39" t="n">
        <f aca="false">PR_PH(V$2,$A143)</f>
        <v>0.941249728568649</v>
      </c>
      <c r="W143" s="39" t="n">
        <f aca="false">PR_PH(W$2,$A143)</f>
        <v>0.941656994119777</v>
      </c>
      <c r="X143" s="39" t="n">
        <f aca="false">PR_PH(X$2,$A143)</f>
        <v>0.942063548236744</v>
      </c>
      <c r="Y143" s="39" t="n">
        <f aca="false">PR_PH(Y$2,$A143)</f>
        <v>0.94609456335912</v>
      </c>
      <c r="Z143" s="39" t="n">
        <f aca="false">PR_PH(Z$2,$A143)</f>
        <v>0.950071413897136</v>
      </c>
      <c r="AA143" s="39" t="n">
        <f aca="false">PR_PH(AA$2,$A143)</f>
        <v>0.954000681929954</v>
      </c>
      <c r="AB143" s="39" t="n">
        <f aca="false">PR_PH(AB$2,$A143)</f>
        <v>0.957885530161226</v>
      </c>
      <c r="AC143" s="39" t="n">
        <f aca="false">PR_PH(AC$2,$A143)</f>
        <v>0.961727555042546</v>
      </c>
      <c r="AD143" s="39" t="n">
        <f aca="false">PR_PH(AD$2,$A143)</f>
        <v>0.965527532152985</v>
      </c>
      <c r="AE143" s="39" t="n">
        <f aca="false">PR_PH(AE$2,$A143)</f>
        <v>0.969285786256097</v>
      </c>
      <c r="AF143" s="39" t="n">
        <f aca="false">PR_PH(AF$2,$A143)</f>
        <v>0.973002396884135</v>
      </c>
      <c r="AG143" s="39" t="n">
        <f aca="false">PR_PH(AG$2,$A143)</f>
        <v>0.976677320181306</v>
      </c>
      <c r="AH143" s="39" t="n">
        <f aca="false">PR_PH(AH$2,$A143)</f>
        <v>1.01112659818166</v>
      </c>
      <c r="AI143" s="39" t="n">
        <f aca="false">PR_PH(AI$2,$A143)</f>
        <v>1.04153721290323</v>
      </c>
      <c r="AJ143" s="39" t="n">
        <f aca="false">PR_PH(AJ$2,$A143)</f>
        <v>1.06832194965748</v>
      </c>
      <c r="AK143" s="39" t="n">
        <f aca="false">PR_PH(AK$2,$A143)</f>
        <v>1.0920001797823</v>
      </c>
      <c r="AL143" s="39" t="n">
        <f aca="false">PR_PH(AL$2,$A143)</f>
        <v>1.11298929077165</v>
      </c>
      <c r="AM143" s="39" t="n">
        <f aca="false">PR_PH(AM$2,$A143)</f>
        <v>1.13185635595118</v>
      </c>
      <c r="AN143" s="39" t="n">
        <f aca="false">PR_PH(AN$2,$A143)</f>
        <v>1.14988558176819</v>
      </c>
      <c r="AO143" s="39" t="n">
        <f aca="false">PR_PH(AO$2,$A143)</f>
        <v>1.17182973284378</v>
      </c>
      <c r="AP143" s="39" t="n">
        <f aca="false">PR_PH(AP$2,$A143)</f>
        <v>1.1864925972654</v>
      </c>
      <c r="AQ143" s="39" t="n">
        <f aca="false">PR_PH(AQ$2,$A143)</f>
        <v>2015</v>
      </c>
    </row>
    <row r="144" customFormat="false" ht="13.8" hidden="false" customHeight="false" outlineLevel="0" collapsed="false">
      <c r="A144" s="0" t="n">
        <v>3040</v>
      </c>
      <c r="B144" s="39" t="n">
        <f aca="false">PR_PH(B$2,$A144)</f>
        <v>0.937436406618268</v>
      </c>
      <c r="C144" s="39" t="n">
        <f aca="false">PR_PH(C$2,$A144)</f>
        <v>0.937440332768496</v>
      </c>
      <c r="D144" s="39" t="n">
        <f aca="false">PR_PH(D$2,$A144)</f>
        <v>0.937444258653483</v>
      </c>
      <c r="E144" s="39" t="n">
        <f aca="false">PR_PH(E$2,$A144)</f>
        <v>0.937448184281766</v>
      </c>
      <c r="F144" s="39" t="n">
        <f aca="false">PR_PH(F$2,$A144)</f>
        <v>0.937452109660701</v>
      </c>
      <c r="G144" s="39" t="n">
        <f aca="false">PR_PH(G$2,$A144)</f>
        <v>0.937491350876739</v>
      </c>
      <c r="H144" s="39" t="n">
        <f aca="false">PR_PH(H$2,$A144)</f>
        <v>0.9375305715899</v>
      </c>
      <c r="I144" s="39" t="n">
        <f aca="false">PR_PH(I$2,$A144)</f>
        <v>0.937569773948979</v>
      </c>
      <c r="J144" s="39" t="n">
        <f aca="false">PR_PH(J$2,$A144)</f>
        <v>0.937608959349501</v>
      </c>
      <c r="K144" s="39" t="n">
        <f aca="false">PR_PH(K$2,$A144)</f>
        <v>0.937648128813083</v>
      </c>
      <c r="L144" s="39" t="n">
        <f aca="false">PR_PH(L$2,$A144)</f>
        <v>0.937687283138807</v>
      </c>
      <c r="M144" s="39" t="n">
        <f aca="false">PR_PH(M$2,$A144)</f>
        <v>0.937726422978821</v>
      </c>
      <c r="N144" s="39" t="n">
        <f aca="false">PR_PH(N$2,$A144)</f>
        <v>0.937765548881485</v>
      </c>
      <c r="O144" s="39" t="n">
        <f aca="false">PR_PH(O$2,$A144)</f>
        <v>0.93780466131814</v>
      </c>
      <c r="P144" s="39" t="n">
        <f aca="false">PR_PH(P$2,$A144)</f>
        <v>0.938195117933242</v>
      </c>
      <c r="Q144" s="39" t="n">
        <f aca="false">PR_PH(Q$2,$A144)</f>
        <v>0.938584510291994</v>
      </c>
      <c r="R144" s="39" t="n">
        <f aca="false">PR_PH(R$2,$A144)</f>
        <v>0.938972974081602</v>
      </c>
      <c r="S144" s="39" t="n">
        <f aca="false">PR_PH(S$2,$A144)</f>
        <v>0.939360596604419</v>
      </c>
      <c r="T144" s="39" t="n">
        <f aca="false">PR_PH(T$2,$A144)</f>
        <v>0.939747441114604</v>
      </c>
      <c r="U144" s="39" t="n">
        <f aca="false">PR_PH(U$2,$A144)</f>
        <v>0.940133556519884</v>
      </c>
      <c r="V144" s="39" t="n">
        <f aca="false">PR_PH(V$2,$A144)</f>
        <v>0.940518982234413</v>
      </c>
      <c r="W144" s="39" t="n">
        <f aca="false">PR_PH(W$2,$A144)</f>
        <v>0.940903750948188</v>
      </c>
      <c r="X144" s="39" t="n">
        <f aca="false">PR_PH(X$2,$A144)</f>
        <v>0.941287890352966</v>
      </c>
      <c r="Y144" s="39" t="n">
        <f aca="false">PR_PH(Y$2,$A144)</f>
        <v>0.945098757116105</v>
      </c>
      <c r="Z144" s="39" t="n">
        <f aca="false">PR_PH(Z$2,$A144)</f>
        <v>0.948861763502276</v>
      </c>
      <c r="AA144" s="39" t="n">
        <f aca="false">PR_PH(AA$2,$A144)</f>
        <v>0.952582753401671</v>
      </c>
      <c r="AB144" s="39" t="n">
        <f aca="false">PR_PH(AB$2,$A144)</f>
        <v>0.956264528082064</v>
      </c>
      <c r="AC144" s="39" t="n">
        <f aca="false">PR_PH(AC$2,$A144)</f>
        <v>0.959908487425501</v>
      </c>
      <c r="AD144" s="39" t="n">
        <f aca="false">PR_PH(AD$2,$A144)</f>
        <v>0.963515290566013</v>
      </c>
      <c r="AE144" s="39" t="n">
        <f aca="false">PR_PH(AE$2,$A144)</f>
        <v>0.967085184605693</v>
      </c>
      <c r="AF144" s="39" t="n">
        <f aca="false">PR_PH(AF$2,$A144)</f>
        <v>0.970618187971485</v>
      </c>
      <c r="AG144" s="39" t="n">
        <f aca="false">PR_PH(AG$2,$A144)</f>
        <v>0.974114199777822</v>
      </c>
      <c r="AH144" s="39" t="n">
        <f aca="false">PR_PH(AH$2,$A144)</f>
        <v>1.00701559757242</v>
      </c>
      <c r="AI144" s="39" t="n">
        <f aca="false">PR_PH(AI$2,$A144)</f>
        <v>1.03624171510457</v>
      </c>
      <c r="AJ144" s="39" t="n">
        <f aca="false">PR_PH(AJ$2,$A144)</f>
        <v>1.06210087988992</v>
      </c>
      <c r="AK144" s="39" t="n">
        <f aca="false">PR_PH(AK$2,$A144)</f>
        <v>1.08504295115898</v>
      </c>
      <c r="AL144" s="39" t="n">
        <f aca="false">PR_PH(AL$2,$A144)</f>
        <v>1.10548893018286</v>
      </c>
      <c r="AM144" s="39" t="n">
        <f aca="false">PR_PH(AM$2,$A144)</f>
        <v>1.12412407087254</v>
      </c>
      <c r="AN144" s="39" t="n">
        <f aca="false">PR_PH(AN$2,$A144)</f>
        <v>1.14280044242923</v>
      </c>
      <c r="AO144" s="39" t="n">
        <f aca="false">PR_PH(AO$2,$A144)</f>
        <v>1.16696235774017</v>
      </c>
      <c r="AP144" s="39" t="n">
        <f aca="false">PR_PH(AP$2,$A144)</f>
        <v>1.17586644040416</v>
      </c>
      <c r="AQ144" s="39" t="n">
        <f aca="false">PR_PH(AQ$2,$A144)</f>
        <v>2015</v>
      </c>
    </row>
    <row r="145" customFormat="false" ht="13.8" hidden="false" customHeight="false" outlineLevel="0" collapsed="false">
      <c r="A145" s="0" t="n">
        <v>3050</v>
      </c>
      <c r="B145" s="39" t="n">
        <f aca="false">PR_PH(B$2,$A145)</f>
        <v>0.936885497106628</v>
      </c>
      <c r="C145" s="39" t="n">
        <f aca="false">PR_PH(C$2,$A145)</f>
        <v>0.936889205562081</v>
      </c>
      <c r="D145" s="39" t="n">
        <f aca="false">PR_PH(D$2,$A145)</f>
        <v>0.936892913781704</v>
      </c>
      <c r="E145" s="39" t="n">
        <f aca="false">PR_PH(E$2,$A145)</f>
        <v>0.936896621773077</v>
      </c>
      <c r="F145" s="39" t="n">
        <f aca="false">PR_PH(F$2,$A145)</f>
        <v>0.936900329542753</v>
      </c>
      <c r="G145" s="39" t="n">
        <f aca="false">PR_PH(G$2,$A145)</f>
        <v>0.936937396061357</v>
      </c>
      <c r="H145" s="39" t="n">
        <f aca="false">PR_PH(H$2,$A145)</f>
        <v>0.936974444353844</v>
      </c>
      <c r="I145" s="39" t="n">
        <f aca="false">PR_PH(I$2,$A145)</f>
        <v>0.937011476332021</v>
      </c>
      <c r="J145" s="39" t="n">
        <f aca="false">PR_PH(J$2,$A145)</f>
        <v>0.937048493237374</v>
      </c>
      <c r="K145" s="39" t="n">
        <f aca="false">PR_PH(K$2,$A145)</f>
        <v>0.937085495978686</v>
      </c>
      <c r="L145" s="39" t="n">
        <f aca="false">PR_PH(L$2,$A145)</f>
        <v>0.937122485266709</v>
      </c>
      <c r="M145" s="39" t="n">
        <f aca="false">PR_PH(M$2,$A145)</f>
        <v>0.937159461681497</v>
      </c>
      <c r="N145" s="39" t="n">
        <f aca="false">PR_PH(N$2,$A145)</f>
        <v>0.937196425710726</v>
      </c>
      <c r="O145" s="39" t="n">
        <f aca="false">PR_PH(O$2,$A145)</f>
        <v>0.937233377773575</v>
      </c>
      <c r="P145" s="39" t="n">
        <f aca="false">PR_PH(P$2,$A145)</f>
        <v>0.937602305055323</v>
      </c>
      <c r="Q145" s="39" t="n">
        <f aca="false">PR_PH(Q$2,$A145)</f>
        <v>0.937970286737391</v>
      </c>
      <c r="R145" s="39" t="n">
        <f aca="false">PR_PH(R$2,$A145)</f>
        <v>0.938337443431004</v>
      </c>
      <c r="S145" s="39" t="n">
        <f aca="false">PR_PH(S$2,$A145)</f>
        <v>0.938703852727519</v>
      </c>
      <c r="T145" s="39" t="n">
        <f aca="false">PR_PH(T$2,$A145)</f>
        <v>0.939069570842423</v>
      </c>
      <c r="U145" s="39" t="n">
        <f aca="false">PR_PH(U$2,$A145)</f>
        <v>0.939434641241885</v>
      </c>
      <c r="V145" s="39" t="n">
        <f aca="false">PR_PH(V$2,$A145)</f>
        <v>0.939799098956931</v>
      </c>
      <c r="W145" s="39" t="n">
        <f aca="false">PR_PH(W$2,$A145)</f>
        <v>0.940162973045033</v>
      </c>
      <c r="X145" s="39" t="n">
        <f aca="false">PR_PH(X$2,$A145)</f>
        <v>0.940526288123917</v>
      </c>
      <c r="Y145" s="39" t="n">
        <f aca="false">PR_PH(Y$2,$A145)</f>
        <v>0.944132326382592</v>
      </c>
      <c r="Z145" s="39" t="n">
        <f aca="false">PR_PH(Z$2,$A145)</f>
        <v>0.947695873918334</v>
      </c>
      <c r="AA145" s="39" t="n">
        <f aca="false">PR_PH(AA$2,$A145)</f>
        <v>0.951222139877701</v>
      </c>
      <c r="AB145" s="39" t="n">
        <f aca="false">PR_PH(AB$2,$A145)</f>
        <v>0.954713622492506</v>
      </c>
      <c r="AC145" s="39" t="n">
        <f aca="false">PR_PH(AC$2,$A145)</f>
        <v>0.958171564663722</v>
      </c>
      <c r="AD145" s="39" t="n">
        <f aca="false">PR_PH(AD$2,$A145)</f>
        <v>0.961596540201247</v>
      </c>
      <c r="AE145" s="39" t="n">
        <f aca="false">PR_PH(AE$2,$A145)</f>
        <v>0.964988746090381</v>
      </c>
      <c r="AF145" s="39" t="n">
        <f aca="false">PR_PH(AF$2,$A145)</f>
        <v>0.968348166107758</v>
      </c>
      <c r="AG145" s="39" t="n">
        <f aca="false">PR_PH(AG$2,$A145)</f>
        <v>0.971674668969212</v>
      </c>
      <c r="AH145" s="39" t="n">
        <f aca="false">PR_PH(AH$2,$A145)</f>
        <v>1.00309443878438</v>
      </c>
      <c r="AI145" s="39" t="n">
        <f aca="false">PR_PH(AI$2,$A145)</f>
        <v>1.0311720630077</v>
      </c>
      <c r="AJ145" s="39" t="n">
        <f aca="false">PR_PH(AJ$2,$A145)</f>
        <v>1.0561332692687</v>
      </c>
      <c r="AK145" s="39" t="n">
        <f aca="false">PR_PH(AK$2,$A145)</f>
        <v>1.07837226034362</v>
      </c>
      <c r="AL145" s="39" t="n">
        <f aca="false">PR_PH(AL$2,$A145)</f>
        <v>1.09833349761874</v>
      </c>
      <c r="AM145" s="39" t="n">
        <f aca="false">PR_PH(AM$2,$A145)</f>
        <v>1.11689284444685</v>
      </c>
      <c r="AN145" s="39" t="n">
        <f aca="false">PR_PH(AN$2,$A145)</f>
        <v>1.13680508195408</v>
      </c>
      <c r="AO145" s="39" t="n">
        <f aca="false">PR_PH(AO$2,$A145)</f>
        <v>1.15487488257272</v>
      </c>
      <c r="AP145" s="39" t="n">
        <f aca="false">PR_PH(AP$2,$A145)</f>
        <v>1.16630268764389</v>
      </c>
      <c r="AQ145" s="39" t="n">
        <f aca="false">PR_PH(AQ$2,$A145)</f>
        <v>2015</v>
      </c>
    </row>
    <row r="146" customFormat="false" ht="13.8" hidden="false" customHeight="false" outlineLevel="0" collapsed="false">
      <c r="A146" s="0" t="n">
        <v>3060</v>
      </c>
      <c r="B146" s="39" t="n">
        <f aca="false">PR_PH(B$2,$A146)</f>
        <v>0.936332080417725</v>
      </c>
      <c r="C146" s="39" t="n">
        <f aca="false">PR_PH(C$2,$A146)</f>
        <v>0.936335587084395</v>
      </c>
      <c r="D146" s="39" t="n">
        <f aca="false">PR_PH(D$2,$A146)</f>
        <v>0.936339093540905</v>
      </c>
      <c r="E146" s="39" t="n">
        <f aca="false">PR_PH(E$2,$A146)</f>
        <v>0.936342599794034</v>
      </c>
      <c r="F146" s="39" t="n">
        <f aca="false">PR_PH(F$2,$A146)</f>
        <v>0.936346105849608</v>
      </c>
      <c r="G146" s="39" t="n">
        <f aca="false">PR_PH(G$2,$A146)</f>
        <v>0.93638115644467</v>
      </c>
      <c r="H146" s="39" t="n">
        <f aca="false">PR_PH(H$2,$A146)</f>
        <v>0.936416190798816</v>
      </c>
      <c r="I146" s="39" t="n">
        <f aca="false">PR_PH(I$2,$A146)</f>
        <v>0.936451210615543</v>
      </c>
      <c r="J146" s="39" t="n">
        <f aca="false">PR_PH(J$2,$A146)</f>
        <v>0.936486217000955</v>
      </c>
      <c r="K146" s="39" t="n">
        <f aca="false">PR_PH(K$2,$A146)</f>
        <v>0.936521210764678</v>
      </c>
      <c r="L146" s="39" t="n">
        <f aca="false">PR_PH(L$2,$A146)</f>
        <v>0.936556192539879</v>
      </c>
      <c r="M146" s="39" t="n">
        <f aca="false">PR_PH(M$2,$A146)</f>
        <v>0.936591162843228</v>
      </c>
      <c r="N146" s="39" t="n">
        <f aca="false">PR_PH(N$2,$A146)</f>
        <v>0.936626122109123</v>
      </c>
      <c r="O146" s="39" t="n">
        <f aca="false">PR_PH(O$2,$A146)</f>
        <v>0.936661070710899</v>
      </c>
      <c r="P146" s="39" t="n">
        <f aca="false">PR_PH(P$2,$A146)</f>
        <v>0.937010027914363</v>
      </c>
      <c r="Q146" s="39" t="n">
        <f aca="false">PR_PH(Q$2,$A146)</f>
        <v>0.937358142252709</v>
      </c>
      <c r="R146" s="39" t="n">
        <f aca="false">PR_PH(R$2,$A146)</f>
        <v>0.937705521105044</v>
      </c>
      <c r="S146" s="39" t="n">
        <f aca="false">PR_PH(S$2,$A146)</f>
        <v>0.938052233543635</v>
      </c>
      <c r="T146" s="39" t="n">
        <f aca="false">PR_PH(T$2,$A146)</f>
        <v>0.938398329611982</v>
      </c>
      <c r="U146" s="39" t="n">
        <f aca="false">PR_PH(U$2,$A146)</f>
        <v>0.938743848006758</v>
      </c>
      <c r="V146" s="39" t="n">
        <f aca="false">PR_PH(V$2,$A146)</f>
        <v>0.939088819918817</v>
      </c>
      <c r="W146" s="39" t="n">
        <f aca="false">PR_PH(W$2,$A146)</f>
        <v>0.939433271224445</v>
      </c>
      <c r="X146" s="39" t="n">
        <f aca="false">PR_PH(X$2,$A146)</f>
        <v>0.939777223850454</v>
      </c>
      <c r="Y146" s="39" t="n">
        <f aca="false">PR_PH(Y$2,$A146)</f>
        <v>0.943192560842697</v>
      </c>
      <c r="Z146" s="39" t="n">
        <f aca="false">PR_PH(Z$2,$A146)</f>
        <v>0.946569991186483</v>
      </c>
      <c r="AA146" s="39" t="n">
        <f aca="false">PR_PH(AA$2,$A146)</f>
        <v>0.949914175520728</v>
      </c>
      <c r="AB146" s="39" t="n">
        <f aca="false">PR_PH(AB$2,$A146)</f>
        <v>0.953227356060899</v>
      </c>
      <c r="AC146" s="39" t="n">
        <f aca="false">PR_PH(AC$2,$A146)</f>
        <v>0.956510649315326</v>
      </c>
      <c r="AD146" s="39" t="n">
        <f aca="false">PR_PH(AD$2,$A146)</f>
        <v>0.95976456694489</v>
      </c>
      <c r="AE146" s="39" t="n">
        <f aca="false">PR_PH(AE$2,$A146)</f>
        <v>0.962989275876495</v>
      </c>
      <c r="AF146" s="39" t="n">
        <f aca="false">PR_PH(AF$2,$A146)</f>
        <v>0.966184744391298</v>
      </c>
      <c r="AG146" s="39" t="n">
        <f aca="false">PR_PH(AG$2,$A146)</f>
        <v>0.969350830211335</v>
      </c>
      <c r="AH146" s="39" t="n">
        <f aca="false">PR_PH(AH$2,$A146)</f>
        <v>0.999355089572676</v>
      </c>
      <c r="AI146" s="39" t="n">
        <f aca="false">PR_PH(AI$2,$A146)</f>
        <v>1.02632188247617</v>
      </c>
      <c r="AJ146" s="39" t="n">
        <f aca="false">PR_PH(AJ$2,$A146)</f>
        <v>1.05041419524046</v>
      </c>
      <c r="AK146" s="39" t="n">
        <f aca="false">PR_PH(AK$2,$A146)</f>
        <v>1.07198672674891</v>
      </c>
      <c r="AL146" s="39" t="n">
        <f aca="false">PR_PH(AL$2,$A146)</f>
        <v>1.09153702740979</v>
      </c>
      <c r="AM146" s="39" t="n">
        <f aca="false">PR_PH(AM$2,$A146)</f>
        <v>1.1102499805106</v>
      </c>
      <c r="AN146" s="39" t="n">
        <f aca="false">PR_PH(AN$2,$A146)</f>
        <v>1.13198654920639</v>
      </c>
      <c r="AO146" s="39" t="n">
        <f aca="false">PR_PH(AO$2,$A146)</f>
        <v>1.14483359272799</v>
      </c>
      <c r="AP146" s="39" t="n">
        <f aca="false">PR_PH(AP$2,$A146)</f>
        <v>1.15736888165679</v>
      </c>
      <c r="AQ146" s="39" t="n">
        <f aca="false">PR_PH(AQ$2,$A146)</f>
        <v>2015</v>
      </c>
    </row>
    <row r="147" customFormat="false" ht="13.8" hidden="false" customHeight="false" outlineLevel="0" collapsed="false">
      <c r="A147" s="0" t="n">
        <v>3070</v>
      </c>
      <c r="B147" s="39" t="n">
        <f aca="false">PR_PH(B$2,$A147)</f>
        <v>0.935776049166547</v>
      </c>
      <c r="C147" s="39" t="n">
        <f aca="false">PR_PH(C$2,$A147)</f>
        <v>0.935779368581691</v>
      </c>
      <c r="D147" s="39" t="n">
        <f aca="false">PR_PH(D$2,$A147)</f>
        <v>0.935782687809155</v>
      </c>
      <c r="E147" s="39" t="n">
        <f aca="false">PR_PH(E$2,$A147)</f>
        <v>0.935786006854982</v>
      </c>
      <c r="F147" s="39" t="n">
        <f aca="false">PR_PH(F$2,$A147)</f>
        <v>0.935789325724376</v>
      </c>
      <c r="G147" s="39" t="n">
        <f aca="false">PR_PH(G$2,$A147)</f>
        <v>0.935822505522144</v>
      </c>
      <c r="H147" s="39" t="n">
        <f aca="false">PR_PH(H$2,$A147)</f>
        <v>0.935855670813337</v>
      </c>
      <c r="I147" s="39" t="n">
        <f aca="false">PR_PH(I$2,$A147)</f>
        <v>0.935888823118131</v>
      </c>
      <c r="J147" s="39" t="n">
        <f aca="false">PR_PH(J$2,$A147)</f>
        <v>0.935921963423494</v>
      </c>
      <c r="K147" s="39" t="n">
        <f aca="false">PR_PH(K$2,$A147)</f>
        <v>0.935955092451794</v>
      </c>
      <c r="L147" s="39" t="n">
        <f aca="false">PR_PH(L$2,$A147)</f>
        <v>0.935988210767912</v>
      </c>
      <c r="M147" s="39" t="n">
        <f aca="false">PR_PH(M$2,$A147)</f>
        <v>0.93602131883279</v>
      </c>
      <c r="N147" s="39" t="n">
        <f aca="false">PR_PH(N$2,$A147)</f>
        <v>0.936054417033923</v>
      </c>
      <c r="O147" s="39" t="n">
        <f aca="false">PR_PH(O$2,$A147)</f>
        <v>0.936087505704342</v>
      </c>
      <c r="P147" s="39" t="n">
        <f aca="false">PR_PH(P$2,$A147)</f>
        <v>0.936417919693431</v>
      </c>
      <c r="Q147" s="39" t="n">
        <f aca="false">PR_PH(Q$2,$A147)</f>
        <v>0.936747579980927</v>
      </c>
      <c r="R147" s="39" t="n">
        <f aca="false">PR_PH(R$2,$A147)</f>
        <v>0.937076582315085</v>
      </c>
      <c r="S147" s="39" t="n">
        <f aca="false">PR_PH(S$2,$A147)</f>
        <v>0.937404988283118</v>
      </c>
      <c r="T147" s="39" t="n">
        <f aca="false">PR_PH(T$2,$A147)</f>
        <v>0.937732842507626</v>
      </c>
      <c r="U147" s="39" t="n">
        <f aca="false">PR_PH(U$2,$A147)</f>
        <v>0.938060179497575</v>
      </c>
      <c r="V147" s="39" t="n">
        <f aca="false">PR_PH(V$2,$A147)</f>
        <v>0.938387027073176</v>
      </c>
      <c r="W147" s="39" t="n">
        <f aca="false">PR_PH(W$2,$A147)</f>
        <v>0.938713408319377</v>
      </c>
      <c r="X147" s="39" t="n">
        <f aca="false">PR_PH(X$2,$A147)</f>
        <v>0.939039342802625</v>
      </c>
      <c r="Y147" s="39" t="n">
        <f aca="false">PR_PH(Y$2,$A147)</f>
        <v>0.942277007792607</v>
      </c>
      <c r="Z147" s="39" t="n">
        <f aca="false">PR_PH(Z$2,$A147)</f>
        <v>0.94548068988808</v>
      </c>
      <c r="AA147" s="39" t="n">
        <f aca="false">PR_PH(AA$2,$A147)</f>
        <v>0.948654573514125</v>
      </c>
      <c r="AB147" s="39" t="n">
        <f aca="false">PR_PH(AB$2,$A147)</f>
        <v>0.951800682950557</v>
      </c>
      <c r="AC147" s="39" t="n">
        <f aca="false">PR_PH(AC$2,$A147)</f>
        <v>0.954920031998276</v>
      </c>
      <c r="AD147" s="39" t="n">
        <f aca="false">PR_PH(AD$2,$A147)</f>
        <v>0.95801308732871</v>
      </c>
      <c r="AE147" s="39" t="n">
        <f aca="false">PR_PH(AE$2,$A147)</f>
        <v>0.961080000219395</v>
      </c>
      <c r="AF147" s="39" t="n">
        <f aca="false">PR_PH(AF$2,$A147)</f>
        <v>0.964120737082831</v>
      </c>
      <c r="AG147" s="39" t="n">
        <f aca="false">PR_PH(AG$2,$A147)</f>
        <v>0.967135158539143</v>
      </c>
      <c r="AH147" s="39" t="n">
        <f aca="false">PR_PH(AH$2,$A147)</f>
        <v>0.995789449028458</v>
      </c>
      <c r="AI147" s="39" t="n">
        <f aca="false">PR_PH(AI$2,$A147)</f>
        <v>1.0216846516151</v>
      </c>
      <c r="AJ147" s="39" t="n">
        <f aca="false">PR_PH(AJ$2,$A147)</f>
        <v>1.04493931964057</v>
      </c>
      <c r="AK147" s="39" t="n">
        <f aca="false">PR_PH(AK$2,$A147)</f>
        <v>1.06588805119288</v>
      </c>
      <c r="AL147" s="39" t="n">
        <f aca="false">PR_PH(AL$2,$A147)</f>
        <v>1.08512659161718</v>
      </c>
      <c r="AM147" s="39" t="n">
        <f aca="false">PR_PH(AM$2,$A147)</f>
        <v>1.10433371018955</v>
      </c>
      <c r="AN147" s="39" t="n">
        <f aca="false">PR_PH(AN$2,$A147)</f>
        <v>1.12395088793858</v>
      </c>
      <c r="AO147" s="39" t="n">
        <f aca="false">PR_PH(AO$2,$A147)</f>
        <v>1.13599486189738</v>
      </c>
      <c r="AP147" s="39" t="n">
        <f aca="false">PR_PH(AP$2,$A147)</f>
        <v>1.1488734105209</v>
      </c>
      <c r="AQ147" s="39" t="n">
        <f aca="false">PR_PH(AQ$2,$A147)</f>
        <v>2015</v>
      </c>
    </row>
    <row r="148" customFormat="false" ht="13.8" hidden="false" customHeight="false" outlineLevel="0" collapsed="false">
      <c r="A148" s="0" t="n">
        <v>3080</v>
      </c>
      <c r="B148" s="39" t="n">
        <f aca="false">PR_PH(B$2,$A148)</f>
        <v>0.935217331093599</v>
      </c>
      <c r="C148" s="39" t="n">
        <f aca="false">PR_PH(C$2,$A148)</f>
        <v>0.935220476556212</v>
      </c>
      <c r="D148" s="39" t="n">
        <f aca="false">PR_PH(D$2,$A148)</f>
        <v>0.935223621850853</v>
      </c>
      <c r="E148" s="39" t="n">
        <f aca="false">PR_PH(E$2,$A148)</f>
        <v>0.935226766982923</v>
      </c>
      <c r="F148" s="39" t="n">
        <f aca="false">PR_PH(F$2,$A148)</f>
        <v>0.935229911957074</v>
      </c>
      <c r="G148" s="39" t="n">
        <f aca="false">PR_PH(G$2,$A148)</f>
        <v>0.935261353734863</v>
      </c>
      <c r="H148" s="39" t="n">
        <f aca="false">PR_PH(H$2,$A148)</f>
        <v>0.935292782524271</v>
      </c>
      <c r="I148" s="39" t="n">
        <f aca="false">PR_PH(I$2,$A148)</f>
        <v>0.935324199683894</v>
      </c>
      <c r="J148" s="39" t="n">
        <f aca="false">PR_PH(J$2,$A148)</f>
        <v>0.935355606095737</v>
      </c>
      <c r="K148" s="39" t="n">
        <f aca="false">PR_PH(K$2,$A148)</f>
        <v>0.935387002405277</v>
      </c>
      <c r="L148" s="39" t="n">
        <f aca="false">PR_PH(L$2,$A148)</f>
        <v>0.93541838911724</v>
      </c>
      <c r="M148" s="39" t="n">
        <f aca="false">PR_PH(M$2,$A148)</f>
        <v>0.935449766643453</v>
      </c>
      <c r="N148" s="39" t="n">
        <f aca="false">PR_PH(N$2,$A148)</f>
        <v>0.935481135330118</v>
      </c>
      <c r="O148" s="39" t="n">
        <f aca="false">PR_PH(O$2,$A148)</f>
        <v>0.935512495474752</v>
      </c>
      <c r="P148" s="39" t="n">
        <f aca="false">PR_PH(P$2,$A148)</f>
        <v>0.935825673089952</v>
      </c>
      <c r="Q148" s="39" t="n">
        <f aca="false">PR_PH(Q$2,$A148)</f>
        <v>0.936138174582478</v>
      </c>
      <c r="R148" s="39" t="n">
        <f aca="false">PR_PH(R$2,$A148)</f>
        <v>0.936450085462931</v>
      </c>
      <c r="S148" s="39" t="n">
        <f aca="false">PR_PH(S$2,$A148)</f>
        <v>0.936761460732314</v>
      </c>
      <c r="T148" s="39" t="n">
        <f aca="false">PR_PH(T$2,$A148)</f>
        <v>0.93707234024464</v>
      </c>
      <c r="U148" s="39" t="n">
        <f aca="false">PR_PH(U$2,$A148)</f>
        <v>0.937382754826009</v>
      </c>
      <c r="V148" s="39" t="n">
        <f aca="false">PR_PH(V$2,$A148)</f>
        <v>0.937692729333025</v>
      </c>
      <c r="W148" s="39" t="n">
        <f aca="false">PR_PH(W$2,$A148)</f>
        <v>0.938002284396931</v>
      </c>
      <c r="X148" s="39" t="n">
        <f aca="false">PR_PH(X$2,$A148)</f>
        <v>0.93831143750979</v>
      </c>
      <c r="Y148" s="39" t="n">
        <f aca="false">PR_PH(Y$2,$A148)</f>
        <v>0.941383449608316</v>
      </c>
      <c r="Z148" s="39" t="n">
        <f aca="false">PR_PH(Z$2,$A148)</f>
        <v>0.944424847599026</v>
      </c>
      <c r="AA148" s="39" t="n">
        <f aca="false">PR_PH(AA$2,$A148)</f>
        <v>0.947439400664649</v>
      </c>
      <c r="AB148" s="39" t="n">
        <f aca="false">PR_PH(AB$2,$A148)</f>
        <v>0.950428946214119</v>
      </c>
      <c r="AC148" s="39" t="n">
        <f aca="false">PR_PH(AC$2,$A148)</f>
        <v>0.953394413761373</v>
      </c>
      <c r="AD148" s="39" t="n">
        <f aca="false">PR_PH(AD$2,$A148)</f>
        <v>0.956336237640405</v>
      </c>
      <c r="AE148" s="39" t="n">
        <f aca="false">PR_PH(AE$2,$A148)</f>
        <v>0.959254563682097</v>
      </c>
      <c r="AF148" s="39" t="n">
        <f aca="false">PR_PH(AF$2,$A148)</f>
        <v>0.962149365933093</v>
      </c>
      <c r="AG148" s="39" t="n">
        <f aca="false">PR_PH(AG$2,$A148)</f>
        <v>0.965020517663644</v>
      </c>
      <c r="AH148" s="39" t="n">
        <f aca="false">PR_PH(AH$2,$A148)</f>
        <v>0.992389446280496</v>
      </c>
      <c r="AI148" s="39" t="n">
        <f aca="false">PR_PH(AI$2,$A148)</f>
        <v>1.01725382261667</v>
      </c>
      <c r="AJ148" s="39" t="n">
        <f aca="false">PR_PH(AJ$2,$A148)</f>
        <v>1.03970516536325</v>
      </c>
      <c r="AK148" s="39" t="n">
        <f aca="false">PR_PH(AK$2,$A148)</f>
        <v>1.06008238559427</v>
      </c>
      <c r="AL148" s="39" t="n">
        <f aca="false">PR_PH(AL$2,$A148)</f>
        <v>1.07914918425235</v>
      </c>
      <c r="AM148" s="39" t="n">
        <f aca="false">PR_PH(AM$2,$A148)</f>
        <v>1.09925942074683</v>
      </c>
      <c r="AN148" s="39" t="n">
        <f aca="false">PR_PH(AN$2,$A148)</f>
        <v>1.11476076368642</v>
      </c>
      <c r="AO148" s="39" t="n">
        <f aca="false">PR_PH(AO$2,$A148)</f>
        <v>1.12783586380025</v>
      </c>
      <c r="AP148" s="39" t="n">
        <f aca="false">PR_PH(AP$2,$A148)</f>
        <v>1.14072382802459</v>
      </c>
      <c r="AQ148" s="39" t="n">
        <f aca="false">PR_PH(AQ$2,$A148)</f>
        <v>2015</v>
      </c>
    </row>
    <row r="149" customFormat="false" ht="13.8" hidden="false" customHeight="false" outlineLevel="0" collapsed="false">
      <c r="A149" s="0" t="n">
        <v>3090</v>
      </c>
      <c r="B149" s="39" t="n">
        <f aca="false">PR_PH(B$2,$A149)</f>
        <v>0.934655885341143</v>
      </c>
      <c r="C149" s="39" t="n">
        <f aca="false">PR_PH(C$2,$A149)</f>
        <v>0.934658869028973</v>
      </c>
      <c r="D149" s="39" t="n">
        <f aca="false">PR_PH(D$2,$A149)</f>
        <v>0.934661852566142</v>
      </c>
      <c r="E149" s="39" t="n">
        <f aca="false">PR_PH(E$2,$A149)</f>
        <v>0.934664835957482</v>
      </c>
      <c r="F149" s="39" t="n">
        <f aca="false">PR_PH(F$2,$A149)</f>
        <v>0.93466781920716</v>
      </c>
      <c r="G149" s="39" t="n">
        <f aca="false">PR_PH(G$2,$A149)</f>
        <v>0.934697644558608</v>
      </c>
      <c r="H149" s="39" t="n">
        <f aca="false">PR_PH(H$2,$A149)</f>
        <v>0.934727458253289</v>
      </c>
      <c r="I149" s="39" t="n">
        <f aca="false">PR_PH(I$2,$A149)</f>
        <v>0.93475726150723</v>
      </c>
      <c r="J149" s="39" t="n">
        <f aca="false">PR_PH(J$2,$A149)</f>
        <v>0.934787055109808</v>
      </c>
      <c r="K149" s="39" t="n">
        <f aca="false">PR_PH(K$2,$A149)</f>
        <v>0.934816839638676</v>
      </c>
      <c r="L149" s="39" t="n">
        <f aca="false">PR_PH(L$2,$A149)</f>
        <v>0.934846615545491</v>
      </c>
      <c r="M149" s="39" t="n">
        <f aca="false">PR_PH(M$2,$A149)</f>
        <v>0.934876383198769</v>
      </c>
      <c r="N149" s="39" t="n">
        <f aca="false">PR_PH(N$2,$A149)</f>
        <v>0.934906142908269</v>
      </c>
      <c r="O149" s="39" t="n">
        <f aca="false">PR_PH(O$2,$A149)</f>
        <v>0.934935894940199</v>
      </c>
      <c r="P149" s="39" t="n">
        <f aca="false">PR_PH(P$2,$A149)</f>
        <v>0.935233034129261</v>
      </c>
      <c r="Q149" s="39" t="n">
        <f aca="false">PR_PH(Q$2,$A149)</f>
        <v>0.935529564870504</v>
      </c>
      <c r="R149" s="39" t="n">
        <f aca="false">PR_PH(R$2,$A149)</f>
        <v>0.935825563651238</v>
      </c>
      <c r="S149" s="39" t="n">
        <f aca="false">PR_PH(S$2,$A149)</f>
        <v>0.936121079669189</v>
      </c>
      <c r="T149" s="39" t="n">
        <f aca="false">PR_PH(T$2,$A149)</f>
        <v>0.936416148577571</v>
      </c>
      <c r="U149" s="39" t="n">
        <f aca="false">PR_PH(U$2,$A149)</f>
        <v>0.936710797958703</v>
      </c>
      <c r="V149" s="39" t="n">
        <f aca="false">PR_PH(V$2,$A149)</f>
        <v>0.937005050059342</v>
      </c>
      <c r="W149" s="39" t="n">
        <f aca="false">PR_PH(W$2,$A149)</f>
        <v>0.937298923350236</v>
      </c>
      <c r="X149" s="39" t="n">
        <f aca="false">PR_PH(X$2,$A149)</f>
        <v>0.937592433497227</v>
      </c>
      <c r="Y149" s="39" t="n">
        <f aca="false">PR_PH(Y$2,$A149)</f>
        <v>0.940509882961394</v>
      </c>
      <c r="Z149" s="39" t="n">
        <f aca="false">PR_PH(Z$2,$A149)</f>
        <v>0.943399620796371</v>
      </c>
      <c r="AA149" s="39" t="n">
        <f aca="false">PR_PH(AA$2,$A149)</f>
        <v>0.946265052703703</v>
      </c>
      <c r="AB149" s="39" t="n">
        <f aca="false">PR_PH(AB$2,$A149)</f>
        <v>0.94910785479232</v>
      </c>
      <c r="AC149" s="39" t="n">
        <f aca="false">PR_PH(AC$2,$A149)</f>
        <v>0.95192888673037</v>
      </c>
      <c r="AD149" s="39" t="n">
        <f aca="false">PR_PH(AD$2,$A149)</f>
        <v>0.954728559841549</v>
      </c>
      <c r="AE149" s="39" t="n">
        <f aca="false">PR_PH(AE$2,$A149)</f>
        <v>0.95750702164397</v>
      </c>
      <c r="AF149" s="39" t="n">
        <f aca="false">PR_PH(AF$2,$A149)</f>
        <v>0.960264260314738</v>
      </c>
      <c r="AG149" s="39" t="n">
        <f aca="false">PR_PH(AG$2,$A149)</f>
        <v>0.963000168491793</v>
      </c>
      <c r="AH149" s="39" t="n">
        <f aca="false">PR_PH(AH$2,$A149)</f>
        <v>0.989147133652433</v>
      </c>
      <c r="AI149" s="39" t="n">
        <f aca="false">PR_PH(AI$2,$A149)</f>
        <v>1.01302298314786</v>
      </c>
      <c r="AJ149" s="39" t="n">
        <f aca="false">PR_PH(AJ$2,$A149)</f>
        <v>1.0347095868322</v>
      </c>
      <c r="AK149" s="39" t="n">
        <f aca="false">PR_PH(AK$2,$A149)</f>
        <v>1.05458258904486</v>
      </c>
      <c r="AL149" s="39" t="n">
        <f aca="false">PR_PH(AL$2,$A149)</f>
        <v>1.07367807513858</v>
      </c>
      <c r="AM149" s="39" t="n">
        <f aca="false">PR_PH(AM$2,$A149)</f>
        <v>1.09362221728739</v>
      </c>
      <c r="AN149" s="39" t="n">
        <f aca="false">PR_PH(AN$2,$A149)</f>
        <v>1.10674073823366</v>
      </c>
      <c r="AO149" s="39" t="n">
        <f aca="false">PR_PH(AO$2,$A149)</f>
        <v>1.12012658578912</v>
      </c>
      <c r="AP149" s="39" t="n">
        <f aca="false">PR_PH(AP$2,$A149)</f>
        <v>1.13287148589456</v>
      </c>
      <c r="AQ149" s="39" t="n">
        <f aca="false">PR_PH(AQ$2,$A149)</f>
        <v>2015</v>
      </c>
    </row>
    <row r="150" customFormat="false" ht="13.8" hidden="false" customHeight="false" outlineLevel="0" collapsed="false">
      <c r="A150" s="0" t="n">
        <v>3100</v>
      </c>
      <c r="B150" s="39" t="n">
        <f aca="false">PR_PH(B$2,$A150)</f>
        <v>0.934091699044709</v>
      </c>
      <c r="C150" s="39" t="n">
        <f aca="false">PR_PH(C$2,$A150)</f>
        <v>0.934094532119309</v>
      </c>
      <c r="D150" s="39" t="n">
        <f aca="false">PR_PH(D$2,$A150)</f>
        <v>0.934097365058478</v>
      </c>
      <c r="E150" s="39" t="n">
        <f aca="false">PR_PH(E$2,$A150)</f>
        <v>0.93410019786655</v>
      </c>
      <c r="F150" s="39" t="n">
        <f aca="false">PR_PH(F$2,$A150)</f>
        <v>0.934103030547263</v>
      </c>
      <c r="G150" s="39" t="n">
        <f aca="false">PR_PH(G$2,$A150)</f>
        <v>0.934131350928707</v>
      </c>
      <c r="H150" s="39" t="n">
        <f aca="false">PR_PH(H$2,$A150)</f>
        <v>0.934159660823691</v>
      </c>
      <c r="I150" s="39" t="n">
        <f aca="false">PR_PH(I$2,$A150)</f>
        <v>0.93418796132228</v>
      </c>
      <c r="J150" s="39" t="n">
        <f aca="false">PR_PH(J$2,$A150)</f>
        <v>0.934216253132011</v>
      </c>
      <c r="K150" s="39" t="n">
        <f aca="false">PR_PH(K$2,$A150)</f>
        <v>0.934244536770636</v>
      </c>
      <c r="L150" s="39" t="n">
        <f aca="false">PR_PH(L$2,$A150)</f>
        <v>0.934272812642942</v>
      </c>
      <c r="M150" s="39" t="n">
        <f aca="false">PR_PH(M$2,$A150)</f>
        <v>0.934301081079182</v>
      </c>
      <c r="N150" s="39" t="n">
        <f aca="false">PR_PH(N$2,$A150)</f>
        <v>0.934329342356958</v>
      </c>
      <c r="O150" s="39" t="n">
        <f aca="false">PR_PH(O$2,$A150)</f>
        <v>0.934357596714807</v>
      </c>
      <c r="P150" s="39" t="n">
        <f aca="false">PR_PH(P$2,$A150)</f>
        <v>0.934639796556831</v>
      </c>
      <c r="Q150" s="39" t="n">
        <f aca="false">PR_PH(Q$2,$A150)</f>
        <v>0.934921447145309</v>
      </c>
      <c r="R150" s="39" t="n">
        <f aca="false">PR_PH(R$2,$A150)</f>
        <v>0.935202617004798</v>
      </c>
      <c r="S150" s="39" t="n">
        <f aca="false">PR_PH(S$2,$A150)</f>
        <v>0.935483350213133</v>
      </c>
      <c r="T150" s="39" t="n">
        <f aca="false">PR_PH(T$2,$A150)</f>
        <v>0.935763678718027</v>
      </c>
      <c r="U150" s="39" t="n">
        <f aca="false">PR_PH(U$2,$A150)</f>
        <v>0.93604362724089</v>
      </c>
      <c r="V150" s="39" t="n">
        <f aca="false">PR_PH(V$2,$A150)</f>
        <v>0.936323215726873</v>
      </c>
      <c r="W150" s="39" t="n">
        <f aca="false">PR_PH(W$2,$A150)</f>
        <v>0.936602460741592</v>
      </c>
      <c r="X150" s="39" t="n">
        <f aca="false">PR_PH(X$2,$A150)</f>
        <v>0.936881376340634</v>
      </c>
      <c r="Y150" s="39" t="n">
        <f aca="false">PR_PH(Y$2,$A150)</f>
        <v>0.939654499688709</v>
      </c>
      <c r="Z150" s="39" t="n">
        <f aca="false">PR_PH(Z$2,$A150)</f>
        <v>0.942402422250726</v>
      </c>
      <c r="AA150" s="39" t="n">
        <f aca="false">PR_PH(AA$2,$A150)</f>
        <v>0.945128230513021</v>
      </c>
      <c r="AB150" s="39" t="n">
        <f aca="false">PR_PH(AB$2,$A150)</f>
        <v>0.947833460575135</v>
      </c>
      <c r="AC150" s="39" t="n">
        <f aca="false">PR_PH(AC$2,$A150)</f>
        <v>0.950518913737338</v>
      </c>
      <c r="AD150" s="39" t="n">
        <f aca="false">PR_PH(AD$2,$A150)</f>
        <v>0.953184985249953</v>
      </c>
      <c r="AE150" s="39" t="n">
        <f aca="false">PR_PH(AE$2,$A150)</f>
        <v>0.955831829288261</v>
      </c>
      <c r="AF150" s="39" t="n">
        <f aca="false">PR_PH(AF$2,$A150)</f>
        <v>0.958459452547532</v>
      </c>
      <c r="AG150" s="39" t="n">
        <f aca="false">PR_PH(AG$2,$A150)</f>
        <v>0.961067771616528</v>
      </c>
      <c r="AH150" s="39" t="n">
        <f aca="false">PR_PH(AH$2,$A150)</f>
        <v>0.986054775009311</v>
      </c>
      <c r="AI150" s="39" t="n">
        <f aca="false">PR_PH(AI$2,$A150)</f>
        <v>1.00898606415798</v>
      </c>
      <c r="AJ150" s="39" t="n">
        <f aca="false">PR_PH(AJ$2,$A150)</f>
        <v>1.02995250775215</v>
      </c>
      <c r="AK150" s="39" t="n">
        <f aca="false">PR_PH(AK$2,$A150)</f>
        <v>1.04941146843671</v>
      </c>
      <c r="AL150" s="39" t="n">
        <f aca="false">PR_PH(AL$2,$A150)</f>
        <v>1.06878103867397</v>
      </c>
      <c r="AM150" s="39" t="n">
        <f aca="false">PR_PH(AM$2,$A150)</f>
        <v>1.08564096892357</v>
      </c>
      <c r="AN150" s="39" t="n">
        <f aca="false">PR_PH(AN$2,$A150)</f>
        <v>1.09939948656011</v>
      </c>
      <c r="AO150" s="39" t="n">
        <f aca="false">PR_PH(AO$2,$A150)</f>
        <v>1.11275971025905</v>
      </c>
      <c r="AP150" s="39" t="n">
        <f aca="false">PR_PH(AP$2,$A150)</f>
        <v>2015</v>
      </c>
      <c r="AQ150" s="39" t="n">
        <f aca="false">PR_PH(AQ$2,$A150)</f>
        <v>2015</v>
      </c>
    </row>
    <row r="151" customFormat="false" ht="13.8" hidden="false" customHeight="false" outlineLevel="0" collapsed="false">
      <c r="A151" s="0" t="n">
        <v>3110</v>
      </c>
      <c r="B151" s="39" t="n">
        <f aca="false">PR_PH(B$2,$A151)</f>
        <v>0.933524784214048</v>
      </c>
      <c r="C151" s="39" t="n">
        <f aca="false">PR_PH(C$2,$A151)</f>
        <v>0.933527476915175</v>
      </c>
      <c r="D151" s="39" t="n">
        <f aca="false">PR_PH(D$2,$A151)</f>
        <v>0.9335301694943</v>
      </c>
      <c r="E151" s="39" t="n">
        <f aca="false">PR_PH(E$2,$A151)</f>
        <v>0.933532861955314</v>
      </c>
      <c r="F151" s="39" t="n">
        <f aca="false">PR_PH(F$2,$A151)</f>
        <v>0.933535554301567</v>
      </c>
      <c r="G151" s="39" t="n">
        <f aca="false">PR_PH(G$2,$A151)</f>
        <v>0.933562471972533</v>
      </c>
      <c r="H151" s="39" t="n">
        <f aca="false">PR_PH(H$2,$A151)</f>
        <v>0.933589380187637</v>
      </c>
      <c r="I151" s="39" t="n">
        <f aca="false">PR_PH(I$2,$A151)</f>
        <v>0.933616279925521</v>
      </c>
      <c r="J151" s="39" t="n">
        <f aca="false">PR_PH(J$2,$A151)</f>
        <v>0.933643171821355</v>
      </c>
      <c r="K151" s="39" t="n">
        <f aca="false">PR_PH(K$2,$A151)</f>
        <v>0.933670056339898</v>
      </c>
      <c r="L151" s="39" t="n">
        <f aca="false">PR_PH(L$2,$A151)</f>
        <v>0.933696933844495</v>
      </c>
      <c r="M151" s="39" t="n">
        <f aca="false">PR_PH(M$2,$A151)</f>
        <v>0.93372380463158</v>
      </c>
      <c r="N151" s="39" t="n">
        <f aca="false">PR_PH(N$2,$A151)</f>
        <v>0.933750668950304</v>
      </c>
      <c r="O151" s="39" t="n">
        <f aca="false">PR_PH(O$2,$A151)</f>
        <v>0.933777527014759</v>
      </c>
      <c r="P151" s="39" t="n">
        <f aca="false">PR_PH(P$2,$A151)</f>
        <v>0.934045796753665</v>
      </c>
      <c r="Q151" s="39" t="n">
        <f aca="false">PR_PH(Q$2,$A151)</f>
        <v>0.934313569159979</v>
      </c>
      <c r="R151" s="39" t="n">
        <f aca="false">PR_PH(R$2,$A151)</f>
        <v>0.934580905723489</v>
      </c>
      <c r="S151" s="39" t="n">
        <f aca="false">PR_PH(S$2,$A151)</f>
        <v>0.934847845999908</v>
      </c>
      <c r="T151" s="39" t="n">
        <f aca="false">PR_PH(T$2,$A151)</f>
        <v>0.935114418664603</v>
      </c>
      <c r="U151" s="39" t="n">
        <f aca="false">PR_PH(U$2,$A151)</f>
        <v>0.935380645912724</v>
      </c>
      <c r="V151" s="39" t="n">
        <f aca="false">PR_PH(V$2,$A151)</f>
        <v>0.935646545657208</v>
      </c>
      <c r="W151" s="39" t="n">
        <f aca="false">PR_PH(W$2,$A151)</f>
        <v>0.935912132781584</v>
      </c>
      <c r="X151" s="39" t="n">
        <f aca="false">PR_PH(X$2,$A151)</f>
        <v>0.936177419919762</v>
      </c>
      <c r="Y151" s="39" t="n">
        <f aca="false">PR_PH(Y$2,$A151)</f>
        <v>0.938815669214909</v>
      </c>
      <c r="Z151" s="39" t="n">
        <f aca="false">PR_PH(Z$2,$A151)</f>
        <v>0.941430899900248</v>
      </c>
      <c r="AA151" s="39" t="n">
        <f aca="false">PR_PH(AA$2,$A151)</f>
        <v>0.944025917424383</v>
      </c>
      <c r="AB151" s="39" t="n">
        <f aca="false">PR_PH(AB$2,$A151)</f>
        <v>0.946602135867108</v>
      </c>
      <c r="AC151" s="39" t="n">
        <f aca="false">PR_PH(AC$2,$A151)</f>
        <v>0.949160307489448</v>
      </c>
      <c r="AD151" s="39" t="n">
        <f aca="false">PR_PH(AD$2,$A151)</f>
        <v>0.951700816765127</v>
      </c>
      <c r="AE151" s="39" t="n">
        <f aca="false">PR_PH(AE$2,$A151)</f>
        <v>0.954223828064757</v>
      </c>
      <c r="AF151" s="39" t="n">
        <f aca="false">PR_PH(AF$2,$A151)</f>
        <v>0.956729369616688</v>
      </c>
      <c r="AG151" s="39" t="n">
        <f aca="false">PR_PH(AG$2,$A151)</f>
        <v>0.959217385158458</v>
      </c>
      <c r="AH151" s="39" t="n">
        <f aca="false">PR_PH(AH$2,$A151)</f>
        <v>0.983104931523646</v>
      </c>
      <c r="AI151" s="39" t="n">
        <f aca="false">PR_PH(AI$2,$A151)</f>
        <v>1.00513760847603</v>
      </c>
      <c r="AJ151" s="39" t="n">
        <f aca="false">PR_PH(AJ$2,$A151)</f>
        <v>1.02543699989542</v>
      </c>
      <c r="AK151" s="39" t="n">
        <f aca="false">PR_PH(AK$2,$A151)</f>
        <v>1.04460379719528</v>
      </c>
      <c r="AL151" s="39" t="n">
        <f aca="false">PR_PH(AL$2,$A151)</f>
        <v>1.06410715444005</v>
      </c>
      <c r="AM151" s="39" t="n">
        <f aca="false">PR_PH(AM$2,$A151)</f>
        <v>1.07856487777572</v>
      </c>
      <c r="AN151" s="39" t="n">
        <f aca="false">PR_PH(AN$2,$A151)</f>
        <v>1.09249797553499</v>
      </c>
      <c r="AO151" s="39" t="n">
        <f aca="false">PR_PH(AO$2,$A151)</f>
        <v>1.10568056700368</v>
      </c>
      <c r="AP151" s="39" t="n">
        <f aca="false">PR_PH(AP$2,$A151)</f>
        <v>2015</v>
      </c>
      <c r="AQ151" s="39" t="n">
        <f aca="false">PR_PH(AQ$2,$A151)</f>
        <v>2015</v>
      </c>
    </row>
    <row r="152" customFormat="false" ht="13.8" hidden="false" customHeight="false" outlineLevel="0" collapsed="false">
      <c r="A152" s="0" t="n">
        <v>3120</v>
      </c>
      <c r="B152" s="39" t="n">
        <f aca="false">PR_PH(B$2,$A152)</f>
        <v>0.932955174879992</v>
      </c>
      <c r="C152" s="39" t="n">
        <f aca="false">PR_PH(C$2,$A152)</f>
        <v>0.932957736610515</v>
      </c>
      <c r="D152" s="39" t="n">
        <f aca="false">PR_PH(D$2,$A152)</f>
        <v>0.932960298230891</v>
      </c>
      <c r="E152" s="39" t="n">
        <f aca="false">PR_PH(E$2,$A152)</f>
        <v>0.932962859744626</v>
      </c>
      <c r="F152" s="39" t="n">
        <f aca="false">PR_PH(F$2,$A152)</f>
        <v>0.932965421154734</v>
      </c>
      <c r="G152" s="39" t="n">
        <f aca="false">PR_PH(G$2,$A152)</f>
        <v>0.932991030023954</v>
      </c>
      <c r="H152" s="39" t="n">
        <f aca="false">PR_PH(H$2,$A152)</f>
        <v>0.93301663034672</v>
      </c>
      <c r="I152" s="39" t="n">
        <f aca="false">PR_PH(I$2,$A152)</f>
        <v>0.933042223002983</v>
      </c>
      <c r="J152" s="39" t="n">
        <f aca="false">PR_PH(J$2,$A152)</f>
        <v>0.933067808563837</v>
      </c>
      <c r="K152" s="39" t="n">
        <f aca="false">PR_PH(K$2,$A152)</f>
        <v>0.933093387447126</v>
      </c>
      <c r="L152" s="39" t="n">
        <f aca="false">PR_PH(L$2,$A152)</f>
        <v>0.933118959979511</v>
      </c>
      <c r="M152" s="39" t="n">
        <f aca="false">PR_PH(M$2,$A152)</f>
        <v>0.93314452642748</v>
      </c>
      <c r="N152" s="39" t="n">
        <f aca="false">PR_PH(N$2,$A152)</f>
        <v>0.933170087015015</v>
      </c>
      <c r="O152" s="39" t="n">
        <f aca="false">PR_PH(O$2,$A152)</f>
        <v>0.933195641934569</v>
      </c>
      <c r="P152" s="39" t="n">
        <f aca="false">PR_PH(P$2,$A152)</f>
        <v>0.933450909125352</v>
      </c>
      <c r="Q152" s="39" t="n">
        <f aca="false">PR_PH(Q$2,$A152)</f>
        <v>0.933705724656137</v>
      </c>
      <c r="R152" s="39" t="n">
        <f aca="false">PR_PH(R$2,$A152)</f>
        <v>0.933960143795634</v>
      </c>
      <c r="S152" s="39" t="n">
        <f aca="false">PR_PH(S$2,$A152)</f>
        <v>0.934214202101565</v>
      </c>
      <c r="T152" s="39" t="n">
        <f aca="false">PR_PH(T$2,$A152)</f>
        <v>0.934467925356693</v>
      </c>
      <c r="U152" s="39" t="n">
        <f aca="false">PR_PH(U$2,$A152)</f>
        <v>0.934721333523295</v>
      </c>
      <c r="V152" s="39" t="n">
        <f aca="false">PR_PH(V$2,$A152)</f>
        <v>0.934974442718203</v>
      </c>
      <c r="W152" s="39" t="n">
        <f aca="false">PR_PH(W$2,$A152)</f>
        <v>0.935227266338352</v>
      </c>
      <c r="X152" s="39" t="n">
        <f aca="false">PR_PH(X$2,$A152)</f>
        <v>0.935479815761228</v>
      </c>
      <c r="Y152" s="39" t="n">
        <f aca="false">PR_PH(Y$2,$A152)</f>
        <v>0.937991922421762</v>
      </c>
      <c r="Z152" s="39" t="n">
        <f aca="false">PR_PH(Z$2,$A152)</f>
        <v>0.940482917170204</v>
      </c>
      <c r="AA152" s="39" t="n">
        <f aca="false">PR_PH(AA$2,$A152)</f>
        <v>0.942955357676311</v>
      </c>
      <c r="AB152" s="39" t="n">
        <f aca="false">PR_PH(AB$2,$A152)</f>
        <v>0.945410551493934</v>
      </c>
      <c r="AC152" s="39" t="n">
        <f aca="false">PR_PH(AC$2,$A152)</f>
        <v>0.94784920969145</v>
      </c>
      <c r="AD152" s="39" t="n">
        <f aca="false">PR_PH(AD$2,$A152)</f>
        <v>0.950271710240938</v>
      </c>
      <c r="AE152" s="39" t="n">
        <f aca="false">PR_PH(AE$2,$A152)</f>
        <v>0.952678230425546</v>
      </c>
      <c r="AF152" s="39" t="n">
        <f aca="false">PR_PH(AF$2,$A152)</f>
        <v>0.955068822273022</v>
      </c>
      <c r="AG152" s="39" t="n">
        <f aca="false">PR_PH(AG$2,$A152)</f>
        <v>0.957443459130019</v>
      </c>
      <c r="AH152" s="39" t="n">
        <f aca="false">PR_PH(AH$2,$A152)</f>
        <v>0.980290547953009</v>
      </c>
      <c r="AI152" s="39" t="n">
        <f aca="false">PR_PH(AI$2,$A152)</f>
        <v>1.00147311599969</v>
      </c>
      <c r="AJ152" s="39" t="n">
        <f aca="false">PR_PH(AJ$2,$A152)</f>
        <v>1.02117055221568</v>
      </c>
      <c r="AK152" s="39" t="n">
        <f aca="false">PR_PH(AK$2,$A152)</f>
        <v>1.04018712591758</v>
      </c>
      <c r="AL152" s="39" t="n">
        <f aca="false">PR_PH(AL$2,$A152)</f>
        <v>1.05760856539521</v>
      </c>
      <c r="AM152" s="39" t="n">
        <f aca="false">PR_PH(AM$2,$A152)</f>
        <v>1.07210135306789</v>
      </c>
      <c r="AN152" s="39" t="n">
        <f aca="false">PR_PH(AN$2,$A152)</f>
        <v>1.08592534328874</v>
      </c>
      <c r="AO152" s="39" t="n">
        <f aca="false">PR_PH(AO$2,$A152)</f>
        <v>2015</v>
      </c>
      <c r="AP152" s="39" t="n">
        <f aca="false">PR_PH(AP$2,$A152)</f>
        <v>2015</v>
      </c>
      <c r="AQ152" s="39" t="n">
        <f aca="false">PR_PH(AQ$2,$A152)</f>
        <v>2015</v>
      </c>
    </row>
    <row r="153" customFormat="false" ht="13.8" hidden="false" customHeight="false" outlineLevel="0" collapsed="false">
      <c r="A153" s="0" t="n">
        <v>3130</v>
      </c>
      <c r="B153" s="39" t="n">
        <f aca="false">PR_PH(B$2,$A153)</f>
        <v>0.932382924485724</v>
      </c>
      <c r="C153" s="39" t="n">
        <f aca="false">PR_PH(C$2,$A153)</f>
        <v>0.932385363888045</v>
      </c>
      <c r="D153" s="39" t="n">
        <f aca="false">PR_PH(D$2,$A153)</f>
        <v>0.93238780319072</v>
      </c>
      <c r="E153" s="39" t="n">
        <f aca="false">PR_PH(E$2,$A153)</f>
        <v>0.932390242396898</v>
      </c>
      <c r="F153" s="39" t="n">
        <f aca="false">PR_PH(F$2,$A153)</f>
        <v>0.93239268150929</v>
      </c>
      <c r="G153" s="39" t="n">
        <f aca="false">PR_PH(G$2,$A153)</f>
        <v>0.932417067896438</v>
      </c>
      <c r="H153" s="39" t="n">
        <f aca="false">PR_PH(H$2,$A153)</f>
        <v>0.93244144654121</v>
      </c>
      <c r="I153" s="39" t="n">
        <f aca="false">PR_PH(I$2,$A153)</f>
        <v>0.932465818236055</v>
      </c>
      <c r="J153" s="39" t="n">
        <f aca="false">PR_PH(J$2,$A153)</f>
        <v>0.932490183495258</v>
      </c>
      <c r="K153" s="39" t="n">
        <f aca="false">PR_PH(K$2,$A153)</f>
        <v>0.932514542695091</v>
      </c>
      <c r="L153" s="39" t="n">
        <f aca="false">PR_PH(L$2,$A153)</f>
        <v>0.932538896129702</v>
      </c>
      <c r="M153" s="39" t="n">
        <f aca="false">PR_PH(M$2,$A153)</f>
        <v>0.932563244039046</v>
      </c>
      <c r="N153" s="39" t="n">
        <f aca="false">PR_PH(N$2,$A153)</f>
        <v>0.932587586624799</v>
      </c>
      <c r="O153" s="39" t="n">
        <f aca="false">PR_PH(O$2,$A153)</f>
        <v>0.932611924060255</v>
      </c>
      <c r="P153" s="39" t="n">
        <f aca="false">PR_PH(P$2,$A153)</f>
        <v>0.932855041919975</v>
      </c>
      <c r="Q153" s="39" t="n">
        <f aca="false">PR_PH(Q$2,$A153)</f>
        <v>0.933097748414887</v>
      </c>
      <c r="R153" s="39" t="n">
        <f aca="false">PR_PH(R$2,$A153)</f>
        <v>0.933340093307691</v>
      </c>
      <c r="S153" s="39" t="n">
        <f aca="false">PR_PH(S$2,$A153)</f>
        <v>0.933582108618846</v>
      </c>
      <c r="T153" s="39" t="n">
        <f aca="false">PR_PH(T$2,$A153)</f>
        <v>0.933823817572392</v>
      </c>
      <c r="U153" s="39" t="n">
        <f aca="false">PR_PH(U$2,$A153)</f>
        <v>0.934065238155737</v>
      </c>
      <c r="V153" s="39" t="n">
        <f aca="false">PR_PH(V$2,$A153)</f>
        <v>0.93430638489731</v>
      </c>
      <c r="W153" s="39" t="n">
        <f aca="false">PR_PH(W$2,$A153)</f>
        <v>0.934547269879425</v>
      </c>
      <c r="X153" s="39" t="n">
        <f aca="false">PR_PH(X$2,$A153)</f>
        <v>0.934787903368561</v>
      </c>
      <c r="Y153" s="39" t="n">
        <f aca="false">PR_PH(Y$2,$A153)</f>
        <v>0.937181936853955</v>
      </c>
      <c r="Z153" s="39" t="n">
        <f aca="false">PR_PH(Z$2,$A153)</f>
        <v>0.9395565346716</v>
      </c>
      <c r="AA153" s="39" t="n">
        <f aca="false">PR_PH(AA$2,$A153)</f>
        <v>0.941914036044671</v>
      </c>
      <c r="AB153" s="39" t="n">
        <f aca="false">PR_PH(AB$2,$A153)</f>
        <v>0.944255655679711</v>
      </c>
      <c r="AC153" s="39" t="n">
        <f aca="false">PR_PH(AC$2,$A153)</f>
        <v>0.946582070383679</v>
      </c>
      <c r="AD153" s="39" t="n">
        <f aca="false">PR_PH(AD$2,$A153)</f>
        <v>0.948893655411617</v>
      </c>
      <c r="AE153" s="39" t="n">
        <f aca="false">PR_PH(AE$2,$A153)</f>
        <v>0.951190603389739</v>
      </c>
      <c r="AF153" s="39" t="n">
        <f aca="false">PR_PH(AF$2,$A153)</f>
        <v>0.953472992220022</v>
      </c>
      <c r="AG153" s="39" t="n">
        <f aca="false">PR_PH(AG$2,$A153)</f>
        <v>0.955740827172576</v>
      </c>
      <c r="AH153" s="39" t="n">
        <f aca="false">PR_PH(AH$2,$A153)</f>
        <v>0.977605041549629</v>
      </c>
      <c r="AI153" s="39" t="n">
        <f aca="false">PR_PH(AI$2,$A153)</f>
        <v>0.99798944815292</v>
      </c>
      <c r="AJ153" s="39" t="n">
        <f aca="false">PR_PH(AJ$2,$A153)</f>
        <v>1.01716480232625</v>
      </c>
      <c r="AK153" s="39" t="n">
        <f aca="false">PR_PH(AK$2,$A153)</f>
        <v>1.03598514684462</v>
      </c>
      <c r="AL153" s="39" t="n">
        <f aca="false">PR_PH(AL$2,$A153)</f>
        <v>1.05158482568223</v>
      </c>
      <c r="AM153" s="39" t="n">
        <f aca="false">PR_PH(AM$2,$A153)</f>
        <v>1.06604108817479</v>
      </c>
      <c r="AN153" s="39" t="n">
        <f aca="false">PR_PH(AN$2,$A153)</f>
        <v>1.07962589880717</v>
      </c>
      <c r="AO153" s="39" t="n">
        <f aca="false">PR_PH(AO$2,$A153)</f>
        <v>2015</v>
      </c>
      <c r="AP153" s="39" t="n">
        <f aca="false">PR_PH(AP$2,$A153)</f>
        <v>2015</v>
      </c>
      <c r="AQ153" s="39" t="n">
        <f aca="false">PR_PH(AQ$2,$A153)</f>
        <v>2015</v>
      </c>
    </row>
    <row r="154" customFormat="false" ht="13.8" hidden="false" customHeight="false" outlineLevel="0" collapsed="false">
      <c r="A154" s="0" t="n">
        <v>3140</v>
      </c>
      <c r="B154" s="39" t="n">
        <f aca="false">PR_PH(B$2,$A154)</f>
        <v>0.931808103502836</v>
      </c>
      <c r="C154" s="39" t="n">
        <f aca="false">PR_PH(C$2,$A154)</f>
        <v>0.931810428527763</v>
      </c>
      <c r="D154" s="39" t="n">
        <f aca="false">PR_PH(D$2,$A154)</f>
        <v>0.931812753462342</v>
      </c>
      <c r="E154" s="39" t="n">
        <f aca="false">PR_PH(E$2,$A154)</f>
        <v>0.931815078309416</v>
      </c>
      <c r="F154" s="39" t="n">
        <f aca="false">PR_PH(F$2,$A154)</f>
        <v>0.931817403071431</v>
      </c>
      <c r="G154" s="39" t="n">
        <f aca="false">PR_PH(G$2,$A154)</f>
        <v>0.931840646393523</v>
      </c>
      <c r="H154" s="39" t="n">
        <f aca="false">PR_PH(H$2,$A154)</f>
        <v>0.931863882685599</v>
      </c>
      <c r="I154" s="39" t="n">
        <f aca="false">PR_PH(I$2,$A154)</f>
        <v>0.931887112662446</v>
      </c>
      <c r="J154" s="39" t="n">
        <f aca="false">PR_PH(J$2,$A154)</f>
        <v>0.931910336787939</v>
      </c>
      <c r="K154" s="39" t="n">
        <f aca="false">PR_PH(K$2,$A154)</f>
        <v>0.93193355540146</v>
      </c>
      <c r="L154" s="39" t="n">
        <f aca="false">PR_PH(L$2,$A154)</f>
        <v>0.931956768768309</v>
      </c>
      <c r="M154" s="39" t="n">
        <f aca="false">PR_PH(M$2,$A154)</f>
        <v>0.931979977104923</v>
      </c>
      <c r="N154" s="39" t="n">
        <f aca="false">PR_PH(N$2,$A154)</f>
        <v>0.932003180593196</v>
      </c>
      <c r="O154" s="39" t="n">
        <f aca="false">PR_PH(O$2,$A154)</f>
        <v>0.93202637938942</v>
      </c>
      <c r="P154" s="39" t="n">
        <f aca="false">PR_PH(P$2,$A154)</f>
        <v>0.932258133434856</v>
      </c>
      <c r="Q154" s="39" t="n">
        <f aca="false">PR_PH(Q$2,$A154)</f>
        <v>0.932489511773674</v>
      </c>
      <c r="R154" s="39" t="n">
        <f aca="false">PR_PH(R$2,$A154)</f>
        <v>0.93272055929244</v>
      </c>
      <c r="S154" s="39" t="n">
        <f aca="false">PR_PH(S$2,$A154)</f>
        <v>0.932951304880504</v>
      </c>
      <c r="T154" s="39" t="n">
        <f aca="false">PR_PH(T$2,$A154)</f>
        <v>0.933181769497703</v>
      </c>
      <c r="U154" s="39" t="n">
        <f aca="false">PR_PH(U$2,$A154)</f>
        <v>0.933411969384318</v>
      </c>
      <c r="V154" s="39" t="n">
        <f aca="false">PR_PH(V$2,$A154)</f>
        <v>0.933641917663782</v>
      </c>
      <c r="W154" s="39" t="n">
        <f aca="false">PR_PH(W$2,$A154)</f>
        <v>0.93387162525579</v>
      </c>
      <c r="X154" s="39" t="n">
        <f aca="false">PR_PH(X$2,$A154)</f>
        <v>0.934101101444377</v>
      </c>
      <c r="Y154" s="39" t="n">
        <f aca="false">PR_PH(Y$2,$A154)</f>
        <v>0.936384523143564</v>
      </c>
      <c r="Z154" s="39" t="n">
        <f aca="false">PR_PH(Z$2,$A154)</f>
        <v>0.938649993174992</v>
      </c>
      <c r="AA154" s="39" t="n">
        <f aca="false">PR_PH(AA$2,$A154)</f>
        <v>0.940899658582729</v>
      </c>
      <c r="AB154" s="39" t="n">
        <f aca="false">PR_PH(AB$2,$A154)</f>
        <v>0.943134653685878</v>
      </c>
      <c r="AC154" s="39" t="n">
        <f aca="false">PR_PH(AC$2,$A154)</f>
        <v>0.945355627549562</v>
      </c>
      <c r="AD154" s="39" t="n">
        <f aca="false">PR_PH(AD$2,$A154)</f>
        <v>0.947562956487451</v>
      </c>
      <c r="AE154" s="39" t="n">
        <f aca="false">PR_PH(AE$2,$A154)</f>
        <v>0.949756851106898</v>
      </c>
      <c r="AF154" s="39" t="n">
        <f aca="false">PR_PH(AF$2,$A154)</f>
        <v>0.951937417594452</v>
      </c>
      <c r="AG154" s="39" t="n">
        <f aca="false">PR_PH(AG$2,$A154)</f>
        <v>0.954104695884306</v>
      </c>
      <c r="AH154" s="39" t="n">
        <f aca="false">PR_PH(AH$2,$A154)</f>
        <v>0.9750423881288</v>
      </c>
      <c r="AI154" s="39" t="n">
        <f aca="false">PR_PH(AI$2,$A154)</f>
        <v>0.994685072808185</v>
      </c>
      <c r="AJ154" s="39" t="n">
        <f aca="false">PR_PH(AJ$2,$A154)</f>
        <v>1.01342197508026</v>
      </c>
      <c r="AK154" s="39" t="n">
        <f aca="false">PR_PH(AK$2,$A154)</f>
        <v>1.03092511205785</v>
      </c>
      <c r="AL154" s="39" t="n">
        <f aca="false">PR_PH(AL$2,$A154)</f>
        <v>1.04605493804251</v>
      </c>
      <c r="AM154" s="39" t="n">
        <f aca="false">PR_PH(AM$2,$A154)</f>
        <v>1.06028340573747</v>
      </c>
      <c r="AN154" s="39" t="n">
        <f aca="false">PR_PH(AN$2,$A154)</f>
        <v>2015</v>
      </c>
      <c r="AO154" s="39" t="n">
        <f aca="false">PR_PH(AO$2,$A154)</f>
        <v>2015</v>
      </c>
      <c r="AP154" s="39" t="n">
        <f aca="false">PR_PH(AP$2,$A154)</f>
        <v>2015</v>
      </c>
      <c r="AQ154" s="39" t="n">
        <f aca="false">PR_PH(AQ$2,$A154)</f>
        <v>2015</v>
      </c>
    </row>
    <row r="155" customFormat="false" ht="13.8" hidden="false" customHeight="false" outlineLevel="0" collapsed="false">
      <c r="A155" s="0" t="n">
        <v>3150</v>
      </c>
      <c r="B155" s="39" t="n">
        <f aca="false">PR_PH(B$2,$A155)</f>
        <v>0.931230797254132</v>
      </c>
      <c r="C155" s="39" t="n">
        <f aca="false">PR_PH(C$2,$A155)</f>
        <v>0.93123301522295</v>
      </c>
      <c r="D155" s="39" t="n">
        <f aca="false">PR_PH(D$2,$A155)</f>
        <v>0.931235233109682</v>
      </c>
      <c r="E155" s="39" t="n">
        <f aca="false">PR_PH(E$2,$A155)</f>
        <v>0.931237450916895</v>
      </c>
      <c r="F155" s="39" t="n">
        <f aca="false">PR_PH(F$2,$A155)</f>
        <v>0.931239668646798</v>
      </c>
      <c r="G155" s="39" t="n">
        <f aca="false">PR_PH(G$2,$A155)</f>
        <v>0.931261842037228</v>
      </c>
      <c r="H155" s="39" t="n">
        <f aca="false">PR_PH(H$2,$A155)</f>
        <v>0.931284009029997</v>
      </c>
      <c r="I155" s="39" t="n">
        <f aca="false">PR_PH(I$2,$A155)</f>
        <v>0.931306170270868</v>
      </c>
      <c r="J155" s="39" t="n">
        <f aca="false">PR_PH(J$2,$A155)</f>
        <v>0.931328326178937</v>
      </c>
      <c r="K155" s="39" t="n">
        <f aca="false">PR_PH(K$2,$A155)</f>
        <v>0.931350477060819</v>
      </c>
      <c r="L155" s="39" t="n">
        <f aca="false">PR_PH(L$2,$A155)</f>
        <v>0.931372623156218</v>
      </c>
      <c r="M155" s="39" t="n">
        <f aca="false">PR_PH(M$2,$A155)</f>
        <v>0.931394764660673</v>
      </c>
      <c r="N155" s="39" t="n">
        <f aca="false">PR_PH(N$2,$A155)</f>
        <v>0.93141690173853</v>
      </c>
      <c r="O155" s="39" t="n">
        <f aca="false">PR_PH(O$2,$A155)</f>
        <v>0.931439034530996</v>
      </c>
      <c r="P155" s="39" t="n">
        <f aca="false">PR_PH(P$2,$A155)</f>
        <v>0.931660148575904</v>
      </c>
      <c r="Q155" s="39" t="n">
        <f aca="false">PR_PH(Q$2,$A155)</f>
        <v>0.931880918564428</v>
      </c>
      <c r="R155" s="39" t="n">
        <f aca="false">PR_PH(R$2,$A155)</f>
        <v>0.932101385063276</v>
      </c>
      <c r="S155" s="39" t="n">
        <f aca="false">PR_PH(S$2,$A155)</f>
        <v>0.932321574189843</v>
      </c>
      <c r="T155" s="39" t="n">
        <f aca="false">PR_PH(T$2,$A155)</f>
        <v>0.932541504900527</v>
      </c>
      <c r="U155" s="39" t="n">
        <f aca="false">PR_PH(U$2,$A155)</f>
        <v>0.932761191890331</v>
      </c>
      <c r="V155" s="39" t="n">
        <f aca="false">PR_PH(V$2,$A155)</f>
        <v>0.932980647040485</v>
      </c>
      <c r="W155" s="39" t="n">
        <f aca="false">PR_PH(W$2,$A155)</f>
        <v>0.93319988024308</v>
      </c>
      <c r="X155" s="39" t="n">
        <f aca="false">PR_PH(X$2,$A155)</f>
        <v>0.933418899914066</v>
      </c>
      <c r="Y155" s="39" t="n">
        <f aca="false">PR_PH(Y$2,$A155)</f>
        <v>0.935598612520245</v>
      </c>
      <c r="Z155" s="39" t="n">
        <f aca="false">PR_PH(Z$2,$A155)</f>
        <v>0.937761697696196</v>
      </c>
      <c r="AA155" s="39" t="n">
        <f aca="false">PR_PH(AA$2,$A155)</f>
        <v>0.939910134275702</v>
      </c>
      <c r="AB155" s="39" t="n">
        <f aca="false">PR_PH(AB$2,$A155)</f>
        <v>0.942044987970832</v>
      </c>
      <c r="AC155" s="39" t="n">
        <f aca="false">PR_PH(AC$2,$A155)</f>
        <v>0.944166886676704</v>
      </c>
      <c r="AD155" s="39" t="n">
        <f aca="false">PR_PH(AD$2,$A155)</f>
        <v>0.946276211983401</v>
      </c>
      <c r="AE155" s="39" t="n">
        <f aca="false">PR_PH(AE$2,$A155)</f>
        <v>0.948373195795346</v>
      </c>
      <c r="AF155" s="39" t="n">
        <f aca="false">PR_PH(AF$2,$A155)</f>
        <v>0.950457975837536</v>
      </c>
      <c r="AG155" s="39" t="n">
        <f aca="false">PR_PH(AG$2,$A155)</f>
        <v>0.952530630432107</v>
      </c>
      <c r="AH155" s="39" t="n">
        <f aca="false">PR_PH(AH$2,$A155)</f>
        <v>0.972597167552334</v>
      </c>
      <c r="AI155" s="39" t="n">
        <f aca="false">PR_PH(AI$2,$A155)</f>
        <v>0.9915588984441</v>
      </c>
      <c r="AJ155" s="39" t="n">
        <f aca="false">PR_PH(AJ$2,$A155)</f>
        <v>1.00983209302293</v>
      </c>
      <c r="AK155" s="39" t="n">
        <f aca="false">PR_PH(AK$2,$A155)</f>
        <v>1.02600076454836</v>
      </c>
      <c r="AL155" s="39" t="n">
        <f aca="false">PR_PH(AL$2,$A155)</f>
        <v>1.04086840061529</v>
      </c>
      <c r="AM155" s="39" t="n">
        <f aca="false">PR_PH(AM$2,$A155)</f>
        <v>1.05477722333051</v>
      </c>
      <c r="AN155" s="39" t="n">
        <f aca="false">PR_PH(AN$2,$A155)</f>
        <v>2015</v>
      </c>
      <c r="AO155" s="39" t="n">
        <f aca="false">PR_PH(AO$2,$A155)</f>
        <v>2015</v>
      </c>
      <c r="AP155" s="39" t="n">
        <f aca="false">PR_PH(AP$2,$A155)</f>
        <v>2015</v>
      </c>
      <c r="AQ155" s="39" t="n">
        <f aca="false">PR_PH(AQ$2,$A155)</f>
        <v>2015</v>
      </c>
    </row>
    <row r="156" customFormat="false" ht="13.8" hidden="false" customHeight="false" outlineLevel="0" collapsed="false">
      <c r="A156" s="0" t="n">
        <v>3160</v>
      </c>
      <c r="B156" s="39" t="n">
        <f aca="false">PR_PH(B$2,$A156)</f>
        <v>0.930651103926755</v>
      </c>
      <c r="C156" s="39" t="n">
        <f aca="false">PR_PH(C$2,$A156)</f>
        <v>0.93065322158728</v>
      </c>
      <c r="D156" s="39" t="n">
        <f aca="false">PR_PH(D$2,$A156)</f>
        <v>0.930655339173064</v>
      </c>
      <c r="E156" s="39" t="n">
        <f aca="false">PR_PH(E$2,$A156)</f>
        <v>0.930657456686435</v>
      </c>
      <c r="F156" s="39" t="n">
        <f aca="false">PR_PH(F$2,$A156)</f>
        <v>0.930659574129386</v>
      </c>
      <c r="G156" s="39" t="n">
        <f aca="false">PR_PH(G$2,$A156)</f>
        <v>0.9306807449967</v>
      </c>
      <c r="H156" s="39" t="n">
        <f aca="false">PR_PH(H$2,$A156)</f>
        <v>0.930701910028742</v>
      </c>
      <c r="I156" s="39" t="n">
        <f aca="false">PR_PH(I$2,$A156)</f>
        <v>0.93072306980988</v>
      </c>
      <c r="J156" s="39" t="n">
        <f aca="false">PR_PH(J$2,$A156)</f>
        <v>0.930744224719376</v>
      </c>
      <c r="K156" s="39" t="n">
        <f aca="false">PR_PH(K$2,$A156)</f>
        <v>0.930765375034733</v>
      </c>
      <c r="L156" s="39" t="n">
        <f aca="false">PR_PH(L$2,$A156)</f>
        <v>0.93078652097289</v>
      </c>
      <c r="M156" s="39" t="n">
        <f aca="false">PR_PH(M$2,$A156)</f>
        <v>0.930807662710826</v>
      </c>
      <c r="N156" s="39" t="n">
        <f aca="false">PR_PH(N$2,$A156)</f>
        <v>0.930828800397296</v>
      </c>
      <c r="O156" s="39" t="n">
        <f aca="false">PR_PH(O$2,$A156)</f>
        <v>0.930849934160119</v>
      </c>
      <c r="P156" s="39" t="n">
        <f aca="false">PR_PH(P$2,$A156)</f>
        <v>0.93106107573697</v>
      </c>
      <c r="Q156" s="39" t="n">
        <f aca="false">PR_PH(Q$2,$A156)</f>
        <v>0.931271901432854</v>
      </c>
      <c r="R156" s="39" t="n">
        <f aca="false">PR_PH(R$2,$A156)</f>
        <v>0.931482447987098</v>
      </c>
      <c r="S156" s="39" t="n">
        <f aca="false">PR_PH(S$2,$A156)</f>
        <v>0.93169273906379</v>
      </c>
      <c r="T156" s="39" t="n">
        <f aca="false">PR_PH(T$2,$A156)</f>
        <v>0.931902791847702</v>
      </c>
      <c r="U156" s="39" t="n">
        <f aca="false">PR_PH(U$2,$A156)</f>
        <v>0.932112619668337</v>
      </c>
      <c r="V156" s="39" t="n">
        <f aca="false">PR_PH(V$2,$A156)</f>
        <v>0.932322233309947</v>
      </c>
      <c r="W156" s="39" t="n">
        <f aca="false">PR_PH(W$2,$A156)</f>
        <v>0.932531641757712</v>
      </c>
      <c r="X156" s="39" t="n">
        <f aca="false">PR_PH(X$2,$A156)</f>
        <v>0.932740852661918</v>
      </c>
      <c r="Y156" s="39" t="n">
        <f aca="false">PR_PH(Y$2,$A156)</f>
        <v>0.934823245240833</v>
      </c>
      <c r="Z156" s="39" t="n">
        <f aca="false">PR_PH(Z$2,$A156)</f>
        <v>0.936890202416149</v>
      </c>
      <c r="AA156" s="39" t="n">
        <f aca="false">PR_PH(AA$2,$A156)</f>
        <v>0.93894355715935</v>
      </c>
      <c r="AB156" s="39" t="n">
        <f aca="false">PR_PH(AB$2,$A156)</f>
        <v>0.940984318153989</v>
      </c>
      <c r="AC156" s="39" t="n">
        <f aca="false">PR_PH(AC$2,$A156)</f>
        <v>0.943013099155854</v>
      </c>
      <c r="AD156" s="39" t="n">
        <f aca="false">PR_PH(AD$2,$A156)</f>
        <v>0.945030292079039</v>
      </c>
      <c r="AE156" s="39" t="n">
        <f aca="false">PR_PH(AE$2,$A156)</f>
        <v>0.947036154510722</v>
      </c>
      <c r="AF156" s="39" t="n">
        <f aca="false">PR_PH(AF$2,$A156)</f>
        <v>0.949030860216031</v>
      </c>
      <c r="AG156" s="39" t="n">
        <f aca="false">PR_PH(AG$2,$A156)</f>
        <v>0.951014531026788</v>
      </c>
      <c r="AH156" s="39" t="n">
        <f aca="false">PR_PH(AH$2,$A156)</f>
        <v>0.970264402779526</v>
      </c>
      <c r="AI156" s="39" t="n">
        <f aca="false">PR_PH(AI$2,$A156)</f>
        <v>0.988600966078198</v>
      </c>
      <c r="AJ156" s="39" t="n">
        <f aca="false">PR_PH(AJ$2,$A156)</f>
        <v>1.00590216563073</v>
      </c>
      <c r="AK156" s="39" t="n">
        <f aca="false">PR_PH(AK$2,$A156)</f>
        <v>1.02143418852262</v>
      </c>
      <c r="AL156" s="39" t="n">
        <f aca="false">PR_PH(AL$2,$A156)</f>
        <v>1.03594571470864</v>
      </c>
      <c r="AM156" s="39" t="n">
        <f aca="false">PR_PH(AM$2,$A156)</f>
        <v>2015</v>
      </c>
      <c r="AN156" s="39" t="n">
        <f aca="false">PR_PH(AN$2,$A156)</f>
        <v>2015</v>
      </c>
      <c r="AO156" s="39" t="n">
        <f aca="false">PR_PH(AO$2,$A156)</f>
        <v>2015</v>
      </c>
      <c r="AP156" s="39" t="n">
        <f aca="false">PR_PH(AP$2,$A156)</f>
        <v>2015</v>
      </c>
      <c r="AQ156" s="39" t="n">
        <f aca="false">PR_PH(AQ$2,$A156)</f>
        <v>2015</v>
      </c>
    </row>
    <row r="157" customFormat="false" ht="13.8" hidden="false" customHeight="false" outlineLevel="0" collapsed="false">
      <c r="A157" s="0" t="n">
        <v>3170</v>
      </c>
      <c r="B157" s="39" t="n">
        <f aca="false">PR_PH(B$2,$A157)</f>
        <v>0.930069132760535</v>
      </c>
      <c r="C157" s="39" t="n">
        <f aca="false">PR_PH(C$2,$A157)</f>
        <v>0.930071156337714</v>
      </c>
      <c r="D157" s="39" t="n">
        <f aca="false">PR_PH(D$2,$A157)</f>
        <v>0.930073179846698</v>
      </c>
      <c r="E157" s="39" t="n">
        <f aca="false">PR_PH(E$2,$A157)</f>
        <v>0.930075203289596</v>
      </c>
      <c r="F157" s="39" t="n">
        <f aca="false">PR_PH(F$2,$A157)</f>
        <v>0.93007722666822</v>
      </c>
      <c r="G157" s="39" t="n">
        <f aca="false">PR_PH(G$2,$A157)</f>
        <v>0.930097457200876</v>
      </c>
      <c r="H157" s="39" t="n">
        <f aca="false">PR_PH(H$2,$A157)</f>
        <v>0.930117682399331</v>
      </c>
      <c r="I157" s="39" t="n">
        <f aca="false">PR_PH(I$2,$A157)</f>
        <v>0.930137902793257</v>
      </c>
      <c r="J157" s="39" t="n">
        <f aca="false">PR_PH(J$2,$A157)</f>
        <v>0.930158118726467</v>
      </c>
      <c r="K157" s="39" t="n">
        <f aca="false">PR_PH(K$2,$A157)</f>
        <v>0.930178330450538</v>
      </c>
      <c r="L157" s="39" t="n">
        <f aca="false">PR_PH(L$2,$A157)</f>
        <v>0.930198538162167</v>
      </c>
      <c r="M157" s="39" t="n">
        <f aca="false">PR_PH(M$2,$A157)</f>
        <v>0.930218742021835</v>
      </c>
      <c r="N157" s="39" t="n">
        <f aca="false">PR_PH(N$2,$A157)</f>
        <v>0.930238942164427</v>
      </c>
      <c r="O157" s="39" t="n">
        <f aca="false">PR_PH(O$2,$A157)</f>
        <v>0.930259138705862</v>
      </c>
      <c r="P157" s="39" t="n">
        <f aca="false">PR_PH(P$2,$A157)</f>
        <v>0.930460923969757</v>
      </c>
      <c r="Q157" s="39" t="n">
        <f aca="false">PR_PH(Q$2,$A157)</f>
        <v>0.930662418502287</v>
      </c>
      <c r="R157" s="39" t="n">
        <f aca="false">PR_PH(R$2,$A157)</f>
        <v>0.930863655652187</v>
      </c>
      <c r="S157" s="39" t="n">
        <f aca="false">PR_PH(S$2,$A157)</f>
        <v>0.931064656913735</v>
      </c>
      <c r="T157" s="39" t="n">
        <f aca="false">PR_PH(T$2,$A157)</f>
        <v>0.931265437906884</v>
      </c>
      <c r="U157" s="39" t="n">
        <f aca="false">PR_PH(U$2,$A157)</f>
        <v>0.93146601075648</v>
      </c>
      <c r="V157" s="39" t="n">
        <f aca="false">PR_PH(V$2,$A157)</f>
        <v>0.931666385280066</v>
      </c>
      <c r="W157" s="39" t="n">
        <f aca="false">PR_PH(W$2,$A157)</f>
        <v>0.931866569664471</v>
      </c>
      <c r="X157" s="39" t="n">
        <f aca="false">PR_PH(X$2,$A157)</f>
        <v>0.932066570886663</v>
      </c>
      <c r="Y157" s="39" t="n">
        <f aca="false">PR_PH(Y$2,$A157)</f>
        <v>0.934057559700237</v>
      </c>
      <c r="Z157" s="39" t="n">
        <f aca="false">PR_PH(Z$2,$A157)</f>
        <v>0.93603419591508</v>
      </c>
      <c r="AA157" s="39" t="n">
        <f aca="false">PR_PH(AA$2,$A157)</f>
        <v>0.937998187889892</v>
      </c>
      <c r="AB157" s="39" t="n">
        <f aca="false">PR_PH(AB$2,$A157)</f>
        <v>0.939950498970564</v>
      </c>
      <c r="AC157" s="39" t="n">
        <f aca="false">PR_PH(AC$2,$A157)</f>
        <v>0.941891736463865</v>
      </c>
      <c r="AD157" s="39" t="n">
        <f aca="false">PR_PH(AD$2,$A157)</f>
        <v>0.943822308594439</v>
      </c>
      <c r="AE157" s="39" t="n">
        <f aca="false">PR_PH(AE$2,$A157)</f>
        <v>0.945742504091852</v>
      </c>
      <c r="AF157" s="39" t="n">
        <f aca="false">PR_PH(AF$2,$A157)</f>
        <v>0.947652538368749</v>
      </c>
      <c r="AG157" s="39" t="n">
        <f aca="false">PR_PH(AG$2,$A157)</f>
        <v>0.949552582924592</v>
      </c>
      <c r="AH157" s="39" t="n">
        <f aca="false">PR_PH(AH$2,$A157)</f>
        <v>0.968038499591066</v>
      </c>
      <c r="AI157" s="39" t="n">
        <f aca="false">PR_PH(AI$2,$A157)</f>
        <v>0.985741358718546</v>
      </c>
      <c r="AJ157" s="39" t="n">
        <f aca="false">PR_PH(AJ$2,$A157)</f>
        <v>1.00205126934392</v>
      </c>
      <c r="AK157" s="39" t="n">
        <f aca="false">PR_PH(AK$2,$A157)</f>
        <v>1.01713787090001</v>
      </c>
      <c r="AL157" s="39" t="n">
        <f aca="false">PR_PH(AL$2,$A157)</f>
        <v>1.03124492250145</v>
      </c>
      <c r="AM157" s="39" t="n">
        <f aca="false">PR_PH(AM$2,$A157)</f>
        <v>2015</v>
      </c>
      <c r="AN157" s="39" t="n">
        <f aca="false">PR_PH(AN$2,$A157)</f>
        <v>2015</v>
      </c>
      <c r="AO157" s="39" t="n">
        <f aca="false">PR_PH(AO$2,$A157)</f>
        <v>2015</v>
      </c>
      <c r="AP157" s="39" t="n">
        <f aca="false">PR_PH(AP$2,$A157)</f>
        <v>2015</v>
      </c>
      <c r="AQ157" s="39" t="n">
        <f aca="false">PR_PH(AQ$2,$A157)</f>
        <v>2015</v>
      </c>
    </row>
    <row r="158" customFormat="false" ht="13.8" hidden="false" customHeight="false" outlineLevel="0" collapsed="false">
      <c r="A158" s="0" t="n">
        <v>3180</v>
      </c>
      <c r="B158" s="39" t="n">
        <f aca="false">PR_PH(B$2,$A158)</f>
        <v>0.929485002397626</v>
      </c>
      <c r="C158" s="39" t="n">
        <f aca="false">PR_PH(C$2,$A158)</f>
        <v>0.929486937639296</v>
      </c>
      <c r="D158" s="39" t="n">
        <f aca="false">PR_PH(D$2,$A158)</f>
        <v>0.929488872818618</v>
      </c>
      <c r="E158" s="39" t="n">
        <f aca="false">PR_PH(E$2,$A158)</f>
        <v>0.929490807937497</v>
      </c>
      <c r="F158" s="39" t="n">
        <f aca="false">PR_PH(F$2,$A158)</f>
        <v>0.929492742997581</v>
      </c>
      <c r="G158" s="39" t="n">
        <f aca="false">PR_PH(G$2,$A158)</f>
        <v>0.929512090620314</v>
      </c>
      <c r="H158" s="39" t="n">
        <f aca="false">PR_PH(H$2,$A158)</f>
        <v>0.929531433356017</v>
      </c>
      <c r="I158" s="39" t="n">
        <f aca="false">PR_PH(I$2,$A158)</f>
        <v>0.929550771685579</v>
      </c>
      <c r="J158" s="39" t="n">
        <f aca="false">PR_PH(J$2,$A158)</f>
        <v>0.929570105921198</v>
      </c>
      <c r="K158" s="39" t="n">
        <f aca="false">PR_PH(K$2,$A158)</f>
        <v>0.929589436291358</v>
      </c>
      <c r="L158" s="39" t="n">
        <f aca="false">PR_PH(L$2,$A158)</f>
        <v>0.929608762974721</v>
      </c>
      <c r="M158" s="39" t="n">
        <f aca="false">PR_PH(M$2,$A158)</f>
        <v>0.929628086117067</v>
      </c>
      <c r="N158" s="39" t="n">
        <f aca="false">PR_PH(N$2,$A158)</f>
        <v>0.929647405840951</v>
      </c>
      <c r="O158" s="39" t="n">
        <f aca="false">PR_PH(O$2,$A158)</f>
        <v>0.929666722251693</v>
      </c>
      <c r="P158" s="39" t="n">
        <f aca="false">PR_PH(P$2,$A158)</f>
        <v>0.929859720417891</v>
      </c>
      <c r="Q158" s="39" t="n">
        <f aca="false">PR_PH(Q$2,$A158)</f>
        <v>0.930052450349415</v>
      </c>
      <c r="R158" s="39" t="n">
        <f aca="false">PR_PH(R$2,$A158)</f>
        <v>0.930244942391525</v>
      </c>
      <c r="S158" s="39" t="n">
        <f aca="false">PR_PH(S$2,$A158)</f>
        <v>0.930437216120935</v>
      </c>
      <c r="T158" s="39" t="n">
        <f aca="false">PR_PH(T$2,$A158)</f>
        <v>0.930629285777473</v>
      </c>
      <c r="U158" s="39" t="n">
        <f aca="false">PR_PH(U$2,$A158)</f>
        <v>0.930821162425465</v>
      </c>
      <c r="V158" s="39" t="n">
        <f aca="false">PR_PH(V$2,$A158)</f>
        <v>0.931012855032889</v>
      </c>
      <c r="W158" s="39" t="n">
        <f aca="false">PR_PH(W$2,$A158)</f>
        <v>0.931204371086148</v>
      </c>
      <c r="X158" s="39" t="n">
        <f aca="false">PR_PH(X$2,$A158)</f>
        <v>0.931395716972484</v>
      </c>
      <c r="Y158" s="39" t="n">
        <f aca="false">PR_PH(Y$2,$A158)</f>
        <v>0.933300781836349</v>
      </c>
      <c r="Z158" s="39" t="n">
        <f aca="false">PR_PH(Z$2,$A158)</f>
        <v>0.935192485669258</v>
      </c>
      <c r="AA158" s="39" t="n">
        <f aca="false">PR_PH(AA$2,$A158)</f>
        <v>0.937072432442063</v>
      </c>
      <c r="AB158" s="39" t="n">
        <f aca="false">PR_PH(AB$2,$A158)</f>
        <v>0.938941551704696</v>
      </c>
      <c r="AC158" s="39" t="n">
        <f aca="false">PR_PH(AC$2,$A158)</f>
        <v>0.94080045206746</v>
      </c>
      <c r="AD158" s="39" t="n">
        <f aca="false">PR_PH(AD$2,$A158)</f>
        <v>0.942649563966704</v>
      </c>
      <c r="AE158" s="39" t="n">
        <f aca="false">PR_PH(AE$2,$A158)</f>
        <v>0.944489212187521</v>
      </c>
      <c r="AF158" s="39" t="n">
        <f aca="false">PR_PH(AF$2,$A158)</f>
        <v>0.946319658019812</v>
      </c>
      <c r="AG158" s="39" t="n">
        <f aca="false">PR_PH(AG$2,$A158)</f>
        <v>0.948141126076041</v>
      </c>
      <c r="AH158" s="39" t="n">
        <f aca="false">PR_PH(AH$2,$A158)</f>
        <v>0.965908330982235</v>
      </c>
      <c r="AI158" s="39" t="n">
        <f aca="false">PR_PH(AI$2,$A158)</f>
        <v>0.982799332983299</v>
      </c>
      <c r="AJ158" s="39" t="n">
        <f aca="false">PR_PH(AJ$2,$A158)</f>
        <v>0.998437747014811</v>
      </c>
      <c r="AK158" s="39" t="n">
        <f aca="false">PR_PH(AK$2,$A158)</f>
        <v>1.01305762595359</v>
      </c>
      <c r="AL158" s="39" t="n">
        <f aca="false">PR_PH(AL$2,$A158)</f>
        <v>2015</v>
      </c>
      <c r="AM158" s="39" t="n">
        <f aca="false">PR_PH(AM$2,$A158)</f>
        <v>2015</v>
      </c>
      <c r="AN158" s="39" t="n">
        <f aca="false">PR_PH(AN$2,$A158)</f>
        <v>2015</v>
      </c>
      <c r="AO158" s="39" t="n">
        <f aca="false">PR_PH(AO$2,$A158)</f>
        <v>2015</v>
      </c>
      <c r="AP158" s="39" t="n">
        <f aca="false">PR_PH(AP$2,$A158)</f>
        <v>2015</v>
      </c>
      <c r="AQ158" s="39" t="n">
        <f aca="false">PR_PH(AQ$2,$A158)</f>
        <v>2015</v>
      </c>
    </row>
    <row r="159" customFormat="false" ht="13.8" hidden="false" customHeight="false" outlineLevel="0" collapsed="false">
      <c r="A159" s="0" t="n">
        <v>3190</v>
      </c>
      <c r="B159" s="39" t="n">
        <f aca="false">PR_PH(B$2,$A159)</f>
        <v>0.928898839380817</v>
      </c>
      <c r="C159" s="39" t="n">
        <f aca="false">PR_PH(C$2,$A159)</f>
        <v>0.9289006915991</v>
      </c>
      <c r="D159" s="39" t="n">
        <f aca="false">PR_PH(D$2,$A159)</f>
        <v>0.928902543760258</v>
      </c>
      <c r="E159" s="39" t="n">
        <f aca="false">PR_PH(E$2,$A159)</f>
        <v>0.92890439586602</v>
      </c>
      <c r="F159" s="39" t="n">
        <f aca="false">PR_PH(F$2,$A159)</f>
        <v>0.92890624791789</v>
      </c>
      <c r="G159" s="39" t="n">
        <f aca="false">PR_PH(G$2,$A159)</f>
        <v>0.928924765704654</v>
      </c>
      <c r="H159" s="39" t="n">
        <f aca="false">PR_PH(H$2,$A159)</f>
        <v>0.92894327900405</v>
      </c>
      <c r="I159" s="39" t="n">
        <f aca="false">PR_PH(I$2,$A159)</f>
        <v>0.928961788253366</v>
      </c>
      <c r="J159" s="39" t="n">
        <f aca="false">PR_PH(J$2,$A159)</f>
        <v>0.928980293736556</v>
      </c>
      <c r="K159" s="39" t="n">
        <f aca="false">PR_PH(K$2,$A159)</f>
        <v>0.928998795661478</v>
      </c>
      <c r="L159" s="39" t="n">
        <f aca="false">PR_PH(L$2,$A159)</f>
        <v>0.929017294190701</v>
      </c>
      <c r="M159" s="39" t="n">
        <f aca="false">PR_PH(M$2,$A159)</f>
        <v>0.929035789456893</v>
      </c>
      <c r="N159" s="39" t="n">
        <f aca="false">PR_PH(N$2,$A159)</f>
        <v>0.929054281571601</v>
      </c>
      <c r="O159" s="39" t="n">
        <f aca="false">PR_PH(O$2,$A159)</f>
        <v>0.929072770630711</v>
      </c>
      <c r="P159" s="39" t="n">
        <f aca="false">PR_PH(P$2,$A159)</f>
        <v>0.929257507992193</v>
      </c>
      <c r="Q159" s="39" t="n">
        <f aca="false">PR_PH(Q$2,$A159)</f>
        <v>0.929441997263816</v>
      </c>
      <c r="R159" s="39" t="n">
        <f aca="false">PR_PH(R$2,$A159)</f>
        <v>0.9296262661277</v>
      </c>
      <c r="S159" s="39" t="n">
        <f aca="false">PR_PH(S$2,$A159)</f>
        <v>0.929810332465524</v>
      </c>
      <c r="T159" s="39" t="n">
        <f aca="false">PR_PH(T$2,$A159)</f>
        <v>0.929994209300499</v>
      </c>
      <c r="U159" s="39" t="n">
        <f aca="false">PR_PH(U$2,$A159)</f>
        <v>0.93017790676441</v>
      </c>
      <c r="V159" s="39" t="n">
        <f aca="false">PR_PH(V$2,$A159)</f>
        <v>0.930361433080007</v>
      </c>
      <c r="W159" s="39" t="n">
        <f aca="false">PR_PH(W$2,$A159)</f>
        <v>0.930544795120707</v>
      </c>
      <c r="X159" s="39" t="n">
        <f aca="false">PR_PH(X$2,$A159)</f>
        <v>0.930727998758835</v>
      </c>
      <c r="Y159" s="39" t="n">
        <f aca="false">PR_PH(Y$2,$A159)</f>
        <v>0.932552214164806</v>
      </c>
      <c r="Z159" s="39" t="n">
        <f aca="false">PR_PH(Z$2,$A159)</f>
        <v>0.934363979626498</v>
      </c>
      <c r="AA159" s="39" t="n">
        <f aca="false">PR_PH(AA$2,$A159)</f>
        <v>0.936164812565227</v>
      </c>
      <c r="AB159" s="39" t="n">
        <f aca="false">PR_PH(AB$2,$A159)</f>
        <v>0.937955617868073</v>
      </c>
      <c r="AC159" s="39" t="n">
        <f aca="false">PR_PH(AC$2,$A159)</f>
        <v>0.939737009772463</v>
      </c>
      <c r="AD159" s="39" t="n">
        <f aca="false">PR_PH(AD$2,$A159)</f>
        <v>0.941509441476633</v>
      </c>
      <c r="AE159" s="39" t="n">
        <f aca="false">PR_PH(AE$2,$A159)</f>
        <v>0.943273270321395</v>
      </c>
      <c r="AF159" s="39" t="n">
        <f aca="false">PR_PH(AF$2,$A159)</f>
        <v>0.945028794621134</v>
      </c>
      <c r="AG159" s="39" t="n">
        <f aca="false">PR_PH(AG$2,$A159)</f>
        <v>0.946776275446741</v>
      </c>
      <c r="AH159" s="39" t="n">
        <f aca="false">PR_PH(AH$2,$A159)</f>
        <v>0.963839779007802</v>
      </c>
      <c r="AI159" s="39" t="n">
        <f aca="false">PR_PH(AI$2,$A159)</f>
        <v>0.97994135940163</v>
      </c>
      <c r="AJ159" s="39" t="n">
        <f aca="false">PR_PH(AJ$2,$A159)</f>
        <v>0.995020277904596</v>
      </c>
      <c r="AK159" s="39" t="n">
        <f aca="false">PR_PH(AK$2,$A159)</f>
        <v>1.00916269677557</v>
      </c>
      <c r="AL159" s="39" t="n">
        <f aca="false">PR_PH(AL$2,$A159)</f>
        <v>2015</v>
      </c>
      <c r="AM159" s="39" t="n">
        <f aca="false">PR_PH(AM$2,$A159)</f>
        <v>2015</v>
      </c>
      <c r="AN159" s="39" t="n">
        <f aca="false">PR_PH(AN$2,$A159)</f>
        <v>2015</v>
      </c>
      <c r="AO159" s="39" t="n">
        <f aca="false">PR_PH(AO$2,$A159)</f>
        <v>2015</v>
      </c>
      <c r="AP159" s="39" t="n">
        <f aca="false">PR_PH(AP$2,$A159)</f>
        <v>2015</v>
      </c>
      <c r="AQ159" s="39" t="n">
        <f aca="false">PR_PH(AQ$2,$A159)</f>
        <v>2015</v>
      </c>
    </row>
    <row r="160" customFormat="false" ht="13.8" hidden="false" customHeight="false" outlineLevel="0" collapsed="false">
      <c r="A160" s="0" t="n">
        <v>3200</v>
      </c>
      <c r="B160" s="39" t="n">
        <f aca="false">PR_PH(B$2,$A160)</f>
        <v>0.928310776788696</v>
      </c>
      <c r="C160" s="39" t="n">
        <f aca="false">PR_PH(C$2,$A160)</f>
        <v>0.928312550897483</v>
      </c>
      <c r="D160" s="39" t="n">
        <f aca="false">PR_PH(D$2,$A160)</f>
        <v>0.928314324953819</v>
      </c>
      <c r="E160" s="39" t="n">
        <f aca="false">PR_PH(E$2,$A160)</f>
        <v>0.928316098959282</v>
      </c>
      <c r="F160" s="39" t="n">
        <f aca="false">PR_PH(F$2,$A160)</f>
        <v>0.928317872915237</v>
      </c>
      <c r="G160" s="39" t="n">
        <f aca="false">PR_PH(G$2,$A160)</f>
        <v>0.928335609963198</v>
      </c>
      <c r="H160" s="39" t="n">
        <f aca="false">PR_PH(H$2,$A160)</f>
        <v>0.928353342881472</v>
      </c>
      <c r="I160" s="39" t="n">
        <f aca="false">PR_PH(I$2,$A160)</f>
        <v>0.928371072068268</v>
      </c>
      <c r="J160" s="39" t="n">
        <f aca="false">PR_PH(J$2,$A160)</f>
        <v>0.928388797782237</v>
      </c>
      <c r="K160" s="39" t="n">
        <f aca="false">PR_PH(K$2,$A160)</f>
        <v>0.928406520212753</v>
      </c>
      <c r="L160" s="39" t="n">
        <f aca="false">PR_PH(L$2,$A160)</f>
        <v>0.928424239507967</v>
      </c>
      <c r="M160" s="39" t="n">
        <f aca="false">PR_PH(M$2,$A160)</f>
        <v>0.928441955788806</v>
      </c>
      <c r="N160" s="39" t="n">
        <f aca="false">PR_PH(N$2,$A160)</f>
        <v>0.928459669156965</v>
      </c>
      <c r="O160" s="39" t="n">
        <f aca="false">PR_PH(O$2,$A160)</f>
        <v>0.928477379699886</v>
      </c>
      <c r="P160" s="39" t="n">
        <f aca="false">PR_PH(P$2,$A160)</f>
        <v>0.928654343269708</v>
      </c>
      <c r="Q160" s="39" t="n">
        <f aca="false">PR_PH(Q$2,$A160)</f>
        <v>0.928831076773867</v>
      </c>
      <c r="R160" s="39" t="n">
        <f aca="false">PR_PH(R$2,$A160)</f>
        <v>0.929007605522409</v>
      </c>
      <c r="S160" s="39" t="n">
        <f aca="false">PR_PH(S$2,$A160)</f>
        <v>0.929183945891847</v>
      </c>
      <c r="T160" s="39" t="n">
        <f aca="false">PR_PH(T$2,$A160)</f>
        <v>0.929360109827964</v>
      </c>
      <c r="U160" s="39" t="n">
        <f aca="false">PR_PH(U$2,$A160)</f>
        <v>0.929536106638771</v>
      </c>
      <c r="V160" s="39" t="n">
        <f aca="false">PR_PH(V$2,$A160)</f>
        <v>0.929711943890155</v>
      </c>
      <c r="W160" s="39" t="n">
        <f aca="false">PR_PH(W$2,$A160)</f>
        <v>0.929887627916349</v>
      </c>
      <c r="X160" s="39" t="n">
        <f aca="false">PR_PH(X$2,$A160)</f>
        <v>0.930063164137596</v>
      </c>
      <c r="Y160" s="39" t="n">
        <f aca="false">PR_PH(Y$2,$A160)</f>
        <v>0.931811223512138</v>
      </c>
      <c r="Z160" s="39" t="n">
        <f aca="false">PR_PH(Z$2,$A160)</f>
        <v>0.933547660873959</v>
      </c>
      <c r="AA160" s="39" t="n">
        <f aca="false">PR_PH(AA$2,$A160)</f>
        <v>0.935273916787844</v>
      </c>
      <c r="AB160" s="39" t="n">
        <f aca="false">PR_PH(AB$2,$A160)</f>
        <v>0.936990869544759</v>
      </c>
      <c r="AC160" s="39" t="n">
        <f aca="false">PR_PH(AC$2,$A160)</f>
        <v>0.9386991268989</v>
      </c>
      <c r="AD160" s="39" t="n">
        <f aca="false">PR_PH(AD$2,$A160)</f>
        <v>0.940399140593435</v>
      </c>
      <c r="AE160" s="39" t="n">
        <f aca="false">PR_PH(AE$2,$A160)</f>
        <v>0.942091259873476</v>
      </c>
      <c r="AF160" s="39" t="n">
        <f aca="false">PR_PH(AF$2,$A160)</f>
        <v>0.943775756142169</v>
      </c>
      <c r="AG160" s="39" t="n">
        <f aca="false">PR_PH(AG$2,$A160)</f>
        <v>0.945452830044666</v>
      </c>
      <c r="AH160" s="39" t="n">
        <f aca="false">PR_PH(AH$2,$A160)</f>
        <v>0.961794911886381</v>
      </c>
      <c r="AI160" s="39" t="n">
        <f aca="false">PR_PH(AI$2,$A160)</f>
        <v>0.977229374718331</v>
      </c>
      <c r="AJ160" s="39" t="n">
        <f aca="false">PR_PH(AJ$2,$A160)</f>
        <v>0.99176709236619</v>
      </c>
      <c r="AK160" s="39" t="n">
        <f aca="false">PR_PH(AK$2,$A160)</f>
        <v>2015</v>
      </c>
      <c r="AL160" s="39" t="n">
        <f aca="false">PR_PH(AL$2,$A160)</f>
        <v>2015</v>
      </c>
      <c r="AM160" s="39" t="n">
        <f aca="false">PR_PH(AM$2,$A160)</f>
        <v>2015</v>
      </c>
      <c r="AN160" s="39" t="n">
        <f aca="false">PR_PH(AN$2,$A160)</f>
        <v>2015</v>
      </c>
      <c r="AO160" s="39" t="n">
        <f aca="false">PR_PH(AO$2,$A160)</f>
        <v>2015</v>
      </c>
      <c r="AP160" s="39" t="n">
        <f aca="false">PR_PH(AP$2,$A160)</f>
        <v>2015</v>
      </c>
      <c r="AQ160" s="39" t="n">
        <f aca="false">PR_PH(AQ$2,$A160)</f>
        <v>2015</v>
      </c>
    </row>
    <row r="161" customFormat="false" ht="13.8" hidden="false" customHeight="false" outlineLevel="0" collapsed="false">
      <c r="A161" s="0" t="n">
        <v>3210</v>
      </c>
      <c r="B161" s="39" t="n">
        <f aca="false">PR_PH(B$2,$A161)</f>
        <v>0.927720952997027</v>
      </c>
      <c r="C161" s="39" t="n">
        <f aca="false">PR_PH(C$2,$A161)</f>
        <v>0.927722653545937</v>
      </c>
      <c r="D161" s="39" t="n">
        <f aca="false">PR_PH(D$2,$A161)</f>
        <v>0.927724354046592</v>
      </c>
      <c r="E161" s="39" t="n">
        <f aca="false">PR_PH(E$2,$A161)</f>
        <v>0.927726054500424</v>
      </c>
      <c r="F161" s="39" t="n">
        <f aca="false">PR_PH(F$2,$A161)</f>
        <v>0.927727754908683</v>
      </c>
      <c r="G161" s="39" t="n">
        <f aca="false">PR_PH(G$2,$A161)</f>
        <v>0.927744756677247</v>
      </c>
      <c r="H161" s="39" t="n">
        <f aca="false">PR_PH(H$2,$A161)</f>
        <v>0.927761754636728</v>
      </c>
      <c r="I161" s="39" t="n">
        <f aca="false">PR_PH(I$2,$A161)</f>
        <v>0.927778749150176</v>
      </c>
      <c r="J161" s="39" t="n">
        <f aca="false">PR_PH(J$2,$A161)</f>
        <v>0.927795740453468</v>
      </c>
      <c r="K161" s="39" t="n">
        <f aca="false">PR_PH(K$2,$A161)</f>
        <v>0.927812728719345</v>
      </c>
      <c r="L161" s="39" t="n">
        <f aca="false">PR_PH(L$2,$A161)</f>
        <v>0.927829714082957</v>
      </c>
      <c r="M161" s="39" t="n">
        <f aca="false">PR_PH(M$2,$A161)</f>
        <v>0.927846696654662</v>
      </c>
      <c r="N161" s="39" t="n">
        <f aca="false">PR_PH(N$2,$A161)</f>
        <v>0.927863676527276</v>
      </c>
      <c r="O161" s="39" t="n">
        <f aca="false">PR_PH(O$2,$A161)</f>
        <v>0.927880653780617</v>
      </c>
      <c r="P161" s="39" t="n">
        <f aca="false">PR_PH(P$2,$A161)</f>
        <v>0.928050294611218</v>
      </c>
      <c r="Q161" s="39" t="n">
        <f aca="false">PR_PH(Q$2,$A161)</f>
        <v>0.92821972145274</v>
      </c>
      <c r="R161" s="39" t="n">
        <f aca="false">PR_PH(R$2,$A161)</f>
        <v>0.928388957474786</v>
      </c>
      <c r="S161" s="39" t="n">
        <f aca="false">PR_PH(S$2,$A161)</f>
        <v>0.928558017695385</v>
      </c>
      <c r="T161" s="39" t="n">
        <f aca="false">PR_PH(T$2,$A161)</f>
        <v>0.928726913087526</v>
      </c>
      <c r="U161" s="39" t="n">
        <f aca="false">PR_PH(U$2,$A161)</f>
        <v>0.928895652214762</v>
      </c>
      <c r="V161" s="39" t="n">
        <f aca="false">PR_PH(V$2,$A161)</f>
        <v>0.929064242048531</v>
      </c>
      <c r="W161" s="39" t="n">
        <f aca="false">PR_PH(W$2,$A161)</f>
        <v>0.929232688434067</v>
      </c>
      <c r="X161" s="39" t="n">
        <f aca="false">PR_PH(X$2,$A161)</f>
        <v>0.929400996380422</v>
      </c>
      <c r="Y161" s="39" t="n">
        <f aca="false">PR_PH(Y$2,$A161)</f>
        <v>0.931077228354836</v>
      </c>
      <c r="Z161" s="39" t="n">
        <f aca="false">PR_PH(Z$2,$A161)</f>
        <v>0.932742554955838</v>
      </c>
      <c r="AA161" s="39" t="n">
        <f aca="false">PR_PH(AA$2,$A161)</f>
        <v>0.934398326066614</v>
      </c>
      <c r="AB161" s="39" t="n">
        <f aca="false">PR_PH(AB$2,$A161)</f>
        <v>0.936045359149985</v>
      </c>
      <c r="AC161" s="39" t="n">
        <f aca="false">PR_PH(AC$2,$A161)</f>
        <v>0.937684199203569</v>
      </c>
      <c r="AD161" s="39" t="n">
        <f aca="false">PR_PH(AD$2,$A161)</f>
        <v>0.939315216210847</v>
      </c>
      <c r="AE161" s="39" t="n">
        <f aca="false">PR_PH(AE$2,$A161)</f>
        <v>0.940938651068113</v>
      </c>
      <c r="AF161" s="39" t="n">
        <f aca="false">PR_PH(AF$2,$A161)</f>
        <v>0.942554650010659</v>
      </c>
      <c r="AG161" s="39" t="n">
        <f aca="false">PR_PH(AG$2,$A161)</f>
        <v>0.94416328063312</v>
      </c>
      <c r="AH161" s="39" t="n">
        <f aca="false">PR_PH(AH$2,$A161)</f>
        <v>0.959817727979843</v>
      </c>
      <c r="AI161" s="39" t="n">
        <f aca="false">PR_PH(AI$2,$A161)</f>
        <v>0.974646940811756</v>
      </c>
      <c r="AJ161" s="39" t="n">
        <f aca="false">PR_PH(AJ$2,$A161)</f>
        <v>0.988658122983876</v>
      </c>
      <c r="AK161" s="39" t="n">
        <f aca="false">PR_PH(AK$2,$A161)</f>
        <v>2015</v>
      </c>
      <c r="AL161" s="39" t="n">
        <f aca="false">PR_PH(AL$2,$A161)</f>
        <v>2015</v>
      </c>
      <c r="AM161" s="39" t="n">
        <f aca="false">PR_PH(AM$2,$A161)</f>
        <v>2015</v>
      </c>
      <c r="AN161" s="39" t="n">
        <f aca="false">PR_PH(AN$2,$A161)</f>
        <v>2015</v>
      </c>
      <c r="AO161" s="39" t="n">
        <f aca="false">PR_PH(AO$2,$A161)</f>
        <v>2015</v>
      </c>
      <c r="AP161" s="39" t="n">
        <f aca="false">PR_PH(AP$2,$A161)</f>
        <v>2015</v>
      </c>
      <c r="AQ161" s="39" t="n">
        <f aca="false">PR_PH(AQ$2,$A161)</f>
        <v>2015</v>
      </c>
    </row>
    <row r="162" customFormat="false" ht="13.8" hidden="false" customHeight="false" outlineLevel="0" collapsed="false">
      <c r="A162" s="0" t="n">
        <v>3220</v>
      </c>
      <c r="B162" s="39" t="n">
        <f aca="false">PR_PH(B$2,$A162)</f>
        <v>0.92712951055629</v>
      </c>
      <c r="C162" s="39" t="n">
        <f aca="false">PR_PH(C$2,$A162)</f>
        <v>0.927131141761486</v>
      </c>
      <c r="D162" s="39" t="n">
        <f aca="false">PR_PH(D$2,$A162)</f>
        <v>0.927132772922192</v>
      </c>
      <c r="E162" s="39" t="n">
        <f aca="false">PR_PH(E$2,$A162)</f>
        <v>0.927134404039721</v>
      </c>
      <c r="F162" s="39" t="n">
        <f aca="false">PR_PH(F$2,$A162)</f>
        <v>0.927136035115209</v>
      </c>
      <c r="G162" s="39" t="n">
        <f aca="false">PR_PH(G$2,$A162)</f>
        <v>0.927152343733614</v>
      </c>
      <c r="H162" s="39" t="n">
        <f aca="false">PR_PH(H$2,$A162)</f>
        <v>0.927168648830976</v>
      </c>
      <c r="I162" s="39" t="n">
        <f aca="false">PR_PH(I$2,$A162)</f>
        <v>0.927184950738667</v>
      </c>
      <c r="J162" s="39" t="n">
        <f aca="false">PR_PH(J$2,$A162)</f>
        <v>0.92720124967199</v>
      </c>
      <c r="K162" s="39" t="n">
        <f aca="false">PR_PH(K$2,$A162)</f>
        <v>0.927217545788645</v>
      </c>
      <c r="L162" s="39" t="n">
        <f aca="false">PR_PH(L$2,$A162)</f>
        <v>0.927233839212029</v>
      </c>
      <c r="M162" s="39" t="n">
        <f aca="false">PR_PH(M$2,$A162)</f>
        <v>0.927250130042894</v>
      </c>
      <c r="N162" s="39" t="n">
        <f aca="false">PR_PH(N$2,$A162)</f>
        <v>0.927266418366012</v>
      </c>
      <c r="O162" s="39" t="n">
        <f aca="false">PR_PH(O$2,$A162)</f>
        <v>0.927282704254271</v>
      </c>
      <c r="P162" s="39" t="n">
        <f aca="false">PR_PH(P$2,$A162)</f>
        <v>0.927445440508953</v>
      </c>
      <c r="Q162" s="39" t="n">
        <f aca="false">PR_PH(Q$2,$A162)</f>
        <v>0.927607977085888</v>
      </c>
      <c r="R162" s="39" t="n">
        <f aca="false">PR_PH(R$2,$A162)</f>
        <v>0.92777033518172</v>
      </c>
      <c r="S162" s="39" t="n">
        <f aca="false">PR_PH(S$2,$A162)</f>
        <v>0.927932528551311</v>
      </c>
      <c r="T162" s="39" t="n">
        <f aca="false">PR_PH(T$2,$A162)</f>
        <v>0.928094567255225</v>
      </c>
      <c r="U162" s="39" t="n">
        <f aca="false">PR_PH(U$2,$A162)</f>
        <v>0.928256459152422</v>
      </c>
      <c r="V162" s="39" t="n">
        <f aca="false">PR_PH(V$2,$A162)</f>
        <v>0.928418210646169</v>
      </c>
      <c r="W162" s="39" t="n">
        <f aca="false">PR_PH(W$2,$A162)</f>
        <v>0.928579827109326</v>
      </c>
      <c r="X162" s="39" t="n">
        <f aca="false">PR_PH(X$2,$A162)</f>
        <v>0.928741313149058</v>
      </c>
      <c r="Y162" s="39" t="n">
        <f aca="false">PR_PH(Y$2,$A162)</f>
        <v>0.930349706081328</v>
      </c>
      <c r="Z162" s="39" t="n">
        <f aca="false">PR_PH(Z$2,$A162)</f>
        <v>0.931947760790628</v>
      </c>
      <c r="AA162" s="39" t="n">
        <f aca="false">PR_PH(AA$2,$A162)</f>
        <v>0.933536711688267</v>
      </c>
      <c r="AB162" s="39" t="n">
        <f aca="false">PR_PH(AB$2,$A162)</f>
        <v>0.935117292733458</v>
      </c>
      <c r="AC162" s="39" t="n">
        <f aca="false">PR_PH(AC$2,$A162)</f>
        <v>0.936689970905815</v>
      </c>
      <c r="AD162" s="39" t="n">
        <f aca="false">PR_PH(AD$2,$A162)</f>
        <v>0.9382550271833</v>
      </c>
      <c r="AE162" s="39" t="n">
        <f aca="false">PR_PH(AE$2,$A162)</f>
        <v>0.939812611220159</v>
      </c>
      <c r="AF162" s="39" t="n">
        <f aca="false">PR_PH(AF$2,$A162)</f>
        <v>0.941362786107047</v>
      </c>
      <c r="AG162" s="39" t="n">
        <f aca="false">PR_PH(AG$2,$A162)</f>
        <v>0.942905562985448</v>
      </c>
      <c r="AH162" s="39" t="n">
        <f aca="false">PR_PH(AH$2,$A162)</f>
        <v>0.957920924844269</v>
      </c>
      <c r="AI162" s="39" t="n">
        <f aca="false">PR_PH(AI$2,$A162)</f>
        <v>0.972178065209028</v>
      </c>
      <c r="AJ162" s="39" t="n">
        <f aca="false">PR_PH(AJ$2,$A162)</f>
        <v>2015</v>
      </c>
      <c r="AK162" s="39" t="n">
        <f aca="false">PR_PH(AK$2,$A162)</f>
        <v>2015</v>
      </c>
      <c r="AL162" s="39" t="n">
        <f aca="false">PR_PH(AL$2,$A162)</f>
        <v>2015</v>
      </c>
      <c r="AM162" s="39" t="n">
        <f aca="false">PR_PH(AM$2,$A162)</f>
        <v>2015</v>
      </c>
      <c r="AN162" s="39" t="n">
        <f aca="false">PR_PH(AN$2,$A162)</f>
        <v>2015</v>
      </c>
      <c r="AO162" s="39" t="n">
        <f aca="false">PR_PH(AO$2,$A162)</f>
        <v>2015</v>
      </c>
      <c r="AP162" s="39" t="n">
        <f aca="false">PR_PH(AP$2,$A162)</f>
        <v>2015</v>
      </c>
      <c r="AQ162" s="39" t="n">
        <f aca="false">PR_PH(AQ$2,$A162)</f>
        <v>2015</v>
      </c>
    </row>
    <row r="163" customFormat="false" ht="13.8" hidden="false" customHeight="false" outlineLevel="0" collapsed="false">
      <c r="A163" s="0" t="n">
        <v>3230</v>
      </c>
      <c r="B163" s="39" t="n">
        <f aca="false">PR_PH(B$2,$A163)</f>
        <v>0.926536595176399</v>
      </c>
      <c r="C163" s="39" t="n">
        <f aca="false">PR_PH(C$2,$A163)</f>
        <v>0.926538160948524</v>
      </c>
      <c r="D163" s="39" t="n">
        <f aca="false">PR_PH(D$2,$A163)</f>
        <v>0.926539726679554</v>
      </c>
      <c r="E163" s="39" t="n">
        <f aca="false">PR_PH(E$2,$A163)</f>
        <v>0.926541292370693</v>
      </c>
      <c r="F163" s="39" t="n">
        <f aca="false">PR_PH(F$2,$A163)</f>
        <v>0.926542858022973</v>
      </c>
      <c r="G163" s="39" t="n">
        <f aca="false">PR_PH(G$2,$A163)</f>
        <v>0.926558512569287</v>
      </c>
      <c r="H163" s="39" t="n">
        <f aca="false">PR_PH(H$2,$A163)</f>
        <v>0.926574163854177</v>
      </c>
      <c r="I163" s="39" t="n">
        <f aca="false">PR_PH(I$2,$A163)</f>
        <v>0.926589812180508</v>
      </c>
      <c r="J163" s="39" t="n">
        <f aca="false">PR_PH(J$2,$A163)</f>
        <v>0.926605457745061</v>
      </c>
      <c r="K163" s="39" t="n">
        <f aca="false">PR_PH(K$2,$A163)</f>
        <v>0.926621100691965</v>
      </c>
      <c r="L163" s="39" t="n">
        <f aca="false">PR_PH(L$2,$A163)</f>
        <v>0.926636741134004</v>
      </c>
      <c r="M163" s="39" t="n">
        <f aca="false">PR_PH(M$2,$A163)</f>
        <v>0.926652379163274</v>
      </c>
      <c r="N163" s="39" t="n">
        <f aca="false">PR_PH(N$2,$A163)</f>
        <v>0.926668014857253</v>
      </c>
      <c r="O163" s="39" t="n">
        <f aca="false">PR_PH(O$2,$A163)</f>
        <v>0.926683648282571</v>
      </c>
      <c r="P163" s="39" t="n">
        <f aca="false">PR_PH(P$2,$A163)</f>
        <v>0.926839868079308</v>
      </c>
      <c r="Q163" s="39" t="n">
        <f aca="false">PR_PH(Q$2,$A163)</f>
        <v>0.926995901060507</v>
      </c>
      <c r="R163" s="39" t="n">
        <f aca="false">PR_PH(R$2,$A163)</f>
        <v>0.92715176661242</v>
      </c>
      <c r="S163" s="39" t="n">
        <f aca="false">PR_PH(S$2,$A163)</f>
        <v>0.927307477320884</v>
      </c>
      <c r="T163" s="39" t="n">
        <f aca="false">PR_PH(T$2,$A163)</f>
        <v>0.9274630423956</v>
      </c>
      <c r="U163" s="39" t="n">
        <f aca="false">PR_PH(U$2,$A163)</f>
        <v>0.927618469033899</v>
      </c>
      <c r="V163" s="39" t="n">
        <f aca="false">PR_PH(V$2,$A163)</f>
        <v>0.927773763102199</v>
      </c>
      <c r="W163" s="39" t="n">
        <f aca="false">PR_PH(W$2,$A163)</f>
        <v>0.927928929524375</v>
      </c>
      <c r="X163" s="39" t="n">
        <f aca="false">PR_PH(X$2,$A163)</f>
        <v>0.928083972523548</v>
      </c>
      <c r="Y163" s="39" t="n">
        <f aca="false">PR_PH(Y$2,$A163)</f>
        <v>0.929628261080775</v>
      </c>
      <c r="Z163" s="39" t="n">
        <f aca="false">PR_PH(Z$2,$A163)</f>
        <v>0.931162680532721</v>
      </c>
      <c r="AA163" s="39" t="n">
        <f aca="false">PR_PH(AA$2,$A163)</f>
        <v>0.932688340703308</v>
      </c>
      <c r="AB163" s="39" t="n">
        <f aca="false">PR_PH(AB$2,$A163)</f>
        <v>0.934205877394567</v>
      </c>
      <c r="AC163" s="39" t="n">
        <f aca="false">PR_PH(AC$2,$A163)</f>
        <v>0.935715683944536</v>
      </c>
      <c r="AD163" s="39" t="n">
        <f aca="false">PR_PH(AD$2,$A163)</f>
        <v>0.937218010302383</v>
      </c>
      <c r="AE163" s="39" t="n">
        <f aca="false">PR_PH(AE$2,$A163)</f>
        <v>0.938713016421526</v>
      </c>
      <c r="AF163" s="39" t="n">
        <f aca="false">PR_PH(AF$2,$A163)</f>
        <v>0.940200804363119</v>
      </c>
      <c r="AG163" s="39" t="n">
        <f aca="false">PR_PH(AG$2,$A163)</f>
        <v>0.94168143864079</v>
      </c>
      <c r="AH163" s="39" t="n">
        <f aca="false">PR_PH(AH$2,$A163)</f>
        <v>0.956098590466683</v>
      </c>
      <c r="AI163" s="39" t="n">
        <f aca="false">PR_PH(AI$2,$A163)</f>
        <v>0.969811178928781</v>
      </c>
      <c r="AJ163" s="39" t="n">
        <f aca="false">PR_PH(AJ$2,$A163)</f>
        <v>2015</v>
      </c>
      <c r="AK163" s="39" t="n">
        <f aca="false">PR_PH(AK$2,$A163)</f>
        <v>2015</v>
      </c>
      <c r="AL163" s="39" t="n">
        <f aca="false">PR_PH(AL$2,$A163)</f>
        <v>2015</v>
      </c>
      <c r="AM163" s="39" t="n">
        <f aca="false">PR_PH(AM$2,$A163)</f>
        <v>2015</v>
      </c>
      <c r="AN163" s="39" t="n">
        <f aca="false">PR_PH(AN$2,$A163)</f>
        <v>2015</v>
      </c>
      <c r="AO163" s="39" t="n">
        <f aca="false">PR_PH(AO$2,$A163)</f>
        <v>2015</v>
      </c>
      <c r="AP163" s="39" t="n">
        <f aca="false">PR_PH(AP$2,$A163)</f>
        <v>2015</v>
      </c>
      <c r="AQ163" s="39" t="n">
        <f aca="false">PR_PH(AQ$2,$A163)</f>
        <v>2015</v>
      </c>
    </row>
    <row r="164" customFormat="false" ht="13.8" hidden="false" customHeight="false" outlineLevel="0" collapsed="false">
      <c r="A164" s="0" t="n">
        <v>3240</v>
      </c>
      <c r="B164" s="39" t="n">
        <f aca="false">PR_PH(B$2,$A164)</f>
        <v>0.925942354810076</v>
      </c>
      <c r="C164" s="39" t="n">
        <f aca="false">PR_PH(C$2,$A164)</f>
        <v>0.925943858779649</v>
      </c>
      <c r="D164" s="39" t="n">
        <f aca="false">PR_PH(D$2,$A164)</f>
        <v>0.925945362711192</v>
      </c>
      <c r="E164" s="39" t="n">
        <f aca="false">PR_PH(E$2,$A164)</f>
        <v>0.925946866605803</v>
      </c>
      <c r="F164" s="39" t="n">
        <f aca="false">PR_PH(F$2,$A164)</f>
        <v>0.925948370464426</v>
      </c>
      <c r="G164" s="39" t="n">
        <f aca="false">PR_PH(G$2,$A164)</f>
        <v>0.925963407218685</v>
      </c>
      <c r="H164" s="39" t="n">
        <f aca="false">PR_PH(H$2,$A164)</f>
        <v>0.925978440946074</v>
      </c>
      <c r="I164" s="39" t="n">
        <f aca="false">PR_PH(I$2,$A164)</f>
        <v>0.925993471923797</v>
      </c>
      <c r="J164" s="39" t="n">
        <f aca="false">PR_PH(J$2,$A164)</f>
        <v>0.926008500331958</v>
      </c>
      <c r="K164" s="39" t="n">
        <f aca="false">PR_PH(K$2,$A164)</f>
        <v>0.926023526302478</v>
      </c>
      <c r="L164" s="39" t="n">
        <f aca="false">PR_PH(L$2,$A164)</f>
        <v>0.926038549938581</v>
      </c>
      <c r="M164" s="39" t="n">
        <f aca="false">PR_PH(M$2,$A164)</f>
        <v>0.926053571324555</v>
      </c>
      <c r="N164" s="39" t="n">
        <f aca="false">PR_PH(N$2,$A164)</f>
        <v>0.9260685905313</v>
      </c>
      <c r="O164" s="39" t="n">
        <f aca="false">PR_PH(O$2,$A164)</f>
        <v>0.926083607619803</v>
      </c>
      <c r="P164" s="39" t="n">
        <f aca="false">PR_PH(P$2,$A164)</f>
        <v>0.926233671445413</v>
      </c>
      <c r="Q164" s="39" t="n">
        <f aca="false">PR_PH(Q$2,$A164)</f>
        <v>0.92638356009572</v>
      </c>
      <c r="R164" s="39" t="n">
        <f aca="false">PR_PH(R$2,$A164)</f>
        <v>0.926533291305819</v>
      </c>
      <c r="S164" s="39" t="n">
        <f aca="false">PR_PH(S$2,$A164)</f>
        <v>0.926682876585251</v>
      </c>
      <c r="T164" s="39" t="n">
        <f aca="false">PR_PH(T$2,$A164)</f>
        <v>0.926832324352128</v>
      </c>
      <c r="U164" s="39" t="n">
        <f aca="false">PR_PH(U$2,$A164)</f>
        <v>0.926981641181408</v>
      </c>
      <c r="V164" s="39" t="n">
        <f aca="false">PR_PH(V$2,$A164)</f>
        <v>0.927130832428681</v>
      </c>
      <c r="W164" s="39" t="n">
        <f aca="false">PR_PH(W$2,$A164)</f>
        <v>0.927279902585793</v>
      </c>
      <c r="X164" s="39" t="n">
        <f aca="false">PR_PH(X$2,$A164)</f>
        <v>0.927428855502246</v>
      </c>
      <c r="Y164" s="39" t="n">
        <f aca="false">PR_PH(Y$2,$A164)</f>
        <v>0.928912524612007</v>
      </c>
      <c r="Z164" s="39" t="n">
        <f aca="false">PR_PH(Z$2,$A164)</f>
        <v>0.930386714702461</v>
      </c>
      <c r="AA164" s="39" t="n">
        <f aca="false">PR_PH(AA$2,$A164)</f>
        <v>0.931852431621082</v>
      </c>
      <c r="AB164" s="39" t="n">
        <f aca="false">PR_PH(AB$2,$A164)</f>
        <v>0.933310260195888</v>
      </c>
      <c r="AC164" s="39" t="n">
        <f aca="false">PR_PH(AC$2,$A164)</f>
        <v>0.934760576098801</v>
      </c>
      <c r="AD164" s="39" t="n">
        <f aca="false">PR_PH(AD$2,$A164)</f>
        <v>0.93620363322698</v>
      </c>
      <c r="AE164" s="39" t="n">
        <f aca="false">PR_PH(AE$2,$A164)</f>
        <v>0.937639608598804</v>
      </c>
      <c r="AF164" s="39" t="n">
        <f aca="false">PR_PH(AF$2,$A164)</f>
        <v>0.93906862833294</v>
      </c>
      <c r="AG164" s="39" t="n">
        <f aca="false">PR_PH(AG$2,$A164)</f>
        <v>0.940490783804759</v>
      </c>
      <c r="AH164" s="39" t="n">
        <f aca="false">PR_PH(AH$2,$A164)</f>
        <v>0.954343915900626</v>
      </c>
      <c r="AI164" s="39" t="n">
        <f aca="false">PR_PH(AI$2,$A164)</f>
        <v>2015</v>
      </c>
      <c r="AJ164" s="39" t="n">
        <f aca="false">PR_PH(AJ$2,$A164)</f>
        <v>2015</v>
      </c>
      <c r="AK164" s="39" t="n">
        <f aca="false">PR_PH(AK$2,$A164)</f>
        <v>2015</v>
      </c>
      <c r="AL164" s="39" t="n">
        <f aca="false">PR_PH(AL$2,$A164)</f>
        <v>2015</v>
      </c>
      <c r="AM164" s="39" t="n">
        <f aca="false">PR_PH(AM$2,$A164)</f>
        <v>2015</v>
      </c>
      <c r="AN164" s="39" t="n">
        <f aca="false">PR_PH(AN$2,$A164)</f>
        <v>2015</v>
      </c>
      <c r="AO164" s="39" t="n">
        <f aca="false">PR_PH(AO$2,$A164)</f>
        <v>2015</v>
      </c>
      <c r="AP164" s="39" t="n">
        <f aca="false">PR_PH(AP$2,$A164)</f>
        <v>2015</v>
      </c>
      <c r="AQ164" s="39" t="n">
        <f aca="false">PR_PH(AQ$2,$A164)</f>
        <v>2015</v>
      </c>
    </row>
    <row r="165" customFormat="false" ht="13.8" hidden="false" customHeight="false" outlineLevel="0" collapsed="false">
      <c r="A165" s="0" t="n">
        <v>3250</v>
      </c>
      <c r="B165" s="39" t="n">
        <f aca="false">PR_PH(B$2,$A165)</f>
        <v>0.925346938827241</v>
      </c>
      <c r="C165" s="39" t="n">
        <f aca="false">PR_PH(C$2,$A165)</f>
        <v>0.925348384367723</v>
      </c>
      <c r="D165" s="39" t="n">
        <f aca="false">PR_PH(D$2,$A165)</f>
        <v>0.925349829872939</v>
      </c>
      <c r="E165" s="39" t="n">
        <f aca="false">PR_PH(E$2,$A165)</f>
        <v>0.925351275343901</v>
      </c>
      <c r="F165" s="39" t="n">
        <f aca="false">PR_PH(F$2,$A165)</f>
        <v>0.925352720781479</v>
      </c>
      <c r="G165" s="39" t="n">
        <f aca="false">PR_PH(G$2,$A165)</f>
        <v>0.925367173455908</v>
      </c>
      <c r="H165" s="39" t="n">
        <f aca="false">PR_PH(H$2,$A165)</f>
        <v>0.925381623315656</v>
      </c>
      <c r="I165" s="39" t="n">
        <f aca="false">PR_PH(I$2,$A165)</f>
        <v>0.925396070614778</v>
      </c>
      <c r="J165" s="39" t="n">
        <f aca="false">PR_PH(J$2,$A165)</f>
        <v>0.92541051551832</v>
      </c>
      <c r="K165" s="39" t="n">
        <f aca="false">PR_PH(K$2,$A165)</f>
        <v>0.925424958147154</v>
      </c>
      <c r="L165" s="39" t="n">
        <f aca="false">PR_PH(L$2,$A165)</f>
        <v>0.925439398595857</v>
      </c>
      <c r="M165" s="39" t="n">
        <f aca="false">PR_PH(M$2,$A165)</f>
        <v>0.925453836941643</v>
      </c>
      <c r="N165" s="39" t="n">
        <f aca="false">PR_PH(N$2,$A165)</f>
        <v>0.925468273249464</v>
      </c>
      <c r="O165" s="39" t="n">
        <f aca="false">PR_PH(O$2,$A165)</f>
        <v>0.925482707575178</v>
      </c>
      <c r="P165" s="39" t="n">
        <f aca="false">PR_PH(P$2,$A165)</f>
        <v>0.925626950464449</v>
      </c>
      <c r="Q165" s="39" t="n">
        <f aca="false">PR_PH(Q$2,$A165)</f>
        <v>0.92577102869651</v>
      </c>
      <c r="R165" s="39" t="n">
        <f aca="false">PR_PH(R$2,$A165)</f>
        <v>0.925914958496958</v>
      </c>
      <c r="S165" s="39" t="n">
        <f aca="false">PR_PH(S$2,$A165)</f>
        <v>0.926058750388798</v>
      </c>
      <c r="T165" s="39" t="n">
        <f aca="false">PR_PH(T$2,$A165)</f>
        <v>0.926202412064437</v>
      </c>
      <c r="U165" s="39" t="n">
        <f aca="false">PR_PH(U$2,$A165)</f>
        <v>0.926345949529356</v>
      </c>
      <c r="V165" s="39" t="n">
        <f aca="false">PR_PH(V$2,$A165)</f>
        <v>0.926489367673604</v>
      </c>
      <c r="W165" s="39" t="n">
        <f aca="false">PR_PH(W$2,$A165)</f>
        <v>0.92663267059756</v>
      </c>
      <c r="X165" s="39" t="n">
        <f aca="false">PR_PH(X$2,$A165)</f>
        <v>0.926775861814723</v>
      </c>
      <c r="Y165" s="39" t="n">
        <f aca="false">PR_PH(Y$2,$A165)</f>
        <v>0.928202167129982</v>
      </c>
      <c r="Z165" s="39" t="n">
        <f aca="false">PR_PH(Z$2,$A165)</f>
        <v>0.929619354416474</v>
      </c>
      <c r="AA165" s="39" t="n">
        <f aca="false">PR_PH(AA$2,$A165)</f>
        <v>0.931028352528957</v>
      </c>
      <c r="AB165" s="39" t="n">
        <f aca="false">PR_PH(AB$2,$A165)</f>
        <v>0.932429712786879</v>
      </c>
      <c r="AC165" s="39" t="n">
        <f aca="false">PR_PH(AC$2,$A165)</f>
        <v>0.933823800042447</v>
      </c>
      <c r="AD165" s="39" t="n">
        <f aca="false">PR_PH(AD$2,$A165)</f>
        <v>0.935210870291387</v>
      </c>
      <c r="AE165" s="39" t="n">
        <f aca="false">PR_PH(AE$2,$A165)</f>
        <v>0.936591109995272</v>
      </c>
      <c r="AF165" s="39" t="n">
        <f aca="false">PR_PH(AF$2,$A165)</f>
        <v>0.937964658635074</v>
      </c>
      <c r="AG165" s="39" t="n">
        <f aca="false">PR_PH(AG$2,$A165)</f>
        <v>0.939331622713168</v>
      </c>
      <c r="AH165" s="39" t="n">
        <f aca="false">PR_PH(AH$2,$A165)</f>
        <v>2015</v>
      </c>
      <c r="AI165" s="39" t="n">
        <f aca="false">PR_PH(AI$2,$A165)</f>
        <v>2015</v>
      </c>
      <c r="AJ165" s="39" t="n">
        <f aca="false">PR_PH(AJ$2,$A165)</f>
        <v>2015</v>
      </c>
      <c r="AK165" s="39" t="n">
        <f aca="false">PR_PH(AK$2,$A165)</f>
        <v>2015</v>
      </c>
      <c r="AL165" s="39" t="n">
        <f aca="false">PR_PH(AL$2,$A165)</f>
        <v>2015</v>
      </c>
      <c r="AM165" s="39" t="n">
        <f aca="false">PR_PH(AM$2,$A165)</f>
        <v>2015</v>
      </c>
      <c r="AN165" s="39" t="n">
        <f aca="false">PR_PH(AN$2,$A165)</f>
        <v>2015</v>
      </c>
      <c r="AO165" s="39" t="n">
        <f aca="false">PR_PH(AO$2,$A165)</f>
        <v>2015</v>
      </c>
      <c r="AP165" s="39" t="n">
        <f aca="false">PR_PH(AP$2,$A165)</f>
        <v>2015</v>
      </c>
      <c r="AQ165" s="39" t="n">
        <f aca="false">PR_PH(AQ$2,$A165)</f>
        <v>2015</v>
      </c>
    </row>
    <row r="166" customFormat="false" ht="13.8" hidden="false" customHeight="false" outlineLevel="0" collapsed="false">
      <c r="A166" s="0" t="n">
        <v>3260</v>
      </c>
      <c r="B166" s="39" t="n">
        <f aca="false">PR_PH(B$2,$A166)</f>
        <v>0.924750497273186</v>
      </c>
      <c r="C166" s="39" t="n">
        <f aca="false">PR_PH(C$2,$A166)</f>
        <v>0.924751887521961</v>
      </c>
      <c r="D166" s="39" t="n">
        <f aca="false">PR_PH(D$2,$A166)</f>
        <v>0.924753277737982</v>
      </c>
      <c r="E166" s="39" t="n">
        <f aca="false">PR_PH(E$2,$A166)</f>
        <v>0.924754667922173</v>
      </c>
      <c r="F166" s="39" t="n">
        <f aca="false">PR_PH(F$2,$A166)</f>
        <v>0.924756058075335</v>
      </c>
      <c r="G166" s="39" t="n">
        <f aca="false">PR_PH(G$2,$A166)</f>
        <v>0.924769958023924</v>
      </c>
      <c r="H166" s="39" t="n">
        <f aca="false">PR_PH(H$2,$A166)</f>
        <v>0.924783855350096</v>
      </c>
      <c r="I166" s="39" t="n">
        <f aca="false">PR_PH(I$2,$A166)</f>
        <v>0.924797750286984</v>
      </c>
      <c r="J166" s="39" t="n">
        <f aca="false">PR_PH(J$2,$A166)</f>
        <v>0.924811642986031</v>
      </c>
      <c r="K166" s="39" t="n">
        <f aca="false">PR_PH(K$2,$A166)</f>
        <v>0.924825533558117</v>
      </c>
      <c r="L166" s="39" t="n">
        <f aca="false">PR_PH(L$2,$A166)</f>
        <v>0.924839422090006</v>
      </c>
      <c r="M166" s="39" t="n">
        <f aca="false">PR_PH(M$2,$A166)</f>
        <v>0.924853308652511</v>
      </c>
      <c r="N166" s="39" t="n">
        <f aca="false">PR_PH(N$2,$A166)</f>
        <v>0.924867193305202</v>
      </c>
      <c r="O166" s="39" t="n">
        <f aca="false">PR_PH(O$2,$A166)</f>
        <v>0.924881076099297</v>
      </c>
      <c r="P166" s="39" t="n">
        <f aca="false">PR_PH(P$2,$A166)</f>
        <v>0.925019809745801</v>
      </c>
      <c r="Q166" s="39" t="n">
        <f aca="false">PR_PH(Q$2,$A166)</f>
        <v>0.925158388287839</v>
      </c>
      <c r="R166" s="39" t="n">
        <f aca="false">PR_PH(R$2,$A166)</f>
        <v>0.925296826589303</v>
      </c>
      <c r="S166" s="39" t="n">
        <f aca="false">PR_PH(S$2,$A166)</f>
        <v>0.925435134286558</v>
      </c>
      <c r="T166" s="39" t="n">
        <f aca="false">PR_PH(T$2,$A166)</f>
        <v>0.925573318422712</v>
      </c>
      <c r="U166" s="39" t="n">
        <f aca="false">PR_PH(U$2,$A166)</f>
        <v>0.925711384496305</v>
      </c>
      <c r="V166" s="39" t="n">
        <f aca="false">PR_PH(V$2,$A166)</f>
        <v>0.925849336985167</v>
      </c>
      <c r="W166" s="39" t="n">
        <f aca="false">PR_PH(W$2,$A166)</f>
        <v>0.925987179644957</v>
      </c>
      <c r="X166" s="39" t="n">
        <f aca="false">PR_PH(X$2,$A166)</f>
        <v>0.926124915694942</v>
      </c>
      <c r="Y166" s="39" t="n">
        <f aca="false">PR_PH(Y$2,$A166)</f>
        <v>0.927496905539761</v>
      </c>
      <c r="Z166" s="39" t="n">
        <f aca="false">PR_PH(Z$2,$A166)</f>
        <v>0.92886012285539</v>
      </c>
      <c r="AA166" s="39" t="n">
        <f aca="false">PR_PH(AA$2,$A166)</f>
        <v>0.930215432447107</v>
      </c>
      <c r="AB166" s="39" t="n">
        <f aca="false">PR_PH(AB$2,$A166)</f>
        <v>0.931563357085745</v>
      </c>
      <c r="AC166" s="39" t="n">
        <f aca="false">PR_PH(AC$2,$A166)</f>
        <v>0.932904250555533</v>
      </c>
      <c r="AD166" s="39" t="n">
        <f aca="false">PR_PH(AD$2,$A166)</f>
        <v>0.934238367469288</v>
      </c>
      <c r="AE166" s="39" t="n">
        <f aca="false">PR_PH(AE$2,$A166)</f>
        <v>0.935565898463476</v>
      </c>
      <c r="AF166" s="39" t="n">
        <f aca="false">PR_PH(AF$2,$A166)</f>
        <v>0.936886990340478</v>
      </c>
      <c r="AG166" s="39" t="n">
        <f aca="false">PR_PH(AG$2,$A166)</f>
        <v>0.93820175858912</v>
      </c>
      <c r="AH166" s="39" t="n">
        <f aca="false">PR_PH(AH$2,$A166)</f>
        <v>2015</v>
      </c>
      <c r="AI166" s="39" t="n">
        <f aca="false">PR_PH(AI$2,$A166)</f>
        <v>2015</v>
      </c>
      <c r="AJ166" s="39" t="n">
        <f aca="false">PR_PH(AJ$2,$A166)</f>
        <v>2015</v>
      </c>
      <c r="AK166" s="39" t="n">
        <f aca="false">PR_PH(AK$2,$A166)</f>
        <v>2015</v>
      </c>
      <c r="AL166" s="39" t="n">
        <f aca="false">PR_PH(AL$2,$A166)</f>
        <v>2015</v>
      </c>
      <c r="AM166" s="39" t="n">
        <f aca="false">PR_PH(AM$2,$A166)</f>
        <v>2015</v>
      </c>
      <c r="AN166" s="39" t="n">
        <f aca="false">PR_PH(AN$2,$A166)</f>
        <v>2015</v>
      </c>
      <c r="AO166" s="39" t="n">
        <f aca="false">PR_PH(AO$2,$A166)</f>
        <v>2015</v>
      </c>
      <c r="AP166" s="39" t="n">
        <f aca="false">PR_PH(AP$2,$A166)</f>
        <v>2015</v>
      </c>
      <c r="AQ166" s="39" t="n">
        <f aca="false">PR_PH(AQ$2,$A166)</f>
        <v>2015</v>
      </c>
    </row>
    <row r="167" customFormat="false" ht="13.8" hidden="false" customHeight="false" outlineLevel="0" collapsed="false">
      <c r="A167" s="0" t="n">
        <v>3270</v>
      </c>
      <c r="B167" s="39" t="n">
        <f aca="false">PR_PH(B$2,$A167)</f>
        <v>0.924153180203929</v>
      </c>
      <c r="C167" s="39" t="n">
        <f aca="false">PR_PH(C$2,$A167)</f>
        <v>0.924154518081438</v>
      </c>
      <c r="D167" s="39" t="n">
        <f aca="false">PR_PH(D$2,$A167)</f>
        <v>0.924155855928465</v>
      </c>
      <c r="E167" s="39" t="n">
        <f aca="false">PR_PH(E$2,$A167)</f>
        <v>0.924157193745863</v>
      </c>
      <c r="F167" s="39" t="n">
        <f aca="false">PR_PH(F$2,$A167)</f>
        <v>0.924158531534364</v>
      </c>
      <c r="G167" s="39" t="n">
        <f aca="false">PR_PH(G$2,$A167)</f>
        <v>0.924171907943757</v>
      </c>
      <c r="H167" s="39" t="n">
        <f aca="false">PR_PH(H$2,$A167)</f>
        <v>0.92418528190529</v>
      </c>
      <c r="I167" s="39" t="n">
        <f aca="false">PR_PH(I$2,$A167)</f>
        <v>0.924198653633214</v>
      </c>
      <c r="J167" s="39" t="n">
        <f aca="false">PR_PH(J$2,$A167)</f>
        <v>0.924212023266675</v>
      </c>
      <c r="K167" s="39" t="n">
        <f aca="false">PR_PH(K$2,$A167)</f>
        <v>0.924225390907541</v>
      </c>
      <c r="L167" s="39" t="n">
        <f aca="false">PR_PH(L$2,$A167)</f>
        <v>0.924238756635507</v>
      </c>
      <c r="M167" s="39" t="n">
        <f aca="false">PR_PH(M$2,$A167)</f>
        <v>0.924252120515627</v>
      </c>
      <c r="N167" s="39" t="n">
        <f aca="false">PR_PH(N$2,$A167)</f>
        <v>0.924265482602603</v>
      </c>
      <c r="O167" s="39" t="n">
        <f aca="false">PR_PH(O$2,$A167)</f>
        <v>0.92427884294347</v>
      </c>
      <c r="P167" s="39" t="n">
        <f aca="false">PR_PH(P$2,$A167)</f>
        <v>0.924412357595716</v>
      </c>
      <c r="Q167" s="39" t="n">
        <f aca="false">PR_PH(Q$2,$A167)</f>
        <v>0.9245457258718</v>
      </c>
      <c r="R167" s="39" t="n">
        <f aca="false">PR_PH(R$2,$A167)</f>
        <v>0.92467896141311</v>
      </c>
      <c r="S167" s="39" t="n">
        <f aca="false">PR_PH(S$2,$A167)</f>
        <v>0.924812073062767</v>
      </c>
      <c r="T167" s="39" t="n">
        <f aca="false">PR_PH(T$2,$A167)</f>
        <v>0.92494506728487</v>
      </c>
      <c r="U167" s="39" t="n">
        <f aca="false">PR_PH(U$2,$A167)</f>
        <v>0.925077949127282</v>
      </c>
      <c r="V167" s="39" t="n">
        <f aca="false">PR_PH(V$2,$A167)</f>
        <v>0.925210722702413</v>
      </c>
      <c r="W167" s="39" t="n">
        <f aca="false">PR_PH(W$2,$A167)</f>
        <v>0.925343391461118</v>
      </c>
      <c r="X167" s="39" t="n">
        <f aca="false">PR_PH(X$2,$A167)</f>
        <v>0.925475958363115</v>
      </c>
      <c r="Y167" s="39" t="n">
        <f aca="false">PR_PH(Y$2,$A167)</f>
        <v>0.92679647939744</v>
      </c>
      <c r="Z167" s="39" t="n">
        <f aca="false">PR_PH(Z$2,$A167)</f>
        <v>0.928108559200386</v>
      </c>
      <c r="AA167" s="39" t="n">
        <f aca="false">PR_PH(AA$2,$A167)</f>
        <v>0.9294130058856</v>
      </c>
      <c r="AB167" s="39" t="n">
        <f aca="false">PR_PH(AB$2,$A167)</f>
        <v>0.930710315617834</v>
      </c>
      <c r="AC167" s="39" t="n">
        <f aca="false">PR_PH(AC$2,$A167)</f>
        <v>0.932000830131618</v>
      </c>
      <c r="AD167" s="39" t="n">
        <f aca="false">PR_PH(AD$2,$A167)</f>
        <v>2015</v>
      </c>
      <c r="AE167" s="39" t="n">
        <f aca="false">PR_PH(AE$2,$A167)</f>
        <v>2015</v>
      </c>
      <c r="AF167" s="39" t="n">
        <f aca="false">PR_PH(AF$2,$A167)</f>
        <v>2015</v>
      </c>
      <c r="AG167" s="39" t="n">
        <f aca="false">PR_PH(AG$2,$A167)</f>
        <v>2015</v>
      </c>
      <c r="AH167" s="39" t="n">
        <f aca="false">PR_PH(AH$2,$A167)</f>
        <v>2015</v>
      </c>
      <c r="AI167" s="39" t="n">
        <f aca="false">PR_PH(AI$2,$A167)</f>
        <v>2015</v>
      </c>
      <c r="AJ167" s="39" t="n">
        <f aca="false">PR_PH(AJ$2,$A167)</f>
        <v>2015</v>
      </c>
      <c r="AK167" s="39" t="n">
        <f aca="false">PR_PH(AK$2,$A167)</f>
        <v>2015</v>
      </c>
      <c r="AL167" s="39" t="n">
        <f aca="false">PR_PH(AL$2,$A167)</f>
        <v>2015</v>
      </c>
      <c r="AM167" s="39" t="n">
        <f aca="false">PR_PH(AM$2,$A167)</f>
        <v>2015</v>
      </c>
      <c r="AN167" s="39" t="n">
        <f aca="false">PR_PH(AN$2,$A167)</f>
        <v>2015</v>
      </c>
      <c r="AO167" s="39" t="n">
        <f aca="false">PR_PH(AO$2,$A167)</f>
        <v>2015</v>
      </c>
      <c r="AP167" s="39" t="n">
        <f aca="false">PR_PH(AP$2,$A167)</f>
        <v>2015</v>
      </c>
      <c r="AQ167" s="39" t="n">
        <f aca="false">PR_PH(AQ$2,$A167)</f>
        <v>2015</v>
      </c>
    </row>
    <row r="168" customFormat="false" ht="13.8" hidden="false" customHeight="false" outlineLevel="0" collapsed="false">
      <c r="A168" s="0" t="n">
        <v>3280</v>
      </c>
      <c r="B168" s="39" t="n">
        <f aca="false">PR_PH(B$2,$A168)</f>
        <v>0.923555137092704</v>
      </c>
      <c r="C168" s="39" t="n">
        <f aca="false">PR_PH(C$2,$A168)</f>
        <v>0.923556425319842</v>
      </c>
      <c r="D168" s="39" t="n">
        <f aca="false">PR_PH(D$2,$A168)</f>
        <v>0.923557713518558</v>
      </c>
      <c r="E168" s="39" t="n">
        <f aca="false">PR_PH(E$2,$A168)</f>
        <v>0.923559001689644</v>
      </c>
      <c r="F168" s="39" t="n">
        <f aca="false">PR_PH(F$2,$A168)</f>
        <v>0.923560289833774</v>
      </c>
      <c r="G168" s="39" t="n">
        <f aca="false">PR_PH(G$2,$A168)</f>
        <v>0.923573169897097</v>
      </c>
      <c r="H168" s="39" t="n">
        <f aca="false">PR_PH(H$2,$A168)</f>
        <v>0.923586047671412</v>
      </c>
      <c r="I168" s="39" t="n">
        <f aca="false">PR_PH(I$2,$A168)</f>
        <v>0.923598923353896</v>
      </c>
      <c r="J168" s="39" t="n">
        <f aca="false">PR_PH(J$2,$A168)</f>
        <v>0.923611797072593</v>
      </c>
      <c r="K168" s="39" t="n">
        <f aca="false">PR_PH(K$2,$A168)</f>
        <v>2015</v>
      </c>
      <c r="L168" s="39" t="n">
        <f aca="false">PR_PH(L$2,$A168)</f>
        <v>2015</v>
      </c>
      <c r="M168" s="39" t="n">
        <f aca="false">PR_PH(M$2,$A168)</f>
        <v>2015</v>
      </c>
      <c r="N168" s="39" t="n">
        <f aca="false">PR_PH(N$2,$A168)</f>
        <v>2015</v>
      </c>
      <c r="O168" s="39" t="n">
        <f aca="false">PR_PH(O$2,$A168)</f>
        <v>2015</v>
      </c>
      <c r="P168" s="39" t="n">
        <f aca="false">PR_PH(P$2,$A168)</f>
        <v>2015</v>
      </c>
      <c r="Q168" s="39" t="n">
        <f aca="false">PR_PH(Q$2,$A168)</f>
        <v>2015</v>
      </c>
      <c r="R168" s="39" t="n">
        <f aca="false">PR_PH(R$2,$A168)</f>
        <v>2015</v>
      </c>
      <c r="S168" s="39" t="n">
        <f aca="false">PR_PH(S$2,$A168)</f>
        <v>2015</v>
      </c>
      <c r="T168" s="39" t="n">
        <f aca="false">PR_PH(T$2,$A168)</f>
        <v>2015</v>
      </c>
      <c r="U168" s="39" t="n">
        <f aca="false">PR_PH(U$2,$A168)</f>
        <v>2015</v>
      </c>
      <c r="V168" s="39" t="n">
        <f aca="false">PR_PH(V$2,$A168)</f>
        <v>2015</v>
      </c>
      <c r="W168" s="39" t="n">
        <f aca="false">PR_PH(W$2,$A168)</f>
        <v>2015</v>
      </c>
      <c r="X168" s="39" t="n">
        <f aca="false">PR_PH(X$2,$A168)</f>
        <v>2015</v>
      </c>
      <c r="Y168" s="39" t="n">
        <f aca="false">PR_PH(Y$2,$A168)</f>
        <v>2015</v>
      </c>
      <c r="Z168" s="39" t="n">
        <f aca="false">PR_PH(Z$2,$A168)</f>
        <v>2015</v>
      </c>
      <c r="AA168" s="39" t="n">
        <f aca="false">PR_PH(AA$2,$A168)</f>
        <v>2015</v>
      </c>
      <c r="AB168" s="39" t="n">
        <f aca="false">PR_PH(AB$2,$A168)</f>
        <v>2015</v>
      </c>
      <c r="AC168" s="39" t="n">
        <f aca="false">PR_PH(AC$2,$A168)</f>
        <v>2015</v>
      </c>
      <c r="AD168" s="39" t="n">
        <f aca="false">PR_PH(AD$2,$A168)</f>
        <v>2015</v>
      </c>
      <c r="AE168" s="39" t="n">
        <f aca="false">PR_PH(AE$2,$A168)</f>
        <v>2015</v>
      </c>
      <c r="AF168" s="39" t="n">
        <f aca="false">PR_PH(AF$2,$A168)</f>
        <v>2015</v>
      </c>
      <c r="AG168" s="39" t="n">
        <f aca="false">PR_PH(AG$2,$A168)</f>
        <v>2015</v>
      </c>
      <c r="AH168" s="39" t="n">
        <f aca="false">PR_PH(AH$2,$A168)</f>
        <v>2015</v>
      </c>
      <c r="AI168" s="39" t="n">
        <f aca="false">PR_PH(AI$2,$A168)</f>
        <v>2015</v>
      </c>
      <c r="AJ168" s="39" t="n">
        <f aca="false">PR_PH(AJ$2,$A168)</f>
        <v>2015</v>
      </c>
      <c r="AK168" s="39" t="n">
        <f aca="false">PR_PH(AK$2,$A168)</f>
        <v>2015</v>
      </c>
      <c r="AL168" s="39" t="n">
        <f aca="false">PR_PH(AL$2,$A168)</f>
        <v>2015</v>
      </c>
      <c r="AM168" s="39" t="n">
        <f aca="false">PR_PH(AM$2,$A168)</f>
        <v>2015</v>
      </c>
      <c r="AN168" s="39" t="n">
        <f aca="false">PR_PH(AN$2,$A168)</f>
        <v>2015</v>
      </c>
      <c r="AO168" s="39" t="n">
        <f aca="false">PR_PH(AO$2,$A168)</f>
        <v>2015</v>
      </c>
      <c r="AP168" s="39" t="n">
        <f aca="false">PR_PH(AP$2,$A168)</f>
        <v>2015</v>
      </c>
      <c r="AQ168" s="39" t="n">
        <f aca="false">PR_PH(AQ$2,$A168)</f>
        <v>2015</v>
      </c>
    </row>
    <row r="169" customFormat="false" ht="13.8" hidden="false" customHeight="false" outlineLevel="0" collapsed="false">
      <c r="A169" s="0" t="n">
        <v>3290</v>
      </c>
      <c r="B169" s="39" t="n">
        <f aca="false">PR_PH(B$2,$A169)</f>
        <v>2015</v>
      </c>
      <c r="C169" s="39" t="n">
        <f aca="false">PR_PH(C$2,$A169)</f>
        <v>2015</v>
      </c>
      <c r="D169" s="39" t="n">
        <f aca="false">PR_PH(D$2,$A169)</f>
        <v>2015</v>
      </c>
      <c r="E169" s="39" t="n">
        <f aca="false">PR_PH(E$2,$A169)</f>
        <v>2015</v>
      </c>
      <c r="F169" s="39" t="n">
        <f aca="false">PR_PH(F$2,$A169)</f>
        <v>2015</v>
      </c>
      <c r="G169" s="39" t="n">
        <f aca="false">PR_PH(G$2,$A169)</f>
        <v>2015</v>
      </c>
      <c r="H169" s="39" t="n">
        <f aca="false">PR_PH(H$2,$A169)</f>
        <v>2015</v>
      </c>
      <c r="I169" s="39" t="n">
        <f aca="false">PR_PH(I$2,$A169)</f>
        <v>2015</v>
      </c>
      <c r="J169" s="39" t="n">
        <f aca="false">PR_PH(J$2,$A169)</f>
        <v>2015</v>
      </c>
      <c r="K169" s="39" t="n">
        <f aca="false">PR_PH(K$2,$A169)</f>
        <v>2015</v>
      </c>
      <c r="L169" s="39" t="n">
        <f aca="false">PR_PH(L$2,$A169)</f>
        <v>2015</v>
      </c>
      <c r="M169" s="39" t="n">
        <f aca="false">PR_PH(M$2,$A169)</f>
        <v>2015</v>
      </c>
      <c r="N169" s="39" t="n">
        <f aca="false">PR_PH(N$2,$A169)</f>
        <v>2015</v>
      </c>
      <c r="O169" s="39" t="n">
        <f aca="false">PR_PH(O$2,$A169)</f>
        <v>2015</v>
      </c>
      <c r="P169" s="39" t="n">
        <f aca="false">PR_PH(P$2,$A169)</f>
        <v>2015</v>
      </c>
      <c r="Q169" s="39" t="n">
        <f aca="false">PR_PH(Q$2,$A169)</f>
        <v>2015</v>
      </c>
      <c r="R169" s="39" t="n">
        <f aca="false">PR_PH(R$2,$A169)</f>
        <v>2015</v>
      </c>
      <c r="S169" s="39" t="n">
        <f aca="false">PR_PH(S$2,$A169)</f>
        <v>2015</v>
      </c>
      <c r="T169" s="39" t="n">
        <f aca="false">PR_PH(T$2,$A169)</f>
        <v>2015</v>
      </c>
      <c r="U169" s="39" t="n">
        <f aca="false">PR_PH(U$2,$A169)</f>
        <v>2015</v>
      </c>
      <c r="V169" s="39" t="n">
        <f aca="false">PR_PH(V$2,$A169)</f>
        <v>2015</v>
      </c>
      <c r="W169" s="39" t="n">
        <f aca="false">PR_PH(W$2,$A169)</f>
        <v>2015</v>
      </c>
      <c r="X169" s="39" t="n">
        <f aca="false">PR_PH(X$2,$A169)</f>
        <v>2015</v>
      </c>
      <c r="Y169" s="39" t="n">
        <f aca="false">PR_PH(Y$2,$A169)</f>
        <v>2015</v>
      </c>
      <c r="Z169" s="39" t="n">
        <f aca="false">PR_PH(Z$2,$A169)</f>
        <v>2015</v>
      </c>
      <c r="AA169" s="39" t="n">
        <f aca="false">PR_PH(AA$2,$A169)</f>
        <v>2015</v>
      </c>
      <c r="AB169" s="39" t="n">
        <f aca="false">PR_PH(AB$2,$A169)</f>
        <v>2015</v>
      </c>
      <c r="AC169" s="39" t="n">
        <f aca="false">PR_PH(AC$2,$A169)</f>
        <v>2015</v>
      </c>
      <c r="AD169" s="39" t="n">
        <f aca="false">PR_PH(AD$2,$A169)</f>
        <v>2015</v>
      </c>
      <c r="AE169" s="39" t="n">
        <f aca="false">PR_PH(AE$2,$A169)</f>
        <v>2015</v>
      </c>
      <c r="AF169" s="39" t="n">
        <f aca="false">PR_PH(AF$2,$A169)</f>
        <v>2015</v>
      </c>
      <c r="AG169" s="39" t="n">
        <f aca="false">PR_PH(AG$2,$A169)</f>
        <v>2015</v>
      </c>
      <c r="AH169" s="39" t="n">
        <f aca="false">PR_PH(AH$2,$A169)</f>
        <v>2015</v>
      </c>
      <c r="AI169" s="39" t="n">
        <f aca="false">PR_PH(AI$2,$A169)</f>
        <v>2015</v>
      </c>
      <c r="AJ169" s="39" t="n">
        <f aca="false">PR_PH(AJ$2,$A169)</f>
        <v>2015</v>
      </c>
      <c r="AK169" s="39" t="n">
        <f aca="false">PR_PH(AK$2,$A169)</f>
        <v>2015</v>
      </c>
      <c r="AL169" s="39" t="n">
        <f aca="false">PR_PH(AL$2,$A169)</f>
        <v>2015</v>
      </c>
      <c r="AM169" s="39" t="n">
        <f aca="false">PR_PH(AM$2,$A169)</f>
        <v>2015</v>
      </c>
      <c r="AN169" s="39" t="n">
        <f aca="false">PR_PH(AN$2,$A169)</f>
        <v>2015</v>
      </c>
      <c r="AO169" s="39" t="n">
        <f aca="false">PR_PH(AO$2,$A169)</f>
        <v>2015</v>
      </c>
      <c r="AP169" s="39" t="n">
        <f aca="false">PR_PH(AP$2,$A169)</f>
        <v>2015</v>
      </c>
      <c r="AQ169" s="39" t="n">
        <f aca="false">PR_PH(AQ$2,$A169)</f>
        <v>2015</v>
      </c>
    </row>
    <row r="170" customFormat="false" ht="13.8" hidden="false" customHeight="false" outlineLevel="0" collapsed="false">
      <c r="A170" s="0" t="n">
        <v>3300</v>
      </c>
      <c r="B170" s="39" t="n">
        <f aca="false">PR_PH(B$2,$A170)</f>
        <v>2015</v>
      </c>
      <c r="C170" s="39" t="n">
        <f aca="false">PR_PH(C$2,$A170)</f>
        <v>2015</v>
      </c>
      <c r="D170" s="39" t="n">
        <f aca="false">PR_PH(D$2,$A170)</f>
        <v>2015</v>
      </c>
      <c r="E170" s="39" t="n">
        <f aca="false">PR_PH(E$2,$A170)</f>
        <v>2015</v>
      </c>
      <c r="F170" s="39" t="n">
        <f aca="false">PR_PH(F$2,$A170)</f>
        <v>2015</v>
      </c>
      <c r="G170" s="39" t="n">
        <f aca="false">PR_PH(G$2,$A170)</f>
        <v>2015</v>
      </c>
      <c r="H170" s="39" t="n">
        <f aca="false">PR_PH(H$2,$A170)</f>
        <v>2015</v>
      </c>
      <c r="I170" s="39" t="n">
        <f aca="false">PR_PH(I$2,$A170)</f>
        <v>2015</v>
      </c>
      <c r="J170" s="39" t="n">
        <f aca="false">PR_PH(J$2,$A170)</f>
        <v>2015</v>
      </c>
      <c r="K170" s="39" t="n">
        <f aca="false">PR_PH(K$2,$A170)</f>
        <v>2015</v>
      </c>
      <c r="L170" s="39" t="n">
        <f aca="false">PR_PH(L$2,$A170)</f>
        <v>2015</v>
      </c>
      <c r="M170" s="39" t="n">
        <f aca="false">PR_PH(M$2,$A170)</f>
        <v>2015</v>
      </c>
      <c r="N170" s="39" t="n">
        <f aca="false">PR_PH(N$2,$A170)</f>
        <v>2015</v>
      </c>
      <c r="O170" s="39" t="n">
        <f aca="false">PR_PH(O$2,$A170)</f>
        <v>2015</v>
      </c>
      <c r="P170" s="39" t="n">
        <f aca="false">PR_PH(P$2,$A170)</f>
        <v>2015</v>
      </c>
      <c r="Q170" s="39" t="n">
        <f aca="false">PR_PH(Q$2,$A170)</f>
        <v>2015</v>
      </c>
      <c r="R170" s="39" t="n">
        <f aca="false">PR_PH(R$2,$A170)</f>
        <v>2015</v>
      </c>
      <c r="S170" s="39" t="n">
        <f aca="false">PR_PH(S$2,$A170)</f>
        <v>2015</v>
      </c>
      <c r="T170" s="39" t="n">
        <f aca="false">PR_PH(T$2,$A170)</f>
        <v>2015</v>
      </c>
      <c r="U170" s="39" t="n">
        <f aca="false">PR_PH(U$2,$A170)</f>
        <v>2015</v>
      </c>
      <c r="V170" s="39" t="n">
        <f aca="false">PR_PH(V$2,$A170)</f>
        <v>2015</v>
      </c>
      <c r="W170" s="39" t="n">
        <f aca="false">PR_PH(W$2,$A170)</f>
        <v>2015</v>
      </c>
      <c r="X170" s="39" t="n">
        <f aca="false">PR_PH(X$2,$A170)</f>
        <v>2015</v>
      </c>
      <c r="Y170" s="39" t="n">
        <f aca="false">PR_PH(Y$2,$A170)</f>
        <v>2015</v>
      </c>
      <c r="Z170" s="39" t="n">
        <f aca="false">PR_PH(Z$2,$A170)</f>
        <v>2015</v>
      </c>
      <c r="AA170" s="39" t="n">
        <f aca="false">PR_PH(AA$2,$A170)</f>
        <v>2015</v>
      </c>
      <c r="AB170" s="39" t="n">
        <f aca="false">PR_PH(AB$2,$A170)</f>
        <v>2015</v>
      </c>
      <c r="AC170" s="39" t="n">
        <f aca="false">PR_PH(AC$2,$A170)</f>
        <v>2015</v>
      </c>
      <c r="AD170" s="39" t="n">
        <f aca="false">PR_PH(AD$2,$A170)</f>
        <v>2015</v>
      </c>
      <c r="AE170" s="39" t="n">
        <f aca="false">PR_PH(AE$2,$A170)</f>
        <v>2015</v>
      </c>
      <c r="AF170" s="39" t="n">
        <f aca="false">PR_PH(AF$2,$A170)</f>
        <v>2015</v>
      </c>
      <c r="AG170" s="39" t="n">
        <f aca="false">PR_PH(AG$2,$A170)</f>
        <v>2015</v>
      </c>
      <c r="AH170" s="39" t="n">
        <f aca="false">PR_PH(AH$2,$A170)</f>
        <v>2015</v>
      </c>
      <c r="AI170" s="39" t="n">
        <f aca="false">PR_PH(AI$2,$A170)</f>
        <v>2015</v>
      </c>
      <c r="AJ170" s="39" t="n">
        <f aca="false">PR_PH(AJ$2,$A170)</f>
        <v>2015</v>
      </c>
      <c r="AK170" s="39" t="n">
        <f aca="false">PR_PH(AK$2,$A170)</f>
        <v>2015</v>
      </c>
      <c r="AL170" s="39" t="n">
        <f aca="false">PR_PH(AL$2,$A170)</f>
        <v>2015</v>
      </c>
      <c r="AM170" s="39" t="n">
        <f aca="false">PR_PH(AM$2,$A170)</f>
        <v>2015</v>
      </c>
      <c r="AN170" s="39" t="n">
        <f aca="false">PR_PH(AN$2,$A170)</f>
        <v>2015</v>
      </c>
      <c r="AO170" s="39" t="n">
        <f aca="false">PR_PH(AO$2,$A170)</f>
        <v>2015</v>
      </c>
      <c r="AP170" s="39" t="n">
        <f aca="false">PR_PH(AP$2,$A170)</f>
        <v>2015</v>
      </c>
      <c r="AQ170" s="39" t="n">
        <f aca="false">PR_PH(AQ$2,$A170)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870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2019-02-24T20:44:13Z</dcterms:modified>
  <cp:revision>87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