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my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  <definedName function="true" hidden="false" name="FROMSIUNIT_T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<sst xmlns="http://schemas.openxmlformats.org/spreadsheetml/2006/main" count="529" uniqueCount="255">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</sst>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0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u val="single"/>
      <sz val="8"/>
      <color rgb="FF0000FF"/>
      <name val="Arial"/>
      <family val="0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7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8"/>
      <c r="B7" s="9" t="s">
        <v>9</v>
      </c>
      <c r="C7" s="10" t="n">
        <v>50</v>
      </c>
      <c r="D7" s="11" t="s">
        <v>10</v>
      </c>
      <c r="E7" s="8"/>
      <c r="F7" s="9" t="s">
        <v>11</v>
      </c>
      <c r="G7" s="12" t="n">
        <v>12.57</v>
      </c>
      <c r="H7" s="11" t="s">
        <v>12</v>
      </c>
      <c r="I7" s="8"/>
    </row>
    <row r="8" customFormat="false" ht="12.75" hidden="false" customHeight="false" outlineLevel="0" collapsed="false">
      <c r="A8" s="8"/>
      <c r="B8" s="13" t="s">
        <v>13</v>
      </c>
      <c r="C8" s="14" t="n">
        <f aca="false">PSAT_T(C7)</f>
        <v>0.178133010007699</v>
      </c>
      <c r="D8" s="15" t="s">
        <v>12</v>
      </c>
      <c r="E8" s="8"/>
      <c r="F8" s="13" t="s">
        <v>14</v>
      </c>
      <c r="G8" s="16" t="n">
        <f aca="false">TSAT_P(G7)</f>
        <v>204.177777919275</v>
      </c>
      <c r="H8" s="15" t="s">
        <v>10</v>
      </c>
      <c r="I8" s="8"/>
    </row>
    <row r="9" customFormat="false" ht="12.75" hidden="false" customHeight="false" outlineLevel="0" collapsed="false">
      <c r="A9" s="8"/>
      <c r="B9" s="17" t="s">
        <v>15</v>
      </c>
      <c r="C9" s="8"/>
      <c r="D9" s="15"/>
      <c r="F9" s="17" t="s">
        <v>15</v>
      </c>
      <c r="G9" s="8"/>
      <c r="H9" s="15"/>
      <c r="I9" s="8"/>
    </row>
    <row r="10" customFormat="false" ht="12.75" hidden="false" customHeight="false" outlineLevel="0" collapsed="false">
      <c r="A10" s="8"/>
      <c r="B10" s="13" t="s">
        <v>16</v>
      </c>
      <c r="C10" s="18" t="n">
        <f aca="false">HL_T(C7)</f>
        <v>18.0658162719191</v>
      </c>
      <c r="D10" s="15" t="s">
        <v>17</v>
      </c>
      <c r="E10" s="8"/>
      <c r="F10" s="13" t="s">
        <v>16</v>
      </c>
      <c r="G10" s="18" t="n">
        <f aca="false">HL_P(G7)</f>
        <v>172.30242549738</v>
      </c>
      <c r="H10" s="15" t="s">
        <v>17</v>
      </c>
      <c r="I10" s="8"/>
    </row>
    <row r="11" customFormat="false" ht="12.75" hidden="false" customHeight="false" outlineLevel="0" collapsed="false">
      <c r="A11" s="8"/>
      <c r="B11" s="13" t="s">
        <v>18</v>
      </c>
      <c r="C11" s="16" t="n">
        <f aca="false">RHOL_T(C7)</f>
        <v>62.4063426187782</v>
      </c>
      <c r="D11" s="15" t="s">
        <v>19</v>
      </c>
      <c r="E11" s="8"/>
      <c r="F11" s="13" t="s">
        <v>18</v>
      </c>
      <c r="G11" s="16" t="n">
        <f aca="false">RHOL_P(G7)</f>
        <v>60.0202091370881</v>
      </c>
      <c r="H11" s="15" t="s">
        <v>19</v>
      </c>
      <c r="I11" s="8"/>
    </row>
    <row r="12" customFormat="false" ht="12.75" hidden="false" customHeight="false" outlineLevel="0" collapsed="false">
      <c r="A12" s="8"/>
      <c r="B12" s="13" t="s">
        <v>20</v>
      </c>
      <c r="C12" s="16" t="n">
        <f aca="false">SL_T(C7)</f>
        <v>0.0360860529032756</v>
      </c>
      <c r="D12" s="15" t="s">
        <v>21</v>
      </c>
      <c r="E12" s="8"/>
      <c r="F12" s="13" t="s">
        <v>20</v>
      </c>
      <c r="G12" s="16" t="n">
        <f aca="false">SL_P(G7)</f>
        <v>0.300387442243574</v>
      </c>
      <c r="H12" s="15" t="s">
        <v>21</v>
      </c>
      <c r="I12" s="8"/>
    </row>
    <row r="13" customFormat="false" ht="12.75" hidden="false" customHeight="false" outlineLevel="0" collapsed="false">
      <c r="A13" s="8"/>
      <c r="B13" s="17" t="s">
        <v>22</v>
      </c>
      <c r="C13" s="8"/>
      <c r="D13" s="15"/>
      <c r="F13" s="17" t="s">
        <v>22</v>
      </c>
      <c r="G13" s="8"/>
      <c r="H13" s="15"/>
      <c r="I13" s="8"/>
    </row>
    <row r="14" customFormat="false" ht="12.75" hidden="false" customHeight="false" outlineLevel="0" collapsed="false">
      <c r="A14" s="8"/>
      <c r="B14" s="13" t="s">
        <v>23</v>
      </c>
      <c r="C14" s="18" t="n">
        <f aca="false">HV_T(C7)</f>
        <v>1083.07387744644</v>
      </c>
      <c r="D14" s="15" t="s">
        <v>17</v>
      </c>
      <c r="E14" s="8"/>
      <c r="F14" s="13" t="s">
        <v>23</v>
      </c>
      <c r="G14" s="18" t="n">
        <f aca="false">HV_P(G7)</f>
        <v>1147.3184908806</v>
      </c>
      <c r="H14" s="15" t="s">
        <v>17</v>
      </c>
      <c r="I14" s="8"/>
    </row>
    <row r="15" customFormat="false" ht="12.75" hidden="false" customHeight="false" outlineLevel="0" collapsed="false">
      <c r="A15" s="8"/>
      <c r="B15" s="13" t="s">
        <v>24</v>
      </c>
      <c r="C15" s="16" t="n">
        <f aca="false">RHOV_T(C7)</f>
        <v>0.000587232864567547</v>
      </c>
      <c r="D15" s="15" t="s">
        <v>19</v>
      </c>
      <c r="E15" s="8"/>
      <c r="F15" s="13" t="s">
        <v>24</v>
      </c>
      <c r="G15" s="16" t="n">
        <f aca="false">RHOV_P(G7)</f>
        <v>0.0322355421635255</v>
      </c>
      <c r="H15" s="15" t="s">
        <v>19</v>
      </c>
      <c r="I15" s="8"/>
    </row>
    <row r="16" customFormat="false" ht="12.75" hidden="false" customHeight="false" outlineLevel="0" collapsed="false">
      <c r="A16" s="8"/>
      <c r="B16" s="13" t="s">
        <v>25</v>
      </c>
      <c r="C16" s="16" t="n">
        <f aca="false">SV_T(C7)</f>
        <v>2.12569167873906</v>
      </c>
      <c r="D16" s="15" t="s">
        <v>21</v>
      </c>
      <c r="E16" s="8"/>
      <c r="F16" s="13" t="s">
        <v>26</v>
      </c>
      <c r="G16" s="16" t="n">
        <f aca="false">SV_P(G7)</f>
        <v>1.76911437146751</v>
      </c>
      <c r="H16" s="15" t="s">
        <v>21</v>
      </c>
      <c r="I16" s="8"/>
    </row>
    <row r="17" customFormat="false" ht="12.75" hidden="false" customHeight="false" outlineLevel="0" collapsed="false">
      <c r="A17" s="8"/>
      <c r="B17" s="19" t="s">
        <v>27</v>
      </c>
      <c r="C17" s="20" t="n">
        <f aca="false">C14-C10</f>
        <v>1065.00806117452</v>
      </c>
      <c r="D17" s="21" t="s">
        <v>17</v>
      </c>
      <c r="E17" s="8"/>
      <c r="F17" s="19" t="s">
        <v>27</v>
      </c>
      <c r="G17" s="20" t="n">
        <f aca="false">G14-G10</f>
        <v>975.016065383219</v>
      </c>
      <c r="H17" s="21" t="s">
        <v>17</v>
      </c>
      <c r="I17" s="8"/>
    </row>
    <row r="18" customFormat="false" ht="12.75" hidden="false" customHeight="false" outlineLevel="0" collapsed="false">
      <c r="A18" s="8"/>
      <c r="I18" s="8"/>
    </row>
    <row r="19" customFormat="false" ht="12.75" hidden="false" customHeight="false" outlineLevel="0" collapsed="false">
      <c r="A19" s="8"/>
      <c r="B19" s="7" t="s">
        <v>28</v>
      </c>
      <c r="C19" s="8"/>
      <c r="D19" s="8"/>
      <c r="E19" s="8"/>
      <c r="F19" s="7" t="s">
        <v>29</v>
      </c>
      <c r="G19" s="8"/>
      <c r="H19" s="8"/>
      <c r="I19" s="8"/>
    </row>
    <row r="20" customFormat="false" ht="12.75" hidden="false" customHeight="false" outlineLevel="0" collapsed="false">
      <c r="A20" s="8"/>
      <c r="B20" s="9" t="s">
        <v>11</v>
      </c>
      <c r="C20" s="10" t="n">
        <v>100</v>
      </c>
      <c r="D20" s="11" t="s">
        <v>12</v>
      </c>
      <c r="E20" s="8"/>
      <c r="F20" s="9" t="s">
        <v>11</v>
      </c>
      <c r="G20" s="10" t="n">
        <v>12.57</v>
      </c>
      <c r="H20" s="11" t="s">
        <v>12</v>
      </c>
      <c r="I20" s="8"/>
    </row>
    <row r="21" customFormat="false" ht="12.75" hidden="false" customHeight="false" outlineLevel="0" collapsed="false">
      <c r="A21" s="8"/>
      <c r="B21" s="22" t="s">
        <v>9</v>
      </c>
      <c r="C21" s="23" t="n">
        <v>50</v>
      </c>
      <c r="D21" s="24" t="s">
        <v>10</v>
      </c>
      <c r="E21" s="8"/>
      <c r="F21" s="22" t="s">
        <v>16</v>
      </c>
      <c r="G21" s="23" t="n">
        <v>2788</v>
      </c>
      <c r="H21" s="24" t="s">
        <v>17</v>
      </c>
      <c r="I21" s="8"/>
    </row>
    <row r="22" customFormat="false" ht="12.75" hidden="false" customHeight="false" outlineLevel="0" collapsed="false">
      <c r="A22" s="8"/>
      <c r="B22" s="13" t="s">
        <v>16</v>
      </c>
      <c r="C22" s="18" t="n">
        <f aca="false">H_PT(C20,C21)</f>
        <v>18.3543276008491</v>
      </c>
      <c r="D22" s="15" t="s">
        <v>17</v>
      </c>
      <c r="E22" s="8"/>
      <c r="F22" s="13" t="s">
        <v>9</v>
      </c>
      <c r="G22" s="18" t="n">
        <f aca="false">T_PH(G20,G21)</f>
        <v>3074.57074832916</v>
      </c>
      <c r="H22" s="15" t="s">
        <v>10</v>
      </c>
      <c r="I22" s="8"/>
    </row>
    <row r="23" customFormat="false" ht="12.75" hidden="false" customHeight="false" outlineLevel="0" collapsed="false">
      <c r="A23" s="8"/>
      <c r="B23" s="13" t="s">
        <v>18</v>
      </c>
      <c r="C23" s="16" t="n">
        <f aca="false">RHO_PT(C20,C21)</f>
        <v>62.4268592811154</v>
      </c>
      <c r="D23" s="15" t="s">
        <v>19</v>
      </c>
      <c r="E23" s="8"/>
      <c r="F23" s="13" t="s">
        <v>18</v>
      </c>
      <c r="G23" s="16" t="n">
        <f aca="false">RHO_PH(G20,G21)</f>
        <v>0.00597034521663359</v>
      </c>
      <c r="H23" s="15" t="s">
        <v>19</v>
      </c>
      <c r="I23" s="8"/>
    </row>
    <row r="24" customFormat="false" ht="12.75" hidden="false" customHeight="false" outlineLevel="0" collapsed="false">
      <c r="A24" s="8"/>
      <c r="B24" s="13" t="s">
        <v>20</v>
      </c>
      <c r="C24" s="16" t="n">
        <f aca="false">S_PT(C20,C21)</f>
        <v>0.0360714636645231</v>
      </c>
      <c r="D24" s="15" t="s">
        <v>21</v>
      </c>
      <c r="E24" s="8"/>
      <c r="F24" s="13" t="s">
        <v>20</v>
      </c>
      <c r="G24" s="16" t="n">
        <f aca="false">S_PH(G20,G21)</f>
        <v>2.67427631424998</v>
      </c>
      <c r="H24" s="15" t="s">
        <v>21</v>
      </c>
      <c r="I24" s="8"/>
    </row>
    <row r="25" customFormat="false" ht="12.75" hidden="false" customHeight="false" outlineLevel="0" collapsed="false">
      <c r="A25" s="8"/>
      <c r="B25" s="13" t="s">
        <v>30</v>
      </c>
      <c r="C25" s="0" t="n">
        <f aca="false">X_PH(C20,C22)*100</f>
        <v>0</v>
      </c>
      <c r="D25" s="15" t="s">
        <v>31</v>
      </c>
      <c r="F25" s="13" t="s">
        <v>30</v>
      </c>
      <c r="G25" s="0" t="n">
        <f aca="false">X_PH(G20,G21)*100</f>
        <v>100</v>
      </c>
      <c r="H25" s="15" t="s">
        <v>31</v>
      </c>
      <c r="I25" s="8"/>
    </row>
    <row r="26" customFormat="false" ht="12.75" hidden="false" customHeight="false" outlineLevel="0" collapsed="false">
      <c r="A26" s="8"/>
      <c r="B26" s="13" t="s">
        <v>32</v>
      </c>
      <c r="C26" s="8" t="n">
        <f aca="false">REGION_PT(C20/10,C21+273.15)</f>
        <v>1</v>
      </c>
      <c r="D26" s="15"/>
      <c r="E26" s="8"/>
      <c r="F26" s="13" t="s">
        <v>32</v>
      </c>
      <c r="G26" s="8" t="n">
        <f aca="false">REGION_PH(G20/10,G21)</f>
        <v>2</v>
      </c>
      <c r="H26" s="15"/>
      <c r="I26" s="8"/>
    </row>
    <row r="27" customFormat="false" ht="12.75" hidden="false" customHeight="false" outlineLevel="0" collapsed="false">
      <c r="A27" s="8"/>
      <c r="B27" s="13" t="s">
        <v>33</v>
      </c>
      <c r="C27" s="25" t="str">
        <f aca="false">IF(C26=2,"Steam",IF(C26=1,"Liquid",IF(C26=4,"Mixture","")))</f>
        <v>Liquid</v>
      </c>
      <c r="D27" s="15"/>
      <c r="E27" s="8"/>
      <c r="F27" s="13" t="s">
        <v>33</v>
      </c>
      <c r="G27" s="25" t="str">
        <f aca="false">IF(G26=2,"Steam",IF(G26=1,"Liquid",IF(G26=4,"Mixture","")))</f>
        <v>Steam</v>
      </c>
      <c r="H27" s="15"/>
      <c r="I27" s="8"/>
    </row>
    <row r="28" customFormat="false" ht="12.75" hidden="false" customHeight="false" outlineLevel="0" collapsed="false">
      <c r="B28" s="13" t="s">
        <v>34</v>
      </c>
      <c r="C28" s="8" t="n">
        <f aca="false">CP_PT(C20,C21)</f>
        <v>1.00153403274248</v>
      </c>
      <c r="D28" s="15" t="s">
        <v>21</v>
      </c>
      <c r="F28" s="13" t="s">
        <v>34</v>
      </c>
      <c r="G28" s="8" t="n">
        <f aca="false">CP_PH(G20,G21)</f>
        <v>0.675241793358235</v>
      </c>
      <c r="H28" s="15" t="s">
        <v>21</v>
      </c>
    </row>
    <row r="29" customFormat="false" ht="12.75" hidden="false" customHeight="false" outlineLevel="0" collapsed="false">
      <c r="B29" s="19" t="s">
        <v>35</v>
      </c>
      <c r="C29" s="26" t="n">
        <f aca="false">W_PT(C20,C21)</f>
        <v>4752.24019778972</v>
      </c>
      <c r="D29" s="21" t="s">
        <v>36</v>
      </c>
      <c r="F29" s="19" t="s">
        <v>35</v>
      </c>
      <c r="G29" s="26" t="n">
        <f aca="false">W_PH(G20,G21)</f>
        <v>3414.43914364174</v>
      </c>
      <c r="H29" s="21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7" colorId="64" zoomScale="90" zoomScaleNormal="90" zoomScalePageLayoutView="100" workbookViewId="0">
      <selection pane="topLeft" activeCell="C51" activeCellId="0" sqref="C51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8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27" customFormat="true" ht="18" hidden="false" customHeight="false" outlineLevel="0" collapsed="false">
      <c r="A1" s="1" t="s">
        <v>37</v>
      </c>
      <c r="D1" s="2" t="s">
        <v>38</v>
      </c>
      <c r="E1" s="28" t="s">
        <v>39</v>
      </c>
      <c r="F1" s="1"/>
      <c r="G1" s="1"/>
    </row>
    <row r="2" s="29" customFormat="true" ht="11.25" hidden="false" customHeight="false" outlineLevel="0" collapsed="false">
      <c r="A2" s="29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0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29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29"/>
      <c r="B7" s="2"/>
      <c r="C7" s="2"/>
      <c r="D7" s="2"/>
      <c r="E7" s="2"/>
      <c r="F7" s="2"/>
      <c r="G7" s="2"/>
    </row>
    <row r="8" s="32" customFormat="true" ht="15" hidden="false" customHeight="false" outlineLevel="0" collapsed="false">
      <c r="A8" s="31" t="s">
        <v>9</v>
      </c>
      <c r="F8" s="33"/>
      <c r="G8" s="33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2" customFormat="true" ht="15" hidden="false" customHeight="false" outlineLevel="0" collapsed="false">
      <c r="A27" s="31" t="s">
        <v>75</v>
      </c>
      <c r="F27" s="33"/>
      <c r="G27" s="33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2" customFormat="true" ht="15" hidden="false" customHeight="false" outlineLevel="0" collapsed="false">
      <c r="A43" s="31" t="s">
        <v>101</v>
      </c>
      <c r="F43" s="33"/>
      <c r="G43" s="33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2" customFormat="true" ht="15" hidden="false" customHeight="false" outlineLevel="0" collapsed="false">
      <c r="A50" s="31" t="s">
        <v>112</v>
      </c>
      <c r="F50" s="33"/>
      <c r="G50" s="33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2" customFormat="true" ht="15" hidden="false" customHeight="false" outlineLevel="0" collapsed="false">
      <c r="A58" s="31" t="s">
        <v>125</v>
      </c>
      <c r="F58" s="33"/>
      <c r="G58" s="33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2" customFormat="true" ht="15" hidden="false" customHeight="false" outlineLevel="0" collapsed="false">
      <c r="A66" s="31" t="s">
        <v>138</v>
      </c>
      <c r="F66" s="33"/>
      <c r="G66" s="33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2.25983083799909E-007</v>
      </c>
      <c r="C72" s="2" t="s">
        <v>45</v>
      </c>
      <c r="D72" s="2" t="n">
        <v>5854.2172792352</v>
      </c>
      <c r="E72" s="2" t="s">
        <v>17</v>
      </c>
      <c r="F72" s="4" t="n">
        <f aca="false">CV_PH(B72,D72)</f>
        <v>2015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2" customFormat="true" ht="15" hidden="false" customHeight="false" outlineLevel="0" collapsed="false">
      <c r="A74" s="31" t="s">
        <v>151</v>
      </c>
      <c r="F74" s="33"/>
      <c r="G74" s="33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2" customFormat="true" ht="15" hidden="false" customHeight="false" outlineLevel="0" collapsed="false">
      <c r="A82" s="31" t="s">
        <v>164</v>
      </c>
      <c r="F82" s="33"/>
      <c r="G82" s="33"/>
    </row>
    <row r="83" s="3" customFormat="true" ht="11.25" hidden="false" customHeight="false" outlineLevel="1" collapsed="false">
      <c r="A83" s="3" t="s">
        <v>165</v>
      </c>
      <c r="F83" s="29"/>
      <c r="G83" s="29"/>
    </row>
    <row r="84" s="3" customFormat="true" ht="11.25" hidden="false" customHeight="false" outlineLevel="1" collapsed="false">
      <c r="A84" s="3" t="s">
        <v>166</v>
      </c>
      <c r="F84" s="29"/>
      <c r="G84" s="29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4"/>
      <c r="H88" s="35"/>
      <c r="I88" s="8"/>
      <c r="J88" s="8"/>
      <c r="K88" s="8"/>
      <c r="L88" s="8"/>
      <c r="M88" s="8"/>
    </row>
    <row r="89" customFormat="false" ht="12.75" hidden="false" customHeight="false" outlineLevel="1" collapsed="false">
      <c r="A89" s="3" t="s">
        <v>175</v>
      </c>
      <c r="F89" s="34"/>
      <c r="H89" s="35"/>
      <c r="I89" s="8"/>
      <c r="J89" s="8"/>
      <c r="K89" s="8"/>
      <c r="L89" s="8"/>
      <c r="M89" s="8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4" t="n">
        <f aca="false">PR_PT(B90,D90)</f>
        <v>0.970120243805412</v>
      </c>
      <c r="G90" s="4" t="s">
        <v>177</v>
      </c>
      <c r="H90" s="35"/>
      <c r="I90" s="8"/>
      <c r="J90" s="8"/>
      <c r="K90" s="8"/>
      <c r="L90" s="8"/>
      <c r="M90" s="8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4" t="n">
        <f aca="false">PR_PH(B91,D91)</f>
        <v>13.4056293767476</v>
      </c>
      <c r="G91" s="4" t="s">
        <v>177</v>
      </c>
      <c r="H91" s="35"/>
      <c r="I91" s="8"/>
      <c r="J91" s="8"/>
      <c r="K91" s="8"/>
      <c r="L91" s="8"/>
      <c r="M91" s="8"/>
    </row>
    <row r="92" s="32" customFormat="true" ht="15" hidden="false" customHeight="false" outlineLevel="0" collapsed="false">
      <c r="A92" s="31" t="s">
        <v>179</v>
      </c>
      <c r="F92" s="33"/>
      <c r="G92" s="33"/>
      <c r="H92" s="36"/>
      <c r="I92" s="36"/>
      <c r="J92" s="36"/>
      <c r="K92" s="36"/>
      <c r="L92" s="36"/>
      <c r="M92" s="36"/>
    </row>
    <row r="93" s="3" customFormat="true" ht="11.25" hidden="false" customHeight="false" outlineLevel="1" collapsed="false">
      <c r="A93" s="3" t="s">
        <v>180</v>
      </c>
      <c r="F93" s="29"/>
      <c r="G93" s="29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1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29"/>
      <c r="G102" s="29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2" customFormat="true" ht="15" hidden="false" customHeight="false" outlineLevel="0" collapsed="false">
      <c r="A108" s="31" t="s">
        <v>204</v>
      </c>
      <c r="F108" s="33"/>
      <c r="G108" s="33"/>
    </row>
    <row r="109" s="3" customFormat="true" ht="11.25" hidden="false" customHeight="false" outlineLevel="1" collapsed="false">
      <c r="A109" s="3" t="s">
        <v>205</v>
      </c>
      <c r="F109" s="29"/>
      <c r="G109" s="29"/>
    </row>
    <row r="110" s="3" customFormat="true" ht="11.25" hidden="false" customHeight="false" outlineLevel="1" collapsed="false">
      <c r="A110" s="3" t="s">
        <v>206</v>
      </c>
      <c r="F110" s="29"/>
      <c r="G110" s="29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37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37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29"/>
      <c r="G113" s="29"/>
    </row>
    <row r="114" customFormat="false" ht="15" hidden="false" customHeight="false" outlineLevel="0" collapsed="false">
      <c r="A114" s="31" t="s">
        <v>211</v>
      </c>
    </row>
    <row r="115" customFormat="false" ht="12.75" hidden="false" customHeight="false" outlineLevel="0" collapsed="false">
      <c r="A115" s="29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29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29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29"/>
    </row>
    <row r="126" customFormat="false" ht="12.75" hidden="false" customHeight="false" outlineLevel="0" collapsed="false">
      <c r="A126" s="29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29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29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29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29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false" showOutlineSymbols="true" defaultGridColor="true" view="normal" topLeftCell="AG1" colorId="64" zoomScale="90" zoomScaleNormal="9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38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2.8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5" customFormat="false" ht="12.8" hidden="false" customHeight="false" outlineLevel="0" collapsed="false">
      <c r="A5" s="0" t="s">
        <v>250</v>
      </c>
      <c r="B5" s="0" t="n">
        <v>32</v>
      </c>
      <c r="C5" s="0" t="n">
        <v>32.18</v>
      </c>
      <c r="D5" s="0" t="n">
        <v>32.36</v>
      </c>
      <c r="E5" s="0" t="n">
        <v>32.54</v>
      </c>
      <c r="F5" s="0" t="n">
        <v>32.72</v>
      </c>
      <c r="G5" s="0" t="n">
        <v>32.9</v>
      </c>
      <c r="H5" s="0" t="n">
        <v>33.08</v>
      </c>
      <c r="I5" s="0" t="n">
        <v>33.26</v>
      </c>
      <c r="J5" s="0" t="n">
        <v>33.44</v>
      </c>
      <c r="K5" s="0" t="n">
        <v>33.62</v>
      </c>
      <c r="L5" s="0" t="n">
        <v>33.8</v>
      </c>
      <c r="M5" s="0" t="n">
        <v>35.6</v>
      </c>
      <c r="N5" s="0" t="n">
        <v>37.4</v>
      </c>
      <c r="O5" s="0" t="n">
        <v>39.2</v>
      </c>
      <c r="P5" s="0" t="n">
        <v>41</v>
      </c>
      <c r="Q5" s="0" t="n">
        <v>42.8</v>
      </c>
      <c r="R5" s="0" t="n">
        <v>44.6</v>
      </c>
      <c r="S5" s="0" t="n">
        <v>46.4</v>
      </c>
      <c r="T5" s="0" t="n">
        <v>48.2</v>
      </c>
      <c r="U5" s="0" t="n">
        <v>50</v>
      </c>
      <c r="V5" s="0" t="n">
        <v>68</v>
      </c>
      <c r="W5" s="0" t="n">
        <v>86</v>
      </c>
      <c r="X5" s="0" t="n">
        <v>104</v>
      </c>
      <c r="Y5" s="0" t="n">
        <v>122</v>
      </c>
      <c r="Z5" s="0" t="n">
        <v>140</v>
      </c>
      <c r="AA5" s="0" t="n">
        <v>158</v>
      </c>
      <c r="AB5" s="0" t="n">
        <v>176</v>
      </c>
      <c r="AC5" s="0" t="n">
        <v>194</v>
      </c>
      <c r="AD5" s="0" t="n">
        <v>212</v>
      </c>
      <c r="AE5" s="0" t="n">
        <v>392</v>
      </c>
      <c r="AF5" s="0" t="n">
        <v>572</v>
      </c>
      <c r="AG5" s="0" t="n">
        <v>752</v>
      </c>
      <c r="AH5" s="0" t="n">
        <f aca="false">FROMSIUNIT_T(500+273.15)</f>
        <v>932</v>
      </c>
      <c r="AI5" s="0" t="n">
        <f aca="false">FROMSIUNIT_T(600+273.15)</f>
        <v>1112</v>
      </c>
      <c r="AJ5" s="0" t="n">
        <f aca="false">FROMSIUNIT_T(700+273.15)</f>
        <v>1292</v>
      </c>
      <c r="AK5" s="0" t="n">
        <f aca="false">FROMSIUNIT_T(800+273.15)</f>
        <v>1472</v>
      </c>
      <c r="AL5" s="0" t="n">
        <f aca="false">FROMSIUNIT_T(900+273.15)</f>
        <v>1652</v>
      </c>
      <c r="AM5" s="0" t="n">
        <f aca="false">FROMSIUNIT_T(1000+273.15)</f>
        <v>1832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I49" activeCellId="0" sqref="I49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254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2.8" hidden="false" customHeight="false" outlineLevel="0" collapsed="false">
      <c r="A2" s="0" t="s">
        <v>248</v>
      </c>
      <c r="B2" s="0" t="n">
        <v>0.089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2.8" hidden="false" customHeight="false" outlineLevel="0" collapsed="false">
      <c r="A3" s="0" t="n">
        <v>-3.6E-005</v>
      </c>
      <c r="B3" s="0" t="n">
        <f aca="false">MY_PS(B$2,$A3)</f>
        <v>4874462.946665</v>
      </c>
      <c r="C3" s="0" t="n">
        <f aca="false">MY_PS(C$2,$A3)</f>
        <v>4874462.946665</v>
      </c>
      <c r="D3" s="0" t="n">
        <f aca="false">MY_PS(D$2,$A3)</f>
        <v>4874462.946665</v>
      </c>
      <c r="E3" s="0" t="n">
        <f aca="false">MY_PS(E$2,$A3)</f>
        <v>4874462.946665</v>
      </c>
      <c r="F3" s="0" t="n">
        <f aca="false">MY_PS(F$2,$A3)</f>
        <v>4874462.946665</v>
      </c>
      <c r="G3" s="0" t="n">
        <f aca="false">MY_PS(G$2,$A3)</f>
        <v>4874462.946665</v>
      </c>
      <c r="H3" s="0" t="n">
        <f aca="false">MY_PS(H$2,$A3)</f>
        <v>4874462.946665</v>
      </c>
      <c r="I3" s="0" t="n">
        <f aca="false">MY_PS(I$2,$A3)</f>
        <v>4874462.946665</v>
      </c>
      <c r="J3" s="0" t="n">
        <f aca="false">MY_PS(J$2,$A3)</f>
        <v>4874462.946665</v>
      </c>
      <c r="K3" s="0" t="n">
        <f aca="false">MY_PS(K$2,$A3)</f>
        <v>4874462.946665</v>
      </c>
      <c r="L3" s="0" t="n">
        <f aca="false">MY_PS(L$2,$A3)</f>
        <v>4874462.946665</v>
      </c>
      <c r="M3" s="0" t="n">
        <f aca="false">MY_PS(M$2,$A3)</f>
        <v>4874462.946665</v>
      </c>
      <c r="N3" s="0" t="n">
        <f aca="false">MY_PS(N$2,$A3)</f>
        <v>4874462.946665</v>
      </c>
      <c r="O3" s="0" t="n">
        <f aca="false">MY_PS(O$2,$A3)</f>
        <v>4874462.946665</v>
      </c>
      <c r="P3" s="0" t="n">
        <f aca="false">MY_PS(P$2,$A3)</f>
        <v>4874462.946665</v>
      </c>
      <c r="Q3" s="0" t="n">
        <f aca="false">MY_PS(Q$2,$A3)</f>
        <v>4874462.946665</v>
      </c>
      <c r="R3" s="0" t="n">
        <f aca="false">MY_PS(R$2,$A3)</f>
        <v>4874462.946665</v>
      </c>
      <c r="S3" s="0" t="n">
        <f aca="false">MY_PS(S$2,$A3)</f>
        <v>4874462.946665</v>
      </c>
      <c r="T3" s="0" t="n">
        <f aca="false">MY_PS(T$2,$A3)</f>
        <v>4874462.946665</v>
      </c>
      <c r="U3" s="0" t="n">
        <f aca="false">MY_PS(U$2,$A3)</f>
        <v>4874462.946665</v>
      </c>
      <c r="V3" s="0" t="n">
        <f aca="false">MY_PS(V$2,$A3)</f>
        <v>4874462.946665</v>
      </c>
      <c r="W3" s="0" t="n">
        <f aca="false">MY_PS(W$2,$A3)</f>
        <v>4874462.946665</v>
      </c>
      <c r="X3" s="0" t="n">
        <f aca="false">MY_PS(X$2,$A3)</f>
        <v>4874462.946665</v>
      </c>
      <c r="Y3" s="0" t="n">
        <f aca="false">MY_PS(Y$2,$A3)</f>
        <v>4874462.946665</v>
      </c>
      <c r="Z3" s="0" t="n">
        <f aca="false">MY_PS(Z$2,$A3)</f>
        <v>4874462.946665</v>
      </c>
      <c r="AA3" s="0" t="n">
        <f aca="false">MY_PS(AA$2,$A3)</f>
        <v>4874462.946665</v>
      </c>
      <c r="AB3" s="0" t="n">
        <f aca="false">MY_PS(AB$2,$A3)</f>
        <v>4874462.946665</v>
      </c>
      <c r="AC3" s="0" t="n">
        <f aca="false">MY_PS(AC$2,$A3)</f>
        <v>4874462.946665</v>
      </c>
      <c r="AD3" s="0" t="n">
        <f aca="false">MY_PS(AD$2,$A3)</f>
        <v>4874462.946665</v>
      </c>
      <c r="AE3" s="0" t="n">
        <f aca="false">MY_PS(AE$2,$A3)</f>
        <v>4874462.946665</v>
      </c>
      <c r="AF3" s="0" t="n">
        <f aca="false">MY_PS(AF$2,$A3)</f>
        <v>4874462.946665</v>
      </c>
      <c r="AG3" s="0" t="n">
        <f aca="false">MY_PS(AG$2,$A3)</f>
        <v>4874462.946665</v>
      </c>
      <c r="AH3" s="0" t="n">
        <f aca="false">MY_PS(AH$2,$A3)</f>
        <v>4874462.946665</v>
      </c>
      <c r="AI3" s="0" t="n">
        <f aca="false">MY_PS(AI$2,$A3)</f>
        <v>4874462.946665</v>
      </c>
      <c r="AJ3" s="0" t="n">
        <f aca="false">MY_PS(AJ$2,$A3)</f>
        <v>4874462.946665</v>
      </c>
      <c r="AK3" s="0" t="n">
        <f aca="false">MY_PS(AK$2,$A3)</f>
        <v>4874462.946665</v>
      </c>
      <c r="AL3" s="0" t="n">
        <f aca="false">MY_PS(AL$2,$A3)</f>
        <v>4874462.946665</v>
      </c>
      <c r="AM3" s="0" t="n">
        <f aca="false">MY_PS(AM$2,$A3)</f>
        <v>4874462.946665</v>
      </c>
      <c r="AN3" s="0" t="n">
        <f aca="false">MY_PS(AN$2,$A3)</f>
        <v>4874462.946665</v>
      </c>
      <c r="AO3" s="0" t="n">
        <f aca="false">MY_PS(AO$2,$A3)</f>
        <v>4874462.946665</v>
      </c>
      <c r="AP3" s="0" t="n">
        <f aca="false">MY_PS(AP$2,$A3)</f>
        <v>2015</v>
      </c>
      <c r="AQ3" s="0" t="n">
        <f aca="false">MY_PS(AQ$2,$A3)</f>
        <v>2015</v>
      </c>
      <c r="AR3" s="0" t="n">
        <f aca="false">MY_PS(AR$2,$A3)</f>
        <v>2015</v>
      </c>
      <c r="AS3" s="0" t="n">
        <f aca="false">MY_PS(AS$2,$A3)</f>
        <v>2015</v>
      </c>
    </row>
    <row r="4" customFormat="false" ht="12.8" hidden="false" customHeight="false" outlineLevel="0" collapsed="false">
      <c r="A4" s="0" t="n">
        <v>0</v>
      </c>
      <c r="B4" s="0" t="n">
        <f aca="false">MY_PS(B$2,$A4)</f>
        <v>4.33675810706499</v>
      </c>
      <c r="C4" s="0" t="n">
        <f aca="false">MY_PS(C$2,$A4)</f>
        <v>4.33675754080453</v>
      </c>
      <c r="D4" s="0" t="n">
        <f aca="false">MY_PS(D$2,$A4)</f>
        <v>4.33675696312724</v>
      </c>
      <c r="E4" s="0" t="n">
        <f aca="false">MY_PS(E$2,$A4)</f>
        <v>4.33675638545033</v>
      </c>
      <c r="F4" s="0" t="n">
        <f aca="false">MY_PS(F$2,$A4)</f>
        <v>4.33675580777377</v>
      </c>
      <c r="G4" s="0" t="n">
        <f aca="false">MY_PS(G$2,$A4)</f>
        <v>4.33675003102763</v>
      </c>
      <c r="H4" s="0" t="n">
        <f aca="false">MY_PS(H$2,$A4)</f>
        <v>4.33674425431701</v>
      </c>
      <c r="I4" s="0" t="n">
        <f aca="false">MY_PS(I$2,$A4)</f>
        <v>4.33673847764204</v>
      </c>
      <c r="J4" s="0" t="n">
        <f aca="false">MY_PS(J$2,$A4)</f>
        <v>4.33673270100252</v>
      </c>
      <c r="K4" s="0" t="n">
        <f aca="false">MY_PS(K$2,$A4)</f>
        <v>4.33672692439874</v>
      </c>
      <c r="L4" s="0" t="n">
        <f aca="false">MY_PS(L$2,$A4)</f>
        <v>4.33672114783042</v>
      </c>
      <c r="M4" s="0" t="n">
        <f aca="false">MY_PS(M$2,$A4)</f>
        <v>4.33671537129765</v>
      </c>
      <c r="N4" s="0" t="n">
        <f aca="false">MY_PS(N$2,$A4)</f>
        <v>4.3367095948005</v>
      </c>
      <c r="O4" s="0" t="n">
        <f aca="false">MY_PS(O$2,$A4)</f>
        <v>4.33670381833894</v>
      </c>
      <c r="P4" s="0" t="n">
        <f aca="false">MY_PS(P$2,$A4)</f>
        <v>4.33664605567953</v>
      </c>
      <c r="Q4" s="0" t="n">
        <f aca="false">MY_PS(Q$2,$A4)</f>
        <v>4.33658829657723</v>
      </c>
      <c r="R4" s="0" t="n">
        <f aca="false">MY_PS(R$2,$A4)</f>
        <v>4.33653054103219</v>
      </c>
      <c r="S4" s="0" t="n">
        <f aca="false">MY_PS(S$2,$A4)</f>
        <v>4.3364727890444</v>
      </c>
      <c r="T4" s="0" t="n">
        <f aca="false">MY_PS(T$2,$A4)</f>
        <v>4.33641504061388</v>
      </c>
      <c r="U4" s="0" t="n">
        <f aca="false">MY_PS(U$2,$A4)</f>
        <v>4.33635729574079</v>
      </c>
      <c r="V4" s="0" t="n">
        <f aca="false">MY_PS(V$2,$A4)</f>
        <v>4.33629955442507</v>
      </c>
      <c r="W4" s="0" t="n">
        <f aca="false">MY_PS(W$2,$A4)</f>
        <v>4.3362418166668</v>
      </c>
      <c r="X4" s="0" t="n">
        <f aca="false">MY_PS(X$2,$A4)</f>
        <v>4.33618408246606</v>
      </c>
      <c r="Y4" s="0" t="n">
        <f aca="false">MY_PS(Y$2,$A4)</f>
        <v>4.33560693613206</v>
      </c>
      <c r="Z4" s="0" t="n">
        <f aca="false">MY_PS(Z$2,$A4)</f>
        <v>4.33503014560181</v>
      </c>
      <c r="AA4" s="0" t="n">
        <f aca="false">MY_PS(AA$2,$A4)</f>
        <v>4.3344537109227</v>
      </c>
      <c r="AB4" s="0" t="n">
        <f aca="false">MY_PS(AB$2,$A4)</f>
        <v>4.33387763214124</v>
      </c>
      <c r="AC4" s="0" t="n">
        <f aca="false">MY_PS(AC$2,$A4)</f>
        <v>4.33330190930337</v>
      </c>
      <c r="AD4" s="0" t="n">
        <f aca="false">MY_PS(AD$2,$A4)</f>
        <v>4.33272654245346</v>
      </c>
      <c r="AE4" s="0" t="n">
        <f aca="false">MY_PS(AE$2,$A4)</f>
        <v>4.33215153163578</v>
      </c>
      <c r="AF4" s="0" t="n">
        <f aca="false">MY_PS(AF$2,$A4)</f>
        <v>4.33157687689317</v>
      </c>
      <c r="AG4" s="0" t="n">
        <f aca="false">MY_PS(AG$2,$A4)</f>
        <v>4.33100257826797</v>
      </c>
      <c r="AH4" s="0" t="n">
        <f aca="false">MY_PS(AH$2,$A4)</f>
        <v>4.32527918713491</v>
      </c>
      <c r="AI4" s="0" t="n">
        <f aca="false">MY_PS(AI$2,$A4)</f>
        <v>2015</v>
      </c>
      <c r="AJ4" s="0" t="n">
        <f aca="false">MY_PS(AJ$2,$A4)</f>
        <v>2015</v>
      </c>
      <c r="AK4" s="0" t="n">
        <f aca="false">MY_PS(AK$2,$A4)</f>
        <v>2015</v>
      </c>
      <c r="AL4" s="0" t="n">
        <f aca="false">MY_PS(AL$2,$A4)</f>
        <v>2015</v>
      </c>
      <c r="AM4" s="0" t="n">
        <f aca="false">MY_PS(AM$2,$A4)</f>
        <v>2015</v>
      </c>
      <c r="AN4" s="0" t="n">
        <f aca="false">MY_PS(AN$2,$A4)</f>
        <v>2015</v>
      </c>
      <c r="AO4" s="0" t="n">
        <f aca="false">MY_PS(AO$2,$A4)</f>
        <v>2015</v>
      </c>
      <c r="AP4" s="0" t="n">
        <f aca="false">MY_PS(AP$2,$A4)</f>
        <v>2015</v>
      </c>
      <c r="AQ4" s="0" t="n">
        <f aca="false">MY_PS(AQ$2,$A4)</f>
        <v>2015</v>
      </c>
      <c r="AR4" s="0" t="n">
        <f aca="false">MY_PS(AR$2,$A4)</f>
        <v>2015</v>
      </c>
      <c r="AS4" s="0" t="n">
        <f aca="false">MY_PS(AS$2,$A4)</f>
        <v>2015</v>
      </c>
    </row>
    <row r="5" customFormat="false" ht="12.8" hidden="false" customHeight="false" outlineLevel="0" collapsed="false">
      <c r="A5" s="0" t="n">
        <v>0.000238845896627</v>
      </c>
      <c r="B5" s="0" t="n">
        <f aca="false">MY_PS(B$2,$A5)</f>
        <v>2015</v>
      </c>
      <c r="C5" s="0" t="n">
        <f aca="false">MY_PS(C$2,$A5)</f>
        <v>4.32691326366062</v>
      </c>
      <c r="D5" s="0" t="n">
        <f aca="false">MY_PS(D$2,$A5)</f>
        <v>4.3269126884957</v>
      </c>
      <c r="E5" s="0" t="n">
        <f aca="false">MY_PS(E$2,$A5)</f>
        <v>4.32691211333113</v>
      </c>
      <c r="F5" s="0" t="n">
        <f aca="false">MY_PS(F$2,$A5)</f>
        <v>4.32691153816694</v>
      </c>
      <c r="G5" s="0" t="n">
        <f aca="false">MY_PS(G$2,$A5)</f>
        <v>4.32690578654411</v>
      </c>
      <c r="H5" s="0" t="n">
        <f aca="false">MY_PS(H$2,$A5)</f>
        <v>4.32690003495672</v>
      </c>
      <c r="I5" s="0" t="n">
        <f aca="false">MY_PS(I$2,$A5)</f>
        <v>4.32689428340476</v>
      </c>
      <c r="J5" s="0" t="n">
        <f aca="false">MY_PS(J$2,$A5)</f>
        <v>4.32688853188818</v>
      </c>
      <c r="K5" s="0" t="n">
        <f aca="false">MY_PS(K$2,$A5)</f>
        <v>4.32688278040703</v>
      </c>
      <c r="L5" s="0" t="n">
        <f aca="false">MY_PS(L$2,$A5)</f>
        <v>4.32687702896124</v>
      </c>
      <c r="M5" s="0" t="n">
        <f aca="false">MY_PS(M$2,$A5)</f>
        <v>4.32687127755086</v>
      </c>
      <c r="N5" s="0" t="n">
        <f aca="false">MY_PS(N$2,$A5)</f>
        <v>4.32686552617602</v>
      </c>
      <c r="O5" s="0" t="n">
        <f aca="false">MY_PS(O$2,$A5)</f>
        <v>4.32685977483651</v>
      </c>
      <c r="P5" s="0" t="n">
        <f aca="false">MY_PS(P$2,$A5)</f>
        <v>4.3268022633886</v>
      </c>
      <c r="Q5" s="0" t="n">
        <f aca="false">MY_PS(Q$2,$A5)</f>
        <v>4.32674475548162</v>
      </c>
      <c r="R5" s="0" t="n">
        <f aca="false">MY_PS(R$2,$A5)</f>
        <v>4.32668725111557</v>
      </c>
      <c r="S5" s="0" t="n">
        <f aca="false">MY_PS(S$2,$A5)</f>
        <v>4.3266297502904</v>
      </c>
      <c r="T5" s="0" t="n">
        <f aca="false">MY_PS(T$2,$A5)</f>
        <v>4.32657225300629</v>
      </c>
      <c r="U5" s="0" t="n">
        <f aca="false">MY_PS(U$2,$A5)</f>
        <v>4.32651475926317</v>
      </c>
      <c r="V5" s="0" t="n">
        <f aca="false">MY_PS(V$2,$A5)</f>
        <v>4.32645726906111</v>
      </c>
      <c r="W5" s="0" t="n">
        <f aca="false">MY_PS(W$2,$A5)</f>
        <v>4.32639978240024</v>
      </c>
      <c r="X5" s="0" t="n">
        <f aca="false">MY_PS(X$2,$A5)</f>
        <v>4.32634229928058</v>
      </c>
      <c r="Y5" s="0" t="n">
        <f aca="false">MY_PS(Y$2,$A5)</f>
        <v>4.32576766285993</v>
      </c>
      <c r="Z5" s="0" t="n">
        <f aca="false">MY_PS(Z$2,$A5)</f>
        <v>4.32519338061086</v>
      </c>
      <c r="AA5" s="0" t="n">
        <f aca="false">MY_PS(AA$2,$A5)</f>
        <v>4.32461945258014</v>
      </c>
      <c r="AB5" s="0" t="n">
        <f aca="false">MY_PS(AB$2,$A5)</f>
        <v>4.32404587881397</v>
      </c>
      <c r="AC5" s="0" t="n">
        <f aca="false">MY_PS(AC$2,$A5)</f>
        <v>4.32347265935745</v>
      </c>
      <c r="AD5" s="0" t="n">
        <f aca="false">MY_PS(AD$2,$A5)</f>
        <v>4.32289979425491</v>
      </c>
      <c r="AE5" s="0" t="n">
        <f aca="false">MY_PS(AE$2,$A5)</f>
        <v>4.32232728354962</v>
      </c>
      <c r="AF5" s="0" t="n">
        <f aca="false">MY_PS(AF$2,$A5)</f>
        <v>4.32175512728425</v>
      </c>
      <c r="AG5" s="0" t="n">
        <f aca="false">MY_PS(AG$2,$A5)</f>
        <v>4.32118332550063</v>
      </c>
      <c r="AH5" s="0" t="n">
        <f aca="false">MY_PS(AH$2,$A5)</f>
        <v>4.31548481271431</v>
      </c>
      <c r="AI5" s="0" t="n">
        <f aca="false">MY_PS(AI$2,$A5)</f>
        <v>4.30982178763655</v>
      </c>
      <c r="AJ5" s="0" t="n">
        <f aca="false">MY_PS(AJ$2,$A5)</f>
        <v>4.30419427804642</v>
      </c>
      <c r="AK5" s="0" t="n">
        <f aca="false">MY_PS(AK$2,$A5)</f>
        <v>4.2986023035133</v>
      </c>
      <c r="AL5" s="0" t="n">
        <f aca="false">MY_PS(AL$2,$A5)</f>
        <v>4.29304587557591</v>
      </c>
      <c r="AM5" s="0" t="n">
        <f aca="false">MY_PS(AM$2,$A5)</f>
        <v>4.28752499791888</v>
      </c>
      <c r="AN5" s="0" t="n">
        <f aca="false">MY_PS(AN$2,$A5)</f>
        <v>4.28203966654673</v>
      </c>
      <c r="AO5" s="0" t="n">
        <f aca="false">MY_PS(AO$2,$A5)</f>
        <v>4.27658986995547</v>
      </c>
      <c r="AP5" s="0" t="n">
        <f aca="false">MY_PS(AP$2,$A5)</f>
        <v>4.27117558930079</v>
      </c>
      <c r="AQ5" s="0" t="n">
        <f aca="false">MY_PS(AQ$2,$A5)</f>
        <v>4.21897709113344</v>
      </c>
      <c r="AR5" s="0" t="n">
        <f aca="false">MY_PS(AR$2,$A5)</f>
        <v>4.20864029267072</v>
      </c>
      <c r="AS5" s="0" t="n">
        <f aca="false">MY_PS(AS$2,$A5)</f>
        <v>4.20522374701113</v>
      </c>
    </row>
    <row r="6" customFormat="false" ht="12.8" hidden="false" customHeight="false" outlineLevel="0" collapsed="false">
      <c r="A6" s="0" t="n">
        <v>0.000477691793254</v>
      </c>
      <c r="B6" s="0" t="n">
        <f aca="false">MY_PS(B$2,$A6)</f>
        <v>2015</v>
      </c>
      <c r="C6" s="0" t="n">
        <f aca="false">MY_PS(C$2,$A6)</f>
        <v>4.31710242365337</v>
      </c>
      <c r="D6" s="0" t="n">
        <f aca="false">MY_PS(D$2,$A6)</f>
        <v>4.31710185098737</v>
      </c>
      <c r="E6" s="0" t="n">
        <f aca="false">MY_PS(E$2,$A6)</f>
        <v>4.31710127832172</v>
      </c>
      <c r="F6" s="0" t="n">
        <f aca="false">MY_PS(F$2,$A6)</f>
        <v>4.31710070565646</v>
      </c>
      <c r="G6" s="0" t="n">
        <f aca="false">MY_PS(G$2,$A6)</f>
        <v>4.31709497902296</v>
      </c>
      <c r="H6" s="0" t="n">
        <f aca="false">MY_PS(H$2,$A6)</f>
        <v>4.31708925242472</v>
      </c>
      <c r="I6" s="0" t="n">
        <f aca="false">MY_PS(I$2,$A6)</f>
        <v>4.31708352586173</v>
      </c>
      <c r="J6" s="0" t="n">
        <f aca="false">MY_PS(J$2,$A6)</f>
        <v>4.31707779933403</v>
      </c>
      <c r="K6" s="0" t="n">
        <f aca="false">MY_PS(K$2,$A6)</f>
        <v>4.31707207284155</v>
      </c>
      <c r="L6" s="0" t="n">
        <f aca="false">MY_PS(L$2,$A6)</f>
        <v>4.31706634638429</v>
      </c>
      <c r="M6" s="0" t="n">
        <f aca="false">MY_PS(M$2,$A6)</f>
        <v>4.31706061996232</v>
      </c>
      <c r="N6" s="0" t="n">
        <f aca="false">MY_PS(N$2,$A6)</f>
        <v>4.31705489357559</v>
      </c>
      <c r="O6" s="0" t="n">
        <f aca="false">MY_PS(O$2,$A6)</f>
        <v>4.31704916722403</v>
      </c>
      <c r="P6" s="0" t="n">
        <f aca="false">MY_PS(P$2,$A6)</f>
        <v>4.31699190564755</v>
      </c>
      <c r="Q6" s="0" t="n">
        <f aca="false">MY_PS(Q$2,$A6)</f>
        <v>4.31693464759563</v>
      </c>
      <c r="R6" s="0" t="n">
        <f aca="false">MY_PS(R$2,$A6)</f>
        <v>4.31687739306846</v>
      </c>
      <c r="S6" s="0" t="n">
        <f aca="false">MY_PS(S$2,$A6)</f>
        <v>4.31682014206599</v>
      </c>
      <c r="T6" s="0" t="n">
        <f aca="false">MY_PS(T$2,$A6)</f>
        <v>4.3167628945883</v>
      </c>
      <c r="U6" s="0" t="n">
        <f aca="false">MY_PS(U$2,$A6)</f>
        <v>4.31670565063544</v>
      </c>
      <c r="V6" s="0" t="n">
        <f aca="false">MY_PS(V$2,$A6)</f>
        <v>4.31664841020743</v>
      </c>
      <c r="W6" s="0" t="n">
        <f aca="false">MY_PS(W$2,$A6)</f>
        <v>4.31659117330441</v>
      </c>
      <c r="X6" s="0" t="n">
        <f aca="false">MY_PS(X$2,$A6)</f>
        <v>4.31653393992633</v>
      </c>
      <c r="Y6" s="0" t="n">
        <f aca="false">MY_PS(Y$2,$A6)</f>
        <v>4.31596180002982</v>
      </c>
      <c r="Z6" s="0" t="n">
        <f aca="false">MY_PS(Z$2,$A6)</f>
        <v>4.31539001268276</v>
      </c>
      <c r="AA6" s="0" t="n">
        <f aca="false">MY_PS(AA$2,$A6)</f>
        <v>4.31481857793147</v>
      </c>
      <c r="AB6" s="0" t="n">
        <f aca="false">MY_PS(AB$2,$A6)</f>
        <v>4.31424749582164</v>
      </c>
      <c r="AC6" s="0" t="n">
        <f aca="false">MY_PS(AC$2,$A6)</f>
        <v>4.31367676639782</v>
      </c>
      <c r="AD6" s="0" t="n">
        <f aca="false">MY_PS(AD$2,$A6)</f>
        <v>4.31310638970372</v>
      </c>
      <c r="AE6" s="0" t="n">
        <f aca="false">MY_PS(AE$2,$A6)</f>
        <v>4.31253636578237</v>
      </c>
      <c r="AF6" s="0" t="n">
        <f aca="false">MY_PS(AF$2,$A6)</f>
        <v>4.3119666946757</v>
      </c>
      <c r="AG6" s="0" t="n">
        <f aca="false">MY_PS(AG$2,$A6)</f>
        <v>4.31139737642525</v>
      </c>
      <c r="AH6" s="0" t="n">
        <f aca="false">MY_PS(AH$2,$A6)</f>
        <v>4.30572360945905</v>
      </c>
      <c r="AI6" s="0" t="n">
        <f aca="false">MY_PS(AI$2,$A6)</f>
        <v>4.30008516714624</v>
      </c>
      <c r="AJ6" s="0" t="n">
        <f aca="false">MY_PS(AJ$2,$A6)</f>
        <v>4.2944820768674</v>
      </c>
      <c r="AK6" s="0" t="n">
        <f aca="false">MY_PS(AK$2,$A6)</f>
        <v>4.28891435784492</v>
      </c>
      <c r="AL6" s="0" t="n">
        <f aca="false">MY_PS(AL$2,$A6)</f>
        <v>4.28338202132039</v>
      </c>
      <c r="AM6" s="0" t="n">
        <f aca="false">MY_PS(AM$2,$A6)</f>
        <v>4.27788507073024</v>
      </c>
      <c r="AN6" s="0" t="n">
        <f aca="false">MY_PS(AN$2,$A6)</f>
        <v>4.27242350187835</v>
      </c>
      <c r="AO6" s="0" t="n">
        <f aca="false">MY_PS(AO$2,$A6)</f>
        <v>4.26699730310629</v>
      </c>
      <c r="AP6" s="0" t="n">
        <f aca="false">MY_PS(AP$2,$A6)</f>
        <v>4.2616064554612</v>
      </c>
      <c r="AQ6" s="0" t="n">
        <f aca="false">MY_PS(AQ$2,$A6)</f>
        <v>4.20963322911907</v>
      </c>
      <c r="AR6" s="0" t="n">
        <f aca="false">MY_PS(AR$2,$A6)</f>
        <v>4.1993408839657</v>
      </c>
      <c r="AS6" s="0" t="n">
        <f aca="false">MY_PS(AS$2,$A6)</f>
        <v>4.19593901838083</v>
      </c>
    </row>
    <row r="7" customFormat="false" ht="12.8" hidden="false" customHeight="false" outlineLevel="0" collapsed="false">
      <c r="A7" s="0" t="n">
        <v>0.000716537689881</v>
      </c>
      <c r="B7" s="0" t="n">
        <f aca="false">MY_PS(B$2,$A7)</f>
        <v>2015</v>
      </c>
      <c r="C7" s="0" t="n">
        <f aca="false">MY_PS(C$2,$A7)</f>
        <v>4.30732486736309</v>
      </c>
      <c r="D7" s="0" t="n">
        <f aca="false">MY_PS(D$2,$A7)</f>
        <v>4.30732429718271</v>
      </c>
      <c r="E7" s="0" t="n">
        <f aca="false">MY_PS(E$2,$A7)</f>
        <v>4.30732372700268</v>
      </c>
      <c r="F7" s="0" t="n">
        <f aca="false">MY_PS(F$2,$A7)</f>
        <v>4.30732315682303</v>
      </c>
      <c r="G7" s="0" t="n">
        <f aca="false">MY_PS(G$2,$A7)</f>
        <v>4.30731745504566</v>
      </c>
      <c r="H7" s="0" t="n">
        <f aca="false">MY_PS(H$2,$A7)</f>
        <v>4.30731175330354</v>
      </c>
      <c r="I7" s="0" t="n">
        <f aca="false">MY_PS(I$2,$A7)</f>
        <v>4.30730605159639</v>
      </c>
      <c r="J7" s="0" t="n">
        <f aca="false">MY_PS(J$2,$A7)</f>
        <v>4.30730034992437</v>
      </c>
      <c r="K7" s="0" t="n">
        <f aca="false">MY_PS(K$2,$A7)</f>
        <v>4.30729464828738</v>
      </c>
      <c r="L7" s="0" t="n">
        <f aca="false">MY_PS(L$2,$A7)</f>
        <v>4.30728894668551</v>
      </c>
      <c r="M7" s="0" t="n">
        <f aca="false">MY_PS(M$2,$A7)</f>
        <v>4.30728324511872</v>
      </c>
      <c r="N7" s="0" t="n">
        <f aca="false">MY_PS(N$2,$A7)</f>
        <v>4.30727754358706</v>
      </c>
      <c r="O7" s="0" t="n">
        <f aca="false">MY_PS(O$2,$A7)</f>
        <v>4.30727184209043</v>
      </c>
      <c r="P7" s="0" t="n">
        <f aca="false">MY_PS(P$2,$A7)</f>
        <v>4.30721482905396</v>
      </c>
      <c r="Q7" s="0" t="n">
        <f aca="false">MY_PS(Q$2,$A7)</f>
        <v>4.30715781952595</v>
      </c>
      <c r="R7" s="0" t="n">
        <f aca="false">MY_PS(R$2,$A7)</f>
        <v>4.30710081350656</v>
      </c>
      <c r="S7" s="0" t="n">
        <f aca="false">MY_PS(S$2,$A7)</f>
        <v>4.30704381099579</v>
      </c>
      <c r="T7" s="0" t="n">
        <f aca="false">MY_PS(T$2,$A7)</f>
        <v>4.30698681199367</v>
      </c>
      <c r="U7" s="0" t="n">
        <f aca="false">MY_PS(U$2,$A7)</f>
        <v>4.30692981650027</v>
      </c>
      <c r="V7" s="0" t="n">
        <f aca="false">MY_PS(V$2,$A7)</f>
        <v>4.30687282451558</v>
      </c>
      <c r="W7" s="0" t="n">
        <f aca="false">MY_PS(W$2,$A7)</f>
        <v>4.30681583603974</v>
      </c>
      <c r="X7" s="0" t="n">
        <f aca="false">MY_PS(X$2,$A7)</f>
        <v>4.30675885107287</v>
      </c>
      <c r="Y7" s="0" t="n">
        <f aca="false">MY_PS(Y$2,$A7)</f>
        <v>4.30618919440095</v>
      </c>
      <c r="Z7" s="0" t="n">
        <f aca="false">MY_PS(Z$2,$A7)</f>
        <v>4.30561988866644</v>
      </c>
      <c r="AA7" s="0" t="n">
        <f aca="false">MY_PS(AA$2,$A7)</f>
        <v>4.30505093391513</v>
      </c>
      <c r="AB7" s="0" t="n">
        <f aca="false">MY_PS(AB$2,$A7)</f>
        <v>4.30448233019212</v>
      </c>
      <c r="AC7" s="0" t="n">
        <f aca="false">MY_PS(AC$2,$A7)</f>
        <v>4.30391407754151</v>
      </c>
      <c r="AD7" s="0" t="n">
        <f aca="false">MY_PS(AD$2,$A7)</f>
        <v>4.30334617600656</v>
      </c>
      <c r="AE7" s="0" t="n">
        <f aca="false">MY_PS(AE$2,$A7)</f>
        <v>4.30277862562968</v>
      </c>
      <c r="AF7" s="0" t="n">
        <f aca="false">MY_PS(AF$2,$A7)</f>
        <v>4.30221142645258</v>
      </c>
      <c r="AG7" s="0" t="n">
        <f aca="false">MY_PS(AG$2,$A7)</f>
        <v>4.30164457851591</v>
      </c>
      <c r="AH7" s="0" t="n">
        <f aca="false">MY_PS(AH$2,$A7)</f>
        <v>4.29599542573009</v>
      </c>
      <c r="AI7" s="0" t="n">
        <f aca="false">MY_PS(AI$2,$A7)</f>
        <v>4.2903814355508</v>
      </c>
      <c r="AJ7" s="0" t="n">
        <f aca="false">MY_PS(AJ$2,$A7)</f>
        <v>4.2848026349639</v>
      </c>
      <c r="AK7" s="0" t="n">
        <f aca="false">MY_PS(AK$2,$A7)</f>
        <v>4.27925904284778</v>
      </c>
      <c r="AL7" s="0" t="n">
        <f aca="false">MY_PS(AL$2,$A7)</f>
        <v>4.27375067014982</v>
      </c>
      <c r="AM7" s="0" t="n">
        <f aca="false">MY_PS(AM$2,$A7)</f>
        <v>4.26827752006071</v>
      </c>
      <c r="AN7" s="0" t="n">
        <f aca="false">MY_PS(AN$2,$A7)</f>
        <v>4.26283958818569</v>
      </c>
      <c r="AO7" s="0" t="n">
        <f aca="false">MY_PS(AO$2,$A7)</f>
        <v>4.25743686271406</v>
      </c>
      <c r="AP7" s="0" t="n">
        <f aca="false">MY_PS(AP$2,$A7)</f>
        <v>4.25206932458554</v>
      </c>
      <c r="AQ7" s="0" t="n">
        <f aca="false">MY_PS(AQ$2,$A7)</f>
        <v>4.20032019166203</v>
      </c>
      <c r="AR7" s="0" t="n">
        <f aca="false">MY_PS(AR$2,$A7)</f>
        <v>4.19007206936837</v>
      </c>
      <c r="AS7" s="0" t="n">
        <f aca="false">MY_PS(AS$2,$A7)</f>
        <v>4.1866848079222</v>
      </c>
    </row>
    <row r="8" customFormat="false" ht="12.8" hidden="false" customHeight="false" outlineLevel="0" collapsed="false">
      <c r="A8" s="0" t="n">
        <v>0.000955383586508</v>
      </c>
      <c r="B8" s="0" t="n">
        <f aca="false">MY_PS(B$2,$A8)</f>
        <v>2015</v>
      </c>
      <c r="C8" s="0" t="n">
        <f aca="false">MY_PS(C$2,$A8)</f>
        <v>4.29758044226052</v>
      </c>
      <c r="D8" s="0" t="n">
        <f aca="false">MY_PS(D$2,$A8)</f>
        <v>4.29757987455256</v>
      </c>
      <c r="E8" s="0" t="n">
        <f aca="false">MY_PS(E$2,$A8)</f>
        <v>4.29757930684505</v>
      </c>
      <c r="F8" s="0" t="n">
        <f aca="false">MY_PS(F$2,$A8)</f>
        <v>4.29757873913775</v>
      </c>
      <c r="G8" s="0" t="n">
        <f aca="false">MY_PS(G$2,$A8)</f>
        <v>4.29757306208435</v>
      </c>
      <c r="H8" s="0" t="n">
        <f aca="false">MY_PS(H$2,$A8)</f>
        <v>4.29756738506595</v>
      </c>
      <c r="I8" s="0" t="n">
        <f aca="false">MY_PS(I$2,$A8)</f>
        <v>4.29756170808241</v>
      </c>
      <c r="J8" s="0" t="n">
        <f aca="false">MY_PS(J$2,$A8)</f>
        <v>4.29755603113381</v>
      </c>
      <c r="K8" s="0" t="n">
        <f aca="false">MY_PS(K$2,$A8)</f>
        <v>4.29755035422016</v>
      </c>
      <c r="L8" s="0" t="n">
        <f aca="false">MY_PS(L$2,$A8)</f>
        <v>4.29754467734134</v>
      </c>
      <c r="M8" s="0" t="n">
        <f aca="false">MY_PS(M$2,$A8)</f>
        <v>4.29753900049756</v>
      </c>
      <c r="N8" s="0" t="n">
        <f aca="false">MY_PS(N$2,$A8)</f>
        <v>4.29753332368866</v>
      </c>
      <c r="O8" s="0" t="n">
        <f aca="false">MY_PS(O$2,$A8)</f>
        <v>4.29752764691469</v>
      </c>
      <c r="P8" s="0" t="n">
        <f aca="false">MY_PS(P$2,$A8)</f>
        <v>4.29747088109577</v>
      </c>
      <c r="Q8" s="0" t="n">
        <f aca="false">MY_PS(Q$2,$A8)</f>
        <v>4.29741411876945</v>
      </c>
      <c r="R8" s="0" t="n">
        <f aca="false">MY_PS(R$2,$A8)</f>
        <v>4.29735735993564</v>
      </c>
      <c r="S8" s="0" t="n">
        <f aca="false">MY_PS(S$2,$A8)</f>
        <v>4.29730060459442</v>
      </c>
      <c r="T8" s="0" t="n">
        <f aca="false">MY_PS(T$2,$A8)</f>
        <v>4.29724385274596</v>
      </c>
      <c r="U8" s="0" t="n">
        <f aca="false">MY_PS(U$2,$A8)</f>
        <v>4.29718710439007</v>
      </c>
      <c r="V8" s="0" t="n">
        <f aca="false">MY_PS(V$2,$A8)</f>
        <v>4.29713035952697</v>
      </c>
      <c r="W8" s="0" t="n">
        <f aca="false">MY_PS(W$2,$A8)</f>
        <v>4.29707361815666</v>
      </c>
      <c r="X8" s="0" t="n">
        <f aca="false">MY_PS(X$2,$A8)</f>
        <v>4.29701688027928</v>
      </c>
      <c r="Y8" s="0" t="n">
        <f aca="false">MY_PS(Y$2,$A8)</f>
        <v>4.29644969362147</v>
      </c>
      <c r="Z8" s="0" t="n">
        <f aca="false">MY_PS(Z$2,$A8)</f>
        <v>4.29588285629899</v>
      </c>
      <c r="AA8" s="0" t="n">
        <f aca="false">MY_PS(AA$2,$A8)</f>
        <v>4.29531636835694</v>
      </c>
      <c r="AB8" s="0" t="n">
        <f aca="false">MY_PS(AB$2,$A8)</f>
        <v>4.29475022984013</v>
      </c>
      <c r="AC8" s="0" t="n">
        <f aca="false">MY_PS(AC$2,$A8)</f>
        <v>4.29418444079191</v>
      </c>
      <c r="AD8" s="0" t="n">
        <f aca="false">MY_PS(AD$2,$A8)</f>
        <v>4.29361900125538</v>
      </c>
      <c r="AE8" s="0" t="n">
        <f aca="false">MY_PS(AE$2,$A8)</f>
        <v>4.29305391127226</v>
      </c>
      <c r="AF8" s="0" t="n">
        <f aca="false">MY_PS(AF$2,$A8)</f>
        <v>4.29248917088361</v>
      </c>
      <c r="AG8" s="0" t="n">
        <f aca="false">MY_PS(AG$2,$A8)</f>
        <v>4.29192478012993</v>
      </c>
      <c r="AH8" s="0" t="n">
        <f aca="false">MY_PS(AH$2,$A8)</f>
        <v>4.28630011076451</v>
      </c>
      <c r="AI8" s="0" t="n">
        <f aca="false">MY_PS(AI$2,$A8)</f>
        <v>4.28071044295959</v>
      </c>
      <c r="AJ8" s="0" t="n">
        <f aca="false">MY_PS(AJ$2,$A8)</f>
        <v>4.27515580330976</v>
      </c>
      <c r="AK8" s="0" t="n">
        <f aca="false">MY_PS(AK$2,$A8)</f>
        <v>4.26963621035292</v>
      </c>
      <c r="AL8" s="0" t="n">
        <f aca="false">MY_PS(AL$2,$A8)</f>
        <v>4.2641516747448</v>
      </c>
      <c r="AM8" s="0" t="n">
        <f aca="false">MY_PS(AM$2,$A8)</f>
        <v>4.25870219943269</v>
      </c>
      <c r="AN8" s="0" t="n">
        <f aca="false">MY_PS(AN$2,$A8)</f>
        <v>4.2532877798257</v>
      </c>
      <c r="AO8" s="0" t="n">
        <f aca="false">MY_PS(AO$2,$A8)</f>
        <v>4.24790840396228</v>
      </c>
      <c r="AP8" s="0" t="n">
        <f aca="false">MY_PS(AP$2,$A8)</f>
        <v>4.24256405267625</v>
      </c>
      <c r="AQ8" s="0" t="n">
        <f aca="false">MY_PS(AQ$2,$A8)</f>
        <v>4.1910378425316</v>
      </c>
      <c r="AR8" s="0" t="n">
        <f aca="false">MY_PS(AR$2,$A8)</f>
        <v>4.18083371415485</v>
      </c>
      <c r="AS8" s="0" t="n">
        <f aca="false">MY_PS(AS$2,$A8)</f>
        <v>4.17746098140672</v>
      </c>
    </row>
    <row r="9" customFormat="false" ht="12.8" hidden="false" customHeight="false" outlineLevel="0" collapsed="false">
      <c r="A9" s="0" t="n">
        <v>0.001194229483135</v>
      </c>
      <c r="B9" s="0" t="n">
        <f aca="false">MY_PS(B$2,$A9)</f>
        <v>2015</v>
      </c>
      <c r="C9" s="0" t="n">
        <f aca="false">MY_PS(C$2,$A9)</f>
        <v>4.2878689967007</v>
      </c>
      <c r="D9" s="0" t="n">
        <f aca="false">MY_PS(D$2,$A9)</f>
        <v>4.28786843145194</v>
      </c>
      <c r="E9" s="0" t="n">
        <f aca="false">MY_PS(E$2,$A9)</f>
        <v>4.28786786620363</v>
      </c>
      <c r="F9" s="0" t="n">
        <f aca="false">MY_PS(F$2,$A9)</f>
        <v>4.28786730095566</v>
      </c>
      <c r="G9" s="0" t="n">
        <f aca="false">MY_PS(G$2,$A9)</f>
        <v>4.28786164849479</v>
      </c>
      <c r="H9" s="0" t="n">
        <f aca="false">MY_PS(H$2,$A9)</f>
        <v>4.28785599606881</v>
      </c>
      <c r="I9" s="0" t="n">
        <f aca="false">MY_PS(I$2,$A9)</f>
        <v>4.28785034367747</v>
      </c>
      <c r="J9" s="0" t="n">
        <f aca="false">MY_PS(J$2,$A9)</f>
        <v>4.28784469132104</v>
      </c>
      <c r="K9" s="0" t="n">
        <f aca="false">MY_PS(K$2,$A9)</f>
        <v>4.28783903899923</v>
      </c>
      <c r="L9" s="0" t="n">
        <f aca="false">MY_PS(L$2,$A9)</f>
        <v>4.28783338671224</v>
      </c>
      <c r="M9" s="0" t="n">
        <f aca="false">MY_PS(M$2,$A9)</f>
        <v>4.28782773446012</v>
      </c>
      <c r="N9" s="0" t="n">
        <f aca="false">MY_PS(N$2,$A9)</f>
        <v>4.28782208224259</v>
      </c>
      <c r="O9" s="0" t="n">
        <f aca="false">MY_PS(O$2,$A9)</f>
        <v>4.28781643005982</v>
      </c>
      <c r="P9" s="0" t="n">
        <f aca="false">MY_PS(P$2,$A9)</f>
        <v>4.287759910145</v>
      </c>
      <c r="Q9" s="0" t="n">
        <f aca="false">MY_PS(Q$2,$A9)</f>
        <v>4.28770339370686</v>
      </c>
      <c r="R9" s="0" t="n">
        <f aca="false">MY_PS(R$2,$A9)</f>
        <v>4.28764688074533</v>
      </c>
      <c r="S9" s="0" t="n">
        <f aca="false">MY_PS(S$2,$A9)</f>
        <v>4.28759037126039</v>
      </c>
      <c r="T9" s="0" t="n">
        <f aca="false">MY_PS(T$2,$A9)</f>
        <v>4.2875338652523</v>
      </c>
      <c r="U9" s="0" t="n">
        <f aca="false">MY_PS(U$2,$A9)</f>
        <v>4.28747736272094</v>
      </c>
      <c r="V9" s="0" t="n">
        <f aca="false">MY_PS(V$2,$A9)</f>
        <v>4.28742086366648</v>
      </c>
      <c r="W9" s="0" t="n">
        <f aca="false">MY_PS(W$2,$A9)</f>
        <v>4.28736436808875</v>
      </c>
      <c r="X9" s="0" t="n">
        <f aca="false">MY_PS(X$2,$A9)</f>
        <v>4.2873078759882</v>
      </c>
      <c r="Y9" s="0" t="n">
        <f aca="false">MY_PS(Y$2,$A9)</f>
        <v>4.28674314622224</v>
      </c>
      <c r="Z9" s="0" t="n">
        <f aca="false">MY_PS(Z$2,$A9)</f>
        <v>4.28617876419932</v>
      </c>
      <c r="AA9" s="0" t="n">
        <f aca="false">MY_PS(AA$2,$A9)</f>
        <v>4.28561472996411</v>
      </c>
      <c r="AB9" s="0" t="n">
        <f aca="false">MY_PS(AB$2,$A9)</f>
        <v>4.28505104356074</v>
      </c>
      <c r="AC9" s="0" t="n">
        <f aca="false">MY_PS(AC$2,$A9)</f>
        <v>4.28448770503238</v>
      </c>
      <c r="AD9" s="0" t="n">
        <f aca="false">MY_PS(AD$2,$A9)</f>
        <v>4.28392471442118</v>
      </c>
      <c r="AE9" s="0" t="n">
        <f aca="false">MY_PS(AE$2,$A9)</f>
        <v>4.28336207176875</v>
      </c>
      <c r="AF9" s="0" t="n">
        <f aca="false">MY_PS(AF$2,$A9)</f>
        <v>4.2827997771156</v>
      </c>
      <c r="AG9" s="0" t="n">
        <f aca="false">MY_PS(AG$2,$A9)</f>
        <v>4.28223783050169</v>
      </c>
      <c r="AH9" s="0" t="n">
        <f aca="false">MY_PS(AH$2,$A9)</f>
        <v>4.27663751466923</v>
      </c>
      <c r="AI9" s="0" t="n">
        <f aca="false">MY_PS(AI$2,$A9)</f>
        <v>4.27107204034462</v>
      </c>
      <c r="AJ9" s="0" t="n">
        <f aca="false">MY_PS(AJ$2,$A9)</f>
        <v>4.26554143373509</v>
      </c>
      <c r="AK9" s="0" t="n">
        <f aca="false">MY_PS(AK$2,$A9)</f>
        <v>4.26004571304063</v>
      </c>
      <c r="AL9" s="0" t="n">
        <f aca="false">MY_PS(AL$2,$A9)</f>
        <v>4.25458488862838</v>
      </c>
      <c r="AM9" s="0" t="n">
        <f aca="false">MY_PS(AM$2,$A9)</f>
        <v>4.24915896320487</v>
      </c>
      <c r="AN9" s="0" t="n">
        <f aca="false">MY_PS(AN$2,$A9)</f>
        <v>4.24376793198442</v>
      </c>
      <c r="AO9" s="0" t="n">
        <f aca="false">MY_PS(AO$2,$A9)</f>
        <v>4.23841178285714</v>
      </c>
      <c r="AP9" s="0" t="n">
        <f aca="false">MY_PS(AP$2,$A9)</f>
        <v>4.23309049655212</v>
      </c>
      <c r="AQ9" s="0" t="n">
        <f aca="false">MY_PS(AQ$2,$A9)</f>
        <v>4.18178604625136</v>
      </c>
      <c r="AR9" s="0" t="n">
        <f aca="false">MY_PS(AR$2,$A9)</f>
        <v>4.171625684344</v>
      </c>
      <c r="AS9" s="0" t="n">
        <f aca="false">MY_PS(AS$2,$A9)</f>
        <v>4.16826740534513</v>
      </c>
    </row>
    <row r="10" customFormat="false" ht="12.8" hidden="false" customHeight="false" outlineLevel="0" collapsed="false">
      <c r="A10" s="0" t="n">
        <v>0.001433075379762</v>
      </c>
      <c r="B10" s="0" t="n">
        <f aca="false">MY_PS(B$2,$A10)</f>
        <v>2015</v>
      </c>
      <c r="C10" s="0" t="n">
        <f aca="false">MY_PS(C$2,$A10)</f>
        <v>4.27819037991599</v>
      </c>
      <c r="D10" s="0" t="n">
        <f aca="false">MY_PS(D$2,$A10)</f>
        <v>4.27818981711351</v>
      </c>
      <c r="E10" s="0" t="n">
        <f aca="false">MY_PS(E$2,$A10)</f>
        <v>4.2781892543114</v>
      </c>
      <c r="F10" s="0" t="n">
        <f aca="false">MY_PS(F$2,$A10)</f>
        <v>4.27818869150963</v>
      </c>
      <c r="G10" s="0" t="n">
        <f aca="false">MY_PS(G$2,$A10)</f>
        <v>4.27818306351092</v>
      </c>
      <c r="H10" s="0" t="n">
        <f aca="false">MY_PS(H$2,$A10)</f>
        <v>4.27817743554669</v>
      </c>
      <c r="I10" s="0" t="n">
        <f aca="false">MY_PS(I$2,$A10)</f>
        <v>4.27817180761716</v>
      </c>
      <c r="J10" s="0" t="n">
        <f aca="false">MY_PS(J$2,$A10)</f>
        <v>4.27816617972226</v>
      </c>
      <c r="K10" s="0" t="n">
        <f aca="false">MY_PS(K$2,$A10)</f>
        <v>4.27816055186192</v>
      </c>
      <c r="L10" s="0" t="n">
        <f aca="false">MY_PS(L$2,$A10)</f>
        <v>4.27815492403624</v>
      </c>
      <c r="M10" s="0" t="n">
        <f aca="false">MY_PS(M$2,$A10)</f>
        <v>4.27814929624513</v>
      </c>
      <c r="N10" s="0" t="n">
        <f aca="false">MY_PS(N$2,$A10)</f>
        <v>4.27814366848864</v>
      </c>
      <c r="O10" s="0" t="n">
        <f aca="false">MY_PS(O$2,$A10)</f>
        <v>4.27813804076663</v>
      </c>
      <c r="P10" s="0" t="n">
        <f aca="false">MY_PS(P$2,$A10)</f>
        <v>4.27808176545117</v>
      </c>
      <c r="Q10" s="0" t="n">
        <f aca="false">MY_PS(Q$2,$A10)</f>
        <v>4.27802549359642</v>
      </c>
      <c r="R10" s="0" t="n">
        <f aca="false">MY_PS(R$2,$A10)</f>
        <v>4.27796922520254</v>
      </c>
      <c r="S10" s="0" t="n">
        <f aca="false">MY_PS(S$2,$A10)</f>
        <v>4.27791296026955</v>
      </c>
      <c r="T10" s="0" t="n">
        <f aca="false">MY_PS(T$2,$A10)</f>
        <v>4.27785669879736</v>
      </c>
      <c r="U10" s="0" t="n">
        <f aca="false">MY_PS(U$2,$A10)</f>
        <v>4.27780044078623</v>
      </c>
      <c r="V10" s="0" t="n">
        <f aca="false">MY_PS(V$2,$A10)</f>
        <v>4.27774418623615</v>
      </c>
      <c r="W10" s="0" t="n">
        <f aca="false">MY_PS(W$2,$A10)</f>
        <v>4.27768793514704</v>
      </c>
      <c r="X10" s="0" t="n">
        <f aca="false">MY_PS(X$2,$A10)</f>
        <v>4.27763168751911</v>
      </c>
      <c r="Y10" s="0" t="n">
        <f aca="false">MY_PS(Y$2,$A10)</f>
        <v>4.27706940161039</v>
      </c>
      <c r="Z10" s="0" t="n">
        <f aca="false">MY_PS(Z$2,$A10)</f>
        <v>4.27650746186222</v>
      </c>
      <c r="AA10" s="0" t="n">
        <f aca="false">MY_PS(AA$2,$A10)</f>
        <v>4.27594586831871</v>
      </c>
      <c r="AB10" s="0" t="n">
        <f aca="false">MY_PS(AB$2,$A10)</f>
        <v>4.27538462102363</v>
      </c>
      <c r="AC10" s="0" t="n">
        <f aca="false">MY_PS(AC$2,$A10)</f>
        <v>4.27482372001936</v>
      </c>
      <c r="AD10" s="0" t="n">
        <f aca="false">MY_PS(AD$2,$A10)</f>
        <v>4.27426316534796</v>
      </c>
      <c r="AE10" s="0" t="n">
        <f aca="false">MY_PS(AE$2,$A10)</f>
        <v>4.27370295705035</v>
      </c>
      <c r="AF10" s="0" t="n">
        <f aca="false">MY_PS(AF$2,$A10)</f>
        <v>4.27314309516663</v>
      </c>
      <c r="AG10" s="0" t="n">
        <f aca="false">MY_PS(AG$2,$A10)</f>
        <v>4.2725835797361</v>
      </c>
      <c r="AH10" s="0" t="n">
        <f aca="false">MY_PS(AH$2,$A10)</f>
        <v>4.26700748841501</v>
      </c>
      <c r="AI10" s="0" t="n">
        <f aca="false">MY_PS(AI$2,$A10)</f>
        <v>4.26146607953536</v>
      </c>
      <c r="AJ10" s="0" t="n">
        <f aca="false">MY_PS(AJ$2,$A10)</f>
        <v>4.25595937892002</v>
      </c>
      <c r="AK10" s="0" t="n">
        <f aca="false">MY_PS(AK$2,$A10)</f>
        <v>4.25048740443465</v>
      </c>
      <c r="AL10" s="0" t="n">
        <f aca="false">MY_PS(AL$2,$A10)</f>
        <v>4.24505016616042</v>
      </c>
      <c r="AM10" s="0" t="n">
        <f aca="false">MY_PS(AM$2,$A10)</f>
        <v>4.23964766656521</v>
      </c>
      <c r="AN10" s="0" t="n">
        <f aca="false">MY_PS(AN$2,$A10)</f>
        <v>4.23427990067149</v>
      </c>
      <c r="AO10" s="0" t="n">
        <f aca="false">MY_PS(AO$2,$A10)</f>
        <v>4.22894685622173</v>
      </c>
      <c r="AP10" s="0" t="n">
        <f aca="false">MY_PS(AP$2,$A10)</f>
        <v>4.22364851384224</v>
      </c>
      <c r="AQ10" s="0" t="n">
        <f aca="false">MY_PS(AQ$2,$A10)</f>
        <v>4.17256466809437</v>
      </c>
      <c r="AR10" s="0" t="n">
        <f aca="false">MY_PS(AR$2,$A10)</f>
        <v>4.16244784669239</v>
      </c>
      <c r="AS10" s="0" t="n">
        <f aca="false">MY_PS(AS$2,$A10)</f>
        <v>4.15910394698203</v>
      </c>
    </row>
    <row r="11" customFormat="false" ht="12.8" hidden="false" customHeight="false" outlineLevel="0" collapsed="false">
      <c r="A11" s="0" t="n">
        <v>0.001671921276389</v>
      </c>
      <c r="B11" s="0" t="n">
        <f aca="false">MY_PS(B$2,$A11)</f>
        <v>2015</v>
      </c>
      <c r="C11" s="0" t="n">
        <f aca="false">MY_PS(C$2,$A11)</f>
        <v>4.2685444420109</v>
      </c>
      <c r="D11" s="0" t="n">
        <f aca="false">MY_PS(D$2,$A11)</f>
        <v>4.26854388164164</v>
      </c>
      <c r="E11" s="0" t="n">
        <f aca="false">MY_PS(E$2,$A11)</f>
        <v>4.26854332127268</v>
      </c>
      <c r="F11" s="0" t="n">
        <f aca="false">MY_PS(F$2,$A11)</f>
        <v>4.26854276090421</v>
      </c>
      <c r="G11" s="0" t="n">
        <f aca="false">MY_PS(G$2,$A11)</f>
        <v>4.26853715723796</v>
      </c>
      <c r="H11" s="0" t="n">
        <f aca="false">MY_PS(H$2,$A11)</f>
        <v>4.26853155360613</v>
      </c>
      <c r="I11" s="0" t="n">
        <f aca="false">MY_PS(I$2,$A11)</f>
        <v>4.26852595000867</v>
      </c>
      <c r="J11" s="0" t="n">
        <f aca="false">MY_PS(J$2,$A11)</f>
        <v>4.2685203464457</v>
      </c>
      <c r="K11" s="0" t="n">
        <f aca="false">MY_PS(K$2,$A11)</f>
        <v>4.26851474291719</v>
      </c>
      <c r="L11" s="0" t="n">
        <f aca="false">MY_PS(L$2,$A11)</f>
        <v>4.26850913942308</v>
      </c>
      <c r="M11" s="0" t="n">
        <f aca="false">MY_PS(M$2,$A11)</f>
        <v>4.26850353596353</v>
      </c>
      <c r="N11" s="0" t="n">
        <f aca="false">MY_PS(N$2,$A11)</f>
        <v>4.26849793253837</v>
      </c>
      <c r="O11" s="0" t="n">
        <f aca="false">MY_PS(O$2,$A11)</f>
        <v>4.26849232914763</v>
      </c>
      <c r="P11" s="0" t="n">
        <f aca="false">MY_PS(P$2,$A11)</f>
        <v>4.26843629713528</v>
      </c>
      <c r="Q11" s="0" t="n">
        <f aca="false">MY_PS(Q$2,$A11)</f>
        <v>4.26838026856805</v>
      </c>
      <c r="R11" s="0" t="n">
        <f aca="false">MY_PS(R$2,$A11)</f>
        <v>4.26832424344584</v>
      </c>
      <c r="S11" s="0" t="n">
        <f aca="false">MY_PS(S$2,$A11)</f>
        <v>4.26826822176883</v>
      </c>
      <c r="T11" s="0" t="n">
        <f aca="false">MY_PS(T$2,$A11)</f>
        <v>4.26821220353704</v>
      </c>
      <c r="U11" s="0" t="n">
        <f aca="false">MY_PS(U$2,$A11)</f>
        <v>4.26815618875048</v>
      </c>
      <c r="V11" s="0" t="n">
        <f aca="false">MY_PS(V$2,$A11)</f>
        <v>4.26810017740923</v>
      </c>
      <c r="W11" s="0" t="n">
        <f aca="false">MY_PS(W$2,$A11)</f>
        <v>4.26804416951323</v>
      </c>
      <c r="X11" s="0" t="n">
        <f aca="false">MY_PS(X$2,$A11)</f>
        <v>4.26798816506275</v>
      </c>
      <c r="Y11" s="0" t="n">
        <f aca="false">MY_PS(Y$2,$A11)</f>
        <v>4.26742831006355</v>
      </c>
      <c r="Z11" s="0" t="n">
        <f aca="false">MY_PS(Z$2,$A11)</f>
        <v>4.26686879965187</v>
      </c>
      <c r="AA11" s="0" t="n">
        <f aca="false">MY_PS(AA$2,$A11)</f>
        <v>4.26630963387181</v>
      </c>
      <c r="AB11" s="0" t="n">
        <f aca="false">MY_PS(AB$2,$A11)</f>
        <v>4.26575081276609</v>
      </c>
      <c r="AC11" s="0" t="n">
        <f aca="false">MY_PS(AC$2,$A11)</f>
        <v>4.26519233637725</v>
      </c>
      <c r="AD11" s="0" t="n">
        <f aca="false">MY_PS(AD$2,$A11)</f>
        <v>4.26463420474643</v>
      </c>
      <c r="AE11" s="0" t="n">
        <f aca="false">MY_PS(AE$2,$A11)</f>
        <v>4.26407641791413</v>
      </c>
      <c r="AF11" s="0" t="n">
        <f aca="false">MY_PS(AF$2,$A11)</f>
        <v>4.26351897592005</v>
      </c>
      <c r="AG11" s="0" t="n">
        <f aca="false">MY_PS(AG$2,$A11)</f>
        <v>4.26296187880301</v>
      </c>
      <c r="AH11" s="0" t="n">
        <f aca="false">MY_PS(AH$2,$A11)</f>
        <v>4.25740988383052</v>
      </c>
      <c r="AI11" s="0" t="n">
        <f aca="false">MY_PS(AI$2,$A11)</f>
        <v>4.25189241321179</v>
      </c>
      <c r="AJ11" s="0" t="n">
        <f aca="false">MY_PS(AJ$2,$A11)</f>
        <v>4.246409492389</v>
      </c>
      <c r="AK11" s="0" t="n">
        <f aca="false">MY_PS(AK$2,$A11)</f>
        <v>4.24096113889623</v>
      </c>
      <c r="AL11" s="0" t="n">
        <f aca="false">MY_PS(AL$2,$A11)</f>
        <v>4.23554736253159</v>
      </c>
      <c r="AM11" s="0" t="n">
        <f aca="false">MY_PS(AM$2,$A11)</f>
        <v>4.23016816552673</v>
      </c>
      <c r="AN11" s="0" t="n">
        <f aca="false">MY_PS(AN$2,$A11)</f>
        <v>4.22482354271397</v>
      </c>
      <c r="AO11" s="0" t="n">
        <f aca="false">MY_PS(AO$2,$A11)</f>
        <v>4.21951348169037</v>
      </c>
      <c r="AP11" s="0" t="n">
        <f aca="false">MY_PS(AP$2,$A11)</f>
        <v>4.21423796298054</v>
      </c>
      <c r="AQ11" s="0" t="n">
        <f aca="false">MY_PS(AQ$2,$A11)</f>
        <v>4.16337357407858</v>
      </c>
      <c r="AR11" s="0" t="n">
        <f aca="false">MY_PS(AR$2,$A11)</f>
        <v>4.15330006868968</v>
      </c>
      <c r="AS11" s="0" t="n">
        <f aca="false">MY_PS(AS$2,$A11)</f>
        <v>4.14997047429094</v>
      </c>
    </row>
    <row r="12" customFormat="false" ht="12.8" hidden="false" customHeight="false" outlineLevel="0" collapsed="false">
      <c r="A12" s="0" t="n">
        <v>0.001910767173016</v>
      </c>
      <c r="B12" s="0" t="n">
        <f aca="false">MY_PS(B$2,$A12)</f>
        <v>2015</v>
      </c>
      <c r="C12" s="0" t="n">
        <f aca="false">MY_PS(C$2,$A12)</f>
        <v>4.25893103395512</v>
      </c>
      <c r="D12" s="0" t="n">
        <f aca="false">MY_PS(D$2,$A12)</f>
        <v>4.25893047600625</v>
      </c>
      <c r="E12" s="0" t="n">
        <f aca="false">MY_PS(E$2,$A12)</f>
        <v>4.2589299180577</v>
      </c>
      <c r="F12" s="0" t="n">
        <f aca="false">MY_PS(F$2,$A12)</f>
        <v>4.25892936010971</v>
      </c>
      <c r="G12" s="0" t="n">
        <f aca="false">MY_PS(G$2,$A12)</f>
        <v>4.25892378064699</v>
      </c>
      <c r="H12" s="0" t="n">
        <f aca="false">MY_PS(H$2,$A12)</f>
        <v>4.25891820121869</v>
      </c>
      <c r="I12" s="0" t="n">
        <f aca="false">MY_PS(I$2,$A12)</f>
        <v>4.25891262182469</v>
      </c>
      <c r="J12" s="0" t="n">
        <f aca="false">MY_PS(J$2,$A12)</f>
        <v>4.25890704246485</v>
      </c>
      <c r="K12" s="0" t="n">
        <f aca="false">MY_PS(K$2,$A12)</f>
        <v>4.25890146313938</v>
      </c>
      <c r="L12" s="0" t="n">
        <f aca="false">MY_PS(L$2,$A12)</f>
        <v>4.2588958838482</v>
      </c>
      <c r="M12" s="0" t="n">
        <f aca="false">MY_PS(M$2,$A12)</f>
        <v>4.25889030459133</v>
      </c>
      <c r="N12" s="0" t="n">
        <f aca="false">MY_PS(N$2,$A12)</f>
        <v>4.25888472536879</v>
      </c>
      <c r="O12" s="0" t="n">
        <f aca="false">MY_PS(O$2,$A12)</f>
        <v>4.25887914618053</v>
      </c>
      <c r="P12" s="0" t="n">
        <f aca="false">MY_PS(P$2,$A12)</f>
        <v>4.25882335618393</v>
      </c>
      <c r="Q12" s="0" t="n">
        <f aca="false">MY_PS(Q$2,$A12)</f>
        <v>4.25876756961666</v>
      </c>
      <c r="R12" s="0" t="n">
        <f aca="false">MY_PS(R$2,$A12)</f>
        <v>4.25871178647905</v>
      </c>
      <c r="S12" s="0" t="n">
        <f aca="false">MY_PS(S$2,$A12)</f>
        <v>4.25865600677085</v>
      </c>
      <c r="T12" s="0" t="n">
        <f aca="false">MY_PS(T$2,$A12)</f>
        <v>4.2586002304923</v>
      </c>
      <c r="U12" s="0" t="n">
        <f aca="false">MY_PS(U$2,$A12)</f>
        <v>4.25854445764335</v>
      </c>
      <c r="V12" s="0" t="n">
        <f aca="false">MY_PS(V$2,$A12)</f>
        <v>4.25848868822408</v>
      </c>
      <c r="W12" s="0" t="n">
        <f aca="false">MY_PS(W$2,$A12)</f>
        <v>4.25843292223451</v>
      </c>
      <c r="X12" s="0" t="n">
        <f aca="false">MY_PS(X$2,$A12)</f>
        <v>4.25837715967474</v>
      </c>
      <c r="Y12" s="0" t="n">
        <f aca="false">MY_PS(Y$2,$A12)</f>
        <v>4.25781972272309</v>
      </c>
      <c r="Z12" s="0" t="n">
        <f aca="false">MY_PS(Z$2,$A12)</f>
        <v>4.25726262879617</v>
      </c>
      <c r="AA12" s="0" t="n">
        <f aca="false">MY_PS(AA$2,$A12)</f>
        <v>4.25670587793701</v>
      </c>
      <c r="AB12" s="0" t="n">
        <f aca="false">MY_PS(AB$2,$A12)</f>
        <v>4.25614947018827</v>
      </c>
      <c r="AC12" s="0" t="n">
        <f aca="false">MY_PS(AC$2,$A12)</f>
        <v>4.25559340559167</v>
      </c>
      <c r="AD12" s="0" t="n">
        <f aca="false">MY_PS(AD$2,$A12)</f>
        <v>4.25503768418791</v>
      </c>
      <c r="AE12" s="0" t="n">
        <f aca="false">MY_PS(AE$2,$A12)</f>
        <v>4.25448230601729</v>
      </c>
      <c r="AF12" s="0" t="n">
        <f aca="false">MY_PS(AF$2,$A12)</f>
        <v>4.25392727111879</v>
      </c>
      <c r="AG12" s="0" t="n">
        <f aca="false">MY_PS(AG$2,$A12)</f>
        <v>4.253372579531</v>
      </c>
      <c r="AH12" s="0" t="n">
        <f aca="false">MY_PS(AH$2,$A12)</f>
        <v>4.24784455359633</v>
      </c>
      <c r="AI12" s="0" t="n">
        <f aca="false">MY_PS(AI$2,$A12)</f>
        <v>4.24235089489935</v>
      </c>
      <c r="AJ12" s="0" t="n">
        <f aca="false">MY_PS(AJ$2,$A12)</f>
        <v>4.23689162850467</v>
      </c>
      <c r="AK12" s="0" t="n">
        <f aca="false">MY_PS(AK$2,$A12)</f>
        <v>4.2314667716182</v>
      </c>
      <c r="AL12" s="0" t="n">
        <f aca="false">MY_PS(AL$2,$A12)</f>
        <v>4.22607633375758</v>
      </c>
      <c r="AM12" s="0" t="n">
        <f aca="false">MY_PS(AM$2,$A12)</f>
        <v>4.22072031692062</v>
      </c>
      <c r="AN12" s="0" t="n">
        <f aca="false">MY_PS(AN$2,$A12)</f>
        <v>4.21539871575137</v>
      </c>
      <c r="AO12" s="0" t="n">
        <f aca="false">MY_PS(AO$2,$A12)</f>
        <v>4.21011151770331</v>
      </c>
      <c r="AP12" s="0" t="n">
        <f aca="false">MY_PS(AP$2,$A12)</f>
        <v>4.20485870320058</v>
      </c>
      <c r="AQ12" s="0" t="n">
        <f aca="false">MY_PS(AQ$2,$A12)</f>
        <v>4.1542126309613</v>
      </c>
      <c r="AR12" s="0" t="n">
        <f aca="false">MY_PS(AR$2,$A12)</f>
        <v>4.14418221855345</v>
      </c>
      <c r="AS12" s="0" t="n">
        <f aca="false">MY_PS(AS$2,$A12)</f>
        <v>4.14086685596971</v>
      </c>
    </row>
    <row r="13" customFormat="false" ht="12.8" hidden="false" customHeight="false" outlineLevel="0" collapsed="false">
      <c r="A13" s="0" t="n">
        <v>0.002149613069643</v>
      </c>
      <c r="B13" s="0" t="n">
        <f aca="false">MY_PS(B$2,$A13)</f>
        <v>2015</v>
      </c>
      <c r="C13" s="0" t="n">
        <f aca="false">MY_PS(C$2,$A13)</f>
        <v>4.24935000757816</v>
      </c>
      <c r="D13" s="0" t="n">
        <f aca="false">MY_PS(D$2,$A13)</f>
        <v>4.24934945203693</v>
      </c>
      <c r="E13" s="0" t="n">
        <f aca="false">MY_PS(E$2,$A13)</f>
        <v>4.24934889649596</v>
      </c>
      <c r="F13" s="0" t="n">
        <f aca="false">MY_PS(F$2,$A13)</f>
        <v>4.24934834095541</v>
      </c>
      <c r="G13" s="0" t="n">
        <f aca="false">MY_PS(G$2,$A13)</f>
        <v>4.24934278556859</v>
      </c>
      <c r="H13" s="0" t="n">
        <f aca="false">MY_PS(H$2,$A13)</f>
        <v>4.24933723021584</v>
      </c>
      <c r="I13" s="0" t="n">
        <f aca="false">MY_PS(I$2,$A13)</f>
        <v>4.24933167489724</v>
      </c>
      <c r="J13" s="0" t="n">
        <f aca="false">MY_PS(J$2,$A13)</f>
        <v>4.24932611961284</v>
      </c>
      <c r="K13" s="0" t="n">
        <f aca="false">MY_PS(K$2,$A13)</f>
        <v>4.24932056436258</v>
      </c>
      <c r="L13" s="0" t="n">
        <f aca="false">MY_PS(L$2,$A13)</f>
        <v>4.24931500914638</v>
      </c>
      <c r="M13" s="0" t="n">
        <f aca="false">MY_PS(M$2,$A13)</f>
        <v>4.24930945396441</v>
      </c>
      <c r="N13" s="0" t="n">
        <f aca="false">MY_PS(N$2,$A13)</f>
        <v>4.24930389881641</v>
      </c>
      <c r="O13" s="0" t="n">
        <f aca="false">MY_PS(O$2,$A13)</f>
        <v>4.24929834370281</v>
      </c>
      <c r="P13" s="0" t="n">
        <f aca="false">MY_PS(P$2,$A13)</f>
        <v>4.24924279444291</v>
      </c>
      <c r="Q13" s="0" t="n">
        <f aca="false">MY_PS(Q$2,$A13)</f>
        <v>4.24918724859698</v>
      </c>
      <c r="R13" s="0" t="n">
        <f aca="false">MY_PS(R$2,$A13)</f>
        <v>4.24913170616514</v>
      </c>
      <c r="S13" s="0" t="n">
        <f aca="false">MY_PS(S$2,$A13)</f>
        <v>4.24907616714716</v>
      </c>
      <c r="T13" s="0" t="n">
        <f aca="false">MY_PS(T$2,$A13)</f>
        <v>4.24902063154328</v>
      </c>
      <c r="U13" s="0" t="n">
        <f aca="false">MY_PS(U$2,$A13)</f>
        <v>4.24896509935352</v>
      </c>
      <c r="V13" s="0" t="n">
        <f aca="false">MY_PS(V$2,$A13)</f>
        <v>4.24890957057791</v>
      </c>
      <c r="W13" s="0" t="n">
        <f aca="false">MY_PS(W$2,$A13)</f>
        <v>4.24885404521644</v>
      </c>
      <c r="X13" s="0" t="n">
        <f aca="false">MY_PS(X$2,$A13)</f>
        <v>4.24879852326928</v>
      </c>
      <c r="Y13" s="0" t="n">
        <f aca="false">MY_PS(Y$2,$A13)</f>
        <v>4.24824349158926</v>
      </c>
      <c r="Z13" s="0" t="n">
        <f aca="false">MY_PS(Z$2,$A13)</f>
        <v>4.24768880138033</v>
      </c>
      <c r="AA13" s="0" t="n">
        <f aca="false">MY_PS(AA$2,$A13)</f>
        <v>4.24713445268509</v>
      </c>
      <c r="AB13" s="0" t="n">
        <f aca="false">MY_PS(AB$2,$A13)</f>
        <v>4.24658044554582</v>
      </c>
      <c r="AC13" s="0" t="n">
        <f aca="false">MY_PS(AC$2,$A13)</f>
        <v>4.24602678000356</v>
      </c>
      <c r="AD13" s="0" t="n">
        <f aca="false">MY_PS(AD$2,$A13)</f>
        <v>4.24547345609885</v>
      </c>
      <c r="AE13" s="0" t="n">
        <f aca="false">MY_PS(AE$2,$A13)</f>
        <v>4.24492047387115</v>
      </c>
      <c r="AF13" s="0" t="n">
        <f aca="false">MY_PS(AF$2,$A13)</f>
        <v>4.2443678333593</v>
      </c>
      <c r="AG13" s="0" t="n">
        <f aca="false">MY_PS(AG$2,$A13)</f>
        <v>4.24381553460113</v>
      </c>
      <c r="AH13" s="0" t="n">
        <f aca="false">MY_PS(AH$2,$A13)</f>
        <v>4.23831135123872</v>
      </c>
      <c r="AI13" s="0" t="n">
        <f aca="false">MY_PS(AI$2,$A13)</f>
        <v>4.23284137896229</v>
      </c>
      <c r="AJ13" s="0" t="n">
        <f aca="false">MY_PS(AJ$2,$A13)</f>
        <v>4.22740564246236</v>
      </c>
      <c r="AK13" s="0" t="n">
        <f aca="false">MY_PS(AK$2,$A13)</f>
        <v>4.22200415861957</v>
      </c>
      <c r="AL13" s="0" t="n">
        <f aca="false">MY_PS(AL$2,$A13)</f>
        <v>4.21663693667369</v>
      </c>
      <c r="AM13" s="0" t="n">
        <f aca="false">MY_PS(AM$2,$A13)</f>
        <v>4.2113039783912</v>
      </c>
      <c r="AN13" s="0" t="n">
        <f aca="false">MY_PS(AN$2,$A13)</f>
        <v>4.20600527822971</v>
      </c>
      <c r="AO13" s="0" t="n">
        <f aca="false">MY_PS(AO$2,$A13)</f>
        <v>4.20074082350108</v>
      </c>
      <c r="AP13" s="0" t="n">
        <f aca="false">MY_PS(AP$2,$A13)</f>
        <v>4.19551059452998</v>
      </c>
      <c r="AQ13" s="0" t="n">
        <f aca="false">MY_PS(AQ$2,$A13)</f>
        <v>4.14508170623478</v>
      </c>
      <c r="AR13" s="0" t="n">
        <f aca="false">MY_PS(AR$2,$A13)</f>
        <v>4.13509416522473</v>
      </c>
      <c r="AS13" s="0" t="n">
        <f aca="false">MY_PS(AS$2,$A13)</f>
        <v>4.13179296143592</v>
      </c>
    </row>
    <row r="14" customFormat="false" ht="12.8" hidden="false" customHeight="false" outlineLevel="0" collapsed="false">
      <c r="A14" s="0" t="n">
        <v>0.00238845896627</v>
      </c>
      <c r="B14" s="0" t="n">
        <f aca="false">MY_PS(B$2,$A14)</f>
        <v>2015</v>
      </c>
      <c r="C14" s="0" t="n">
        <f aca="false">MY_PS(C$2,$A14)</f>
        <v>4.2398012155629</v>
      </c>
      <c r="D14" s="0" t="n">
        <f aca="false">MY_PS(D$2,$A14)</f>
        <v>4.23980066241655</v>
      </c>
      <c r="E14" s="0" t="n">
        <f aca="false">MY_PS(E$2,$A14)</f>
        <v>4.2398001092705</v>
      </c>
      <c r="F14" s="0" t="n">
        <f aca="false">MY_PS(F$2,$A14)</f>
        <v>4.23979955612484</v>
      </c>
      <c r="G14" s="0" t="n">
        <f aca="false">MY_PS(G$2,$A14)</f>
        <v>4.23979402468663</v>
      </c>
      <c r="H14" s="0" t="n">
        <f aca="false">MY_PS(H$2,$A14)</f>
        <v>4.23978849328255</v>
      </c>
      <c r="I14" s="0" t="n">
        <f aca="false">MY_PS(I$2,$A14)</f>
        <v>4.2397829619124</v>
      </c>
      <c r="J14" s="0" t="n">
        <f aca="false">MY_PS(J$2,$A14)</f>
        <v>4.23977743057623</v>
      </c>
      <c r="K14" s="0" t="n">
        <f aca="false">MY_PS(K$2,$A14)</f>
        <v>4.23977189927403</v>
      </c>
      <c r="L14" s="0" t="n">
        <f aca="false">MY_PS(L$2,$A14)</f>
        <v>4.23976636800583</v>
      </c>
      <c r="M14" s="0" t="n">
        <f aca="false">MY_PS(M$2,$A14)</f>
        <v>4.23976083677159</v>
      </c>
      <c r="N14" s="0" t="n">
        <f aca="false">MY_PS(N$2,$A14)</f>
        <v>4.23975530557127</v>
      </c>
      <c r="O14" s="0" t="n">
        <f aca="false">MY_PS(O$2,$A14)</f>
        <v>4.2397497744051</v>
      </c>
      <c r="P14" s="0" t="n">
        <f aca="false">MY_PS(P$2,$A14)</f>
        <v>4.23969446461168</v>
      </c>
      <c r="Q14" s="0" t="n">
        <f aca="false">MY_PS(Q$2,$A14)</f>
        <v>4.23963915821673</v>
      </c>
      <c r="R14" s="0" t="n">
        <f aca="false">MY_PS(R$2,$A14)</f>
        <v>4.23958385522033</v>
      </c>
      <c r="S14" s="0" t="n">
        <f aca="false">MY_PS(S$2,$A14)</f>
        <v>4.23952855562258</v>
      </c>
      <c r="T14" s="0" t="n">
        <f aca="false">MY_PS(T$2,$A14)</f>
        <v>4.23947325942329</v>
      </c>
      <c r="U14" s="0" t="n">
        <f aca="false">MY_PS(U$2,$A14)</f>
        <v>4.23941796662276</v>
      </c>
      <c r="V14" s="0" t="n">
        <f aca="false">MY_PS(V$2,$A14)</f>
        <v>4.23936267722095</v>
      </c>
      <c r="W14" s="0" t="n">
        <f aca="false">MY_PS(W$2,$A14)</f>
        <v>4.23930739121792</v>
      </c>
      <c r="X14" s="0" t="n">
        <f aca="false">MY_PS(X$2,$A14)</f>
        <v>4.23925210861357</v>
      </c>
      <c r="Y14" s="0" t="n">
        <f aca="false">MY_PS(Y$2,$A14)</f>
        <v>4.23869946951385</v>
      </c>
      <c r="Z14" s="0" t="n">
        <f aca="false">MY_PS(Z$2,$A14)</f>
        <v>4.2381471703411</v>
      </c>
      <c r="AA14" s="0" t="n">
        <f aca="false">MY_PS(AA$2,$A14)</f>
        <v>4.23759521113749</v>
      </c>
      <c r="AB14" s="0" t="n">
        <f aca="false">MY_PS(AB$2,$A14)</f>
        <v>4.23704359194471</v>
      </c>
      <c r="AC14" s="0" t="n">
        <f aca="false">MY_PS(AC$2,$A14)</f>
        <v>4.23649231280365</v>
      </c>
      <c r="AD14" s="0" t="n">
        <f aca="false">MY_PS(AD$2,$A14)</f>
        <v>4.23594137375408</v>
      </c>
      <c r="AE14" s="0" t="n">
        <f aca="false">MY_PS(AE$2,$A14)</f>
        <v>4.23539077483509</v>
      </c>
      <c r="AF14" s="0" t="n">
        <f aca="false">MY_PS(AF$2,$A14)</f>
        <v>4.23484051608507</v>
      </c>
      <c r="AG14" s="0" t="n">
        <f aca="false">MY_PS(AG$2,$A14)</f>
        <v>4.23429059754143</v>
      </c>
      <c r="AH14" s="0" t="n">
        <f aca="false">MY_PS(AH$2,$A14)</f>
        <v>4.22881013112437</v>
      </c>
      <c r="AI14" s="0" t="n">
        <f aca="false">MY_PS(AI$2,$A14)</f>
        <v>4.2233637205986</v>
      </c>
      <c r="AJ14" s="0" t="n">
        <f aca="false">MY_PS(AJ$2,$A14)</f>
        <v>4.21795139028432</v>
      </c>
      <c r="AK14" s="0" t="n">
        <f aca="false">MY_PS(AK$2,$A14)</f>
        <v>4.21257315673959</v>
      </c>
      <c r="AL14" s="0" t="n">
        <f aca="false">MY_PS(AL$2,$A14)</f>
        <v>4.20722902892912</v>
      </c>
      <c r="AM14" s="0" t="n">
        <f aca="false">MY_PS(AM$2,$A14)</f>
        <v>4.20191900839018</v>
      </c>
      <c r="AN14" s="0" t="n">
        <f aca="false">MY_PS(AN$2,$A14)</f>
        <v>4.19664308939632</v>
      </c>
      <c r="AO14" s="0" t="n">
        <f aca="false">MY_PS(AO$2,$A14)</f>
        <v>4.19140125911868</v>
      </c>
      <c r="AP14" s="0" t="n">
        <f aca="false">MY_PS(AP$2,$A14)</f>
        <v>4.18619349778464</v>
      </c>
      <c r="AQ14" s="0" t="n">
        <f aca="false">MY_PS(AQ$2,$A14)</f>
        <v>4.13598066812092</v>
      </c>
      <c r="AR14" s="0" t="n">
        <f aca="false">MY_PS(AR$2,$A14)</f>
        <v>4.12603577836273</v>
      </c>
      <c r="AS14" s="0" t="n">
        <f aca="false">MY_PS(AS$2,$A14)</f>
        <v>4.12274866082165</v>
      </c>
    </row>
    <row r="15" customFormat="false" ht="12.8" hidden="false" customHeight="false" outlineLevel="0" collapsed="false">
      <c r="A15" s="0" t="n">
        <v>0.00477691793254</v>
      </c>
      <c r="B15" s="0" t="n">
        <f aca="false">MY_PS(B$2,$A15)</f>
        <v>2015</v>
      </c>
      <c r="C15" s="0" t="n">
        <f aca="false">MY_PS(C$2,$A15)</f>
        <v>4.14605437402808</v>
      </c>
      <c r="D15" s="0" t="n">
        <f aca="false">MY_PS(D$2,$A15)</f>
        <v>4.14605384414993</v>
      </c>
      <c r="E15" s="0" t="n">
        <f aca="false">MY_PS(E$2,$A15)</f>
        <v>4.14605331427214</v>
      </c>
      <c r="F15" s="0" t="n">
        <f aca="false">MY_PS(F$2,$A15)</f>
        <v>4.14605278439466</v>
      </c>
      <c r="G15" s="0" t="n">
        <f aca="false">MY_PS(G$2,$A15)</f>
        <v>4.14604748563781</v>
      </c>
      <c r="H15" s="0" t="n">
        <f aca="false">MY_PS(H$2,$A15)</f>
        <v>4.14604218691347</v>
      </c>
      <c r="I15" s="0" t="n">
        <f aca="false">MY_PS(I$2,$A15)</f>
        <v>4.14603688822166</v>
      </c>
      <c r="J15" s="0" t="n">
        <f aca="false">MY_PS(J$2,$A15)</f>
        <v>4.14603158956234</v>
      </c>
      <c r="K15" s="0" t="n">
        <f aca="false">MY_PS(K$2,$A15)</f>
        <v>4.14602629093542</v>
      </c>
      <c r="L15" s="0" t="n">
        <f aca="false">MY_PS(L$2,$A15)</f>
        <v>4.14602099234112</v>
      </c>
      <c r="M15" s="0" t="n">
        <f aca="false">MY_PS(M$2,$A15)</f>
        <v>4.14601569377922</v>
      </c>
      <c r="N15" s="0" t="n">
        <f aca="false">MY_PS(N$2,$A15)</f>
        <v>4.14601039524987</v>
      </c>
      <c r="O15" s="0" t="n">
        <f aca="false">MY_PS(O$2,$A15)</f>
        <v>4.14600509675299</v>
      </c>
      <c r="P15" s="0" t="n">
        <f aca="false">MY_PS(P$2,$A15)</f>
        <v>4.14595211357099</v>
      </c>
      <c r="Q15" s="0" t="n">
        <f aca="false">MY_PS(Q$2,$A15)</f>
        <v>4.14589913363841</v>
      </c>
      <c r="R15" s="0" t="n">
        <f aca="false">MY_PS(R$2,$A15)</f>
        <v>4.14584615695503</v>
      </c>
      <c r="S15" s="0" t="n">
        <f aca="false">MY_PS(S$2,$A15)</f>
        <v>4.14579318352103</v>
      </c>
      <c r="T15" s="0" t="n">
        <f aca="false">MY_PS(T$2,$A15)</f>
        <v>4.14574021333636</v>
      </c>
      <c r="U15" s="0" t="n">
        <f aca="false">MY_PS(U$2,$A15)</f>
        <v>4.14568724640107</v>
      </c>
      <c r="V15" s="0" t="n">
        <f aca="false">MY_PS(V$2,$A15)</f>
        <v>4.14563428271517</v>
      </c>
      <c r="W15" s="0" t="n">
        <f aca="false">MY_PS(W$2,$A15)</f>
        <v>4.14558132227885</v>
      </c>
      <c r="X15" s="0" t="n">
        <f aca="false">MY_PS(X$2,$A15)</f>
        <v>4.14552836509198</v>
      </c>
      <c r="Y15" s="0" t="n">
        <f aca="false">MY_PS(Y$2,$A15)</f>
        <v>4.14499897195527</v>
      </c>
      <c r="Z15" s="0" t="n">
        <f aca="false">MY_PS(Z$2,$A15)</f>
        <v>4.14446990381241</v>
      </c>
      <c r="AA15" s="0" t="n">
        <f aca="false">MY_PS(AA$2,$A15)</f>
        <v>4.1439411607011</v>
      </c>
      <c r="AB15" s="0" t="n">
        <f aca="false">MY_PS(AB$2,$A15)</f>
        <v>4.14341274265846</v>
      </c>
      <c r="AC15" s="0" t="n">
        <f aca="false">MY_PS(AC$2,$A15)</f>
        <v>4.14288464972068</v>
      </c>
      <c r="AD15" s="0" t="n">
        <f aca="false">MY_PS(AD$2,$A15)</f>
        <v>4.14235688192322</v>
      </c>
      <c r="AE15" s="0" t="n">
        <f aca="false">MY_PS(AE$2,$A15)</f>
        <v>4.1418294393007</v>
      </c>
      <c r="AF15" s="0" t="n">
        <f aca="false">MY_PS(AF$2,$A15)</f>
        <v>4.14130232188716</v>
      </c>
      <c r="AG15" s="0" t="n">
        <f aca="false">MY_PS(AG$2,$A15)</f>
        <v>4.14077552971573</v>
      </c>
      <c r="AH15" s="0" t="n">
        <f aca="false">MY_PS(AH$2,$A15)</f>
        <v>4.13552550306855</v>
      </c>
      <c r="AI15" s="0" t="n">
        <f aca="false">MY_PS(AI$2,$A15)</f>
        <v>4.13030803149119</v>
      </c>
      <c r="AJ15" s="0" t="n">
        <f aca="false">MY_PS(AJ$2,$A15)</f>
        <v>4.12512313577456</v>
      </c>
      <c r="AK15" s="0" t="n">
        <f aca="false">MY_PS(AK$2,$A15)</f>
        <v>4.11997082941176</v>
      </c>
      <c r="AL15" s="0" t="n">
        <f aca="false">MY_PS(AL$2,$A15)</f>
        <v>4.1148511187556</v>
      </c>
      <c r="AM15" s="0" t="n">
        <f aca="false">MY_PS(AM$2,$A15)</f>
        <v>4.10976400317406</v>
      </c>
      <c r="AN15" s="0" t="n">
        <f aca="false">MY_PS(AN$2,$A15)</f>
        <v>4.10470947520276</v>
      </c>
      <c r="AO15" s="0" t="n">
        <f aca="false">MY_PS(AO$2,$A15)</f>
        <v>4.09968752069671</v>
      </c>
      <c r="AP15" s="0" t="n">
        <f aca="false">MY_PS(AP$2,$A15)</f>
        <v>4.09469811897806</v>
      </c>
      <c r="AQ15" s="0" t="n">
        <f aca="false">MY_PS(AQ$2,$A15)</f>
        <v>4.04658557178399</v>
      </c>
      <c r="AR15" s="0" t="n">
        <f aca="false">MY_PS(AR$2,$A15)</f>
        <v>4.03705539485444</v>
      </c>
      <c r="AS15" s="0" t="n">
        <f aca="false">MY_PS(AS$2,$A15)</f>
        <v>4.03390525110048</v>
      </c>
    </row>
    <row r="16" customFormat="false" ht="12.8" hidden="false" customHeight="false" outlineLevel="0" collapsed="false">
      <c r="A16" s="0" t="n">
        <v>0.00716537689881</v>
      </c>
      <c r="B16" s="0" t="n">
        <f aca="false">MY_PS(B$2,$A16)</f>
        <v>2015</v>
      </c>
      <c r="C16" s="0" t="n">
        <f aca="false">MY_PS(C$2,$A16)</f>
        <v>4.05537503406524</v>
      </c>
      <c r="D16" s="0" t="n">
        <f aca="false">MY_PS(D$2,$A16)</f>
        <v>4.05537452627349</v>
      </c>
      <c r="E16" s="0" t="n">
        <f aca="false">MY_PS(E$2,$A16)</f>
        <v>4.05537401848183</v>
      </c>
      <c r="F16" s="0" t="n">
        <f aca="false">MY_PS(F$2,$A16)</f>
        <v>4.05537351069068</v>
      </c>
      <c r="G16" s="0" t="n">
        <f aca="false">MY_PS(G$2,$A16)</f>
        <v>4.05536843279552</v>
      </c>
      <c r="H16" s="0" t="n">
        <f aca="false">MY_PS(H$2,$A16)</f>
        <v>4.05536335493155</v>
      </c>
      <c r="I16" s="0" t="n">
        <f aca="false">MY_PS(I$2,$A16)</f>
        <v>4.05535827709868</v>
      </c>
      <c r="J16" s="0" t="n">
        <f aca="false">MY_PS(J$2,$A16)</f>
        <v>4.05535319929677</v>
      </c>
      <c r="K16" s="0" t="n">
        <f aca="false">MY_PS(K$2,$A16)</f>
        <v>4.05534812152609</v>
      </c>
      <c r="L16" s="0" t="n">
        <f aca="false">MY_PS(L$2,$A16)</f>
        <v>4.05534304378639</v>
      </c>
      <c r="M16" s="0" t="n">
        <f aca="false">MY_PS(M$2,$A16)</f>
        <v>4.05533796607782</v>
      </c>
      <c r="N16" s="0" t="n">
        <f aca="false">MY_PS(N$2,$A16)</f>
        <v>4.05533288840032</v>
      </c>
      <c r="O16" s="0" t="n">
        <f aca="false">MY_PS(O$2,$A16)</f>
        <v>4.05532781075395</v>
      </c>
      <c r="P16" s="0" t="n">
        <f aca="false">MY_PS(P$2,$A16)</f>
        <v>4.05527703599967</v>
      </c>
      <c r="Q16" s="0" t="n">
        <f aca="false">MY_PS(Q$2,$A16)</f>
        <v>4.05522626435429</v>
      </c>
      <c r="R16" s="0" t="n">
        <f aca="false">MY_PS(R$2,$A16)</f>
        <v>4.05517549581761</v>
      </c>
      <c r="S16" s="0" t="n">
        <f aca="false">MY_PS(S$2,$A16)</f>
        <v>4.05512473038969</v>
      </c>
      <c r="T16" s="0" t="n">
        <f aca="false">MY_PS(T$2,$A16)</f>
        <v>4.05507396807081</v>
      </c>
      <c r="U16" s="0" t="n">
        <f aca="false">MY_PS(U$2,$A16)</f>
        <v>4.05502320886072</v>
      </c>
      <c r="V16" s="0" t="n">
        <f aca="false">MY_PS(V$2,$A16)</f>
        <v>4.05497245275954</v>
      </c>
      <c r="W16" s="0" t="n">
        <f aca="false">MY_PS(W$2,$A16)</f>
        <v>4.05492169976732</v>
      </c>
      <c r="X16" s="0" t="n">
        <f aca="false">MY_PS(X$2,$A16)</f>
        <v>4.05487094988412</v>
      </c>
      <c r="Y16" s="0" t="n">
        <f aca="false">MY_PS(Y$2,$A16)</f>
        <v>4.05436362205487</v>
      </c>
      <c r="Z16" s="0" t="n">
        <f aca="false">MY_PS(Z$2,$A16)</f>
        <v>4.05385660516331</v>
      </c>
      <c r="AA16" s="0" t="n">
        <f aca="false">MY_PS(AA$2,$A16)</f>
        <v>4.05334989924306</v>
      </c>
      <c r="AB16" s="0" t="n">
        <f aca="false">MY_PS(AB$2,$A16)</f>
        <v>4.05284350432688</v>
      </c>
      <c r="AC16" s="0" t="n">
        <f aca="false">MY_PS(AC$2,$A16)</f>
        <v>4.0523374204469</v>
      </c>
      <c r="AD16" s="0" t="n">
        <f aca="false">MY_PS(AD$2,$A16)</f>
        <v>4.05183164763441</v>
      </c>
      <c r="AE16" s="0" t="n">
        <f aca="false">MY_PS(AE$2,$A16)</f>
        <v>4.05132618592018</v>
      </c>
      <c r="AF16" s="0" t="n">
        <f aca="false">MY_PS(AF$2,$A16)</f>
        <v>4.05082103533392</v>
      </c>
      <c r="AG16" s="0" t="n">
        <f aca="false">MY_PS(AG$2,$A16)</f>
        <v>4.0503161959051</v>
      </c>
      <c r="AH16" s="0" t="n">
        <f aca="false">MY_PS(AH$2,$A16)</f>
        <v>4.04528492118114</v>
      </c>
      <c r="AI16" s="0" t="n">
        <f aca="false">MY_PS(AI$2,$A16)</f>
        <v>4.04028478902405</v>
      </c>
      <c r="AJ16" s="0" t="n">
        <f aca="false">MY_PS(AJ$2,$A16)</f>
        <v>4.0353158169974</v>
      </c>
      <c r="AK16" s="0" t="n">
        <f aca="false">MY_PS(AK$2,$A16)</f>
        <v>4.03037801579812</v>
      </c>
      <c r="AL16" s="0" t="n">
        <f aca="false">MY_PS(AL$2,$A16)</f>
        <v>4.02547138940512</v>
      </c>
      <c r="AM16" s="0" t="n">
        <f aca="false">MY_PS(AM$2,$A16)</f>
        <v>4.02059593522332</v>
      </c>
      <c r="AN16" s="0" t="n">
        <f aca="false">MY_PS(AN$2,$A16)</f>
        <v>4.01575164422749</v>
      </c>
      <c r="AO16" s="0" t="n">
        <f aca="false">MY_PS(AO$2,$A16)</f>
        <v>4.01093850110367</v>
      </c>
      <c r="AP16" s="0" t="n">
        <f aca="false">MY_PS(AP$2,$A16)</f>
        <v>4.00615648438803</v>
      </c>
      <c r="AQ16" s="0" t="n">
        <f aca="false">MY_PS(AQ$2,$A16)</f>
        <v>3.96003941854272</v>
      </c>
      <c r="AR16" s="0" t="n">
        <f aca="false">MY_PS(AR$2,$A16)</f>
        <v>3.95090344062451</v>
      </c>
      <c r="AS16" s="0" t="n">
        <f aca="false">MY_PS(AS$2,$A16)</f>
        <v>3.94788350956133</v>
      </c>
    </row>
    <row r="17" customFormat="false" ht="12.8" hidden="false" customHeight="false" outlineLevel="0" collapsed="false">
      <c r="A17" s="0" t="n">
        <v>0.00955383586508</v>
      </c>
      <c r="B17" s="0" t="n">
        <f aca="false">MY_PS(B$2,$A17)</f>
        <v>2015</v>
      </c>
      <c r="C17" s="0" t="n">
        <f aca="false">MY_PS(C$2,$A17)</f>
        <v>2015</v>
      </c>
      <c r="D17" s="0" t="n">
        <f aca="false">MY_PS(D$2,$A17)</f>
        <v>3.96762858582489</v>
      </c>
      <c r="E17" s="0" t="n">
        <f aca="false">MY_PS(E$2,$A17)</f>
        <v>3.96762809901226</v>
      </c>
      <c r="F17" s="0" t="n">
        <f aca="false">MY_PS(F$2,$A17)</f>
        <v>3.96762761219997</v>
      </c>
      <c r="G17" s="0" t="n">
        <f aca="false">MY_PS(G$2,$A17)</f>
        <v>3.96762274409309</v>
      </c>
      <c r="H17" s="0" t="n">
        <f aca="false">MY_PS(H$2,$A17)</f>
        <v>3.96761787601606</v>
      </c>
      <c r="I17" s="0" t="n">
        <f aca="false">MY_PS(I$2,$A17)</f>
        <v>3.96761300796874</v>
      </c>
      <c r="J17" s="0" t="n">
        <f aca="false">MY_PS(J$2,$A17)</f>
        <v>3.96760813995119</v>
      </c>
      <c r="K17" s="0" t="n">
        <f aca="false">MY_PS(K$2,$A17)</f>
        <v>3.96760327196338</v>
      </c>
      <c r="L17" s="0" t="n">
        <f aca="false">MY_PS(L$2,$A17)</f>
        <v>3.96759840400538</v>
      </c>
      <c r="M17" s="0" t="n">
        <f aca="false">MY_PS(M$2,$A17)</f>
        <v>3.9675935360771</v>
      </c>
      <c r="N17" s="0" t="n">
        <f aca="false">MY_PS(N$2,$A17)</f>
        <v>3.9675886681786</v>
      </c>
      <c r="O17" s="0" t="n">
        <f aca="false">MY_PS(O$2,$A17)</f>
        <v>3.96758380030992</v>
      </c>
      <c r="P17" s="0" t="n">
        <f aca="false">MY_PS(P$2,$A17)</f>
        <v>3.96753512325963</v>
      </c>
      <c r="Q17" s="0" t="n">
        <f aca="false">MY_PS(Q$2,$A17)</f>
        <v>3.96748644918585</v>
      </c>
      <c r="R17" s="0" t="n">
        <f aca="false">MY_PS(R$2,$A17)</f>
        <v>3.96743777808844</v>
      </c>
      <c r="S17" s="0" t="n">
        <f aca="false">MY_PS(S$2,$A17)</f>
        <v>3.9673891099675</v>
      </c>
      <c r="T17" s="0" t="n">
        <f aca="false">MY_PS(T$2,$A17)</f>
        <v>3.96734044482317</v>
      </c>
      <c r="U17" s="0" t="n">
        <f aca="false">MY_PS(U$2,$A17)</f>
        <v>3.96729178265531</v>
      </c>
      <c r="V17" s="0" t="n">
        <f aca="false">MY_PS(V$2,$A17)</f>
        <v>3.9672431234641</v>
      </c>
      <c r="W17" s="0" t="n">
        <f aca="false">MY_PS(W$2,$A17)</f>
        <v>3.96719446724938</v>
      </c>
      <c r="X17" s="0" t="n">
        <f aca="false">MY_PS(X$2,$A17)</f>
        <v>3.96714581401139</v>
      </c>
      <c r="Y17" s="0" t="n">
        <f aca="false">MY_PS(Y$2,$A17)</f>
        <v>3.96665944535285</v>
      </c>
      <c r="Z17" s="0" t="n">
        <f aca="false">MY_PS(Z$2,$A17)</f>
        <v>3.96617337439143</v>
      </c>
      <c r="AA17" s="0" t="n">
        <f aca="false">MY_PS(AA$2,$A17)</f>
        <v>3.96568760115667</v>
      </c>
      <c r="AB17" s="0" t="n">
        <f aca="false">MY_PS(AB$2,$A17)</f>
        <v>3.96520212567755</v>
      </c>
      <c r="AC17" s="0" t="n">
        <f aca="false">MY_PS(AC$2,$A17)</f>
        <v>3.9647169479824</v>
      </c>
      <c r="AD17" s="0" t="n">
        <f aca="false">MY_PS(AD$2,$A17)</f>
        <v>3.96423206809878</v>
      </c>
      <c r="AE17" s="0" t="n">
        <f aca="false">MY_PS(AE$2,$A17)</f>
        <v>3.96374748605364</v>
      </c>
      <c r="AF17" s="0" t="n">
        <f aca="false">MY_PS(AF$2,$A17)</f>
        <v>3.96326320187319</v>
      </c>
      <c r="AG17" s="0" t="n">
        <f aca="false">MY_PS(AG$2,$A17)</f>
        <v>3.962779215583</v>
      </c>
      <c r="AH17" s="0" t="n">
        <f aca="false">MY_PS(AH$2,$A17)</f>
        <v>3.95795574178927</v>
      </c>
      <c r="AI17" s="0" t="n">
        <f aca="false">MY_PS(AI$2,$A17)</f>
        <v>3.95316208016988</v>
      </c>
      <c r="AJ17" s="0" t="n">
        <f aca="false">MY_PS(AJ$2,$A17)</f>
        <v>3.94839824533486</v>
      </c>
      <c r="AK17" s="0" t="n">
        <f aca="false">MY_PS(AK$2,$A17)</f>
        <v>3.94366424543009</v>
      </c>
      <c r="AL17" s="0" t="n">
        <f aca="false">MY_PS(AL$2,$A17)</f>
        <v>3.93896008227508</v>
      </c>
      <c r="AM17" s="0" t="n">
        <f aca="false">MY_PS(AM$2,$A17)</f>
        <v>3.93428575149906</v>
      </c>
      <c r="AN17" s="0" t="n">
        <f aca="false">MY_PS(AN$2,$A17)</f>
        <v>3.92964124267533</v>
      </c>
      <c r="AO17" s="0" t="n">
        <f aca="false">MY_PS(AO$2,$A17)</f>
        <v>3.92502653945323</v>
      </c>
      <c r="AP17" s="0" t="n">
        <f aca="false">MY_PS(AP$2,$A17)</f>
        <v>3.92044161968844</v>
      </c>
      <c r="AQ17" s="0" t="n">
        <f aca="false">MY_PS(AQ$2,$A17)</f>
        <v>3.87622174915553</v>
      </c>
      <c r="AR17" s="0" t="n">
        <f aca="false">MY_PS(AR$2,$A17)</f>
        <v>3.86746072178309</v>
      </c>
      <c r="AS17" s="0" t="n">
        <f aca="false">MY_PS(AS$2,$A17)</f>
        <v>3.86456465855533</v>
      </c>
    </row>
    <row r="18" customFormat="false" ht="12.8" hidden="false" customHeight="false" outlineLevel="0" collapsed="false">
      <c r="A18" s="0" t="n">
        <v>0.01194229483135</v>
      </c>
      <c r="B18" s="0" t="n">
        <f aca="false">MY_PS(B$2,$A18)</f>
        <v>2015</v>
      </c>
      <c r="C18" s="0" t="n">
        <f aca="false">MY_PS(C$2,$A18)</f>
        <v>2015</v>
      </c>
      <c r="D18" s="0" t="n">
        <f aca="false">MY_PS(D$2,$A18)</f>
        <v>3.88268923767995</v>
      </c>
      <c r="E18" s="0" t="n">
        <f aca="false">MY_PS(E$2,$A18)</f>
        <v>3.88268877080793</v>
      </c>
      <c r="F18" s="0" t="n">
        <f aca="false">MY_PS(F$2,$A18)</f>
        <v>3.88268830393621</v>
      </c>
      <c r="G18" s="0" t="n">
        <f aca="false">MY_PS(G$2,$A18)</f>
        <v>3.88268363523442</v>
      </c>
      <c r="H18" s="0" t="n">
        <f aca="false">MY_PS(H$2,$A18)</f>
        <v>3.88267896656121</v>
      </c>
      <c r="I18" s="0" t="n">
        <f aca="false">MY_PS(I$2,$A18)</f>
        <v>3.88267429791647</v>
      </c>
      <c r="J18" s="0" t="n">
        <f aca="false">MY_PS(J$2,$A18)</f>
        <v>3.88266962930025</v>
      </c>
      <c r="K18" s="0" t="n">
        <f aca="false">MY_PS(K$2,$A18)</f>
        <v>3.88266496071261</v>
      </c>
      <c r="L18" s="0" t="n">
        <f aca="false">MY_PS(L$2,$A18)</f>
        <v>3.88266029215338</v>
      </c>
      <c r="M18" s="0" t="n">
        <f aca="false">MY_PS(M$2,$A18)</f>
        <v>3.88265562362274</v>
      </c>
      <c r="N18" s="0" t="n">
        <f aca="false">MY_PS(N$2,$A18)</f>
        <v>3.88265095512064</v>
      </c>
      <c r="O18" s="0" t="n">
        <f aca="false">MY_PS(O$2,$A18)</f>
        <v>3.88264628664704</v>
      </c>
      <c r="P18" s="0" t="n">
        <f aca="false">MY_PS(P$2,$A18)</f>
        <v>3.8825996034792</v>
      </c>
      <c r="Q18" s="0" t="n">
        <f aca="false">MY_PS(Q$2,$A18)</f>
        <v>3.88255292316314</v>
      </c>
      <c r="R18" s="0" t="n">
        <f aca="false">MY_PS(R$2,$A18)</f>
        <v>3.88250624569868</v>
      </c>
      <c r="S18" s="0" t="n">
        <f aca="false">MY_PS(S$2,$A18)</f>
        <v>3.8824595710859</v>
      </c>
      <c r="T18" s="0" t="n">
        <f aca="false">MY_PS(T$2,$A18)</f>
        <v>3.88241289932492</v>
      </c>
      <c r="U18" s="0" t="n">
        <f aca="false">MY_PS(U$2,$A18)</f>
        <v>3.88236623041573</v>
      </c>
      <c r="V18" s="0" t="n">
        <f aca="false">MY_PS(V$2,$A18)</f>
        <v>3.88231956435834</v>
      </c>
      <c r="W18" s="0" t="n">
        <f aca="false">MY_PS(W$2,$A18)</f>
        <v>3.88227290115274</v>
      </c>
      <c r="X18" s="0" t="n">
        <f aca="false">MY_PS(X$2,$A18)</f>
        <v>3.88222624079907</v>
      </c>
      <c r="Y18" s="0" t="n">
        <f aca="false">MY_PS(Y$2,$A18)</f>
        <v>3.88175979411999</v>
      </c>
      <c r="Z18" s="0" t="n">
        <f aca="false">MY_PS(Z$2,$A18)</f>
        <v>3.88129363265608</v>
      </c>
      <c r="AA18" s="0" t="n">
        <f aca="false">MY_PS(AA$2,$A18)</f>
        <v>3.88082775643322</v>
      </c>
      <c r="AB18" s="0" t="n">
        <f aca="false">MY_PS(AB$2,$A18)</f>
        <v>3.88036216547702</v>
      </c>
      <c r="AC18" s="0" t="n">
        <f aca="false">MY_PS(AC$2,$A18)</f>
        <v>3.87989685981227</v>
      </c>
      <c r="AD18" s="0" t="n">
        <f aca="false">MY_PS(AD$2,$A18)</f>
        <v>3.87943183946302</v>
      </c>
      <c r="AE18" s="0" t="n">
        <f aca="false">MY_PS(AE$2,$A18)</f>
        <v>3.8789671044528</v>
      </c>
      <c r="AF18" s="0" t="n">
        <f aca="false">MY_PS(AF$2,$A18)</f>
        <v>3.87850265480448</v>
      </c>
      <c r="AG18" s="0" t="n">
        <f aca="false">MY_PS(AG$2,$A18)</f>
        <v>3.87803849054028</v>
      </c>
      <c r="AH18" s="0" t="n">
        <f aca="false">MY_PS(AH$2,$A18)</f>
        <v>3.87341254846142</v>
      </c>
      <c r="AI18" s="0" t="n">
        <f aca="false">MY_PS(AI$2,$A18)</f>
        <v>3.86881516455762</v>
      </c>
      <c r="AJ18" s="0" t="n">
        <f aca="false">MY_PS(AJ$2,$A18)</f>
        <v>3.86424635073548</v>
      </c>
      <c r="AK18" s="0" t="n">
        <f aca="false">MY_PS(AK$2,$A18)</f>
        <v>3.85970611281137</v>
      </c>
      <c r="AL18" s="0" t="n">
        <f aca="false">MY_PS(AL$2,$A18)</f>
        <v>3.85519445064087</v>
      </c>
      <c r="AM18" s="0" t="n">
        <f aca="false">MY_PS(AM$2,$A18)</f>
        <v>3.85071135824676</v>
      </c>
      <c r="AN18" s="0" t="n">
        <f aca="false">MY_PS(AN$2,$A18)</f>
        <v>3.84625682394403</v>
      </c>
      <c r="AO18" s="0" t="n">
        <f aca="false">MY_PS(AO$2,$A18)</f>
        <v>3.84183083046428</v>
      </c>
      <c r="AP18" s="0" t="n">
        <f aca="false">MY_PS(AP$2,$A18)</f>
        <v>3.83743335507746</v>
      </c>
      <c r="AQ18" s="0" t="n">
        <f aca="false">MY_PS(AQ$2,$A18)</f>
        <v>3.79501842606888</v>
      </c>
      <c r="AR18" s="0" t="n">
        <f aca="false">MY_PS(AR$2,$A18)</f>
        <v>3.78661427281885</v>
      </c>
      <c r="AS18" s="0" t="n">
        <f aca="false">MY_PS(AS$2,$A18)</f>
        <v>3.78383611815641</v>
      </c>
    </row>
    <row r="19" customFormat="false" ht="12.8" hidden="false" customHeight="false" outlineLevel="0" collapsed="false">
      <c r="A19" s="0" t="n">
        <v>0.01433075379762</v>
      </c>
      <c r="B19" s="0" t="n">
        <f aca="false">MY_PS(B$2,$A19)</f>
        <v>2015</v>
      </c>
      <c r="C19" s="0" t="n">
        <f aca="false">MY_PS(C$2,$A19)</f>
        <v>2015</v>
      </c>
      <c r="D19" s="0" t="n">
        <f aca="false">MY_PS(D$2,$A19)</f>
        <v>3.80043655354099</v>
      </c>
      <c r="E19" s="0" t="n">
        <f aca="false">MY_PS(E$2,$A19)</f>
        <v>3.80043610563511</v>
      </c>
      <c r="F19" s="0" t="n">
        <f aca="false">MY_PS(F$2,$A19)</f>
        <v>3.80043565772954</v>
      </c>
      <c r="G19" s="0" t="n">
        <f aca="false">MY_PS(G$2,$A19)</f>
        <v>3.80043117868893</v>
      </c>
      <c r="H19" s="0" t="n">
        <f aca="false">MY_PS(H$2,$A19)</f>
        <v>3.80042669967565</v>
      </c>
      <c r="I19" s="0" t="n">
        <f aca="false">MY_PS(I$2,$A19)</f>
        <v>3.80042222068969</v>
      </c>
      <c r="J19" s="0" t="n">
        <f aca="false">MY_PS(J$2,$A19)</f>
        <v>3.80041774173117</v>
      </c>
      <c r="K19" s="0" t="n">
        <f aca="false">MY_PS(K$2,$A19)</f>
        <v>3.80041326279986</v>
      </c>
      <c r="L19" s="0" t="n">
        <f aca="false">MY_PS(L$2,$A19)</f>
        <v>3.80040878389595</v>
      </c>
      <c r="M19" s="0" t="n">
        <f aca="false">MY_PS(M$2,$A19)</f>
        <v>3.80040430501943</v>
      </c>
      <c r="N19" s="0" t="n">
        <f aca="false">MY_PS(N$2,$A19)</f>
        <v>3.80039982617017</v>
      </c>
      <c r="O19" s="0" t="n">
        <f aca="false">MY_PS(O$2,$A19)</f>
        <v>3.80039534734826</v>
      </c>
      <c r="P19" s="0" t="n">
        <f aca="false">MY_PS(P$2,$A19)</f>
        <v>3.800350560633</v>
      </c>
      <c r="Q19" s="0" t="n">
        <f aca="false">MY_PS(Q$2,$A19)</f>
        <v>3.80030577665168</v>
      </c>
      <c r="R19" s="0" t="n">
        <f aca="false">MY_PS(R$2,$A19)</f>
        <v>3.80026099540435</v>
      </c>
      <c r="S19" s="0" t="n">
        <f aca="false">MY_PS(S$2,$A19)</f>
        <v>3.80021621689108</v>
      </c>
      <c r="T19" s="0" t="n">
        <f aca="false">MY_PS(T$2,$A19)</f>
        <v>3.8001714411118</v>
      </c>
      <c r="U19" s="0" t="n">
        <f aca="false">MY_PS(U$2,$A19)</f>
        <v>3.80012666806661</v>
      </c>
      <c r="V19" s="0" t="n">
        <f aca="false">MY_PS(V$2,$A19)</f>
        <v>3.80008189775551</v>
      </c>
      <c r="W19" s="0" t="n">
        <f aca="false">MY_PS(W$2,$A19)</f>
        <v>3.8000371301785</v>
      </c>
      <c r="X19" s="0" t="n">
        <f aca="false">MY_PS(X$2,$A19)</f>
        <v>3.7999923653357</v>
      </c>
      <c r="Y19" s="0" t="n">
        <f aca="false">MY_PS(Y$2,$A19)</f>
        <v>3.79954486729016</v>
      </c>
      <c r="Z19" s="0" t="n">
        <f aca="false">MY_PS(Z$2,$A19)</f>
        <v>3.79909764268431</v>
      </c>
      <c r="AA19" s="0" t="n">
        <f aca="false">MY_PS(AA$2,$A19)</f>
        <v>3.79865069154094</v>
      </c>
      <c r="AB19" s="0" t="n">
        <f aca="false">MY_PS(AB$2,$A19)</f>
        <v>3.79820401388221</v>
      </c>
      <c r="AC19" s="0" t="n">
        <f aca="false">MY_PS(AC$2,$A19)</f>
        <v>3.79775760972972</v>
      </c>
      <c r="AD19" s="0" t="n">
        <f aca="false">MY_PS(AD$2,$A19)</f>
        <v>3.79731147910432</v>
      </c>
      <c r="AE19" s="0" t="n">
        <f aca="false">MY_PS(AE$2,$A19)</f>
        <v>3.79686562202647</v>
      </c>
      <c r="AF19" s="0" t="n">
        <f aca="false">MY_PS(AF$2,$A19)</f>
        <v>3.79642003851594</v>
      </c>
      <c r="AG19" s="0" t="n">
        <f aca="false">MY_PS(AG$2,$A19)</f>
        <v>3.79597472859185</v>
      </c>
      <c r="AH19" s="0" t="n">
        <f aca="false">MY_PS(AH$2,$A19)</f>
        <v>3.79153668039284</v>
      </c>
      <c r="AI19" s="0" t="n">
        <f aca="false">MY_PS(AI$2,$A19)</f>
        <v>3.78712600749484</v>
      </c>
      <c r="AJ19" s="0" t="n">
        <f aca="false">MY_PS(AJ$2,$A19)</f>
        <v>3.78274271932799</v>
      </c>
      <c r="AK19" s="0" t="n">
        <f aca="false">MY_PS(AK$2,$A19)</f>
        <v>3.77838681958109</v>
      </c>
      <c r="AL19" s="0" t="n">
        <f aca="false">MY_PS(AL$2,$A19)</f>
        <v>3.77405830632346</v>
      </c>
      <c r="AM19" s="0" t="n">
        <f aca="false">MY_PS(AM$2,$A19)</f>
        <v>3.76975717212387</v>
      </c>
      <c r="AN19" s="0" t="n">
        <f aca="false">MY_PS(AN$2,$A19)</f>
        <v>3.76548340416889</v>
      </c>
      <c r="AO19" s="0" t="n">
        <f aca="false">MY_PS(AO$2,$A19)</f>
        <v>3.76123698437862</v>
      </c>
      <c r="AP19" s="0" t="n">
        <f aca="false">MY_PS(AP$2,$A19)</f>
        <v>3.75701788952152</v>
      </c>
      <c r="AQ19" s="0" t="n">
        <f aca="false">MY_PS(AQ$2,$A19)</f>
        <v>3.71632123846623</v>
      </c>
      <c r="AR19" s="0" t="n">
        <f aca="false">MY_PS(AR$2,$A19)</f>
        <v>3.70825696950921</v>
      </c>
      <c r="AS19" s="0" t="n">
        <f aca="false">MY_PS(AS$2,$A19)</f>
        <v>3.70559112165216</v>
      </c>
    </row>
    <row r="20" customFormat="false" ht="12.8" hidden="false" customHeight="false" outlineLevel="0" collapsed="false">
      <c r="A20" s="0" t="n">
        <v>0.01671921276389</v>
      </c>
      <c r="B20" s="0" t="n">
        <f aca="false">MY_PS(B$2,$A20)</f>
        <v>2015</v>
      </c>
      <c r="C20" s="0" t="n">
        <f aca="false">MY_PS(C$2,$A20)</f>
        <v>2015</v>
      </c>
      <c r="D20" s="0" t="n">
        <f aca="false">MY_PS(D$2,$A20)</f>
        <v>2015</v>
      </c>
      <c r="E20" s="0" t="n">
        <f aca="false">MY_PS(E$2,$A20)</f>
        <v>3.72075658777986</v>
      </c>
      <c r="F20" s="0" t="n">
        <f aca="false">MY_PS(F$2,$A20)</f>
        <v>3.72075615792529</v>
      </c>
      <c r="G20" s="0" t="n">
        <f aca="false">MY_PS(G$2,$A20)</f>
        <v>3.72075185939433</v>
      </c>
      <c r="H20" s="0" t="n">
        <f aca="false">MY_PS(H$2,$A20)</f>
        <v>3.72074756088964</v>
      </c>
      <c r="I20" s="0" t="n">
        <f aca="false">MY_PS(I$2,$A20)</f>
        <v>3.72074326241118</v>
      </c>
      <c r="J20" s="0" t="n">
        <f aca="false">MY_PS(J$2,$A20)</f>
        <v>3.72073896395886</v>
      </c>
      <c r="K20" s="0" t="n">
        <f aca="false">MY_PS(K$2,$A20)</f>
        <v>3.72073466553285</v>
      </c>
      <c r="L20" s="0" t="n">
        <f aca="false">MY_PS(L$2,$A20)</f>
        <v>3.72073036713303</v>
      </c>
      <c r="M20" s="0" t="n">
        <f aca="false">MY_PS(M$2,$A20)</f>
        <v>3.72072606875948</v>
      </c>
      <c r="N20" s="0" t="n">
        <f aca="false">MY_PS(N$2,$A20)</f>
        <v>3.72072177041208</v>
      </c>
      <c r="O20" s="0" t="n">
        <f aca="false">MY_PS(O$2,$A20)</f>
        <v>3.72071747209097</v>
      </c>
      <c r="P20" s="0" t="n">
        <f aca="false">MY_PS(P$2,$A20)</f>
        <v>3.72067449032226</v>
      </c>
      <c r="Q20" s="0" t="n">
        <f aca="false">MY_PS(Q$2,$A20)</f>
        <v>3.72063151117645</v>
      </c>
      <c r="R20" s="0" t="n">
        <f aca="false">MY_PS(R$2,$A20)</f>
        <v>3.7205885346534</v>
      </c>
      <c r="S20" s="0" t="n">
        <f aca="false">MY_PS(S$2,$A20)</f>
        <v>3.72054556075335</v>
      </c>
      <c r="T20" s="0" t="n">
        <f aca="false">MY_PS(T$2,$A20)</f>
        <v>3.72050258947617</v>
      </c>
      <c r="U20" s="0" t="n">
        <f aca="false">MY_PS(U$2,$A20)</f>
        <v>3.72045962082195</v>
      </c>
      <c r="V20" s="0" t="n">
        <f aca="false">MY_PS(V$2,$A20)</f>
        <v>3.7204166547907</v>
      </c>
      <c r="W20" s="0" t="n">
        <f aca="false">MY_PS(W$2,$A20)</f>
        <v>3.72037369138242</v>
      </c>
      <c r="X20" s="0" t="n">
        <f aca="false">MY_PS(X$2,$A20)</f>
        <v>3.72033073059715</v>
      </c>
      <c r="Y20" s="0" t="n">
        <f aca="false">MY_PS(Y$2,$A20)</f>
        <v>3.71990126701398</v>
      </c>
      <c r="Z20" s="0" t="n">
        <f aca="false">MY_PS(Z$2,$A20)</f>
        <v>3.71947206575351</v>
      </c>
      <c r="AA20" s="0" t="n">
        <f aca="false">MY_PS(AA$2,$A20)</f>
        <v>3.71904312683532</v>
      </c>
      <c r="AB20" s="0" t="n">
        <f aca="false">MY_PS(AB$2,$A20)</f>
        <v>3.71861445027872</v>
      </c>
      <c r="AC20" s="0" t="n">
        <f aca="false">MY_PS(AC$2,$A20)</f>
        <v>3.71818603610231</v>
      </c>
      <c r="AD20" s="0" t="n">
        <f aca="false">MY_PS(AD$2,$A20)</f>
        <v>3.71775788432399</v>
      </c>
      <c r="AE20" s="0" t="n">
        <f aca="false">MY_PS(AE$2,$A20)</f>
        <v>3.7173299949614</v>
      </c>
      <c r="AF20" s="0" t="n">
        <f aca="false">MY_PS(AF$2,$A20)</f>
        <v>3.71690236803135</v>
      </c>
      <c r="AG20" s="0" t="n">
        <f aca="false">MY_PS(AG$2,$A20)</f>
        <v>3.71647500355015</v>
      </c>
      <c r="AH20" s="0" t="n">
        <f aca="false">MY_PS(AH$2,$A20)</f>
        <v>3.71221579661876</v>
      </c>
      <c r="AI20" s="0" t="n">
        <f aca="false">MY_PS(AI$2,$A20)</f>
        <v>3.70798284838039</v>
      </c>
      <c r="AJ20" s="0" t="n">
        <f aca="false">MY_PS(AJ$2,$A20)</f>
        <v>3.70377616599591</v>
      </c>
      <c r="AK20" s="0" t="n">
        <f aca="false">MY_PS(AK$2,$A20)</f>
        <v>3.69959575121064</v>
      </c>
      <c r="AL20" s="0" t="n">
        <f aca="false">MY_PS(AL$2,$A20)</f>
        <v>3.69544160046815</v>
      </c>
      <c r="AM20" s="0" t="n">
        <f aca="false">MY_PS(AM$2,$A20)</f>
        <v>3.6913137050219</v>
      </c>
      <c r="AN20" s="0" t="n">
        <f aca="false">MY_PS(AN$2,$A20)</f>
        <v>3.68721205104668</v>
      </c>
      <c r="AO20" s="0" t="n">
        <f aca="false">MY_PS(AO$2,$A20)</f>
        <v>3.68313661974687</v>
      </c>
      <c r="AP20" s="0" t="n">
        <f aca="false">MY_PS(AP$2,$A20)</f>
        <v>3.67908738746424</v>
      </c>
      <c r="AQ20" s="0" t="n">
        <f aca="false">MY_PS(AQ$2,$A20)</f>
        <v>3.64002753596928</v>
      </c>
      <c r="AR20" s="0" t="n">
        <f aca="false">MY_PS(AR$2,$A20)</f>
        <v>3.63228716975133</v>
      </c>
      <c r="AS20" s="0" t="n">
        <f aca="false">MY_PS(AS$2,$A20)</f>
        <v>3.62972835871552</v>
      </c>
    </row>
    <row r="21" customFormat="false" ht="12.8" hidden="false" customHeight="false" outlineLevel="0" collapsed="false">
      <c r="A21" s="0" t="n">
        <v>0.01910767173016</v>
      </c>
      <c r="B21" s="0" t="n">
        <f aca="false">MY_PS(B$2,$A21)</f>
        <v>2015</v>
      </c>
      <c r="C21" s="0" t="n">
        <f aca="false">MY_PS(C$2,$A21)</f>
        <v>2015</v>
      </c>
      <c r="D21" s="0" t="n">
        <f aca="false">MY_PS(D$2,$A21)</f>
        <v>2015</v>
      </c>
      <c r="E21" s="0" t="n">
        <f aca="false">MY_PS(E$2,$A21)</f>
        <v>3.6435427032696</v>
      </c>
      <c r="F21" s="0" t="n">
        <f aca="false">MY_PS(F$2,$A21)</f>
        <v>3.64354229060587</v>
      </c>
      <c r="G21" s="0" t="n">
        <f aca="false">MY_PS(G$2,$A21)</f>
        <v>3.64353816398272</v>
      </c>
      <c r="H21" s="0" t="n">
        <f aca="false">MY_PS(H$2,$A21)</f>
        <v>3.64353403738472</v>
      </c>
      <c r="I21" s="0" t="n">
        <f aca="false">MY_PS(I$2,$A21)</f>
        <v>3.6435299108119</v>
      </c>
      <c r="J21" s="0" t="n">
        <f aca="false">MY_PS(J$2,$A21)</f>
        <v>3.64352578426419</v>
      </c>
      <c r="K21" s="0" t="n">
        <f aca="false">MY_PS(K$2,$A21)</f>
        <v>3.64352165774178</v>
      </c>
      <c r="L21" s="0" t="n">
        <f aca="false">MY_PS(L$2,$A21)</f>
        <v>3.64351753124449</v>
      </c>
      <c r="M21" s="0" t="n">
        <f aca="false">MY_PS(M$2,$A21)</f>
        <v>3.64351340477238</v>
      </c>
      <c r="N21" s="0" t="n">
        <f aca="false">MY_PS(N$2,$A21)</f>
        <v>3.64350927832541</v>
      </c>
      <c r="O21" s="0" t="n">
        <f aca="false">MY_PS(O$2,$A21)</f>
        <v>3.64350515190366</v>
      </c>
      <c r="P21" s="0" t="n">
        <f aca="false">MY_PS(P$2,$A21)</f>
        <v>3.64346388907089</v>
      </c>
      <c r="Q21" s="0" t="n">
        <f aca="false">MY_PS(Q$2,$A21)</f>
        <v>3.64342262875601</v>
      </c>
      <c r="R21" s="0" t="n">
        <f aca="false">MY_PS(R$2,$A21)</f>
        <v>3.64338137095904</v>
      </c>
      <c r="S21" s="0" t="n">
        <f aca="false">MY_PS(S$2,$A21)</f>
        <v>3.64334011567992</v>
      </c>
      <c r="T21" s="0" t="n">
        <f aca="false">MY_PS(T$2,$A21)</f>
        <v>3.64329886291876</v>
      </c>
      <c r="U21" s="0" t="n">
        <f aca="false">MY_PS(U$2,$A21)</f>
        <v>3.64325761267559</v>
      </c>
      <c r="V21" s="0" t="n">
        <f aca="false">MY_PS(V$2,$A21)</f>
        <v>3.64321636495033</v>
      </c>
      <c r="W21" s="0" t="n">
        <f aca="false">MY_PS(W$2,$A21)</f>
        <v>3.64317511974304</v>
      </c>
      <c r="X21" s="0" t="n">
        <f aca="false">MY_PS(X$2,$A21)</f>
        <v>3.64313387705382</v>
      </c>
      <c r="Y21" s="0" t="n">
        <f aca="false">MY_PS(Y$2,$A21)</f>
        <v>3.64272158865527</v>
      </c>
      <c r="Z21" s="0" t="n">
        <f aca="false">MY_PS(Z$2,$A21)</f>
        <v>3.64230955207617</v>
      </c>
      <c r="AA21" s="0" t="n">
        <f aca="false">MY_PS(AA$2,$A21)</f>
        <v>3.64189776733338</v>
      </c>
      <c r="AB21" s="0" t="n">
        <f aca="false">MY_PS(AB$2,$A21)</f>
        <v>3.64148623444342</v>
      </c>
      <c r="AC21" s="0" t="n">
        <f aca="false">MY_PS(AC$2,$A21)</f>
        <v>3.64107495342207</v>
      </c>
      <c r="AD21" s="0" t="n">
        <f aca="false">MY_PS(AD$2,$A21)</f>
        <v>3.64066392428484</v>
      </c>
      <c r="AE21" s="0" t="n">
        <f aca="false">MY_PS(AE$2,$A21)</f>
        <v>3.64025314704635</v>
      </c>
      <c r="AF21" s="0" t="n">
        <f aca="false">MY_PS(AF$2,$A21)</f>
        <v>3.63984262172101</v>
      </c>
      <c r="AG21" s="0" t="n">
        <f aca="false">MY_PS(AG$2,$A21)</f>
        <v>3.63943234832253</v>
      </c>
      <c r="AH21" s="0" t="n">
        <f aca="false">MY_PS(AH$2,$A21)</f>
        <v>3.63534347295644</v>
      </c>
      <c r="AI21" s="0" t="n">
        <f aca="false">MY_PS(AI$2,$A21)</f>
        <v>3.63127980145704</v>
      </c>
      <c r="AJ21" s="0" t="n">
        <f aca="false">MY_PS(AJ$2,$A21)</f>
        <v>3.62724133890506</v>
      </c>
      <c r="AK21" s="0" t="n">
        <f aca="false">MY_PS(AK$2,$A21)</f>
        <v>3.62322808526926</v>
      </c>
      <c r="AL21" s="0" t="n">
        <f aca="false">MY_PS(AL$2,$A21)</f>
        <v>3.6192400355135</v>
      </c>
      <c r="AM21" s="0" t="n">
        <f aca="false">MY_PS(AM$2,$A21)</f>
        <v>3.61527717970174</v>
      </c>
      <c r="AN21" s="0" t="n">
        <f aca="false">MY_PS(AN$2,$A21)</f>
        <v>3.61133950310236</v>
      </c>
      <c r="AO21" s="0" t="n">
        <f aca="false">MY_PS(AO$2,$A21)</f>
        <v>3.60742698628974</v>
      </c>
      <c r="AP21" s="0" t="n">
        <f aca="false">MY_PS(AP$2,$A21)</f>
        <v>3.60353960524563</v>
      </c>
      <c r="AQ21" s="0" t="n">
        <f aca="false">MY_PS(AQ$2,$A21)</f>
        <v>3.56603988862527</v>
      </c>
      <c r="AR21" s="0" t="n">
        <f aca="false">MY_PS(AR$2,$A21)</f>
        <v>3.55860838001946</v>
      </c>
      <c r="AS21" s="0" t="n">
        <f aca="false">MY_PS(AS$2,$A21)</f>
        <v>3.55615164398598</v>
      </c>
    </row>
    <row r="22" customFormat="false" ht="12.8" hidden="false" customHeight="false" outlineLevel="0" collapsed="false">
      <c r="A22" s="0" t="n">
        <v>0.02149613069643</v>
      </c>
      <c r="B22" s="0" t="n">
        <f aca="false">MY_PS(B$2,$A22)</f>
        <v>2015</v>
      </c>
      <c r="C22" s="0" t="n">
        <f aca="false">MY_PS(C$2,$A22)</f>
        <v>2015</v>
      </c>
      <c r="D22" s="0" t="n">
        <f aca="false">MY_PS(D$2,$A22)</f>
        <v>2015</v>
      </c>
      <c r="E22" s="0" t="n">
        <f aca="false">MY_PS(E$2,$A22)</f>
        <v>2015</v>
      </c>
      <c r="F22" s="0" t="n">
        <f aca="false">MY_PS(F$2,$A22)</f>
        <v>3.5686921634564</v>
      </c>
      <c r="G22" s="0" t="n">
        <f aca="false">MY_PS(G$2,$A22)</f>
        <v>3.56868820064936</v>
      </c>
      <c r="H22" s="0" t="n">
        <f aca="false">MY_PS(H$2,$A22)</f>
        <v>3.56868423786646</v>
      </c>
      <c r="I22" s="0" t="n">
        <f aca="false">MY_PS(I$2,$A22)</f>
        <v>3.56868027510779</v>
      </c>
      <c r="J22" s="0" t="n">
        <f aca="false">MY_PS(J$2,$A22)</f>
        <v>3.56867631237332</v>
      </c>
      <c r="K22" s="0" t="n">
        <f aca="false">MY_PS(K$2,$A22)</f>
        <v>3.56867234966302</v>
      </c>
      <c r="L22" s="0" t="n">
        <f aca="false">MY_PS(L$2,$A22)</f>
        <v>3.56866838697687</v>
      </c>
      <c r="M22" s="0" t="n">
        <f aca="false">MY_PS(M$2,$A22)</f>
        <v>3.56866442431495</v>
      </c>
      <c r="N22" s="0" t="n">
        <f aca="false">MY_PS(N$2,$A22)</f>
        <v>3.5686604616772</v>
      </c>
      <c r="O22" s="0" t="n">
        <f aca="false">MY_PS(O$2,$A22)</f>
        <v>3.56865649906368</v>
      </c>
      <c r="P22" s="0" t="n">
        <f aca="false">MY_PS(P$2,$A22)</f>
        <v>3.56861687425832</v>
      </c>
      <c r="Q22" s="0" t="n">
        <f aca="false">MY_PS(Q$2,$A22)</f>
        <v>3.56857725187152</v>
      </c>
      <c r="R22" s="0" t="n">
        <f aca="false">MY_PS(R$2,$A22)</f>
        <v>3.56853763190347</v>
      </c>
      <c r="S22" s="0" t="n">
        <f aca="false">MY_PS(S$2,$A22)</f>
        <v>3.56849801435395</v>
      </c>
      <c r="T22" s="0" t="n">
        <f aca="false">MY_PS(T$2,$A22)</f>
        <v>3.56845839922318</v>
      </c>
      <c r="U22" s="0" t="n">
        <f aca="false">MY_PS(U$2,$A22)</f>
        <v>3.56841878651107</v>
      </c>
      <c r="V22" s="0" t="n">
        <f aca="false">MY_PS(V$2,$A22)</f>
        <v>3.56837917621765</v>
      </c>
      <c r="W22" s="0" t="n">
        <f aca="false">MY_PS(W$2,$A22)</f>
        <v>3.56833956834295</v>
      </c>
      <c r="X22" s="0" t="n">
        <f aca="false">MY_PS(X$2,$A22)</f>
        <v>3.56829996288694</v>
      </c>
      <c r="Y22" s="0" t="n">
        <f aca="false">MY_PS(Y$2,$A22)</f>
        <v>3.56790404136037</v>
      </c>
      <c r="Z22" s="0" t="n">
        <f aca="false">MY_PS(Z$2,$A22)</f>
        <v>3.56750836172274</v>
      </c>
      <c r="AA22" s="0" t="n">
        <f aca="false">MY_PS(AA$2,$A22)</f>
        <v>3.56711292398849</v>
      </c>
      <c r="AB22" s="0" t="n">
        <f aca="false">MY_PS(AB$2,$A22)</f>
        <v>3.56671772817146</v>
      </c>
      <c r="AC22" s="0" t="n">
        <f aca="false">MY_PS(AC$2,$A22)</f>
        <v>3.56632277428509</v>
      </c>
      <c r="AD22" s="0" t="n">
        <f aca="false">MY_PS(AD$2,$A22)</f>
        <v>3.56592806234229</v>
      </c>
      <c r="AE22" s="0" t="n">
        <f aca="false">MY_PS(AE$2,$A22)</f>
        <v>3.56553359235534</v>
      </c>
      <c r="AF22" s="0" t="n">
        <f aca="false">MY_PS(AF$2,$A22)</f>
        <v>3.56513936433604</v>
      </c>
      <c r="AG22" s="0" t="n">
        <f aca="false">MY_PS(AG$2,$A22)</f>
        <v>3.56474537829591</v>
      </c>
      <c r="AH22" s="0" t="n">
        <f aca="false">MY_PS(AH$2,$A22)</f>
        <v>3.56081882888097</v>
      </c>
      <c r="AI22" s="0" t="n">
        <f aca="false">MY_PS(AI$2,$A22)</f>
        <v>3.55691648614578</v>
      </c>
      <c r="AJ22" s="0" t="n">
        <f aca="false">MY_PS(AJ$2,$A22)</f>
        <v>3.55303835326336</v>
      </c>
      <c r="AK22" s="0" t="n">
        <f aca="false">MY_PS(AK$2,$A22)</f>
        <v>3.54918442857829</v>
      </c>
      <c r="AL22" s="0" t="n">
        <f aca="false">MY_PS(AL$2,$A22)</f>
        <v>3.5453547057077</v>
      </c>
      <c r="AM22" s="0" t="n">
        <f aca="false">MY_PS(AM$2,$A22)</f>
        <v>3.54154917363982</v>
      </c>
      <c r="AN22" s="0" t="n">
        <f aca="false">MY_PS(AN$2,$A22)</f>
        <v>3.53776781683146</v>
      </c>
      <c r="AO22" s="0" t="n">
        <f aca="false">MY_PS(AO$2,$A22)</f>
        <v>3.53401061530429</v>
      </c>
      <c r="AP22" s="0" t="n">
        <f aca="false">MY_PS(AP$2,$A22)</f>
        <v>3.53027754473935</v>
      </c>
      <c r="AQ22" s="0" t="n">
        <f aca="false">MY_PS(AQ$2,$A22)</f>
        <v>3.49426577103071</v>
      </c>
      <c r="AR22" s="0" t="n">
        <f aca="false">MY_PS(AR$2,$A22)</f>
        <v>3.48712894536711</v>
      </c>
      <c r="AS22" s="0" t="n">
        <f aca="false">MY_PS(AS$2,$A22)</f>
        <v>3.48476960900269</v>
      </c>
    </row>
    <row r="23" customFormat="false" ht="12.8" hidden="false" customHeight="false" outlineLevel="0" collapsed="false">
      <c r="A23" s="0" t="n">
        <v>0.0238845896627</v>
      </c>
      <c r="B23" s="0" t="n">
        <f aca="false">MY_PS(B$2,$A23)</f>
        <v>2015</v>
      </c>
      <c r="C23" s="0" t="n">
        <f aca="false">MY_PS(C$2,$A23)</f>
        <v>2015</v>
      </c>
      <c r="D23" s="0" t="n">
        <f aca="false">MY_PS(D$2,$A23)</f>
        <v>2015</v>
      </c>
      <c r="E23" s="0" t="n">
        <f aca="false">MY_PS(E$2,$A23)</f>
        <v>2015</v>
      </c>
      <c r="F23" s="0" t="n">
        <f aca="false">MY_PS(F$2,$A23)</f>
        <v>3.49610915367225</v>
      </c>
      <c r="G23" s="0" t="n">
        <f aca="false">MY_PS(G$2,$A23)</f>
        <v>3.49610534706382</v>
      </c>
      <c r="H23" s="0" t="n">
        <f aca="false">MY_PS(H$2,$A23)</f>
        <v>3.49610154047868</v>
      </c>
      <c r="I23" s="0" t="n">
        <f aca="false">MY_PS(I$2,$A23)</f>
        <v>3.49609773391676</v>
      </c>
      <c r="J23" s="0" t="n">
        <f aca="false">MY_PS(J$2,$A23)</f>
        <v>3.49609392737815</v>
      </c>
      <c r="K23" s="0" t="n">
        <f aca="false">MY_PS(K$2,$A23)</f>
        <v>3.49609012086269</v>
      </c>
      <c r="L23" s="0" t="n">
        <f aca="false">MY_PS(L$2,$A23)</f>
        <v>3.49608631437057</v>
      </c>
      <c r="M23" s="0" t="n">
        <f aca="false">MY_PS(M$2,$A23)</f>
        <v>3.49608250790164</v>
      </c>
      <c r="N23" s="0" t="n">
        <f aca="false">MY_PS(N$2,$A23)</f>
        <v>3.49607870145597</v>
      </c>
      <c r="O23" s="0" t="n">
        <f aca="false">MY_PS(O$2,$A23)</f>
        <v>3.49607489503358</v>
      </c>
      <c r="P23" s="0" t="n">
        <f aca="false">MY_PS(P$2,$A23)</f>
        <v>3.496036832088</v>
      </c>
      <c r="Q23" s="0" t="n">
        <f aca="false">MY_PS(Q$2,$A23)</f>
        <v>3.49599877146713</v>
      </c>
      <c r="R23" s="0" t="n">
        <f aca="false">MY_PS(R$2,$A23)</f>
        <v>3.4959607131709</v>
      </c>
      <c r="S23" s="0" t="n">
        <f aca="false">MY_PS(S$2,$A23)</f>
        <v>3.49592265719951</v>
      </c>
      <c r="T23" s="0" t="n">
        <f aca="false">MY_PS(T$2,$A23)</f>
        <v>3.49588460355278</v>
      </c>
      <c r="U23" s="0" t="n">
        <f aca="false">MY_PS(U$2,$A23)</f>
        <v>3.4958465522309</v>
      </c>
      <c r="V23" s="0" t="n">
        <f aca="false">MY_PS(V$2,$A23)</f>
        <v>3.49580850323373</v>
      </c>
      <c r="W23" s="0" t="n">
        <f aca="false">MY_PS(W$2,$A23)</f>
        <v>3.49577045656135</v>
      </c>
      <c r="X23" s="0" t="n">
        <f aca="false">MY_PS(X$2,$A23)</f>
        <v>3.49573241221372</v>
      </c>
      <c r="Y23" s="0" t="n">
        <f aca="false">MY_PS(Y$2,$A23)</f>
        <v>3.49535209660449</v>
      </c>
      <c r="Z23" s="0" t="n">
        <f aca="false">MY_PS(Z$2,$A23)</f>
        <v>3.49497201348859</v>
      </c>
      <c r="AA23" s="0" t="n">
        <f aca="false">MY_PS(AA$2,$A23)</f>
        <v>3.49459216287811</v>
      </c>
      <c r="AB23" s="0" t="n">
        <f aca="false">MY_PS(AB$2,$A23)</f>
        <v>3.49421254478449</v>
      </c>
      <c r="AC23" s="0" t="n">
        <f aca="false">MY_PS(AC$2,$A23)</f>
        <v>3.49383315921897</v>
      </c>
      <c r="AD23" s="0" t="n">
        <f aca="false">MY_PS(AD$2,$A23)</f>
        <v>3.49345400619203</v>
      </c>
      <c r="AE23" s="0" t="n">
        <f aca="false">MY_PS(AE$2,$A23)</f>
        <v>3.49307508571374</v>
      </c>
      <c r="AF23" s="0" t="n">
        <f aca="false">MY_PS(AF$2,$A23)</f>
        <v>3.49269639779381</v>
      </c>
      <c r="AG23" s="0" t="n">
        <f aca="false">MY_PS(AG$2,$A23)</f>
        <v>3.49231794244134</v>
      </c>
      <c r="AH23" s="0" t="n">
        <f aca="false">MY_PS(AH$2,$A23)</f>
        <v>3.48854618180098</v>
      </c>
      <c r="AI23" s="0" t="n">
        <f aca="false">MY_PS(AI$2,$A23)</f>
        <v>3.48479768446406</v>
      </c>
      <c r="AJ23" s="0" t="n">
        <f aca="false">MY_PS(AJ$2,$A23)</f>
        <v>3.48107245185333</v>
      </c>
      <c r="AK23" s="0" t="n">
        <f aca="false">MY_PS(AK$2,$A23)</f>
        <v>3.47737048082846</v>
      </c>
      <c r="AL23" s="0" t="n">
        <f aca="false">MY_PS(AL$2,$A23)</f>
        <v>3.47369176378043</v>
      </c>
      <c r="AM23" s="0" t="n">
        <f aca="false">MY_PS(AM$2,$A23)</f>
        <v>3.47003628872488</v>
      </c>
      <c r="AN23" s="0" t="n">
        <f aca="false">MY_PS(AN$2,$A23)</f>
        <v>3.4664040393933</v>
      </c>
      <c r="AO23" s="0" t="n">
        <f aca="false">MY_PS(AO$2,$A23)</f>
        <v>3.46279499532364</v>
      </c>
      <c r="AP23" s="0" t="n">
        <f aca="false">MY_PS(AP$2,$A23)</f>
        <v>3.45920913194905</v>
      </c>
      <c r="AQ23" s="0" t="n">
        <f aca="false">MY_PS(AQ$2,$A23)</f>
        <v>3.42461726864044</v>
      </c>
      <c r="AR23" s="0" t="n">
        <f aca="false">MY_PS(AR$2,$A23)</f>
        <v>3.41776176108091</v>
      </c>
      <c r="AS23" s="0" t="n">
        <f aca="false">MY_PS(AS$2,$A23)</f>
        <v>3.41549541561321</v>
      </c>
    </row>
    <row r="24" customFormat="false" ht="12.8" hidden="false" customHeight="false" outlineLevel="0" collapsed="false">
      <c r="A24" s="0" t="n">
        <v>0.0477691793254</v>
      </c>
      <c r="B24" s="0" t="n">
        <f aca="false">MY_PS(B$2,$A24)</f>
        <v>2015</v>
      </c>
      <c r="C24" s="0" t="n">
        <f aca="false">MY_PS(C$2,$A24)</f>
        <v>2015</v>
      </c>
      <c r="D24" s="0" t="n">
        <f aca="false">MY_PS(D$2,$A24)</f>
        <v>2015</v>
      </c>
      <c r="E24" s="0" t="n">
        <f aca="false">MY_PS(E$2,$A24)</f>
        <v>2015</v>
      </c>
      <c r="F24" s="0" t="n">
        <f aca="false">MY_PS(F$2,$A24)</f>
        <v>2015</v>
      </c>
      <c r="G24" s="0" t="n">
        <f aca="false">MY_PS(G$2,$A24)</f>
        <v>2.87688972684178</v>
      </c>
      <c r="H24" s="0" t="n">
        <f aca="false">MY_PS(H$2,$A24)</f>
        <v>2.87688714690732</v>
      </c>
      <c r="I24" s="0" t="n">
        <f aca="false">MY_PS(I$2,$A24)</f>
        <v>2.87688456698897</v>
      </c>
      <c r="J24" s="0" t="n">
        <f aca="false">MY_PS(J$2,$A24)</f>
        <v>2.87688198708675</v>
      </c>
      <c r="K24" s="0" t="n">
        <f aca="false">MY_PS(K$2,$A24)</f>
        <v>2.87687940720058</v>
      </c>
      <c r="L24" s="0" t="n">
        <f aca="false">MY_PS(L$2,$A24)</f>
        <v>2.8768768273306</v>
      </c>
      <c r="M24" s="0" t="n">
        <f aca="false">MY_PS(M$2,$A24)</f>
        <v>2.8768742474768</v>
      </c>
      <c r="N24" s="0" t="n">
        <f aca="false">MY_PS(N$2,$A24)</f>
        <v>2.87687166763913</v>
      </c>
      <c r="O24" s="0" t="n">
        <f aca="false">MY_PS(O$2,$A24)</f>
        <v>2.8768690878176</v>
      </c>
      <c r="P24" s="0" t="n">
        <f aca="false">MY_PS(P$2,$A24)</f>
        <v>2.87684329048948</v>
      </c>
      <c r="Q24" s="0" t="n">
        <f aca="false">MY_PS(Q$2,$A24)</f>
        <v>2.8768174947751</v>
      </c>
      <c r="R24" s="0" t="n">
        <f aca="false">MY_PS(R$2,$A24)</f>
        <v>2.87679170067438</v>
      </c>
      <c r="S24" s="0" t="n">
        <f aca="false">MY_PS(S$2,$A24)</f>
        <v>2.87676590818726</v>
      </c>
      <c r="T24" s="0" t="n">
        <f aca="false">MY_PS(T$2,$A24)</f>
        <v>2.87674011731386</v>
      </c>
      <c r="U24" s="0" t="n">
        <f aca="false">MY_PS(U$2,$A24)</f>
        <v>2.8767143280541</v>
      </c>
      <c r="V24" s="0" t="n">
        <f aca="false">MY_PS(V$2,$A24)</f>
        <v>2.87668854040799</v>
      </c>
      <c r="W24" s="0" t="n">
        <f aca="false">MY_PS(W$2,$A24)</f>
        <v>2.87666275437545</v>
      </c>
      <c r="X24" s="0" t="n">
        <f aca="false">MY_PS(X$2,$A24)</f>
        <v>2.87663696995664</v>
      </c>
      <c r="Y24" s="0" t="n">
        <f aca="false">MY_PS(Y$2,$A24)</f>
        <v>2.87637921451768</v>
      </c>
      <c r="Z24" s="0" t="n">
        <f aca="false">MY_PS(Z$2,$A24)</f>
        <v>2.8761216204391</v>
      </c>
      <c r="AA24" s="0" t="n">
        <f aca="false">MY_PS(AA$2,$A24)</f>
        <v>2.8758641877172</v>
      </c>
      <c r="AB24" s="0" t="n">
        <f aca="false">MY_PS(AB$2,$A24)</f>
        <v>2.87560691634809</v>
      </c>
      <c r="AC24" s="0" t="n">
        <f aca="false">MY_PS(AC$2,$A24)</f>
        <v>2.87534980632761</v>
      </c>
      <c r="AD24" s="0" t="n">
        <f aca="false">MY_PS(AD$2,$A24)</f>
        <v>2.8750928576512</v>
      </c>
      <c r="AE24" s="0" t="n">
        <f aca="false">MY_PS(AE$2,$A24)</f>
        <v>2.87483607031412</v>
      </c>
      <c r="AF24" s="0" t="n">
        <f aca="false">MY_PS(AF$2,$A24)</f>
        <v>2.87457944431135</v>
      </c>
      <c r="AG24" s="0" t="n">
        <f aca="false">MY_PS(AG$2,$A24)</f>
        <v>2.87432297963757</v>
      </c>
      <c r="AH24" s="0" t="n">
        <f aca="false">MY_PS(AH$2,$A24)</f>
        <v>2.87176720462244</v>
      </c>
      <c r="AI24" s="0" t="n">
        <f aca="false">MY_PS(AI$2,$A24)</f>
        <v>2.86922755459133</v>
      </c>
      <c r="AJ24" s="0" t="n">
        <f aca="false">MY_PS(AJ$2,$A24)</f>
        <v>2.86670401969027</v>
      </c>
      <c r="AK24" s="0" t="n">
        <f aca="false">MY_PS(AK$2,$A24)</f>
        <v>2.86419658738668</v>
      </c>
      <c r="AL24" s="0" t="n">
        <f aca="false">MY_PS(AL$2,$A24)</f>
        <v>2.86170524252221</v>
      </c>
      <c r="AM24" s="0" t="n">
        <f aca="false">MY_PS(AM$2,$A24)</f>
        <v>2.85922996736401</v>
      </c>
      <c r="AN24" s="0" t="n">
        <f aca="false">MY_PS(AN$2,$A24)</f>
        <v>2.85677074165561</v>
      </c>
      <c r="AO24" s="0" t="n">
        <f aca="false">MY_PS(AO$2,$A24)</f>
        <v>2.85432754266713</v>
      </c>
      <c r="AP24" s="0" t="n">
        <f aca="false">MY_PS(AP$2,$A24)</f>
        <v>2.85190034524464</v>
      </c>
      <c r="AQ24" s="0" t="n">
        <f aca="false">MY_PS(AQ$2,$A24)</f>
        <v>2.82850128531193</v>
      </c>
      <c r="AR24" s="0" t="n">
        <f aca="false">MY_PS(AR$2,$A24)</f>
        <v>2.8238672757547</v>
      </c>
      <c r="AS24" s="0" t="n">
        <f aca="false">MY_PS(AS$2,$A24)</f>
        <v>2.82233556738334</v>
      </c>
    </row>
    <row r="25" customFormat="false" ht="12.8" hidden="false" customHeight="false" outlineLevel="0" collapsed="false">
      <c r="A25" s="0" t="n">
        <v>0.0716537689881</v>
      </c>
      <c r="B25" s="0" t="n">
        <f aca="false">MY_PS(B$2,$A25)</f>
        <v>2015</v>
      </c>
      <c r="C25" s="0" t="n">
        <f aca="false">MY_PS(C$2,$A25)</f>
        <v>2015</v>
      </c>
      <c r="D25" s="0" t="n">
        <f aca="false">MY_PS(D$2,$A25)</f>
        <v>2015</v>
      </c>
      <c r="E25" s="0" t="n">
        <f aca="false">MY_PS(E$2,$A25)</f>
        <v>2015</v>
      </c>
      <c r="F25" s="0" t="n">
        <f aca="false">MY_PS(F$2,$A25)</f>
        <v>2015</v>
      </c>
      <c r="G25" s="0" t="n">
        <f aca="false">MY_PS(G$2,$A25)</f>
        <v>2015</v>
      </c>
      <c r="H25" s="0" t="n">
        <f aca="false">MY_PS(H$2,$A25)</f>
        <v>2.40713929342346</v>
      </c>
      <c r="I25" s="0" t="n">
        <f aca="false">MY_PS(I$2,$A25)</f>
        <v>2.40713751766206</v>
      </c>
      <c r="J25" s="0" t="n">
        <f aca="false">MY_PS(J$2,$A25)</f>
        <v>2.40713574191243</v>
      </c>
      <c r="K25" s="0" t="n">
        <f aca="false">MY_PS(K$2,$A25)</f>
        <v>2.40713396617456</v>
      </c>
      <c r="L25" s="0" t="n">
        <f aca="false">MY_PS(L$2,$A25)</f>
        <v>2.40713219044841</v>
      </c>
      <c r="M25" s="0" t="n">
        <f aca="false">MY_PS(M$2,$A25)</f>
        <v>2.40713041473406</v>
      </c>
      <c r="N25" s="0" t="n">
        <f aca="false">MY_PS(N$2,$A25)</f>
        <v>2.40712863903138</v>
      </c>
      <c r="O25" s="0" t="n">
        <f aca="false">MY_PS(O$2,$A25)</f>
        <v>2.40712686334049</v>
      </c>
      <c r="P25" s="0" t="n">
        <f aca="false">MY_PS(P$2,$A25)</f>
        <v>2.40710910707722</v>
      </c>
      <c r="Q25" s="0" t="n">
        <f aca="false">MY_PS(Q$2,$A25)</f>
        <v>2.40709135198821</v>
      </c>
      <c r="R25" s="0" t="n">
        <f aca="false">MY_PS(R$2,$A25)</f>
        <v>2.40707359807345</v>
      </c>
      <c r="S25" s="0" t="n">
        <f aca="false">MY_PS(S$2,$A25)</f>
        <v>2.40705584533291</v>
      </c>
      <c r="T25" s="0" t="n">
        <f aca="false">MY_PS(T$2,$A25)</f>
        <v>2.4070380937666</v>
      </c>
      <c r="U25" s="0" t="n">
        <f aca="false">MY_PS(U$2,$A25)</f>
        <v>2.40702034337448</v>
      </c>
      <c r="V25" s="0" t="n">
        <f aca="false">MY_PS(V$2,$A25)</f>
        <v>2.40700259415661</v>
      </c>
      <c r="W25" s="0" t="n">
        <f aca="false">MY_PS(W$2,$A25)</f>
        <v>2.40698484611284</v>
      </c>
      <c r="X25" s="0" t="n">
        <f aca="false">MY_PS(X$2,$A25)</f>
        <v>2.40696709924329</v>
      </c>
      <c r="Y25" s="0" t="n">
        <f aca="false">MY_PS(Y$2,$A25)</f>
        <v>2.40678969512523</v>
      </c>
      <c r="Z25" s="0" t="n">
        <f aca="false">MY_PS(Z$2,$A25)</f>
        <v>2.40661240841324</v>
      </c>
      <c r="AA25" s="0" t="n">
        <f aca="false">MY_PS(AA$2,$A25)</f>
        <v>2.40643523909657</v>
      </c>
      <c r="AB25" s="0" t="n">
        <f aca="false">MY_PS(AB$2,$A25)</f>
        <v>2.40625818716437</v>
      </c>
      <c r="AC25" s="0" t="n">
        <f aca="false">MY_PS(AC$2,$A25)</f>
        <v>2.40608125260543</v>
      </c>
      <c r="AD25" s="0" t="n">
        <f aca="false">MY_PS(AD$2,$A25)</f>
        <v>2.40590443540861</v>
      </c>
      <c r="AE25" s="0" t="n">
        <f aca="false">MY_PS(AE$2,$A25)</f>
        <v>2.4057277355624</v>
      </c>
      <c r="AF25" s="0" t="n">
        <f aca="false">MY_PS(AF$2,$A25)</f>
        <v>2.40555115305521</v>
      </c>
      <c r="AG25" s="0" t="n">
        <f aca="false">MY_PS(AG$2,$A25)</f>
        <v>2.40537468787532</v>
      </c>
      <c r="AH25" s="0" t="n">
        <f aca="false">MY_PS(AH$2,$A25)</f>
        <v>2.403616486361</v>
      </c>
      <c r="AI25" s="0" t="n">
        <f aca="false">MY_PS(AI$2,$A25)</f>
        <v>2.40187000334447</v>
      </c>
      <c r="AJ25" s="0" t="n">
        <f aca="false">MY_PS(AJ$2,$A25)</f>
        <v>2.40013522424363</v>
      </c>
      <c r="AK25" s="0" t="n">
        <f aca="false">MY_PS(AK$2,$A25)</f>
        <v>2.39841213281605</v>
      </c>
      <c r="AL25" s="0" t="n">
        <f aca="false">MY_PS(AL$2,$A25)</f>
        <v>2.39670071118965</v>
      </c>
      <c r="AM25" s="0" t="n">
        <f aca="false">MY_PS(AM$2,$A25)</f>
        <v>2.39500093989266</v>
      </c>
      <c r="AN25" s="0" t="n">
        <f aca="false">MY_PS(AN$2,$A25)</f>
        <v>2.3933127978835</v>
      </c>
      <c r="AO25" s="0" t="n">
        <f aca="false">MY_PS(AO$2,$A25)</f>
        <v>2.39163626258005</v>
      </c>
      <c r="AP25" s="0" t="n">
        <f aca="false">MY_PS(AP$2,$A25)</f>
        <v>2.38997130988844</v>
      </c>
      <c r="AQ25" s="0" t="n">
        <f aca="false">MY_PS(AQ$2,$A25)</f>
        <v>2.3739525007016</v>
      </c>
      <c r="AR25" s="0" t="n">
        <f aca="false">MY_PS(AR$2,$A25)</f>
        <v>2.37078726747839</v>
      </c>
      <c r="AS25" s="0" t="n">
        <f aca="false">MY_PS(AS$2,$A25)</f>
        <v>2.36974158914226</v>
      </c>
    </row>
    <row r="26" customFormat="false" ht="12.8" hidden="false" customHeight="false" outlineLevel="0" collapsed="false">
      <c r="A26" s="0" t="n">
        <v>0.0955383586508</v>
      </c>
      <c r="B26" s="0" t="n">
        <f aca="false">MY_PS(B$2,$A26)</f>
        <v>2015</v>
      </c>
      <c r="C26" s="0" t="n">
        <f aca="false">MY_PS(C$2,$A26)</f>
        <v>2015</v>
      </c>
      <c r="D26" s="0" t="n">
        <f aca="false">MY_PS(D$2,$A26)</f>
        <v>2015</v>
      </c>
      <c r="E26" s="0" t="n">
        <f aca="false">MY_PS(E$2,$A26)</f>
        <v>2015</v>
      </c>
      <c r="F26" s="0" t="n">
        <f aca="false">MY_PS(F$2,$A26)</f>
        <v>2015</v>
      </c>
      <c r="G26" s="0" t="n">
        <f aca="false">MY_PS(G$2,$A26)</f>
        <v>2015</v>
      </c>
      <c r="H26" s="0" t="n">
        <f aca="false">MY_PS(H$2,$A26)</f>
        <v>2015</v>
      </c>
      <c r="I26" s="0" t="n">
        <f aca="false">MY_PS(I$2,$A26)</f>
        <v>2.04212935437815</v>
      </c>
      <c r="J26" s="0" t="n">
        <f aca="false">MY_PS(J$2,$A26)</f>
        <v>2.04212812713111</v>
      </c>
      <c r="K26" s="0" t="n">
        <f aca="false">MY_PS(K$2,$A26)</f>
        <v>2.04212689989296</v>
      </c>
      <c r="L26" s="0" t="n">
        <f aca="false">MY_PS(L$2,$A26)</f>
        <v>2.04212567266363</v>
      </c>
      <c r="M26" s="0" t="n">
        <f aca="false">MY_PS(M$2,$A26)</f>
        <v>2.04212444544316</v>
      </c>
      <c r="N26" s="0" t="n">
        <f aca="false">MY_PS(N$2,$A26)</f>
        <v>2.04212321823154</v>
      </c>
      <c r="O26" s="0" t="n">
        <f aca="false">MY_PS(O$2,$A26)</f>
        <v>2.04212199102881</v>
      </c>
      <c r="P26" s="0" t="n">
        <f aca="false">MY_PS(P$2,$A26)</f>
        <v>2.04210971948802</v>
      </c>
      <c r="Q26" s="0" t="n">
        <f aca="false">MY_PS(Q$2,$A26)</f>
        <v>2.04209744883247</v>
      </c>
      <c r="R26" s="0" t="n">
        <f aca="false">MY_PS(R$2,$A26)</f>
        <v>2.04208517906213</v>
      </c>
      <c r="S26" s="0" t="n">
        <f aca="false">MY_PS(S$2,$A26)</f>
        <v>2.04207291017696</v>
      </c>
      <c r="T26" s="0" t="n">
        <f aca="false">MY_PS(T$2,$A26)</f>
        <v>2.04206064217698</v>
      </c>
      <c r="U26" s="0" t="n">
        <f aca="false">MY_PS(U$2,$A26)</f>
        <v>2.04204837506215</v>
      </c>
      <c r="V26" s="0" t="n">
        <f aca="false">MY_PS(V$2,$A26)</f>
        <v>2.04203610883244</v>
      </c>
      <c r="W26" s="0" t="n">
        <f aca="false">MY_PS(W$2,$A26)</f>
        <v>2.04202384348787</v>
      </c>
      <c r="X26" s="0" t="n">
        <f aca="false">MY_PS(X$2,$A26)</f>
        <v>2.04201157902843</v>
      </c>
      <c r="Y26" s="0" t="n">
        <f aca="false">MY_PS(Y$2,$A26)</f>
        <v>2.04188898311239</v>
      </c>
      <c r="Z26" s="0" t="n">
        <f aca="false">MY_PS(Z$2,$A26)</f>
        <v>2.04176647569302</v>
      </c>
      <c r="AA26" s="0" t="n">
        <f aca="false">MY_PS(AA$2,$A26)</f>
        <v>2.04164405675654</v>
      </c>
      <c r="AB26" s="0" t="n">
        <f aca="false">MY_PS(AB$2,$A26)</f>
        <v>2.04152172628912</v>
      </c>
      <c r="AC26" s="0" t="n">
        <f aca="false">MY_PS(AC$2,$A26)</f>
        <v>2.0413994842768</v>
      </c>
      <c r="AD26" s="0" t="n">
        <f aca="false">MY_PS(AD$2,$A26)</f>
        <v>2.04127733070548</v>
      </c>
      <c r="AE26" s="0" t="n">
        <f aca="false">MY_PS(AE$2,$A26)</f>
        <v>2.04115526556092</v>
      </c>
      <c r="AF26" s="0" t="n">
        <f aca="false">MY_PS(AF$2,$A26)</f>
        <v>2.04103328882885</v>
      </c>
      <c r="AG26" s="0" t="n">
        <f aca="false">MY_PS(AG$2,$A26)</f>
        <v>2.0409114004949</v>
      </c>
      <c r="AH26" s="0" t="n">
        <f aca="false">MY_PS(AH$2,$A26)</f>
        <v>2.03969737579523</v>
      </c>
      <c r="AI26" s="0" t="n">
        <f aca="false">MY_PS(AI$2,$A26)</f>
        <v>2.03849217420755</v>
      </c>
      <c r="AJ26" s="0" t="n">
        <f aca="false">MY_PS(AJ$2,$A26)</f>
        <v>2.03729577948153</v>
      </c>
      <c r="AK26" s="0" t="n">
        <f aca="false">MY_PS(AK$2,$A26)</f>
        <v>2.03610817428398</v>
      </c>
      <c r="AL26" s="0" t="n">
        <f aca="false">MY_PS(AL$2,$A26)</f>
        <v>2.03492934021749</v>
      </c>
      <c r="AM26" s="0" t="n">
        <f aca="false">MY_PS(AM$2,$A26)</f>
        <v>2.03375925783928</v>
      </c>
      <c r="AN26" s="0" t="n">
        <f aca="false">MY_PS(AN$2,$A26)</f>
        <v>2.03259790667919</v>
      </c>
      <c r="AO26" s="0" t="n">
        <f aca="false">MY_PS(AO$2,$A26)</f>
        <v>2.03144526525796</v>
      </c>
      <c r="AP26" s="0" t="n">
        <f aca="false">MY_PS(AP$2,$A26)</f>
        <v>2.03030131110478</v>
      </c>
      <c r="AQ26" s="0" t="n">
        <f aca="false">MY_PS(AQ$2,$A26)</f>
        <v>2.0193339509951</v>
      </c>
      <c r="AR26" s="0" t="n">
        <f aca="false">MY_PS(AR$2,$A26)</f>
        <v>2.01717568188655</v>
      </c>
      <c r="AS26" s="0" t="n">
        <f aca="false">MY_PS(AS$2,$A26)</f>
        <v>2.01646334664325</v>
      </c>
    </row>
    <row r="27" customFormat="false" ht="12.8" hidden="false" customHeight="false" outlineLevel="0" collapsed="false">
      <c r="A27" s="0" t="n">
        <v>0.1194229483135</v>
      </c>
      <c r="B27" s="0" t="n">
        <f aca="false">MY_PS(B$2,$A27)</f>
        <v>2015</v>
      </c>
      <c r="C27" s="0" t="n">
        <f aca="false">MY_PS(C$2,$A27)</f>
        <v>2015</v>
      </c>
      <c r="D27" s="0" t="n">
        <f aca="false">MY_PS(D$2,$A27)</f>
        <v>2015</v>
      </c>
      <c r="E27" s="0" t="n">
        <f aca="false">MY_PS(E$2,$A27)</f>
        <v>2015</v>
      </c>
      <c r="F27" s="0" t="n">
        <f aca="false">MY_PS(F$2,$A27)</f>
        <v>2015</v>
      </c>
      <c r="G27" s="0" t="n">
        <f aca="false">MY_PS(G$2,$A27)</f>
        <v>2015</v>
      </c>
      <c r="H27" s="0" t="n">
        <f aca="false">MY_PS(H$2,$A27)</f>
        <v>2015</v>
      </c>
      <c r="I27" s="0" t="n">
        <f aca="false">MY_PS(I$2,$A27)</f>
        <v>2015</v>
      </c>
      <c r="J27" s="0" t="n">
        <f aca="false">MY_PS(J$2,$A27)</f>
        <v>2015</v>
      </c>
      <c r="K27" s="0" t="n">
        <f aca="false">MY_PS(K$2,$A27)</f>
        <v>1.75283052970851</v>
      </c>
      <c r="L27" s="0" t="n">
        <f aca="false">MY_PS(L$2,$A27)</f>
        <v>1.75282968823776</v>
      </c>
      <c r="M27" s="0" t="n">
        <f aca="false">MY_PS(M$2,$A27)</f>
        <v>1.75282884677386</v>
      </c>
      <c r="N27" s="0" t="n">
        <f aca="false">MY_PS(N$2,$A27)</f>
        <v>1.75282800531682</v>
      </c>
      <c r="O27" s="0" t="n">
        <f aca="false">MY_PS(O$2,$A27)</f>
        <v>1.75282716386661</v>
      </c>
      <c r="P27" s="0" t="n">
        <f aca="false">MY_PS(P$2,$A27)</f>
        <v>1.75281874974096</v>
      </c>
      <c r="Q27" s="0" t="n">
        <f aca="false">MY_PS(Q$2,$A27)</f>
        <v>1.75281033629968</v>
      </c>
      <c r="R27" s="0" t="n">
        <f aca="false">MY_PS(R$2,$A27)</f>
        <v>1.7528019235428</v>
      </c>
      <c r="S27" s="0" t="n">
        <f aca="false">MY_PS(S$2,$A27)</f>
        <v>1.7527935114703</v>
      </c>
      <c r="T27" s="0" t="n">
        <f aca="false">MY_PS(T$2,$A27)</f>
        <v>1.75278510008215</v>
      </c>
      <c r="U27" s="0" t="n">
        <f aca="false">MY_PS(U$2,$A27)</f>
        <v>1.75277668937832</v>
      </c>
      <c r="V27" s="0" t="n">
        <f aca="false">MY_PS(V$2,$A27)</f>
        <v>1.75276827935883</v>
      </c>
      <c r="W27" s="0" t="n">
        <f aca="false">MY_PS(W$2,$A27)</f>
        <v>1.75275987002363</v>
      </c>
      <c r="X27" s="0" t="n">
        <f aca="false">MY_PS(X$2,$A27)</f>
        <v>1.75275146137274</v>
      </c>
      <c r="Y27" s="0" t="n">
        <f aca="false">MY_PS(Y$2,$A27)</f>
        <v>1.75266741249682</v>
      </c>
      <c r="Z27" s="0" t="n">
        <f aca="false">MY_PS(Z$2,$A27)</f>
        <v>1.75258343203437</v>
      </c>
      <c r="AA27" s="0" t="n">
        <f aca="false">MY_PS(AA$2,$A27)</f>
        <v>1.75249951997074</v>
      </c>
      <c r="AB27" s="0" t="n">
        <f aca="false">MY_PS(AB$2,$A27)</f>
        <v>1.75241567629125</v>
      </c>
      <c r="AC27" s="0" t="n">
        <f aca="false">MY_PS(AC$2,$A27)</f>
        <v>1.75233190098113</v>
      </c>
      <c r="AD27" s="0" t="n">
        <f aca="false">MY_PS(AD$2,$A27)</f>
        <v>1.75224819402551</v>
      </c>
      <c r="AE27" s="0" t="n">
        <f aca="false">MY_PS(AE$2,$A27)</f>
        <v>1.75216455540943</v>
      </c>
      <c r="AF27" s="0" t="n">
        <f aca="false">MY_PS(AF$2,$A27)</f>
        <v>1.75208098511793</v>
      </c>
      <c r="AG27" s="0" t="n">
        <f aca="false">MY_PS(AG$2,$A27)</f>
        <v>1.75199748313588</v>
      </c>
      <c r="AH27" s="0" t="n">
        <f aca="false">MY_PS(AH$2,$A27)</f>
        <v>1.75116621696142</v>
      </c>
      <c r="AI27" s="0" t="n">
        <f aca="false">MY_PS(AI$2,$A27)</f>
        <v>1.75034176456854</v>
      </c>
      <c r="AJ27" s="0" t="n">
        <f aca="false">MY_PS(AJ$2,$A27)</f>
        <v>1.74952410961765</v>
      </c>
      <c r="AK27" s="0" t="n">
        <f aca="false">MY_PS(AK$2,$A27)</f>
        <v>1.74871323502691</v>
      </c>
      <c r="AL27" s="0" t="n">
        <f aca="false">MY_PS(AL$2,$A27)</f>
        <v>1.74790912298452</v>
      </c>
      <c r="AM27" s="0" t="n">
        <f aca="false">MY_PS(AM$2,$A27)</f>
        <v>1.7471117549607</v>
      </c>
      <c r="AN27" s="0" t="n">
        <f aca="false">MY_PS(AN$2,$A27)</f>
        <v>1.7463211117197</v>
      </c>
      <c r="AO27" s="0" t="n">
        <f aca="false">MY_PS(AO$2,$A27)</f>
        <v>1.74553717333148</v>
      </c>
      <c r="AP27" s="0" t="n">
        <f aca="false">MY_PS(AP$2,$A27)</f>
        <v>1.74475991918325</v>
      </c>
      <c r="AQ27" s="0" t="n">
        <f aca="false">MY_PS(AQ$2,$A27)</f>
        <v>1.73735001012432</v>
      </c>
      <c r="AR27" s="0" t="n">
        <f aca="false">MY_PS(AR$2,$A27)</f>
        <v>1.7359013843791</v>
      </c>
      <c r="AS27" s="0" t="n">
        <f aca="false">MY_PS(AS$2,$A27)</f>
        <v>1.73542400775792</v>
      </c>
    </row>
    <row r="28" customFormat="false" ht="12.8" hidden="false" customHeight="false" outlineLevel="0" collapsed="false">
      <c r="A28" s="0" t="n">
        <v>0.1433075379762</v>
      </c>
      <c r="B28" s="0" t="n">
        <f aca="false">MY_PS(B$2,$A28)</f>
        <v>2015</v>
      </c>
      <c r="C28" s="0" t="n">
        <f aca="false">MY_PS(C$2,$A28)</f>
        <v>2015</v>
      </c>
      <c r="D28" s="0" t="n">
        <f aca="false">MY_PS(D$2,$A28)</f>
        <v>2015</v>
      </c>
      <c r="E28" s="0" t="n">
        <f aca="false">MY_PS(E$2,$A28)</f>
        <v>2015</v>
      </c>
      <c r="F28" s="0" t="n">
        <f aca="false">MY_PS(F$2,$A28)</f>
        <v>2015</v>
      </c>
      <c r="G28" s="0" t="n">
        <f aca="false">MY_PS(G$2,$A28)</f>
        <v>2015</v>
      </c>
      <c r="H28" s="0" t="n">
        <f aca="false">MY_PS(H$2,$A28)</f>
        <v>2015</v>
      </c>
      <c r="I28" s="0" t="n">
        <f aca="false">MY_PS(I$2,$A28)</f>
        <v>2015</v>
      </c>
      <c r="J28" s="0" t="n">
        <f aca="false">MY_PS(J$2,$A28)</f>
        <v>2015</v>
      </c>
      <c r="K28" s="0" t="n">
        <f aca="false">MY_PS(K$2,$A28)</f>
        <v>2015</v>
      </c>
      <c r="L28" s="0" t="n">
        <f aca="false">MY_PS(L$2,$A28)</f>
        <v>2015</v>
      </c>
      <c r="M28" s="0" t="n">
        <f aca="false">MY_PS(M$2,$A28)</f>
        <v>2015</v>
      </c>
      <c r="N28" s="0" t="n">
        <f aca="false">MY_PS(N$2,$A28)</f>
        <v>1.51971651639329</v>
      </c>
      <c r="O28" s="0" t="n">
        <f aca="false">MY_PS(O$2,$A28)</f>
        <v>1.51971595282369</v>
      </c>
      <c r="P28" s="0" t="n">
        <f aca="false">MY_PS(P$2,$A28)</f>
        <v>1.51971031742375</v>
      </c>
      <c r="Q28" s="0" t="n">
        <f aca="false">MY_PS(Q$2,$A28)</f>
        <v>1.51970468256214</v>
      </c>
      <c r="R28" s="0" t="n">
        <f aca="false">MY_PS(R$2,$A28)</f>
        <v>1.51969904823885</v>
      </c>
      <c r="S28" s="0" t="n">
        <f aca="false">MY_PS(S$2,$A28)</f>
        <v>1.51969341445384</v>
      </c>
      <c r="T28" s="0" t="n">
        <f aca="false">MY_PS(T$2,$A28)</f>
        <v>1.51968778120711</v>
      </c>
      <c r="U28" s="0" t="n">
        <f aca="false">MY_PS(U$2,$A28)</f>
        <v>1.51968214849866</v>
      </c>
      <c r="V28" s="0" t="n">
        <f aca="false">MY_PS(V$2,$A28)</f>
        <v>1.51967651632845</v>
      </c>
      <c r="W28" s="0" t="n">
        <f aca="false">MY_PS(W$2,$A28)</f>
        <v>1.51967088469648</v>
      </c>
      <c r="X28" s="0" t="n">
        <f aca="false">MY_PS(X$2,$A28)</f>
        <v>1.5196652536027</v>
      </c>
      <c r="Y28" s="0" t="n">
        <f aca="false">MY_PS(Y$2,$A28)</f>
        <v>1.51960897226433</v>
      </c>
      <c r="Z28" s="0" t="n">
        <f aca="false">MY_PS(Z$2,$A28)</f>
        <v>1.51955274473254</v>
      </c>
      <c r="AA28" s="0" t="n">
        <f aca="false">MY_PS(AA$2,$A28)</f>
        <v>1.51949657099302</v>
      </c>
      <c r="AB28" s="0" t="n">
        <f aca="false">MY_PS(AB$2,$A28)</f>
        <v>1.51944045103139</v>
      </c>
      <c r="AC28" s="0" t="n">
        <f aca="false">MY_PS(AC$2,$A28)</f>
        <v>1.51938438483325</v>
      </c>
      <c r="AD28" s="0" t="n">
        <f aca="false">MY_PS(AD$2,$A28)</f>
        <v>1.5193283723841</v>
      </c>
      <c r="AE28" s="0" t="n">
        <f aca="false">MY_PS(AE$2,$A28)</f>
        <v>1.51927241366937</v>
      </c>
      <c r="AF28" s="0" t="n">
        <f aca="false">MY_PS(AF$2,$A28)</f>
        <v>1.5192165086745</v>
      </c>
      <c r="AG28" s="0" t="n">
        <f aca="false">MY_PS(AG$2,$A28)</f>
        <v>1.51916065738481</v>
      </c>
      <c r="AH28" s="0" t="n">
        <f aca="false">MY_PS(AH$2,$A28)</f>
        <v>1.51860509501063</v>
      </c>
      <c r="AI28" s="0" t="n">
        <f aca="false">MY_PS(AI$2,$A28)</f>
        <v>1.51805488662963</v>
      </c>
      <c r="AJ28" s="0" t="n">
        <f aca="false">MY_PS(AJ$2,$A28)</f>
        <v>1.51751001668781</v>
      </c>
      <c r="AK28" s="0" t="n">
        <f aca="false">MY_PS(AK$2,$A28)</f>
        <v>1.51697046909571</v>
      </c>
      <c r="AL28" s="0" t="n">
        <f aca="false">MY_PS(AL$2,$A28)</f>
        <v>1.51643622723691</v>
      </c>
      <c r="AM28" s="0" t="n">
        <f aca="false">MY_PS(AM$2,$A28)</f>
        <v>1.51590727397646</v>
      </c>
      <c r="AN28" s="0" t="n">
        <f aca="false">MY_PS(AN$2,$A28)</f>
        <v>1.51538359166911</v>
      </c>
      <c r="AO28" s="0" t="n">
        <f aca="false">MY_PS(AO$2,$A28)</f>
        <v>1.5148651621675</v>
      </c>
      <c r="AP28" s="0" t="n">
        <f aca="false">MY_PS(AP$2,$A28)</f>
        <v>1.51435196683012</v>
      </c>
      <c r="AQ28" s="0" t="n">
        <f aca="false">MY_PS(AQ$2,$A28)</f>
        <v>1.50950345346718</v>
      </c>
      <c r="AR28" s="0" t="n">
        <f aca="false">MY_PS(AR$2,$A28)</f>
        <v>1.50856572897279</v>
      </c>
      <c r="AS28" s="0" t="n">
        <f aca="false">MY_PS(AS$2,$A28)</f>
        <v>1.50825750625243</v>
      </c>
    </row>
    <row r="29" customFormat="false" ht="12.8" hidden="false" customHeight="false" outlineLevel="0" collapsed="false">
      <c r="A29" s="0" t="n">
        <v>0.1671921276389</v>
      </c>
      <c r="B29" s="0" t="n">
        <f aca="false">MY_PS(B$2,$A29)</f>
        <v>2015</v>
      </c>
      <c r="C29" s="0" t="n">
        <f aca="false">MY_PS(C$2,$A29)</f>
        <v>2015</v>
      </c>
      <c r="D29" s="0" t="n">
        <f aca="false">MY_PS(D$2,$A29)</f>
        <v>2015</v>
      </c>
      <c r="E29" s="0" t="n">
        <f aca="false">MY_PS(E$2,$A29)</f>
        <v>2015</v>
      </c>
      <c r="F29" s="0" t="n">
        <f aca="false">MY_PS(F$2,$A29)</f>
        <v>2015</v>
      </c>
      <c r="G29" s="0" t="n">
        <f aca="false">MY_PS(G$2,$A29)</f>
        <v>2015</v>
      </c>
      <c r="H29" s="0" t="n">
        <f aca="false">MY_PS(H$2,$A29)</f>
        <v>2015</v>
      </c>
      <c r="I29" s="0" t="n">
        <f aca="false">MY_PS(I$2,$A29)</f>
        <v>2015</v>
      </c>
      <c r="J29" s="0" t="n">
        <f aca="false">MY_PS(J$2,$A29)</f>
        <v>2015</v>
      </c>
      <c r="K29" s="0" t="n">
        <f aca="false">MY_PS(K$2,$A29)</f>
        <v>2015</v>
      </c>
      <c r="L29" s="0" t="n">
        <f aca="false">MY_PS(L$2,$A29)</f>
        <v>2015</v>
      </c>
      <c r="M29" s="0" t="n">
        <f aca="false">MY_PS(M$2,$A29)</f>
        <v>2015</v>
      </c>
      <c r="N29" s="0" t="n">
        <f aca="false">MY_PS(N$2,$A29)</f>
        <v>2015</v>
      </c>
      <c r="O29" s="0" t="n">
        <f aca="false">MY_PS(O$2,$A29)</f>
        <v>2015</v>
      </c>
      <c r="P29" s="0" t="n">
        <f aca="false">MY_PS(P$2,$A29)</f>
        <v>1.32924207288751</v>
      </c>
      <c r="Q29" s="0" t="n">
        <f aca="false">MY_PS(Q$2,$A29)</f>
        <v>1.32923847811301</v>
      </c>
      <c r="R29" s="0" t="n">
        <f aca="false">MY_PS(R$2,$A29)</f>
        <v>1.32923488376655</v>
      </c>
      <c r="S29" s="0" t="n">
        <f aca="false">MY_PS(S$2,$A29)</f>
        <v>1.32923128984811</v>
      </c>
      <c r="T29" s="0" t="n">
        <f aca="false">MY_PS(T$2,$A29)</f>
        <v>1.32922769635771</v>
      </c>
      <c r="U29" s="0" t="n">
        <f aca="false">MY_PS(U$2,$A29)</f>
        <v>1.3292241032953</v>
      </c>
      <c r="V29" s="0" t="n">
        <f aca="false">MY_PS(V$2,$A29)</f>
        <v>1.32922051066089</v>
      </c>
      <c r="W29" s="0" t="n">
        <f aca="false">MY_PS(W$2,$A29)</f>
        <v>1.32921691845447</v>
      </c>
      <c r="X29" s="0" t="n">
        <f aca="false">MY_PS(X$2,$A29)</f>
        <v>1.329213326676</v>
      </c>
      <c r="Y29" s="0" t="n">
        <f aca="false">MY_PS(Y$2,$A29)</f>
        <v>1.32917743242661</v>
      </c>
      <c r="Z29" s="0" t="n">
        <f aca="false">MY_PS(Z$2,$A29)</f>
        <v>1.3291415809593</v>
      </c>
      <c r="AA29" s="0" t="n">
        <f aca="false">MY_PS(AA$2,$A29)</f>
        <v>1.32910577226071</v>
      </c>
      <c r="AB29" s="0" t="n">
        <f aca="false">MY_PS(AB$2,$A29)</f>
        <v>1.32907000631749</v>
      </c>
      <c r="AC29" s="0" t="n">
        <f aca="false">MY_PS(AC$2,$A29)</f>
        <v>1.32903428311622</v>
      </c>
      <c r="AD29" s="0" t="n">
        <f aca="false">MY_PS(AD$2,$A29)</f>
        <v>1.32899860264343</v>
      </c>
      <c r="AE29" s="0" t="n">
        <f aca="false">MY_PS(AE$2,$A29)</f>
        <v>1.32896296488565</v>
      </c>
      <c r="AF29" s="0" t="n">
        <f aca="false">MY_PS(AF$2,$A29)</f>
        <v>1.3289273698293</v>
      </c>
      <c r="AG29" s="0" t="n">
        <f aca="false">MY_PS(AG$2,$A29)</f>
        <v>1.32889181746084</v>
      </c>
      <c r="AH29" s="0" t="n">
        <f aca="false">MY_PS(AH$2,$A29)</f>
        <v>1.32853863859027</v>
      </c>
      <c r="AI29" s="0" t="n">
        <f aca="false">MY_PS(AI$2,$A29)</f>
        <v>1.32818971325302</v>
      </c>
      <c r="AJ29" s="0" t="n">
        <f aca="false">MY_PS(AJ$2,$A29)</f>
        <v>1.32784502717848</v>
      </c>
      <c r="AK29" s="0" t="n">
        <f aca="false">MY_PS(AK$2,$A29)</f>
        <v>1.32750456568784</v>
      </c>
      <c r="AL29" s="0" t="n">
        <f aca="false">MY_PS(AL$2,$A29)</f>
        <v>1.32716831370066</v>
      </c>
      <c r="AM29" s="0" t="n">
        <f aca="false">MY_PS(AM$2,$A29)</f>
        <v>1.32683625574105</v>
      </c>
      <c r="AN29" s="0" t="n">
        <f aca="false">MY_PS(AN$2,$A29)</f>
        <v>1.3265083759439</v>
      </c>
      <c r="AO29" s="0" t="n">
        <f aca="false">MY_PS(AO$2,$A29)</f>
        <v>1.3261846580611</v>
      </c>
      <c r="AP29" s="0" t="n">
        <f aca="false">MY_PS(AP$2,$A29)</f>
        <v>1.32586508546732</v>
      </c>
      <c r="AQ29" s="0" t="n">
        <f aca="false">MY_PS(AQ$2,$A29)</f>
        <v>1.32289343478555</v>
      </c>
      <c r="AR29" s="0" t="n">
        <f aca="false">MY_PS(AR$2,$A29)</f>
        <v>1.32232979475904</v>
      </c>
      <c r="AS29" s="0" t="n">
        <f aca="false">MY_PS(AS$2,$A29)</f>
        <v>1.32214540701168</v>
      </c>
    </row>
    <row r="30" customFormat="false" ht="12.8" hidden="false" customHeight="false" outlineLevel="0" collapsed="false">
      <c r="A30" s="0" t="n">
        <v>0.1910767173016</v>
      </c>
      <c r="B30" s="0" t="n">
        <f aca="false">MY_PS(B$2,$A30)</f>
        <v>2015</v>
      </c>
      <c r="C30" s="0" t="n">
        <f aca="false">MY_PS(C$2,$A30)</f>
        <v>2015</v>
      </c>
      <c r="D30" s="0" t="n">
        <f aca="false">MY_PS(D$2,$A30)</f>
        <v>2015</v>
      </c>
      <c r="E30" s="0" t="n">
        <f aca="false">MY_PS(E$2,$A30)</f>
        <v>2015</v>
      </c>
      <c r="F30" s="0" t="n">
        <f aca="false">MY_PS(F$2,$A30)</f>
        <v>2015</v>
      </c>
      <c r="G30" s="0" t="n">
        <f aca="false">MY_PS(G$2,$A30)</f>
        <v>2015</v>
      </c>
      <c r="H30" s="0" t="n">
        <f aca="false">MY_PS(H$2,$A30)</f>
        <v>2015</v>
      </c>
      <c r="I30" s="0" t="n">
        <f aca="false">MY_PS(I$2,$A30)</f>
        <v>2015</v>
      </c>
      <c r="J30" s="0" t="n">
        <f aca="false">MY_PS(J$2,$A30)</f>
        <v>2015</v>
      </c>
      <c r="K30" s="0" t="n">
        <f aca="false">MY_PS(K$2,$A30)</f>
        <v>2015</v>
      </c>
      <c r="L30" s="0" t="n">
        <f aca="false">MY_PS(L$2,$A30)</f>
        <v>2015</v>
      </c>
      <c r="M30" s="0" t="n">
        <f aca="false">MY_PS(M$2,$A30)</f>
        <v>2015</v>
      </c>
      <c r="N30" s="0" t="n">
        <f aca="false">MY_PS(N$2,$A30)</f>
        <v>2015</v>
      </c>
      <c r="O30" s="0" t="n">
        <f aca="false">MY_PS(O$2,$A30)</f>
        <v>2015</v>
      </c>
      <c r="P30" s="0" t="n">
        <f aca="false">MY_PS(P$2,$A30)</f>
        <v>1.17176845661918</v>
      </c>
      <c r="Q30" s="0" t="n">
        <f aca="false">MY_PS(Q$2,$A30)</f>
        <v>1.17176638295066</v>
      </c>
      <c r="R30" s="0" t="n">
        <f aca="false">MY_PS(R$2,$A30)</f>
        <v>1.17176430962451</v>
      </c>
      <c r="S30" s="0" t="n">
        <f aca="false">MY_PS(S$2,$A30)</f>
        <v>1.1717622366407</v>
      </c>
      <c r="T30" s="0" t="n">
        <f aca="false">MY_PS(T$2,$A30)</f>
        <v>1.17176016399925</v>
      </c>
      <c r="U30" s="0" t="n">
        <f aca="false">MY_PS(U$2,$A30)</f>
        <v>1.17175809170011</v>
      </c>
      <c r="V30" s="0" t="n">
        <f aca="false">MY_PS(V$2,$A30)</f>
        <v>1.1717560197433</v>
      </c>
      <c r="W30" s="0" t="n">
        <f aca="false">MY_PS(W$2,$A30)</f>
        <v>1.17175394812879</v>
      </c>
      <c r="X30" s="0" t="n">
        <f aca="false">MY_PS(X$2,$A30)</f>
        <v>1.17175187685659</v>
      </c>
      <c r="Y30" s="0" t="n">
        <f aca="false">MY_PS(Y$2,$A30)</f>
        <v>1.171731182958</v>
      </c>
      <c r="Z30" s="0" t="n">
        <f aca="false">MY_PS(Z$2,$A30)</f>
        <v>1.17171052327571</v>
      </c>
      <c r="AA30" s="0" t="n">
        <f aca="false">MY_PS(AA$2,$A30)</f>
        <v>1.17168989779777</v>
      </c>
      <c r="AB30" s="0" t="n">
        <f aca="false">MY_PS(AB$2,$A30)</f>
        <v>1.17166930651217</v>
      </c>
      <c r="AC30" s="0" t="n">
        <f aca="false">MY_PS(AC$2,$A30)</f>
        <v>1.17164874940693</v>
      </c>
      <c r="AD30" s="0" t="n">
        <f aca="false">MY_PS(AD$2,$A30)</f>
        <v>1.17162822646996</v>
      </c>
      <c r="AE30" s="0" t="n">
        <f aca="false">MY_PS(AE$2,$A30)</f>
        <v>1.17160773768921</v>
      </c>
      <c r="AF30" s="0" t="n">
        <f aca="false">MY_PS(AF$2,$A30)</f>
        <v>1.17158728305255</v>
      </c>
      <c r="AG30" s="0" t="n">
        <f aca="false">MY_PS(AG$2,$A30)</f>
        <v>1.17156686254782</v>
      </c>
      <c r="AH30" s="0" t="n">
        <f aca="false">MY_PS(AH$2,$A30)</f>
        <v>1.17136453205834</v>
      </c>
      <c r="AI30" s="0" t="n">
        <f aca="false">MY_PS(AI$2,$A30)</f>
        <v>1.17116560114036</v>
      </c>
      <c r="AJ30" s="0" t="n">
        <f aca="false">MY_PS(AJ$2,$A30)</f>
        <v>1.1709700570839</v>
      </c>
      <c r="AK30" s="0" t="n">
        <f aca="false">MY_PS(AK$2,$A30)</f>
        <v>1.17077788684894</v>
      </c>
      <c r="AL30" s="0" t="n">
        <f aca="false">MY_PS(AL$2,$A30)</f>
        <v>1.17058907707059</v>
      </c>
      <c r="AM30" s="0" t="n">
        <f aca="false">MY_PS(AM$2,$A30)</f>
        <v>1.17040361406427</v>
      </c>
      <c r="AN30" s="0" t="n">
        <f aca="false">MY_PS(AN$2,$A30)</f>
        <v>1.17022148383077</v>
      </c>
      <c r="AO30" s="0" t="n">
        <f aca="false">MY_PS(AO$2,$A30)</f>
        <v>1.17004267206127</v>
      </c>
      <c r="AP30" s="0" t="n">
        <f aca="false">MY_PS(AP$2,$A30)</f>
        <v>1.16986716414215</v>
      </c>
      <c r="AQ30" s="0" t="n">
        <f aca="false">MY_PS(AQ$2,$A30)</f>
        <v>1.16829037324562</v>
      </c>
      <c r="AR30" s="0" t="n">
        <f aca="false">MY_PS(AR$2,$A30)</f>
        <v>1.16800439341979</v>
      </c>
      <c r="AS30" s="0" t="n">
        <f aca="false">MY_PS(AS$2,$A30)</f>
        <v>1.16791189447445</v>
      </c>
    </row>
    <row r="31" customFormat="false" ht="12.8" hidden="false" customHeight="false" outlineLevel="0" collapsed="false">
      <c r="A31" s="0" t="n">
        <v>0.2149613069643</v>
      </c>
      <c r="B31" s="0" t="n">
        <f aca="false">MY_PS(B$2,$A31)</f>
        <v>2015</v>
      </c>
      <c r="C31" s="0" t="n">
        <f aca="false">MY_PS(C$2,$A31)</f>
        <v>2015</v>
      </c>
      <c r="D31" s="0" t="n">
        <f aca="false">MY_PS(D$2,$A31)</f>
        <v>2015</v>
      </c>
      <c r="E31" s="0" t="n">
        <f aca="false">MY_PS(E$2,$A31)</f>
        <v>2015</v>
      </c>
      <c r="F31" s="0" t="n">
        <f aca="false">MY_PS(F$2,$A31)</f>
        <v>2015</v>
      </c>
      <c r="G31" s="0" t="n">
        <f aca="false">MY_PS(G$2,$A31)</f>
        <v>2015</v>
      </c>
      <c r="H31" s="0" t="n">
        <f aca="false">MY_PS(H$2,$A31)</f>
        <v>2015</v>
      </c>
      <c r="I31" s="0" t="n">
        <f aca="false">MY_PS(I$2,$A31)</f>
        <v>2015</v>
      </c>
      <c r="J31" s="0" t="n">
        <f aca="false">MY_PS(J$2,$A31)</f>
        <v>2015</v>
      </c>
      <c r="K31" s="0" t="n">
        <f aca="false">MY_PS(K$2,$A31)</f>
        <v>2015</v>
      </c>
      <c r="L31" s="0" t="n">
        <f aca="false">MY_PS(L$2,$A31)</f>
        <v>2015</v>
      </c>
      <c r="M31" s="0" t="n">
        <f aca="false">MY_PS(M$2,$A31)</f>
        <v>2015</v>
      </c>
      <c r="N31" s="0" t="n">
        <f aca="false">MY_PS(N$2,$A31)</f>
        <v>2015</v>
      </c>
      <c r="O31" s="0" t="n">
        <f aca="false">MY_PS(O$2,$A31)</f>
        <v>2015</v>
      </c>
      <c r="P31" s="0" t="n">
        <f aca="false">MY_PS(P$2,$A31)</f>
        <v>2015</v>
      </c>
      <c r="Q31" s="0" t="n">
        <f aca="false">MY_PS(Q$2,$A31)</f>
        <v>1.04025502231206</v>
      </c>
      <c r="R31" s="0" t="n">
        <f aca="false">MY_PS(R$2,$A31)</f>
        <v>1.04025409743472</v>
      </c>
      <c r="S31" s="0" t="n">
        <f aca="false">MY_PS(S$2,$A31)</f>
        <v>1.04025317283165</v>
      </c>
      <c r="T31" s="0" t="n">
        <f aca="false">MY_PS(T$2,$A31)</f>
        <v>1.04025224850282</v>
      </c>
      <c r="U31" s="0" t="n">
        <f aca="false">MY_PS(U$2,$A31)</f>
        <v>1.04025132444824</v>
      </c>
      <c r="V31" s="0" t="n">
        <f aca="false">MY_PS(V$2,$A31)</f>
        <v>1.04025040066791</v>
      </c>
      <c r="W31" s="0" t="n">
        <f aca="false">MY_PS(W$2,$A31)</f>
        <v>1.04024947716179</v>
      </c>
      <c r="X31" s="0" t="n">
        <f aca="false">MY_PS(X$2,$A31)</f>
        <v>1.0402485539299</v>
      </c>
      <c r="Y31" s="0" t="n">
        <f aca="false">MY_PS(Y$2,$A31)</f>
        <v>1.04023933669048</v>
      </c>
      <c r="Z31" s="0" t="n">
        <f aca="false">MY_PS(Z$2,$A31)</f>
        <v>1.04023014686122</v>
      </c>
      <c r="AA31" s="0" t="n">
        <f aca="false">MY_PS(AA$2,$A31)</f>
        <v>1.04022098443177</v>
      </c>
      <c r="AB31" s="0" t="n">
        <f aca="false">MY_PS(AB$2,$A31)</f>
        <v>1.04021184939174</v>
      </c>
      <c r="AC31" s="0" t="n">
        <f aca="false">MY_PS(AC$2,$A31)</f>
        <v>1.04020274173074</v>
      </c>
      <c r="AD31" s="0" t="n">
        <f aca="false">MY_PS(AD$2,$A31)</f>
        <v>1.04019366143834</v>
      </c>
      <c r="AE31" s="0" t="n">
        <f aca="false">MY_PS(AE$2,$A31)</f>
        <v>1.04018460850402</v>
      </c>
      <c r="AF31" s="0" t="n">
        <f aca="false">MY_PS(AF$2,$A31)</f>
        <v>1.04017558291734</v>
      </c>
      <c r="AG31" s="0" t="n">
        <f aca="false">MY_PS(AG$2,$A31)</f>
        <v>1.04016658466774</v>
      </c>
      <c r="AH31" s="0" t="n">
        <f aca="false">MY_PS(AH$2,$A31)</f>
        <v>1.04007810337475</v>
      </c>
      <c r="AI31" s="0" t="n">
        <f aca="false">MY_PS(AI$2,$A31)</f>
        <v>1.03999234399404</v>
      </c>
      <c r="AJ31" s="0" t="n">
        <f aca="false">MY_PS(AJ$2,$A31)</f>
        <v>1.03990929551996</v>
      </c>
      <c r="AK31" s="0" t="n">
        <f aca="false">MY_PS(AK$2,$A31)</f>
        <v>1.03982894666291</v>
      </c>
      <c r="AL31" s="0" t="n">
        <f aca="false">MY_PS(AL$2,$A31)</f>
        <v>1.03975128585379</v>
      </c>
      <c r="AM31" s="0" t="n">
        <f aca="false">MY_PS(AM$2,$A31)</f>
        <v>1.03967630124869</v>
      </c>
      <c r="AN31" s="0" t="n">
        <f aca="false">MY_PS(AN$2,$A31)</f>
        <v>1.03960398073335</v>
      </c>
      <c r="AO31" s="0" t="n">
        <f aca="false">MY_PS(AO$2,$A31)</f>
        <v>1.03953431192758</v>
      </c>
      <c r="AP31" s="0" t="n">
        <f aca="false">MY_PS(AP$2,$A31)</f>
        <v>1.0394672821896</v>
      </c>
      <c r="AQ31" s="0" t="n">
        <f aca="false">MY_PS(AQ$2,$A31)</f>
        <v>1.03893917368958</v>
      </c>
      <c r="AR31" s="0" t="n">
        <f aca="false">MY_PS(AR$2,$A31)</f>
        <v>1.03886158602027</v>
      </c>
      <c r="AS31" s="0" t="n">
        <f aca="false">MY_PS(AS$2,$A31)</f>
        <v>1.03883802552277</v>
      </c>
    </row>
    <row r="32" customFormat="false" ht="12.8" hidden="false" customHeight="false" outlineLevel="0" collapsed="false">
      <c r="A32" s="0" t="n">
        <v>0.238845896627</v>
      </c>
      <c r="B32" s="0" t="n">
        <f aca="false">MY_PS(B$2,$A32)</f>
        <v>2015</v>
      </c>
      <c r="C32" s="0" t="n">
        <f aca="false">MY_PS(C$2,$A32)</f>
        <v>2015</v>
      </c>
      <c r="D32" s="0" t="n">
        <f aca="false">MY_PS(D$2,$A32)</f>
        <v>2015</v>
      </c>
      <c r="E32" s="0" t="n">
        <f aca="false">MY_PS(E$2,$A32)</f>
        <v>2015</v>
      </c>
      <c r="F32" s="0" t="n">
        <f aca="false">MY_PS(F$2,$A32)</f>
        <v>2015</v>
      </c>
      <c r="G32" s="0" t="n">
        <f aca="false">MY_PS(G$2,$A32)</f>
        <v>2015</v>
      </c>
      <c r="H32" s="0" t="n">
        <f aca="false">MY_PS(H$2,$A32)</f>
        <v>2015</v>
      </c>
      <c r="I32" s="0" t="n">
        <f aca="false">MY_PS(I$2,$A32)</f>
        <v>2015</v>
      </c>
      <c r="J32" s="0" t="n">
        <f aca="false">MY_PS(J$2,$A32)</f>
        <v>2015</v>
      </c>
      <c r="K32" s="0" t="n">
        <f aca="false">MY_PS(K$2,$A32)</f>
        <v>2015</v>
      </c>
      <c r="L32" s="0" t="n">
        <f aca="false">MY_PS(L$2,$A32)</f>
        <v>2015</v>
      </c>
      <c r="M32" s="0" t="n">
        <f aca="false">MY_PS(M$2,$A32)</f>
        <v>2015</v>
      </c>
      <c r="N32" s="0" t="n">
        <f aca="false">MY_PS(N$2,$A32)</f>
        <v>2015</v>
      </c>
      <c r="O32" s="0" t="n">
        <f aca="false">MY_PS(O$2,$A32)</f>
        <v>2015</v>
      </c>
      <c r="P32" s="0" t="n">
        <f aca="false">MY_PS(P$2,$A32)</f>
        <v>2015</v>
      </c>
      <c r="Q32" s="0" t="n">
        <f aca="false">MY_PS(Q$2,$A32)</f>
        <v>2015</v>
      </c>
      <c r="R32" s="0" t="n">
        <f aca="false">MY_PS(R$2,$A32)</f>
        <v>0.929466911370201</v>
      </c>
      <c r="S32" s="0" t="n">
        <f aca="false">MY_PS(S$2,$A32)</f>
        <v>0.929466862921106</v>
      </c>
      <c r="T32" s="0" t="n">
        <f aca="false">MY_PS(T$2,$A32)</f>
        <v>0.929466814691225</v>
      </c>
      <c r="U32" s="0" t="n">
        <f aca="false">MY_PS(U$2,$A32)</f>
        <v>0.929466766680533</v>
      </c>
      <c r="V32" s="0" t="n">
        <f aca="false">MY_PS(V$2,$A32)</f>
        <v>0.929466718889028</v>
      </c>
      <c r="W32" s="0" t="n">
        <f aca="false">MY_PS(W$2,$A32)</f>
        <v>0.929466671316713</v>
      </c>
      <c r="X32" s="0" t="n">
        <f aca="false">MY_PS(X$2,$A32)</f>
        <v>0.929466623963567</v>
      </c>
      <c r="Y32" s="0" t="n">
        <f aca="false">MY_PS(Y$2,$A32)</f>
        <v>0.92946616248476</v>
      </c>
      <c r="Z32" s="0" t="n">
        <f aca="false">MY_PS(Z$2,$A32)</f>
        <v>0.9294657229138</v>
      </c>
      <c r="AA32" s="0" t="n">
        <f aca="false">MY_PS(AA$2,$A32)</f>
        <v>0.929465305242052</v>
      </c>
      <c r="AB32" s="0" t="n">
        <f aca="false">MY_PS(AB$2,$A32)</f>
        <v>0.929464909460848</v>
      </c>
      <c r="AC32" s="0" t="n">
        <f aca="false">MY_PS(AC$2,$A32)</f>
        <v>0.929464535561498</v>
      </c>
      <c r="AD32" s="0" t="n">
        <f aca="false">MY_PS(AD$2,$A32)</f>
        <v>0.929464183535291</v>
      </c>
      <c r="AE32" s="0" t="n">
        <f aca="false">MY_PS(AE$2,$A32)</f>
        <v>0.929463853373472</v>
      </c>
      <c r="AF32" s="0" t="n">
        <f aca="false">MY_PS(AF$2,$A32)</f>
        <v>0.929463545067274</v>
      </c>
      <c r="AG32" s="0" t="n">
        <f aca="false">MY_PS(AG$2,$A32)</f>
        <v>0.929463258607913</v>
      </c>
      <c r="AH32" s="0" t="n">
        <f aca="false">MY_PS(AH$2,$A32)</f>
        <v>0.929461593634339</v>
      </c>
      <c r="AI32" s="0" t="n">
        <f aca="false">MY_PS(AI$2,$A32)</f>
        <v>0.929462103465342</v>
      </c>
      <c r="AJ32" s="0" t="n">
        <f aca="false">MY_PS(AJ$2,$A32)</f>
        <v>0.929464778863813</v>
      </c>
      <c r="AK32" s="0" t="n">
        <f aca="false">MY_PS(AK$2,$A32)</f>
        <v>0.92946961033283</v>
      </c>
      <c r="AL32" s="0" t="n">
        <f aca="false">MY_PS(AL$2,$A32)</f>
        <v>0.929476588120092</v>
      </c>
      <c r="AM32" s="0" t="n">
        <f aca="false">MY_PS(AM$2,$A32)</f>
        <v>0.929485702222272</v>
      </c>
      <c r="AN32" s="0" t="n">
        <f aca="false">MY_PS(AN$2,$A32)</f>
        <v>0.929496942389337</v>
      </c>
      <c r="AO32" s="0" t="n">
        <f aca="false">MY_PS(AO$2,$A32)</f>
        <v>0.929510298128748</v>
      </c>
      <c r="AP32" s="0" t="n">
        <f aca="false">MY_PS(AP$2,$A32)</f>
        <v>0.929525758709649</v>
      </c>
      <c r="AQ32" s="0" t="n">
        <f aca="false">MY_PS(AQ$2,$A32)</f>
        <v>0.92979360763275</v>
      </c>
      <c r="AR32" s="0" t="n">
        <f aca="false">MY_PS(AR$2,$A32)</f>
        <v>0.929873860463105</v>
      </c>
      <c r="AS32" s="0" t="n">
        <f aca="false">MY_PS(AS$2,$A32)</f>
        <v>0.929902490560317</v>
      </c>
    </row>
    <row r="33" customFormat="false" ht="12.8" hidden="false" customHeight="false" outlineLevel="0" collapsed="false">
      <c r="A33" s="0" t="n">
        <v>0.477691793254</v>
      </c>
      <c r="B33" s="0" t="n">
        <f aca="false">MY_PS(B$2,$A33)</f>
        <v>2015</v>
      </c>
      <c r="C33" s="0" t="n">
        <f aca="false">MY_PS(C$2,$A33)</f>
        <v>2015</v>
      </c>
      <c r="D33" s="0" t="n">
        <f aca="false">MY_PS(D$2,$A33)</f>
        <v>2015</v>
      </c>
      <c r="E33" s="0" t="n">
        <f aca="false">MY_PS(E$2,$A33)</f>
        <v>2015</v>
      </c>
      <c r="F33" s="0" t="n">
        <f aca="false">MY_PS(F$2,$A33)</f>
        <v>2015</v>
      </c>
      <c r="G33" s="0" t="n">
        <f aca="false">MY_PS(G$2,$A33)</f>
        <v>2015</v>
      </c>
      <c r="H33" s="0" t="n">
        <f aca="false">MY_PS(H$2,$A33)</f>
        <v>2015</v>
      </c>
      <c r="I33" s="0" t="n">
        <f aca="false">MY_PS(I$2,$A33)</f>
        <v>2015</v>
      </c>
      <c r="J33" s="0" t="n">
        <f aca="false">MY_PS(J$2,$A33)</f>
        <v>2015</v>
      </c>
      <c r="K33" s="0" t="n">
        <f aca="false">MY_PS(K$2,$A33)</f>
        <v>2015</v>
      </c>
      <c r="L33" s="0" t="n">
        <f aca="false">MY_PS(L$2,$A33)</f>
        <v>2015</v>
      </c>
      <c r="M33" s="0" t="n">
        <f aca="false">MY_PS(M$2,$A33)</f>
        <v>2015</v>
      </c>
      <c r="N33" s="0" t="n">
        <f aca="false">MY_PS(N$2,$A33)</f>
        <v>2015</v>
      </c>
      <c r="O33" s="0" t="n">
        <f aca="false">MY_PS(O$2,$A33)</f>
        <v>2015</v>
      </c>
      <c r="P33" s="0" t="n">
        <f aca="false">MY_PS(P$2,$A33)</f>
        <v>2015</v>
      </c>
      <c r="Q33" s="0" t="n">
        <f aca="false">MY_PS(Q$2,$A33)</f>
        <v>2015</v>
      </c>
      <c r="R33" s="0" t="n">
        <f aca="false">MY_PS(R$2,$A33)</f>
        <v>2015</v>
      </c>
      <c r="S33" s="0" t="n">
        <f aca="false">MY_PS(S$2,$A33)</f>
        <v>2015</v>
      </c>
      <c r="T33" s="0" t="n">
        <f aca="false">MY_PS(T$2,$A33)</f>
        <v>2015</v>
      </c>
      <c r="U33" s="0" t="n">
        <f aca="false">MY_PS(U$2,$A33)</f>
        <v>2015</v>
      </c>
      <c r="V33" s="0" t="n">
        <f aca="false">MY_PS(V$2,$A33)</f>
        <v>2015</v>
      </c>
      <c r="W33" s="0" t="n">
        <f aca="false">MY_PS(W$2,$A33)</f>
        <v>2015</v>
      </c>
      <c r="X33" s="0" t="n">
        <f aca="false">MY_PS(X$2,$A33)</f>
        <v>2015</v>
      </c>
      <c r="Y33" s="0" t="n">
        <f aca="false">MY_PS(Y$2,$A33)</f>
        <v>2015</v>
      </c>
      <c r="Z33" s="0" t="n">
        <f aca="false">MY_PS(Z$2,$A33)</f>
        <v>2015</v>
      </c>
      <c r="AA33" s="0" t="n">
        <f aca="false">MY_PS(AA$2,$A33)</f>
        <v>2015</v>
      </c>
      <c r="AB33" s="0" t="n">
        <f aca="false">MY_PS(AB$2,$A33)</f>
        <v>2015</v>
      </c>
      <c r="AC33" s="0" t="n">
        <f aca="false">MY_PS(AC$2,$A33)</f>
        <v>2015</v>
      </c>
      <c r="AD33" s="0" t="n">
        <f aca="false">MY_PS(AD$2,$A33)</f>
        <v>2015</v>
      </c>
      <c r="AE33" s="0" t="n">
        <f aca="false">MY_PS(AE$2,$A33)</f>
        <v>0.396502985896087</v>
      </c>
      <c r="AF33" s="0" t="n">
        <f aca="false">MY_PS(AF$2,$A33)</f>
        <v>0.396531597974193</v>
      </c>
      <c r="AG33" s="0" t="n">
        <f aca="false">MY_PS(AG$2,$A33)</f>
        <v>0.396560207438761</v>
      </c>
      <c r="AH33" s="0" t="n">
        <f aca="false">MY_PS(AH$2,$A33)</f>
        <v>0.396846160809941</v>
      </c>
      <c r="AI33" s="0" t="n">
        <f aca="false">MY_PS(AI$2,$A33)</f>
        <v>0.397131864972506</v>
      </c>
      <c r="AJ33" s="0" t="n">
        <f aca="false">MY_PS(AJ$2,$A33)</f>
        <v>0.397417330450494</v>
      </c>
      <c r="AK33" s="0" t="n">
        <f aca="false">MY_PS(AK$2,$A33)</f>
        <v>0.397702567244763</v>
      </c>
      <c r="AL33" s="0" t="n">
        <f aca="false">MY_PS(AL$2,$A33)</f>
        <v>0.397987584840751</v>
      </c>
      <c r="AM33" s="0" t="n">
        <f aca="false">MY_PS(AM$2,$A33)</f>
        <v>0.398272392216301</v>
      </c>
      <c r="AN33" s="0" t="n">
        <f aca="false">MY_PS(AN$2,$A33)</f>
        <v>0.398556997849491</v>
      </c>
      <c r="AO33" s="0" t="n">
        <f aca="false">MY_PS(AO$2,$A33)</f>
        <v>0.398841409726547</v>
      </c>
      <c r="AP33" s="0" t="n">
        <f aca="false">MY_PS(AP$2,$A33)</f>
        <v>0.399125635349769</v>
      </c>
      <c r="AQ33" s="0" t="n">
        <f aca="false">MY_PS(AQ$2,$A33)</f>
        <v>0.401958968148092</v>
      </c>
      <c r="AR33" s="0" t="n">
        <f aca="false">MY_PS(AR$2,$A33)</f>
        <v>0.402541972764109</v>
      </c>
      <c r="AS33" s="0" t="n">
        <f aca="false">MY_PS(AS$2,$A33)</f>
        <v>0.402736401928188</v>
      </c>
    </row>
    <row r="34" customFormat="false" ht="12.8" hidden="false" customHeight="false" outlineLevel="0" collapsed="false">
      <c r="A34" s="0" t="n">
        <v>0.716537689881</v>
      </c>
      <c r="B34" s="0" t="n">
        <f aca="false">MY_PS(B$2,$A34)</f>
        <v>2015</v>
      </c>
      <c r="C34" s="0" t="n">
        <f aca="false">MY_PS(C$2,$A34)</f>
        <v>2015</v>
      </c>
      <c r="D34" s="0" t="n">
        <f aca="false">MY_PS(D$2,$A34)</f>
        <v>2015</v>
      </c>
      <c r="E34" s="0" t="n">
        <f aca="false">MY_PS(E$2,$A34)</f>
        <v>2015</v>
      </c>
      <c r="F34" s="0" t="n">
        <f aca="false">MY_PS(F$2,$A34)</f>
        <v>2015</v>
      </c>
      <c r="G34" s="0" t="n">
        <f aca="false">MY_PS(G$2,$A34)</f>
        <v>2015</v>
      </c>
      <c r="H34" s="0" t="n">
        <f aca="false">MY_PS(H$2,$A34)</f>
        <v>2015</v>
      </c>
      <c r="I34" s="0" t="n">
        <f aca="false">MY_PS(I$2,$A34)</f>
        <v>2015</v>
      </c>
      <c r="J34" s="0" t="n">
        <f aca="false">MY_PS(J$2,$A34)</f>
        <v>2015</v>
      </c>
      <c r="K34" s="0" t="n">
        <f aca="false">MY_PS(K$2,$A34)</f>
        <v>2015</v>
      </c>
      <c r="L34" s="0" t="n">
        <f aca="false">MY_PS(L$2,$A34)</f>
        <v>2015</v>
      </c>
      <c r="M34" s="0" t="n">
        <f aca="false">MY_PS(M$2,$A34)</f>
        <v>2015</v>
      </c>
      <c r="N34" s="0" t="n">
        <f aca="false">MY_PS(N$2,$A34)</f>
        <v>2015</v>
      </c>
      <c r="O34" s="0" t="n">
        <f aca="false">MY_PS(O$2,$A34)</f>
        <v>2015</v>
      </c>
      <c r="P34" s="0" t="n">
        <f aca="false">MY_PS(P$2,$A34)</f>
        <v>2015</v>
      </c>
      <c r="Q34" s="0" t="n">
        <f aca="false">MY_PS(Q$2,$A34)</f>
        <v>2015</v>
      </c>
      <c r="R34" s="0" t="n">
        <f aca="false">MY_PS(R$2,$A34)</f>
        <v>2015</v>
      </c>
      <c r="S34" s="0" t="n">
        <f aca="false">MY_PS(S$2,$A34)</f>
        <v>2015</v>
      </c>
      <c r="T34" s="0" t="n">
        <f aca="false">MY_PS(T$2,$A34)</f>
        <v>2015</v>
      </c>
      <c r="U34" s="0" t="n">
        <f aca="false">MY_PS(U$2,$A34)</f>
        <v>2015</v>
      </c>
      <c r="V34" s="0" t="n">
        <f aca="false">MY_PS(V$2,$A34)</f>
        <v>2015</v>
      </c>
      <c r="W34" s="0" t="n">
        <f aca="false">MY_PS(W$2,$A34)</f>
        <v>2015</v>
      </c>
      <c r="X34" s="0" t="n">
        <f aca="false">MY_PS(X$2,$A34)</f>
        <v>2015</v>
      </c>
      <c r="Y34" s="0" t="n">
        <f aca="false">MY_PS(Y$2,$A34)</f>
        <v>2015</v>
      </c>
      <c r="Z34" s="0" t="n">
        <f aca="false">MY_PS(Z$2,$A34)</f>
        <v>2015</v>
      </c>
      <c r="AA34" s="0" t="n">
        <f aca="false">MY_PS(AA$2,$A34)</f>
        <v>2015</v>
      </c>
      <c r="AB34" s="0" t="n">
        <f aca="false">MY_PS(AB$2,$A34)</f>
        <v>2015</v>
      </c>
      <c r="AC34" s="0" t="n">
        <f aca="false">MY_PS(AC$2,$A34)</f>
        <v>2015</v>
      </c>
      <c r="AD34" s="0" t="n">
        <f aca="false">MY_PS(AD$2,$A34)</f>
        <v>2015</v>
      </c>
      <c r="AE34" s="0" t="n">
        <f aca="false">MY_PS(AE$2,$A34)</f>
        <v>2015</v>
      </c>
      <c r="AF34" s="0" t="n">
        <f aca="false">MY_PS(AF$2,$A34)</f>
        <v>2015</v>
      </c>
      <c r="AG34" s="0" t="n">
        <f aca="false">MY_PS(AG$2,$A34)</f>
        <v>2015</v>
      </c>
      <c r="AH34" s="0" t="n">
        <f aca="false">MY_PS(AH$2,$A34)</f>
        <v>2015</v>
      </c>
      <c r="AI34" s="0" t="n">
        <f aca="false">MY_PS(AI$2,$A34)</f>
        <v>2015</v>
      </c>
      <c r="AJ34" s="0" t="n">
        <f aca="false">MY_PS(AJ$2,$A34)</f>
        <v>2015</v>
      </c>
      <c r="AK34" s="0" t="n">
        <f aca="false">MY_PS(AK$2,$A34)</f>
        <v>2015</v>
      </c>
      <c r="AL34" s="0" t="n">
        <f aca="false">MY_PS(AL$2,$A34)</f>
        <v>0.233434888142097</v>
      </c>
      <c r="AM34" s="0" t="n">
        <f aca="false">MY_PS(AM$2,$A34)</f>
        <v>0.233858192642625</v>
      </c>
      <c r="AN34" s="0" t="n">
        <f aca="false">MY_PS(AN$2,$A34)</f>
        <v>0.234278728324243</v>
      </c>
      <c r="AO34" s="0" t="n">
        <f aca="false">MY_PS(AO$2,$A34)</f>
        <v>0.234696580945638</v>
      </c>
      <c r="AP34" s="0" t="n">
        <f aca="false">MY_PS(AP$2,$A34)</f>
        <v>0.235111831197188</v>
      </c>
      <c r="AQ34" s="0" t="n">
        <f aca="false">MY_PS(AQ$2,$A34)</f>
        <v>0.239135811853115</v>
      </c>
      <c r="AR34" s="0" t="n">
        <f aca="false">MY_PS(AR$2,$A34)</f>
        <v>0.239940197659</v>
      </c>
      <c r="AS34" s="0" t="n">
        <f aca="false">MY_PS(AS$2,$A34)</f>
        <v>0.240206820987862</v>
      </c>
    </row>
    <row r="35" customFormat="false" ht="12.8" hidden="false" customHeight="false" outlineLevel="0" collapsed="false">
      <c r="A35" s="0" t="n">
        <v>0.955383586508</v>
      </c>
      <c r="B35" s="0" t="n">
        <f aca="false">MY_PS(B$2,$A35)</f>
        <v>2015</v>
      </c>
      <c r="C35" s="0" t="n">
        <f aca="false">MY_PS(C$2,$A35)</f>
        <v>2015</v>
      </c>
      <c r="D35" s="0" t="n">
        <f aca="false">MY_PS(D$2,$A35)</f>
        <v>2015</v>
      </c>
      <c r="E35" s="0" t="n">
        <f aca="false">MY_PS(E$2,$A35)</f>
        <v>2015</v>
      </c>
      <c r="F35" s="0" t="n">
        <f aca="false">MY_PS(F$2,$A35)</f>
        <v>2015</v>
      </c>
      <c r="G35" s="0" t="n">
        <f aca="false">MY_PS(G$2,$A35)</f>
        <v>2015</v>
      </c>
      <c r="H35" s="0" t="n">
        <f aca="false">MY_PS(H$2,$A35)</f>
        <v>2015</v>
      </c>
      <c r="I35" s="0" t="n">
        <f aca="false">MY_PS(I$2,$A35)</f>
        <v>2015</v>
      </c>
      <c r="J35" s="0" t="n">
        <f aca="false">MY_PS(J$2,$A35)</f>
        <v>2015</v>
      </c>
      <c r="K35" s="0" t="n">
        <f aca="false">MY_PS(K$2,$A35)</f>
        <v>2015</v>
      </c>
      <c r="L35" s="0" t="n">
        <f aca="false">MY_PS(L$2,$A35)</f>
        <v>2015</v>
      </c>
      <c r="M35" s="0" t="n">
        <f aca="false">MY_PS(M$2,$A35)</f>
        <v>2015</v>
      </c>
      <c r="N35" s="0" t="n">
        <f aca="false">MY_PS(N$2,$A35)</f>
        <v>2015</v>
      </c>
      <c r="O35" s="0" t="n">
        <f aca="false">MY_PS(O$2,$A35)</f>
        <v>2015</v>
      </c>
      <c r="P35" s="0" t="n">
        <f aca="false">MY_PS(P$2,$A35)</f>
        <v>2015</v>
      </c>
      <c r="Q35" s="0" t="n">
        <f aca="false">MY_PS(Q$2,$A35)</f>
        <v>2015</v>
      </c>
      <c r="R35" s="0" t="n">
        <f aca="false">MY_PS(R$2,$A35)</f>
        <v>2015</v>
      </c>
      <c r="S35" s="0" t="n">
        <f aca="false">MY_PS(S$2,$A35)</f>
        <v>2015</v>
      </c>
      <c r="T35" s="0" t="n">
        <f aca="false">MY_PS(T$2,$A35)</f>
        <v>2015</v>
      </c>
      <c r="U35" s="0" t="n">
        <f aca="false">MY_PS(U$2,$A35)</f>
        <v>2015</v>
      </c>
      <c r="V35" s="0" t="n">
        <f aca="false">MY_PS(V$2,$A35)</f>
        <v>2015</v>
      </c>
      <c r="W35" s="0" t="n">
        <f aca="false">MY_PS(W$2,$A35)</f>
        <v>2015</v>
      </c>
      <c r="X35" s="0" t="n">
        <f aca="false">MY_PS(X$2,$A35)</f>
        <v>2015</v>
      </c>
      <c r="Y35" s="0" t="n">
        <f aca="false">MY_PS(Y$2,$A35)</f>
        <v>2015</v>
      </c>
      <c r="Z35" s="0" t="n">
        <f aca="false">MY_PS(Z$2,$A35)</f>
        <v>2015</v>
      </c>
      <c r="AA35" s="0" t="n">
        <f aca="false">MY_PS(AA$2,$A35)</f>
        <v>2015</v>
      </c>
      <c r="AB35" s="0" t="n">
        <f aca="false">MY_PS(AB$2,$A35)</f>
        <v>2015</v>
      </c>
      <c r="AC35" s="0" t="n">
        <f aca="false">MY_PS(AC$2,$A35)</f>
        <v>2015</v>
      </c>
      <c r="AD35" s="0" t="n">
        <f aca="false">MY_PS(AD$2,$A35)</f>
        <v>2015</v>
      </c>
      <c r="AE35" s="0" t="n">
        <f aca="false">MY_PS(AE$2,$A35)</f>
        <v>2015</v>
      </c>
      <c r="AF35" s="0" t="n">
        <f aca="false">MY_PS(AF$2,$A35)</f>
        <v>2015</v>
      </c>
      <c r="AG35" s="0" t="n">
        <f aca="false">MY_PS(AG$2,$A35)</f>
        <v>2015</v>
      </c>
      <c r="AH35" s="0" t="n">
        <f aca="false">MY_PS(AH$2,$A35)</f>
        <v>2015</v>
      </c>
      <c r="AI35" s="0" t="n">
        <f aca="false">MY_PS(AI$2,$A35)</f>
        <v>2015</v>
      </c>
      <c r="AJ35" s="0" t="n">
        <f aca="false">MY_PS(AJ$2,$A35)</f>
        <v>2015</v>
      </c>
      <c r="AK35" s="0" t="n">
        <f aca="false">MY_PS(AK$2,$A35)</f>
        <v>2015</v>
      </c>
      <c r="AL35" s="0" t="n">
        <f aca="false">MY_PS(AL$2,$A35)</f>
        <v>2015</v>
      </c>
      <c r="AM35" s="0" t="n">
        <f aca="false">MY_PS(AM$2,$A35)</f>
        <v>2015</v>
      </c>
      <c r="AN35" s="0" t="n">
        <f aca="false">MY_PS(AN$2,$A35)</f>
        <v>2015</v>
      </c>
      <c r="AO35" s="0" t="n">
        <f aca="false">MY_PS(AO$2,$A35)</f>
        <v>2015</v>
      </c>
      <c r="AP35" s="0" t="n">
        <f aca="false">MY_PS(AP$2,$A35)</f>
        <v>2015</v>
      </c>
      <c r="AQ35" s="0" t="n">
        <f aca="false">MY_PS(AQ$2,$A35)</f>
        <v>0.137888106559369</v>
      </c>
      <c r="AR35" s="0" t="n">
        <f aca="false">MY_PS(AR$2,$A35)</f>
        <v>0.140900977088478</v>
      </c>
      <c r="AS35" s="0" t="n">
        <f aca="false">MY_PS(AS$2,$A35)</f>
        <v>0.141806339366294</v>
      </c>
    </row>
    <row r="36" customFormat="false" ht="12.8" hidden="false" customHeight="false" outlineLevel="0" collapsed="false">
      <c r="A36" s="0" t="n">
        <v>1.194229483135</v>
      </c>
      <c r="B36" s="0" t="n">
        <f aca="false">MY_PS(B$2,$A36)</f>
        <v>2015</v>
      </c>
      <c r="C36" s="0" t="n">
        <f aca="false">MY_PS(C$2,$A36)</f>
        <v>2015</v>
      </c>
      <c r="D36" s="0" t="n">
        <f aca="false">MY_PS(D$2,$A36)</f>
        <v>2015</v>
      </c>
      <c r="E36" s="0" t="n">
        <f aca="false">MY_PS(E$2,$A36)</f>
        <v>2015</v>
      </c>
      <c r="F36" s="0" t="n">
        <f aca="false">MY_PS(F$2,$A36)</f>
        <v>2015</v>
      </c>
      <c r="G36" s="0" t="n">
        <f aca="false">MY_PS(G$2,$A36)</f>
        <v>2015</v>
      </c>
      <c r="H36" s="0" t="n">
        <f aca="false">MY_PS(H$2,$A36)</f>
        <v>2015</v>
      </c>
      <c r="I36" s="0" t="n">
        <f aca="false">MY_PS(I$2,$A36)</f>
        <v>2015</v>
      </c>
      <c r="J36" s="0" t="n">
        <f aca="false">MY_PS(J$2,$A36)</f>
        <v>2015</v>
      </c>
      <c r="K36" s="0" t="n">
        <f aca="false">MY_PS(K$2,$A36)</f>
        <v>2015</v>
      </c>
      <c r="L36" s="0" t="n">
        <f aca="false">MY_PS(L$2,$A36)</f>
        <v>2015</v>
      </c>
      <c r="M36" s="0" t="n">
        <f aca="false">MY_PS(M$2,$A36)</f>
        <v>2015</v>
      </c>
      <c r="N36" s="0" t="n">
        <f aca="false">MY_PS(N$2,$A36)</f>
        <v>2015</v>
      </c>
      <c r="O36" s="0" t="n">
        <f aca="false">MY_PS(O$2,$A36)</f>
        <v>2015</v>
      </c>
      <c r="P36" s="0" t="n">
        <f aca="false">MY_PS(P$2,$A36)</f>
        <v>2015</v>
      </c>
      <c r="Q36" s="0" t="n">
        <f aca="false">MY_PS(Q$2,$A36)</f>
        <v>2015</v>
      </c>
      <c r="R36" s="0" t="n">
        <f aca="false">MY_PS(R$2,$A36)</f>
        <v>2015</v>
      </c>
      <c r="S36" s="0" t="n">
        <f aca="false">MY_PS(S$2,$A36)</f>
        <v>2015</v>
      </c>
      <c r="T36" s="0" t="n">
        <f aca="false">MY_PS(T$2,$A36)</f>
        <v>2015</v>
      </c>
      <c r="U36" s="0" t="n">
        <f aca="false">MY_PS(U$2,$A36)</f>
        <v>2015</v>
      </c>
      <c r="V36" s="0" t="n">
        <f aca="false">MY_PS(V$2,$A36)</f>
        <v>2015</v>
      </c>
      <c r="W36" s="0" t="n">
        <f aca="false">MY_PS(W$2,$A36)</f>
        <v>2015</v>
      </c>
      <c r="X36" s="0" t="n">
        <f aca="false">MY_PS(X$2,$A36)</f>
        <v>2015</v>
      </c>
      <c r="Y36" s="0" t="n">
        <f aca="false">MY_PS(Y$2,$A36)</f>
        <v>2015</v>
      </c>
      <c r="Z36" s="0" t="n">
        <f aca="false">MY_PS(Z$2,$A36)</f>
        <v>2015</v>
      </c>
      <c r="AA36" s="0" t="n">
        <f aca="false">MY_PS(AA$2,$A36)</f>
        <v>2015</v>
      </c>
      <c r="AB36" s="0" t="n">
        <f aca="false">MY_PS(AB$2,$A36)</f>
        <v>2015</v>
      </c>
      <c r="AC36" s="0" t="n">
        <f aca="false">MY_PS(AC$2,$A36)</f>
        <v>2015</v>
      </c>
      <c r="AD36" s="0" t="n">
        <f aca="false">MY_PS(AD$2,$A36)</f>
        <v>2015</v>
      </c>
      <c r="AE36" s="0" t="n">
        <f aca="false">MY_PS(AE$2,$A36)</f>
        <v>2015</v>
      </c>
      <c r="AF36" s="0" t="n">
        <f aca="false">MY_PS(AF$2,$A36)</f>
        <v>2015</v>
      </c>
      <c r="AG36" s="0" t="n">
        <f aca="false">MY_PS(AG$2,$A36)</f>
        <v>2015</v>
      </c>
      <c r="AH36" s="0" t="n">
        <f aca="false">MY_PS(AH$2,$A36)</f>
        <v>2015</v>
      </c>
      <c r="AI36" s="0" t="n">
        <f aca="false">MY_PS(AI$2,$A36)</f>
        <v>2015</v>
      </c>
      <c r="AJ36" s="0" t="n">
        <f aca="false">MY_PS(AJ$2,$A36)</f>
        <v>2015</v>
      </c>
      <c r="AK36" s="0" t="n">
        <f aca="false">MY_PS(AK$2,$A36)</f>
        <v>2015</v>
      </c>
      <c r="AL36" s="0" t="n">
        <f aca="false">MY_PS(AL$2,$A36)</f>
        <v>2015</v>
      </c>
      <c r="AM36" s="0" t="n">
        <f aca="false">MY_PS(AM$2,$A36)</f>
        <v>2015</v>
      </c>
      <c r="AN36" s="0" t="n">
        <f aca="false">MY_PS(AN$2,$A36)</f>
        <v>2015</v>
      </c>
      <c r="AO36" s="0" t="n">
        <f aca="false">MY_PS(AO$2,$A36)</f>
        <v>2015</v>
      </c>
      <c r="AP36" s="0" t="n">
        <f aca="false">MY_PS(AP$2,$A36)</f>
        <v>2015</v>
      </c>
      <c r="AQ36" s="0" t="n">
        <f aca="false">MY_PS(AQ$2,$A36)</f>
        <v>0.0651802478150334</v>
      </c>
      <c r="AR36" s="0" t="n">
        <f aca="false">MY_PS(AR$2,$A36)</f>
        <v>0.0685121534268651</v>
      </c>
      <c r="AS36" s="0" t="n">
        <f aca="false">MY_PS(AS$2,$A36)</f>
        <v>0.0695992827194816</v>
      </c>
    </row>
    <row r="37" customFormat="false" ht="12.8" hidden="false" customHeight="false" outlineLevel="0" collapsed="false">
      <c r="A37" s="0" t="n">
        <v>1.433075379762</v>
      </c>
      <c r="B37" s="0" t="n">
        <f aca="false">MY_PS(B$2,$A37)</f>
        <v>2015</v>
      </c>
      <c r="C37" s="0" t="n">
        <f aca="false">MY_PS(C$2,$A37)</f>
        <v>2015</v>
      </c>
      <c r="D37" s="0" t="n">
        <f aca="false">MY_PS(D$2,$A37)</f>
        <v>2015</v>
      </c>
      <c r="E37" s="0" t="n">
        <f aca="false">MY_PS(E$2,$A37)</f>
        <v>2015</v>
      </c>
      <c r="F37" s="0" t="n">
        <f aca="false">MY_PS(F$2,$A37)</f>
        <v>2015</v>
      </c>
      <c r="G37" s="0" t="n">
        <f aca="false">MY_PS(G$2,$A37)</f>
        <v>2015</v>
      </c>
      <c r="H37" s="0" t="n">
        <f aca="false">MY_PS(H$2,$A37)</f>
        <v>2015</v>
      </c>
      <c r="I37" s="0" t="n">
        <f aca="false">MY_PS(I$2,$A37)</f>
        <v>2015</v>
      </c>
      <c r="J37" s="0" t="n">
        <f aca="false">MY_PS(J$2,$A37)</f>
        <v>2015</v>
      </c>
      <c r="K37" s="0" t="n">
        <f aca="false">MY_PS(K$2,$A37)</f>
        <v>2015</v>
      </c>
      <c r="L37" s="0" t="n">
        <f aca="false">MY_PS(L$2,$A37)</f>
        <v>2015</v>
      </c>
      <c r="M37" s="0" t="n">
        <f aca="false">MY_PS(M$2,$A37)</f>
        <v>2015</v>
      </c>
      <c r="N37" s="0" t="n">
        <f aca="false">MY_PS(N$2,$A37)</f>
        <v>2015</v>
      </c>
      <c r="O37" s="0" t="n">
        <f aca="false">MY_PS(O$2,$A37)</f>
        <v>2015</v>
      </c>
      <c r="P37" s="0" t="n">
        <f aca="false">MY_PS(P$2,$A37)</f>
        <v>2015</v>
      </c>
      <c r="Q37" s="0" t="n">
        <f aca="false">MY_PS(Q$2,$A37)</f>
        <v>2015</v>
      </c>
      <c r="R37" s="0" t="n">
        <f aca="false">MY_PS(R$2,$A37)</f>
        <v>2015</v>
      </c>
      <c r="S37" s="0" t="n">
        <f aca="false">MY_PS(S$2,$A37)</f>
        <v>2015</v>
      </c>
      <c r="T37" s="0" t="n">
        <f aca="false">MY_PS(T$2,$A37)</f>
        <v>2015</v>
      </c>
      <c r="U37" s="0" t="n">
        <f aca="false">MY_PS(U$2,$A37)</f>
        <v>2015</v>
      </c>
      <c r="V37" s="0" t="n">
        <f aca="false">MY_PS(V$2,$A37)</f>
        <v>2015</v>
      </c>
      <c r="W37" s="0" t="n">
        <f aca="false">MY_PS(W$2,$A37)</f>
        <v>2015</v>
      </c>
      <c r="X37" s="0" t="n">
        <f aca="false">MY_PS(X$2,$A37)</f>
        <v>2015</v>
      </c>
      <c r="Y37" s="0" t="n">
        <f aca="false">MY_PS(Y$2,$A37)</f>
        <v>2015</v>
      </c>
      <c r="Z37" s="0" t="n">
        <f aca="false">MY_PS(Z$2,$A37)</f>
        <v>2015</v>
      </c>
      <c r="AA37" s="0" t="n">
        <f aca="false">MY_PS(AA$2,$A37)</f>
        <v>2015</v>
      </c>
      <c r="AB37" s="0" t="n">
        <f aca="false">MY_PS(AB$2,$A37)</f>
        <v>2015</v>
      </c>
      <c r="AC37" s="0" t="n">
        <f aca="false">MY_PS(AC$2,$A37)</f>
        <v>2015</v>
      </c>
      <c r="AD37" s="0" t="n">
        <f aca="false">MY_PS(AD$2,$A37)</f>
        <v>2015</v>
      </c>
      <c r="AE37" s="0" t="n">
        <f aca="false">MY_PS(AE$2,$A37)</f>
        <v>2015</v>
      </c>
      <c r="AF37" s="0" t="n">
        <f aca="false">MY_PS(AF$2,$A37)</f>
        <v>2015</v>
      </c>
      <c r="AG37" s="0" t="n">
        <f aca="false">MY_PS(AG$2,$A37)</f>
        <v>2015</v>
      </c>
      <c r="AH37" s="0" t="n">
        <f aca="false">MY_PS(AH$2,$A37)</f>
        <v>2015</v>
      </c>
      <c r="AI37" s="0" t="n">
        <f aca="false">MY_PS(AI$2,$A37)</f>
        <v>2015</v>
      </c>
      <c r="AJ37" s="0" t="n">
        <f aca="false">MY_PS(AJ$2,$A37)</f>
        <v>2015</v>
      </c>
      <c r="AK37" s="0" t="n">
        <f aca="false">MY_PS(AK$2,$A37)</f>
        <v>0.0440224657023961</v>
      </c>
      <c r="AL37" s="0" t="n">
        <f aca="false">MY_PS(AL$2,$A37)</f>
        <v>0.0464805121519284</v>
      </c>
      <c r="AM37" s="0" t="n">
        <f aca="false">MY_PS(AM$2,$A37)</f>
        <v>0.0487340239197509</v>
      </c>
      <c r="AN37" s="0" t="n">
        <f aca="false">MY_PS(AN$2,$A37)</f>
        <v>0.0508181028353021</v>
      </c>
      <c r="AO37" s="0" t="n">
        <f aca="false">MY_PS(AO$2,$A37)</f>
        <v>0.052763056720135</v>
      </c>
      <c r="AP37" s="0" t="n">
        <f aca="false">MY_PS(AP$2,$A37)</f>
        <v>0.0545923161633294</v>
      </c>
      <c r="AQ37" s="0" t="n">
        <f aca="false">MY_PS(AQ$2,$A37)</f>
        <v>0.0690702122803054</v>
      </c>
      <c r="AR37" s="0" t="n">
        <f aca="false">MY_PS(AR$2,$A37)</f>
        <v>0.0715178325790152</v>
      </c>
      <c r="AS37" s="0" t="n">
        <f aca="false">MY_PS(AS$2,$A37)</f>
        <v>0.0723069473678063</v>
      </c>
    </row>
    <row r="38" customFormat="false" ht="12.8" hidden="false" customHeight="false" outlineLevel="0" collapsed="false">
      <c r="A38" s="0" t="n">
        <v>1.671921276389</v>
      </c>
      <c r="B38" s="0" t="n">
        <f aca="false">MY_PS(B$2,$A38)</f>
        <v>2015</v>
      </c>
      <c r="C38" s="0" t="n">
        <f aca="false">MY_PS(C$2,$A38)</f>
        <v>2015</v>
      </c>
      <c r="D38" s="0" t="n">
        <f aca="false">MY_PS(D$2,$A38)</f>
        <v>2015</v>
      </c>
      <c r="E38" s="0" t="n">
        <f aca="false">MY_PS(E$2,$A38)</f>
        <v>2015</v>
      </c>
      <c r="F38" s="0" t="n">
        <f aca="false">MY_PS(F$2,$A38)</f>
        <v>2015</v>
      </c>
      <c r="G38" s="0" t="n">
        <f aca="false">MY_PS(G$2,$A38)</f>
        <v>2015</v>
      </c>
      <c r="H38" s="0" t="n">
        <f aca="false">MY_PS(H$2,$A38)</f>
        <v>2015</v>
      </c>
      <c r="I38" s="0" t="n">
        <f aca="false">MY_PS(I$2,$A38)</f>
        <v>2015</v>
      </c>
      <c r="J38" s="0" t="n">
        <f aca="false">MY_PS(J$2,$A38)</f>
        <v>2015</v>
      </c>
      <c r="K38" s="0" t="n">
        <f aca="false">MY_PS(K$2,$A38)</f>
        <v>2015</v>
      </c>
      <c r="L38" s="0" t="n">
        <f aca="false">MY_PS(L$2,$A38)</f>
        <v>2015</v>
      </c>
      <c r="M38" s="0" t="n">
        <f aca="false">MY_PS(M$2,$A38)</f>
        <v>2015</v>
      </c>
      <c r="N38" s="0" t="n">
        <f aca="false">MY_PS(N$2,$A38)</f>
        <v>2015</v>
      </c>
      <c r="O38" s="0" t="n">
        <f aca="false">MY_PS(O$2,$A38)</f>
        <v>2015</v>
      </c>
      <c r="P38" s="0" t="n">
        <f aca="false">MY_PS(P$2,$A38)</f>
        <v>2015</v>
      </c>
      <c r="Q38" s="0" t="n">
        <f aca="false">MY_PS(Q$2,$A38)</f>
        <v>2015</v>
      </c>
      <c r="R38" s="0" t="n">
        <f aca="false">MY_PS(R$2,$A38)</f>
        <v>2015</v>
      </c>
      <c r="S38" s="0" t="n">
        <f aca="false">MY_PS(S$2,$A38)</f>
        <v>2015</v>
      </c>
      <c r="T38" s="0" t="n">
        <f aca="false">MY_PS(T$2,$A38)</f>
        <v>2015</v>
      </c>
      <c r="U38" s="0" t="n">
        <f aca="false">MY_PS(U$2,$A38)</f>
        <v>2015</v>
      </c>
      <c r="V38" s="0" t="n">
        <f aca="false">MY_PS(V$2,$A38)</f>
        <v>2015</v>
      </c>
      <c r="W38" s="0" t="n">
        <f aca="false">MY_PS(W$2,$A38)</f>
        <v>2015</v>
      </c>
      <c r="X38" s="0" t="n">
        <f aca="false">MY_PS(X$2,$A38)</f>
        <v>2015</v>
      </c>
      <c r="Y38" s="0" t="n">
        <f aca="false">MY_PS(Y$2,$A38)</f>
        <v>2015</v>
      </c>
      <c r="Z38" s="0" t="n">
        <f aca="false">MY_PS(Z$2,$A38)</f>
        <v>0.0326187618093107</v>
      </c>
      <c r="AA38" s="0" t="n">
        <f aca="false">MY_PS(AA$2,$A38)</f>
        <v>0.0352637026786403</v>
      </c>
      <c r="AB38" s="0" t="n">
        <f aca="false">MY_PS(AB$2,$A38)</f>
        <v>0.0375040908932756</v>
      </c>
      <c r="AC38" s="0" t="n">
        <f aca="false">MY_PS(AC$2,$A38)</f>
        <v>0.039455326377902</v>
      </c>
      <c r="AD38" s="0" t="n">
        <f aca="false">MY_PS(AD$2,$A38)</f>
        <v>0.0411894453907375</v>
      </c>
      <c r="AE38" s="0" t="n">
        <f aca="false">MY_PS(AE$2,$A38)</f>
        <v>0.0427541552755295</v>
      </c>
      <c r="AF38" s="0" t="n">
        <f aca="false">MY_PS(AF$2,$A38)</f>
        <v>0.0441826485207093</v>
      </c>
      <c r="AG38" s="0" t="n">
        <f aca="false">MY_PS(AG$2,$A38)</f>
        <v>0.0454989584281317</v>
      </c>
      <c r="AH38" s="0" t="n">
        <f aca="false">MY_PS(AH$2,$A38)</f>
        <v>0.0550664709333584</v>
      </c>
      <c r="AI38" s="0" t="n">
        <f aca="false">MY_PS(AI$2,$A38)</f>
        <v>0.0613921772606819</v>
      </c>
      <c r="AJ38" s="0" t="n">
        <f aca="false">MY_PS(AJ$2,$A38)</f>
        <v>0.0662088354946666</v>
      </c>
      <c r="AK38" s="0" t="n">
        <f aca="false">MY_PS(AK$2,$A38)</f>
        <v>0.0701345988832796</v>
      </c>
      <c r="AL38" s="0" t="n">
        <f aca="false">MY_PS(AL$2,$A38)</f>
        <v>0.0734671435597454</v>
      </c>
      <c r="AM38" s="0" t="n">
        <f aca="false">MY_PS(AM$2,$A38)</f>
        <v>0.076375136661433</v>
      </c>
      <c r="AN38" s="0" t="n">
        <f aca="false">MY_PS(AN$2,$A38)</f>
        <v>0.0789627829309715</v>
      </c>
      <c r="AO38" s="0" t="n">
        <f aca="false">MY_PS(AO$2,$A38)</f>
        <v>0.0812997104051271</v>
      </c>
      <c r="AP38" s="0" t="n">
        <f aca="false">MY_PS(AP$2,$A38)</f>
        <v>0.0834348024273685</v>
      </c>
      <c r="AQ38" s="0" t="n">
        <f aca="false">MY_PS(AQ$2,$A38)</f>
        <v>0.0986479495774877</v>
      </c>
      <c r="AR38" s="0" t="n">
        <f aca="false">MY_PS(AR$2,$A38)</f>
        <v>0.100990001330175</v>
      </c>
      <c r="AS38" s="0" t="n">
        <f aca="false">MY_PS(AS$2,$A38)</f>
        <v>2015</v>
      </c>
    </row>
    <row r="39" customFormat="false" ht="12.8" hidden="false" customHeight="false" outlineLevel="0" collapsed="false">
      <c r="A39" s="0" t="n">
        <v>1.910767173016</v>
      </c>
      <c r="B39" s="0" t="n">
        <f aca="false">MY_PS(B$2,$A39)</f>
        <v>2015</v>
      </c>
      <c r="C39" s="0" t="n">
        <f aca="false">MY_PS(C$2,$A39)</f>
        <v>2015</v>
      </c>
      <c r="D39" s="0" t="n">
        <f aca="false">MY_PS(D$2,$A39)</f>
        <v>2015</v>
      </c>
      <c r="E39" s="0" t="n">
        <f aca="false">MY_PS(E$2,$A39)</f>
        <v>2015</v>
      </c>
      <c r="F39" s="0" t="n">
        <f aca="false">MY_PS(F$2,$A39)</f>
        <v>2015</v>
      </c>
      <c r="G39" s="0" t="n">
        <f aca="false">MY_PS(G$2,$A39)</f>
        <v>2015</v>
      </c>
      <c r="H39" s="0" t="n">
        <f aca="false">MY_PS(H$2,$A39)</f>
        <v>2015</v>
      </c>
      <c r="I39" s="0" t="n">
        <f aca="false">MY_PS(I$2,$A39)</f>
        <v>2015</v>
      </c>
      <c r="J39" s="0" t="n">
        <f aca="false">MY_PS(J$2,$A39)</f>
        <v>2015</v>
      </c>
      <c r="K39" s="0" t="n">
        <f aca="false">MY_PS(K$2,$A39)</f>
        <v>2015</v>
      </c>
      <c r="L39" s="0" t="n">
        <f aca="false">MY_PS(L$2,$A39)</f>
        <v>2015</v>
      </c>
      <c r="M39" s="0" t="n">
        <f aca="false">MY_PS(M$2,$A39)</f>
        <v>2015</v>
      </c>
      <c r="N39" s="0" t="n">
        <f aca="false">MY_PS(N$2,$A39)</f>
        <v>2015</v>
      </c>
      <c r="O39" s="0" t="n">
        <f aca="false">MY_PS(O$2,$A39)</f>
        <v>2015</v>
      </c>
      <c r="P39" s="0" t="n">
        <f aca="false">MY_PS(P$2,$A39)</f>
        <v>0.0278045793159237</v>
      </c>
      <c r="Q39" s="0" t="n">
        <f aca="false">MY_PS(Q$2,$A39)</f>
        <v>0.0309379814812855</v>
      </c>
      <c r="R39" s="0" t="n">
        <f aca="false">MY_PS(R$2,$A39)</f>
        <v>0.0334671643800982</v>
      </c>
      <c r="S39" s="0" t="n">
        <f aca="false">MY_PS(S$2,$A39)</f>
        <v>0.0356012739735998</v>
      </c>
      <c r="T39" s="0" t="n">
        <f aca="false">MY_PS(T$2,$A39)</f>
        <v>0.0374560042097257</v>
      </c>
      <c r="U39" s="0" t="n">
        <f aca="false">MY_PS(U$2,$A39)</f>
        <v>0.0391016442751043</v>
      </c>
      <c r="V39" s="0" t="n">
        <f aca="false">MY_PS(V$2,$A39)</f>
        <v>0.0405842251244049</v>
      </c>
      <c r="W39" s="0" t="n">
        <f aca="false">MY_PS(W$2,$A39)</f>
        <v>0.0419356516569892</v>
      </c>
      <c r="X39" s="0" t="n">
        <f aca="false">MY_PS(X$2,$A39)</f>
        <v>0.0431790230354079</v>
      </c>
      <c r="Y39" s="0" t="n">
        <f aca="false">MY_PS(Y$2,$A39)</f>
        <v>0.0521520038195511</v>
      </c>
      <c r="Z39" s="0" t="n">
        <f aca="false">MY_PS(Z$2,$A39)</f>
        <v>0.0580135702286204</v>
      </c>
      <c r="AA39" s="0" t="n">
        <f aca="false">MY_PS(AA$2,$A39)</f>
        <v>0.0624306632274591</v>
      </c>
      <c r="AB39" s="0" t="n">
        <f aca="false">MY_PS(AB$2,$A39)</f>
        <v>0.0659974093195874</v>
      </c>
      <c r="AC39" s="0" t="n">
        <f aca="false">MY_PS(AC$2,$A39)</f>
        <v>0.0689990815765697</v>
      </c>
      <c r="AD39" s="0" t="n">
        <f aca="false">MY_PS(AD$2,$A39)</f>
        <v>0.0715960674061766</v>
      </c>
      <c r="AE39" s="0" t="n">
        <f aca="false">MY_PS(AE$2,$A39)</f>
        <v>0.0738880221804364</v>
      </c>
      <c r="AF39" s="0" t="n">
        <f aca="false">MY_PS(AF$2,$A39)</f>
        <v>0.0759413295719125</v>
      </c>
      <c r="AG39" s="0" t="n">
        <f aca="false">MY_PS(AG$2,$A39)</f>
        <v>0.0778025444291192</v>
      </c>
      <c r="AH39" s="0" t="n">
        <f aca="false">MY_PS(AH$2,$A39)</f>
        <v>0.0905841761043166</v>
      </c>
      <c r="AI39" s="0" t="n">
        <f aca="false">MY_PS(AI$2,$A39)</f>
        <v>0.0984566246858993</v>
      </c>
      <c r="AJ39" s="0" t="n">
        <f aca="false">MY_PS(AJ$2,$A39)</f>
        <v>0.104203646771505</v>
      </c>
      <c r="AK39" s="0" t="n">
        <f aca="false">MY_PS(AK$2,$A39)</f>
        <v>4874462.946665</v>
      </c>
      <c r="AL39" s="0" t="n">
        <f aca="false">MY_PS(AL$2,$A39)</f>
        <v>4874462.946665</v>
      </c>
      <c r="AM39" s="0" t="n">
        <f aca="false">MY_PS(AM$2,$A39)</f>
        <v>4874462.946665</v>
      </c>
      <c r="AN39" s="0" t="n">
        <f aca="false">MY_PS(AN$2,$A39)</f>
        <v>4874462.946665</v>
      </c>
      <c r="AO39" s="0" t="n">
        <f aca="false">MY_PS(AO$2,$A39)</f>
        <v>4874462.946665</v>
      </c>
      <c r="AP39" s="0" t="n">
        <f aca="false">MY_PS(AP$2,$A39)</f>
        <v>2015</v>
      </c>
      <c r="AQ39" s="0" t="n">
        <f aca="false">MY_PS(AQ$2,$A39)</f>
        <v>2015</v>
      </c>
      <c r="AR39" s="0" t="n">
        <f aca="false">MY_PS(AR$2,$A39)</f>
        <v>2015</v>
      </c>
      <c r="AS39" s="0" t="n">
        <f aca="false">MY_PS(AS$2,$A39)</f>
        <v>2015</v>
      </c>
    </row>
    <row r="40" customFormat="false" ht="12.8" hidden="false" customHeight="false" outlineLevel="0" collapsed="false">
      <c r="A40" s="0" t="n">
        <v>2.149613069643</v>
      </c>
      <c r="B40" s="0" t="n">
        <f aca="false">MY_PS(B$2,$A40)</f>
        <v>2015</v>
      </c>
      <c r="C40" s="0" t="n">
        <f aca="false">MY_PS(C$2,$A40)</f>
        <v>2015</v>
      </c>
      <c r="D40" s="0" t="n">
        <f aca="false">MY_PS(D$2,$A40)</f>
        <v>2015</v>
      </c>
      <c r="E40" s="0" t="n">
        <f aca="false">MY_PS(E$2,$A40)</f>
        <v>2015</v>
      </c>
      <c r="F40" s="0" t="n">
        <f aca="false">MY_PS(F$2,$A40)</f>
        <v>0.0229855701679693</v>
      </c>
      <c r="G40" s="0" t="n">
        <f aca="false">MY_PS(G$2,$A40)</f>
        <v>0.0268351278033263</v>
      </c>
      <c r="H40" s="0" t="n">
        <f aca="false">MY_PS(H$2,$A40)</f>
        <v>0.0297989418013177</v>
      </c>
      <c r="I40" s="0" t="n">
        <f aca="false">MY_PS(I$2,$A40)</f>
        <v>0.0322069784633977</v>
      </c>
      <c r="J40" s="0" t="n">
        <f aca="false">MY_PS(J$2,$A40)</f>
        <v>0.0342469137240984</v>
      </c>
      <c r="K40" s="0" t="n">
        <f aca="false">MY_PS(K$2,$A40)</f>
        <v>0.0360244343428993</v>
      </c>
      <c r="L40" s="0" t="n">
        <f aca="false">MY_PS(L$2,$A40)</f>
        <v>0.0376045313442618</v>
      </c>
      <c r="M40" s="0" t="n">
        <f aca="false">MY_PS(M$2,$A40)</f>
        <v>0.0390301139158361</v>
      </c>
      <c r="N40" s="0" t="n">
        <f aca="false">MY_PS(N$2,$A40)</f>
        <v>0.0403310897159676</v>
      </c>
      <c r="O40" s="0" t="n">
        <f aca="false">MY_PS(O$2,$A40)</f>
        <v>0.0415291983571746</v>
      </c>
      <c r="P40" s="0" t="n">
        <f aca="false">MY_PS(P$2,$A40)</f>
        <v>0.0502020964704797</v>
      </c>
      <c r="Q40" s="0" t="n">
        <f aca="false">MY_PS(Q$2,$A40)</f>
        <v>0.0558867580670289</v>
      </c>
      <c r="R40" s="0" t="n">
        <f aca="false">MY_PS(R$2,$A40)</f>
        <v>0.060177271004613</v>
      </c>
      <c r="S40" s="0" t="n">
        <f aca="false">MY_PS(S$2,$A40)</f>
        <v>0.0636447170488931</v>
      </c>
      <c r="T40" s="0" t="n">
        <f aca="false">MY_PS(T$2,$A40)</f>
        <v>0.0665642004902866</v>
      </c>
      <c r="U40" s="0" t="n">
        <f aca="false">MY_PS(U$2,$A40)</f>
        <v>0.0690907459548666</v>
      </c>
      <c r="V40" s="0" t="n">
        <f aca="false">MY_PS(V$2,$A40)</f>
        <v>0.071320834549395</v>
      </c>
      <c r="W40" s="0" t="n">
        <f aca="false">MY_PS(W$2,$A40)</f>
        <v>0.0733188117683448</v>
      </c>
      <c r="X40" s="0" t="n">
        <f aca="false">MY_PS(X$2,$A40)</f>
        <v>0.075129842562126</v>
      </c>
      <c r="Y40" s="0" t="n">
        <f aca="false">MY_PS(Y$2,$A40)</f>
        <v>0.0875573578421858</v>
      </c>
      <c r="Z40" s="0" t="n">
        <f aca="false">MY_PS(Z$2,$A40)</f>
        <v>0.095191209518765</v>
      </c>
      <c r="AA40" s="0" t="n">
        <f aca="false">MY_PS(AA$2,$A40)</f>
        <v>0.100746050110668</v>
      </c>
      <c r="AB40" s="0" t="n">
        <f aca="false">MY_PS(AB$2,$A40)</f>
        <v>0.105127872861681</v>
      </c>
      <c r="AC40" s="0" t="n">
        <f aca="false">MY_PS(AC$2,$A40)</f>
        <v>4874462.946665</v>
      </c>
      <c r="AD40" s="0" t="n">
        <f aca="false">MY_PS(AD$2,$A40)</f>
        <v>4874462.946665</v>
      </c>
      <c r="AE40" s="0" t="n">
        <f aca="false">MY_PS(AE$2,$A40)</f>
        <v>4874462.946665</v>
      </c>
      <c r="AF40" s="0" t="n">
        <f aca="false">MY_PS(AF$2,$A40)</f>
        <v>4874462.946665</v>
      </c>
      <c r="AG40" s="0" t="n">
        <f aca="false">MY_PS(AG$2,$A40)</f>
        <v>4874462.946665</v>
      </c>
      <c r="AH40" s="0" t="n">
        <f aca="false">MY_PS(AH$2,$A40)</f>
        <v>4874462.946665</v>
      </c>
      <c r="AI40" s="0" t="n">
        <f aca="false">MY_PS(AI$2,$A40)</f>
        <v>4874462.946665</v>
      </c>
      <c r="AJ40" s="0" t="n">
        <f aca="false">MY_PS(AJ$2,$A40)</f>
        <v>4874462.946665</v>
      </c>
      <c r="AK40" s="0" t="n">
        <f aca="false">MY_PS(AK$2,$A40)</f>
        <v>4874462.946665</v>
      </c>
      <c r="AL40" s="0" t="n">
        <f aca="false">MY_PS(AL$2,$A40)</f>
        <v>4874462.946665</v>
      </c>
      <c r="AM40" s="0" t="n">
        <f aca="false">MY_PS(AM$2,$A40)</f>
        <v>4874462.946665</v>
      </c>
      <c r="AN40" s="0" t="n">
        <f aca="false">MY_PS(AN$2,$A40)</f>
        <v>4874462.946665</v>
      </c>
      <c r="AO40" s="0" t="n">
        <f aca="false">MY_PS(AO$2,$A40)</f>
        <v>4874462.946665</v>
      </c>
      <c r="AP40" s="0" t="n">
        <f aca="false">MY_PS(AP$2,$A40)</f>
        <v>2015</v>
      </c>
      <c r="AQ40" s="0" t="n">
        <f aca="false">MY_PS(AQ$2,$A40)</f>
        <v>2015</v>
      </c>
      <c r="AR40" s="0" t="n">
        <f aca="false">MY_PS(AR$2,$A40)</f>
        <v>2015</v>
      </c>
      <c r="AS40" s="0" t="n">
        <f aca="false">MY_PS(AS$2,$A40)</f>
        <v>2015</v>
      </c>
    </row>
    <row r="41" customFormat="false" ht="12.8" hidden="false" customHeight="false" outlineLevel="0" collapsed="false">
      <c r="A41" s="0" t="n">
        <v>2.185</v>
      </c>
      <c r="B41" s="0" t="n">
        <f aca="false">MY_PS(B$2,$A41)</f>
        <v>2015</v>
      </c>
      <c r="C41" s="0" t="n">
        <f aca="false">MY_PS(C$2,$A41)</f>
        <v>0.0228473279851083</v>
      </c>
      <c r="D41" s="0" t="n">
        <f aca="false">MY_PS(D$2,$A41)</f>
        <v>0.0234467015757982</v>
      </c>
      <c r="E41" s="0" t="n">
        <f aca="false">MY_PS(E$2,$A41)</f>
        <v>0.0240266610482638</v>
      </c>
      <c r="F41" s="0" t="n">
        <f aca="false">MY_PS(F$2,$A41)</f>
        <v>0.0245851908619083</v>
      </c>
      <c r="G41" s="0" t="n">
        <f aca="false">MY_PS(G$2,$A41)</f>
        <v>0.0291502211058817</v>
      </c>
      <c r="H41" s="0" t="n">
        <f aca="false">MY_PS(H$2,$A41)</f>
        <v>0.0325098291152478</v>
      </c>
      <c r="I41" s="0" t="n">
        <f aca="false">MY_PS(I$2,$A41)</f>
        <v>0.035194717769568</v>
      </c>
      <c r="J41" s="0" t="n">
        <f aca="false">MY_PS(J$2,$A41)</f>
        <v>0.0374476836382505</v>
      </c>
      <c r="K41" s="0" t="n">
        <f aca="false">MY_PS(K$2,$A41)</f>
        <v>0.0393980297158365</v>
      </c>
      <c r="L41" s="0" t="n">
        <f aca="false">MY_PS(L$2,$A41)</f>
        <v>0.0411231988722472</v>
      </c>
      <c r="M41" s="0" t="n">
        <f aca="false">MY_PS(M$2,$A41)</f>
        <v>0.0426735157427393</v>
      </c>
      <c r="N41" s="0" t="n">
        <f aca="false">MY_PS(N$2,$A41)</f>
        <v>0.0440836764857122</v>
      </c>
      <c r="O41" s="0" t="n">
        <f aca="false">MY_PS(O$2,$A41)</f>
        <v>0.0453786978342813</v>
      </c>
      <c r="P41" s="0" t="n">
        <f aca="false">MY_PS(P$2,$A41)</f>
        <v>0.0546654979368308</v>
      </c>
      <c r="Q41" s="0" t="n">
        <f aca="false">MY_PS(Q$2,$A41)</f>
        <v>0.0606840835749289</v>
      </c>
      <c r="R41" s="0" t="n">
        <f aca="false">MY_PS(R$2,$A41)</f>
        <v>0.065197361241511</v>
      </c>
      <c r="S41" s="0" t="n">
        <f aca="false">MY_PS(S$2,$A41)</f>
        <v>0.0688285981796633</v>
      </c>
      <c r="T41" s="0" t="n">
        <f aca="false">MY_PS(T$2,$A41)</f>
        <v>0.0718757083574299</v>
      </c>
      <c r="U41" s="0" t="n">
        <f aca="false">MY_PS(U$2,$A41)</f>
        <v>0.074505645418013</v>
      </c>
      <c r="V41" s="0" t="n">
        <f aca="false">MY_PS(V$2,$A41)</f>
        <v>0.0768218729235783</v>
      </c>
      <c r="W41" s="0" t="n">
        <f aca="false">MY_PS(W$2,$A41)</f>
        <v>0.07889315498151</v>
      </c>
      <c r="X41" s="0" t="n">
        <f aca="false">MY_PS(X$2,$A41)</f>
        <v>0.0807676179952731</v>
      </c>
      <c r="Y41" s="0" t="n">
        <f aca="false">MY_PS(Y$2,$A41)</f>
        <v>0.0935621874345349</v>
      </c>
      <c r="Z41" s="0" t="n">
        <f aca="false">MY_PS(Z$2,$A41)</f>
        <v>0.10137093583093</v>
      </c>
      <c r="AA41" s="0" t="n">
        <f aca="false">MY_PS(AA$2,$A41)</f>
        <v>4874462.946665</v>
      </c>
      <c r="AB41" s="0" t="n">
        <f aca="false">MY_PS(AB$2,$A41)</f>
        <v>4874462.946665</v>
      </c>
      <c r="AC41" s="0" t="n">
        <f aca="false">MY_PS(AC$2,$A41)</f>
        <v>4874462.946665</v>
      </c>
      <c r="AD41" s="0" t="n">
        <f aca="false">MY_PS(AD$2,$A41)</f>
        <v>4874462.946665</v>
      </c>
      <c r="AE41" s="0" t="n">
        <f aca="false">MY_PS(AE$2,$A41)</f>
        <v>4874462.946665</v>
      </c>
      <c r="AF41" s="0" t="n">
        <f aca="false">MY_PS(AF$2,$A41)</f>
        <v>4874462.946665</v>
      </c>
      <c r="AG41" s="0" t="n">
        <f aca="false">MY_PS(AG$2,$A41)</f>
        <v>4874462.946665</v>
      </c>
      <c r="AH41" s="0" t="n">
        <f aca="false">MY_PS(AH$2,$A41)</f>
        <v>4874462.946665</v>
      </c>
      <c r="AI41" s="0" t="n">
        <f aca="false">MY_PS(AI$2,$A41)</f>
        <v>4874462.946665</v>
      </c>
      <c r="AJ41" s="0" t="n">
        <f aca="false">MY_PS(AJ$2,$A41)</f>
        <v>4874462.946665</v>
      </c>
      <c r="AK41" s="0" t="n">
        <f aca="false">MY_PS(AK$2,$A41)</f>
        <v>4874462.946665</v>
      </c>
      <c r="AL41" s="0" t="n">
        <f aca="false">MY_PS(AL$2,$A41)</f>
        <v>4874462.946665</v>
      </c>
      <c r="AM41" s="0" t="n">
        <f aca="false">MY_PS(AM$2,$A41)</f>
        <v>4874462.946665</v>
      </c>
      <c r="AN41" s="0" t="n">
        <f aca="false">MY_PS(AN$2,$A41)</f>
        <v>4874462.946665</v>
      </c>
      <c r="AO41" s="0" t="n">
        <f aca="false">MY_PS(AO$2,$A41)</f>
        <v>4874462.946665</v>
      </c>
      <c r="AP41" s="0" t="n">
        <f aca="false">MY_PS(AP$2,$A41)</f>
        <v>2015</v>
      </c>
      <c r="AQ41" s="0" t="n">
        <f aca="false">MY_PS(AQ$2,$A41)</f>
        <v>2015</v>
      </c>
      <c r="AR41" s="0" t="n">
        <f aca="false">MY_PS(AR$2,$A41)</f>
        <v>2015</v>
      </c>
      <c r="AS41" s="0" t="n">
        <f aca="false">MY_PS(AS$2,$A41)</f>
        <v>2015</v>
      </c>
    </row>
    <row r="42" customFormat="false" ht="12.8" hidden="false" customHeight="false" outlineLevel="0" collapsed="false">
      <c r="A42" s="0" t="n">
        <v>2.2</v>
      </c>
      <c r="B42" s="0" t="n">
        <f aca="false">MY_PS(B$2,$A42)</f>
        <v>0.022793751091064</v>
      </c>
      <c r="C42" s="0" t="n">
        <f aca="false">MY_PS(C$2,$A42)</f>
        <v>0.023467501106202</v>
      </c>
      <c r="D42" s="0" t="n">
        <f aca="false">MY_PS(D$2,$A42)</f>
        <v>0.0241295334408007</v>
      </c>
      <c r="E42" s="0" t="n">
        <f aca="false">MY_PS(E$2,$A42)</f>
        <v>0.024763253133082</v>
      </c>
      <c r="F42" s="0" t="n">
        <f aca="false">MY_PS(F$2,$A42)</f>
        <v>0.02536878354048</v>
      </c>
      <c r="G42" s="0" t="n">
        <f aca="false">MY_PS(G$2,$A42)</f>
        <v>0.0302273322561649</v>
      </c>
      <c r="H42" s="0" t="n">
        <f aca="false">MY_PS(H$2,$A42)</f>
        <v>0.0337527966009723</v>
      </c>
      <c r="I42" s="0" t="n">
        <f aca="false">MY_PS(I$2,$A42)</f>
        <v>0.0365541052349969</v>
      </c>
      <c r="J42" s="0" t="n">
        <f aca="false">MY_PS(J$2,$A42)</f>
        <v>0.0388965865166726</v>
      </c>
      <c r="K42" s="0" t="n">
        <f aca="false">MY_PS(K$2,$A42)</f>
        <v>0.0409194164901565</v>
      </c>
      <c r="L42" s="0" t="n">
        <f aca="false">MY_PS(L$2,$A42)</f>
        <v>0.042705296676055</v>
      </c>
      <c r="M42" s="0" t="n">
        <f aca="false">MY_PS(M$2,$A42)</f>
        <v>0.0443076984592791</v>
      </c>
      <c r="N42" s="0" t="n">
        <f aca="false">MY_PS(N$2,$A42)</f>
        <v>0.0457633544782574</v>
      </c>
      <c r="O42" s="0" t="n">
        <f aca="false">MY_PS(O$2,$A42)</f>
        <v>0.0470986763250092</v>
      </c>
      <c r="P42" s="0" t="n">
        <f aca="false">MY_PS(P$2,$A42)</f>
        <v>0.0566387539053087</v>
      </c>
      <c r="Q42" s="0" t="n">
        <f aca="false">MY_PS(Q$2,$A42)</f>
        <v>0.0627934592055119</v>
      </c>
      <c r="R42" s="0" t="n">
        <f aca="false">MY_PS(R$2,$A42)</f>
        <v>0.0673968124677925</v>
      </c>
      <c r="S42" s="0" t="n">
        <f aca="false">MY_PS(S$2,$A42)</f>
        <v>0.0710938748086006</v>
      </c>
      <c r="T42" s="0" t="n">
        <f aca="false">MY_PS(T$2,$A42)</f>
        <v>0.074192026652097</v>
      </c>
      <c r="U42" s="0" t="n">
        <f aca="false">MY_PS(U$2,$A42)</f>
        <v>0.0768631476487627</v>
      </c>
      <c r="V42" s="0" t="n">
        <f aca="false">MY_PS(V$2,$A42)</f>
        <v>0.0792135722294753</v>
      </c>
      <c r="W42" s="0" t="n">
        <f aca="false">MY_PS(W$2,$A42)</f>
        <v>0.08131387404632</v>
      </c>
      <c r="X42" s="0" t="n">
        <f aca="false">MY_PS(X$2,$A42)</f>
        <v>0.0832133877596256</v>
      </c>
      <c r="Y42" s="0" t="n">
        <f aca="false">MY_PS(Y$2,$A42)</f>
        <v>0.0961517381895237</v>
      </c>
      <c r="Z42" s="0" t="n">
        <f aca="false">MY_PS(Z$2,$A42)</f>
        <v>0.104029682081973</v>
      </c>
      <c r="AA42" s="0" t="n">
        <f aca="false">MY_PS(AA$2,$A42)</f>
        <v>4874462.946665</v>
      </c>
      <c r="AB42" s="0" t="n">
        <f aca="false">MY_PS(AB$2,$A42)</f>
        <v>4874462.946665</v>
      </c>
      <c r="AC42" s="0" t="n">
        <f aca="false">MY_PS(AC$2,$A42)</f>
        <v>4874462.946665</v>
      </c>
      <c r="AD42" s="0" t="n">
        <f aca="false">MY_PS(AD$2,$A42)</f>
        <v>4874462.946665</v>
      </c>
      <c r="AE42" s="0" t="n">
        <f aca="false">MY_PS(AE$2,$A42)</f>
        <v>4874462.946665</v>
      </c>
      <c r="AF42" s="0" t="n">
        <f aca="false">MY_PS(AF$2,$A42)</f>
        <v>4874462.946665</v>
      </c>
      <c r="AG42" s="0" t="n">
        <f aca="false">MY_PS(AG$2,$A42)</f>
        <v>4874462.946665</v>
      </c>
      <c r="AH42" s="0" t="n">
        <f aca="false">MY_PS(AH$2,$A42)</f>
        <v>4874462.946665</v>
      </c>
      <c r="AI42" s="0" t="n">
        <f aca="false">MY_PS(AI$2,$A42)</f>
        <v>4874462.946665</v>
      </c>
      <c r="AJ42" s="0" t="n">
        <f aca="false">MY_PS(AJ$2,$A42)</f>
        <v>4874462.946665</v>
      </c>
      <c r="AK42" s="0" t="n">
        <f aca="false">MY_PS(AK$2,$A42)</f>
        <v>4874462.946665</v>
      </c>
      <c r="AL42" s="0" t="n">
        <f aca="false">MY_PS(AL$2,$A42)</f>
        <v>4874462.946665</v>
      </c>
      <c r="AM42" s="0" t="n">
        <f aca="false">MY_PS(AM$2,$A42)</f>
        <v>4874462.946665</v>
      </c>
      <c r="AN42" s="0" t="n">
        <f aca="false">MY_PS(AN$2,$A42)</f>
        <v>4874462.946665</v>
      </c>
      <c r="AO42" s="0" t="n">
        <f aca="false">MY_PS(AO$2,$A42)</f>
        <v>4874462.946665</v>
      </c>
      <c r="AP42" s="0" t="n">
        <f aca="false">MY_PS(AP$2,$A42)</f>
        <v>2015</v>
      </c>
      <c r="AQ42" s="0" t="n">
        <f aca="false">MY_PS(AQ$2,$A42)</f>
        <v>2015</v>
      </c>
      <c r="AR42" s="0" t="n">
        <f aca="false">MY_PS(AR$2,$A42)</f>
        <v>2015</v>
      </c>
      <c r="AS42" s="0" t="n">
        <f aca="false">MY_PS(AS$2,$A42)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949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2019-02-24T16:42:06Z</dcterms:modified>
  <cp:revision>127</cp:revision>
  <dc:subject/>
  <dc:title/>
</cp:coreProperties>
</file>