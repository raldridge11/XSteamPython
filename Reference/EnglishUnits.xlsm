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my_pT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  <definedName function="true" hidden="false" name="FROMSIUNIT_T" vbProcedure="true"/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<sst xmlns="http://schemas.openxmlformats.org/spreadsheetml/2006/main" count="529" uniqueCount="255">
  <si>
    <t xml:space="preserve">X Steam Tables  (English Units)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</si>
  <si>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</si>
  <si>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</si>
  <si>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</si>
  <si>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</si>
  <si>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</si>
  <si>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</si>
  <si>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</si>
  <si>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</si>
  <si>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</si>
  <si>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degF</t>
  </si>
  <si>
    <t xml:space="preserve">Pressure</t>
  </si>
  <si>
    <t xml:space="preserve">psi (a)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</si>
  <si>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</si>
  <si>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</si>
  <si>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</si>
  <si>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</si>
  <si>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btu/lb</t>
  </si>
  <si>
    <t xml:space="preserve">Density</t>
  </si>
  <si>
    <t xml:space="preserve">lb /ft3</t>
  </si>
  <si>
    <t xml:space="preserve">Entropy</t>
  </si>
  <si>
    <t xml:space="preserve">btu/(lb F)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</si>
  <si>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</si>
  <si>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</si>
  <si>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</si>
  <si>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</si>
  <si>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</si>
  <si>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</si>
  <si>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</si>
  <si>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</si>
  <si>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</si>
  <si>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</si>
  <si>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</si>
  <si>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</si>
  <si>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</si>
  <si>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</si>
  <si>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ft/s</t>
  </si>
  <si>
    <t xml:space="preserve">X Steam Tables</t>
  </si>
  <si>
    <t xml:space="preserve">v2.6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</si>
  <si>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</si>
  <si>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</si>
  <si>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</si>
  <si>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</si>
  <si>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</si>
  <si>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</si>
  <si>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psi</t>
  </si>
  <si>
    <t xml:space="preserve">deg F</t>
  </si>
  <si>
    <t xml:space="preserve"> T_ph</t>
  </si>
  <si>
    <t xml:space="preserve">Temperture as a function of pressure and enthalpy</t>
  </si>
  <si>
    <t xml:space="preserve"> T_ps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</si>
  <si>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</si>
  <si>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</si>
  <si>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</si>
  <si>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</si>
  <si>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 p_hs</t>
  </si>
  <si>
    <t xml:space="preserve">Pressure as a function of h and s. </t>
  </si>
  <si>
    <t xml:space="preserve"> p_hrho</t>
  </si>
  <si>
    <t xml:space="preserve">lb/ft3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</si>
  <si>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</si>
  <si>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</si>
  <si>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</si>
  <si>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</si>
  <si>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</si>
  <si>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</si>
  <si>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</si>
  <si>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</si>
  <si>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</si>
  <si>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</si>
  <si>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</si>
  <si>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</si>
  <si>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</si>
  <si>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</si>
  <si>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</si>
  <si>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</si>
  <si>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</si>
  <si>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</si>
  <si>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</si>
  <si>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ft3/lb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</si>
  <si>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</si>
  <si>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</si>
  <si>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</si>
  <si>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</si>
  <si>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</si>
  <si>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</si>
  <si>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</si>
  <si>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</si>
  <si>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</si>
  <si>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</si>
  <si>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</si>
  <si>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</si>
  <si>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</si>
  <si>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</si>
  <si>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</si>
  <si>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</si>
  <si>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</si>
  <si>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</si>
  <si>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</si>
  <si>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</si>
  <si>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</si>
  <si>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</si>
  <si>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</si>
  <si>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</si>
  <si>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</si>
  <si>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</si>
  <si>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</si>
  <si>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</si>
  <si>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</si>
  <si>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</si>
  <si>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</si>
  <si>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</si>
  <si>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</si>
  <si>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</si>
  <si>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</si>
  <si>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</si>
  <si>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</si>
  <si>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</si>
  <si>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</si>
  <si>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</si>
  <si>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</si>
  <si>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</si>
  <si>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</si>
  <si>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</si>
  <si>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</si>
  <si>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</si>
  <si>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</si>
  <si>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</si>
  <si>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</si>
  <si>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</si>
  <si>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</si>
  <si>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</si>
  <si>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</si>
  <si>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</si>
  <si>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</si>
  <si>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</si>
  <si>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</si>
  <si>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</si>
  <si>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</si>
  <si>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</si>
  <si>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</si>
  <si>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</si>
  <si>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</si>
  <si>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</si>
  <si>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</si>
  <si>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</si>
  <si>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</si>
  <si>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</si>
  <si>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</si>
  <si>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</si>
  <si>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</si>
  <si>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</si>
  <si>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</si>
  <si>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</si>
  <si>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</si>
  <si>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</si>
  <si>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</si>
  <si>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</si>
  <si>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</si>
  <si>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</si>
  <si>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</si>
  <si>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</si>
  <si>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</si>
  <si>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</si>
  <si>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</si>
  <si>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</si>
  <si>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</si>
  <si>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""Revised Release on the IAPWS Formulation 1985 for the Viscosity of Ordinary Water Substance"",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</si>
  <si>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</si>
  <si>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</si>
  <si>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lb/ft/hr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</si>
  <si>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</si>
  <si>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</si>
  <si>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</si>
  <si>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</si>
  <si>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</si>
  <si>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</si>
  <si>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</si>
  <si>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</si>
  <si>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</si>
  <si>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</si>
  <si>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</si>
  <si>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</si>
  <si>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</si>
  <si>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btu/(h*ft*F)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</si>
  <si>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</si>
  <si>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</si>
  <si>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</si>
  <si>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</si>
  <si>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</si>
  <si>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</si>
  <si>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</si>
  <si>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</si>
  <si>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</si>
  <si>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</si>
  <si>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</si>
  <si>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</si>
  <si>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</si>
  <si>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</si>
  <si>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lb/ft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</si>
  <si>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</si>
  <si>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</si>
  <si>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</si>
  <si>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</si>
  <si>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</si>
  <si>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</si>
  <si>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</si>
  <si>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</si>
  <si>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</si>
  <si>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</si>
  <si>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</si>
  <si>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</si>
  <si>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</si>
  <si>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</si>
  <si>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V2.6</t>
  </si>
  <si>
    <t xml:space="preserve">* Error in valid region for function tc_ptrho</t>
  </si>
  <si>
    <t xml:space="preserve">* Error in function h3_pt for temperatures near the saturation point.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</si>
  <si>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</si>
  <si>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</si>
  <si>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</si>
  <si>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</si>
  <si>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</si>
  <si>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Fixed unit conversion in T_ps region4 (No effekt for SI units.)</t>
  </si>
  <si>
    <t xml:space="preserve">News in V2.4</t>
  </si>
  <si>
    <t xml:space="preserve">* TODO!!! Check Cv in region 5</t>
  </si>
  <si>
    <t xml:space="preserve">* ToDO!!! Tc och my not def. In region 4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</si>
  <si>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</si>
  <si>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</si>
  <si>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</si>
  <si>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</si>
  <si>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</si>
  <si>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</si>
  <si>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</si>
  <si>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</si>
  <si>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</si>
  <si>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</si>
  <si>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</si>
  <si>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</si>
  <si>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</si>
  <si>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</si>
  <si>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</si>
  <si>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</si>
  <si>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</si>
  <si>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</si>
  <si>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</si>
  <si>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</si>
  <si>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</si>
  <si>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</si>
  <si>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""Properties"" for simple lookups added.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</si>
  <si>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</si>
  <si>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</si>
  <si>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</si>
  <si>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</si>
  <si>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</si>
  <si>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</si>
  <si>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</si>
  <si>
    <t xml:space="preserve">my(p,t)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</si>
</sst>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  <numFmt numFmtId="170" formatCode="0.00E+00"/>
  </numFmts>
  <fonts count="17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name val="Arial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0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u val="single"/>
      <sz val="8"/>
      <color rgb="FF0000FF"/>
      <name val="Arial"/>
      <family val="0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9FFFF"/>
      </patternFill>
    </fill>
    <fill>
      <patternFill patternType="solid">
        <fgColor rgb="FFD9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>
        <color rgb="FF667384"/>
      </left>
      <right/>
      <top style="thin">
        <color rgb="FF667384"/>
      </top>
      <bottom/>
      <diagonal/>
    </border>
    <border diagonalUp="false" diagonalDown="false">
      <left/>
      <right/>
      <top style="thin">
        <color rgb="FF667384"/>
      </top>
      <bottom/>
      <diagonal/>
    </border>
    <border diagonalUp="false" diagonalDown="false">
      <left/>
      <right style="thin">
        <color rgb="FF667384"/>
      </right>
      <top style="thin">
        <color rgb="FF667384"/>
      </top>
      <bottom/>
      <diagonal/>
    </border>
    <border diagonalUp="false" diagonalDown="false">
      <left style="thin">
        <color rgb="FF667384"/>
      </left>
      <right/>
      <top/>
      <bottom/>
      <diagonal/>
    </border>
    <border diagonalUp="false" diagonalDown="false">
      <left/>
      <right style="thin">
        <color rgb="FF667384"/>
      </right>
      <top/>
      <bottom/>
      <diagonal/>
    </border>
    <border diagonalUp="false" diagonalDown="false">
      <left style="thin">
        <color rgb="FF667384"/>
      </left>
      <right/>
      <top/>
      <bottom style="thin">
        <color rgb="FF667384"/>
      </bottom>
      <diagonal/>
    </border>
    <border diagonalUp="false" diagonalDown="false">
      <left/>
      <right/>
      <top/>
      <bottom style="thin">
        <color rgb="FF667384"/>
      </bottom>
      <diagonal/>
    </border>
    <border diagonalUp="false" diagonalDown="false">
      <left/>
      <right style="thin">
        <color rgb="FF667384"/>
      </right>
      <top/>
      <bottom style="thin">
        <color rgb="FF667384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7384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8" activeCellId="0" sqref="C8"/>
    </sheetView>
  </sheetViews>
  <sheetFormatPr defaultRowHeight="12.75" zeroHeight="false" outlineLevelRow="0" outlineLevelCol="0"/>
  <cols>
    <col collapsed="false" customWidth="true" hidden="false" outlineLevel="0" max="1" min="1" style="0" width="2.57"/>
    <col collapsed="false" customWidth="true" hidden="false" outlineLevel="0" max="2" min="2" style="0" width="20.97"/>
    <col collapsed="false" customWidth="true" hidden="false" outlineLevel="0" max="4" min="3" style="0" width="9.05"/>
    <col collapsed="false" customWidth="true" hidden="false" outlineLevel="0" max="5" min="5" style="0" width="4.7"/>
    <col collapsed="false" customWidth="true" hidden="false" outlineLevel="0" max="6" min="6" style="0" width="20.68"/>
    <col collapsed="false" customWidth="true" hidden="false" outlineLevel="0" max="1025" min="7" style="0" width="9.05"/>
  </cols>
  <sheetData>
    <row r="1" customFormat="false" ht="18" hidden="false" customHeight="false" outlineLevel="0" collapsed="false">
      <c r="B1" s="1" t="s">
        <v>0</v>
      </c>
    </row>
    <row r="2" s="2" customFormat="true" ht="12.75" hidden="false" customHeight="false" outlineLevel="0" collapsed="false">
      <c r="B2" s="3" t="s">
        <v>1</v>
      </c>
      <c r="D2" s="3" t="s">
        <v>2</v>
      </c>
    </row>
    <row r="3" s="2" customFormat="true" ht="12.75" hidden="false" customHeight="false" outlineLevel="0" collapsed="false">
      <c r="B3" s="3" t="s">
        <v>3</v>
      </c>
      <c r="D3" s="3" t="s">
        <v>4</v>
      </c>
      <c r="H3" s="4"/>
      <c r="I3" s="4"/>
    </row>
    <row r="4" customFormat="false" ht="12.75" hidden="false" customHeight="false" outlineLevel="0" collapsed="false">
      <c r="B4" s="5" t="s">
        <v>5</v>
      </c>
      <c r="D4" s="3" t="s">
        <v>6</v>
      </c>
      <c r="H4" s="4"/>
      <c r="I4" s="4"/>
      <c r="J4" s="2"/>
    </row>
    <row r="5" customFormat="false" ht="12.75" hidden="false" customHeight="false" outlineLevel="0" collapsed="false">
      <c r="B5" s="6"/>
      <c r="H5" s="4"/>
      <c r="I5" s="4"/>
      <c r="J5" s="2"/>
    </row>
    <row r="6" customFormat="false" ht="12.75" hidden="false" customHeight="false" outlineLevel="0" collapsed="false">
      <c r="B6" s="7" t="s">
        <v>7</v>
      </c>
      <c r="C6" s="8"/>
      <c r="D6" s="8"/>
      <c r="E6" s="8"/>
      <c r="F6" s="7" t="s">
        <v>8</v>
      </c>
      <c r="G6" s="8"/>
      <c r="H6" s="8"/>
    </row>
    <row r="7" customFormat="false" ht="12.75" hidden="false" customHeight="false" outlineLevel="0" collapsed="false">
      <c r="A7" s="8"/>
      <c r="B7" s="9" t="s">
        <v>9</v>
      </c>
      <c r="C7" s="10" t="n">
        <v>50</v>
      </c>
      <c r="D7" s="11" t="s">
        <v>10</v>
      </c>
      <c r="E7" s="8"/>
      <c r="F7" s="9" t="s">
        <v>11</v>
      </c>
      <c r="G7" s="12" t="n">
        <v>12.57</v>
      </c>
      <c r="H7" s="11" t="s">
        <v>12</v>
      </c>
      <c r="I7" s="8"/>
    </row>
    <row r="8" customFormat="false" ht="12.75" hidden="false" customHeight="false" outlineLevel="0" collapsed="false">
      <c r="A8" s="8"/>
      <c r="B8" s="13" t="s">
        <v>13</v>
      </c>
      <c r="C8" s="14" t="n">
        <f aca="false">PSAT_T(C7)</f>
        <v>0.178133010007699</v>
      </c>
      <c r="D8" s="15" t="s">
        <v>12</v>
      </c>
      <c r="E8" s="8"/>
      <c r="F8" s="13" t="s">
        <v>14</v>
      </c>
      <c r="G8" s="16" t="n">
        <f aca="false">TSAT_P(G7)</f>
        <v>204.177777919275</v>
      </c>
      <c r="H8" s="15" t="s">
        <v>10</v>
      </c>
      <c r="I8" s="8"/>
    </row>
    <row r="9" customFormat="false" ht="12.75" hidden="false" customHeight="false" outlineLevel="0" collapsed="false">
      <c r="A9" s="8"/>
      <c r="B9" s="17" t="s">
        <v>15</v>
      </c>
      <c r="C9" s="8"/>
      <c r="D9" s="15"/>
      <c r="F9" s="17" t="s">
        <v>15</v>
      </c>
      <c r="G9" s="8"/>
      <c r="H9" s="15"/>
      <c r="I9" s="8"/>
    </row>
    <row r="10" customFormat="false" ht="12.75" hidden="false" customHeight="false" outlineLevel="0" collapsed="false">
      <c r="A10" s="8"/>
      <c r="B10" s="13" t="s">
        <v>16</v>
      </c>
      <c r="C10" s="18" t="n">
        <f aca="false">HL_T(C7)</f>
        <v>18.0658162719191</v>
      </c>
      <c r="D10" s="15" t="s">
        <v>17</v>
      </c>
      <c r="E10" s="8"/>
      <c r="F10" s="13" t="s">
        <v>16</v>
      </c>
      <c r="G10" s="18" t="n">
        <f aca="false">HL_P(G7)</f>
        <v>172.30242549738</v>
      </c>
      <c r="H10" s="15" t="s">
        <v>17</v>
      </c>
      <c r="I10" s="8"/>
    </row>
    <row r="11" customFormat="false" ht="12.75" hidden="false" customHeight="false" outlineLevel="0" collapsed="false">
      <c r="A11" s="8"/>
      <c r="B11" s="13" t="s">
        <v>18</v>
      </c>
      <c r="C11" s="16" t="n">
        <f aca="false">RHOL_T(C7)</f>
        <v>62.4063426187782</v>
      </c>
      <c r="D11" s="15" t="s">
        <v>19</v>
      </c>
      <c r="E11" s="8"/>
      <c r="F11" s="13" t="s">
        <v>18</v>
      </c>
      <c r="G11" s="16" t="n">
        <f aca="false">RHOL_P(G7)</f>
        <v>60.0202091370881</v>
      </c>
      <c r="H11" s="15" t="s">
        <v>19</v>
      </c>
      <c r="I11" s="8"/>
    </row>
    <row r="12" customFormat="false" ht="12.75" hidden="false" customHeight="false" outlineLevel="0" collapsed="false">
      <c r="A12" s="8"/>
      <c r="B12" s="13" t="s">
        <v>20</v>
      </c>
      <c r="C12" s="16" t="n">
        <f aca="false">SL_T(C7)</f>
        <v>0.0360860529032756</v>
      </c>
      <c r="D12" s="15" t="s">
        <v>21</v>
      </c>
      <c r="E12" s="8"/>
      <c r="F12" s="13" t="s">
        <v>20</v>
      </c>
      <c r="G12" s="16" t="n">
        <f aca="false">SL_P(G7)</f>
        <v>0.300387442243574</v>
      </c>
      <c r="H12" s="15" t="s">
        <v>21</v>
      </c>
      <c r="I12" s="8"/>
    </row>
    <row r="13" customFormat="false" ht="12.75" hidden="false" customHeight="false" outlineLevel="0" collapsed="false">
      <c r="A13" s="8"/>
      <c r="B13" s="17" t="s">
        <v>22</v>
      </c>
      <c r="C13" s="8"/>
      <c r="D13" s="15"/>
      <c r="F13" s="17" t="s">
        <v>22</v>
      </c>
      <c r="G13" s="8"/>
      <c r="H13" s="15"/>
      <c r="I13" s="8"/>
    </row>
    <row r="14" customFormat="false" ht="12.75" hidden="false" customHeight="false" outlineLevel="0" collapsed="false">
      <c r="A14" s="8"/>
      <c r="B14" s="13" t="s">
        <v>23</v>
      </c>
      <c r="C14" s="18" t="n">
        <f aca="false">HV_T(C7)</f>
        <v>1083.07387744644</v>
      </c>
      <c r="D14" s="15" t="s">
        <v>17</v>
      </c>
      <c r="E14" s="8"/>
      <c r="F14" s="13" t="s">
        <v>23</v>
      </c>
      <c r="G14" s="18" t="n">
        <f aca="false">HV_P(G7)</f>
        <v>1147.3184908806</v>
      </c>
      <c r="H14" s="15" t="s">
        <v>17</v>
      </c>
      <c r="I14" s="8"/>
    </row>
    <row r="15" customFormat="false" ht="12.75" hidden="false" customHeight="false" outlineLevel="0" collapsed="false">
      <c r="A15" s="8"/>
      <c r="B15" s="13" t="s">
        <v>24</v>
      </c>
      <c r="C15" s="16" t="n">
        <f aca="false">RHOV_T(C7)</f>
        <v>0.000587232864567547</v>
      </c>
      <c r="D15" s="15" t="s">
        <v>19</v>
      </c>
      <c r="E15" s="8"/>
      <c r="F15" s="13" t="s">
        <v>24</v>
      </c>
      <c r="G15" s="16" t="n">
        <f aca="false">RHOV_P(G7)</f>
        <v>0.0322355421635255</v>
      </c>
      <c r="H15" s="15" t="s">
        <v>19</v>
      </c>
      <c r="I15" s="8"/>
    </row>
    <row r="16" customFormat="false" ht="12.75" hidden="false" customHeight="false" outlineLevel="0" collapsed="false">
      <c r="A16" s="8"/>
      <c r="B16" s="13" t="s">
        <v>25</v>
      </c>
      <c r="C16" s="16" t="n">
        <f aca="false">SV_T(C7)</f>
        <v>2.12569167873906</v>
      </c>
      <c r="D16" s="15" t="s">
        <v>21</v>
      </c>
      <c r="E16" s="8"/>
      <c r="F16" s="13" t="s">
        <v>26</v>
      </c>
      <c r="G16" s="16" t="n">
        <f aca="false">SV_P(G7)</f>
        <v>1.76911437146751</v>
      </c>
      <c r="H16" s="15" t="s">
        <v>21</v>
      </c>
      <c r="I16" s="8"/>
    </row>
    <row r="17" customFormat="false" ht="12.75" hidden="false" customHeight="false" outlineLevel="0" collapsed="false">
      <c r="A17" s="8"/>
      <c r="B17" s="19" t="s">
        <v>27</v>
      </c>
      <c r="C17" s="20" t="n">
        <f aca="false">C14-C10</f>
        <v>1065.00806117452</v>
      </c>
      <c r="D17" s="21" t="s">
        <v>17</v>
      </c>
      <c r="E17" s="8"/>
      <c r="F17" s="19" t="s">
        <v>27</v>
      </c>
      <c r="G17" s="20" t="n">
        <f aca="false">G14-G10</f>
        <v>975.016065383219</v>
      </c>
      <c r="H17" s="21" t="s">
        <v>17</v>
      </c>
      <c r="I17" s="8"/>
    </row>
    <row r="18" customFormat="false" ht="12.75" hidden="false" customHeight="false" outlineLevel="0" collapsed="false">
      <c r="A18" s="8"/>
      <c r="I18" s="8"/>
    </row>
    <row r="19" customFormat="false" ht="12.75" hidden="false" customHeight="false" outlineLevel="0" collapsed="false">
      <c r="A19" s="8"/>
      <c r="B19" s="7" t="s">
        <v>28</v>
      </c>
      <c r="C19" s="8"/>
      <c r="D19" s="8"/>
      <c r="E19" s="8"/>
      <c r="F19" s="7" t="s">
        <v>29</v>
      </c>
      <c r="G19" s="8"/>
      <c r="H19" s="8"/>
      <c r="I19" s="8"/>
    </row>
    <row r="20" customFormat="false" ht="12.75" hidden="false" customHeight="false" outlineLevel="0" collapsed="false">
      <c r="A20" s="8"/>
      <c r="B20" s="9" t="s">
        <v>11</v>
      </c>
      <c r="C20" s="10" t="n">
        <v>100</v>
      </c>
      <c r="D20" s="11" t="s">
        <v>12</v>
      </c>
      <c r="E20" s="8"/>
      <c r="F20" s="9" t="s">
        <v>11</v>
      </c>
      <c r="G20" s="10" t="n">
        <v>12.57</v>
      </c>
      <c r="H20" s="11" t="s">
        <v>12</v>
      </c>
      <c r="I20" s="8"/>
    </row>
    <row r="21" customFormat="false" ht="12.75" hidden="false" customHeight="false" outlineLevel="0" collapsed="false">
      <c r="A21" s="8"/>
      <c r="B21" s="22" t="s">
        <v>9</v>
      </c>
      <c r="C21" s="23" t="n">
        <v>50</v>
      </c>
      <c r="D21" s="24" t="s">
        <v>10</v>
      </c>
      <c r="E21" s="8"/>
      <c r="F21" s="22" t="s">
        <v>16</v>
      </c>
      <c r="G21" s="23" t="n">
        <v>2788</v>
      </c>
      <c r="H21" s="24" t="s">
        <v>17</v>
      </c>
      <c r="I21" s="8"/>
    </row>
    <row r="22" customFormat="false" ht="12.75" hidden="false" customHeight="false" outlineLevel="0" collapsed="false">
      <c r="A22" s="8"/>
      <c r="B22" s="13" t="s">
        <v>16</v>
      </c>
      <c r="C22" s="18" t="n">
        <f aca="false">H_PT(C20,C21)</f>
        <v>18.3543276008491</v>
      </c>
      <c r="D22" s="15" t="s">
        <v>17</v>
      </c>
      <c r="E22" s="8"/>
      <c r="F22" s="13" t="s">
        <v>9</v>
      </c>
      <c r="G22" s="18" t="n">
        <f aca="false">T_PH(G20,G21)</f>
        <v>3074.57074832916</v>
      </c>
      <c r="H22" s="15" t="s">
        <v>10</v>
      </c>
      <c r="I22" s="8"/>
    </row>
    <row r="23" customFormat="false" ht="12.75" hidden="false" customHeight="false" outlineLevel="0" collapsed="false">
      <c r="A23" s="8"/>
      <c r="B23" s="13" t="s">
        <v>18</v>
      </c>
      <c r="C23" s="16" t="n">
        <f aca="false">RHO_PT(C20,C21)</f>
        <v>62.4268592811154</v>
      </c>
      <c r="D23" s="15" t="s">
        <v>19</v>
      </c>
      <c r="E23" s="8"/>
      <c r="F23" s="13" t="s">
        <v>18</v>
      </c>
      <c r="G23" s="16" t="n">
        <f aca="false">RHO_PH(G20,G21)</f>
        <v>0.00597034521663359</v>
      </c>
      <c r="H23" s="15" t="s">
        <v>19</v>
      </c>
      <c r="I23" s="8"/>
    </row>
    <row r="24" customFormat="false" ht="12.75" hidden="false" customHeight="false" outlineLevel="0" collapsed="false">
      <c r="A24" s="8"/>
      <c r="B24" s="13" t="s">
        <v>20</v>
      </c>
      <c r="C24" s="16" t="n">
        <f aca="false">S_PT(C20,C21)</f>
        <v>0.0360714636645231</v>
      </c>
      <c r="D24" s="15" t="s">
        <v>21</v>
      </c>
      <c r="E24" s="8"/>
      <c r="F24" s="13" t="s">
        <v>20</v>
      </c>
      <c r="G24" s="16" t="n">
        <f aca="false">S_PH(G20,G21)</f>
        <v>2.67427631424998</v>
      </c>
      <c r="H24" s="15" t="s">
        <v>21</v>
      </c>
      <c r="I24" s="8"/>
    </row>
    <row r="25" customFormat="false" ht="12.75" hidden="false" customHeight="false" outlineLevel="0" collapsed="false">
      <c r="A25" s="8"/>
      <c r="B25" s="13" t="s">
        <v>30</v>
      </c>
      <c r="C25" s="0" t="n">
        <f aca="false">X_PH(C20,C22)*100</f>
        <v>0</v>
      </c>
      <c r="D25" s="15" t="s">
        <v>31</v>
      </c>
      <c r="F25" s="13" t="s">
        <v>30</v>
      </c>
      <c r="G25" s="0" t="n">
        <f aca="false">X_PH(G20,G21)*100</f>
        <v>100</v>
      </c>
      <c r="H25" s="15" t="s">
        <v>31</v>
      </c>
      <c r="I25" s="8"/>
    </row>
    <row r="26" customFormat="false" ht="12.75" hidden="false" customHeight="false" outlineLevel="0" collapsed="false">
      <c r="A26" s="8"/>
      <c r="B26" s="13" t="s">
        <v>32</v>
      </c>
      <c r="C26" s="8" t="n">
        <f aca="false">REGION_PT(C20/10,C21+273.15)</f>
        <v>1</v>
      </c>
      <c r="D26" s="15"/>
      <c r="E26" s="8"/>
      <c r="F26" s="13" t="s">
        <v>32</v>
      </c>
      <c r="G26" s="8" t="n">
        <f aca="false">REGION_PH(G20/10,G21)</f>
        <v>2</v>
      </c>
      <c r="H26" s="15"/>
      <c r="I26" s="8"/>
    </row>
    <row r="27" customFormat="false" ht="12.75" hidden="false" customHeight="false" outlineLevel="0" collapsed="false">
      <c r="A27" s="8"/>
      <c r="B27" s="13" t="s">
        <v>33</v>
      </c>
      <c r="C27" s="25" t="str">
        <f aca="false">IF(C26=2,"Steam",IF(C26=1,"Liquid",IF(C26=4,"Mixture","")))</f>
        <v>Liquid</v>
      </c>
      <c r="D27" s="15"/>
      <c r="E27" s="8"/>
      <c r="F27" s="13" t="s">
        <v>33</v>
      </c>
      <c r="G27" s="25" t="str">
        <f aca="false">IF(G26=2,"Steam",IF(G26=1,"Liquid",IF(G26=4,"Mixture","")))</f>
        <v>Steam</v>
      </c>
      <c r="H27" s="15"/>
      <c r="I27" s="8"/>
    </row>
    <row r="28" customFormat="false" ht="12.75" hidden="false" customHeight="false" outlineLevel="0" collapsed="false">
      <c r="B28" s="13" t="s">
        <v>34</v>
      </c>
      <c r="C28" s="8" t="n">
        <f aca="false">CP_PT(C20,C21)</f>
        <v>1.00153403274248</v>
      </c>
      <c r="D28" s="15" t="s">
        <v>21</v>
      </c>
      <c r="F28" s="13" t="s">
        <v>34</v>
      </c>
      <c r="G28" s="8" t="n">
        <f aca="false">CP_PH(G20,G21)</f>
        <v>0.675241793358235</v>
      </c>
      <c r="H28" s="15" t="s">
        <v>21</v>
      </c>
    </row>
    <row r="29" customFormat="false" ht="12.75" hidden="false" customHeight="false" outlineLevel="0" collapsed="false">
      <c r="B29" s="19" t="s">
        <v>35</v>
      </c>
      <c r="C29" s="26" t="n">
        <f aca="false">W_PT(C20,C21)</f>
        <v>4752.24019778972</v>
      </c>
      <c r="D29" s="21" t="s">
        <v>36</v>
      </c>
      <c r="F29" s="19" t="s">
        <v>35</v>
      </c>
      <c r="G29" s="26" t="n">
        <f aca="false">W_PH(G20,G21)</f>
        <v>3414.43914364174</v>
      </c>
      <c r="H29" s="21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52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C51" activeCellId="0" sqref="C51"/>
    </sheetView>
  </sheetViews>
  <sheetFormatPr defaultRowHeight="12.75" zeroHeight="false" outlineLevelRow="1" outlineLevelCol="0"/>
  <cols>
    <col collapsed="false" customWidth="true" hidden="false" outlineLevel="0" max="1" min="1" style="0" width="11.69"/>
    <col collapsed="false" customWidth="true" hidden="false" outlineLevel="0" max="2" min="2" style="0" width="4.7"/>
    <col collapsed="false" customWidth="true" hidden="false" outlineLevel="0" max="3" min="3" style="0" width="7.68"/>
    <col collapsed="false" customWidth="true" hidden="false" outlineLevel="0" max="4" min="4" style="0" width="4.7"/>
    <col collapsed="false" customWidth="true" hidden="false" outlineLevel="0" max="5" min="5" style="0" width="8.27"/>
    <col collapsed="false" customWidth="true" hidden="false" outlineLevel="0" max="6" min="6" style="4" width="9.98"/>
    <col collapsed="false" customWidth="true" hidden="false" outlineLevel="0" max="7" min="7" style="4" width="10.27"/>
    <col collapsed="false" customWidth="true" hidden="false" outlineLevel="0" max="8" min="8" style="2" width="7.55"/>
    <col collapsed="false" customWidth="true" hidden="false" outlineLevel="0" max="1025" min="9" style="0" width="9.05"/>
  </cols>
  <sheetData>
    <row r="1" s="27" customFormat="true" ht="18" hidden="false" customHeight="false" outlineLevel="0" collapsed="false">
      <c r="A1" s="1" t="s">
        <v>37</v>
      </c>
      <c r="D1" s="2" t="s">
        <v>38</v>
      </c>
      <c r="E1" s="28" t="s">
        <v>39</v>
      </c>
      <c r="F1" s="1"/>
      <c r="G1" s="1"/>
    </row>
    <row r="2" s="29" customFormat="true" ht="11.25" hidden="false" customHeight="false" outlineLevel="0" collapsed="false">
      <c r="A2" s="29" t="s">
        <v>40</v>
      </c>
    </row>
    <row r="3" s="3" customFormat="true" ht="11.25" hidden="false" customHeight="false" outlineLevel="0" collapsed="false">
      <c r="A3" s="3" t="s">
        <v>41</v>
      </c>
    </row>
    <row r="4" s="3" customFormat="true" ht="11.25" hidden="false" customHeight="false" outlineLevel="0" collapsed="false">
      <c r="A4" s="3" t="s">
        <v>42</v>
      </c>
      <c r="F4" s="30" t="s">
        <v>43</v>
      </c>
    </row>
    <row r="5" s="3" customFormat="true" ht="11.25" hidden="false" customHeight="false" outlineLevel="0" collapsed="false">
      <c r="A5" s="3" t="s">
        <v>4</v>
      </c>
    </row>
    <row r="6" customFormat="false" ht="12.75" hidden="false" customHeight="false" outlineLevel="0" collapsed="false">
      <c r="A6" s="29" t="s">
        <v>6</v>
      </c>
      <c r="B6" s="2"/>
      <c r="C6" s="2"/>
      <c r="D6" s="2"/>
      <c r="E6" s="2"/>
      <c r="F6" s="2"/>
      <c r="G6" s="2"/>
    </row>
    <row r="7" customFormat="false" ht="12.75" hidden="false" customHeight="false" outlineLevel="0" collapsed="false">
      <c r="A7" s="29"/>
      <c r="B7" s="2"/>
      <c r="C7" s="2"/>
      <c r="D7" s="2"/>
      <c r="E7" s="2"/>
      <c r="F7" s="2"/>
      <c r="G7" s="2"/>
    </row>
    <row r="8" s="32" customFormat="true" ht="15" hidden="false" customHeight="false" outlineLevel="0" collapsed="false">
      <c r="A8" s="31" t="s">
        <v>9</v>
      </c>
      <c r="F8" s="33"/>
      <c r="G8" s="33"/>
    </row>
    <row r="9" s="3" customFormat="true" ht="12.75" hidden="false" customHeight="false" outlineLevel="1" collapsed="false">
      <c r="A9" s="4" t="s">
        <v>44</v>
      </c>
      <c r="B9" s="2" t="n">
        <v>14.5037738</v>
      </c>
      <c r="C9" s="2" t="s">
        <v>45</v>
      </c>
      <c r="D9" s="2"/>
      <c r="E9" s="2"/>
      <c r="F9" s="4" t="n">
        <f aca="false">TSAT_P(B9)</f>
        <v>211.290653570884</v>
      </c>
      <c r="G9" s="4" t="s">
        <v>46</v>
      </c>
      <c r="H9" s="2" t="s">
        <v>14</v>
      </c>
    </row>
    <row r="10" s="3" customFormat="true" ht="12.75" hidden="false" customHeight="false" outlineLevel="1" collapsed="false">
      <c r="A10" s="4" t="s">
        <v>47</v>
      </c>
      <c r="B10" s="2" t="n">
        <v>1</v>
      </c>
      <c r="C10" s="2" t="s">
        <v>45</v>
      </c>
      <c r="D10" s="2" t="n">
        <v>100</v>
      </c>
      <c r="E10" s="2" t="s">
        <v>17</v>
      </c>
      <c r="F10" s="4" t="n">
        <f aca="false">T_PH(B10,D10)</f>
        <v>101.694337223529</v>
      </c>
      <c r="G10" s="4" t="s">
        <v>46</v>
      </c>
      <c r="H10" s="2" t="s">
        <v>48</v>
      </c>
    </row>
    <row r="11" s="3" customFormat="true" ht="12.75" hidden="false" customHeight="false" outlineLevel="1" collapsed="false">
      <c r="A11" s="4" t="s">
        <v>49</v>
      </c>
      <c r="B11" s="2" t="n">
        <v>1</v>
      </c>
      <c r="C11" s="2" t="s">
        <v>45</v>
      </c>
      <c r="D11" s="2" t="n">
        <v>1</v>
      </c>
      <c r="E11" s="2" t="s">
        <v>21</v>
      </c>
      <c r="F11" s="4" t="n">
        <f aca="false">T_PS(B11,D11)</f>
        <v>101.694337223529</v>
      </c>
      <c r="G11" s="4" t="s">
        <v>46</v>
      </c>
      <c r="H11" s="2" t="s">
        <v>50</v>
      </c>
    </row>
    <row r="12" s="3" customFormat="true" ht="12.75" hidden="false" customHeight="false" outlineLevel="1" collapsed="false">
      <c r="A12" s="4" t="s">
        <v>51</v>
      </c>
      <c r="B12" s="2" t="n">
        <v>100</v>
      </c>
      <c r="C12" s="2" t="s">
        <v>17</v>
      </c>
      <c r="D12" s="2" t="n">
        <v>0.2</v>
      </c>
      <c r="E12" s="2" t="s">
        <v>21</v>
      </c>
      <c r="F12" s="4" t="n">
        <f aca="false">T_HS(B12,D12)</f>
        <v>40.7127087611784</v>
      </c>
      <c r="G12" s="4" t="s">
        <v>46</v>
      </c>
      <c r="H12" s="2" t="s">
        <v>52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3" customFormat="true" ht="12.75" hidden="false" customHeight="false" outlineLevel="1" collapsed="false">
      <c r="A14" s="4" t="s">
        <v>53</v>
      </c>
      <c r="B14" s="2" t="n">
        <v>100</v>
      </c>
      <c r="C14" s="2" t="s">
        <v>46</v>
      </c>
      <c r="D14" s="2"/>
      <c r="E14" s="2"/>
      <c r="F14" s="4" t="n">
        <f aca="false">PSAT_T(B14)</f>
        <v>0.950439330778813</v>
      </c>
      <c r="G14" s="4" t="s">
        <v>12</v>
      </c>
      <c r="H14" s="2" t="s">
        <v>13</v>
      </c>
    </row>
    <row r="15" s="3" customFormat="true" ht="12.75" hidden="false" customHeight="false" outlineLevel="1" collapsed="false">
      <c r="A15" s="4" t="s">
        <v>54</v>
      </c>
      <c r="B15" s="2" t="n">
        <v>100</v>
      </c>
      <c r="C15" s="2" t="s">
        <v>17</v>
      </c>
      <c r="D15" s="2" t="n">
        <f aca="false">F49</f>
        <v>0.185125247601107</v>
      </c>
      <c r="E15" s="2" t="s">
        <v>21</v>
      </c>
      <c r="F15" s="4" t="n">
        <f aca="false">P_HS(B15,D15)</f>
        <v>5.98829190742783</v>
      </c>
      <c r="G15" s="4" t="s">
        <v>12</v>
      </c>
      <c r="H15" s="2" t="s">
        <v>55</v>
      </c>
    </row>
    <row r="16" s="3" customFormat="true" ht="12.75" hidden="false" customHeight="false" outlineLevel="1" collapsed="false">
      <c r="A16" s="4" t="s">
        <v>56</v>
      </c>
      <c r="B16" s="2" t="n">
        <v>100</v>
      </c>
      <c r="C16" s="2" t="s">
        <v>17</v>
      </c>
      <c r="D16" s="2" t="n">
        <v>5</v>
      </c>
      <c r="E16" s="2" t="s">
        <v>57</v>
      </c>
      <c r="F16" s="4" t="n">
        <f aca="false">P_HRHO(B16,D16)</f>
        <v>2.27373191827474</v>
      </c>
      <c r="G16" s="4" t="s">
        <v>12</v>
      </c>
      <c r="H16" s="2" t="s">
        <v>58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3" customFormat="true" ht="12.75" hidden="false" customHeight="false" outlineLevel="1" collapsed="false">
      <c r="A18" s="4" t="s">
        <v>59</v>
      </c>
      <c r="B18" s="2" t="n">
        <v>1</v>
      </c>
      <c r="C18" s="2" t="s">
        <v>45</v>
      </c>
      <c r="D18" s="2"/>
      <c r="E18" s="2"/>
      <c r="F18" s="4" t="n">
        <f aca="false">HV_P(B18)</f>
        <v>1105.439338664</v>
      </c>
      <c r="G18" s="4" t="s">
        <v>17</v>
      </c>
      <c r="H18" s="2" t="s">
        <v>60</v>
      </c>
    </row>
    <row r="19" s="3" customFormat="true" ht="12.75" hidden="false" customHeight="false" outlineLevel="1" collapsed="false">
      <c r="A19" s="4" t="s">
        <v>61</v>
      </c>
      <c r="B19" s="2" t="n">
        <v>1</v>
      </c>
      <c r="C19" s="2" t="s">
        <v>45</v>
      </c>
      <c r="D19" s="2"/>
      <c r="E19" s="2"/>
      <c r="F19" s="4" t="n">
        <f aca="false">HL_P(B19)</f>
        <v>69.7282390493548</v>
      </c>
      <c r="G19" s="4" t="s">
        <v>17</v>
      </c>
      <c r="H19" s="2" t="s">
        <v>62</v>
      </c>
    </row>
    <row r="20" s="3" customFormat="true" ht="12.75" hidden="false" customHeight="false" outlineLevel="1" collapsed="false">
      <c r="A20" s="4" t="s">
        <v>63</v>
      </c>
      <c r="B20" s="2" t="n">
        <v>100</v>
      </c>
      <c r="C20" s="2" t="s">
        <v>46</v>
      </c>
      <c r="D20" s="2"/>
      <c r="E20" s="2"/>
      <c r="F20" s="4" t="n">
        <f aca="false">HV_T(B20)</f>
        <v>1104.7148547166</v>
      </c>
      <c r="G20" s="4" t="s">
        <v>17</v>
      </c>
      <c r="H20" s="2" t="s">
        <v>60</v>
      </c>
    </row>
    <row r="21" s="3" customFormat="true" ht="12.75" hidden="false" customHeight="false" outlineLevel="1" collapsed="false">
      <c r="A21" s="4" t="s">
        <v>64</v>
      </c>
      <c r="B21" s="2" t="n">
        <v>100</v>
      </c>
      <c r="C21" s="2" t="s">
        <v>46</v>
      </c>
      <c r="D21" s="2"/>
      <c r="E21" s="2"/>
      <c r="F21" s="4" t="n">
        <f aca="false">HL_T(B21)</f>
        <v>68.0369856399939</v>
      </c>
      <c r="G21" s="4" t="s">
        <v>17</v>
      </c>
      <c r="H21" s="2" t="s">
        <v>62</v>
      </c>
    </row>
    <row r="22" s="3" customFormat="true" ht="12.75" hidden="false" customHeight="false" outlineLevel="1" collapsed="false">
      <c r="A22" s="4" t="s">
        <v>65</v>
      </c>
      <c r="B22" s="2" t="n">
        <v>14.5037738</v>
      </c>
      <c r="C22" s="2" t="s">
        <v>45</v>
      </c>
      <c r="D22" s="2" t="n">
        <v>68</v>
      </c>
      <c r="E22" s="2" t="s">
        <v>46</v>
      </c>
      <c r="F22" s="4" t="n">
        <f aca="false">H_PT(B22,D22)</f>
        <v>36.1185774579829</v>
      </c>
      <c r="G22" s="4" t="s">
        <v>17</v>
      </c>
      <c r="H22" s="2" t="s">
        <v>66</v>
      </c>
    </row>
    <row r="23" s="3" customFormat="true" ht="12.75" hidden="false" customHeight="false" outlineLevel="1" collapsed="false">
      <c r="A23" s="4" t="s">
        <v>67</v>
      </c>
      <c r="B23" s="2" t="n">
        <v>1</v>
      </c>
      <c r="C23" s="2" t="s">
        <v>45</v>
      </c>
      <c r="D23" s="2" t="n">
        <v>1</v>
      </c>
      <c r="E23" s="2" t="s">
        <v>21</v>
      </c>
      <c r="F23" s="4" t="n">
        <f aca="false">H_PS(B23,D23)</f>
        <v>556.636913648199</v>
      </c>
      <c r="G23" s="4" t="s">
        <v>17</v>
      </c>
      <c r="H23" s="2" t="s">
        <v>68</v>
      </c>
    </row>
    <row r="24" s="3" customFormat="true" ht="12.75" hidden="false" customHeight="false" outlineLevel="1" collapsed="false">
      <c r="A24" s="4" t="s">
        <v>69</v>
      </c>
      <c r="B24" s="2" t="n">
        <v>1</v>
      </c>
      <c r="C24" s="2" t="s">
        <v>45</v>
      </c>
      <c r="D24" s="2" t="n">
        <v>0.5</v>
      </c>
      <c r="E24" s="2"/>
      <c r="F24" s="4" t="n">
        <f aca="false">H_PX(B24,D24)</f>
        <v>587.583788856678</v>
      </c>
      <c r="G24" s="4" t="s">
        <v>17</v>
      </c>
      <c r="H24" s="2" t="s">
        <v>70</v>
      </c>
    </row>
    <row r="25" s="3" customFormat="true" ht="12.75" hidden="false" customHeight="false" outlineLevel="1" collapsed="false">
      <c r="A25" s="4" t="s">
        <v>71</v>
      </c>
      <c r="B25" s="2" t="n">
        <v>100</v>
      </c>
      <c r="C25" s="2" t="s">
        <v>46</v>
      </c>
      <c r="D25" s="2" t="n">
        <v>0.5</v>
      </c>
      <c r="E25" s="2"/>
      <c r="F25" s="4" t="n">
        <f aca="false">H_TX(B25,D25)</f>
        <v>586.375920178298</v>
      </c>
      <c r="G25" s="4" t="s">
        <v>17</v>
      </c>
      <c r="H25" s="2" t="s">
        <v>72</v>
      </c>
    </row>
    <row r="26" s="3" customFormat="true" ht="12.75" hidden="false" customHeight="false" outlineLevel="1" collapsed="false">
      <c r="A26" s="4" t="s">
        <v>73</v>
      </c>
      <c r="B26" s="2" t="n">
        <v>1</v>
      </c>
      <c r="C26" s="2" t="s">
        <v>45</v>
      </c>
      <c r="D26" s="2" t="n">
        <v>2</v>
      </c>
      <c r="E26" s="2" t="s">
        <v>57</v>
      </c>
      <c r="F26" s="4" t="n">
        <f aca="false">H_PRHO(B26,D26)</f>
        <v>71.2309539685793</v>
      </c>
      <c r="G26" s="4" t="s">
        <v>17</v>
      </c>
      <c r="H26" s="2" t="s">
        <v>74</v>
      </c>
    </row>
    <row r="27" s="32" customFormat="true" ht="15" hidden="false" customHeight="false" outlineLevel="0" collapsed="false">
      <c r="A27" s="31" t="s">
        <v>75</v>
      </c>
      <c r="F27" s="33"/>
      <c r="G27" s="33"/>
    </row>
    <row r="28" s="3" customFormat="true" ht="12.75" hidden="false" customHeight="false" outlineLevel="1" collapsed="false">
      <c r="A28" s="4" t="s">
        <v>76</v>
      </c>
      <c r="B28" s="2" t="n">
        <v>1</v>
      </c>
      <c r="C28" s="2" t="s">
        <v>45</v>
      </c>
      <c r="D28" s="2"/>
      <c r="E28" s="2"/>
      <c r="F28" s="4" t="n">
        <f aca="false">VV_P(B28)</f>
        <v>333.507518919018</v>
      </c>
      <c r="G28" s="4" t="s">
        <v>77</v>
      </c>
      <c r="H28" s="2" t="s">
        <v>78</v>
      </c>
    </row>
    <row r="29" s="3" customFormat="true" ht="12.75" hidden="false" customHeight="false" outlineLevel="1" collapsed="false">
      <c r="A29" s="4" t="s">
        <v>79</v>
      </c>
      <c r="B29" s="2" t="n">
        <v>1</v>
      </c>
      <c r="C29" s="2" t="s">
        <v>45</v>
      </c>
      <c r="D29" s="2"/>
      <c r="E29" s="2"/>
      <c r="F29" s="4" t="n">
        <f aca="false">VL_P(B29)</f>
        <v>0.0161368112086034</v>
      </c>
      <c r="G29" s="4" t="s">
        <v>77</v>
      </c>
      <c r="H29" s="2" t="s">
        <v>80</v>
      </c>
    </row>
    <row r="30" s="3" customFormat="true" ht="12.75" hidden="false" customHeight="false" outlineLevel="1" collapsed="false">
      <c r="A30" s="4" t="s">
        <v>81</v>
      </c>
      <c r="B30" s="2" t="n">
        <v>100</v>
      </c>
      <c r="C30" s="2" t="s">
        <v>46</v>
      </c>
      <c r="D30" s="2"/>
      <c r="E30" s="2"/>
      <c r="F30" s="4" t="n">
        <f aca="false">VV_T(B30)</f>
        <v>349.86959989747</v>
      </c>
      <c r="G30" s="4" t="s">
        <v>77</v>
      </c>
      <c r="H30" s="2" t="s">
        <v>78</v>
      </c>
    </row>
    <row r="31" s="3" customFormat="true" ht="12.75" hidden="false" customHeight="false" outlineLevel="1" collapsed="false">
      <c r="A31" s="4" t="s">
        <v>82</v>
      </c>
      <c r="B31" s="2" t="n">
        <v>100</v>
      </c>
      <c r="C31" s="2" t="s">
        <v>46</v>
      </c>
      <c r="D31" s="2"/>
      <c r="E31" s="2"/>
      <c r="F31" s="4" t="n">
        <f aca="false">VL_T(B31)</f>
        <v>0.0161311743270031</v>
      </c>
      <c r="G31" s="4" t="s">
        <v>77</v>
      </c>
      <c r="H31" s="2" t="s">
        <v>80</v>
      </c>
    </row>
    <row r="32" s="3" customFormat="true" ht="12.75" hidden="false" customHeight="false" outlineLevel="1" collapsed="false">
      <c r="A32" s="4" t="s">
        <v>83</v>
      </c>
      <c r="B32" s="2" t="n">
        <v>1</v>
      </c>
      <c r="C32" s="2" t="s">
        <v>45</v>
      </c>
      <c r="D32" s="2" t="n">
        <v>100</v>
      </c>
      <c r="E32" s="2" t="s">
        <v>46</v>
      </c>
      <c r="F32" s="4" t="n">
        <f aca="false">V_PT(B32,D32)</f>
        <v>0.0161311718912175</v>
      </c>
      <c r="G32" s="4" t="s">
        <v>77</v>
      </c>
      <c r="H32" s="2" t="s">
        <v>84</v>
      </c>
    </row>
    <row r="33" s="3" customFormat="true" ht="12.75" hidden="false" customHeight="false" outlineLevel="1" collapsed="false">
      <c r="A33" s="4" t="s">
        <v>85</v>
      </c>
      <c r="B33" s="2" t="n">
        <v>1</v>
      </c>
      <c r="C33" s="2" t="s">
        <v>45</v>
      </c>
      <c r="D33" s="2" t="n">
        <v>1000</v>
      </c>
      <c r="E33" s="2" t="s">
        <v>17</v>
      </c>
      <c r="F33" s="4" t="n">
        <f aca="false">V_PH(B33,D33)</f>
        <v>299.556824760508</v>
      </c>
      <c r="G33" s="4" t="s">
        <v>77</v>
      </c>
      <c r="H33" s="2" t="s">
        <v>86</v>
      </c>
    </row>
    <row r="34" s="3" customFormat="true" ht="12.75" hidden="false" customHeight="false" outlineLevel="1" collapsed="false">
      <c r="A34" s="4" t="s">
        <v>87</v>
      </c>
      <c r="B34" s="2" t="n">
        <v>10</v>
      </c>
      <c r="C34" s="2" t="s">
        <v>45</v>
      </c>
      <c r="D34" s="2" t="n">
        <f aca="false">F49</f>
        <v>0.185125247601107</v>
      </c>
      <c r="E34" s="2" t="s">
        <v>21</v>
      </c>
      <c r="F34" s="4" t="n">
        <f aca="false">V_PS(B34,D34)</f>
        <v>0.016255423844856</v>
      </c>
      <c r="G34" s="4" t="s">
        <v>77</v>
      </c>
      <c r="H34" s="2" t="s">
        <v>88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3" customFormat="true" ht="12.75" hidden="false" customHeight="false" outlineLevel="1" collapsed="false">
      <c r="A36" s="4" t="s">
        <v>89</v>
      </c>
      <c r="B36" s="2" t="n">
        <v>1</v>
      </c>
      <c r="C36" s="2" t="s">
        <v>45</v>
      </c>
      <c r="D36" s="2"/>
      <c r="E36" s="2"/>
      <c r="F36" s="4" t="n">
        <f aca="false">RHOV_P(B36)</f>
        <v>0.00299843314849768</v>
      </c>
      <c r="G36" s="4" t="s">
        <v>57</v>
      </c>
      <c r="H36" s="2" t="s">
        <v>90</v>
      </c>
    </row>
    <row r="37" s="3" customFormat="true" ht="12.75" hidden="false" customHeight="false" outlineLevel="1" collapsed="false">
      <c r="A37" s="4" t="s">
        <v>91</v>
      </c>
      <c r="B37" s="2" t="n">
        <v>1</v>
      </c>
      <c r="C37" s="2" t="s">
        <v>45</v>
      </c>
      <c r="D37" s="2"/>
      <c r="E37" s="2"/>
      <c r="F37" s="4" t="n">
        <f aca="false">RHOL_P(B37)</f>
        <v>61.9701121288973</v>
      </c>
      <c r="G37" s="4" t="s">
        <v>57</v>
      </c>
      <c r="H37" s="2" t="s">
        <v>92</v>
      </c>
    </row>
    <row r="38" s="3" customFormat="true" ht="12.75" hidden="false" customHeight="false" outlineLevel="1" collapsed="false">
      <c r="A38" s="4" t="s">
        <v>93</v>
      </c>
      <c r="B38" s="2" t="n">
        <v>100</v>
      </c>
      <c r="C38" s="2" t="s">
        <v>46</v>
      </c>
      <c r="D38" s="2"/>
      <c r="E38" s="2"/>
      <c r="F38" s="4" t="n">
        <f aca="false">RHOV_T(B38)</f>
        <v>0.00285820774452268</v>
      </c>
      <c r="G38" s="4" t="s">
        <v>57</v>
      </c>
      <c r="H38" s="2" t="s">
        <v>90</v>
      </c>
    </row>
    <row r="39" s="3" customFormat="true" ht="12.75" hidden="false" customHeight="false" outlineLevel="1" collapsed="false">
      <c r="A39" s="4" t="s">
        <v>94</v>
      </c>
      <c r="B39" s="2" t="n">
        <v>100</v>
      </c>
      <c r="C39" s="2" t="s">
        <v>46</v>
      </c>
      <c r="D39" s="2"/>
      <c r="E39" s="2"/>
      <c r="F39" s="4" t="n">
        <f aca="false">RHOL_T(B39)</f>
        <v>61.9917669804131</v>
      </c>
      <c r="G39" s="4" t="s">
        <v>57</v>
      </c>
      <c r="H39" s="2" t="s">
        <v>92</v>
      </c>
    </row>
    <row r="40" s="3" customFormat="true" ht="12.75" hidden="false" customHeight="false" outlineLevel="1" collapsed="false">
      <c r="A40" s="4" t="s">
        <v>95</v>
      </c>
      <c r="B40" s="2" t="n">
        <v>1</v>
      </c>
      <c r="C40" s="2" t="s">
        <v>45</v>
      </c>
      <c r="D40" s="2" t="n">
        <v>100</v>
      </c>
      <c r="E40" s="2" t="s">
        <v>46</v>
      </c>
      <c r="F40" s="4" t="n">
        <f aca="false">RHO_PT(B40,D40)</f>
        <v>61.9917763410879</v>
      </c>
      <c r="G40" s="4" t="s">
        <v>57</v>
      </c>
      <c r="H40" s="2" t="s">
        <v>96</v>
      </c>
    </row>
    <row r="41" s="3" customFormat="true" ht="12.75" hidden="false" customHeight="false" outlineLevel="1" collapsed="false">
      <c r="A41" s="4" t="s">
        <v>97</v>
      </c>
      <c r="B41" s="2" t="n">
        <v>1</v>
      </c>
      <c r="C41" s="2" t="s">
        <v>45</v>
      </c>
      <c r="D41" s="2" t="n">
        <v>1000</v>
      </c>
      <c r="E41" s="2" t="s">
        <v>17</v>
      </c>
      <c r="F41" s="4" t="n">
        <f aca="false">RHO_PH(B41,D41)</f>
        <v>0.00333826478765586</v>
      </c>
      <c r="G41" s="4" t="s">
        <v>57</v>
      </c>
      <c r="H41" s="2" t="s">
        <v>98</v>
      </c>
    </row>
    <row r="42" s="3" customFormat="true" ht="12.75" hidden="false" customHeight="false" outlineLevel="1" collapsed="false">
      <c r="A42" s="4" t="s">
        <v>99</v>
      </c>
      <c r="B42" s="2" t="n">
        <v>1</v>
      </c>
      <c r="C42" s="2" t="s">
        <v>45</v>
      </c>
      <c r="D42" s="2" t="n">
        <v>1</v>
      </c>
      <c r="E42" s="2" t="s">
        <v>21</v>
      </c>
      <c r="F42" s="4" t="n">
        <f aca="false">RHO_PS(B42,D42)</f>
        <v>0.00637766649787366</v>
      </c>
      <c r="G42" s="4" t="s">
        <v>57</v>
      </c>
      <c r="H42" s="2" t="s">
        <v>100</v>
      </c>
    </row>
    <row r="43" s="32" customFormat="true" ht="15" hidden="false" customHeight="false" outlineLevel="0" collapsed="false">
      <c r="A43" s="31" t="s">
        <v>101</v>
      </c>
      <c r="F43" s="33"/>
      <c r="G43" s="33"/>
    </row>
    <row r="44" s="3" customFormat="true" ht="12.75" hidden="false" customHeight="false" outlineLevel="1" collapsed="false">
      <c r="A44" s="4" t="s">
        <v>102</v>
      </c>
      <c r="B44" s="2" t="n">
        <v>1</v>
      </c>
      <c r="C44" s="2" t="s">
        <v>45</v>
      </c>
      <c r="D44" s="2"/>
      <c r="E44" s="2"/>
      <c r="F44" s="4" t="n">
        <f aca="false">SV_P(B44)</f>
        <v>1.97762467964452</v>
      </c>
      <c r="G44" s="4" t="s">
        <v>21</v>
      </c>
      <c r="H44" s="2" t="s">
        <v>103</v>
      </c>
    </row>
    <row r="45" s="3" customFormat="true" ht="12.75" hidden="false" customHeight="false" outlineLevel="1" collapsed="false">
      <c r="A45" s="4" t="s">
        <v>104</v>
      </c>
      <c r="B45" s="2" t="n">
        <v>1</v>
      </c>
      <c r="C45" s="2" t="s">
        <v>45</v>
      </c>
      <c r="D45" s="2"/>
      <c r="E45" s="2"/>
      <c r="F45" s="4" t="n">
        <f aca="false">SL_P(B45)</f>
        <v>0.132631498472098</v>
      </c>
      <c r="G45" s="4" t="s">
        <v>21</v>
      </c>
      <c r="H45" s="2" t="s">
        <v>105</v>
      </c>
    </row>
    <row r="46" s="3" customFormat="true" ht="12.75" hidden="false" customHeight="false" outlineLevel="1" collapsed="false">
      <c r="A46" s="4" t="s">
        <v>106</v>
      </c>
      <c r="B46" s="2" t="n">
        <v>50</v>
      </c>
      <c r="C46" s="2" t="s">
        <v>46</v>
      </c>
      <c r="D46" s="2"/>
      <c r="E46" s="2"/>
      <c r="F46" s="4" t="n">
        <f aca="false">SV_T(B46)</f>
        <v>2.12569167873906</v>
      </c>
      <c r="G46" s="4" t="s">
        <v>21</v>
      </c>
      <c r="H46" s="2" t="s">
        <v>103</v>
      </c>
    </row>
    <row r="47" s="3" customFormat="true" ht="12.75" hidden="false" customHeight="false" outlineLevel="1" collapsed="false">
      <c r="A47" s="4" t="s">
        <v>107</v>
      </c>
      <c r="B47" s="2" t="n">
        <v>100</v>
      </c>
      <c r="C47" s="2" t="s">
        <v>46</v>
      </c>
      <c r="D47" s="2"/>
      <c r="E47" s="2"/>
      <c r="F47" s="4" t="n">
        <f aca="false">SL_T(B47)</f>
        <v>0.129614451305585</v>
      </c>
      <c r="G47" s="4" t="s">
        <v>21</v>
      </c>
      <c r="H47" s="2" t="s">
        <v>105</v>
      </c>
    </row>
    <row r="48" s="3" customFormat="true" ht="12.75" hidden="false" customHeight="false" outlineLevel="1" collapsed="false">
      <c r="A48" s="4" t="s">
        <v>108</v>
      </c>
      <c r="B48" s="2" t="n">
        <v>1</v>
      </c>
      <c r="C48" s="2" t="s">
        <v>45</v>
      </c>
      <c r="D48" s="2" t="n">
        <v>50</v>
      </c>
      <c r="E48" s="2" t="s">
        <v>46</v>
      </c>
      <c r="F48" s="4" t="n">
        <f aca="false">S_PT(B48,D48)</f>
        <v>0.0360859339008569</v>
      </c>
      <c r="G48" s="4" t="s">
        <v>21</v>
      </c>
      <c r="H48" s="2" t="s">
        <v>109</v>
      </c>
    </row>
    <row r="49" s="3" customFormat="true" ht="12.75" hidden="false" customHeight="false" outlineLevel="1" collapsed="false">
      <c r="A49" s="4" t="s">
        <v>110</v>
      </c>
      <c r="B49" s="2" t="n">
        <v>10</v>
      </c>
      <c r="C49" s="2" t="s">
        <v>45</v>
      </c>
      <c r="D49" s="2" t="n">
        <v>100</v>
      </c>
      <c r="E49" s="2" t="s">
        <v>17</v>
      </c>
      <c r="F49" s="4" t="n">
        <f aca="false">S_PH(B49,D49)</f>
        <v>0.185125247601107</v>
      </c>
      <c r="G49" s="4" t="s">
        <v>21</v>
      </c>
      <c r="H49" s="2" t="s">
        <v>111</v>
      </c>
    </row>
    <row r="50" s="32" customFormat="true" ht="15" hidden="false" customHeight="false" outlineLevel="0" collapsed="false">
      <c r="A50" s="31" t="s">
        <v>112</v>
      </c>
      <c r="F50" s="33"/>
      <c r="G50" s="33"/>
    </row>
    <row r="51" s="3" customFormat="true" ht="12.75" hidden="false" customHeight="false" outlineLevel="1" collapsed="false">
      <c r="A51" s="4" t="s">
        <v>113</v>
      </c>
      <c r="B51" s="2" t="n">
        <v>1</v>
      </c>
      <c r="C51" s="2" t="s">
        <v>45</v>
      </c>
      <c r="D51" s="2"/>
      <c r="E51" s="2"/>
      <c r="F51" s="4" t="n">
        <f aca="false">UV_P(B51)</f>
        <v>1043.72386742992</v>
      </c>
      <c r="G51" s="4" t="s">
        <v>17</v>
      </c>
      <c r="H51" s="2" t="s">
        <v>114</v>
      </c>
    </row>
    <row r="52" s="3" customFormat="true" ht="12.75" hidden="false" customHeight="false" outlineLevel="1" collapsed="false">
      <c r="A52" s="4" t="s">
        <v>115</v>
      </c>
      <c r="B52" s="2" t="n">
        <v>1</v>
      </c>
      <c r="C52" s="2" t="s">
        <v>45</v>
      </c>
      <c r="D52" s="2"/>
      <c r="E52" s="2"/>
      <c r="F52" s="4" t="n">
        <f aca="false">UL_P(B52)</f>
        <v>69.7252529370441</v>
      </c>
      <c r="G52" s="4" t="s">
        <v>17</v>
      </c>
      <c r="H52" s="2" t="s">
        <v>116</v>
      </c>
    </row>
    <row r="53" s="3" customFormat="true" ht="12.75" hidden="false" customHeight="false" outlineLevel="1" collapsed="false">
      <c r="A53" s="4" t="s">
        <v>117</v>
      </c>
      <c r="B53" s="2" t="n">
        <v>100</v>
      </c>
      <c r="C53" s="2" t="s">
        <v>46</v>
      </c>
      <c r="D53" s="2"/>
      <c r="E53" s="2"/>
      <c r="F53" s="4" t="n">
        <f aca="false">UV_T(B53)</f>
        <v>1043.18030483667</v>
      </c>
      <c r="G53" s="4" t="s">
        <v>17</v>
      </c>
      <c r="H53" s="2" t="s">
        <v>114</v>
      </c>
    </row>
    <row r="54" s="3" customFormat="true" ht="12.75" hidden="false" customHeight="false" outlineLevel="1" collapsed="false">
      <c r="A54" s="4" t="s">
        <v>118</v>
      </c>
      <c r="B54" s="2" t="n">
        <v>100</v>
      </c>
      <c r="C54" s="2" t="s">
        <v>46</v>
      </c>
      <c r="D54" s="2"/>
      <c r="E54" s="2"/>
      <c r="F54" s="4" t="n">
        <f aca="false">UL_T(B54)</f>
        <v>68.0341485128142</v>
      </c>
      <c r="G54" s="4" t="s">
        <v>17</v>
      </c>
      <c r="H54" s="2" t="s">
        <v>116</v>
      </c>
    </row>
    <row r="55" s="3" customFormat="true" ht="12.75" hidden="false" customHeight="false" outlineLevel="1" collapsed="false">
      <c r="A55" s="4" t="s">
        <v>119</v>
      </c>
      <c r="B55" s="2" t="n">
        <v>1</v>
      </c>
      <c r="C55" s="2" t="s">
        <v>45</v>
      </c>
      <c r="D55" s="2" t="n">
        <v>100</v>
      </c>
      <c r="E55" s="2" t="s">
        <v>46</v>
      </c>
      <c r="F55" s="4" t="n">
        <f aca="false">U_PT(B55,D55)</f>
        <v>68.0341316026102</v>
      </c>
      <c r="G55" s="4" t="s">
        <v>17</v>
      </c>
      <c r="H55" s="2" t="s">
        <v>120</v>
      </c>
    </row>
    <row r="56" s="3" customFormat="true" ht="12.75" hidden="false" customHeight="false" outlineLevel="1" collapsed="false">
      <c r="A56" s="4" t="s">
        <v>121</v>
      </c>
      <c r="B56" s="2" t="n">
        <v>1</v>
      </c>
      <c r="C56" s="2" t="s">
        <v>45</v>
      </c>
      <c r="D56" s="2" t="n">
        <v>1000</v>
      </c>
      <c r="E56" s="2" t="s">
        <v>17</v>
      </c>
      <c r="F56" s="4" t="n">
        <f aca="false">U_PH(B56,D56)</f>
        <v>944.567095034614</v>
      </c>
      <c r="G56" s="4" t="s">
        <v>17</v>
      </c>
      <c r="H56" s="2" t="s">
        <v>122</v>
      </c>
    </row>
    <row r="57" s="3" customFormat="true" ht="12.75" hidden="false" customHeight="false" outlineLevel="1" collapsed="false">
      <c r="A57" s="4" t="s">
        <v>123</v>
      </c>
      <c r="B57" s="2" t="n">
        <v>1</v>
      </c>
      <c r="C57" s="2" t="s">
        <v>45</v>
      </c>
      <c r="D57" s="2" t="n">
        <v>1</v>
      </c>
      <c r="E57" s="2" t="s">
        <v>21</v>
      </c>
      <c r="F57" s="4" t="n">
        <f aca="false">U_PS(B57,D57)</f>
        <v>527.621643755187</v>
      </c>
      <c r="G57" s="4" t="s">
        <v>17</v>
      </c>
      <c r="H57" s="2" t="s">
        <v>124</v>
      </c>
    </row>
    <row r="58" s="32" customFormat="true" ht="15" hidden="false" customHeight="false" outlineLevel="0" collapsed="false">
      <c r="A58" s="31" t="s">
        <v>125</v>
      </c>
      <c r="F58" s="33"/>
      <c r="G58" s="33"/>
    </row>
    <row r="59" s="3" customFormat="true" ht="12.75" hidden="false" customHeight="false" outlineLevel="1" collapsed="false">
      <c r="A59" s="4" t="s">
        <v>126</v>
      </c>
      <c r="B59" s="2" t="n">
        <v>1</v>
      </c>
      <c r="C59" s="2" t="s">
        <v>45</v>
      </c>
      <c r="D59" s="2"/>
      <c r="E59" s="2"/>
      <c r="F59" s="4" t="n">
        <f aca="false">CPV_P(B59)</f>
        <v>0.461046617631938</v>
      </c>
      <c r="G59" s="4" t="s">
        <v>21</v>
      </c>
      <c r="H59" s="2" t="s">
        <v>127</v>
      </c>
    </row>
    <row r="60" s="3" customFormat="true" ht="12.75" hidden="false" customHeight="false" outlineLevel="1" collapsed="false">
      <c r="A60" s="4" t="s">
        <v>128</v>
      </c>
      <c r="B60" s="2" t="n">
        <v>1</v>
      </c>
      <c r="C60" s="2" t="s">
        <v>45</v>
      </c>
      <c r="D60" s="2"/>
      <c r="E60" s="2"/>
      <c r="F60" s="4" t="n">
        <f aca="false">CPL_P(B60)</f>
        <v>0.99809613194003</v>
      </c>
      <c r="G60" s="4" t="s">
        <v>21</v>
      </c>
      <c r="H60" s="2" t="s">
        <v>129</v>
      </c>
    </row>
    <row r="61" s="3" customFormat="true" ht="12.75" hidden="false" customHeight="false" outlineLevel="1" collapsed="false">
      <c r="A61" s="4" t="s">
        <v>130</v>
      </c>
      <c r="B61" s="2" t="n">
        <v>100</v>
      </c>
      <c r="C61" s="2" t="s">
        <v>46</v>
      </c>
      <c r="D61" s="2"/>
      <c r="E61" s="2"/>
      <c r="F61" s="4" t="n">
        <f aca="false">CPV_T(B61)</f>
        <v>0.460714135219902</v>
      </c>
      <c r="G61" s="4" t="s">
        <v>21</v>
      </c>
      <c r="H61" s="2" t="s">
        <v>127</v>
      </c>
    </row>
    <row r="62" s="3" customFormat="true" ht="12.75" hidden="false" customHeight="false" outlineLevel="1" collapsed="false">
      <c r="A62" s="4" t="s">
        <v>131</v>
      </c>
      <c r="B62" s="2" t="n">
        <v>100</v>
      </c>
      <c r="C62" s="2" t="s">
        <v>46</v>
      </c>
      <c r="D62" s="2"/>
      <c r="E62" s="2"/>
      <c r="F62" s="4" t="n">
        <f aca="false">CPL_T(B62)</f>
        <v>0.998110148248171</v>
      </c>
      <c r="G62" s="4" t="s">
        <v>21</v>
      </c>
      <c r="H62" s="2" t="s">
        <v>129</v>
      </c>
    </row>
    <row r="63" s="3" customFormat="true" ht="12.75" hidden="false" customHeight="false" outlineLevel="1" collapsed="false">
      <c r="A63" s="4" t="s">
        <v>132</v>
      </c>
      <c r="B63" s="2" t="n">
        <v>1</v>
      </c>
      <c r="C63" s="2" t="s">
        <v>45</v>
      </c>
      <c r="D63" s="2" t="n">
        <v>100</v>
      </c>
      <c r="E63" s="2" t="s">
        <v>46</v>
      </c>
      <c r="F63" s="4" t="n">
        <f aca="false">CP_PT(B63,D63)</f>
        <v>0.998109943116514</v>
      </c>
      <c r="G63" s="4" t="s">
        <v>21</v>
      </c>
      <c r="H63" s="2" t="s">
        <v>133</v>
      </c>
    </row>
    <row r="64" s="3" customFormat="true" ht="12.75" hidden="false" customHeight="false" outlineLevel="1" collapsed="false">
      <c r="A64" s="4" t="s">
        <v>134</v>
      </c>
      <c r="B64" s="2" t="n">
        <v>100</v>
      </c>
      <c r="C64" s="2" t="s">
        <v>45</v>
      </c>
      <c r="D64" s="2" t="n">
        <v>200</v>
      </c>
      <c r="E64" s="2" t="s">
        <v>17</v>
      </c>
      <c r="F64" s="4" t="n">
        <f aca="false">CP_PH(B64,D64)</f>
        <v>1.0103835151868</v>
      </c>
      <c r="G64" s="4" t="s">
        <v>21</v>
      </c>
      <c r="H64" s="2" t="s">
        <v>135</v>
      </c>
    </row>
    <row r="65" s="3" customFormat="true" ht="12.75" hidden="false" customHeight="false" outlineLevel="1" collapsed="false">
      <c r="A65" s="4" t="s">
        <v>136</v>
      </c>
      <c r="B65" s="2" t="n">
        <v>100</v>
      </c>
      <c r="C65" s="2" t="s">
        <v>45</v>
      </c>
      <c r="D65" s="2" t="n">
        <f aca="false">F49</f>
        <v>0.185125247601107</v>
      </c>
      <c r="E65" s="2" t="s">
        <v>21</v>
      </c>
      <c r="F65" s="4" t="n">
        <f aca="false">CP_PS(B65,D65)</f>
        <v>0.998316850851669</v>
      </c>
      <c r="G65" s="4" t="s">
        <v>21</v>
      </c>
      <c r="H65" s="2" t="s">
        <v>137</v>
      </c>
    </row>
    <row r="66" s="32" customFormat="true" ht="15" hidden="false" customHeight="false" outlineLevel="0" collapsed="false">
      <c r="A66" s="31" t="s">
        <v>138</v>
      </c>
      <c r="F66" s="33"/>
      <c r="G66" s="33"/>
    </row>
    <row r="67" s="3" customFormat="true" ht="12.75" hidden="false" customHeight="false" outlineLevel="1" collapsed="false">
      <c r="A67" s="4" t="s">
        <v>139</v>
      </c>
      <c r="B67" s="2" t="n">
        <v>1</v>
      </c>
      <c r="C67" s="2" t="s">
        <v>45</v>
      </c>
      <c r="D67" s="2"/>
      <c r="E67" s="2"/>
      <c r="F67" s="4" t="n">
        <f aca="false">CVV_P(B67)</f>
        <v>0.347381511839727</v>
      </c>
      <c r="G67" s="4" t="s">
        <v>21</v>
      </c>
      <c r="H67" s="2" t="s">
        <v>140</v>
      </c>
    </row>
    <row r="68" s="3" customFormat="true" ht="12.75" hidden="false" customHeight="false" outlineLevel="1" collapsed="false">
      <c r="A68" s="4" t="s">
        <v>141</v>
      </c>
      <c r="B68" s="2" t="n">
        <v>1</v>
      </c>
      <c r="C68" s="2" t="s">
        <v>45</v>
      </c>
      <c r="D68" s="2"/>
      <c r="E68" s="2"/>
      <c r="F68" s="4" t="n">
        <f aca="false">CVL_P(B68)</f>
        <v>0.974194870722723</v>
      </c>
      <c r="G68" s="4" t="s">
        <v>21</v>
      </c>
      <c r="H68" s="2" t="s">
        <v>142</v>
      </c>
    </row>
    <row r="69" s="3" customFormat="true" ht="12.75" hidden="false" customHeight="false" outlineLevel="1" collapsed="false">
      <c r="A69" s="4" t="s">
        <v>143</v>
      </c>
      <c r="B69" s="2" t="n">
        <v>100</v>
      </c>
      <c r="C69" s="2" t="s">
        <v>46</v>
      </c>
      <c r="D69" s="2"/>
      <c r="E69" s="2"/>
      <c r="F69" s="4" t="n">
        <f aca="false">CVV_T(B69)</f>
        <v>0.347134975679568</v>
      </c>
      <c r="G69" s="4" t="s">
        <v>21</v>
      </c>
      <c r="H69" s="2" t="s">
        <v>140</v>
      </c>
    </row>
    <row r="70" s="3" customFormat="true" ht="12.75" hidden="false" customHeight="false" outlineLevel="1" collapsed="false">
      <c r="A70" s="4" t="s">
        <v>144</v>
      </c>
      <c r="B70" s="2" t="n">
        <v>100</v>
      </c>
      <c r="C70" s="2" t="s">
        <v>46</v>
      </c>
      <c r="D70" s="2"/>
      <c r="E70" s="2"/>
      <c r="F70" s="4" t="n">
        <f aca="false">CVL_T(B70)</f>
        <v>0.97523713984846</v>
      </c>
      <c r="G70" s="4" t="s">
        <v>21</v>
      </c>
      <c r="H70" s="2" t="s">
        <v>142</v>
      </c>
    </row>
    <row r="71" s="3" customFormat="true" ht="12.75" hidden="false" customHeight="false" outlineLevel="1" collapsed="false">
      <c r="A71" s="4" t="s">
        <v>145</v>
      </c>
      <c r="B71" s="2" t="n">
        <v>1</v>
      </c>
      <c r="C71" s="2" t="s">
        <v>45</v>
      </c>
      <c r="D71" s="2" t="n">
        <v>100</v>
      </c>
      <c r="E71" s="2" t="s">
        <v>46</v>
      </c>
      <c r="F71" s="4" t="n">
        <f aca="false">CV_PT(B71,D71)</f>
        <v>0.975236901555231</v>
      </c>
      <c r="G71" s="4" t="s">
        <v>21</v>
      </c>
      <c r="H71" s="2" t="s">
        <v>146</v>
      </c>
    </row>
    <row r="72" s="3" customFormat="true" ht="12.75" hidden="false" customHeight="false" outlineLevel="1" collapsed="false">
      <c r="A72" s="4" t="s">
        <v>147</v>
      </c>
      <c r="B72" s="2" t="n">
        <v>2.25983083799909E-007</v>
      </c>
      <c r="C72" s="2" t="s">
        <v>45</v>
      </c>
      <c r="D72" s="2" t="n">
        <v>5854.2172792352</v>
      </c>
      <c r="E72" s="2" t="s">
        <v>17</v>
      </c>
      <c r="F72" s="4" t="n">
        <f aca="false">CV_PH(B72,D72)</f>
        <v>2015</v>
      </c>
      <c r="G72" s="4" t="s">
        <v>21</v>
      </c>
      <c r="H72" s="2" t="s">
        <v>148</v>
      </c>
    </row>
    <row r="73" s="3" customFormat="true" ht="12.75" hidden="false" customHeight="false" outlineLevel="1" collapsed="false">
      <c r="A73" s="4" t="s">
        <v>149</v>
      </c>
      <c r="B73" s="2" t="n">
        <v>100</v>
      </c>
      <c r="C73" s="2" t="s">
        <v>45</v>
      </c>
      <c r="D73" s="2" t="n">
        <f aca="false">D65</f>
        <v>0.185125247601107</v>
      </c>
      <c r="E73" s="2" t="s">
        <v>21</v>
      </c>
      <c r="F73" s="4" t="n">
        <f aca="false">CV_PS(B73,D73)</f>
        <v>0.95412073194367</v>
      </c>
      <c r="G73" s="4" t="s">
        <v>21</v>
      </c>
      <c r="H73" s="2" t="s">
        <v>150</v>
      </c>
    </row>
    <row r="74" s="32" customFormat="true" ht="15" hidden="false" customHeight="false" outlineLevel="0" collapsed="false">
      <c r="A74" s="31" t="s">
        <v>151</v>
      </c>
      <c r="F74" s="33"/>
      <c r="G74" s="33"/>
    </row>
    <row r="75" s="3" customFormat="true" ht="12.75" hidden="false" customHeight="false" outlineLevel="1" collapsed="false">
      <c r="A75" s="4" t="s">
        <v>152</v>
      </c>
      <c r="B75" s="2" t="n">
        <v>1</v>
      </c>
      <c r="C75" s="2" t="s">
        <v>45</v>
      </c>
      <c r="D75" s="2"/>
      <c r="E75" s="2"/>
      <c r="F75" s="4" t="n">
        <f aca="false">WV_P(B75)</f>
        <v>1430.02334433871</v>
      </c>
      <c r="G75" s="4" t="s">
        <v>36</v>
      </c>
      <c r="H75" s="2" t="s">
        <v>153</v>
      </c>
    </row>
    <row r="76" s="3" customFormat="true" ht="12.75" hidden="false" customHeight="false" outlineLevel="1" collapsed="false">
      <c r="A76" s="4" t="s">
        <v>154</v>
      </c>
      <c r="B76" s="2" t="n">
        <v>1</v>
      </c>
      <c r="C76" s="2" t="s">
        <v>45</v>
      </c>
      <c r="D76" s="2"/>
      <c r="E76" s="2"/>
      <c r="F76" s="4" t="n">
        <f aca="false">WL_P(B76)</f>
        <v>5016.12659055008</v>
      </c>
      <c r="G76" s="4" t="s">
        <v>36</v>
      </c>
      <c r="H76" s="2" t="s">
        <v>155</v>
      </c>
    </row>
    <row r="77" s="3" customFormat="true" ht="12.75" hidden="false" customHeight="false" outlineLevel="1" collapsed="false">
      <c r="A77" s="4" t="s">
        <v>156</v>
      </c>
      <c r="B77" s="2" t="n">
        <v>100</v>
      </c>
      <c r="C77" s="2" t="s">
        <v>46</v>
      </c>
      <c r="D77" s="2"/>
      <c r="E77" s="2"/>
      <c r="F77" s="4" t="n">
        <f aca="false">WV_T(B77)</f>
        <v>1427.98073239907</v>
      </c>
      <c r="G77" s="4" t="s">
        <v>36</v>
      </c>
      <c r="H77" s="2" t="s">
        <v>153</v>
      </c>
    </row>
    <row r="78" s="3" customFormat="true" ht="12.75" hidden="false" customHeight="false" outlineLevel="1" collapsed="false">
      <c r="A78" s="4" t="s">
        <v>157</v>
      </c>
      <c r="B78" s="2" t="n">
        <v>100</v>
      </c>
      <c r="C78" s="2" t="s">
        <v>46</v>
      </c>
      <c r="D78" s="2"/>
      <c r="E78" s="2"/>
      <c r="F78" s="4" t="n">
        <f aca="false">WL_T(B78)</f>
        <v>5010.52406566996</v>
      </c>
      <c r="G78" s="4" t="s">
        <v>36</v>
      </c>
      <c r="H78" s="2" t="s">
        <v>155</v>
      </c>
    </row>
    <row r="79" s="3" customFormat="true" ht="12.75" hidden="false" customHeight="false" outlineLevel="1" collapsed="false">
      <c r="A79" s="4" t="s">
        <v>158</v>
      </c>
      <c r="B79" s="2" t="n">
        <v>1</v>
      </c>
      <c r="C79" s="2" t="s">
        <v>45</v>
      </c>
      <c r="D79" s="2" t="n">
        <v>100</v>
      </c>
      <c r="E79" s="2" t="s">
        <v>46</v>
      </c>
      <c r="F79" s="4" t="n">
        <f aca="false">W_PT(B79,D79)</f>
        <v>5010.52587328115</v>
      </c>
      <c r="G79" s="4" t="s">
        <v>36</v>
      </c>
      <c r="H79" s="2" t="s">
        <v>159</v>
      </c>
    </row>
    <row r="80" s="3" customFormat="true" ht="12.75" hidden="false" customHeight="false" outlineLevel="1" collapsed="false">
      <c r="A80" s="4" t="s">
        <v>160</v>
      </c>
      <c r="B80" s="2" t="n">
        <v>100</v>
      </c>
      <c r="C80" s="2" t="s">
        <v>45</v>
      </c>
      <c r="D80" s="2" t="n">
        <v>100</v>
      </c>
      <c r="E80" s="2" t="s">
        <v>17</v>
      </c>
      <c r="F80" s="4" t="n">
        <f aca="false">W_PH(B80,D80)</f>
        <v>5090.51779660552</v>
      </c>
      <c r="G80" s="4" t="s">
        <v>36</v>
      </c>
      <c r="H80" s="2" t="s">
        <v>161</v>
      </c>
    </row>
    <row r="81" s="3" customFormat="true" ht="12.75" hidden="false" customHeight="false" outlineLevel="1" collapsed="false">
      <c r="A81" s="4" t="s">
        <v>162</v>
      </c>
      <c r="B81" s="2" t="n">
        <v>100</v>
      </c>
      <c r="C81" s="2" t="s">
        <v>45</v>
      </c>
      <c r="D81" s="2" t="n">
        <f aca="false">D73</f>
        <v>0.185125247601107</v>
      </c>
      <c r="E81" s="2" t="s">
        <v>21</v>
      </c>
      <c r="F81" s="4" t="n">
        <f aca="false">W_PS(B81,D81)</f>
        <v>5090.91936567224</v>
      </c>
      <c r="G81" s="4" t="s">
        <v>36</v>
      </c>
      <c r="H81" s="2" t="s">
        <v>163</v>
      </c>
    </row>
    <row r="82" s="32" customFormat="true" ht="15" hidden="false" customHeight="false" outlineLevel="0" collapsed="false">
      <c r="A82" s="31" t="s">
        <v>164</v>
      </c>
      <c r="F82" s="33"/>
      <c r="G82" s="33"/>
    </row>
    <row r="83" s="3" customFormat="true" ht="11.25" hidden="false" customHeight="false" outlineLevel="1" collapsed="false">
      <c r="A83" s="3" t="s">
        <v>165</v>
      </c>
      <c r="F83" s="29"/>
      <c r="G83" s="29"/>
    </row>
    <row r="84" s="3" customFormat="true" ht="11.25" hidden="false" customHeight="false" outlineLevel="1" collapsed="false">
      <c r="A84" s="3" t="s">
        <v>166</v>
      </c>
      <c r="F84" s="29"/>
      <c r="G84" s="29"/>
    </row>
    <row r="85" s="3" customFormat="true" ht="12.75" hidden="false" customHeight="false" outlineLevel="1" collapsed="false">
      <c r="A85" s="4" t="s">
        <v>167</v>
      </c>
      <c r="B85" s="2" t="n">
        <v>1</v>
      </c>
      <c r="C85" s="2" t="s">
        <v>45</v>
      </c>
      <c r="D85" s="2" t="n">
        <v>100</v>
      </c>
      <c r="E85" s="2" t="s">
        <v>46</v>
      </c>
      <c r="F85" s="4" t="n">
        <f aca="false">MY_PT(B85,D85)</f>
        <v>1.64781781075289</v>
      </c>
      <c r="G85" s="4" t="s">
        <v>168</v>
      </c>
      <c r="H85" s="2" t="s">
        <v>169</v>
      </c>
    </row>
    <row r="86" s="3" customFormat="true" ht="12.75" hidden="false" customHeight="false" outlineLevel="1" collapsed="false">
      <c r="A86" s="4" t="s">
        <v>170</v>
      </c>
      <c r="B86" s="2" t="n">
        <v>100</v>
      </c>
      <c r="C86" s="2" t="s">
        <v>45</v>
      </c>
      <c r="D86" s="2" t="n">
        <v>100</v>
      </c>
      <c r="E86" s="2" t="s">
        <v>17</v>
      </c>
      <c r="F86" s="4" t="n">
        <f aca="false">MY_PH(B86,D86)</f>
        <v>1.21111887340758</v>
      </c>
      <c r="G86" s="4" t="s">
        <v>168</v>
      </c>
      <c r="H86" s="2" t="s">
        <v>171</v>
      </c>
    </row>
    <row r="87" s="3" customFormat="true" ht="12.75" hidden="false" customHeight="false" outlineLevel="1" collapsed="false">
      <c r="A87" s="4" t="s">
        <v>172</v>
      </c>
      <c r="B87" s="2" t="n">
        <v>100</v>
      </c>
      <c r="C87" s="2" t="s">
        <v>45</v>
      </c>
      <c r="D87" s="2" t="n">
        <f aca="false">D81</f>
        <v>0.185125247601107</v>
      </c>
      <c r="E87" s="2" t="s">
        <v>21</v>
      </c>
      <c r="F87" s="4" t="n">
        <f aca="false">MY_PS(B87,D87)</f>
        <v>1.20817957121741</v>
      </c>
      <c r="G87" s="4" t="s">
        <v>168</v>
      </c>
      <c r="H87" s="2" t="s">
        <v>173</v>
      </c>
    </row>
    <row r="88" customFormat="false" ht="18" hidden="false" customHeight="false" outlineLevel="0" collapsed="false">
      <c r="A88" s="1" t="s">
        <v>174</v>
      </c>
      <c r="F88" s="34"/>
      <c r="H88" s="35"/>
      <c r="I88" s="8"/>
      <c r="J88" s="8"/>
      <c r="K88" s="8"/>
      <c r="L88" s="8"/>
      <c r="M88" s="8"/>
    </row>
    <row r="89" customFormat="false" ht="12.75" hidden="false" customHeight="false" outlineLevel="1" collapsed="false">
      <c r="A89" s="3" t="s">
        <v>175</v>
      </c>
      <c r="F89" s="34"/>
      <c r="H89" s="35"/>
      <c r="I89" s="8"/>
      <c r="J89" s="8"/>
      <c r="K89" s="8"/>
      <c r="L89" s="8"/>
      <c r="M89" s="8"/>
    </row>
    <row r="90" customFormat="false" ht="12.75" hidden="false" customHeight="false" outlineLevel="1" collapsed="false">
      <c r="A90" s="4" t="s">
        <v>176</v>
      </c>
      <c r="B90" s="0" t="n">
        <v>1</v>
      </c>
      <c r="C90" s="0" t="s">
        <v>45</v>
      </c>
      <c r="D90" s="0" t="n">
        <v>200</v>
      </c>
      <c r="E90" s="0" t="s">
        <v>46</v>
      </c>
      <c r="F90" s="34" t="n">
        <f aca="false">PR_PT(B90,D90)</f>
        <v>0.970120243805412</v>
      </c>
      <c r="G90" s="4" t="s">
        <v>177</v>
      </c>
      <c r="H90" s="35"/>
      <c r="I90" s="8"/>
      <c r="J90" s="8"/>
      <c r="K90" s="8"/>
      <c r="L90" s="8"/>
      <c r="M90" s="8"/>
    </row>
    <row r="91" customFormat="false" ht="12.75" hidden="false" customHeight="false" outlineLevel="1" collapsed="false">
      <c r="A91" s="4" t="s">
        <v>178</v>
      </c>
      <c r="B91" s="0" t="n">
        <v>1</v>
      </c>
      <c r="C91" s="0" t="s">
        <v>45</v>
      </c>
      <c r="D91" s="0" t="n">
        <v>0.19</v>
      </c>
      <c r="E91" s="0" t="s">
        <v>17</v>
      </c>
      <c r="F91" s="34" t="n">
        <f aca="false">PR_PH(B91,D91)</f>
        <v>13.4056293767476</v>
      </c>
      <c r="G91" s="4" t="s">
        <v>177</v>
      </c>
      <c r="H91" s="35"/>
      <c r="I91" s="8"/>
      <c r="J91" s="8"/>
      <c r="K91" s="8"/>
      <c r="L91" s="8"/>
      <c r="M91" s="8"/>
    </row>
    <row r="92" s="32" customFormat="true" ht="15" hidden="false" customHeight="false" outlineLevel="0" collapsed="false">
      <c r="A92" s="31" t="s">
        <v>179</v>
      </c>
      <c r="F92" s="33"/>
      <c r="G92" s="33"/>
      <c r="H92" s="36"/>
      <c r="I92" s="36"/>
      <c r="J92" s="36"/>
      <c r="K92" s="36"/>
      <c r="L92" s="36"/>
      <c r="M92" s="36"/>
    </row>
    <row r="93" s="3" customFormat="true" ht="11.25" hidden="false" customHeight="false" outlineLevel="1" collapsed="false">
      <c r="A93" s="3" t="s">
        <v>180</v>
      </c>
      <c r="F93" s="29"/>
      <c r="G93" s="29"/>
    </row>
    <row r="94" s="3" customFormat="true" ht="12.75" hidden="false" customHeight="false" outlineLevel="1" collapsed="false">
      <c r="A94" s="4" t="s">
        <v>181</v>
      </c>
      <c r="B94" s="2" t="n">
        <v>1</v>
      </c>
      <c r="C94" s="2" t="s">
        <v>45</v>
      </c>
      <c r="D94" s="2"/>
      <c r="E94" s="2"/>
      <c r="F94" s="4" t="n">
        <f aca="false">TCL_P(B94)</f>
        <v>0.3622261386837</v>
      </c>
      <c r="G94" s="4" t="s">
        <v>182</v>
      </c>
      <c r="H94" s="2" t="s">
        <v>183</v>
      </c>
    </row>
    <row r="95" s="3" customFormat="true" ht="12.75" hidden="false" customHeight="false" outlineLevel="1" collapsed="false">
      <c r="A95" s="4" t="s">
        <v>184</v>
      </c>
      <c r="B95" s="2" t="n">
        <v>1</v>
      </c>
      <c r="C95" s="2" t="s">
        <v>45</v>
      </c>
      <c r="D95" s="2"/>
      <c r="E95" s="2"/>
      <c r="F95" s="4" t="n">
        <f aca="false">TCV_P(B95)</f>
        <v>0.011197748930408</v>
      </c>
      <c r="G95" s="4" t="s">
        <v>182</v>
      </c>
      <c r="H95" s="2" t="s">
        <v>185</v>
      </c>
    </row>
    <row r="96" s="3" customFormat="true" ht="12.75" hidden="false" customHeight="false" outlineLevel="1" collapsed="false">
      <c r="A96" s="4" t="s">
        <v>186</v>
      </c>
      <c r="B96" s="2" t="n">
        <v>50</v>
      </c>
      <c r="C96" s="2" t="s">
        <v>46</v>
      </c>
      <c r="D96" s="2"/>
      <c r="E96" s="2"/>
      <c r="F96" s="4" t="n">
        <f aca="false">TCL_T(B96)</f>
        <v>0.336226682080524</v>
      </c>
      <c r="G96" s="4" t="s">
        <v>182</v>
      </c>
      <c r="H96" s="2" t="s">
        <v>183</v>
      </c>
    </row>
    <row r="97" s="3" customFormat="true" ht="12.75" hidden="false" customHeight="false" outlineLevel="1" collapsed="false">
      <c r="A97" s="4" t="s">
        <v>187</v>
      </c>
      <c r="B97" s="2" t="n">
        <v>50</v>
      </c>
      <c r="C97" s="2" t="s">
        <v>46</v>
      </c>
      <c r="D97" s="2"/>
      <c r="E97" s="2"/>
      <c r="F97" s="4" t="n">
        <f aca="false">TCV_T(B97)</f>
        <v>0.00994637655473676</v>
      </c>
      <c r="G97" s="4" t="s">
        <v>182</v>
      </c>
      <c r="H97" s="2" t="s">
        <v>185</v>
      </c>
    </row>
    <row r="98" s="3" customFormat="true" ht="12.75" hidden="false" customHeight="false" outlineLevel="1" collapsed="false">
      <c r="A98" s="4" t="s">
        <v>188</v>
      </c>
      <c r="B98" s="2" t="n">
        <v>1</v>
      </c>
      <c r="C98" s="2" t="s">
        <v>45</v>
      </c>
      <c r="D98" s="2" t="n">
        <v>50</v>
      </c>
      <c r="E98" s="2" t="s">
        <v>46</v>
      </c>
      <c r="F98" s="4" t="n">
        <f aca="false">TC_PT(B98,D98)</f>
        <v>0.336228521154035</v>
      </c>
      <c r="G98" s="4" t="s">
        <v>182</v>
      </c>
      <c r="H98" s="2" t="s">
        <v>189</v>
      </c>
    </row>
    <row r="99" s="3" customFormat="true" ht="12.75" hidden="false" customHeight="false" outlineLevel="1" collapsed="false">
      <c r="A99" s="4" t="s">
        <v>190</v>
      </c>
      <c r="B99" s="2" t="n">
        <v>1</v>
      </c>
      <c r="C99" s="2" t="s">
        <v>45</v>
      </c>
      <c r="D99" s="2" t="n">
        <v>100</v>
      </c>
      <c r="E99" s="2" t="s">
        <v>21</v>
      </c>
      <c r="F99" s="4" t="n">
        <f aca="false">TC_PH(B99,D99)</f>
        <v>0.0201367520009703</v>
      </c>
      <c r="G99" s="4" t="s">
        <v>182</v>
      </c>
      <c r="H99" s="2" t="s">
        <v>191</v>
      </c>
    </row>
    <row r="100" s="3" customFormat="true" ht="12.75" hidden="false" customHeight="false" outlineLevel="1" collapsed="false">
      <c r="A100" s="4" t="s">
        <v>192</v>
      </c>
      <c r="B100" s="2" t="n">
        <v>100</v>
      </c>
      <c r="C100" s="2" t="s">
        <v>17</v>
      </c>
      <c r="D100" s="2" t="n">
        <f aca="false">D73</f>
        <v>0.185125247601107</v>
      </c>
      <c r="E100" s="2" t="s">
        <v>21</v>
      </c>
      <c r="F100" s="4" t="n">
        <f aca="false">TC_HS(B100,D100)</f>
        <v>0.373481961027135</v>
      </c>
      <c r="G100" s="4" t="s">
        <v>182</v>
      </c>
      <c r="H100" s="2" t="s">
        <v>193</v>
      </c>
    </row>
    <row r="101" s="3" customFormat="true" ht="15" hidden="false" customHeight="false" outlineLevel="0" collapsed="false">
      <c r="A101" s="31" t="s">
        <v>194</v>
      </c>
      <c r="B101" s="2"/>
      <c r="C101" s="2"/>
      <c r="D101" s="2"/>
      <c r="E101" s="2"/>
      <c r="F101" s="4"/>
      <c r="G101" s="4"/>
      <c r="H101" s="2"/>
    </row>
    <row r="102" s="3" customFormat="true" ht="11.25" hidden="false" customHeight="false" outlineLevel="1" collapsed="false">
      <c r="A102" s="3" t="s">
        <v>195</v>
      </c>
      <c r="F102" s="29"/>
      <c r="G102" s="29"/>
    </row>
    <row r="103" s="3" customFormat="true" ht="12.75" hidden="false" customHeight="false" outlineLevel="1" collapsed="false">
      <c r="A103" s="4" t="s">
        <v>196</v>
      </c>
      <c r="B103" s="2" t="n">
        <v>100</v>
      </c>
      <c r="C103" s="2" t="s">
        <v>46</v>
      </c>
      <c r="D103" s="2"/>
      <c r="E103" s="2"/>
      <c r="F103" s="4" t="n">
        <f aca="false">ST_T(B104)</f>
        <v>0.00534227753051554</v>
      </c>
      <c r="G103" s="4" t="s">
        <v>197</v>
      </c>
      <c r="H103" s="2" t="s">
        <v>198</v>
      </c>
    </row>
    <row r="104" s="3" customFormat="true" ht="12.75" hidden="false" customHeight="false" outlineLevel="1" collapsed="false">
      <c r="A104" s="4" t="s">
        <v>199</v>
      </c>
      <c r="B104" s="2" t="n">
        <v>1</v>
      </c>
      <c r="C104" s="2" t="s">
        <v>45</v>
      </c>
      <c r="D104" s="2"/>
      <c r="E104" s="2"/>
      <c r="F104" s="4" t="n">
        <f aca="false">ST_P(B104)</f>
        <v>0.00478309732010988</v>
      </c>
      <c r="G104" s="4" t="s">
        <v>197</v>
      </c>
      <c r="H104" s="2" t="s">
        <v>198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3" customFormat="true" ht="12.75" hidden="false" customHeight="false" outlineLevel="1" collapsed="false">
      <c r="A106" s="4" t="s">
        <v>200</v>
      </c>
      <c r="B106" s="2" t="n">
        <v>1</v>
      </c>
      <c r="C106" s="2" t="s">
        <v>45</v>
      </c>
      <c r="D106" s="2" t="n">
        <v>1000</v>
      </c>
      <c r="E106" s="2" t="s">
        <v>17</v>
      </c>
      <c r="F106" s="4" t="n">
        <f aca="false">X_PH(B106,D106)</f>
        <v>0.898196187427912</v>
      </c>
      <c r="G106" s="4"/>
      <c r="H106" s="2" t="s">
        <v>201</v>
      </c>
    </row>
    <row r="107" s="3" customFormat="true" ht="12.75" hidden="false" customHeight="false" outlineLevel="1" collapsed="false">
      <c r="A107" s="4" t="s">
        <v>202</v>
      </c>
      <c r="B107" s="2" t="n">
        <v>1</v>
      </c>
      <c r="C107" s="2" t="s">
        <v>45</v>
      </c>
      <c r="D107" s="2" t="n">
        <v>4</v>
      </c>
      <c r="E107" s="2" t="s">
        <v>21</v>
      </c>
      <c r="F107" s="4" t="n">
        <f aca="false">X_PS(B107,D107)</f>
        <v>1</v>
      </c>
      <c r="G107" s="4"/>
      <c r="H107" s="2" t="s">
        <v>203</v>
      </c>
    </row>
    <row r="108" s="32" customFormat="true" ht="15" hidden="false" customHeight="false" outlineLevel="0" collapsed="false">
      <c r="A108" s="31" t="s">
        <v>204</v>
      </c>
      <c r="F108" s="33"/>
      <c r="G108" s="33"/>
    </row>
    <row r="109" s="3" customFormat="true" ht="11.25" hidden="false" customHeight="false" outlineLevel="1" collapsed="false">
      <c r="A109" s="3" t="s">
        <v>205</v>
      </c>
      <c r="F109" s="29"/>
      <c r="G109" s="29"/>
    </row>
    <row r="110" s="3" customFormat="true" ht="11.25" hidden="false" customHeight="false" outlineLevel="1" collapsed="false">
      <c r="A110" s="3" t="s">
        <v>206</v>
      </c>
      <c r="F110" s="29"/>
      <c r="G110" s="29"/>
    </row>
    <row r="111" s="3" customFormat="true" ht="12.75" hidden="false" customHeight="false" outlineLevel="1" collapsed="false">
      <c r="A111" s="4" t="s">
        <v>207</v>
      </c>
      <c r="B111" s="2" t="n">
        <v>1</v>
      </c>
      <c r="C111" s="2" t="s">
        <v>45</v>
      </c>
      <c r="D111" s="2" t="n">
        <v>418</v>
      </c>
      <c r="E111" s="2" t="s">
        <v>17</v>
      </c>
      <c r="F111" s="37" t="n">
        <f aca="false">VX_PH(B111,D111)</f>
        <v>0.999904503658888</v>
      </c>
      <c r="G111" s="4"/>
      <c r="H111" s="2" t="s">
        <v>208</v>
      </c>
    </row>
    <row r="112" s="3" customFormat="true" ht="12.75" hidden="false" customHeight="false" outlineLevel="1" collapsed="false">
      <c r="A112" s="4" t="s">
        <v>209</v>
      </c>
      <c r="B112" s="2" t="n">
        <v>1</v>
      </c>
      <c r="C112" s="2" t="s">
        <v>45</v>
      </c>
      <c r="D112" s="2" t="n">
        <v>4</v>
      </c>
      <c r="E112" s="2" t="s">
        <v>21</v>
      </c>
      <c r="F112" s="37" t="n">
        <f aca="false">VX_PS(B112,D112)</f>
        <v>1</v>
      </c>
      <c r="G112" s="4"/>
      <c r="H112" s="2" t="s">
        <v>210</v>
      </c>
    </row>
    <row r="113" s="3" customFormat="true" ht="11.25" hidden="false" customHeight="false" outlineLevel="0" collapsed="false">
      <c r="F113" s="29"/>
      <c r="G113" s="29"/>
    </row>
    <row r="114" customFormat="false" ht="15" hidden="false" customHeight="false" outlineLevel="0" collapsed="false">
      <c r="A114" s="31" t="s">
        <v>211</v>
      </c>
    </row>
    <row r="115" customFormat="false" ht="12.75" hidden="false" customHeight="false" outlineLevel="0" collapsed="false">
      <c r="A115" s="29" t="s">
        <v>212</v>
      </c>
    </row>
    <row r="116" customFormat="false" ht="12.75" hidden="false" customHeight="false" outlineLevel="0" collapsed="false">
      <c r="A116" s="3" t="s">
        <v>213</v>
      </c>
    </row>
    <row r="117" customFormat="false" ht="12.75" hidden="false" customHeight="false" outlineLevel="0" collapsed="false">
      <c r="A117" s="3" t="s">
        <v>214</v>
      </c>
    </row>
    <row r="118" customFormat="false" ht="12.75" hidden="false" customHeight="false" outlineLevel="0" collapsed="false">
      <c r="A118" s="29" t="s">
        <v>215</v>
      </c>
    </row>
    <row r="119" customFormat="false" ht="12.75" hidden="false" customHeight="false" outlineLevel="0" collapsed="false">
      <c r="A119" s="3" t="s">
        <v>216</v>
      </c>
    </row>
    <row r="120" customFormat="false" ht="12.75" hidden="false" customHeight="false" outlineLevel="0" collapsed="false">
      <c r="A120" s="3" t="s">
        <v>217</v>
      </c>
    </row>
    <row r="121" customFormat="false" ht="12.75" hidden="false" customHeight="false" outlineLevel="0" collapsed="false">
      <c r="A121" s="3" t="s">
        <v>218</v>
      </c>
    </row>
    <row r="122" customFormat="false" ht="12.75" hidden="false" customHeight="false" outlineLevel="0" collapsed="false">
      <c r="A122" s="29" t="s">
        <v>219</v>
      </c>
    </row>
    <row r="123" customFormat="false" ht="12.75" hidden="false" customHeight="false" outlineLevel="0" collapsed="false">
      <c r="A123" s="3" t="s">
        <v>220</v>
      </c>
    </row>
    <row r="124" customFormat="false" ht="12.75" hidden="false" customHeight="false" outlineLevel="0" collapsed="false">
      <c r="A124" s="3" t="s">
        <v>221</v>
      </c>
    </row>
    <row r="125" customFormat="false" ht="12.75" hidden="false" customHeight="false" outlineLevel="0" collapsed="false">
      <c r="A125" s="3" t="s">
        <v>222</v>
      </c>
      <c r="G125" s="29"/>
    </row>
    <row r="126" customFormat="false" ht="12.75" hidden="false" customHeight="false" outlineLevel="0" collapsed="false">
      <c r="A126" s="29" t="s">
        <v>223</v>
      </c>
      <c r="G126" s="3"/>
    </row>
    <row r="127" customFormat="false" ht="12.75" hidden="false" customHeight="false" outlineLevel="0" collapsed="false">
      <c r="A127" s="3" t="s">
        <v>224</v>
      </c>
      <c r="G127" s="3"/>
    </row>
    <row r="128" customFormat="false" ht="12" hidden="false" customHeight="true" outlineLevel="0" collapsed="false">
      <c r="A128" s="3" t="s">
        <v>225</v>
      </c>
      <c r="G128" s="3"/>
      <c r="K128" s="3"/>
    </row>
    <row r="129" customFormat="false" ht="11.45" hidden="false" customHeight="true" outlineLevel="0" collapsed="false">
      <c r="A129" s="3" t="s">
        <v>226</v>
      </c>
    </row>
    <row r="130" customFormat="false" ht="11.45" hidden="false" customHeight="true" outlineLevel="0" collapsed="false">
      <c r="A130" s="3" t="s">
        <v>227</v>
      </c>
    </row>
    <row r="131" customFormat="false" ht="12.75" hidden="false" customHeight="false" outlineLevel="0" collapsed="false">
      <c r="A131" s="29" t="s">
        <v>228</v>
      </c>
    </row>
    <row r="132" customFormat="false" ht="12.75" hidden="false" customHeight="false" outlineLevel="0" collapsed="false">
      <c r="A132" s="3" t="s">
        <v>229</v>
      </c>
    </row>
    <row r="133" customFormat="false" ht="12.75" hidden="false" customHeight="false" outlineLevel="0" collapsed="false">
      <c r="A133" s="3" t="s">
        <v>230</v>
      </c>
    </row>
    <row r="134" customFormat="false" ht="12.75" hidden="false" customHeight="false" outlineLevel="0" collapsed="false">
      <c r="A134" s="3" t="s">
        <v>231</v>
      </c>
    </row>
    <row r="135" customFormat="false" ht="12.75" hidden="false" customHeight="false" outlineLevel="0" collapsed="false">
      <c r="A135" s="3" t="s">
        <v>232</v>
      </c>
    </row>
    <row r="136" customFormat="false" ht="12.75" hidden="false" customHeight="false" outlineLevel="0" collapsed="false">
      <c r="A136" s="3" t="s">
        <v>228</v>
      </c>
    </row>
    <row r="137" customFormat="false" ht="12.75" hidden="false" customHeight="false" outlineLevel="0" collapsed="false">
      <c r="A137" s="29" t="s">
        <v>233</v>
      </c>
    </row>
    <row r="138" customFormat="false" ht="12.75" hidden="false" customHeight="false" outlineLevel="0" collapsed="false">
      <c r="A138" s="3" t="s">
        <v>234</v>
      </c>
    </row>
    <row r="139" customFormat="false" ht="12.75" hidden="false" customHeight="false" outlineLevel="0" collapsed="false">
      <c r="A139" s="3" t="s">
        <v>235</v>
      </c>
    </row>
    <row r="140" customFormat="false" ht="12.75" hidden="false" customHeight="false" outlineLevel="0" collapsed="false">
      <c r="A140" s="3" t="s">
        <v>236</v>
      </c>
    </row>
    <row r="141" customFormat="false" ht="12.75" hidden="false" customHeight="false" outlineLevel="0" collapsed="false">
      <c r="A141" s="3" t="s">
        <v>237</v>
      </c>
    </row>
    <row r="142" customFormat="false" ht="12.75" hidden="false" customHeight="false" outlineLevel="0" collapsed="false">
      <c r="A142" s="3" t="s">
        <v>238</v>
      </c>
    </row>
    <row r="143" customFormat="false" ht="12.75" hidden="false" customHeight="false" outlineLevel="0" collapsed="false">
      <c r="A143" s="29" t="s">
        <v>239</v>
      </c>
    </row>
    <row r="144" customFormat="false" ht="12.75" hidden="false" customHeight="false" outlineLevel="0" collapsed="false">
      <c r="A144" s="3" t="s">
        <v>240</v>
      </c>
    </row>
    <row r="145" customFormat="false" ht="12.75" hidden="false" customHeight="false" outlineLevel="0" collapsed="false">
      <c r="A145" s="3" t="s">
        <v>241</v>
      </c>
    </row>
    <row r="146" customFormat="false" ht="12.75" hidden="false" customHeight="false" outlineLevel="0" collapsed="false">
      <c r="A146" s="3" t="s">
        <v>242</v>
      </c>
    </row>
    <row r="147" customFormat="false" ht="12.75" hidden="false" customHeight="false" outlineLevel="0" collapsed="false">
      <c r="A147" s="29" t="s">
        <v>243</v>
      </c>
    </row>
    <row r="148" customFormat="false" ht="12.75" hidden="false" customHeight="false" outlineLevel="0" collapsed="false">
      <c r="A148" s="3" t="s">
        <v>244</v>
      </c>
    </row>
    <row r="149" customFormat="false" ht="12.75" hidden="false" customHeight="false" outlineLevel="0" collapsed="false">
      <c r="A149" s="3" t="s">
        <v>245</v>
      </c>
    </row>
    <row r="150" customFormat="false" ht="12.75" hidden="false" customHeight="false" outlineLevel="0" collapsed="false">
      <c r="A150" s="3" t="s">
        <v>246</v>
      </c>
    </row>
    <row r="151" customFormat="false" ht="12.75" hidden="false" customHeight="false" outlineLevel="0" collapsed="false">
      <c r="A151" s="3" t="s">
        <v>245</v>
      </c>
    </row>
    <row r="152" customFormat="false" ht="12.75" hidden="false" customHeight="false" outlineLevel="0" collapsed="false">
      <c r="A152" s="3" t="s">
        <v>247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50"/>
  <sheetViews>
    <sheetView showFormulas="false" showGridLines="true" showRowColHeaders="true" showZeros="true" rightToLeft="false" tabSelected="false" showOutlineSymbols="true" defaultGridColor="true" view="normal" topLeftCell="AF1" colorId="64" zoomScale="100" zoomScaleNormal="100" zoomScalePageLayoutView="100" workbookViewId="0">
      <selection pane="topLeft" activeCell="B5" activeCellId="0" sqref="B5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4.65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4.65" hidden="false" customHeight="false" outlineLevel="0" collapsed="false">
      <c r="A2" s="0" t="s">
        <v>248</v>
      </c>
      <c r="B2" s="0" t="n">
        <v>0.0887133475876132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4.65" hidden="false" customHeight="false" outlineLevel="0" collapsed="false">
      <c r="A3" s="0" t="s">
        <v>249</v>
      </c>
      <c r="B3" s="38" t="n">
        <v>-3.6E-005</v>
      </c>
      <c r="C3" s="0" t="n">
        <v>0</v>
      </c>
      <c r="D3" s="0" t="n">
        <v>0.000238845896627</v>
      </c>
      <c r="E3" s="0" t="n">
        <v>0.000477691793254</v>
      </c>
      <c r="F3" s="0" t="n">
        <v>0.000716537689881</v>
      </c>
      <c r="G3" s="0" t="n">
        <v>0.000955383586508</v>
      </c>
      <c r="H3" s="0" t="n">
        <v>0.001194229483135</v>
      </c>
      <c r="I3" s="0" t="n">
        <v>0.001433075379762</v>
      </c>
      <c r="J3" s="0" t="n">
        <v>0.001671921276389</v>
      </c>
      <c r="K3" s="0" t="n">
        <v>0.001910767173016</v>
      </c>
      <c r="L3" s="0" t="n">
        <v>0.002149613069643</v>
      </c>
      <c r="M3" s="0" t="n">
        <v>0.00238845896627</v>
      </c>
      <c r="N3" s="0" t="n">
        <v>0.00477691793254</v>
      </c>
      <c r="O3" s="0" t="n">
        <v>0.00716537689881</v>
      </c>
      <c r="P3" s="0" t="n">
        <v>0.00955383586508</v>
      </c>
      <c r="Q3" s="0" t="n">
        <v>0.01194229483135</v>
      </c>
      <c r="R3" s="0" t="n">
        <v>0.01433075379762</v>
      </c>
      <c r="S3" s="0" t="n">
        <v>0.01671921276389</v>
      </c>
      <c r="T3" s="0" t="n">
        <v>0.01910767173016</v>
      </c>
      <c r="U3" s="0" t="n">
        <v>0.02149613069643</v>
      </c>
      <c r="V3" s="0" t="n">
        <v>0.0238845896627</v>
      </c>
      <c r="W3" s="0" t="n">
        <v>0.0477691793254</v>
      </c>
      <c r="X3" s="0" t="n">
        <v>0.0716537689881</v>
      </c>
      <c r="Y3" s="0" t="n">
        <v>0.0955383586508</v>
      </c>
      <c r="Z3" s="0" t="n">
        <v>0.1194229483135</v>
      </c>
      <c r="AA3" s="0" t="n">
        <v>0.1433075379762</v>
      </c>
      <c r="AB3" s="0" t="n">
        <v>0.1671921276389</v>
      </c>
      <c r="AC3" s="0" t="n">
        <v>0.1910767173016</v>
      </c>
      <c r="AD3" s="0" t="n">
        <v>0.2149613069643</v>
      </c>
      <c r="AE3" s="0" t="n">
        <v>0.238845896627</v>
      </c>
      <c r="AF3" s="0" t="n">
        <v>0.477691793254</v>
      </c>
      <c r="AG3" s="0" t="n">
        <v>0.716537689881</v>
      </c>
      <c r="AH3" s="0" t="n">
        <v>0.955383586508</v>
      </c>
      <c r="AI3" s="0" t="n">
        <v>1.194229483135</v>
      </c>
      <c r="AJ3" s="0" t="n">
        <v>1.433075379762</v>
      </c>
      <c r="AK3" s="0" t="n">
        <v>1.671921276389</v>
      </c>
      <c r="AL3" s="0" t="n">
        <v>1.910767173016</v>
      </c>
      <c r="AM3" s="0" t="n">
        <v>2.149613069643</v>
      </c>
      <c r="AN3" s="0" t="n">
        <v>2.185</v>
      </c>
      <c r="AO3" s="0" t="n">
        <v>2.2</v>
      </c>
    </row>
    <row r="4" customFormat="false" ht="12.8" hidden="false" customHeight="false" outlineLevel="0" collapsed="false">
      <c r="A4" s="0" t="s">
        <v>250</v>
      </c>
      <c r="B4" s="0" t="n">
        <v>32</v>
      </c>
      <c r="C4" s="0" t="n">
        <v>32.18</v>
      </c>
      <c r="D4" s="0" t="n">
        <v>32.36</v>
      </c>
      <c r="E4" s="0" t="n">
        <v>32.54</v>
      </c>
      <c r="F4" s="0" t="n">
        <v>32.72</v>
      </c>
      <c r="G4" s="0" t="n">
        <v>32.9</v>
      </c>
      <c r="H4" s="0" t="n">
        <v>33.08</v>
      </c>
      <c r="I4" s="0" t="n">
        <v>33.26</v>
      </c>
      <c r="J4" s="0" t="n">
        <v>33.44</v>
      </c>
      <c r="K4" s="0" t="n">
        <v>33.62</v>
      </c>
      <c r="L4" s="0" t="n">
        <v>33.8</v>
      </c>
      <c r="M4" s="0" t="n">
        <v>35.6</v>
      </c>
      <c r="N4" s="0" t="n">
        <v>37.4</v>
      </c>
      <c r="O4" s="0" t="n">
        <v>39.2</v>
      </c>
      <c r="P4" s="0" t="n">
        <v>41</v>
      </c>
      <c r="Q4" s="0" t="n">
        <v>42.8</v>
      </c>
      <c r="R4" s="0" t="n">
        <v>44.6</v>
      </c>
      <c r="S4" s="0" t="n">
        <v>46.4</v>
      </c>
      <c r="T4" s="0" t="n">
        <v>48.2</v>
      </c>
      <c r="U4" s="0" t="n">
        <v>50</v>
      </c>
      <c r="V4" s="0" t="n">
        <v>68</v>
      </c>
      <c r="W4" s="0" t="n">
        <v>86</v>
      </c>
      <c r="X4" s="0" t="n">
        <v>104</v>
      </c>
      <c r="Y4" s="0" t="n">
        <v>122</v>
      </c>
      <c r="Z4" s="0" t="n">
        <v>140</v>
      </c>
      <c r="AA4" s="0" t="n">
        <v>158</v>
      </c>
      <c r="AB4" s="0" t="n">
        <v>176</v>
      </c>
      <c r="AC4" s="0" t="n">
        <v>194</v>
      </c>
      <c r="AD4" s="0" t="n">
        <v>212</v>
      </c>
      <c r="AE4" s="0" t="n">
        <v>392</v>
      </c>
      <c r="AF4" s="0" t="n">
        <v>572</v>
      </c>
      <c r="AG4" s="0" t="n">
        <v>752</v>
      </c>
    </row>
    <row r="5" customFormat="false" ht="12.8" hidden="false" customHeight="false" outlineLevel="0" collapsed="false">
      <c r="A5" s="0" t="s">
        <v>250</v>
      </c>
      <c r="B5" s="0" t="n">
        <v>32</v>
      </c>
      <c r="C5" s="0" t="n">
        <v>32.18</v>
      </c>
      <c r="D5" s="0" t="n">
        <v>32.36</v>
      </c>
      <c r="E5" s="0" t="n">
        <v>32.54</v>
      </c>
      <c r="F5" s="0" t="n">
        <v>32.72</v>
      </c>
      <c r="G5" s="0" t="n">
        <v>32.9</v>
      </c>
      <c r="H5" s="0" t="n">
        <v>33.08</v>
      </c>
      <c r="I5" s="0" t="n">
        <v>33.26</v>
      </c>
      <c r="J5" s="0" t="n">
        <v>33.44</v>
      </c>
      <c r="K5" s="0" t="n">
        <v>33.62</v>
      </c>
      <c r="L5" s="0" t="n">
        <v>33.8</v>
      </c>
      <c r="M5" s="0" t="n">
        <v>35.6</v>
      </c>
      <c r="N5" s="0" t="n">
        <v>37.4</v>
      </c>
      <c r="O5" s="0" t="n">
        <v>39.2</v>
      </c>
      <c r="P5" s="0" t="n">
        <v>41</v>
      </c>
      <c r="Q5" s="0" t="n">
        <v>42.8</v>
      </c>
      <c r="R5" s="0" t="n">
        <v>44.6</v>
      </c>
      <c r="S5" s="0" t="n">
        <v>46.4</v>
      </c>
      <c r="T5" s="0" t="n">
        <v>48.2</v>
      </c>
      <c r="U5" s="0" t="n">
        <v>50</v>
      </c>
      <c r="V5" s="0" t="n">
        <v>68</v>
      </c>
      <c r="W5" s="0" t="n">
        <v>86</v>
      </c>
      <c r="X5" s="0" t="n">
        <v>104</v>
      </c>
      <c r="Y5" s="0" t="n">
        <v>122</v>
      </c>
      <c r="Z5" s="0" t="n">
        <v>140</v>
      </c>
      <c r="AA5" s="0" t="n">
        <v>158</v>
      </c>
      <c r="AB5" s="0" t="n">
        <v>176</v>
      </c>
      <c r="AC5" s="0" t="n">
        <v>194</v>
      </c>
      <c r="AD5" s="0" t="n">
        <v>212</v>
      </c>
      <c r="AE5" s="0" t="n">
        <v>392</v>
      </c>
      <c r="AF5" s="0" t="n">
        <v>572</v>
      </c>
      <c r="AG5" s="0" t="n">
        <v>752</v>
      </c>
      <c r="AH5" s="0" t="n">
        <f aca="false">FROMSIUNIT_T(500+273.15)</f>
        <v>932</v>
      </c>
      <c r="AI5" s="0" t="n">
        <f aca="false">FROMSIUNIT_T(600+273.15)</f>
        <v>1112</v>
      </c>
      <c r="AJ5" s="0" t="n">
        <f aca="false">FROMSIUNIT_T(700+273.15)</f>
        <v>1292</v>
      </c>
      <c r="AK5" s="0" t="n">
        <f aca="false">FROMSIUNIT_T(800+273.15)</f>
        <v>1472</v>
      </c>
      <c r="AL5" s="0" t="n">
        <f aca="false">FROMSIUNIT_T(900+273.15)</f>
        <v>1652</v>
      </c>
      <c r="AM5" s="0" t="n">
        <f aca="false">FROMSIUNIT_T(1000+273.15)</f>
        <v>1832</v>
      </c>
    </row>
    <row r="9" customFormat="false" ht="14.65" hidden="false" customHeight="false" outlineLevel="0" collapsed="false">
      <c r="A9" s="0" t="s">
        <v>251</v>
      </c>
      <c r="B9" s="0" t="s">
        <v>252</v>
      </c>
      <c r="C9" s="0" t="s">
        <v>253</v>
      </c>
    </row>
    <row r="10" customFormat="false" ht="14.65" hidden="false" customHeight="false" outlineLevel="0" collapsed="false">
      <c r="A10" s="0" t="n">
        <v>0</v>
      </c>
      <c r="B10" s="0" t="n">
        <v>0.000624279606</v>
      </c>
      <c r="C10" s="0" t="n">
        <v>0</v>
      </c>
    </row>
    <row r="11" customFormat="false" ht="14.65" hidden="false" customHeight="false" outlineLevel="0" collapsed="false">
      <c r="A11" s="0" t="n">
        <v>0.0429922613929493</v>
      </c>
      <c r="B11" s="0" t="n">
        <v>0.001248559212</v>
      </c>
      <c r="C11" s="0" t="n">
        <v>0.001</v>
      </c>
    </row>
    <row r="12" customFormat="false" ht="14.65" hidden="false" customHeight="false" outlineLevel="0" collapsed="false">
      <c r="A12" s="0" t="n">
        <v>0.0859845227858985</v>
      </c>
      <c r="B12" s="0" t="n">
        <v>0.001872838818</v>
      </c>
      <c r="C12" s="0" t="n">
        <f aca="false">C11+0.001</f>
        <v>0.002</v>
      </c>
    </row>
    <row r="13" customFormat="false" ht="14.65" hidden="false" customHeight="false" outlineLevel="0" collapsed="false">
      <c r="A13" s="0" t="n">
        <v>0.128976784178848</v>
      </c>
      <c r="B13" s="0" t="n">
        <v>0.002497118424</v>
      </c>
      <c r="C13" s="0" t="n">
        <f aca="false">C12+0.001</f>
        <v>0.003</v>
      </c>
    </row>
    <row r="14" customFormat="false" ht="14.65" hidden="false" customHeight="false" outlineLevel="0" collapsed="false">
      <c r="A14" s="0" t="n">
        <v>0.171969045571797</v>
      </c>
      <c r="B14" s="0" t="n">
        <v>0.00312139803</v>
      </c>
      <c r="C14" s="0" t="n">
        <f aca="false">C13+0.001</f>
        <v>0.004</v>
      </c>
    </row>
    <row r="15" customFormat="false" ht="14.65" hidden="false" customHeight="false" outlineLevel="0" collapsed="false">
      <c r="A15" s="0" t="n">
        <v>0.214961306964746</v>
      </c>
      <c r="B15" s="0" t="n">
        <v>0.003745677636</v>
      </c>
      <c r="C15" s="0" t="n">
        <f aca="false">C14+0.001</f>
        <v>0.005</v>
      </c>
    </row>
    <row r="16" customFormat="false" ht="14.65" hidden="false" customHeight="false" outlineLevel="0" collapsed="false">
      <c r="A16" s="0" t="n">
        <v>0.257953568357696</v>
      </c>
      <c r="B16" s="0" t="n">
        <v>0.004369957242</v>
      </c>
      <c r="C16" s="0" t="n">
        <f aca="false">C15+0.001</f>
        <v>0.006</v>
      </c>
    </row>
    <row r="17" customFormat="false" ht="14.65" hidden="false" customHeight="false" outlineLevel="0" collapsed="false">
      <c r="A17" s="0" t="n">
        <v>0.300945829750645</v>
      </c>
      <c r="B17" s="0" t="n">
        <v>0.004994236848</v>
      </c>
      <c r="C17" s="0" t="n">
        <f aca="false">C16+0.001</f>
        <v>0.007</v>
      </c>
    </row>
    <row r="18" customFormat="false" ht="14.65" hidden="false" customHeight="false" outlineLevel="0" collapsed="false">
      <c r="A18" s="0" t="n">
        <v>0.343938091143594</v>
      </c>
      <c r="B18" s="0" t="n">
        <v>0.005618516454</v>
      </c>
      <c r="C18" s="0" t="n">
        <f aca="false">C17+0.001</f>
        <v>0.008</v>
      </c>
    </row>
    <row r="19" customFormat="false" ht="14.65" hidden="false" customHeight="false" outlineLevel="0" collapsed="false">
      <c r="A19" s="0" t="n">
        <v>0.386930352536543</v>
      </c>
      <c r="B19" s="0" t="n">
        <v>0.00624279606</v>
      </c>
      <c r="C19" s="0" t="n">
        <f aca="false">C18+0.001</f>
        <v>0.009</v>
      </c>
    </row>
    <row r="20" customFormat="false" ht="14.65" hidden="false" customHeight="false" outlineLevel="0" collapsed="false">
      <c r="A20" s="0" t="n">
        <v>0.429922613929493</v>
      </c>
      <c r="B20" s="0" t="n">
        <v>0.01248559212</v>
      </c>
      <c r="C20" s="0" t="n">
        <f aca="false">C19+0.001</f>
        <v>0.01</v>
      </c>
    </row>
    <row r="21" customFormat="false" ht="14.65" hidden="false" customHeight="false" outlineLevel="0" collapsed="false">
      <c r="A21" s="0" t="n">
        <v>0.859845227858985</v>
      </c>
      <c r="B21" s="0" t="n">
        <v>0.01872838818</v>
      </c>
      <c r="C21" s="0" t="n">
        <f aca="false">C20+0.01</f>
        <v>0.02</v>
      </c>
    </row>
    <row r="22" customFormat="false" ht="14.65" hidden="false" customHeight="false" outlineLevel="0" collapsed="false">
      <c r="A22" s="0" t="n">
        <v>1.28976784178848</v>
      </c>
      <c r="B22" s="0" t="n">
        <v>0.02497118424</v>
      </c>
      <c r="C22" s="0" t="n">
        <f aca="false">C21+0.01</f>
        <v>0.03</v>
      </c>
    </row>
    <row r="23" customFormat="false" ht="14.65" hidden="false" customHeight="false" outlineLevel="0" collapsed="false">
      <c r="A23" s="0" t="n">
        <v>1.71969045571797</v>
      </c>
      <c r="B23" s="0" t="n">
        <v>0.0312139803</v>
      </c>
      <c r="C23" s="0" t="n">
        <f aca="false">C22+0.01</f>
        <v>0.04</v>
      </c>
    </row>
    <row r="24" customFormat="false" ht="14.65" hidden="false" customHeight="false" outlineLevel="0" collapsed="false">
      <c r="A24" s="0" t="n">
        <v>2.14961306964746</v>
      </c>
      <c r="B24" s="0" t="n">
        <v>0.03745677636</v>
      </c>
      <c r="C24" s="0" t="n">
        <f aca="false">C23+0.01</f>
        <v>0.05</v>
      </c>
    </row>
    <row r="25" customFormat="false" ht="14.65" hidden="false" customHeight="false" outlineLevel="0" collapsed="false">
      <c r="A25" s="0" t="n">
        <v>2.57953568357696</v>
      </c>
      <c r="B25" s="0" t="n">
        <v>0.04369957242</v>
      </c>
      <c r="C25" s="0" t="n">
        <f aca="false">C24+0.01</f>
        <v>0.06</v>
      </c>
    </row>
    <row r="26" customFormat="false" ht="14.65" hidden="false" customHeight="false" outlineLevel="0" collapsed="false">
      <c r="A26" s="0" t="n">
        <v>3.00945829750645</v>
      </c>
      <c r="B26" s="0" t="n">
        <v>0.04994236848</v>
      </c>
      <c r="C26" s="0" t="n">
        <f aca="false">C25+0.01</f>
        <v>0.07</v>
      </c>
    </row>
    <row r="27" customFormat="false" ht="14.65" hidden="false" customHeight="false" outlineLevel="0" collapsed="false">
      <c r="A27" s="0" t="n">
        <v>3.43938091143594</v>
      </c>
      <c r="B27" s="0" t="n">
        <v>0.05618516454</v>
      </c>
      <c r="C27" s="0" t="n">
        <f aca="false">C26+0.01</f>
        <v>0.08</v>
      </c>
    </row>
    <row r="28" customFormat="false" ht="14.65" hidden="false" customHeight="false" outlineLevel="0" collapsed="false">
      <c r="A28" s="0" t="n">
        <v>3.86930352536543</v>
      </c>
      <c r="B28" s="0" t="n">
        <v>0.0624279606</v>
      </c>
      <c r="C28" s="0" t="n">
        <f aca="false">C27+0.01</f>
        <v>0.09</v>
      </c>
    </row>
    <row r="29" customFormat="false" ht="14.65" hidden="false" customHeight="false" outlineLevel="0" collapsed="false">
      <c r="A29" s="0" t="n">
        <v>4.29922613929493</v>
      </c>
      <c r="B29" s="0" t="n">
        <v>0.1248559212</v>
      </c>
      <c r="C29" s="0" t="n">
        <f aca="false">C28+0.01</f>
        <v>0.1</v>
      </c>
    </row>
    <row r="30" customFormat="false" ht="14.65" hidden="false" customHeight="false" outlineLevel="0" collapsed="false">
      <c r="A30" s="0" t="n">
        <v>8.59845227858985</v>
      </c>
      <c r="B30" s="0" t="n">
        <v>0.1872838818</v>
      </c>
      <c r="C30" s="0" t="n">
        <f aca="false">C29+0.1</f>
        <v>0.2</v>
      </c>
    </row>
    <row r="31" customFormat="false" ht="14.65" hidden="false" customHeight="false" outlineLevel="0" collapsed="false">
      <c r="A31" s="0" t="n">
        <v>12.8976784178848</v>
      </c>
      <c r="B31" s="0" t="n">
        <v>0.2497118424</v>
      </c>
      <c r="C31" s="0" t="n">
        <f aca="false">C30+0.1</f>
        <v>0.3</v>
      </c>
    </row>
    <row r="32" customFormat="false" ht="14.65" hidden="false" customHeight="false" outlineLevel="0" collapsed="false">
      <c r="A32" s="0" t="n">
        <v>17.1969045571797</v>
      </c>
      <c r="B32" s="0" t="n">
        <v>0.312139803</v>
      </c>
      <c r="C32" s="0" t="n">
        <f aca="false">C31+0.1</f>
        <v>0.4</v>
      </c>
    </row>
    <row r="33" customFormat="false" ht="14.65" hidden="false" customHeight="false" outlineLevel="0" collapsed="false">
      <c r="A33" s="0" t="n">
        <v>21.4961306964746</v>
      </c>
      <c r="B33" s="0" t="n">
        <v>0.3745677636</v>
      </c>
      <c r="C33" s="0" t="n">
        <f aca="false">C32+0.1</f>
        <v>0.5</v>
      </c>
    </row>
    <row r="34" customFormat="false" ht="14.65" hidden="false" customHeight="false" outlineLevel="0" collapsed="false">
      <c r="A34" s="0" t="n">
        <v>25.7953568357696</v>
      </c>
      <c r="B34" s="0" t="n">
        <v>0.4369957242</v>
      </c>
      <c r="C34" s="0" t="n">
        <f aca="false">C33+0.1</f>
        <v>0.6</v>
      </c>
    </row>
    <row r="35" customFormat="false" ht="14.65" hidden="false" customHeight="false" outlineLevel="0" collapsed="false">
      <c r="A35" s="0" t="n">
        <v>30.0945829750645</v>
      </c>
      <c r="B35" s="0" t="n">
        <v>0.4994236848</v>
      </c>
      <c r="C35" s="0" t="n">
        <f aca="false">C34+0.1</f>
        <v>0.7</v>
      </c>
    </row>
    <row r="36" customFormat="false" ht="14.65" hidden="false" customHeight="false" outlineLevel="0" collapsed="false">
      <c r="A36" s="0" t="n">
        <v>34.3938091143594</v>
      </c>
      <c r="B36" s="0" t="n">
        <v>0.5618516454</v>
      </c>
      <c r="C36" s="0" t="n">
        <f aca="false">C35+0.1</f>
        <v>0.8</v>
      </c>
    </row>
    <row r="37" customFormat="false" ht="14.65" hidden="false" customHeight="false" outlineLevel="0" collapsed="false">
      <c r="A37" s="0" t="n">
        <v>38.6930352536543</v>
      </c>
      <c r="B37" s="0" t="n">
        <v>0.624279606</v>
      </c>
      <c r="C37" s="0" t="n">
        <f aca="false">C36+0.1</f>
        <v>0.9</v>
      </c>
    </row>
    <row r="38" customFormat="false" ht="14.65" hidden="false" customHeight="false" outlineLevel="0" collapsed="false">
      <c r="A38" s="0" t="n">
        <v>42.9922613929493</v>
      </c>
      <c r="B38" s="0" t="n">
        <v>1.248559212</v>
      </c>
      <c r="C38" s="0" t="n">
        <f aca="false">C37+0.1</f>
        <v>1</v>
      </c>
    </row>
    <row r="39" customFormat="false" ht="14.65" hidden="false" customHeight="false" outlineLevel="0" collapsed="false">
      <c r="A39" s="0" t="n">
        <v>85.9845227858985</v>
      </c>
      <c r="B39" s="0" t="n">
        <v>1.872838818</v>
      </c>
    </row>
    <row r="40" customFormat="false" ht="14.65" hidden="false" customHeight="false" outlineLevel="0" collapsed="false">
      <c r="A40" s="0" t="n">
        <v>128.976784178848</v>
      </c>
      <c r="B40" s="0" t="n">
        <v>2.497118424</v>
      </c>
    </row>
    <row r="41" customFormat="false" ht="14.65" hidden="false" customHeight="false" outlineLevel="0" collapsed="false">
      <c r="A41" s="0" t="n">
        <v>171.969045571797</v>
      </c>
      <c r="B41" s="0" t="n">
        <v>3.12139803</v>
      </c>
    </row>
    <row r="42" customFormat="false" ht="14.65" hidden="false" customHeight="false" outlineLevel="0" collapsed="false">
      <c r="A42" s="0" t="n">
        <v>214.961306964746</v>
      </c>
      <c r="B42" s="0" t="n">
        <v>3.745677636</v>
      </c>
    </row>
    <row r="43" customFormat="false" ht="14.65" hidden="false" customHeight="false" outlineLevel="0" collapsed="false">
      <c r="A43" s="0" t="n">
        <v>257.953568357696</v>
      </c>
      <c r="B43" s="0" t="n">
        <v>4.369957242</v>
      </c>
    </row>
    <row r="44" customFormat="false" ht="14.65" hidden="false" customHeight="false" outlineLevel="0" collapsed="false">
      <c r="A44" s="0" t="n">
        <v>300.945829750645</v>
      </c>
      <c r="B44" s="0" t="n">
        <v>4.994236848</v>
      </c>
    </row>
    <row r="45" customFormat="false" ht="14.65" hidden="false" customHeight="false" outlineLevel="0" collapsed="false">
      <c r="A45" s="0" t="n">
        <v>343.938091143594</v>
      </c>
      <c r="B45" s="0" t="n">
        <v>5.618516454</v>
      </c>
    </row>
    <row r="46" customFormat="false" ht="14.65" hidden="false" customHeight="false" outlineLevel="0" collapsed="false">
      <c r="A46" s="0" t="n">
        <v>386.930352536543</v>
      </c>
      <c r="B46" s="0" t="n">
        <v>6.24279606</v>
      </c>
    </row>
    <row r="47" customFormat="false" ht="14.65" hidden="false" customHeight="false" outlineLevel="0" collapsed="false">
      <c r="A47" s="0" t="n">
        <v>429.922613929493</v>
      </c>
      <c r="B47" s="0" t="n">
        <v>12.48559212</v>
      </c>
    </row>
    <row r="48" customFormat="false" ht="14.65" hidden="false" customHeight="false" outlineLevel="0" collapsed="false">
      <c r="A48" s="0" t="n">
        <v>859.845227858985</v>
      </c>
      <c r="B48" s="0" t="n">
        <v>18.72838818</v>
      </c>
    </row>
    <row r="49" customFormat="false" ht="14.65" hidden="false" customHeight="false" outlineLevel="0" collapsed="false">
      <c r="A49" s="0" t="n">
        <v>864.14445399828</v>
      </c>
      <c r="B49" s="0" t="n">
        <v>24.97118424</v>
      </c>
    </row>
    <row r="50" customFormat="false" ht="14.65" hidden="false" customHeight="false" outlineLevel="0" collapsed="false">
      <c r="A50" s="0" t="n">
        <v>868.443680137575</v>
      </c>
      <c r="B50" s="0" t="n">
        <v>31.2139803</v>
      </c>
    </row>
    <row r="51" customFormat="false" ht="14.65" hidden="false" customHeight="false" outlineLevel="0" collapsed="false">
      <c r="A51" s="0" t="n">
        <v>872.74290627687</v>
      </c>
      <c r="B51" s="0" t="n">
        <v>37.45677636</v>
      </c>
    </row>
    <row r="52" customFormat="false" ht="14.65" hidden="false" customHeight="false" outlineLevel="0" collapsed="false">
      <c r="A52" s="0" t="n">
        <v>877.042132416165</v>
      </c>
      <c r="B52" s="0" t="n">
        <v>43.69957242</v>
      </c>
    </row>
    <row r="53" customFormat="false" ht="14.65" hidden="false" customHeight="false" outlineLevel="0" collapsed="false">
      <c r="A53" s="0" t="n">
        <v>881.34135855546</v>
      </c>
      <c r="B53" s="0" t="n">
        <v>49.94236848</v>
      </c>
    </row>
    <row r="54" customFormat="false" ht="14.65" hidden="false" customHeight="false" outlineLevel="0" collapsed="false">
      <c r="A54" s="0" t="n">
        <v>885.640584694755</v>
      </c>
      <c r="B54" s="0" t="n">
        <v>56.18516454</v>
      </c>
    </row>
    <row r="55" customFormat="false" ht="14.65" hidden="false" customHeight="false" outlineLevel="0" collapsed="false">
      <c r="A55" s="0" t="n">
        <v>889.93981083405</v>
      </c>
      <c r="B55" s="0" t="n">
        <v>62.4279606</v>
      </c>
    </row>
    <row r="56" customFormat="false" ht="14.65" hidden="false" customHeight="false" outlineLevel="0" collapsed="false">
      <c r="A56" s="0" t="n">
        <v>894.239036973345</v>
      </c>
    </row>
    <row r="57" customFormat="false" ht="14.65" hidden="false" customHeight="false" outlineLevel="0" collapsed="false">
      <c r="A57" s="0" t="n">
        <v>898.53826311264</v>
      </c>
    </row>
    <row r="58" customFormat="false" ht="14.65" hidden="false" customHeight="false" outlineLevel="0" collapsed="false">
      <c r="A58" s="0" t="n">
        <v>902.837489251935</v>
      </c>
    </row>
    <row r="59" customFormat="false" ht="14.65" hidden="false" customHeight="false" outlineLevel="0" collapsed="false">
      <c r="A59" s="0" t="n">
        <v>907.13671539123</v>
      </c>
    </row>
    <row r="60" customFormat="false" ht="14.65" hidden="false" customHeight="false" outlineLevel="0" collapsed="false">
      <c r="A60" s="0" t="n">
        <v>911.435941530525</v>
      </c>
    </row>
    <row r="61" customFormat="false" ht="14.65" hidden="false" customHeight="false" outlineLevel="0" collapsed="false">
      <c r="A61" s="0" t="n">
        <v>915.735167669819</v>
      </c>
    </row>
    <row r="62" customFormat="false" ht="14.65" hidden="false" customHeight="false" outlineLevel="0" collapsed="false">
      <c r="A62" s="0" t="n">
        <v>920.034393809114</v>
      </c>
    </row>
    <row r="63" customFormat="false" ht="14.65" hidden="false" customHeight="false" outlineLevel="0" collapsed="false">
      <c r="A63" s="0" t="n">
        <v>924.333619948409</v>
      </c>
    </row>
    <row r="64" customFormat="false" ht="14.65" hidden="false" customHeight="false" outlineLevel="0" collapsed="false">
      <c r="A64" s="0" t="n">
        <v>928.632846087704</v>
      </c>
    </row>
    <row r="65" customFormat="false" ht="14.65" hidden="false" customHeight="false" outlineLevel="0" collapsed="false">
      <c r="A65" s="0" t="n">
        <v>932.932072226999</v>
      </c>
    </row>
    <row r="66" customFormat="false" ht="14.65" hidden="false" customHeight="false" outlineLevel="0" collapsed="false">
      <c r="A66" s="0" t="n">
        <v>937.231298366294</v>
      </c>
    </row>
    <row r="67" customFormat="false" ht="14.65" hidden="false" customHeight="false" outlineLevel="0" collapsed="false">
      <c r="A67" s="0" t="n">
        <v>941.530524505589</v>
      </c>
    </row>
    <row r="68" customFormat="false" ht="14.65" hidden="false" customHeight="false" outlineLevel="0" collapsed="false">
      <c r="A68" s="0" t="n">
        <v>945.829750644884</v>
      </c>
    </row>
    <row r="69" customFormat="false" ht="14.65" hidden="false" customHeight="false" outlineLevel="0" collapsed="false">
      <c r="A69" s="0" t="n">
        <v>950.128976784179</v>
      </c>
    </row>
    <row r="70" customFormat="false" ht="14.65" hidden="false" customHeight="false" outlineLevel="0" collapsed="false">
      <c r="A70" s="0" t="n">
        <v>954.428202923474</v>
      </c>
    </row>
    <row r="71" customFormat="false" ht="14.65" hidden="false" customHeight="false" outlineLevel="0" collapsed="false">
      <c r="A71" s="0" t="n">
        <v>958.727429062769</v>
      </c>
    </row>
    <row r="72" customFormat="false" ht="14.65" hidden="false" customHeight="false" outlineLevel="0" collapsed="false">
      <c r="A72" s="0" t="n">
        <v>963.026655202064</v>
      </c>
    </row>
    <row r="73" customFormat="false" ht="14.65" hidden="false" customHeight="false" outlineLevel="0" collapsed="false">
      <c r="A73" s="0" t="n">
        <v>967.325881341359</v>
      </c>
    </row>
    <row r="74" customFormat="false" ht="14.65" hidden="false" customHeight="false" outlineLevel="0" collapsed="false">
      <c r="A74" s="0" t="n">
        <v>971.625107480653</v>
      </c>
    </row>
    <row r="75" customFormat="false" ht="14.65" hidden="false" customHeight="false" outlineLevel="0" collapsed="false">
      <c r="A75" s="0" t="n">
        <v>975.924333619948</v>
      </c>
    </row>
    <row r="76" customFormat="false" ht="14.65" hidden="false" customHeight="false" outlineLevel="0" collapsed="false">
      <c r="A76" s="0" t="n">
        <v>980.223559759243</v>
      </c>
    </row>
    <row r="77" customFormat="false" ht="14.65" hidden="false" customHeight="false" outlineLevel="0" collapsed="false">
      <c r="A77" s="0" t="n">
        <v>984.522785898538</v>
      </c>
    </row>
    <row r="78" customFormat="false" ht="14.65" hidden="false" customHeight="false" outlineLevel="0" collapsed="false">
      <c r="A78" s="0" t="n">
        <v>988.822012037833</v>
      </c>
    </row>
    <row r="79" customFormat="false" ht="14.65" hidden="false" customHeight="false" outlineLevel="0" collapsed="false">
      <c r="A79" s="0" t="n">
        <v>993.121238177128</v>
      </c>
    </row>
    <row r="80" customFormat="false" ht="14.65" hidden="false" customHeight="false" outlineLevel="0" collapsed="false">
      <c r="A80" s="0" t="n">
        <v>997.420464316423</v>
      </c>
    </row>
    <row r="81" customFormat="false" ht="14.65" hidden="false" customHeight="false" outlineLevel="0" collapsed="false">
      <c r="A81" s="0" t="n">
        <v>1001.71969045572</v>
      </c>
    </row>
    <row r="82" customFormat="false" ht="14.65" hidden="false" customHeight="false" outlineLevel="0" collapsed="false">
      <c r="A82" s="0" t="n">
        <v>1006.01891659501</v>
      </c>
    </row>
    <row r="83" customFormat="false" ht="14.65" hidden="false" customHeight="false" outlineLevel="0" collapsed="false">
      <c r="A83" s="0" t="n">
        <v>1010.31814273431</v>
      </c>
    </row>
    <row r="84" customFormat="false" ht="14.65" hidden="false" customHeight="false" outlineLevel="0" collapsed="false">
      <c r="A84" s="0" t="n">
        <v>1014.6173688736</v>
      </c>
    </row>
    <row r="85" customFormat="false" ht="14.65" hidden="false" customHeight="false" outlineLevel="0" collapsed="false">
      <c r="A85" s="0" t="n">
        <v>1018.9165950129</v>
      </c>
    </row>
    <row r="86" customFormat="false" ht="14.65" hidden="false" customHeight="false" outlineLevel="0" collapsed="false">
      <c r="A86" s="0" t="n">
        <v>1023.21582115219</v>
      </c>
    </row>
    <row r="87" customFormat="false" ht="14.65" hidden="false" customHeight="false" outlineLevel="0" collapsed="false">
      <c r="A87" s="0" t="n">
        <v>1027.51504729149</v>
      </c>
    </row>
    <row r="88" customFormat="false" ht="14.65" hidden="false" customHeight="false" outlineLevel="0" collapsed="false">
      <c r="A88" s="0" t="n">
        <v>1031.81427343078</v>
      </c>
    </row>
    <row r="89" customFormat="false" ht="14.65" hidden="false" customHeight="false" outlineLevel="0" collapsed="false">
      <c r="A89" s="0" t="n">
        <v>1036.11349957008</v>
      </c>
    </row>
    <row r="90" customFormat="false" ht="14.65" hidden="false" customHeight="false" outlineLevel="0" collapsed="false">
      <c r="A90" s="0" t="n">
        <v>1040.41272570937</v>
      </c>
    </row>
    <row r="91" customFormat="false" ht="14.65" hidden="false" customHeight="false" outlineLevel="0" collapsed="false">
      <c r="A91" s="0" t="n">
        <v>1044.71195184867</v>
      </c>
    </row>
    <row r="92" customFormat="false" ht="14.65" hidden="false" customHeight="false" outlineLevel="0" collapsed="false">
      <c r="A92" s="0" t="n">
        <v>1049.01117798796</v>
      </c>
    </row>
    <row r="93" customFormat="false" ht="14.65" hidden="false" customHeight="false" outlineLevel="0" collapsed="false">
      <c r="A93" s="0" t="n">
        <v>1053.31040412726</v>
      </c>
    </row>
    <row r="94" customFormat="false" ht="14.65" hidden="false" customHeight="false" outlineLevel="0" collapsed="false">
      <c r="A94" s="0" t="n">
        <v>1057.60963026655</v>
      </c>
    </row>
    <row r="95" customFormat="false" ht="14.65" hidden="false" customHeight="false" outlineLevel="0" collapsed="false">
      <c r="A95" s="0" t="n">
        <v>1061.90885640585</v>
      </c>
    </row>
    <row r="96" customFormat="false" ht="14.65" hidden="false" customHeight="false" outlineLevel="0" collapsed="false">
      <c r="A96" s="0" t="n">
        <v>1066.20808254514</v>
      </c>
    </row>
    <row r="97" customFormat="false" ht="14.65" hidden="false" customHeight="false" outlineLevel="0" collapsed="false">
      <c r="A97" s="0" t="n">
        <v>1070.50730868444</v>
      </c>
    </row>
    <row r="98" customFormat="false" ht="14.65" hidden="false" customHeight="false" outlineLevel="0" collapsed="false">
      <c r="A98" s="0" t="n">
        <v>1074.80653482373</v>
      </c>
    </row>
    <row r="99" customFormat="false" ht="14.65" hidden="false" customHeight="false" outlineLevel="0" collapsed="false">
      <c r="A99" s="0" t="n">
        <v>1079.10576096303</v>
      </c>
    </row>
    <row r="100" customFormat="false" ht="14.65" hidden="false" customHeight="false" outlineLevel="0" collapsed="false">
      <c r="A100" s="0" t="n">
        <v>1083.40498710232</v>
      </c>
    </row>
    <row r="101" customFormat="false" ht="14.65" hidden="false" customHeight="false" outlineLevel="0" collapsed="false">
      <c r="A101" s="0" t="n">
        <v>1087.70421324162</v>
      </c>
    </row>
    <row r="102" customFormat="false" ht="14.65" hidden="false" customHeight="false" outlineLevel="0" collapsed="false">
      <c r="A102" s="0" t="n">
        <v>1092.00343938091</v>
      </c>
    </row>
    <row r="103" customFormat="false" ht="14.65" hidden="false" customHeight="false" outlineLevel="0" collapsed="false">
      <c r="A103" s="0" t="n">
        <v>1096.30266552021</v>
      </c>
    </row>
    <row r="104" customFormat="false" ht="14.65" hidden="false" customHeight="false" outlineLevel="0" collapsed="false">
      <c r="A104" s="0" t="n">
        <v>1100.6018916595</v>
      </c>
    </row>
    <row r="105" customFormat="false" ht="14.65" hidden="false" customHeight="false" outlineLevel="0" collapsed="false">
      <c r="A105" s="0" t="n">
        <v>1104.9011177988</v>
      </c>
    </row>
    <row r="106" customFormat="false" ht="12.8" hidden="false" customHeight="false" outlineLevel="0" collapsed="false">
      <c r="A106" s="0" t="n">
        <v>1109.20034393809</v>
      </c>
    </row>
    <row r="107" customFormat="false" ht="12.8" hidden="false" customHeight="false" outlineLevel="0" collapsed="false">
      <c r="A107" s="0" t="n">
        <v>1113.49957007739</v>
      </c>
    </row>
    <row r="108" customFormat="false" ht="12.8" hidden="false" customHeight="false" outlineLevel="0" collapsed="false">
      <c r="A108" s="0" t="n">
        <v>1117.79879621668</v>
      </c>
    </row>
    <row r="109" customFormat="false" ht="12.8" hidden="false" customHeight="false" outlineLevel="0" collapsed="false">
      <c r="A109" s="0" t="n">
        <v>1122.09802235598</v>
      </c>
    </row>
    <row r="110" customFormat="false" ht="12.8" hidden="false" customHeight="false" outlineLevel="0" collapsed="false">
      <c r="A110" s="0" t="n">
        <v>1126.39724849527</v>
      </c>
    </row>
    <row r="111" customFormat="false" ht="12.8" hidden="false" customHeight="false" outlineLevel="0" collapsed="false">
      <c r="A111" s="0" t="n">
        <v>1130.69647463457</v>
      </c>
    </row>
    <row r="112" customFormat="false" ht="12.8" hidden="false" customHeight="false" outlineLevel="0" collapsed="false">
      <c r="A112" s="0" t="n">
        <v>1134.99570077386</v>
      </c>
    </row>
    <row r="113" customFormat="false" ht="12.8" hidden="false" customHeight="false" outlineLevel="0" collapsed="false">
      <c r="A113" s="0" t="n">
        <v>1139.29492691316</v>
      </c>
    </row>
    <row r="114" customFormat="false" ht="12.8" hidden="false" customHeight="false" outlineLevel="0" collapsed="false">
      <c r="A114" s="0" t="n">
        <v>1143.59415305245</v>
      </c>
    </row>
    <row r="115" customFormat="false" ht="12.8" hidden="false" customHeight="false" outlineLevel="0" collapsed="false">
      <c r="A115" s="0" t="n">
        <v>1147.89337919175</v>
      </c>
    </row>
    <row r="116" customFormat="false" ht="12.8" hidden="false" customHeight="false" outlineLevel="0" collapsed="false">
      <c r="A116" s="0" t="n">
        <v>1152.19260533104</v>
      </c>
    </row>
    <row r="117" customFormat="false" ht="12.8" hidden="false" customHeight="false" outlineLevel="0" collapsed="false">
      <c r="A117" s="0" t="n">
        <v>1156.49183147034</v>
      </c>
    </row>
    <row r="118" customFormat="false" ht="12.8" hidden="false" customHeight="false" outlineLevel="0" collapsed="false">
      <c r="A118" s="0" t="n">
        <v>1160.79105760963</v>
      </c>
    </row>
    <row r="119" customFormat="false" ht="12.8" hidden="false" customHeight="false" outlineLevel="0" collapsed="false">
      <c r="A119" s="0" t="n">
        <v>1165.09028374893</v>
      </c>
    </row>
    <row r="120" customFormat="false" ht="12.8" hidden="false" customHeight="false" outlineLevel="0" collapsed="false">
      <c r="A120" s="0" t="n">
        <v>1169.38950988822</v>
      </c>
    </row>
    <row r="121" customFormat="false" ht="12.8" hidden="false" customHeight="false" outlineLevel="0" collapsed="false">
      <c r="A121" s="0" t="n">
        <v>1173.68873602752</v>
      </c>
    </row>
    <row r="122" customFormat="false" ht="12.8" hidden="false" customHeight="false" outlineLevel="0" collapsed="false">
      <c r="A122" s="0" t="n">
        <v>1177.98796216681</v>
      </c>
    </row>
    <row r="123" customFormat="false" ht="12.8" hidden="false" customHeight="false" outlineLevel="0" collapsed="false">
      <c r="A123" s="0" t="n">
        <v>1182.2871883061</v>
      </c>
    </row>
    <row r="124" customFormat="false" ht="12.8" hidden="false" customHeight="false" outlineLevel="0" collapsed="false">
      <c r="A124" s="0" t="n">
        <v>1186.5864144454</v>
      </c>
    </row>
    <row r="125" customFormat="false" ht="12.8" hidden="false" customHeight="false" outlineLevel="0" collapsed="false">
      <c r="A125" s="0" t="n">
        <v>1190.88564058469</v>
      </c>
    </row>
    <row r="126" customFormat="false" ht="12.8" hidden="false" customHeight="false" outlineLevel="0" collapsed="false">
      <c r="A126" s="0" t="n">
        <v>1195.18486672399</v>
      </c>
    </row>
    <row r="127" customFormat="false" ht="12.8" hidden="false" customHeight="false" outlineLevel="0" collapsed="false">
      <c r="A127" s="0" t="n">
        <v>1199.48409286328</v>
      </c>
    </row>
    <row r="128" customFormat="false" ht="12.8" hidden="false" customHeight="false" outlineLevel="0" collapsed="false">
      <c r="A128" s="0" t="n">
        <v>1203.78331900258</v>
      </c>
    </row>
    <row r="129" customFormat="false" ht="12.8" hidden="false" customHeight="false" outlineLevel="0" collapsed="false">
      <c r="A129" s="0" t="n">
        <v>1208.08254514187</v>
      </c>
    </row>
    <row r="130" customFormat="false" ht="12.8" hidden="false" customHeight="false" outlineLevel="0" collapsed="false">
      <c r="A130" s="0" t="n">
        <v>1212.38177128117</v>
      </c>
    </row>
    <row r="131" customFormat="false" ht="12.8" hidden="false" customHeight="false" outlineLevel="0" collapsed="false">
      <c r="A131" s="0" t="n">
        <v>1216.68099742046</v>
      </c>
    </row>
    <row r="132" customFormat="false" ht="12.8" hidden="false" customHeight="false" outlineLevel="0" collapsed="false">
      <c r="A132" s="0" t="n">
        <v>1220.98022355976</v>
      </c>
    </row>
    <row r="133" customFormat="false" ht="12.8" hidden="false" customHeight="false" outlineLevel="0" collapsed="false">
      <c r="A133" s="0" t="n">
        <v>1225.27944969905</v>
      </c>
    </row>
    <row r="134" customFormat="false" ht="12.8" hidden="false" customHeight="false" outlineLevel="0" collapsed="false">
      <c r="A134" s="0" t="n">
        <v>1229.57867583835</v>
      </c>
    </row>
    <row r="135" customFormat="false" ht="12.8" hidden="false" customHeight="false" outlineLevel="0" collapsed="false">
      <c r="A135" s="0" t="n">
        <v>1233.87790197764</v>
      </c>
    </row>
    <row r="136" customFormat="false" ht="12.8" hidden="false" customHeight="false" outlineLevel="0" collapsed="false">
      <c r="A136" s="0" t="n">
        <v>1238.17712811694</v>
      </c>
    </row>
    <row r="137" customFormat="false" ht="12.8" hidden="false" customHeight="false" outlineLevel="0" collapsed="false">
      <c r="A137" s="0" t="n">
        <v>1242.47635425623</v>
      </c>
    </row>
    <row r="138" customFormat="false" ht="12.8" hidden="false" customHeight="false" outlineLevel="0" collapsed="false">
      <c r="A138" s="0" t="n">
        <v>1246.77558039553</v>
      </c>
    </row>
    <row r="139" customFormat="false" ht="12.8" hidden="false" customHeight="false" outlineLevel="0" collapsed="false">
      <c r="A139" s="0" t="n">
        <v>1251.07480653482</v>
      </c>
    </row>
    <row r="140" customFormat="false" ht="12.8" hidden="false" customHeight="false" outlineLevel="0" collapsed="false">
      <c r="A140" s="0" t="n">
        <v>1255.37403267412</v>
      </c>
    </row>
    <row r="141" customFormat="false" ht="12.8" hidden="false" customHeight="false" outlineLevel="0" collapsed="false">
      <c r="A141" s="0" t="n">
        <v>1259.67325881341</v>
      </c>
    </row>
    <row r="142" customFormat="false" ht="12.8" hidden="false" customHeight="false" outlineLevel="0" collapsed="false">
      <c r="A142" s="0" t="n">
        <v>1263.97248495271</v>
      </c>
    </row>
    <row r="143" customFormat="false" ht="12.8" hidden="false" customHeight="false" outlineLevel="0" collapsed="false">
      <c r="A143" s="0" t="n">
        <v>1268.271711092</v>
      </c>
    </row>
    <row r="144" customFormat="false" ht="12.8" hidden="false" customHeight="false" outlineLevel="0" collapsed="false">
      <c r="A144" s="0" t="n">
        <v>1272.5709372313</v>
      </c>
    </row>
    <row r="145" customFormat="false" ht="12.8" hidden="false" customHeight="false" outlineLevel="0" collapsed="false">
      <c r="A145" s="0" t="n">
        <v>1276.87016337059</v>
      </c>
    </row>
    <row r="146" customFormat="false" ht="12.8" hidden="false" customHeight="false" outlineLevel="0" collapsed="false">
      <c r="A146" s="0" t="n">
        <v>1281.16938950989</v>
      </c>
    </row>
    <row r="147" customFormat="false" ht="12.8" hidden="false" customHeight="false" outlineLevel="0" collapsed="false">
      <c r="A147" s="0" t="n">
        <v>1285.46861564918</v>
      </c>
    </row>
    <row r="148" customFormat="false" ht="12.8" hidden="false" customHeight="false" outlineLevel="0" collapsed="false">
      <c r="A148" s="0" t="n">
        <v>1289.76784178848</v>
      </c>
    </row>
    <row r="149" customFormat="false" ht="12.8" hidden="false" customHeight="false" outlineLevel="0" collapsed="false">
      <c r="A149" s="0" t="n">
        <v>1294.06706792777</v>
      </c>
    </row>
    <row r="150" customFormat="false" ht="12.8" hidden="false" customHeight="false" outlineLevel="0" collapsed="false">
      <c r="A150" s="0" t="n">
        <v>1298.36629406707</v>
      </c>
    </row>
    <row r="151" customFormat="false" ht="12.8" hidden="false" customHeight="false" outlineLevel="0" collapsed="false">
      <c r="A151" s="0" t="n">
        <v>1302.66552020636</v>
      </c>
    </row>
    <row r="152" customFormat="false" ht="12.8" hidden="false" customHeight="false" outlineLevel="0" collapsed="false">
      <c r="A152" s="0" t="n">
        <v>1306.96474634566</v>
      </c>
    </row>
    <row r="153" customFormat="false" ht="12.8" hidden="false" customHeight="false" outlineLevel="0" collapsed="false">
      <c r="A153" s="0" t="n">
        <v>1311.26397248495</v>
      </c>
    </row>
    <row r="154" customFormat="false" ht="12.8" hidden="false" customHeight="false" outlineLevel="0" collapsed="false">
      <c r="A154" s="0" t="n">
        <v>1315.56319862425</v>
      </c>
    </row>
    <row r="155" customFormat="false" ht="12.8" hidden="false" customHeight="false" outlineLevel="0" collapsed="false">
      <c r="A155" s="0" t="n">
        <v>1319.86242476354</v>
      </c>
    </row>
    <row r="156" customFormat="false" ht="12.8" hidden="false" customHeight="false" outlineLevel="0" collapsed="false">
      <c r="A156" s="0" t="n">
        <v>1324.16165090284</v>
      </c>
    </row>
    <row r="157" customFormat="false" ht="12.8" hidden="false" customHeight="false" outlineLevel="0" collapsed="false">
      <c r="A157" s="0" t="n">
        <v>1328.46087704213</v>
      </c>
    </row>
    <row r="158" customFormat="false" ht="12.8" hidden="false" customHeight="false" outlineLevel="0" collapsed="false">
      <c r="A158" s="0" t="n">
        <v>1332.76010318143</v>
      </c>
    </row>
    <row r="159" customFormat="false" ht="12.8" hidden="false" customHeight="false" outlineLevel="0" collapsed="false">
      <c r="A159" s="0" t="n">
        <v>1337.05932932072</v>
      </c>
    </row>
    <row r="160" customFormat="false" ht="12.8" hidden="false" customHeight="false" outlineLevel="0" collapsed="false">
      <c r="A160" s="0" t="n">
        <v>1341.35855546002</v>
      </c>
    </row>
    <row r="161" customFormat="false" ht="12.8" hidden="false" customHeight="false" outlineLevel="0" collapsed="false">
      <c r="A161" s="0" t="n">
        <v>1345.65778159931</v>
      </c>
    </row>
    <row r="162" customFormat="false" ht="12.8" hidden="false" customHeight="false" outlineLevel="0" collapsed="false">
      <c r="A162" s="0" t="n">
        <v>1349.95700773861</v>
      </c>
    </row>
    <row r="163" customFormat="false" ht="12.8" hidden="false" customHeight="false" outlineLevel="0" collapsed="false">
      <c r="A163" s="0" t="n">
        <v>1354.2562338779</v>
      </c>
    </row>
    <row r="164" customFormat="false" ht="12.8" hidden="false" customHeight="false" outlineLevel="0" collapsed="false">
      <c r="A164" s="0" t="n">
        <v>1358.5554600172</v>
      </c>
    </row>
    <row r="165" customFormat="false" ht="12.8" hidden="false" customHeight="false" outlineLevel="0" collapsed="false">
      <c r="A165" s="0" t="n">
        <v>1362.85468615649</v>
      </c>
    </row>
    <row r="166" customFormat="false" ht="12.8" hidden="false" customHeight="false" outlineLevel="0" collapsed="false">
      <c r="A166" s="0" t="n">
        <v>1367.15391229579</v>
      </c>
    </row>
    <row r="167" customFormat="false" ht="12.8" hidden="false" customHeight="false" outlineLevel="0" collapsed="false">
      <c r="A167" s="0" t="n">
        <v>1371.45313843508</v>
      </c>
    </row>
    <row r="168" customFormat="false" ht="12.8" hidden="false" customHeight="false" outlineLevel="0" collapsed="false">
      <c r="A168" s="0" t="n">
        <v>1375.75236457438</v>
      </c>
    </row>
    <row r="169" customFormat="false" ht="12.8" hidden="false" customHeight="false" outlineLevel="0" collapsed="false">
      <c r="A169" s="0" t="n">
        <v>1380.05159071367</v>
      </c>
    </row>
    <row r="170" customFormat="false" ht="12.8" hidden="false" customHeight="false" outlineLevel="0" collapsed="false">
      <c r="A170" s="0" t="n">
        <v>1384.35081685297</v>
      </c>
    </row>
    <row r="171" customFormat="false" ht="12.8" hidden="false" customHeight="false" outlineLevel="0" collapsed="false">
      <c r="A171" s="0" t="n">
        <v>1388.65004299226</v>
      </c>
    </row>
    <row r="172" customFormat="false" ht="12.8" hidden="false" customHeight="false" outlineLevel="0" collapsed="false">
      <c r="A172" s="0" t="n">
        <v>1392.94926913156</v>
      </c>
    </row>
    <row r="173" customFormat="false" ht="12.8" hidden="false" customHeight="false" outlineLevel="0" collapsed="false">
      <c r="A173" s="0" t="n">
        <v>1397.24849527085</v>
      </c>
    </row>
    <row r="174" customFormat="false" ht="12.8" hidden="false" customHeight="false" outlineLevel="0" collapsed="false">
      <c r="A174" s="0" t="n">
        <v>1401.54772141015</v>
      </c>
    </row>
    <row r="175" customFormat="false" ht="12.8" hidden="false" customHeight="false" outlineLevel="0" collapsed="false">
      <c r="A175" s="0" t="n">
        <v>1405.84694754944</v>
      </c>
    </row>
    <row r="176" customFormat="false" ht="12.8" hidden="false" customHeight="false" outlineLevel="0" collapsed="false">
      <c r="A176" s="0" t="n">
        <v>1410.14617368874</v>
      </c>
    </row>
    <row r="177" customFormat="false" ht="12.8" hidden="false" customHeight="false" outlineLevel="0" collapsed="false">
      <c r="A177" s="0" t="n">
        <v>1414.44539982803</v>
      </c>
    </row>
    <row r="178" customFormat="false" ht="12.8" hidden="false" customHeight="false" outlineLevel="0" collapsed="false">
      <c r="A178" s="0" t="n">
        <v>1418.74462596733</v>
      </c>
    </row>
    <row r="179" customFormat="false" ht="12.8" hidden="false" customHeight="false" outlineLevel="0" collapsed="false">
      <c r="A179" s="0" t="n">
        <v>1423.04385210662</v>
      </c>
    </row>
    <row r="180" customFormat="false" ht="12.8" hidden="false" customHeight="false" outlineLevel="0" collapsed="false">
      <c r="A180" s="0" t="n">
        <v>1427.34307824592</v>
      </c>
    </row>
    <row r="181" customFormat="false" ht="12.8" hidden="false" customHeight="false" outlineLevel="0" collapsed="false">
      <c r="A181" s="0" t="n">
        <v>1431.64230438521</v>
      </c>
    </row>
    <row r="182" customFormat="false" ht="12.8" hidden="false" customHeight="false" outlineLevel="0" collapsed="false">
      <c r="A182" s="0" t="n">
        <v>1435.94153052451</v>
      </c>
    </row>
    <row r="183" customFormat="false" ht="12.8" hidden="false" customHeight="false" outlineLevel="0" collapsed="false">
      <c r="A183" s="0" t="n">
        <v>1440.2407566638</v>
      </c>
    </row>
    <row r="184" customFormat="false" ht="12.8" hidden="false" customHeight="false" outlineLevel="0" collapsed="false">
      <c r="A184" s="0" t="n">
        <v>1444.5399828031</v>
      </c>
    </row>
    <row r="185" customFormat="false" ht="12.8" hidden="false" customHeight="false" outlineLevel="0" collapsed="false">
      <c r="A185" s="0" t="n">
        <v>1448.83920894239</v>
      </c>
    </row>
    <row r="186" customFormat="false" ht="12.8" hidden="false" customHeight="false" outlineLevel="0" collapsed="false">
      <c r="A186" s="0" t="n">
        <v>1453.13843508169</v>
      </c>
    </row>
    <row r="187" customFormat="false" ht="12.8" hidden="false" customHeight="false" outlineLevel="0" collapsed="false">
      <c r="A187" s="0" t="n">
        <v>1457.43766122098</v>
      </c>
    </row>
    <row r="188" customFormat="false" ht="12.8" hidden="false" customHeight="false" outlineLevel="0" collapsed="false">
      <c r="A188" s="0" t="n">
        <v>1461.73688736028</v>
      </c>
    </row>
    <row r="189" customFormat="false" ht="12.8" hidden="false" customHeight="false" outlineLevel="0" collapsed="false">
      <c r="A189" s="0" t="n">
        <v>1466.03611349957</v>
      </c>
    </row>
    <row r="190" customFormat="false" ht="12.8" hidden="false" customHeight="false" outlineLevel="0" collapsed="false">
      <c r="A190" s="0" t="n">
        <v>1470.33533963887</v>
      </c>
    </row>
    <row r="191" customFormat="false" ht="12.8" hidden="false" customHeight="false" outlineLevel="0" collapsed="false">
      <c r="A191" s="0" t="n">
        <v>1474.63456577816</v>
      </c>
    </row>
    <row r="192" customFormat="false" ht="12.8" hidden="false" customHeight="false" outlineLevel="0" collapsed="false">
      <c r="A192" s="0" t="n">
        <v>1478.93379191745</v>
      </c>
    </row>
    <row r="193" customFormat="false" ht="12.8" hidden="false" customHeight="false" outlineLevel="0" collapsed="false">
      <c r="A193" s="0" t="n">
        <v>1483.23301805675</v>
      </c>
    </row>
    <row r="194" customFormat="false" ht="12.8" hidden="false" customHeight="false" outlineLevel="0" collapsed="false">
      <c r="A194" s="0" t="n">
        <v>1487.53224419604</v>
      </c>
    </row>
    <row r="195" customFormat="false" ht="12.8" hidden="false" customHeight="false" outlineLevel="0" collapsed="false">
      <c r="A195" s="0" t="n">
        <v>1491.83147033534</v>
      </c>
    </row>
    <row r="196" customFormat="false" ht="12.8" hidden="false" customHeight="false" outlineLevel="0" collapsed="false">
      <c r="A196" s="0" t="n">
        <v>1496.13069647463</v>
      </c>
    </row>
    <row r="197" customFormat="false" ht="12.8" hidden="false" customHeight="false" outlineLevel="0" collapsed="false">
      <c r="A197" s="0" t="n">
        <v>1500.42992261393</v>
      </c>
    </row>
    <row r="198" customFormat="false" ht="12.8" hidden="false" customHeight="false" outlineLevel="0" collapsed="false">
      <c r="A198" s="0" t="n">
        <v>1504.72914875322</v>
      </c>
    </row>
    <row r="199" customFormat="false" ht="12.8" hidden="false" customHeight="false" outlineLevel="0" collapsed="false">
      <c r="A199" s="0" t="n">
        <v>1509.02837489252</v>
      </c>
    </row>
    <row r="200" customFormat="false" ht="12.8" hidden="false" customHeight="false" outlineLevel="0" collapsed="false">
      <c r="A200" s="0" t="n">
        <v>1513.32760103181</v>
      </c>
    </row>
    <row r="201" customFormat="false" ht="12.8" hidden="false" customHeight="false" outlineLevel="0" collapsed="false">
      <c r="A201" s="0" t="n">
        <v>1517.62682717111</v>
      </c>
    </row>
    <row r="202" customFormat="false" ht="12.8" hidden="false" customHeight="false" outlineLevel="0" collapsed="false">
      <c r="A202" s="0" t="n">
        <v>1521.9260533104</v>
      </c>
    </row>
    <row r="203" customFormat="false" ht="12.8" hidden="false" customHeight="false" outlineLevel="0" collapsed="false">
      <c r="A203" s="0" t="n">
        <v>1526.2252794497</v>
      </c>
    </row>
    <row r="204" customFormat="false" ht="12.8" hidden="false" customHeight="false" outlineLevel="0" collapsed="false">
      <c r="A204" s="0" t="n">
        <v>1530.52450558899</v>
      </c>
    </row>
    <row r="205" customFormat="false" ht="12.8" hidden="false" customHeight="false" outlineLevel="0" collapsed="false">
      <c r="A205" s="0" t="n">
        <v>1534.82373172829</v>
      </c>
    </row>
    <row r="206" customFormat="false" ht="12.8" hidden="false" customHeight="false" outlineLevel="0" collapsed="false">
      <c r="A206" s="0" t="n">
        <v>1539.12295786758</v>
      </c>
    </row>
    <row r="207" customFormat="false" ht="12.8" hidden="false" customHeight="false" outlineLevel="0" collapsed="false">
      <c r="A207" s="0" t="n">
        <v>1543.42218400688</v>
      </c>
    </row>
    <row r="208" customFormat="false" ht="12.8" hidden="false" customHeight="false" outlineLevel="0" collapsed="false">
      <c r="A208" s="0" t="n">
        <v>1547.72141014617</v>
      </c>
    </row>
    <row r="209" customFormat="false" ht="12.8" hidden="false" customHeight="false" outlineLevel="0" collapsed="false">
      <c r="A209" s="0" t="n">
        <v>1552.02063628547</v>
      </c>
    </row>
    <row r="210" customFormat="false" ht="12.8" hidden="false" customHeight="false" outlineLevel="0" collapsed="false">
      <c r="A210" s="0" t="n">
        <v>1556.31986242476</v>
      </c>
    </row>
    <row r="211" customFormat="false" ht="12.8" hidden="false" customHeight="false" outlineLevel="0" collapsed="false">
      <c r="A211" s="0" t="n">
        <v>1560.61908856406</v>
      </c>
    </row>
    <row r="212" customFormat="false" ht="12.8" hidden="false" customHeight="false" outlineLevel="0" collapsed="false">
      <c r="A212" s="0" t="n">
        <v>1564.91831470335</v>
      </c>
    </row>
    <row r="213" customFormat="false" ht="12.8" hidden="false" customHeight="false" outlineLevel="0" collapsed="false">
      <c r="A213" s="0" t="n">
        <v>1569.21754084265</v>
      </c>
    </row>
    <row r="214" customFormat="false" ht="12.8" hidden="false" customHeight="false" outlineLevel="0" collapsed="false">
      <c r="A214" s="0" t="n">
        <v>1573.51676698194</v>
      </c>
    </row>
    <row r="215" customFormat="false" ht="12.8" hidden="false" customHeight="false" outlineLevel="0" collapsed="false">
      <c r="A215" s="0" t="n">
        <v>1577.81599312124</v>
      </c>
    </row>
    <row r="216" customFormat="false" ht="12.8" hidden="false" customHeight="false" outlineLevel="0" collapsed="false">
      <c r="A216" s="0" t="n">
        <v>1582.11521926053</v>
      </c>
    </row>
    <row r="217" customFormat="false" ht="12.8" hidden="false" customHeight="false" outlineLevel="0" collapsed="false">
      <c r="A217" s="0" t="n">
        <v>1586.41444539983</v>
      </c>
    </row>
    <row r="218" customFormat="false" ht="12.8" hidden="false" customHeight="false" outlineLevel="0" collapsed="false">
      <c r="A218" s="0" t="n">
        <v>1590.71367153912</v>
      </c>
    </row>
    <row r="219" customFormat="false" ht="12.8" hidden="false" customHeight="false" outlineLevel="0" collapsed="false">
      <c r="A219" s="0" t="n">
        <v>1595.01289767842</v>
      </c>
    </row>
    <row r="220" customFormat="false" ht="12.8" hidden="false" customHeight="false" outlineLevel="0" collapsed="false">
      <c r="A220" s="0" t="n">
        <v>1599.31212381771</v>
      </c>
    </row>
    <row r="221" customFormat="false" ht="12.8" hidden="false" customHeight="false" outlineLevel="0" collapsed="false">
      <c r="A221" s="0" t="n">
        <v>1603.61134995701</v>
      </c>
    </row>
    <row r="222" customFormat="false" ht="12.8" hidden="false" customHeight="false" outlineLevel="0" collapsed="false">
      <c r="A222" s="0" t="n">
        <v>1607.9105760963</v>
      </c>
    </row>
    <row r="223" customFormat="false" ht="12.8" hidden="false" customHeight="false" outlineLevel="0" collapsed="false">
      <c r="A223" s="0" t="n">
        <v>1612.2098022356</v>
      </c>
    </row>
    <row r="224" customFormat="false" ht="12.8" hidden="false" customHeight="false" outlineLevel="0" collapsed="false">
      <c r="A224" s="0" t="n">
        <v>1616.50902837489</v>
      </c>
    </row>
    <row r="225" customFormat="false" ht="12.8" hidden="false" customHeight="false" outlineLevel="0" collapsed="false">
      <c r="A225" s="0" t="n">
        <v>1620.80825451419</v>
      </c>
    </row>
    <row r="226" customFormat="false" ht="12.8" hidden="false" customHeight="false" outlineLevel="0" collapsed="false">
      <c r="A226" s="0" t="n">
        <v>1625.10748065348</v>
      </c>
    </row>
    <row r="227" customFormat="false" ht="12.8" hidden="false" customHeight="false" outlineLevel="0" collapsed="false">
      <c r="A227" s="0" t="n">
        <v>1629.40670679278</v>
      </c>
    </row>
    <row r="228" customFormat="false" ht="12.8" hidden="false" customHeight="false" outlineLevel="0" collapsed="false">
      <c r="A228" s="0" t="n">
        <v>1633.70593293207</v>
      </c>
    </row>
    <row r="229" customFormat="false" ht="12.8" hidden="false" customHeight="false" outlineLevel="0" collapsed="false">
      <c r="A229" s="0" t="n">
        <v>1638.00515907137</v>
      </c>
    </row>
    <row r="230" customFormat="false" ht="12.8" hidden="false" customHeight="false" outlineLevel="0" collapsed="false">
      <c r="A230" s="0" t="n">
        <v>1642.30438521066</v>
      </c>
    </row>
    <row r="231" customFormat="false" ht="12.8" hidden="false" customHeight="false" outlineLevel="0" collapsed="false">
      <c r="A231" s="0" t="n">
        <v>1646.60361134996</v>
      </c>
    </row>
    <row r="232" customFormat="false" ht="12.8" hidden="false" customHeight="false" outlineLevel="0" collapsed="false">
      <c r="A232" s="0" t="n">
        <v>1650.90283748925</v>
      </c>
    </row>
    <row r="233" customFormat="false" ht="12.8" hidden="false" customHeight="false" outlineLevel="0" collapsed="false">
      <c r="A233" s="0" t="n">
        <v>1655.20206362855</v>
      </c>
    </row>
    <row r="234" customFormat="false" ht="12.8" hidden="false" customHeight="false" outlineLevel="0" collapsed="false">
      <c r="A234" s="0" t="n">
        <v>1659.50128976784</v>
      </c>
    </row>
    <row r="235" customFormat="false" ht="12.8" hidden="false" customHeight="false" outlineLevel="0" collapsed="false">
      <c r="A235" s="0" t="n">
        <v>1663.80051590714</v>
      </c>
    </row>
    <row r="236" customFormat="false" ht="12.8" hidden="false" customHeight="false" outlineLevel="0" collapsed="false">
      <c r="A236" s="0" t="n">
        <v>1668.09974204643</v>
      </c>
    </row>
    <row r="237" customFormat="false" ht="12.8" hidden="false" customHeight="false" outlineLevel="0" collapsed="false">
      <c r="A237" s="0" t="n">
        <v>1672.39896818573</v>
      </c>
    </row>
    <row r="238" customFormat="false" ht="12.8" hidden="false" customHeight="false" outlineLevel="0" collapsed="false">
      <c r="A238" s="0" t="n">
        <v>1676.69819432502</v>
      </c>
    </row>
    <row r="239" customFormat="false" ht="12.8" hidden="false" customHeight="false" outlineLevel="0" collapsed="false">
      <c r="A239" s="0" t="n">
        <v>1680.99742046432</v>
      </c>
    </row>
    <row r="240" customFormat="false" ht="12.8" hidden="false" customHeight="false" outlineLevel="0" collapsed="false">
      <c r="A240" s="0" t="n">
        <v>1685.29664660361</v>
      </c>
    </row>
    <row r="241" customFormat="false" ht="12.8" hidden="false" customHeight="false" outlineLevel="0" collapsed="false">
      <c r="A241" s="0" t="n">
        <v>1689.59587274291</v>
      </c>
    </row>
    <row r="242" customFormat="false" ht="12.8" hidden="false" customHeight="false" outlineLevel="0" collapsed="false">
      <c r="A242" s="0" t="n">
        <v>1693.8950988822</v>
      </c>
    </row>
    <row r="243" customFormat="false" ht="12.8" hidden="false" customHeight="false" outlineLevel="0" collapsed="false">
      <c r="A243" s="0" t="n">
        <v>1698.1943250215</v>
      </c>
    </row>
    <row r="244" customFormat="false" ht="12.8" hidden="false" customHeight="false" outlineLevel="0" collapsed="false">
      <c r="A244" s="0" t="n">
        <v>1702.49355116079</v>
      </c>
    </row>
    <row r="245" customFormat="false" ht="12.8" hidden="false" customHeight="false" outlineLevel="0" collapsed="false">
      <c r="A245" s="0" t="n">
        <v>1706.79277730009</v>
      </c>
    </row>
    <row r="246" customFormat="false" ht="12.8" hidden="false" customHeight="false" outlineLevel="0" collapsed="false">
      <c r="A246" s="0" t="n">
        <v>1711.09200343938</v>
      </c>
    </row>
    <row r="247" customFormat="false" ht="12.8" hidden="false" customHeight="false" outlineLevel="0" collapsed="false">
      <c r="A247" s="0" t="n">
        <v>1715.39122957868</v>
      </c>
    </row>
    <row r="248" customFormat="false" ht="12.8" hidden="false" customHeight="false" outlineLevel="0" collapsed="false">
      <c r="A248" s="0" t="n">
        <v>1719.69045571797</v>
      </c>
    </row>
    <row r="249" customFormat="false" ht="12.8" hidden="false" customHeight="false" outlineLevel="0" collapsed="false">
      <c r="A249" s="0" t="n">
        <v>1723.98968185727</v>
      </c>
    </row>
    <row r="250" customFormat="false" ht="12.8" hidden="false" customHeight="false" outlineLevel="0" collapsed="false">
      <c r="A250" s="0" t="n">
        <v>1728.28890799656</v>
      </c>
    </row>
    <row r="251" customFormat="false" ht="12.8" hidden="false" customHeight="false" outlineLevel="0" collapsed="false">
      <c r="A251" s="0" t="n">
        <v>1732.58813413586</v>
      </c>
    </row>
    <row r="252" customFormat="false" ht="12.8" hidden="false" customHeight="false" outlineLevel="0" collapsed="false">
      <c r="A252" s="0" t="n">
        <v>1736.88736027515</v>
      </c>
    </row>
    <row r="253" customFormat="false" ht="12.8" hidden="false" customHeight="false" outlineLevel="0" collapsed="false">
      <c r="A253" s="0" t="n">
        <v>1741.18658641445</v>
      </c>
    </row>
    <row r="254" customFormat="false" ht="12.8" hidden="false" customHeight="false" outlineLevel="0" collapsed="false">
      <c r="A254" s="0" t="n">
        <v>1745.48581255374</v>
      </c>
    </row>
    <row r="255" customFormat="false" ht="12.8" hidden="false" customHeight="false" outlineLevel="0" collapsed="false">
      <c r="A255" s="0" t="n">
        <v>1749.78503869304</v>
      </c>
    </row>
    <row r="256" customFormat="false" ht="12.8" hidden="false" customHeight="false" outlineLevel="0" collapsed="false">
      <c r="A256" s="0" t="n">
        <v>1754.08426483233</v>
      </c>
    </row>
    <row r="257" customFormat="false" ht="12.8" hidden="false" customHeight="false" outlineLevel="0" collapsed="false">
      <c r="A257" s="0" t="n">
        <v>1758.38349097163</v>
      </c>
    </row>
    <row r="258" customFormat="false" ht="12.8" hidden="false" customHeight="false" outlineLevel="0" collapsed="false">
      <c r="A258" s="0" t="n">
        <v>1762.68271711092</v>
      </c>
    </row>
    <row r="259" customFormat="false" ht="12.8" hidden="false" customHeight="false" outlineLevel="0" collapsed="false">
      <c r="A259" s="0" t="n">
        <v>1766.98194325022</v>
      </c>
    </row>
    <row r="260" customFormat="false" ht="12.8" hidden="false" customHeight="false" outlineLevel="0" collapsed="false">
      <c r="A260" s="0" t="n">
        <v>1771.28116938951</v>
      </c>
    </row>
    <row r="261" customFormat="false" ht="12.8" hidden="false" customHeight="false" outlineLevel="0" collapsed="false">
      <c r="A261" s="0" t="n">
        <v>1775.5803955288</v>
      </c>
    </row>
    <row r="262" customFormat="false" ht="12.8" hidden="false" customHeight="false" outlineLevel="0" collapsed="false">
      <c r="A262" s="0" t="n">
        <v>1779.8796216681</v>
      </c>
    </row>
    <row r="263" customFormat="false" ht="12.8" hidden="false" customHeight="false" outlineLevel="0" collapsed="false">
      <c r="A263" s="0" t="n">
        <v>1784.17884780739</v>
      </c>
    </row>
    <row r="264" customFormat="false" ht="12.8" hidden="false" customHeight="false" outlineLevel="0" collapsed="false">
      <c r="A264" s="0" t="n">
        <v>1788.47807394669</v>
      </c>
    </row>
    <row r="265" customFormat="false" ht="12.8" hidden="false" customHeight="false" outlineLevel="0" collapsed="false">
      <c r="A265" s="0" t="n">
        <v>1792.77730008598</v>
      </c>
    </row>
    <row r="266" customFormat="false" ht="12.8" hidden="false" customHeight="false" outlineLevel="0" collapsed="false">
      <c r="A266" s="0" t="n">
        <v>1797.07652622528</v>
      </c>
    </row>
    <row r="267" customFormat="false" ht="12.8" hidden="false" customHeight="false" outlineLevel="0" collapsed="false">
      <c r="A267" s="0" t="n">
        <v>1801.37575236457</v>
      </c>
    </row>
    <row r="268" customFormat="false" ht="12.8" hidden="false" customHeight="false" outlineLevel="0" collapsed="false">
      <c r="A268" s="0" t="n">
        <v>1805.67497850387</v>
      </c>
    </row>
    <row r="269" customFormat="false" ht="12.8" hidden="false" customHeight="false" outlineLevel="0" collapsed="false">
      <c r="A269" s="0" t="n">
        <v>1809.97420464316</v>
      </c>
    </row>
    <row r="270" customFormat="false" ht="12.8" hidden="false" customHeight="false" outlineLevel="0" collapsed="false">
      <c r="A270" s="0" t="n">
        <v>1814.27343078246</v>
      </c>
    </row>
    <row r="271" customFormat="false" ht="12.8" hidden="false" customHeight="false" outlineLevel="0" collapsed="false">
      <c r="A271" s="0" t="n">
        <v>1818.57265692175</v>
      </c>
    </row>
    <row r="272" customFormat="false" ht="12.8" hidden="false" customHeight="false" outlineLevel="0" collapsed="false">
      <c r="A272" s="0" t="n">
        <v>1822.87188306105</v>
      </c>
    </row>
    <row r="273" customFormat="false" ht="12.8" hidden="false" customHeight="false" outlineLevel="0" collapsed="false">
      <c r="A273" s="0" t="n">
        <v>1827.17110920034</v>
      </c>
    </row>
    <row r="274" customFormat="false" ht="12.8" hidden="false" customHeight="false" outlineLevel="0" collapsed="false">
      <c r="A274" s="0" t="n">
        <v>1831.47033533964</v>
      </c>
    </row>
    <row r="275" customFormat="false" ht="12.8" hidden="false" customHeight="false" outlineLevel="0" collapsed="false">
      <c r="A275" s="0" t="n">
        <v>1835.76956147893</v>
      </c>
    </row>
    <row r="276" customFormat="false" ht="12.8" hidden="false" customHeight="false" outlineLevel="0" collapsed="false">
      <c r="A276" s="0" t="n">
        <v>1840.06878761823</v>
      </c>
    </row>
    <row r="277" customFormat="false" ht="12.8" hidden="false" customHeight="false" outlineLevel="0" collapsed="false">
      <c r="A277" s="0" t="n">
        <v>1844.36801375752</v>
      </c>
    </row>
    <row r="278" customFormat="false" ht="12.8" hidden="false" customHeight="false" outlineLevel="0" collapsed="false">
      <c r="A278" s="0" t="n">
        <v>1848.66723989682</v>
      </c>
    </row>
    <row r="279" customFormat="false" ht="12.8" hidden="false" customHeight="false" outlineLevel="0" collapsed="false">
      <c r="A279" s="0" t="n">
        <v>1852.96646603611</v>
      </c>
    </row>
    <row r="280" customFormat="false" ht="12.8" hidden="false" customHeight="false" outlineLevel="0" collapsed="false">
      <c r="A280" s="0" t="n">
        <v>1857.26569217541</v>
      </c>
    </row>
    <row r="281" customFormat="false" ht="12.8" hidden="false" customHeight="false" outlineLevel="0" collapsed="false">
      <c r="A281" s="0" t="n">
        <v>1861.5649183147</v>
      </c>
    </row>
    <row r="282" customFormat="false" ht="12.8" hidden="false" customHeight="false" outlineLevel="0" collapsed="false">
      <c r="A282" s="0" t="n">
        <v>1865.864144454</v>
      </c>
    </row>
    <row r="283" customFormat="false" ht="12.8" hidden="false" customHeight="false" outlineLevel="0" collapsed="false">
      <c r="A283" s="0" t="n">
        <v>1870.16337059329</v>
      </c>
    </row>
    <row r="284" customFormat="false" ht="12.8" hidden="false" customHeight="false" outlineLevel="0" collapsed="false">
      <c r="A284" s="0" t="n">
        <v>1874.46259673259</v>
      </c>
    </row>
    <row r="285" customFormat="false" ht="12.8" hidden="false" customHeight="false" outlineLevel="0" collapsed="false">
      <c r="A285" s="0" t="n">
        <v>1878.76182287188</v>
      </c>
    </row>
    <row r="286" customFormat="false" ht="12.8" hidden="false" customHeight="false" outlineLevel="0" collapsed="false">
      <c r="A286" s="0" t="n">
        <v>1883.06104901118</v>
      </c>
    </row>
    <row r="287" customFormat="false" ht="12.8" hidden="false" customHeight="false" outlineLevel="0" collapsed="false">
      <c r="A287" s="0" t="n">
        <v>1887.36027515047</v>
      </c>
    </row>
    <row r="288" customFormat="false" ht="12.8" hidden="false" customHeight="false" outlineLevel="0" collapsed="false">
      <c r="A288" s="0" t="n">
        <v>1891.65950128977</v>
      </c>
    </row>
    <row r="289" customFormat="false" ht="12.8" hidden="false" customHeight="false" outlineLevel="0" collapsed="false">
      <c r="A289" s="0" t="n">
        <v>1895.95872742906</v>
      </c>
    </row>
    <row r="290" customFormat="false" ht="12.8" hidden="false" customHeight="false" outlineLevel="0" collapsed="false">
      <c r="A290" s="0" t="n">
        <v>1900.25795356836</v>
      </c>
    </row>
    <row r="291" customFormat="false" ht="12.8" hidden="false" customHeight="false" outlineLevel="0" collapsed="false">
      <c r="A291" s="0" t="n">
        <v>1904.55717970765</v>
      </c>
    </row>
    <row r="292" customFormat="false" ht="12.8" hidden="false" customHeight="false" outlineLevel="0" collapsed="false">
      <c r="A292" s="0" t="n">
        <v>1908.85640584695</v>
      </c>
    </row>
    <row r="293" customFormat="false" ht="12.8" hidden="false" customHeight="false" outlineLevel="0" collapsed="false">
      <c r="A293" s="0" t="n">
        <v>1913.15563198624</v>
      </c>
    </row>
    <row r="294" customFormat="false" ht="12.8" hidden="false" customHeight="false" outlineLevel="0" collapsed="false">
      <c r="A294" s="0" t="n">
        <v>1917.45485812554</v>
      </c>
    </row>
    <row r="295" customFormat="false" ht="12.8" hidden="false" customHeight="false" outlineLevel="0" collapsed="false">
      <c r="A295" s="0" t="n">
        <v>1921.75408426483</v>
      </c>
    </row>
    <row r="296" customFormat="false" ht="12.8" hidden="false" customHeight="false" outlineLevel="0" collapsed="false">
      <c r="A296" s="0" t="n">
        <v>1926.05331040413</v>
      </c>
    </row>
    <row r="297" customFormat="false" ht="12.8" hidden="false" customHeight="false" outlineLevel="0" collapsed="false">
      <c r="A297" s="0" t="n">
        <v>1930.35253654342</v>
      </c>
    </row>
    <row r="298" customFormat="false" ht="12.8" hidden="false" customHeight="false" outlineLevel="0" collapsed="false">
      <c r="A298" s="0" t="n">
        <v>1934.65176268272</v>
      </c>
    </row>
    <row r="299" customFormat="false" ht="12.8" hidden="false" customHeight="false" outlineLevel="0" collapsed="false">
      <c r="A299" s="0" t="n">
        <v>1938.95098882201</v>
      </c>
    </row>
    <row r="300" customFormat="false" ht="12.8" hidden="false" customHeight="false" outlineLevel="0" collapsed="false">
      <c r="A300" s="0" t="n">
        <v>1943.25021496131</v>
      </c>
    </row>
    <row r="301" customFormat="false" ht="12.8" hidden="false" customHeight="false" outlineLevel="0" collapsed="false">
      <c r="A301" s="0" t="n">
        <v>1947.5494411006</v>
      </c>
    </row>
    <row r="302" customFormat="false" ht="12.8" hidden="false" customHeight="false" outlineLevel="0" collapsed="false">
      <c r="A302" s="0" t="n">
        <v>1951.8486672399</v>
      </c>
    </row>
    <row r="303" customFormat="false" ht="12.8" hidden="false" customHeight="false" outlineLevel="0" collapsed="false">
      <c r="A303" s="0" t="n">
        <v>1956.14789337919</v>
      </c>
    </row>
    <row r="304" customFormat="false" ht="12.8" hidden="false" customHeight="false" outlineLevel="0" collapsed="false">
      <c r="A304" s="0" t="n">
        <v>1960.44711951849</v>
      </c>
    </row>
    <row r="305" customFormat="false" ht="12.8" hidden="false" customHeight="false" outlineLevel="0" collapsed="false">
      <c r="A305" s="0" t="n">
        <v>1964.74634565778</v>
      </c>
    </row>
    <row r="306" customFormat="false" ht="12.8" hidden="false" customHeight="false" outlineLevel="0" collapsed="false">
      <c r="A306" s="0" t="n">
        <v>1969.04557179708</v>
      </c>
    </row>
    <row r="307" customFormat="false" ht="12.8" hidden="false" customHeight="false" outlineLevel="0" collapsed="false">
      <c r="A307" s="0" t="n">
        <v>1973.34479793637</v>
      </c>
    </row>
    <row r="308" customFormat="false" ht="12.8" hidden="false" customHeight="false" outlineLevel="0" collapsed="false">
      <c r="A308" s="0" t="n">
        <v>1977.64402407567</v>
      </c>
    </row>
    <row r="309" customFormat="false" ht="12.8" hidden="false" customHeight="false" outlineLevel="0" collapsed="false">
      <c r="A309" s="0" t="n">
        <v>1981.94325021496</v>
      </c>
    </row>
    <row r="310" customFormat="false" ht="12.8" hidden="false" customHeight="false" outlineLevel="0" collapsed="false">
      <c r="A310" s="0" t="n">
        <v>1986.24247635426</v>
      </c>
    </row>
    <row r="311" customFormat="false" ht="12.8" hidden="false" customHeight="false" outlineLevel="0" collapsed="false">
      <c r="A311" s="0" t="n">
        <v>1990.54170249355</v>
      </c>
    </row>
    <row r="312" customFormat="false" ht="12.8" hidden="false" customHeight="false" outlineLevel="0" collapsed="false">
      <c r="A312" s="0" t="n">
        <v>1994.84092863285</v>
      </c>
    </row>
    <row r="313" customFormat="false" ht="12.8" hidden="false" customHeight="false" outlineLevel="0" collapsed="false">
      <c r="A313" s="0" t="n">
        <v>1999.14015477214</v>
      </c>
    </row>
    <row r="314" customFormat="false" ht="12.8" hidden="false" customHeight="false" outlineLevel="0" collapsed="false">
      <c r="A314" s="0" t="n">
        <v>2003.43938091144</v>
      </c>
    </row>
    <row r="315" customFormat="false" ht="12.8" hidden="false" customHeight="false" outlineLevel="0" collapsed="false">
      <c r="A315" s="0" t="n">
        <v>2007.73860705073</v>
      </c>
    </row>
    <row r="316" customFormat="false" ht="12.8" hidden="false" customHeight="false" outlineLevel="0" collapsed="false">
      <c r="A316" s="0" t="n">
        <v>2012.03783319003</v>
      </c>
    </row>
    <row r="317" customFormat="false" ht="12.8" hidden="false" customHeight="false" outlineLevel="0" collapsed="false">
      <c r="A317" s="0" t="n">
        <v>2016.33705932932</v>
      </c>
    </row>
    <row r="318" customFormat="false" ht="12.8" hidden="false" customHeight="false" outlineLevel="0" collapsed="false">
      <c r="A318" s="0" t="n">
        <v>2020.63628546862</v>
      </c>
    </row>
    <row r="319" customFormat="false" ht="12.8" hidden="false" customHeight="false" outlineLevel="0" collapsed="false">
      <c r="A319" s="0" t="n">
        <v>2024.93551160791</v>
      </c>
    </row>
    <row r="320" customFormat="false" ht="12.8" hidden="false" customHeight="false" outlineLevel="0" collapsed="false">
      <c r="A320" s="0" t="n">
        <v>2029.23473774721</v>
      </c>
    </row>
    <row r="321" customFormat="false" ht="12.8" hidden="false" customHeight="false" outlineLevel="0" collapsed="false">
      <c r="A321" s="0" t="n">
        <v>2033.5339638865</v>
      </c>
    </row>
    <row r="322" customFormat="false" ht="12.8" hidden="false" customHeight="false" outlineLevel="0" collapsed="false">
      <c r="A322" s="0" t="n">
        <v>2037.8331900258</v>
      </c>
    </row>
    <row r="323" customFormat="false" ht="12.8" hidden="false" customHeight="false" outlineLevel="0" collapsed="false">
      <c r="A323" s="0" t="n">
        <v>2042.13241616509</v>
      </c>
    </row>
    <row r="324" customFormat="false" ht="12.8" hidden="false" customHeight="false" outlineLevel="0" collapsed="false">
      <c r="A324" s="0" t="n">
        <v>2046.43164230439</v>
      </c>
    </row>
    <row r="325" customFormat="false" ht="12.8" hidden="false" customHeight="false" outlineLevel="0" collapsed="false">
      <c r="A325" s="0" t="n">
        <v>2050.73086844368</v>
      </c>
    </row>
    <row r="326" customFormat="false" ht="12.8" hidden="false" customHeight="false" outlineLevel="0" collapsed="false">
      <c r="A326" s="0" t="n">
        <v>2055.03009458298</v>
      </c>
    </row>
    <row r="327" customFormat="false" ht="12.8" hidden="false" customHeight="false" outlineLevel="0" collapsed="false">
      <c r="A327" s="0" t="n">
        <v>2059.32932072227</v>
      </c>
    </row>
    <row r="328" customFormat="false" ht="12.8" hidden="false" customHeight="false" outlineLevel="0" collapsed="false">
      <c r="A328" s="0" t="n">
        <v>2063.62854686156</v>
      </c>
    </row>
    <row r="329" customFormat="false" ht="12.8" hidden="false" customHeight="false" outlineLevel="0" collapsed="false">
      <c r="A329" s="0" t="n">
        <v>2067.92777300086</v>
      </c>
    </row>
    <row r="330" customFormat="false" ht="12.8" hidden="false" customHeight="false" outlineLevel="0" collapsed="false">
      <c r="A330" s="0" t="n">
        <v>2072.22699914015</v>
      </c>
    </row>
    <row r="331" customFormat="false" ht="12.8" hidden="false" customHeight="false" outlineLevel="0" collapsed="false">
      <c r="A331" s="0" t="n">
        <v>2076.52622527945</v>
      </c>
    </row>
    <row r="332" customFormat="false" ht="12.8" hidden="false" customHeight="false" outlineLevel="0" collapsed="false">
      <c r="A332" s="0" t="n">
        <v>2080.82545141874</v>
      </c>
    </row>
    <row r="333" customFormat="false" ht="12.8" hidden="false" customHeight="false" outlineLevel="0" collapsed="false">
      <c r="A333" s="0" t="n">
        <v>2085.12467755804</v>
      </c>
    </row>
    <row r="334" customFormat="false" ht="12.8" hidden="false" customHeight="false" outlineLevel="0" collapsed="false">
      <c r="A334" s="0" t="n">
        <v>2089.42390369733</v>
      </c>
    </row>
    <row r="335" customFormat="false" ht="12.8" hidden="false" customHeight="false" outlineLevel="0" collapsed="false">
      <c r="A335" s="0" t="n">
        <v>2093.72312983663</v>
      </c>
    </row>
    <row r="336" customFormat="false" ht="12.8" hidden="false" customHeight="false" outlineLevel="0" collapsed="false">
      <c r="A336" s="0" t="n">
        <v>2098.02235597592</v>
      </c>
    </row>
    <row r="337" customFormat="false" ht="12.8" hidden="false" customHeight="false" outlineLevel="0" collapsed="false">
      <c r="A337" s="0" t="n">
        <v>2102.32158211522</v>
      </c>
    </row>
    <row r="338" customFormat="false" ht="12.8" hidden="false" customHeight="false" outlineLevel="0" collapsed="false">
      <c r="A338" s="0" t="n">
        <v>2106.62080825451</v>
      </c>
    </row>
    <row r="339" customFormat="false" ht="12.8" hidden="false" customHeight="false" outlineLevel="0" collapsed="false">
      <c r="A339" s="0" t="n">
        <v>2110.92003439381</v>
      </c>
    </row>
    <row r="340" customFormat="false" ht="12.8" hidden="false" customHeight="false" outlineLevel="0" collapsed="false">
      <c r="A340" s="0" t="n">
        <v>2115.2192605331</v>
      </c>
    </row>
    <row r="341" customFormat="false" ht="12.8" hidden="false" customHeight="false" outlineLevel="0" collapsed="false">
      <c r="A341" s="0" t="n">
        <v>2119.5184866724</v>
      </c>
    </row>
    <row r="342" customFormat="false" ht="12.8" hidden="false" customHeight="false" outlineLevel="0" collapsed="false">
      <c r="A342" s="0" t="n">
        <v>2123.81771281169</v>
      </c>
    </row>
    <row r="343" customFormat="false" ht="12.8" hidden="false" customHeight="false" outlineLevel="0" collapsed="false">
      <c r="A343" s="0" t="n">
        <v>2128.11693895099</v>
      </c>
    </row>
    <row r="344" customFormat="false" ht="12.8" hidden="false" customHeight="false" outlineLevel="0" collapsed="false">
      <c r="A344" s="0" t="n">
        <v>2132.41616509028</v>
      </c>
    </row>
    <row r="345" customFormat="false" ht="12.8" hidden="false" customHeight="false" outlineLevel="0" collapsed="false">
      <c r="A345" s="0" t="n">
        <v>2136.71539122958</v>
      </c>
    </row>
    <row r="346" customFormat="false" ht="12.8" hidden="false" customHeight="false" outlineLevel="0" collapsed="false">
      <c r="A346" s="0" t="n">
        <v>2141.01461736887</v>
      </c>
    </row>
    <row r="347" customFormat="false" ht="12.8" hidden="false" customHeight="false" outlineLevel="0" collapsed="false">
      <c r="A347" s="0" t="n">
        <v>2145.31384350817</v>
      </c>
    </row>
    <row r="348" customFormat="false" ht="12.8" hidden="false" customHeight="false" outlineLevel="0" collapsed="false">
      <c r="A348" s="0" t="n">
        <v>2149.61306964746</v>
      </c>
    </row>
    <row r="349" customFormat="false" ht="12.8" hidden="false" customHeight="false" outlineLevel="0" collapsed="false">
      <c r="A349" s="0" t="n">
        <v>2153.91229578676</v>
      </c>
    </row>
    <row r="350" customFormat="false" ht="12.8" hidden="false" customHeight="false" outlineLevel="0" collapsed="false">
      <c r="A350" s="0" t="n">
        <v>2158.21152192605</v>
      </c>
    </row>
    <row r="351" customFormat="false" ht="12.8" hidden="false" customHeight="false" outlineLevel="0" collapsed="false">
      <c r="A351" s="0" t="n">
        <v>2162.51074806535</v>
      </c>
    </row>
    <row r="352" customFormat="false" ht="12.8" hidden="false" customHeight="false" outlineLevel="0" collapsed="false">
      <c r="A352" s="0" t="n">
        <v>2166.80997420464</v>
      </c>
    </row>
    <row r="353" customFormat="false" ht="12.8" hidden="false" customHeight="false" outlineLevel="0" collapsed="false">
      <c r="A353" s="0" t="n">
        <v>2171.10920034394</v>
      </c>
    </row>
    <row r="354" customFormat="false" ht="12.8" hidden="false" customHeight="false" outlineLevel="0" collapsed="false">
      <c r="A354" s="0" t="n">
        <v>2175.40842648323</v>
      </c>
    </row>
    <row r="355" customFormat="false" ht="12.8" hidden="false" customHeight="false" outlineLevel="0" collapsed="false">
      <c r="A355" s="0" t="n">
        <v>2179.70765262253</v>
      </c>
    </row>
    <row r="356" customFormat="false" ht="12.8" hidden="false" customHeight="false" outlineLevel="0" collapsed="false">
      <c r="A356" s="0" t="n">
        <v>2184.00687876182</v>
      </c>
    </row>
    <row r="357" customFormat="false" ht="12.8" hidden="false" customHeight="false" outlineLevel="0" collapsed="false">
      <c r="A357" s="0" t="n">
        <v>2188.30610490112</v>
      </c>
    </row>
    <row r="358" customFormat="false" ht="12.8" hidden="false" customHeight="false" outlineLevel="0" collapsed="false">
      <c r="A358" s="0" t="n">
        <v>2192.60533104041</v>
      </c>
    </row>
    <row r="359" customFormat="false" ht="12.8" hidden="false" customHeight="false" outlineLevel="0" collapsed="false">
      <c r="A359" s="0" t="n">
        <v>2196.90455717971</v>
      </c>
    </row>
    <row r="360" customFormat="false" ht="12.8" hidden="false" customHeight="false" outlineLevel="0" collapsed="false">
      <c r="A360" s="0" t="n">
        <v>2201.203783319</v>
      </c>
    </row>
    <row r="361" customFormat="false" ht="12.8" hidden="false" customHeight="false" outlineLevel="0" collapsed="false">
      <c r="A361" s="0" t="n">
        <v>2205.5030094583</v>
      </c>
    </row>
    <row r="362" customFormat="false" ht="12.8" hidden="false" customHeight="false" outlineLevel="0" collapsed="false">
      <c r="A362" s="0" t="n">
        <v>2209.80223559759</v>
      </c>
    </row>
    <row r="363" customFormat="false" ht="12.8" hidden="false" customHeight="false" outlineLevel="0" collapsed="false">
      <c r="A363" s="0" t="n">
        <v>2214.10146173689</v>
      </c>
    </row>
    <row r="364" customFormat="false" ht="12.8" hidden="false" customHeight="false" outlineLevel="0" collapsed="false">
      <c r="A364" s="0" t="n">
        <v>2218.40068787618</v>
      </c>
    </row>
    <row r="365" customFormat="false" ht="12.8" hidden="false" customHeight="false" outlineLevel="0" collapsed="false">
      <c r="A365" s="0" t="n">
        <v>2222.69991401548</v>
      </c>
    </row>
    <row r="366" customFormat="false" ht="12.8" hidden="false" customHeight="false" outlineLevel="0" collapsed="false">
      <c r="A366" s="0" t="n">
        <v>2226.99914015477</v>
      </c>
    </row>
    <row r="367" customFormat="false" ht="12.8" hidden="false" customHeight="false" outlineLevel="0" collapsed="false">
      <c r="A367" s="0" t="n">
        <v>2231.29836629407</v>
      </c>
    </row>
    <row r="368" customFormat="false" ht="12.8" hidden="false" customHeight="false" outlineLevel="0" collapsed="false">
      <c r="A368" s="0" t="n">
        <v>2235.59759243336</v>
      </c>
    </row>
    <row r="369" customFormat="false" ht="12.8" hidden="false" customHeight="false" outlineLevel="0" collapsed="false">
      <c r="A369" s="0" t="n">
        <v>2239.89681857266</v>
      </c>
    </row>
    <row r="370" customFormat="false" ht="12.8" hidden="false" customHeight="false" outlineLevel="0" collapsed="false">
      <c r="A370" s="0" t="n">
        <v>2244.19604471195</v>
      </c>
    </row>
    <row r="371" customFormat="false" ht="12.8" hidden="false" customHeight="false" outlineLevel="0" collapsed="false">
      <c r="A371" s="0" t="n">
        <v>2248.49527085125</v>
      </c>
    </row>
    <row r="372" customFormat="false" ht="12.8" hidden="false" customHeight="false" outlineLevel="0" collapsed="false">
      <c r="A372" s="0" t="n">
        <v>2252.79449699054</v>
      </c>
    </row>
    <row r="373" customFormat="false" ht="12.8" hidden="false" customHeight="false" outlineLevel="0" collapsed="false">
      <c r="A373" s="0" t="n">
        <v>2257.09372312984</v>
      </c>
    </row>
    <row r="374" customFormat="false" ht="12.8" hidden="false" customHeight="false" outlineLevel="0" collapsed="false">
      <c r="A374" s="0" t="n">
        <v>2261.39294926913</v>
      </c>
    </row>
    <row r="375" customFormat="false" ht="12.8" hidden="false" customHeight="false" outlineLevel="0" collapsed="false">
      <c r="A375" s="0" t="n">
        <v>2265.69217540843</v>
      </c>
    </row>
    <row r="376" customFormat="false" ht="12.8" hidden="false" customHeight="false" outlineLevel="0" collapsed="false">
      <c r="A376" s="0" t="n">
        <v>2269.99140154772</v>
      </c>
    </row>
    <row r="377" customFormat="false" ht="12.8" hidden="false" customHeight="false" outlineLevel="0" collapsed="false">
      <c r="A377" s="0" t="n">
        <v>2274.29062768702</v>
      </c>
    </row>
    <row r="378" customFormat="false" ht="12.8" hidden="false" customHeight="false" outlineLevel="0" collapsed="false">
      <c r="A378" s="0" t="n">
        <v>2278.58985382631</v>
      </c>
    </row>
    <row r="379" customFormat="false" ht="12.8" hidden="false" customHeight="false" outlineLevel="0" collapsed="false">
      <c r="A379" s="0" t="n">
        <v>2282.88907996561</v>
      </c>
    </row>
    <row r="380" customFormat="false" ht="12.8" hidden="false" customHeight="false" outlineLevel="0" collapsed="false">
      <c r="A380" s="0" t="n">
        <v>2287.1883061049</v>
      </c>
    </row>
    <row r="381" customFormat="false" ht="12.8" hidden="false" customHeight="false" outlineLevel="0" collapsed="false">
      <c r="A381" s="0" t="n">
        <v>2291.4875322442</v>
      </c>
    </row>
    <row r="382" customFormat="false" ht="12.8" hidden="false" customHeight="false" outlineLevel="0" collapsed="false">
      <c r="A382" s="0" t="n">
        <v>2295.78675838349</v>
      </c>
    </row>
    <row r="383" customFormat="false" ht="12.8" hidden="false" customHeight="false" outlineLevel="0" collapsed="false">
      <c r="A383" s="0" t="n">
        <v>2300.08598452279</v>
      </c>
    </row>
    <row r="384" customFormat="false" ht="12.8" hidden="false" customHeight="false" outlineLevel="0" collapsed="false">
      <c r="A384" s="0" t="n">
        <v>2304.38521066208</v>
      </c>
    </row>
    <row r="385" customFormat="false" ht="12.8" hidden="false" customHeight="false" outlineLevel="0" collapsed="false">
      <c r="A385" s="0" t="n">
        <v>2308.68443680138</v>
      </c>
    </row>
    <row r="386" customFormat="false" ht="12.8" hidden="false" customHeight="false" outlineLevel="0" collapsed="false">
      <c r="A386" s="0" t="n">
        <v>2312.98366294067</v>
      </c>
    </row>
    <row r="387" customFormat="false" ht="12.8" hidden="false" customHeight="false" outlineLevel="0" collapsed="false">
      <c r="A387" s="0" t="n">
        <v>2317.28288907997</v>
      </c>
    </row>
    <row r="388" customFormat="false" ht="12.8" hidden="false" customHeight="false" outlineLevel="0" collapsed="false">
      <c r="A388" s="0" t="n">
        <v>2321.58211521926</v>
      </c>
    </row>
    <row r="389" customFormat="false" ht="12.8" hidden="false" customHeight="false" outlineLevel="0" collapsed="false">
      <c r="A389" s="0" t="n">
        <v>2325.88134135856</v>
      </c>
    </row>
    <row r="390" customFormat="false" ht="12.8" hidden="false" customHeight="false" outlineLevel="0" collapsed="false">
      <c r="A390" s="0" t="n">
        <v>2330.18056749785</v>
      </c>
    </row>
    <row r="391" customFormat="false" ht="12.8" hidden="false" customHeight="false" outlineLevel="0" collapsed="false">
      <c r="A391" s="0" t="n">
        <v>2334.47979363715</v>
      </c>
    </row>
    <row r="392" customFormat="false" ht="12.8" hidden="false" customHeight="false" outlineLevel="0" collapsed="false">
      <c r="A392" s="0" t="n">
        <v>2338.77901977644</v>
      </c>
    </row>
    <row r="393" customFormat="false" ht="12.8" hidden="false" customHeight="false" outlineLevel="0" collapsed="false">
      <c r="A393" s="0" t="n">
        <v>2343.07824591573</v>
      </c>
    </row>
    <row r="394" customFormat="false" ht="12.8" hidden="false" customHeight="false" outlineLevel="0" collapsed="false">
      <c r="A394" s="0" t="n">
        <v>2347.37747205503</v>
      </c>
    </row>
    <row r="395" customFormat="false" ht="12.8" hidden="false" customHeight="false" outlineLevel="0" collapsed="false">
      <c r="A395" s="0" t="n">
        <v>2351.67669819433</v>
      </c>
    </row>
    <row r="396" customFormat="false" ht="12.8" hidden="false" customHeight="false" outlineLevel="0" collapsed="false">
      <c r="A396" s="0" t="n">
        <v>2355.97592433362</v>
      </c>
    </row>
    <row r="397" customFormat="false" ht="12.8" hidden="false" customHeight="false" outlineLevel="0" collapsed="false">
      <c r="A397" s="0" t="n">
        <v>2360.27515047291</v>
      </c>
    </row>
    <row r="398" customFormat="false" ht="12.8" hidden="false" customHeight="false" outlineLevel="0" collapsed="false">
      <c r="A398" s="0" t="n">
        <v>2364.57437661221</v>
      </c>
    </row>
    <row r="399" customFormat="false" ht="12.8" hidden="false" customHeight="false" outlineLevel="0" collapsed="false">
      <c r="A399" s="0" t="n">
        <v>2368.8736027515</v>
      </c>
    </row>
    <row r="400" customFormat="false" ht="12.8" hidden="false" customHeight="false" outlineLevel="0" collapsed="false">
      <c r="A400" s="0" t="n">
        <v>2373.1728288908</v>
      </c>
    </row>
    <row r="401" customFormat="false" ht="12.8" hidden="false" customHeight="false" outlineLevel="0" collapsed="false">
      <c r="A401" s="0" t="n">
        <v>2377.47205503009</v>
      </c>
    </row>
    <row r="402" customFormat="false" ht="12.8" hidden="false" customHeight="false" outlineLevel="0" collapsed="false">
      <c r="A402" s="0" t="n">
        <v>2381.77128116939</v>
      </c>
    </row>
    <row r="403" customFormat="false" ht="12.8" hidden="false" customHeight="false" outlineLevel="0" collapsed="false">
      <c r="A403" s="0" t="n">
        <v>2386.07050730868</v>
      </c>
    </row>
    <row r="404" customFormat="false" ht="12.8" hidden="false" customHeight="false" outlineLevel="0" collapsed="false">
      <c r="A404" s="0" t="n">
        <v>2390.36973344798</v>
      </c>
    </row>
    <row r="405" customFormat="false" ht="12.8" hidden="false" customHeight="false" outlineLevel="0" collapsed="false">
      <c r="A405" s="0" t="n">
        <v>2394.66895958727</v>
      </c>
    </row>
    <row r="406" customFormat="false" ht="12.8" hidden="false" customHeight="false" outlineLevel="0" collapsed="false">
      <c r="A406" s="0" t="n">
        <v>2398.96818572657</v>
      </c>
    </row>
    <row r="407" customFormat="false" ht="12.8" hidden="false" customHeight="false" outlineLevel="0" collapsed="false">
      <c r="A407" s="0" t="n">
        <v>2403.26741186586</v>
      </c>
    </row>
    <row r="408" customFormat="false" ht="12.8" hidden="false" customHeight="false" outlineLevel="0" collapsed="false">
      <c r="A408" s="0" t="n">
        <v>2407.56663800516</v>
      </c>
    </row>
    <row r="409" customFormat="false" ht="12.8" hidden="false" customHeight="false" outlineLevel="0" collapsed="false">
      <c r="A409" s="0" t="n">
        <v>2411.86586414445</v>
      </c>
    </row>
    <row r="410" customFormat="false" ht="12.8" hidden="false" customHeight="false" outlineLevel="0" collapsed="false">
      <c r="A410" s="0" t="n">
        <v>2416.16509028375</v>
      </c>
    </row>
    <row r="411" customFormat="false" ht="12.8" hidden="false" customHeight="false" outlineLevel="0" collapsed="false">
      <c r="A411" s="0" t="n">
        <v>2420.46431642304</v>
      </c>
    </row>
    <row r="412" customFormat="false" ht="12.8" hidden="false" customHeight="false" outlineLevel="0" collapsed="false">
      <c r="A412" s="0" t="n">
        <v>2424.76354256234</v>
      </c>
    </row>
    <row r="413" customFormat="false" ht="12.8" hidden="false" customHeight="false" outlineLevel="0" collapsed="false">
      <c r="A413" s="0" t="n">
        <v>2429.06276870163</v>
      </c>
    </row>
    <row r="414" customFormat="false" ht="12.8" hidden="false" customHeight="false" outlineLevel="0" collapsed="false">
      <c r="A414" s="0" t="n">
        <v>2433.36199484093</v>
      </c>
    </row>
    <row r="415" customFormat="false" ht="12.8" hidden="false" customHeight="false" outlineLevel="0" collapsed="false">
      <c r="A415" s="0" t="n">
        <v>2437.66122098022</v>
      </c>
    </row>
    <row r="416" customFormat="false" ht="12.8" hidden="false" customHeight="false" outlineLevel="0" collapsed="false">
      <c r="A416" s="0" t="n">
        <v>2441.96044711952</v>
      </c>
    </row>
    <row r="417" customFormat="false" ht="12.8" hidden="false" customHeight="false" outlineLevel="0" collapsed="false">
      <c r="A417" s="0" t="n">
        <v>2446.25967325881</v>
      </c>
    </row>
    <row r="418" customFormat="false" ht="12.8" hidden="false" customHeight="false" outlineLevel="0" collapsed="false">
      <c r="A418" s="0" t="n">
        <v>2450.55889939811</v>
      </c>
    </row>
    <row r="419" customFormat="false" ht="12.8" hidden="false" customHeight="false" outlineLevel="0" collapsed="false">
      <c r="A419" s="0" t="n">
        <v>2454.8581255374</v>
      </c>
    </row>
    <row r="420" customFormat="false" ht="12.8" hidden="false" customHeight="false" outlineLevel="0" collapsed="false">
      <c r="A420" s="0" t="n">
        <v>2459.1573516767</v>
      </c>
    </row>
    <row r="421" customFormat="false" ht="12.8" hidden="false" customHeight="false" outlineLevel="0" collapsed="false">
      <c r="A421" s="0" t="n">
        <v>2463.45657781599</v>
      </c>
    </row>
    <row r="422" customFormat="false" ht="12.8" hidden="false" customHeight="false" outlineLevel="0" collapsed="false">
      <c r="A422" s="0" t="n">
        <v>2467.75580395529</v>
      </c>
    </row>
    <row r="423" customFormat="false" ht="12.8" hidden="false" customHeight="false" outlineLevel="0" collapsed="false">
      <c r="A423" s="0" t="n">
        <v>2472.05503009458</v>
      </c>
    </row>
    <row r="424" customFormat="false" ht="12.8" hidden="false" customHeight="false" outlineLevel="0" collapsed="false">
      <c r="A424" s="0" t="n">
        <v>2476.35425623388</v>
      </c>
    </row>
    <row r="425" customFormat="false" ht="12.8" hidden="false" customHeight="false" outlineLevel="0" collapsed="false">
      <c r="A425" s="0" t="n">
        <v>2480.65348237317</v>
      </c>
    </row>
    <row r="426" customFormat="false" ht="12.8" hidden="false" customHeight="false" outlineLevel="0" collapsed="false">
      <c r="A426" s="0" t="n">
        <v>2484.95270851247</v>
      </c>
    </row>
    <row r="427" customFormat="false" ht="12.8" hidden="false" customHeight="false" outlineLevel="0" collapsed="false">
      <c r="A427" s="0" t="n">
        <v>2489.25193465176</v>
      </c>
    </row>
    <row r="428" customFormat="false" ht="12.8" hidden="false" customHeight="false" outlineLevel="0" collapsed="false">
      <c r="A428" s="0" t="n">
        <v>2493.55116079106</v>
      </c>
    </row>
    <row r="429" customFormat="false" ht="12.8" hidden="false" customHeight="false" outlineLevel="0" collapsed="false">
      <c r="A429" s="0" t="n">
        <v>2497.85038693035</v>
      </c>
    </row>
    <row r="430" customFormat="false" ht="12.8" hidden="false" customHeight="false" outlineLevel="0" collapsed="false">
      <c r="A430" s="0" t="n">
        <v>2502.14961306965</v>
      </c>
    </row>
    <row r="431" customFormat="false" ht="12.8" hidden="false" customHeight="false" outlineLevel="0" collapsed="false">
      <c r="A431" s="0" t="n">
        <v>2506.44883920894</v>
      </c>
    </row>
    <row r="432" customFormat="false" ht="12.8" hidden="false" customHeight="false" outlineLevel="0" collapsed="false">
      <c r="A432" s="0" t="n">
        <v>2510.74806534824</v>
      </c>
    </row>
    <row r="433" customFormat="false" ht="12.8" hidden="false" customHeight="false" outlineLevel="0" collapsed="false">
      <c r="A433" s="0" t="n">
        <v>2515.04729148753</v>
      </c>
    </row>
    <row r="434" customFormat="false" ht="12.8" hidden="false" customHeight="false" outlineLevel="0" collapsed="false">
      <c r="A434" s="0" t="n">
        <v>2519.34651762683</v>
      </c>
    </row>
    <row r="435" customFormat="false" ht="12.8" hidden="false" customHeight="false" outlineLevel="0" collapsed="false">
      <c r="A435" s="0" t="n">
        <v>2523.64574376612</v>
      </c>
    </row>
    <row r="436" customFormat="false" ht="12.8" hidden="false" customHeight="false" outlineLevel="0" collapsed="false">
      <c r="A436" s="0" t="n">
        <v>2527.94496990542</v>
      </c>
    </row>
    <row r="437" customFormat="false" ht="12.8" hidden="false" customHeight="false" outlineLevel="0" collapsed="false">
      <c r="A437" s="0" t="n">
        <v>2532.24419604471</v>
      </c>
    </row>
    <row r="438" customFormat="false" ht="12.8" hidden="false" customHeight="false" outlineLevel="0" collapsed="false">
      <c r="A438" s="0" t="n">
        <v>2536.54342218401</v>
      </c>
    </row>
    <row r="439" customFormat="false" ht="12.8" hidden="false" customHeight="false" outlineLevel="0" collapsed="false">
      <c r="A439" s="0" t="n">
        <v>2540.8426483233</v>
      </c>
    </row>
    <row r="440" customFormat="false" ht="12.8" hidden="false" customHeight="false" outlineLevel="0" collapsed="false">
      <c r="A440" s="0" t="n">
        <v>2545.1418744626</v>
      </c>
    </row>
    <row r="441" customFormat="false" ht="12.8" hidden="false" customHeight="false" outlineLevel="0" collapsed="false">
      <c r="A441" s="0" t="n">
        <v>2549.44110060189</v>
      </c>
    </row>
    <row r="442" customFormat="false" ht="12.8" hidden="false" customHeight="false" outlineLevel="0" collapsed="false">
      <c r="A442" s="0" t="n">
        <v>2553.74032674119</v>
      </c>
    </row>
    <row r="443" customFormat="false" ht="12.8" hidden="false" customHeight="false" outlineLevel="0" collapsed="false">
      <c r="A443" s="0" t="n">
        <v>2558.03955288048</v>
      </c>
    </row>
    <row r="444" customFormat="false" ht="12.8" hidden="false" customHeight="false" outlineLevel="0" collapsed="false">
      <c r="A444" s="0" t="n">
        <v>2562.33877901978</v>
      </c>
    </row>
    <row r="445" customFormat="false" ht="12.8" hidden="false" customHeight="false" outlineLevel="0" collapsed="false">
      <c r="A445" s="0" t="n">
        <v>2566.63800515907</v>
      </c>
    </row>
    <row r="446" customFormat="false" ht="12.8" hidden="false" customHeight="false" outlineLevel="0" collapsed="false">
      <c r="A446" s="0" t="n">
        <v>2570.93723129837</v>
      </c>
    </row>
    <row r="447" customFormat="false" ht="12.8" hidden="false" customHeight="false" outlineLevel="0" collapsed="false">
      <c r="A447" s="0" t="n">
        <v>2575.23645743766</v>
      </c>
    </row>
    <row r="448" customFormat="false" ht="12.8" hidden="false" customHeight="false" outlineLevel="0" collapsed="false">
      <c r="A448" s="0" t="n">
        <v>2579.53568357696</v>
      </c>
    </row>
    <row r="449" customFormat="false" ht="12.8" hidden="false" customHeight="false" outlineLevel="0" collapsed="false">
      <c r="A449" s="0" t="n">
        <v>2583.83490971625</v>
      </c>
    </row>
    <row r="450" customFormat="false" ht="12.8" hidden="false" customHeight="false" outlineLevel="0" collapsed="false">
      <c r="A450" s="0" t="n">
        <v>2588.13413585555</v>
      </c>
    </row>
    <row r="451" customFormat="false" ht="12.8" hidden="false" customHeight="false" outlineLevel="0" collapsed="false">
      <c r="A451" s="0" t="n">
        <v>2592.43336199484</v>
      </c>
    </row>
    <row r="452" customFormat="false" ht="12.8" hidden="false" customHeight="false" outlineLevel="0" collapsed="false">
      <c r="A452" s="0" t="n">
        <v>2596.73258813414</v>
      </c>
    </row>
    <row r="453" customFormat="false" ht="12.8" hidden="false" customHeight="false" outlineLevel="0" collapsed="false">
      <c r="A453" s="0" t="n">
        <v>2601.03181427343</v>
      </c>
    </row>
    <row r="454" customFormat="false" ht="12.8" hidden="false" customHeight="false" outlineLevel="0" collapsed="false">
      <c r="A454" s="0" t="n">
        <v>2605.33104041273</v>
      </c>
    </row>
    <row r="455" customFormat="false" ht="12.8" hidden="false" customHeight="false" outlineLevel="0" collapsed="false">
      <c r="A455" s="0" t="n">
        <v>2609.63026655202</v>
      </c>
    </row>
    <row r="456" customFormat="false" ht="12.8" hidden="false" customHeight="false" outlineLevel="0" collapsed="false">
      <c r="A456" s="0" t="n">
        <v>2613.92949269132</v>
      </c>
    </row>
    <row r="457" customFormat="false" ht="12.8" hidden="false" customHeight="false" outlineLevel="0" collapsed="false">
      <c r="A457" s="0" t="n">
        <v>2618.22871883061</v>
      </c>
    </row>
    <row r="458" customFormat="false" ht="12.8" hidden="false" customHeight="false" outlineLevel="0" collapsed="false">
      <c r="A458" s="0" t="n">
        <v>2622.52794496991</v>
      </c>
    </row>
    <row r="459" customFormat="false" ht="12.8" hidden="false" customHeight="false" outlineLevel="0" collapsed="false">
      <c r="A459" s="0" t="n">
        <v>2626.8271711092</v>
      </c>
    </row>
    <row r="460" customFormat="false" ht="12.8" hidden="false" customHeight="false" outlineLevel="0" collapsed="false">
      <c r="A460" s="0" t="n">
        <v>2631.1263972485</v>
      </c>
    </row>
    <row r="461" customFormat="false" ht="12.8" hidden="false" customHeight="false" outlineLevel="0" collapsed="false">
      <c r="A461" s="0" t="n">
        <v>2635.42562338779</v>
      </c>
    </row>
    <row r="462" customFormat="false" ht="12.8" hidden="false" customHeight="false" outlineLevel="0" collapsed="false">
      <c r="A462" s="0" t="n">
        <v>2639.72484952709</v>
      </c>
    </row>
    <row r="463" customFormat="false" ht="12.8" hidden="false" customHeight="false" outlineLevel="0" collapsed="false">
      <c r="A463" s="0" t="n">
        <v>2644.02407566638</v>
      </c>
    </row>
    <row r="464" customFormat="false" ht="12.8" hidden="false" customHeight="false" outlineLevel="0" collapsed="false">
      <c r="A464" s="0" t="n">
        <v>2648.32330180567</v>
      </c>
    </row>
    <row r="465" customFormat="false" ht="12.8" hidden="false" customHeight="false" outlineLevel="0" collapsed="false">
      <c r="A465" s="0" t="n">
        <v>2652.62252794497</v>
      </c>
    </row>
    <row r="466" customFormat="false" ht="12.8" hidden="false" customHeight="false" outlineLevel="0" collapsed="false">
      <c r="A466" s="0" t="n">
        <v>2656.92175408426</v>
      </c>
    </row>
    <row r="467" customFormat="false" ht="12.8" hidden="false" customHeight="false" outlineLevel="0" collapsed="false">
      <c r="A467" s="0" t="n">
        <v>2661.22098022356</v>
      </c>
    </row>
    <row r="468" customFormat="false" ht="12.8" hidden="false" customHeight="false" outlineLevel="0" collapsed="false">
      <c r="A468" s="0" t="n">
        <v>2665.52020636285</v>
      </c>
    </row>
    <row r="469" customFormat="false" ht="12.8" hidden="false" customHeight="false" outlineLevel="0" collapsed="false">
      <c r="A469" s="0" t="n">
        <v>2669.81943250215</v>
      </c>
    </row>
    <row r="470" customFormat="false" ht="12.8" hidden="false" customHeight="false" outlineLevel="0" collapsed="false">
      <c r="A470" s="0" t="n">
        <v>2674.11865864144</v>
      </c>
    </row>
    <row r="471" customFormat="false" ht="12.8" hidden="false" customHeight="false" outlineLevel="0" collapsed="false">
      <c r="A471" s="0" t="n">
        <v>2678.41788478074</v>
      </c>
    </row>
    <row r="472" customFormat="false" ht="12.8" hidden="false" customHeight="false" outlineLevel="0" collapsed="false">
      <c r="A472" s="0" t="n">
        <v>2682.71711092003</v>
      </c>
    </row>
    <row r="473" customFormat="false" ht="12.8" hidden="false" customHeight="false" outlineLevel="0" collapsed="false">
      <c r="A473" s="0" t="n">
        <v>2687.01633705933</v>
      </c>
    </row>
    <row r="474" customFormat="false" ht="12.8" hidden="false" customHeight="false" outlineLevel="0" collapsed="false">
      <c r="A474" s="0" t="n">
        <v>2691.31556319862</v>
      </c>
    </row>
    <row r="475" customFormat="false" ht="12.8" hidden="false" customHeight="false" outlineLevel="0" collapsed="false">
      <c r="A475" s="0" t="n">
        <v>2695.61478933792</v>
      </c>
    </row>
    <row r="476" customFormat="false" ht="12.8" hidden="false" customHeight="false" outlineLevel="0" collapsed="false">
      <c r="A476" s="0" t="n">
        <v>2699.91401547721</v>
      </c>
    </row>
    <row r="477" customFormat="false" ht="12.8" hidden="false" customHeight="false" outlineLevel="0" collapsed="false">
      <c r="A477" s="0" t="n">
        <v>2704.21324161651</v>
      </c>
    </row>
    <row r="478" customFormat="false" ht="12.8" hidden="false" customHeight="false" outlineLevel="0" collapsed="false">
      <c r="A478" s="0" t="n">
        <v>2708.5124677558</v>
      </c>
    </row>
    <row r="479" customFormat="false" ht="12.8" hidden="false" customHeight="false" outlineLevel="0" collapsed="false">
      <c r="A479" s="0" t="n">
        <v>2712.8116938951</v>
      </c>
    </row>
    <row r="480" customFormat="false" ht="12.8" hidden="false" customHeight="false" outlineLevel="0" collapsed="false">
      <c r="A480" s="0" t="n">
        <v>2717.11092003439</v>
      </c>
    </row>
    <row r="481" customFormat="false" ht="12.8" hidden="false" customHeight="false" outlineLevel="0" collapsed="false">
      <c r="A481" s="0" t="n">
        <v>2721.41014617369</v>
      </c>
    </row>
    <row r="482" customFormat="false" ht="12.8" hidden="false" customHeight="false" outlineLevel="0" collapsed="false">
      <c r="A482" s="0" t="n">
        <v>2725.70937231298</v>
      </c>
    </row>
    <row r="483" customFormat="false" ht="12.8" hidden="false" customHeight="false" outlineLevel="0" collapsed="false">
      <c r="A483" s="0" t="n">
        <v>2730.00859845228</v>
      </c>
    </row>
    <row r="484" customFormat="false" ht="12.8" hidden="false" customHeight="false" outlineLevel="0" collapsed="false">
      <c r="A484" s="0" t="n">
        <v>2734.30782459157</v>
      </c>
    </row>
    <row r="485" customFormat="false" ht="12.8" hidden="false" customHeight="false" outlineLevel="0" collapsed="false">
      <c r="A485" s="0" t="n">
        <v>2738.60705073087</v>
      </c>
    </row>
    <row r="486" customFormat="false" ht="12.8" hidden="false" customHeight="false" outlineLevel="0" collapsed="false">
      <c r="A486" s="0" t="n">
        <v>2742.90627687016</v>
      </c>
    </row>
    <row r="487" customFormat="false" ht="12.8" hidden="false" customHeight="false" outlineLevel="0" collapsed="false">
      <c r="A487" s="0" t="n">
        <v>2747.20550300946</v>
      </c>
    </row>
    <row r="488" customFormat="false" ht="12.8" hidden="false" customHeight="false" outlineLevel="0" collapsed="false">
      <c r="A488" s="0" t="n">
        <v>2751.50472914875</v>
      </c>
    </row>
    <row r="489" customFormat="false" ht="12.8" hidden="false" customHeight="false" outlineLevel="0" collapsed="false">
      <c r="A489" s="0" t="n">
        <v>2755.80395528805</v>
      </c>
    </row>
    <row r="490" customFormat="false" ht="12.8" hidden="false" customHeight="false" outlineLevel="0" collapsed="false">
      <c r="A490" s="0" t="n">
        <v>2760.10318142734</v>
      </c>
    </row>
    <row r="491" customFormat="false" ht="12.8" hidden="false" customHeight="false" outlineLevel="0" collapsed="false">
      <c r="A491" s="0" t="n">
        <v>2764.40240756664</v>
      </c>
    </row>
    <row r="492" customFormat="false" ht="12.8" hidden="false" customHeight="false" outlineLevel="0" collapsed="false">
      <c r="A492" s="0" t="n">
        <v>2768.70163370593</v>
      </c>
    </row>
    <row r="493" customFormat="false" ht="12.8" hidden="false" customHeight="false" outlineLevel="0" collapsed="false">
      <c r="A493" s="0" t="n">
        <v>2773.00085984523</v>
      </c>
    </row>
    <row r="494" customFormat="false" ht="12.8" hidden="false" customHeight="false" outlineLevel="0" collapsed="false">
      <c r="A494" s="0" t="n">
        <v>2777.30008598452</v>
      </c>
    </row>
    <row r="495" customFormat="false" ht="12.8" hidden="false" customHeight="false" outlineLevel="0" collapsed="false">
      <c r="A495" s="0" t="n">
        <v>2781.59931212382</v>
      </c>
    </row>
    <row r="496" customFormat="false" ht="12.8" hidden="false" customHeight="false" outlineLevel="0" collapsed="false">
      <c r="A496" s="0" t="n">
        <v>2785.89853826311</v>
      </c>
    </row>
    <row r="497" customFormat="false" ht="12.8" hidden="false" customHeight="false" outlineLevel="0" collapsed="false">
      <c r="A497" s="0" t="n">
        <v>2790.19776440241</v>
      </c>
    </row>
    <row r="498" customFormat="false" ht="12.8" hidden="false" customHeight="false" outlineLevel="0" collapsed="false">
      <c r="A498" s="0" t="n">
        <v>2794.4969905417</v>
      </c>
    </row>
    <row r="499" customFormat="false" ht="12.8" hidden="false" customHeight="false" outlineLevel="0" collapsed="false">
      <c r="A499" s="0" t="n">
        <v>2798.796216681</v>
      </c>
    </row>
    <row r="500" customFormat="false" ht="12.8" hidden="false" customHeight="false" outlineLevel="0" collapsed="false">
      <c r="A500" s="0" t="n">
        <v>2803.09544282029</v>
      </c>
    </row>
    <row r="501" customFormat="false" ht="12.8" hidden="false" customHeight="false" outlineLevel="0" collapsed="false">
      <c r="A501" s="0" t="n">
        <v>2807.39466895959</v>
      </c>
    </row>
    <row r="502" customFormat="false" ht="12.8" hidden="false" customHeight="false" outlineLevel="0" collapsed="false">
      <c r="A502" s="0" t="n">
        <v>2811.69389509888</v>
      </c>
    </row>
    <row r="503" customFormat="false" ht="12.8" hidden="false" customHeight="false" outlineLevel="0" collapsed="false">
      <c r="A503" s="0" t="n">
        <v>2815.99312123818</v>
      </c>
    </row>
    <row r="504" customFormat="false" ht="12.8" hidden="false" customHeight="false" outlineLevel="0" collapsed="false">
      <c r="A504" s="0" t="n">
        <v>2820.29234737747</v>
      </c>
    </row>
    <row r="505" customFormat="false" ht="12.8" hidden="false" customHeight="false" outlineLevel="0" collapsed="false">
      <c r="A505" s="0" t="n">
        <v>2824.59157351677</v>
      </c>
    </row>
    <row r="506" customFormat="false" ht="12.8" hidden="false" customHeight="false" outlineLevel="0" collapsed="false">
      <c r="A506" s="0" t="n">
        <v>2828.89079965606</v>
      </c>
    </row>
    <row r="507" customFormat="false" ht="12.8" hidden="false" customHeight="false" outlineLevel="0" collapsed="false">
      <c r="A507" s="0" t="n">
        <v>2833.19002579536</v>
      </c>
    </row>
    <row r="508" customFormat="false" ht="12.8" hidden="false" customHeight="false" outlineLevel="0" collapsed="false">
      <c r="A508" s="0" t="n">
        <v>2837.48925193465</v>
      </c>
    </row>
    <row r="509" customFormat="false" ht="12.8" hidden="false" customHeight="false" outlineLevel="0" collapsed="false">
      <c r="A509" s="0" t="n">
        <v>2841.78847807395</v>
      </c>
    </row>
    <row r="510" customFormat="false" ht="12.8" hidden="false" customHeight="false" outlineLevel="0" collapsed="false">
      <c r="A510" s="0" t="n">
        <v>2846.08770421324</v>
      </c>
    </row>
    <row r="511" customFormat="false" ht="12.8" hidden="false" customHeight="false" outlineLevel="0" collapsed="false">
      <c r="A511" s="0" t="n">
        <v>2850.38693035254</v>
      </c>
    </row>
    <row r="512" customFormat="false" ht="12.8" hidden="false" customHeight="false" outlineLevel="0" collapsed="false">
      <c r="A512" s="0" t="n">
        <v>2854.68615649183</v>
      </c>
    </row>
    <row r="513" customFormat="false" ht="12.8" hidden="false" customHeight="false" outlineLevel="0" collapsed="false">
      <c r="A513" s="0" t="n">
        <v>2858.98538263113</v>
      </c>
    </row>
    <row r="514" customFormat="false" ht="12.8" hidden="false" customHeight="false" outlineLevel="0" collapsed="false">
      <c r="A514" s="0" t="n">
        <v>2863.28460877042</v>
      </c>
    </row>
    <row r="515" customFormat="false" ht="12.8" hidden="false" customHeight="false" outlineLevel="0" collapsed="false">
      <c r="A515" s="0" t="n">
        <v>2867.58383490972</v>
      </c>
    </row>
    <row r="516" customFormat="false" ht="12.8" hidden="false" customHeight="false" outlineLevel="0" collapsed="false">
      <c r="A516" s="0" t="n">
        <v>2871.88306104901</v>
      </c>
    </row>
    <row r="517" customFormat="false" ht="12.8" hidden="false" customHeight="false" outlineLevel="0" collapsed="false">
      <c r="A517" s="0" t="n">
        <v>2876.18228718831</v>
      </c>
    </row>
    <row r="518" customFormat="false" ht="12.8" hidden="false" customHeight="false" outlineLevel="0" collapsed="false">
      <c r="A518" s="0" t="n">
        <v>2880.4815133276</v>
      </c>
    </row>
    <row r="519" customFormat="false" ht="12.8" hidden="false" customHeight="false" outlineLevel="0" collapsed="false">
      <c r="A519" s="0" t="n">
        <v>2884.7807394669</v>
      </c>
    </row>
    <row r="520" customFormat="false" ht="12.8" hidden="false" customHeight="false" outlineLevel="0" collapsed="false">
      <c r="A520" s="0" t="n">
        <v>2889.07996560619</v>
      </c>
    </row>
    <row r="521" customFormat="false" ht="12.8" hidden="false" customHeight="false" outlineLevel="0" collapsed="false">
      <c r="A521" s="0" t="n">
        <v>2893.37919174549</v>
      </c>
    </row>
    <row r="522" customFormat="false" ht="12.8" hidden="false" customHeight="false" outlineLevel="0" collapsed="false">
      <c r="A522" s="0" t="n">
        <v>2897.67841788478</v>
      </c>
    </row>
    <row r="523" customFormat="false" ht="12.8" hidden="false" customHeight="false" outlineLevel="0" collapsed="false">
      <c r="A523" s="0" t="n">
        <v>2901.97764402408</v>
      </c>
    </row>
    <row r="524" customFormat="false" ht="12.8" hidden="false" customHeight="false" outlineLevel="0" collapsed="false">
      <c r="A524" s="0" t="n">
        <v>2906.27687016337</v>
      </c>
    </row>
    <row r="525" customFormat="false" ht="12.8" hidden="false" customHeight="false" outlineLevel="0" collapsed="false">
      <c r="A525" s="0" t="n">
        <v>2910.57609630267</v>
      </c>
    </row>
    <row r="526" customFormat="false" ht="12.8" hidden="false" customHeight="false" outlineLevel="0" collapsed="false">
      <c r="A526" s="0" t="n">
        <v>2914.87532244196</v>
      </c>
    </row>
    <row r="527" customFormat="false" ht="12.8" hidden="false" customHeight="false" outlineLevel="0" collapsed="false">
      <c r="A527" s="0" t="n">
        <v>2919.17454858126</v>
      </c>
    </row>
    <row r="528" customFormat="false" ht="12.8" hidden="false" customHeight="false" outlineLevel="0" collapsed="false">
      <c r="A528" s="0" t="n">
        <v>2923.47377472055</v>
      </c>
    </row>
    <row r="529" customFormat="false" ht="12.8" hidden="false" customHeight="false" outlineLevel="0" collapsed="false">
      <c r="A529" s="0" t="n">
        <v>2927.77300085985</v>
      </c>
    </row>
    <row r="530" customFormat="false" ht="12.8" hidden="false" customHeight="false" outlineLevel="0" collapsed="false">
      <c r="A530" s="0" t="n">
        <v>2932.07222699914</v>
      </c>
    </row>
    <row r="531" customFormat="false" ht="12.8" hidden="false" customHeight="false" outlineLevel="0" collapsed="false">
      <c r="A531" s="0" t="n">
        <v>2936.37145313843</v>
      </c>
    </row>
    <row r="532" customFormat="false" ht="12.8" hidden="false" customHeight="false" outlineLevel="0" collapsed="false">
      <c r="A532" s="0" t="n">
        <v>2940.67067927773</v>
      </c>
    </row>
    <row r="533" customFormat="false" ht="12.8" hidden="false" customHeight="false" outlineLevel="0" collapsed="false">
      <c r="A533" s="0" t="n">
        <v>2944.96990541702</v>
      </c>
    </row>
    <row r="534" customFormat="false" ht="12.8" hidden="false" customHeight="false" outlineLevel="0" collapsed="false">
      <c r="A534" s="0" t="n">
        <v>2949.26913155632</v>
      </c>
    </row>
    <row r="535" customFormat="false" ht="12.8" hidden="false" customHeight="false" outlineLevel="0" collapsed="false">
      <c r="A535" s="0" t="n">
        <v>2953.56835769561</v>
      </c>
    </row>
    <row r="536" customFormat="false" ht="12.8" hidden="false" customHeight="false" outlineLevel="0" collapsed="false">
      <c r="A536" s="0" t="n">
        <v>2957.86758383491</v>
      </c>
    </row>
    <row r="537" customFormat="false" ht="12.8" hidden="false" customHeight="false" outlineLevel="0" collapsed="false">
      <c r="A537" s="0" t="n">
        <v>2962.1668099742</v>
      </c>
    </row>
    <row r="538" customFormat="false" ht="12.8" hidden="false" customHeight="false" outlineLevel="0" collapsed="false">
      <c r="A538" s="0" t="n">
        <v>2966.4660361135</v>
      </c>
    </row>
    <row r="539" customFormat="false" ht="12.8" hidden="false" customHeight="false" outlineLevel="0" collapsed="false">
      <c r="A539" s="0" t="n">
        <v>2970.76526225279</v>
      </c>
    </row>
    <row r="540" customFormat="false" ht="12.8" hidden="false" customHeight="false" outlineLevel="0" collapsed="false">
      <c r="A540" s="0" t="n">
        <v>2975.06448839209</v>
      </c>
    </row>
    <row r="541" customFormat="false" ht="12.8" hidden="false" customHeight="false" outlineLevel="0" collapsed="false">
      <c r="A541" s="0" t="n">
        <v>2979.36371453138</v>
      </c>
    </row>
    <row r="542" customFormat="false" ht="12.8" hidden="false" customHeight="false" outlineLevel="0" collapsed="false">
      <c r="A542" s="0" t="n">
        <v>2983.66294067068</v>
      </c>
    </row>
    <row r="543" customFormat="false" ht="12.8" hidden="false" customHeight="false" outlineLevel="0" collapsed="false">
      <c r="A543" s="0" t="n">
        <v>2987.96216680997</v>
      </c>
    </row>
    <row r="544" customFormat="false" ht="12.8" hidden="false" customHeight="false" outlineLevel="0" collapsed="false">
      <c r="A544" s="0" t="n">
        <v>2992.26139294927</v>
      </c>
    </row>
    <row r="545" customFormat="false" ht="12.8" hidden="false" customHeight="false" outlineLevel="0" collapsed="false">
      <c r="A545" s="0" t="n">
        <v>2996.56061908856</v>
      </c>
    </row>
    <row r="546" customFormat="false" ht="12.8" hidden="false" customHeight="false" outlineLevel="0" collapsed="false">
      <c r="A546" s="0" t="n">
        <v>3000.85984522786</v>
      </c>
    </row>
    <row r="547" customFormat="false" ht="12.8" hidden="false" customHeight="false" outlineLevel="0" collapsed="false">
      <c r="A547" s="0" t="n">
        <v>3005.15907136715</v>
      </c>
    </row>
    <row r="548" customFormat="false" ht="12.8" hidden="false" customHeight="false" outlineLevel="0" collapsed="false">
      <c r="A548" s="0" t="n">
        <v>3009.45829750645</v>
      </c>
    </row>
    <row r="549" customFormat="false" ht="12.8" hidden="false" customHeight="false" outlineLevel="0" collapsed="false">
      <c r="A549" s="0" t="n">
        <v>3013.75752364574</v>
      </c>
    </row>
    <row r="550" customFormat="false" ht="12.8" hidden="false" customHeight="false" outlineLevel="0" collapsed="false">
      <c r="A550" s="0" t="n">
        <v>3018.05674978504</v>
      </c>
    </row>
    <row r="551" customFormat="false" ht="12.8" hidden="false" customHeight="false" outlineLevel="0" collapsed="false">
      <c r="A551" s="0" t="n">
        <v>3022.35597592433</v>
      </c>
    </row>
    <row r="552" customFormat="false" ht="12.8" hidden="false" customHeight="false" outlineLevel="0" collapsed="false">
      <c r="A552" s="0" t="n">
        <v>3026.65520206363</v>
      </c>
    </row>
    <row r="553" customFormat="false" ht="12.8" hidden="false" customHeight="false" outlineLevel="0" collapsed="false">
      <c r="A553" s="0" t="n">
        <v>3030.95442820292</v>
      </c>
    </row>
    <row r="554" customFormat="false" ht="12.8" hidden="false" customHeight="false" outlineLevel="0" collapsed="false">
      <c r="A554" s="0" t="n">
        <v>3035.25365434222</v>
      </c>
    </row>
    <row r="555" customFormat="false" ht="12.8" hidden="false" customHeight="false" outlineLevel="0" collapsed="false">
      <c r="A555" s="0" t="n">
        <v>3039.55288048151</v>
      </c>
    </row>
    <row r="556" customFormat="false" ht="12.8" hidden="false" customHeight="false" outlineLevel="0" collapsed="false">
      <c r="A556" s="0" t="n">
        <v>3043.85210662081</v>
      </c>
    </row>
    <row r="557" customFormat="false" ht="12.8" hidden="false" customHeight="false" outlineLevel="0" collapsed="false">
      <c r="A557" s="0" t="n">
        <v>3048.1513327601</v>
      </c>
    </row>
    <row r="558" customFormat="false" ht="12.8" hidden="false" customHeight="false" outlineLevel="0" collapsed="false">
      <c r="A558" s="0" t="n">
        <v>3052.4505588994</v>
      </c>
    </row>
    <row r="559" customFormat="false" ht="12.8" hidden="false" customHeight="false" outlineLevel="0" collapsed="false">
      <c r="A559" s="0" t="n">
        <v>3056.74978503869</v>
      </c>
    </row>
    <row r="560" customFormat="false" ht="12.8" hidden="false" customHeight="false" outlineLevel="0" collapsed="false">
      <c r="A560" s="0" t="n">
        <v>3061.04901117799</v>
      </c>
    </row>
    <row r="561" customFormat="false" ht="12.8" hidden="false" customHeight="false" outlineLevel="0" collapsed="false">
      <c r="A561" s="0" t="n">
        <v>3065.34823731728</v>
      </c>
    </row>
    <row r="562" customFormat="false" ht="12.8" hidden="false" customHeight="false" outlineLevel="0" collapsed="false">
      <c r="A562" s="0" t="n">
        <v>3069.64746345658</v>
      </c>
    </row>
    <row r="563" customFormat="false" ht="12.8" hidden="false" customHeight="false" outlineLevel="0" collapsed="false">
      <c r="A563" s="0" t="n">
        <v>3073.94668959587</v>
      </c>
    </row>
    <row r="564" customFormat="false" ht="12.8" hidden="false" customHeight="false" outlineLevel="0" collapsed="false">
      <c r="A564" s="0" t="n">
        <v>3078.24591573517</v>
      </c>
    </row>
    <row r="565" customFormat="false" ht="12.8" hidden="false" customHeight="false" outlineLevel="0" collapsed="false">
      <c r="A565" s="0" t="n">
        <v>3082.54514187446</v>
      </c>
    </row>
    <row r="566" customFormat="false" ht="12.8" hidden="false" customHeight="false" outlineLevel="0" collapsed="false">
      <c r="A566" s="0" t="n">
        <v>3086.84436801376</v>
      </c>
    </row>
    <row r="567" customFormat="false" ht="12.8" hidden="false" customHeight="false" outlineLevel="0" collapsed="false">
      <c r="A567" s="0" t="n">
        <v>3091.14359415305</v>
      </c>
    </row>
    <row r="568" customFormat="false" ht="12.8" hidden="false" customHeight="false" outlineLevel="0" collapsed="false">
      <c r="A568" s="0" t="n">
        <v>3095.44282029235</v>
      </c>
    </row>
    <row r="569" customFormat="false" ht="12.8" hidden="false" customHeight="false" outlineLevel="0" collapsed="false">
      <c r="A569" s="0" t="n">
        <v>3099.74204643164</v>
      </c>
    </row>
    <row r="570" customFormat="false" ht="12.8" hidden="false" customHeight="false" outlineLevel="0" collapsed="false">
      <c r="A570" s="0" t="n">
        <v>3104.04127257094</v>
      </c>
    </row>
    <row r="571" customFormat="false" ht="12.8" hidden="false" customHeight="false" outlineLevel="0" collapsed="false">
      <c r="A571" s="0" t="n">
        <v>3108.34049871023</v>
      </c>
    </row>
    <row r="572" customFormat="false" ht="12.8" hidden="false" customHeight="false" outlineLevel="0" collapsed="false">
      <c r="A572" s="0" t="n">
        <v>3112.63972484953</v>
      </c>
    </row>
    <row r="573" customFormat="false" ht="12.8" hidden="false" customHeight="false" outlineLevel="0" collapsed="false">
      <c r="A573" s="0" t="n">
        <v>3116.93895098882</v>
      </c>
    </row>
    <row r="574" customFormat="false" ht="12.8" hidden="false" customHeight="false" outlineLevel="0" collapsed="false">
      <c r="A574" s="0" t="n">
        <v>3121.23817712812</v>
      </c>
    </row>
    <row r="575" customFormat="false" ht="12.8" hidden="false" customHeight="false" outlineLevel="0" collapsed="false">
      <c r="A575" s="0" t="n">
        <v>3125.53740326741</v>
      </c>
    </row>
    <row r="576" customFormat="false" ht="12.8" hidden="false" customHeight="false" outlineLevel="0" collapsed="false">
      <c r="A576" s="0" t="n">
        <v>3129.83662940671</v>
      </c>
    </row>
    <row r="577" customFormat="false" ht="12.8" hidden="false" customHeight="false" outlineLevel="0" collapsed="false">
      <c r="A577" s="0" t="n">
        <v>3134.135855546</v>
      </c>
    </row>
    <row r="578" customFormat="false" ht="12.8" hidden="false" customHeight="false" outlineLevel="0" collapsed="false">
      <c r="A578" s="0" t="n">
        <v>3138.4350816853</v>
      </c>
    </row>
    <row r="579" customFormat="false" ht="12.8" hidden="false" customHeight="false" outlineLevel="0" collapsed="false">
      <c r="A579" s="0" t="n">
        <v>3142.73430782459</v>
      </c>
    </row>
    <row r="580" customFormat="false" ht="12.8" hidden="false" customHeight="false" outlineLevel="0" collapsed="false">
      <c r="A580" s="0" t="n">
        <v>3147.03353396389</v>
      </c>
    </row>
    <row r="581" customFormat="false" ht="12.8" hidden="false" customHeight="false" outlineLevel="0" collapsed="false">
      <c r="A581" s="0" t="n">
        <v>3151.33276010318</v>
      </c>
    </row>
    <row r="582" customFormat="false" ht="12.8" hidden="false" customHeight="false" outlineLevel="0" collapsed="false">
      <c r="A582" s="0" t="n">
        <v>3155.63198624248</v>
      </c>
    </row>
    <row r="583" customFormat="false" ht="12.8" hidden="false" customHeight="false" outlineLevel="0" collapsed="false">
      <c r="A583" s="0" t="n">
        <v>3159.93121238177</v>
      </c>
    </row>
    <row r="584" customFormat="false" ht="12.8" hidden="false" customHeight="false" outlineLevel="0" collapsed="false">
      <c r="A584" s="0" t="n">
        <v>3164.23043852107</v>
      </c>
    </row>
    <row r="585" customFormat="false" ht="12.8" hidden="false" customHeight="false" outlineLevel="0" collapsed="false">
      <c r="A585" s="0" t="n">
        <v>3168.52966466036</v>
      </c>
    </row>
    <row r="586" customFormat="false" ht="12.8" hidden="false" customHeight="false" outlineLevel="0" collapsed="false">
      <c r="A586" s="0" t="n">
        <v>3172.82889079966</v>
      </c>
    </row>
    <row r="587" customFormat="false" ht="12.8" hidden="false" customHeight="false" outlineLevel="0" collapsed="false">
      <c r="A587" s="0" t="n">
        <v>3177.12811693895</v>
      </c>
    </row>
    <row r="588" customFormat="false" ht="12.8" hidden="false" customHeight="false" outlineLevel="0" collapsed="false">
      <c r="A588" s="0" t="n">
        <v>3181.42734307825</v>
      </c>
    </row>
    <row r="589" customFormat="false" ht="12.8" hidden="false" customHeight="false" outlineLevel="0" collapsed="false">
      <c r="A589" s="0" t="n">
        <v>3185.72656921754</v>
      </c>
    </row>
    <row r="590" customFormat="false" ht="12.8" hidden="false" customHeight="false" outlineLevel="0" collapsed="false">
      <c r="A590" s="0" t="n">
        <v>3190.02579535684</v>
      </c>
    </row>
    <row r="591" customFormat="false" ht="12.8" hidden="false" customHeight="false" outlineLevel="0" collapsed="false">
      <c r="A591" s="0" t="n">
        <v>3194.32502149613</v>
      </c>
    </row>
    <row r="592" customFormat="false" ht="12.8" hidden="false" customHeight="false" outlineLevel="0" collapsed="false">
      <c r="A592" s="0" t="n">
        <v>3198.62424763543</v>
      </c>
    </row>
    <row r="593" customFormat="false" ht="12.8" hidden="false" customHeight="false" outlineLevel="0" collapsed="false">
      <c r="A593" s="0" t="n">
        <v>3202.92347377472</v>
      </c>
    </row>
    <row r="594" customFormat="false" ht="12.8" hidden="false" customHeight="false" outlineLevel="0" collapsed="false">
      <c r="A594" s="0" t="n">
        <v>3207.22269991402</v>
      </c>
    </row>
    <row r="595" customFormat="false" ht="12.8" hidden="false" customHeight="false" outlineLevel="0" collapsed="false">
      <c r="A595" s="0" t="n">
        <v>3211.52192605331</v>
      </c>
    </row>
    <row r="596" customFormat="false" ht="12.8" hidden="false" customHeight="false" outlineLevel="0" collapsed="false">
      <c r="A596" s="0" t="n">
        <v>3215.82115219261</v>
      </c>
    </row>
    <row r="597" customFormat="false" ht="12.8" hidden="false" customHeight="false" outlineLevel="0" collapsed="false">
      <c r="A597" s="0" t="n">
        <v>3220.1203783319</v>
      </c>
    </row>
    <row r="598" customFormat="false" ht="12.8" hidden="false" customHeight="false" outlineLevel="0" collapsed="false">
      <c r="A598" s="0" t="n">
        <v>3224.4196044712</v>
      </c>
    </row>
    <row r="599" customFormat="false" ht="12.8" hidden="false" customHeight="false" outlineLevel="0" collapsed="false">
      <c r="A599" s="0" t="n">
        <v>3228.71883061049</v>
      </c>
    </row>
    <row r="600" customFormat="false" ht="12.8" hidden="false" customHeight="false" outlineLevel="0" collapsed="false">
      <c r="A600" s="0" t="n">
        <v>3233.01805674979</v>
      </c>
    </row>
    <row r="601" customFormat="false" ht="12.8" hidden="false" customHeight="false" outlineLevel="0" collapsed="false">
      <c r="A601" s="0" t="n">
        <v>3237.31728288908</v>
      </c>
    </row>
    <row r="602" customFormat="false" ht="12.8" hidden="false" customHeight="false" outlineLevel="0" collapsed="false">
      <c r="A602" s="0" t="n">
        <v>3241.61650902837</v>
      </c>
    </row>
    <row r="603" customFormat="false" ht="12.8" hidden="false" customHeight="false" outlineLevel="0" collapsed="false">
      <c r="A603" s="0" t="n">
        <v>3245.91573516767</v>
      </c>
    </row>
    <row r="604" customFormat="false" ht="12.8" hidden="false" customHeight="false" outlineLevel="0" collapsed="false">
      <c r="A604" s="0" t="n">
        <v>3250.21496130696</v>
      </c>
    </row>
    <row r="605" customFormat="false" ht="12.8" hidden="false" customHeight="false" outlineLevel="0" collapsed="false">
      <c r="A605" s="0" t="n">
        <v>3254.51418744626</v>
      </c>
    </row>
    <row r="606" customFormat="false" ht="12.8" hidden="false" customHeight="false" outlineLevel="0" collapsed="false">
      <c r="A606" s="0" t="n">
        <v>3258.81341358555</v>
      </c>
    </row>
    <row r="607" customFormat="false" ht="12.8" hidden="false" customHeight="false" outlineLevel="0" collapsed="false">
      <c r="A607" s="0" t="n">
        <v>3263.11263972485</v>
      </c>
    </row>
    <row r="608" customFormat="false" ht="12.8" hidden="false" customHeight="false" outlineLevel="0" collapsed="false">
      <c r="A608" s="0" t="n">
        <v>3267.41186586414</v>
      </c>
    </row>
    <row r="609" customFormat="false" ht="12.8" hidden="false" customHeight="false" outlineLevel="0" collapsed="false">
      <c r="A609" s="0" t="n">
        <v>3271.71109200344</v>
      </c>
    </row>
    <row r="610" customFormat="false" ht="12.8" hidden="false" customHeight="false" outlineLevel="0" collapsed="false">
      <c r="A610" s="0" t="n">
        <v>3276.01031814273</v>
      </c>
    </row>
    <row r="611" customFormat="false" ht="12.8" hidden="false" customHeight="false" outlineLevel="0" collapsed="false">
      <c r="A611" s="0" t="n">
        <v>3280.30954428203</v>
      </c>
    </row>
    <row r="612" customFormat="false" ht="12.8" hidden="false" customHeight="false" outlineLevel="0" collapsed="false">
      <c r="A612" s="0" t="n">
        <v>3284.60877042132</v>
      </c>
    </row>
    <row r="613" customFormat="false" ht="12.8" hidden="false" customHeight="false" outlineLevel="0" collapsed="false">
      <c r="A613" s="0" t="n">
        <v>3288.90799656062</v>
      </c>
    </row>
    <row r="614" customFormat="false" ht="12.8" hidden="false" customHeight="false" outlineLevel="0" collapsed="false">
      <c r="A614" s="0" t="n">
        <v>3293.20722269991</v>
      </c>
    </row>
    <row r="615" customFormat="false" ht="12.8" hidden="false" customHeight="false" outlineLevel="0" collapsed="false">
      <c r="A615" s="0" t="n">
        <v>3297.50644883921</v>
      </c>
    </row>
    <row r="616" customFormat="false" ht="12.8" hidden="false" customHeight="false" outlineLevel="0" collapsed="false">
      <c r="A616" s="0" t="n">
        <v>3301.8056749785</v>
      </c>
    </row>
    <row r="617" customFormat="false" ht="12.8" hidden="false" customHeight="false" outlineLevel="0" collapsed="false">
      <c r="A617" s="0" t="n">
        <v>3306.1049011178</v>
      </c>
    </row>
    <row r="618" customFormat="false" ht="12.8" hidden="false" customHeight="false" outlineLevel="0" collapsed="false">
      <c r="A618" s="0" t="n">
        <v>3310.40412725709</v>
      </c>
    </row>
    <row r="619" customFormat="false" ht="12.8" hidden="false" customHeight="false" outlineLevel="0" collapsed="false">
      <c r="A619" s="0" t="n">
        <v>3314.70335339639</v>
      </c>
    </row>
    <row r="620" customFormat="false" ht="12.8" hidden="false" customHeight="false" outlineLevel="0" collapsed="false">
      <c r="A620" s="0" t="n">
        <v>3319.00257953568</v>
      </c>
    </row>
    <row r="621" customFormat="false" ht="12.8" hidden="false" customHeight="false" outlineLevel="0" collapsed="false">
      <c r="A621" s="0" t="n">
        <v>3323.30180567498</v>
      </c>
    </row>
    <row r="622" customFormat="false" ht="12.8" hidden="false" customHeight="false" outlineLevel="0" collapsed="false">
      <c r="A622" s="0" t="n">
        <v>3327.60103181427</v>
      </c>
    </row>
    <row r="623" customFormat="false" ht="12.8" hidden="false" customHeight="false" outlineLevel="0" collapsed="false">
      <c r="A623" s="0" t="n">
        <v>3331.90025795357</v>
      </c>
    </row>
    <row r="624" customFormat="false" ht="12.8" hidden="false" customHeight="false" outlineLevel="0" collapsed="false">
      <c r="A624" s="0" t="n">
        <v>3336.19948409286</v>
      </c>
    </row>
    <row r="625" customFormat="false" ht="12.8" hidden="false" customHeight="false" outlineLevel="0" collapsed="false">
      <c r="A625" s="0" t="n">
        <v>3340.49871023216</v>
      </c>
    </row>
    <row r="626" customFormat="false" ht="12.8" hidden="false" customHeight="false" outlineLevel="0" collapsed="false">
      <c r="A626" s="0" t="n">
        <v>3344.79793637145</v>
      </c>
    </row>
    <row r="627" customFormat="false" ht="12.8" hidden="false" customHeight="false" outlineLevel="0" collapsed="false">
      <c r="A627" s="0" t="n">
        <v>3349.09716251075</v>
      </c>
    </row>
    <row r="628" customFormat="false" ht="12.8" hidden="false" customHeight="false" outlineLevel="0" collapsed="false">
      <c r="A628" s="0" t="n">
        <v>3353.39638865004</v>
      </c>
    </row>
    <row r="629" customFormat="false" ht="12.8" hidden="false" customHeight="false" outlineLevel="0" collapsed="false">
      <c r="A629" s="0" t="n">
        <v>3357.69561478934</v>
      </c>
    </row>
    <row r="630" customFormat="false" ht="12.8" hidden="false" customHeight="false" outlineLevel="0" collapsed="false">
      <c r="A630" s="0" t="n">
        <v>3361.99484092863</v>
      </c>
    </row>
    <row r="631" customFormat="false" ht="12.8" hidden="false" customHeight="false" outlineLevel="0" collapsed="false">
      <c r="A631" s="0" t="n">
        <v>3366.29406706793</v>
      </c>
    </row>
    <row r="632" customFormat="false" ht="12.8" hidden="false" customHeight="false" outlineLevel="0" collapsed="false">
      <c r="A632" s="0" t="n">
        <v>3370.59329320722</v>
      </c>
    </row>
    <row r="633" customFormat="false" ht="12.8" hidden="false" customHeight="false" outlineLevel="0" collapsed="false">
      <c r="A633" s="0" t="n">
        <v>3374.89251934652</v>
      </c>
    </row>
    <row r="634" customFormat="false" ht="12.8" hidden="false" customHeight="false" outlineLevel="0" collapsed="false">
      <c r="A634" s="0" t="n">
        <v>3379.19174548581</v>
      </c>
    </row>
    <row r="635" customFormat="false" ht="12.8" hidden="false" customHeight="false" outlineLevel="0" collapsed="false">
      <c r="A635" s="0" t="n">
        <v>3383.49097162511</v>
      </c>
    </row>
    <row r="636" customFormat="false" ht="12.8" hidden="false" customHeight="false" outlineLevel="0" collapsed="false">
      <c r="A636" s="0" t="n">
        <v>3387.7901977644</v>
      </c>
    </row>
    <row r="637" customFormat="false" ht="12.8" hidden="false" customHeight="false" outlineLevel="0" collapsed="false">
      <c r="A637" s="0" t="n">
        <v>3392.0894239037</v>
      </c>
    </row>
    <row r="638" customFormat="false" ht="12.8" hidden="false" customHeight="false" outlineLevel="0" collapsed="false">
      <c r="A638" s="0" t="n">
        <v>3396.38865004299</v>
      </c>
    </row>
    <row r="639" customFormat="false" ht="12.8" hidden="false" customHeight="false" outlineLevel="0" collapsed="false">
      <c r="A639" s="0" t="n">
        <v>3400.68787618229</v>
      </c>
    </row>
    <row r="640" customFormat="false" ht="12.8" hidden="false" customHeight="false" outlineLevel="0" collapsed="false">
      <c r="A640" s="0" t="n">
        <v>3404.98710232158</v>
      </c>
    </row>
    <row r="641" customFormat="false" ht="12.8" hidden="false" customHeight="false" outlineLevel="0" collapsed="false">
      <c r="A641" s="0" t="n">
        <v>3409.28632846088</v>
      </c>
    </row>
    <row r="642" customFormat="false" ht="12.8" hidden="false" customHeight="false" outlineLevel="0" collapsed="false">
      <c r="A642" s="0" t="n">
        <v>3413.58555460017</v>
      </c>
    </row>
    <row r="643" customFormat="false" ht="12.8" hidden="false" customHeight="false" outlineLevel="0" collapsed="false">
      <c r="A643" s="0" t="n">
        <v>3417.88478073947</v>
      </c>
    </row>
    <row r="644" customFormat="false" ht="12.8" hidden="false" customHeight="false" outlineLevel="0" collapsed="false">
      <c r="A644" s="0" t="n">
        <v>3422.18400687876</v>
      </c>
    </row>
    <row r="645" customFormat="false" ht="12.8" hidden="false" customHeight="false" outlineLevel="0" collapsed="false">
      <c r="A645" s="0" t="n">
        <v>3426.48323301806</v>
      </c>
    </row>
    <row r="646" customFormat="false" ht="12.8" hidden="false" customHeight="false" outlineLevel="0" collapsed="false">
      <c r="A646" s="0" t="n">
        <v>3430.78245915735</v>
      </c>
    </row>
    <row r="647" customFormat="false" ht="12.8" hidden="false" customHeight="false" outlineLevel="0" collapsed="false">
      <c r="A647" s="0" t="n">
        <v>3435.08168529665</v>
      </c>
    </row>
    <row r="648" customFormat="false" ht="12.8" hidden="false" customHeight="false" outlineLevel="0" collapsed="false">
      <c r="A648" s="0" t="n">
        <v>3439.38091143594</v>
      </c>
    </row>
    <row r="649" customFormat="false" ht="12.8" hidden="false" customHeight="false" outlineLevel="0" collapsed="false">
      <c r="A649" s="0" t="n">
        <v>3869.30352536543</v>
      </c>
    </row>
    <row r="650" customFormat="false" ht="12.8" hidden="false" customHeight="false" outlineLevel="0" collapsed="false">
      <c r="A650" s="0" t="n">
        <v>4299.22613929493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4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40" activeCellId="0" sqref="B40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A1" s="0" t="s">
        <v>254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2.8" hidden="false" customHeight="false" outlineLevel="0" collapsed="false">
      <c r="A2" s="0" t="s">
        <v>248</v>
      </c>
      <c r="B2" s="0" t="n">
        <v>0.0887133475876132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2.8" hidden="false" customHeight="false" outlineLevel="0" collapsed="false">
      <c r="A3" s="0" t="n">
        <v>32</v>
      </c>
      <c r="B3" s="0" t="n">
        <f aca="false">MY_PT(B$2,$A3)</f>
        <v>2015</v>
      </c>
      <c r="C3" s="0" t="n">
        <f aca="false">MY_PT(C$2,$A3)</f>
        <v>2015</v>
      </c>
      <c r="D3" s="0" t="n">
        <f aca="false">MY_PT(D$2,$A3)</f>
        <v>2015</v>
      </c>
      <c r="E3" s="0" t="n">
        <f aca="false">MY_PT(E$2,$A3)</f>
        <v>2015</v>
      </c>
      <c r="F3" s="0" t="n">
        <f aca="false">MY_PT(F$2,$A3)</f>
        <v>2015</v>
      </c>
      <c r="G3" s="0" t="n">
        <f aca="false">MY_PT(G$2,$A3)</f>
        <v>2015</v>
      </c>
      <c r="H3" s="0" t="n">
        <f aca="false">MY_PT(H$2,$A3)</f>
        <v>2015</v>
      </c>
      <c r="I3" s="0" t="n">
        <f aca="false">MY_PT(I$2,$A3)</f>
        <v>2015</v>
      </c>
      <c r="J3" s="0" t="n">
        <f aca="false">MY_PT(J$2,$A3)</f>
        <v>2015</v>
      </c>
      <c r="K3" s="0" t="n">
        <f aca="false">MY_PT(K$2,$A3)</f>
        <v>2015</v>
      </c>
      <c r="L3" s="0" t="n">
        <f aca="false">MY_PT(L$2,$A3)</f>
        <v>2015</v>
      </c>
      <c r="M3" s="0" t="n">
        <f aca="false">MY_PT(M$2,$A3)</f>
        <v>2015</v>
      </c>
      <c r="N3" s="0" t="n">
        <f aca="false">MY_PT(N$2,$A3)</f>
        <v>2015</v>
      </c>
      <c r="O3" s="0" t="n">
        <f aca="false">MY_PT(O$2,$A3)</f>
        <v>2015</v>
      </c>
      <c r="P3" s="0" t="n">
        <f aca="false">MY_PT(P$2,$A3)</f>
        <v>2015</v>
      </c>
      <c r="Q3" s="0" t="n">
        <f aca="false">MY_PT(Q$2,$A3)</f>
        <v>2015</v>
      </c>
      <c r="R3" s="0" t="n">
        <f aca="false">MY_PT(R$2,$A3)</f>
        <v>2015</v>
      </c>
      <c r="S3" s="0" t="n">
        <f aca="false">MY_PT(S$2,$A3)</f>
        <v>2015</v>
      </c>
      <c r="T3" s="0" t="n">
        <f aca="false">MY_PT(T$2,$A3)</f>
        <v>2015</v>
      </c>
      <c r="U3" s="0" t="n">
        <f aca="false">MY_PT(U$2,$A3)</f>
        <v>2015</v>
      </c>
      <c r="V3" s="0" t="n">
        <f aca="false">MY_PT(V$2,$A3)</f>
        <v>2015</v>
      </c>
      <c r="W3" s="0" t="n">
        <f aca="false">MY_PT(W$2,$A3)</f>
        <v>2015</v>
      </c>
      <c r="X3" s="0" t="n">
        <f aca="false">MY_PT(X$2,$A3)</f>
        <v>2015</v>
      </c>
      <c r="Y3" s="0" t="n">
        <f aca="false">MY_PT(Y$2,$A3)</f>
        <v>2015</v>
      </c>
      <c r="Z3" s="0" t="n">
        <f aca="false">MY_PT(Z$2,$A3)</f>
        <v>2015</v>
      </c>
      <c r="AA3" s="0" t="n">
        <f aca="false">MY_PT(AA$2,$A3)</f>
        <v>2015</v>
      </c>
      <c r="AB3" s="0" t="n">
        <f aca="false">MY_PT(AB$2,$A3)</f>
        <v>2015</v>
      </c>
      <c r="AC3" s="0" t="n">
        <f aca="false">MY_PT(AC$2,$A3)</f>
        <v>2015</v>
      </c>
      <c r="AD3" s="0" t="n">
        <f aca="false">MY_PT(AD$2,$A3)</f>
        <v>2015</v>
      </c>
      <c r="AE3" s="0" t="n">
        <f aca="false">MY_PT(AE$2,$A3)</f>
        <v>2015</v>
      </c>
      <c r="AF3" s="0" t="n">
        <f aca="false">MY_PT(AF$2,$A3)</f>
        <v>2015</v>
      </c>
      <c r="AG3" s="0" t="n">
        <f aca="false">MY_PT(AG$2,$A3)</f>
        <v>2015</v>
      </c>
      <c r="AH3" s="0" t="n">
        <f aca="false">MY_PT(AH$2,$A3)</f>
        <v>2015</v>
      </c>
      <c r="AI3" s="0" t="n">
        <f aca="false">MY_PT(AI$2,$A3)</f>
        <v>2015</v>
      </c>
      <c r="AJ3" s="0" t="n">
        <f aca="false">MY_PT(AJ$2,$A3)</f>
        <v>2015</v>
      </c>
      <c r="AK3" s="0" t="n">
        <f aca="false">MY_PT(AK$2,$A3)</f>
        <v>2015</v>
      </c>
      <c r="AL3" s="0" t="n">
        <f aca="false">MY_PT(AL$2,$A3)</f>
        <v>2015</v>
      </c>
      <c r="AM3" s="0" t="n">
        <f aca="false">MY_PT(AM$2,$A3)</f>
        <v>2015</v>
      </c>
      <c r="AN3" s="0" t="n">
        <f aca="false">MY_PT(AN$2,$A3)</f>
        <v>2015</v>
      </c>
      <c r="AO3" s="0" t="n">
        <f aca="false">MY_PT(AO$2,$A3)</f>
        <v>2015</v>
      </c>
      <c r="AP3" s="0" t="n">
        <f aca="false">MY_PT(AP$2,$A3)</f>
        <v>2015</v>
      </c>
      <c r="AQ3" s="0" t="n">
        <f aca="false">MY_PT(AQ$2,$A3)</f>
        <v>2015</v>
      </c>
      <c r="AR3" s="0" t="n">
        <f aca="false">MY_PT(AR$2,$A3)</f>
        <v>2015</v>
      </c>
      <c r="AS3" s="0" t="n">
        <f aca="false">MY_PT(AS$2,$A3)</f>
        <v>2015</v>
      </c>
    </row>
    <row r="4" customFormat="false" ht="12.8" hidden="false" customHeight="false" outlineLevel="0" collapsed="false">
      <c r="A4" s="0" t="n">
        <v>32.18</v>
      </c>
      <c r="B4" s="0" t="n">
        <f aca="false">MY_PT(B$2,$A4)</f>
        <v>2015</v>
      </c>
      <c r="C4" s="0" t="n">
        <f aca="false">MY_PT(C$2,$A4)</f>
        <v>4.31942832822006</v>
      </c>
      <c r="D4" s="0" t="n">
        <f aca="false">MY_PT(D$2,$A4)</f>
        <v>4.3194277232201</v>
      </c>
      <c r="E4" s="0" t="n">
        <f aca="false">MY_PT(E$2,$A4)</f>
        <v>4.3194271182208</v>
      </c>
      <c r="F4" s="0" t="n">
        <f aca="false">MY_PT(F$2,$A4)</f>
        <v>4.31942651322217</v>
      </c>
      <c r="G4" s="0" t="n">
        <f aca="false">MY_PT(G$2,$A4)</f>
        <v>4.31942046327135</v>
      </c>
      <c r="H4" s="0" t="n">
        <f aca="false">MY_PT(H$2,$A4)</f>
        <v>4.3194144133857</v>
      </c>
      <c r="I4" s="0" t="n">
        <f aca="false">MY_PT(I$2,$A4)</f>
        <v>4.31940836356521</v>
      </c>
      <c r="J4" s="0" t="n">
        <f aca="false">MY_PT(J$2,$A4)</f>
        <v>4.31940231380982</v>
      </c>
      <c r="K4" s="0" t="n">
        <f aca="false">MY_PT(K$2,$A4)</f>
        <v>4.31939626411954</v>
      </c>
      <c r="L4" s="0" t="n">
        <f aca="false">MY_PT(L$2,$A4)</f>
        <v>4.3193902144944</v>
      </c>
      <c r="M4" s="0" t="n">
        <f aca="false">MY_PT(M$2,$A4)</f>
        <v>4.31938416493439</v>
      </c>
      <c r="N4" s="0" t="n">
        <f aca="false">MY_PT(N$2,$A4)</f>
        <v>4.31937811543949</v>
      </c>
      <c r="O4" s="0" t="n">
        <f aca="false">MY_PT(O$2,$A4)</f>
        <v>4.31937206600969</v>
      </c>
      <c r="P4" s="0" t="n">
        <f aca="false">MY_PT(P$2,$A4)</f>
        <v>4.3193115752941</v>
      </c>
      <c r="Q4" s="0" t="n">
        <f aca="false">MY_PT(Q$2,$A4)</f>
        <v>4.31925109109087</v>
      </c>
      <c r="R4" s="0" t="n">
        <f aca="false">MY_PT(R$2,$A4)</f>
        <v>4.31919061339962</v>
      </c>
      <c r="S4" s="0" t="n">
        <f aca="false">MY_PT(S$2,$A4)</f>
        <v>4.31913014221996</v>
      </c>
      <c r="T4" s="0" t="n">
        <f aca="false">MY_PT(T$2,$A4)</f>
        <v>4.31906967755163</v>
      </c>
      <c r="U4" s="0" t="n">
        <f aca="false">MY_PT(U$2,$A4)</f>
        <v>4.3190092193941</v>
      </c>
      <c r="V4" s="0" t="n">
        <f aca="false">MY_PT(V$2,$A4)</f>
        <v>4.31894876774703</v>
      </c>
      <c r="W4" s="0" t="n">
        <f aca="false">MY_PT(W$2,$A4)</f>
        <v>4.31888832261017</v>
      </c>
      <c r="X4" s="0" t="n">
        <f aca="false">MY_PT(X$2,$A4)</f>
        <v>4.31882788398305</v>
      </c>
      <c r="Y4" s="0" t="n">
        <f aca="false">MY_PT(Y$2,$A4)</f>
        <v>4.31822385566683</v>
      </c>
      <c r="Z4" s="0" t="n">
        <f aca="false">MY_PT(Z$2,$A4)</f>
        <v>4.31762047791738</v>
      </c>
      <c r="AA4" s="0" t="n">
        <f aca="false">MY_PT(AA$2,$A4)</f>
        <v>4.31701775036306</v>
      </c>
      <c r="AB4" s="0" t="n">
        <f aca="false">MY_PT(AB$2,$A4)</f>
        <v>4.31641567263222</v>
      </c>
      <c r="AC4" s="0" t="n">
        <f aca="false">MY_PT(AC$2,$A4)</f>
        <v>4.31581424435329</v>
      </c>
      <c r="AD4" s="0" t="n">
        <f aca="false">MY_PT(AD$2,$A4)</f>
        <v>4.31521346515479</v>
      </c>
      <c r="AE4" s="0" t="n">
        <f aca="false">MY_PT(AE$2,$A4)</f>
        <v>4.31461333466563</v>
      </c>
      <c r="AF4" s="0" t="n">
        <f aca="false">MY_PT(AF$2,$A4)</f>
        <v>4.31401385251453</v>
      </c>
      <c r="AG4" s="0" t="n">
        <f aca="false">MY_PT(AG$2,$A4)</f>
        <v>4.31341501833043</v>
      </c>
      <c r="AH4" s="0" t="n">
        <f aca="false">MY_PT(AH$2,$A4)</f>
        <v>4.307462233138</v>
      </c>
      <c r="AI4" s="0" t="n">
        <f aca="false">MY_PT(AI$2,$A4)</f>
        <v>4.30157383743154</v>
      </c>
      <c r="AJ4" s="0" t="n">
        <f aca="false">MY_PT(AJ$2,$A4)</f>
        <v>4.29574946223152</v>
      </c>
      <c r="AK4" s="0" t="n">
        <f aca="false">MY_PT(AK$2,$A4)</f>
        <v>4.28998873982633</v>
      </c>
      <c r="AL4" s="0" t="n">
        <f aca="false">MY_PT(AL$2,$A4)</f>
        <v>4.28429130378999</v>
      </c>
      <c r="AM4" s="0" t="n">
        <f aca="false">MY_PT(AM$2,$A4)</f>
        <v>4.27865678899914</v>
      </c>
      <c r="AN4" s="0" t="n">
        <f aca="false">MY_PT(AN$2,$A4)</f>
        <v>4.27308483164985</v>
      </c>
      <c r="AO4" s="0" t="n">
        <f aca="false">MY_PT(AO$2,$A4)</f>
        <v>4.26757506927399</v>
      </c>
      <c r="AP4" s="0" t="n">
        <f aca="false">MY_PT(AP$2,$A4)</f>
        <v>4.26212714075508</v>
      </c>
      <c r="AQ4" s="0" t="n">
        <f aca="false">MY_PT(AQ$2,$A4)</f>
        <v>4.21097026813677</v>
      </c>
      <c r="AR4" s="0" t="n">
        <f aca="false">MY_PT(AR$2,$A4)</f>
        <v>4.20114479650883</v>
      </c>
      <c r="AS4" s="0" t="n">
        <f aca="false">MY_PT(AS$2,$A4)</f>
        <v>4.1979203917747</v>
      </c>
    </row>
    <row r="5" customFormat="false" ht="12.8" hidden="false" customHeight="false" outlineLevel="0" collapsed="false">
      <c r="A5" s="0" t="n">
        <v>32.36</v>
      </c>
      <c r="B5" s="0" t="n">
        <f aca="false">MY_PT(B$2,$A5)</f>
        <v>2015</v>
      </c>
      <c r="C5" s="0" t="n">
        <f aca="false">MY_PT(C$2,$A5)</f>
        <v>4.3044627780265</v>
      </c>
      <c r="D5" s="0" t="n">
        <f aca="false">MY_PT(D$2,$A5)</f>
        <v>4.30446217802822</v>
      </c>
      <c r="E5" s="0" t="n">
        <f aca="false">MY_PT(E$2,$A5)</f>
        <v>4.30446157803058</v>
      </c>
      <c r="F5" s="0" t="n">
        <f aca="false">MY_PT(F$2,$A5)</f>
        <v>4.30446097803354</v>
      </c>
      <c r="G5" s="0" t="n">
        <f aca="false">MY_PT(G$2,$A5)</f>
        <v>4.30445497809884</v>
      </c>
      <c r="H5" s="0" t="n">
        <f aca="false">MY_PT(H$2,$A5)</f>
        <v>4.3044489782289</v>
      </c>
      <c r="I5" s="0" t="n">
        <f aca="false">MY_PT(I$2,$A5)</f>
        <v>4.30444297842349</v>
      </c>
      <c r="J5" s="0" t="n">
        <f aca="false">MY_PT(J$2,$A5)</f>
        <v>4.30443697868265</v>
      </c>
      <c r="K5" s="0" t="n">
        <f aca="false">MY_PT(K$2,$A5)</f>
        <v>4.30443097900653</v>
      </c>
      <c r="L5" s="0" t="n">
        <f aca="false">MY_PT(L$2,$A5)</f>
        <v>4.30442497939498</v>
      </c>
      <c r="M5" s="0" t="n">
        <f aca="false">MY_PT(M$2,$A5)</f>
        <v>4.30441897984811</v>
      </c>
      <c r="N5" s="0" t="n">
        <f aca="false">MY_PT(N$2,$A5)</f>
        <v>4.30441298036582</v>
      </c>
      <c r="O5" s="0" t="n">
        <f aca="false">MY_PT(O$2,$A5)</f>
        <v>4.30440698094814</v>
      </c>
      <c r="P5" s="0" t="n">
        <f aca="false">MY_PT(P$2,$A5)</f>
        <v>4.30434699032554</v>
      </c>
      <c r="Q5" s="0" t="n">
        <f aca="false">MY_PT(Q$2,$A5)</f>
        <v>4.30428700616451</v>
      </c>
      <c r="R5" s="0" t="n">
        <f aca="false">MY_PT(R$2,$A5)</f>
        <v>4.30422702846473</v>
      </c>
      <c r="S5" s="0" t="n">
        <f aca="false">MY_PT(S$2,$A5)</f>
        <v>4.30416705722593</v>
      </c>
      <c r="T5" s="0" t="n">
        <f aca="false">MY_PT(T$2,$A5)</f>
        <v>4.30410709244759</v>
      </c>
      <c r="U5" s="0" t="n">
        <f aca="false">MY_PT(U$2,$A5)</f>
        <v>4.30404713412939</v>
      </c>
      <c r="V5" s="0" t="n">
        <f aca="false">MY_PT(V$2,$A5)</f>
        <v>4.30398718227104</v>
      </c>
      <c r="W5" s="0" t="n">
        <f aca="false">MY_PT(W$2,$A5)</f>
        <v>4.30392723687209</v>
      </c>
      <c r="X5" s="0" t="n">
        <f aca="false">MY_PT(X$2,$A5)</f>
        <v>4.30386729793216</v>
      </c>
      <c r="Y5" s="0" t="n">
        <f aca="false">MY_PT(Y$2,$A5)</f>
        <v>4.30326826370003</v>
      </c>
      <c r="Z5" s="0" t="n">
        <f aca="false">MY_PT(Z$2,$A5)</f>
        <v>4.30266987496824</v>
      </c>
      <c r="AA5" s="0" t="n">
        <f aca="false">MY_PT(AA$2,$A5)</f>
        <v>4.30207213136888</v>
      </c>
      <c r="AB5" s="0" t="n">
        <f aca="false">MY_PT(AB$2,$A5)</f>
        <v>4.30147503253382</v>
      </c>
      <c r="AC5" s="0" t="n">
        <f aca="false">MY_PT(AC$2,$A5)</f>
        <v>4.30087857809539</v>
      </c>
      <c r="AD5" s="0" t="n">
        <f aca="false">MY_PT(AD$2,$A5)</f>
        <v>4.30028276768587</v>
      </c>
      <c r="AE5" s="0" t="n">
        <f aca="false">MY_PT(AE$2,$A5)</f>
        <v>4.2996876009378</v>
      </c>
      <c r="AF5" s="0" t="n">
        <f aca="false">MY_PT(AF$2,$A5)</f>
        <v>4.29909307748365</v>
      </c>
      <c r="AG5" s="0" t="n">
        <f aca="false">MY_PT(AG$2,$A5)</f>
        <v>4.29849919695623</v>
      </c>
      <c r="AH5" s="0" t="n">
        <f aca="false">MY_PT(AH$2,$A5)</f>
        <v>4.29259567192611</v>
      </c>
      <c r="AI5" s="0" t="n">
        <f aca="false">MY_PT(AI$2,$A5)</f>
        <v>4.28675603642562</v>
      </c>
      <c r="AJ5" s="0" t="n">
        <f aca="false">MY_PT(AJ$2,$A5)</f>
        <v>4.28097992516816</v>
      </c>
      <c r="AK5" s="0" t="n">
        <f aca="false">MY_PT(AK$2,$A5)</f>
        <v>4.27526697411606</v>
      </c>
      <c r="AL5" s="0" t="n">
        <f aca="false">MY_PT(AL$2,$A5)</f>
        <v>4.26961682049734</v>
      </c>
      <c r="AM5" s="0" t="n">
        <f aca="false">MY_PT(AM$2,$A5)</f>
        <v>4.26402910282328</v>
      </c>
      <c r="AN5" s="0" t="n">
        <f aca="false">MY_PT(AN$2,$A5)</f>
        <v>4.25850346090478</v>
      </c>
      <c r="AO5" s="0" t="n">
        <f aca="false">MY_PT(AO$2,$A5)</f>
        <v>4.25303953586861</v>
      </c>
      <c r="AP5" s="0" t="n">
        <f aca="false">MY_PT(AP$2,$A5)</f>
        <v>4.24763697017294</v>
      </c>
      <c r="AQ5" s="0" t="n">
        <f aca="false">MY_PT(AQ$2,$A5)</f>
        <v>4.19690839928324</v>
      </c>
      <c r="AR5" s="0" t="n">
        <f aca="false">MY_PT(AR$2,$A5)</f>
        <v>4.18716577994662</v>
      </c>
      <c r="AS5" s="0" t="n">
        <f aca="false">MY_PT(AS$2,$A5)</f>
        <v>4.18396861476085</v>
      </c>
    </row>
    <row r="6" customFormat="false" ht="12.8" hidden="false" customHeight="false" outlineLevel="0" collapsed="false">
      <c r="A6" s="0" t="n">
        <v>32.54</v>
      </c>
      <c r="B6" s="0" t="n">
        <f aca="false">MY_PT(B$2,$A6)</f>
        <v>0.0223114252971301</v>
      </c>
      <c r="C6" s="0" t="n">
        <f aca="false">MY_PT(C$2,$A6)</f>
        <v>4.28957969462824</v>
      </c>
      <c r="D6" s="0" t="n">
        <f aca="false">MY_PT(D$2,$A6)</f>
        <v>4.28957909958896</v>
      </c>
      <c r="E6" s="0" t="n">
        <f aca="false">MY_PT(E$2,$A6)</f>
        <v>4.28957850455031</v>
      </c>
      <c r="F6" s="0" t="n">
        <f aca="false">MY_PT(F$2,$A6)</f>
        <v>4.28957790951222</v>
      </c>
      <c r="G6" s="0" t="n">
        <f aca="false">MY_PT(G$2,$A6)</f>
        <v>4.28957195916722</v>
      </c>
      <c r="H6" s="0" t="n">
        <f aca="false">MY_PT(H$2,$A6)</f>
        <v>4.28956600888638</v>
      </c>
      <c r="I6" s="0" t="n">
        <f aca="false">MY_PT(I$2,$A6)</f>
        <v>4.28956005866956</v>
      </c>
      <c r="J6" s="0" t="n">
        <f aca="false">MY_PT(J$2,$A6)</f>
        <v>4.28955410851692</v>
      </c>
      <c r="K6" s="0" t="n">
        <f aca="false">MY_PT(K$2,$A6)</f>
        <v>4.28954815842843</v>
      </c>
      <c r="L6" s="0" t="n">
        <f aca="false">MY_PT(L$2,$A6)</f>
        <v>4.28954220840396</v>
      </c>
      <c r="M6" s="0" t="n">
        <f aca="false">MY_PT(M$2,$A6)</f>
        <v>4.28953625844368</v>
      </c>
      <c r="N6" s="0" t="n">
        <f aca="false">MY_PT(N$2,$A6)</f>
        <v>4.28953030854754</v>
      </c>
      <c r="O6" s="0" t="n">
        <f aca="false">MY_PT(O$2,$A6)</f>
        <v>4.28952435871545</v>
      </c>
      <c r="P6" s="0" t="n">
        <f aca="false">MY_PT(P$2,$A6)</f>
        <v>4.28946486392131</v>
      </c>
      <c r="Q6" s="0" t="n">
        <f aca="false">MY_PT(Q$2,$A6)</f>
        <v>4.2894053755386</v>
      </c>
      <c r="R6" s="0" t="n">
        <f aca="false">MY_PT(R$2,$A6)</f>
        <v>4.28934589356689</v>
      </c>
      <c r="S6" s="0" t="n">
        <f aca="false">MY_PT(S$2,$A6)</f>
        <v>4.28928641800581</v>
      </c>
      <c r="T6" s="0" t="n">
        <f aca="false">MY_PT(T$2,$A6)</f>
        <v>4.289226948855</v>
      </c>
      <c r="U6" s="0" t="n">
        <f aca="false">MY_PT(U$2,$A6)</f>
        <v>4.28916748611412</v>
      </c>
      <c r="V6" s="0" t="n">
        <f aca="false">MY_PT(V$2,$A6)</f>
        <v>4.28910802978277</v>
      </c>
      <c r="W6" s="0" t="n">
        <f aca="false">MY_PT(W$2,$A6)</f>
        <v>4.28904857986061</v>
      </c>
      <c r="X6" s="0" t="n">
        <f aca="false">MY_PT(X$2,$A6)</f>
        <v>4.28898913634727</v>
      </c>
      <c r="Y6" s="0" t="n">
        <f aca="false">MY_PT(Y$2,$A6)</f>
        <v>4.28839505361934</v>
      </c>
      <c r="Z6" s="0" t="n">
        <f aca="false">MY_PT(Z$2,$A6)</f>
        <v>4.28780161137312</v>
      </c>
      <c r="AA6" s="0" t="n">
        <f aca="false">MY_PT(AA$2,$A6)</f>
        <v>4.2872088092441</v>
      </c>
      <c r="AB6" s="0" t="n">
        <f aca="false">MY_PT(AB$2,$A6)</f>
        <v>4.28661664686827</v>
      </c>
      <c r="AC6" s="0" t="n">
        <f aca="false">MY_PT(AC$2,$A6)</f>
        <v>4.28602512388131</v>
      </c>
      <c r="AD6" s="0" t="n">
        <f aca="false">MY_PT(AD$2,$A6)</f>
        <v>4.28543423991939</v>
      </c>
      <c r="AE6" s="0" t="n">
        <f aca="false">MY_PT(AE$2,$A6)</f>
        <v>4.28484399461865</v>
      </c>
      <c r="AF6" s="0" t="n">
        <f aca="false">MY_PT(AF$2,$A6)</f>
        <v>4.28425438761535</v>
      </c>
      <c r="AG6" s="0" t="n">
        <f aca="false">MY_PT(AG$2,$A6)</f>
        <v>4.28366541854575</v>
      </c>
      <c r="AH6" s="0" t="n">
        <f aca="false">MY_PT(AH$2,$A6)</f>
        <v>4.2778107342941</v>
      </c>
      <c r="AI6" s="0" t="n">
        <f aca="false">MY_PT(AI$2,$A6)</f>
        <v>4.27201944431882</v>
      </c>
      <c r="AJ6" s="0" t="n">
        <f aca="false">MY_PT(AJ$2,$A6)</f>
        <v>4.2662911869839</v>
      </c>
      <c r="AK6" s="0" t="n">
        <f aca="false">MY_PT(AK$2,$A6)</f>
        <v>4.26062560188274</v>
      </c>
      <c r="AL6" s="0" t="n">
        <f aca="false">MY_PT(AL$2,$A6)</f>
        <v>4.25502232985571</v>
      </c>
      <c r="AM6" s="0" t="n">
        <f aca="false">MY_PT(AM$2,$A6)</f>
        <v>4.24948101300683</v>
      </c>
      <c r="AN6" s="0" t="n">
        <f aca="false">MY_PT(AN$2,$A6)</f>
        <v>4.24400129472022</v>
      </c>
      <c r="AO6" s="0" t="n">
        <f aca="false">MY_PT(AO$2,$A6)</f>
        <v>4.23858281967634</v>
      </c>
      <c r="AP6" s="0" t="n">
        <f aca="false">MY_PT(AP$2,$A6)</f>
        <v>4.23322523386725</v>
      </c>
      <c r="AQ6" s="0" t="n">
        <f aca="false">MY_PT(AQ$2,$A6)</f>
        <v>4.18292136913602</v>
      </c>
      <c r="AR6" s="0" t="n">
        <f aca="false">MY_PT(AR$2,$A6)</f>
        <v>4.17326091080018</v>
      </c>
      <c r="AS6" s="0" t="n">
        <f aca="false">MY_PT(AS$2,$A6)</f>
        <v>4.17009075819117</v>
      </c>
    </row>
    <row r="7" customFormat="false" ht="12.8" hidden="false" customHeight="false" outlineLevel="0" collapsed="false">
      <c r="A7" s="0" t="n">
        <v>32.72</v>
      </c>
      <c r="B7" s="0" t="n">
        <f aca="false">MY_PT(B$2,$A7)</f>
        <v>0.0223171181526191</v>
      </c>
      <c r="C7" s="0" t="n">
        <f aca="false">MY_PT(C$2,$A7)</f>
        <v>4.27477846433821</v>
      </c>
      <c r="D7" s="0" t="n">
        <f aca="false">MY_PT(D$2,$A7)</f>
        <v>4.2747778742157</v>
      </c>
      <c r="E7" s="0" t="n">
        <f aca="false">MY_PT(E$2,$A7)</f>
        <v>4.27477728409385</v>
      </c>
      <c r="F7" s="0" t="n">
        <f aca="false">MY_PT(F$2,$A7)</f>
        <v>4.2747766939726</v>
      </c>
      <c r="G7" s="0" t="n">
        <f aca="false">MY_PT(G$2,$A7)</f>
        <v>4.27477079279494</v>
      </c>
      <c r="H7" s="0" t="n">
        <f aca="false">MY_PT(H$2,$A7)</f>
        <v>4.27476489168093</v>
      </c>
      <c r="I7" s="0" t="n">
        <f aca="false">MY_PT(I$2,$A7)</f>
        <v>4.27475899063052</v>
      </c>
      <c r="J7" s="0" t="n">
        <f aca="false">MY_PT(J$2,$A7)</f>
        <v>4.27475308964375</v>
      </c>
      <c r="K7" s="0" t="n">
        <f aca="false">MY_PT(K$2,$A7)</f>
        <v>4.27474718872061</v>
      </c>
      <c r="L7" s="0" t="n">
        <f aca="false">MY_PT(L$2,$A7)</f>
        <v>4.2747412878611</v>
      </c>
      <c r="M7" s="0" t="n">
        <f aca="false">MY_PT(M$2,$A7)</f>
        <v>4.27473538706516</v>
      </c>
      <c r="N7" s="0" t="n">
        <f aca="false">MY_PT(N$2,$A7)</f>
        <v>4.27472948633291</v>
      </c>
      <c r="O7" s="0" t="n">
        <f aca="false">MY_PT(O$2,$A7)</f>
        <v>4.27472358566423</v>
      </c>
      <c r="P7" s="0" t="n">
        <f aca="false">MY_PT(P$2,$A7)</f>
        <v>4.27466458247656</v>
      </c>
      <c r="Q7" s="0" t="n">
        <f aca="false">MY_PT(Q$2,$A7)</f>
        <v>4.27460558565055</v>
      </c>
      <c r="R7" s="0" t="n">
        <f aca="false">MY_PT(R$2,$A7)</f>
        <v>4.27454659518571</v>
      </c>
      <c r="S7" s="0" t="n">
        <f aca="false">MY_PT(S$2,$A7)</f>
        <v>4.27448761108179</v>
      </c>
      <c r="T7" s="0" t="n">
        <f aca="false">MY_PT(T$2,$A7)</f>
        <v>4.27442863333842</v>
      </c>
      <c r="U7" s="0" t="n">
        <f aca="false">MY_PT(U$2,$A7)</f>
        <v>4.27436966195515</v>
      </c>
      <c r="V7" s="0" t="n">
        <f aca="false">MY_PT(V$2,$A7)</f>
        <v>4.27431069693166</v>
      </c>
      <c r="W7" s="0" t="n">
        <f aca="false">MY_PT(W$2,$A7)</f>
        <v>4.27425173826764</v>
      </c>
      <c r="X7" s="0" t="n">
        <f aca="false">MY_PT(X$2,$A7)</f>
        <v>4.27419278596264</v>
      </c>
      <c r="Y7" s="0" t="n">
        <f aca="false">MY_PT(Y$2,$A7)</f>
        <v>4.27360361258253</v>
      </c>
      <c r="Z7" s="0" t="n">
        <f aca="false">MY_PT(Z$2,$A7)</f>
        <v>4.27301507471265</v>
      </c>
      <c r="AA7" s="0" t="n">
        <f aca="false">MY_PT(AA$2,$A7)</f>
        <v>4.2724271719923</v>
      </c>
      <c r="AB7" s="0" t="n">
        <f aca="false">MY_PT(AB$2,$A7)</f>
        <v>4.27183990406095</v>
      </c>
      <c r="AC7" s="0" t="n">
        <f aca="false">MY_PT(AC$2,$A7)</f>
        <v>4.27125327055802</v>
      </c>
      <c r="AD7" s="0" t="n">
        <f aca="false">MY_PT(AD$2,$A7)</f>
        <v>4.27066727112335</v>
      </c>
      <c r="AE7" s="0" t="n">
        <f aca="false">MY_PT(AE$2,$A7)</f>
        <v>4.27008190539661</v>
      </c>
      <c r="AF7" s="0" t="n">
        <f aca="false">MY_PT(AF$2,$A7)</f>
        <v>4.26949717301769</v>
      </c>
      <c r="AG7" s="0" t="n">
        <f aca="false">MY_PT(AG$2,$A7)</f>
        <v>4.26891307362668</v>
      </c>
      <c r="AH7" s="0" t="n">
        <f aca="false">MY_PT(AH$2,$A7)</f>
        <v>4.26310681493491</v>
      </c>
      <c r="AI7" s="0" t="n">
        <f aca="false">MY_PT(AI$2,$A7)</f>
        <v>4.25736345991779</v>
      </c>
      <c r="AJ7" s="0" t="n">
        <f aca="false">MY_PT(AJ$2,$A7)</f>
        <v>4.25168265054745</v>
      </c>
      <c r="AK7" s="0" t="n">
        <f aca="false">MY_PT(AK$2,$A7)</f>
        <v>4.24606403000699</v>
      </c>
      <c r="AL7" s="0" t="n">
        <f aca="false">MY_PT(AL$2,$A7)</f>
        <v>4.24050724270726</v>
      </c>
      <c r="AM7" s="0" t="n">
        <f aca="false">MY_PT(AM$2,$A7)</f>
        <v>4.23501193430368</v>
      </c>
      <c r="AN7" s="0" t="n">
        <f aca="false">MY_PT(AN$2,$A7)</f>
        <v>4.22957775171297</v>
      </c>
      <c r="AO7" s="0" t="n">
        <f aca="false">MY_PT(AO$2,$A7)</f>
        <v>4.22420434312831</v>
      </c>
      <c r="AP7" s="0" t="n">
        <f aca="false">MY_PT(AP$2,$A7)</f>
        <v>4.21889135803541</v>
      </c>
      <c r="AQ7" s="0" t="n">
        <f aca="false">MY_PT(AQ$2,$A7)</f>
        <v>4.16900863902568</v>
      </c>
      <c r="AR7" s="0" t="n">
        <f aca="false">MY_PT(AR$2,$A7)</f>
        <v>4.15942965710519</v>
      </c>
      <c r="AS7" s="0" t="n">
        <f aca="false">MY_PT(AS$2,$A7)</f>
        <v>4.15628629229955</v>
      </c>
    </row>
    <row r="8" customFormat="false" ht="12.8" hidden="false" customHeight="false" outlineLevel="0" collapsed="false">
      <c r="A8" s="0" t="n">
        <v>32.9</v>
      </c>
      <c r="B8" s="0" t="n">
        <f aca="false">MY_PT(B$2,$A8)</f>
        <v>0.0223228172662033</v>
      </c>
      <c r="C8" s="0" t="n">
        <f aca="false">MY_PT(C$2,$A8)</f>
        <v>4.26005847914949</v>
      </c>
      <c r="D8" s="0" t="n">
        <f aca="false">MY_PT(D$2,$A8)</f>
        <v>4.26005789390196</v>
      </c>
      <c r="E8" s="0" t="n">
        <f aca="false">MY_PT(E$2,$A8)</f>
        <v>4.26005730865495</v>
      </c>
      <c r="F8" s="0" t="n">
        <f aca="false">MY_PT(F$2,$A8)</f>
        <v>4.2600567234087</v>
      </c>
      <c r="G8" s="0" t="n">
        <f aca="false">MY_PT(G$2,$A8)</f>
        <v>4.26005087098034</v>
      </c>
      <c r="H8" s="0" t="n">
        <f aca="false">MY_PT(H$2,$A8)</f>
        <v>4.26004501861516</v>
      </c>
      <c r="I8" s="0" t="n">
        <f aca="false">MY_PT(I$2,$A8)</f>
        <v>4.26003916631308</v>
      </c>
      <c r="J8" s="0" t="n">
        <f aca="false">MY_PT(J$2,$A8)</f>
        <v>4.26003331407409</v>
      </c>
      <c r="K8" s="0" t="n">
        <f aca="false">MY_PT(K$2,$A8)</f>
        <v>4.26002746189826</v>
      </c>
      <c r="L8" s="0" t="n">
        <f aca="false">MY_PT(L$2,$A8)</f>
        <v>4.26002160978561</v>
      </c>
      <c r="M8" s="0" t="n">
        <f aca="false">MY_PT(M$2,$A8)</f>
        <v>4.26001575773603</v>
      </c>
      <c r="N8" s="0" t="n">
        <f aca="false">MY_PT(N$2,$A8)</f>
        <v>4.26000990574958</v>
      </c>
      <c r="O8" s="0" t="n">
        <f aca="false">MY_PT(O$2,$A8)</f>
        <v>4.26000405382625</v>
      </c>
      <c r="P8" s="0" t="n">
        <f aca="false">MY_PT(P$2,$A8)</f>
        <v>4.25994553806503</v>
      </c>
      <c r="Q8" s="0" t="n">
        <f aca="false">MY_PT(Q$2,$A8)</f>
        <v>4.25988702861612</v>
      </c>
      <c r="R8" s="0" t="n">
        <f aca="false">MY_PT(R$2,$A8)</f>
        <v>4.25982852547909</v>
      </c>
      <c r="S8" s="0" t="n">
        <f aca="false">MY_PT(S$2,$A8)</f>
        <v>4.25977002865364</v>
      </c>
      <c r="T8" s="0" t="n">
        <f aca="false">MY_PT(T$2,$A8)</f>
        <v>4.25971153813938</v>
      </c>
      <c r="U8" s="0" t="n">
        <f aca="false">MY_PT(U$2,$A8)</f>
        <v>4.259653053936</v>
      </c>
      <c r="V8" s="0" t="n">
        <f aca="false">MY_PT(V$2,$A8)</f>
        <v>4.25959457604315</v>
      </c>
      <c r="W8" s="0" t="n">
        <f aca="false">MY_PT(W$2,$A8)</f>
        <v>4.2595361044604</v>
      </c>
      <c r="X8" s="0" t="n">
        <f aca="false">MY_PT(X$2,$A8)</f>
        <v>4.25947763918742</v>
      </c>
      <c r="Y8" s="0" t="n">
        <f aca="false">MY_PT(Y$2,$A8)</f>
        <v>4.25889333341751</v>
      </c>
      <c r="Z8" s="0" t="n">
        <f aca="false">MY_PT(Z$2,$A8)</f>
        <v>4.25830965823313</v>
      </c>
      <c r="AA8" s="0" t="n">
        <f aca="false">MY_PT(AA$2,$A8)</f>
        <v>4.25772661327727</v>
      </c>
      <c r="AB8" s="0" t="n">
        <f aca="false">MY_PT(AB$2,$A8)</f>
        <v>4.2571441981929</v>
      </c>
      <c r="AC8" s="0" t="n">
        <f aca="false">MY_PT(AC$2,$A8)</f>
        <v>4.25656241262321</v>
      </c>
      <c r="AD8" s="0" t="n">
        <f aca="false">MY_PT(AD$2,$A8)</f>
        <v>4.25598125621147</v>
      </c>
      <c r="AE8" s="0" t="n">
        <f aca="false">MY_PT(AE$2,$A8)</f>
        <v>4.25540072860101</v>
      </c>
      <c r="AF8" s="0" t="n">
        <f aca="false">MY_PT(AF$2,$A8)</f>
        <v>4.25482082943543</v>
      </c>
      <c r="AG8" s="0" t="n">
        <f aca="false">MY_PT(AG$2,$A8)</f>
        <v>4.25424155835819</v>
      </c>
      <c r="AH8" s="0" t="n">
        <f aca="false">MY_PT(AH$2,$A8)</f>
        <v>4.24848331412517</v>
      </c>
      <c r="AI8" s="0" t="n">
        <f aca="false">MY_PT(AI$2,$A8)</f>
        <v>4.24278748756532</v>
      </c>
      <c r="AJ8" s="0" t="n">
        <f aca="false">MY_PT(AJ$2,$A8)</f>
        <v>4.23715372421758</v>
      </c>
      <c r="AK8" s="0" t="n">
        <f aca="false">MY_PT(AK$2,$A8)</f>
        <v>4.23158167081316</v>
      </c>
      <c r="AL8" s="0" t="n">
        <f aca="false">MY_PT(AL$2,$A8)</f>
        <v>4.22607097529249</v>
      </c>
      <c r="AM8" s="0" t="n">
        <f aca="false">MY_PT(AM$2,$A8)</f>
        <v>4.22062128682193</v>
      </c>
      <c r="AN8" s="0" t="n">
        <f aca="false">MY_PT(AN$2,$A8)</f>
        <v>4.21523225580969</v>
      </c>
      <c r="AO8" s="0" t="n">
        <f aca="false">MY_PT(AO$2,$A8)</f>
        <v>4.20990353392207</v>
      </c>
      <c r="AP8" s="0" t="n">
        <f aca="false">MY_PT(AP$2,$A8)</f>
        <v>4.20463477409827</v>
      </c>
      <c r="AQ8" s="0" t="n">
        <f aca="false">MY_PT(AQ$2,$A8)</f>
        <v>4.15516967510877</v>
      </c>
      <c r="AR8" s="0" t="n">
        <f aca="false">MY_PT(AR$2,$A8)</f>
        <v>4.14567149164834</v>
      </c>
      <c r="AS8" s="0" t="n">
        <f aca="false">MY_PT(AS$2,$A8)</f>
        <v>4.14255469204563</v>
      </c>
    </row>
    <row r="9" customFormat="false" ht="12.8" hidden="false" customHeight="false" outlineLevel="0" collapsed="false">
      <c r="A9" s="0" t="n">
        <v>33.08</v>
      </c>
      <c r="B9" s="0" t="n">
        <f aca="false">MY_PT(B$2,$A9)</f>
        <v>0.0223285226250399</v>
      </c>
      <c r="C9" s="0" t="n">
        <f aca="false">MY_PT(C$2,$A9)</f>
        <v>4.24541913667205</v>
      </c>
      <c r="D9" s="0" t="n">
        <f aca="false">MY_PT(D$2,$A9)</f>
        <v>4.24541855625809</v>
      </c>
      <c r="E9" s="0" t="n">
        <f aca="false">MY_PT(E$2,$A9)</f>
        <v>4.2454179758447</v>
      </c>
      <c r="F9" s="0" t="n">
        <f aca="false">MY_PT(F$2,$A9)</f>
        <v>4.24541739543198</v>
      </c>
      <c r="G9" s="0" t="n">
        <f aca="false">MY_PT(G$2,$A9)</f>
        <v>4.24541159133902</v>
      </c>
      <c r="H9" s="0" t="n">
        <f aca="false">MY_PT(H$2,$A9)</f>
        <v>4.24540578730867</v>
      </c>
      <c r="I9" s="0" t="n">
        <f aca="false">MY_PT(I$2,$A9)</f>
        <v>4.24539998334097</v>
      </c>
      <c r="J9" s="0" t="n">
        <f aca="false">MY_PT(J$2,$A9)</f>
        <v>4.24539417943595</v>
      </c>
      <c r="K9" s="0" t="n">
        <f aca="false">MY_PT(K$2,$A9)</f>
        <v>4.24538837559356</v>
      </c>
      <c r="L9" s="0" t="n">
        <f aca="false">MY_PT(L$2,$A9)</f>
        <v>4.24538257181376</v>
      </c>
      <c r="M9" s="0" t="n">
        <f aca="false">MY_PT(M$2,$A9)</f>
        <v>4.24537676809665</v>
      </c>
      <c r="N9" s="0" t="n">
        <f aca="false">MY_PT(N$2,$A9)</f>
        <v>4.24537096444216</v>
      </c>
      <c r="O9" s="0" t="n">
        <f aca="false">MY_PT(O$2,$A9)</f>
        <v>4.24536516085032</v>
      </c>
      <c r="P9" s="0" t="n">
        <f aca="false">MY_PT(P$2,$A9)</f>
        <v>4.24530712837695</v>
      </c>
      <c r="Q9" s="0" t="n">
        <f aca="false">MY_PT(Q$2,$A9)</f>
        <v>4.24524910216687</v>
      </c>
      <c r="R9" s="0" t="n">
        <f aca="false">MY_PT(R$2,$A9)</f>
        <v>4.24519108221996</v>
      </c>
      <c r="S9" s="0" t="n">
        <f aca="false">MY_PT(S$2,$A9)</f>
        <v>4.24513306853581</v>
      </c>
      <c r="T9" s="0" t="n">
        <f aca="false">MY_PT(T$2,$A9)</f>
        <v>4.2450750611139</v>
      </c>
      <c r="U9" s="0" t="n">
        <f aca="false">MY_PT(U$2,$A9)</f>
        <v>4.24501705995413</v>
      </c>
      <c r="V9" s="0" t="n">
        <f aca="false">MY_PT(V$2,$A9)</f>
        <v>4.24495906505596</v>
      </c>
      <c r="W9" s="0" t="n">
        <f aca="false">MY_PT(W$2,$A9)</f>
        <v>4.24490107641918</v>
      </c>
      <c r="X9" s="0" t="n">
        <f aca="false">MY_PT(X$2,$A9)</f>
        <v>4.24484309404336</v>
      </c>
      <c r="Y9" s="0" t="n">
        <f aca="false">MY_PT(Y$2,$A9)</f>
        <v>4.24426361455986</v>
      </c>
      <c r="Z9" s="0" t="n">
        <f aca="false">MY_PT(Z$2,$A9)</f>
        <v>4.24368476078358</v>
      </c>
      <c r="AA9" s="0" t="n">
        <f aca="false">MY_PT(AA$2,$A9)</f>
        <v>4.24310653236087</v>
      </c>
      <c r="AB9" s="0" t="n">
        <f aca="false">MY_PT(AB$2,$A9)</f>
        <v>4.24252892893843</v>
      </c>
      <c r="AC9" s="0" t="n">
        <f aca="false">MY_PT(AC$2,$A9)</f>
        <v>4.24195195016294</v>
      </c>
      <c r="AD9" s="0" t="n">
        <f aca="false">MY_PT(AD$2,$A9)</f>
        <v>4.24137559568123</v>
      </c>
      <c r="AE9" s="0" t="n">
        <f aca="false">MY_PT(AE$2,$A9)</f>
        <v>4.24079986514029</v>
      </c>
      <c r="AF9" s="0" t="n">
        <f aca="false">MY_PT(AF$2,$A9)</f>
        <v>4.24022475818703</v>
      </c>
      <c r="AG9" s="0" t="n">
        <f aca="false">MY_PT(AG$2,$A9)</f>
        <v>4.23965027446868</v>
      </c>
      <c r="AH9" s="0" t="n">
        <f aca="false">MY_PT(AH$2,$A9)</f>
        <v>4.23393963766351</v>
      </c>
      <c r="AI9" s="0" t="n">
        <f aca="false">MY_PT(AI$2,$A9)</f>
        <v>4.22829093707996</v>
      </c>
      <c r="AJ9" s="0" t="n">
        <f aca="false">MY_PT(AJ$2,$A9)</f>
        <v>4.22270382178252</v>
      </c>
      <c r="AK9" s="0" t="n">
        <f aca="false">MY_PT(AK$2,$A9)</f>
        <v>4.2171779420099</v>
      </c>
      <c r="AL9" s="0" t="n">
        <f aca="false">MY_PT(AL$2,$A9)</f>
        <v>4.21171294919164</v>
      </c>
      <c r="AM9" s="0" t="n">
        <f aca="false">MY_PT(AM$2,$A9)</f>
        <v>4.20630849596459</v>
      </c>
      <c r="AN9" s="0" t="n">
        <f aca="false">MY_PT(AN$2,$A9)</f>
        <v>4.20096423618891</v>
      </c>
      <c r="AO9" s="0" t="n">
        <f aca="false">MY_PT(AO$2,$A9)</f>
        <v>4.19567982496415</v>
      </c>
      <c r="AP9" s="0" t="n">
        <f aca="false">MY_PT(AP$2,$A9)</f>
        <v>4.19045491864357</v>
      </c>
      <c r="AQ9" s="0" t="n">
        <f aca="false">MY_PT(AQ$2,$A9)</f>
        <v>4.14140394831628</v>
      </c>
      <c r="AR9" s="0" t="n">
        <f aca="false">MY_PT(AR$2,$A9)</f>
        <v>4.13198589191581</v>
      </c>
      <c r="AS9" s="0" t="n">
        <f aca="false">MY_PT(AS$2,$A9)</f>
        <v>4.1288954370647</v>
      </c>
    </row>
    <row r="10" customFormat="false" ht="12.8" hidden="false" customHeight="false" outlineLevel="0" collapsed="false">
      <c r="A10" s="0" t="n">
        <v>33.26</v>
      </c>
      <c r="B10" s="0" t="n">
        <f aca="false">MY_PT(B$2,$A10)</f>
        <v>0.0223342342163256</v>
      </c>
      <c r="C10" s="0" t="n">
        <f aca="false">MY_PT(C$2,$A10)</f>
        <v>4.23085984007227</v>
      </c>
      <c r="D10" s="0" t="n">
        <f aca="false">MY_PT(D$2,$A10)</f>
        <v>4.23085926445084</v>
      </c>
      <c r="E10" s="0" t="n">
        <f aca="false">MY_PT(E$2,$A10)</f>
        <v>4.23085868883013</v>
      </c>
      <c r="F10" s="0" t="n">
        <f aca="false">MY_PT(F$2,$A10)</f>
        <v>4.23085811320992</v>
      </c>
      <c r="G10" s="0" t="n">
        <f aca="false">MY_PT(G$2,$A10)</f>
        <v>4.23085235704253</v>
      </c>
      <c r="H10" s="0" t="n">
        <f aca="false">MY_PT(H$2,$A10)</f>
        <v>4.23084660093728</v>
      </c>
      <c r="I10" s="0" t="n">
        <f aca="false">MY_PT(I$2,$A10)</f>
        <v>4.23084084489414</v>
      </c>
      <c r="J10" s="0" t="n">
        <f aca="false">MY_PT(J$2,$A10)</f>
        <v>4.2308350889132</v>
      </c>
      <c r="K10" s="0" t="n">
        <f aca="false">MY_PT(K$2,$A10)</f>
        <v>4.23082933299444</v>
      </c>
      <c r="L10" s="0" t="n">
        <f aca="false">MY_PT(L$2,$A10)</f>
        <v>4.23082357713778</v>
      </c>
      <c r="M10" s="0" t="n">
        <f aca="false">MY_PT(M$2,$A10)</f>
        <v>4.2308178213433</v>
      </c>
      <c r="N10" s="0" t="n">
        <f aca="false">MY_PT(N$2,$A10)</f>
        <v>4.23081206561096</v>
      </c>
      <c r="O10" s="0" t="n">
        <f aca="false">MY_PT(O$2,$A10)</f>
        <v>4.23080630994084</v>
      </c>
      <c r="P10" s="0" t="n">
        <f aca="false">MY_PT(P$2,$A10)</f>
        <v>4.23074875665755</v>
      </c>
      <c r="Q10" s="0" t="n">
        <f aca="false">MY_PT(Q$2,$A10)</f>
        <v>4.23069120958924</v>
      </c>
      <c r="R10" s="0" t="n">
        <f aca="false">MY_PT(R$2,$A10)</f>
        <v>4.23063366873571</v>
      </c>
      <c r="S10" s="0" t="n">
        <f aca="false">MY_PT(S$2,$A10)</f>
        <v>4.23057613409653</v>
      </c>
      <c r="T10" s="0" t="n">
        <f aca="false">MY_PT(T$2,$A10)</f>
        <v>4.2305186056713</v>
      </c>
      <c r="U10" s="0" t="n">
        <f aca="false">MY_PT(U$2,$A10)</f>
        <v>4.23046108345973</v>
      </c>
      <c r="V10" s="0" t="n">
        <f aca="false">MY_PT(V$2,$A10)</f>
        <v>4.2304035674615</v>
      </c>
      <c r="W10" s="0" t="n">
        <f aca="false">MY_PT(W$2,$A10)</f>
        <v>4.23034605767614</v>
      </c>
      <c r="X10" s="0" t="n">
        <f aca="false">MY_PT(X$2,$A10)</f>
        <v>4.23028855410341</v>
      </c>
      <c r="Y10" s="0" t="n">
        <f aca="false">MY_PT(Y$2,$A10)</f>
        <v>4.22971385999189</v>
      </c>
      <c r="Z10" s="0" t="n">
        <f aca="false">MY_PT(Z$2,$A10)</f>
        <v>4.22913978675489</v>
      </c>
      <c r="AA10" s="0" t="n">
        <f aca="false">MY_PT(AA$2,$A10)</f>
        <v>4.22856633404231</v>
      </c>
      <c r="AB10" s="0" t="n">
        <f aca="false">MY_PT(AB$2,$A10)</f>
        <v>4.22799350150432</v>
      </c>
      <c r="AC10" s="0" t="n">
        <f aca="false">MY_PT(AC$2,$A10)</f>
        <v>4.22742128879122</v>
      </c>
      <c r="AD10" s="0" t="n">
        <f aca="false">MY_PT(AD$2,$A10)</f>
        <v>4.22684969555324</v>
      </c>
      <c r="AE10" s="0" t="n">
        <f aca="false">MY_PT(AE$2,$A10)</f>
        <v>4.22627872144094</v>
      </c>
      <c r="AF10" s="0" t="n">
        <f aca="false">MY_PT(AF$2,$A10)</f>
        <v>4.22570836610485</v>
      </c>
      <c r="AG10" s="0" t="n">
        <f aca="false">MY_PT(AG$2,$A10)</f>
        <v>4.22513862919563</v>
      </c>
      <c r="AH10" s="0" t="n">
        <f aca="false">MY_PT(AH$2,$A10)</f>
        <v>4.21947519681098</v>
      </c>
      <c r="AI10" s="0" t="n">
        <f aca="false">MY_PT(AI$2,$A10)</f>
        <v>4.21387322369644</v>
      </c>
      <c r="AJ10" s="0" t="n">
        <f aca="false">MY_PT(AJ$2,$A10)</f>
        <v>4.2083323624015</v>
      </c>
      <c r="AK10" s="0" t="n">
        <f aca="false">MY_PT(AK$2,$A10)</f>
        <v>4.20285226663221</v>
      </c>
      <c r="AL10" s="0" t="n">
        <f aca="false">MY_PT(AL$2,$A10)</f>
        <v>4.19743259126703</v>
      </c>
      <c r="AM10" s="0" t="n">
        <f aca="false">MY_PT(AM$2,$A10)</f>
        <v>4.19207299237373</v>
      </c>
      <c r="AN10" s="0" t="n">
        <f aca="false">MY_PT(AN$2,$A10)</f>
        <v>4.18677312722507</v>
      </c>
      <c r="AO10" s="0" t="n">
        <f aca="false">MY_PT(AO$2,$A10)</f>
        <v>4.18153265431441</v>
      </c>
      <c r="AP10" s="0" t="n">
        <f aca="false">MY_PT(AP$2,$A10)</f>
        <v>4.17635123337054</v>
      </c>
      <c r="AQ10" s="0" t="n">
        <f aca="false">MY_PT(AQ$2,$A10)</f>
        <v>4.12771093430348</v>
      </c>
      <c r="AR10" s="0" t="n">
        <f aca="false">MY_PT(AR$2,$A10)</f>
        <v>4.11837234004512</v>
      </c>
      <c r="AS10" s="0" t="n">
        <f aca="false">MY_PT(AS$2,$A10)</f>
        <v>4.11530801161911</v>
      </c>
    </row>
    <row r="11" customFormat="false" ht="12.8" hidden="false" customHeight="false" outlineLevel="0" collapsed="false">
      <c r="A11" s="0" t="n">
        <v>33.44</v>
      </c>
      <c r="B11" s="0" t="n">
        <f aca="false">MY_PT(B$2,$A11)</f>
        <v>0.0223399520272969</v>
      </c>
      <c r="C11" s="0" t="n">
        <f aca="false">MY_PT(C$2,$A11)</f>
        <v>4.21637999801137</v>
      </c>
      <c r="D11" s="0" t="n">
        <f aca="false">MY_PT(D$2,$A11)</f>
        <v>4.21637942714199</v>
      </c>
      <c r="E11" s="0" t="n">
        <f aca="false">MY_PT(E$2,$A11)</f>
        <v>4.21637885627318</v>
      </c>
      <c r="F11" s="0" t="n">
        <f aca="false">MY_PT(F$2,$A11)</f>
        <v>4.21637828540506</v>
      </c>
      <c r="G11" s="0" t="n">
        <f aca="false">MY_PT(G$2,$A11)</f>
        <v>4.2163725767574</v>
      </c>
      <c r="H11" s="0" t="n">
        <f aca="false">MY_PT(H$2,$A11)</f>
        <v>4.21636686817144</v>
      </c>
      <c r="I11" s="0" t="n">
        <f aca="false">MY_PT(I$2,$A11)</f>
        <v>4.21636115964715</v>
      </c>
      <c r="J11" s="0" t="n">
        <f aca="false">MY_PT(J$2,$A11)</f>
        <v>4.21635545118454</v>
      </c>
      <c r="K11" s="0" t="n">
        <f aca="false">MY_PT(K$2,$A11)</f>
        <v>4.21634974278356</v>
      </c>
      <c r="L11" s="0" t="n">
        <f aca="false">MY_PT(L$2,$A11)</f>
        <v>4.21634403444431</v>
      </c>
      <c r="M11" s="0" t="n">
        <f aca="false">MY_PT(M$2,$A11)</f>
        <v>4.2163383261668</v>
      </c>
      <c r="N11" s="0" t="n">
        <f aca="false">MY_PT(N$2,$A11)</f>
        <v>4.21633261795084</v>
      </c>
      <c r="O11" s="0" t="n">
        <f aca="false">MY_PT(O$2,$A11)</f>
        <v>4.21632690979659</v>
      </c>
      <c r="P11" s="0" t="n">
        <f aca="false">MY_PT(P$2,$A11)</f>
        <v>4.21626983164636</v>
      </c>
      <c r="Q11" s="0" t="n">
        <f aca="false">MY_PT(Q$2,$A11)</f>
        <v>4.21621275966323</v>
      </c>
      <c r="R11" s="0" t="n">
        <f aca="false">MY_PT(R$2,$A11)</f>
        <v>4.2161556938468</v>
      </c>
      <c r="S11" s="0" t="n">
        <f aca="false">MY_PT(S$2,$A11)</f>
        <v>4.21609863419683</v>
      </c>
      <c r="T11" s="0" t="n">
        <f aca="false">MY_PT(T$2,$A11)</f>
        <v>4.21604158071295</v>
      </c>
      <c r="U11" s="0" t="n">
        <f aca="false">MY_PT(U$2,$A11)</f>
        <v>4.21598453339471</v>
      </c>
      <c r="V11" s="0" t="n">
        <f aca="false">MY_PT(V$2,$A11)</f>
        <v>4.21592749224193</v>
      </c>
      <c r="W11" s="0" t="n">
        <f aca="false">MY_PT(W$2,$A11)</f>
        <v>4.21587045725416</v>
      </c>
      <c r="X11" s="0" t="n">
        <f aca="false">MY_PT(X$2,$A11)</f>
        <v>4.21581342843108</v>
      </c>
      <c r="Y11" s="0" t="n">
        <f aca="false">MY_PT(Y$2,$A11)</f>
        <v>4.21524347918144</v>
      </c>
      <c r="Z11" s="0" t="n">
        <f aca="false">MY_PT(Z$2,$A11)</f>
        <v>4.21467414601885</v>
      </c>
      <c r="AA11" s="0" t="n">
        <f aca="false">MY_PT(AA$2,$A11)</f>
        <v>4.21410542859674</v>
      </c>
      <c r="AB11" s="0" t="n">
        <f aca="false">MY_PT(AB$2,$A11)</f>
        <v>4.21353732656884</v>
      </c>
      <c r="AC11" s="0" t="n">
        <f aca="false">MY_PT(AC$2,$A11)</f>
        <v>4.21296983958872</v>
      </c>
      <c r="AD11" s="0" t="n">
        <f aca="false">MY_PT(AD$2,$A11)</f>
        <v>4.21240296731022</v>
      </c>
      <c r="AE11" s="0" t="n">
        <f aca="false">MY_PT(AE$2,$A11)</f>
        <v>4.21183670938737</v>
      </c>
      <c r="AF11" s="0" t="n">
        <f aca="false">MY_PT(AF$2,$A11)</f>
        <v>4.21127106547417</v>
      </c>
      <c r="AG11" s="0" t="n">
        <f aca="false">MY_PT(AG$2,$A11)</f>
        <v>4.2107060352247</v>
      </c>
      <c r="AH11" s="0" t="n">
        <f aca="false">MY_PT(AH$2,$A11)</f>
        <v>4.20508940823098</v>
      </c>
      <c r="AI11" s="0" t="n">
        <f aca="false">MY_PT(AI$2,$A11)</f>
        <v>4.19953376800649</v>
      </c>
      <c r="AJ11" s="0" t="n">
        <f aca="false">MY_PT(AJ$2,$A11)</f>
        <v>4.19403877054608</v>
      </c>
      <c r="AK11" s="0" t="n">
        <f aca="false">MY_PT(AK$2,$A11)</f>
        <v>4.18860407298299</v>
      </c>
      <c r="AL11" s="0" t="n">
        <f aca="false">MY_PT(AL$2,$A11)</f>
        <v>4.1832293336054</v>
      </c>
      <c r="AM11" s="0" t="n">
        <f aca="false">MY_PT(AM$2,$A11)</f>
        <v>4.17791421187281</v>
      </c>
      <c r="AN11" s="0" t="n">
        <f aca="false">MY_PT(AN$2,$A11)</f>
        <v>4.17265836843142</v>
      </c>
      <c r="AO11" s="0" t="n">
        <f aca="false">MY_PT(AO$2,$A11)</f>
        <v>4.16746146512998</v>
      </c>
      <c r="AP11" s="0" t="n">
        <f aca="false">MY_PT(AP$2,$A11)</f>
        <v>4.16232316503436</v>
      </c>
      <c r="AQ11" s="0" t="n">
        <f aca="false">MY_PT(AQ$2,$A11)</f>
        <v>4.11409011339912</v>
      </c>
      <c r="AR11" s="0" t="n">
        <f aca="false">MY_PT(AR$2,$A11)</f>
        <v>4.10483032277469</v>
      </c>
      <c r="AS11" s="0" t="n">
        <f aca="false">MY_PT(AS$2,$A11)</f>
        <v>4.1017919045484</v>
      </c>
    </row>
    <row r="12" customFormat="false" ht="12.8" hidden="false" customHeight="false" outlineLevel="0" collapsed="false">
      <c r="A12" s="0" t="n">
        <v>33.62</v>
      </c>
      <c r="B12" s="0" t="n">
        <f aca="false">MY_PT(B$2,$A12)</f>
        <v>0.0223456760452295</v>
      </c>
      <c r="C12" s="0" t="n">
        <f aca="false">MY_PT(C$2,$A12)</f>
        <v>4.2019790245858</v>
      </c>
      <c r="D12" s="0" t="n">
        <f aca="false">MY_PT(D$2,$A12)</f>
        <v>4.20197845842823</v>
      </c>
      <c r="E12" s="0" t="n">
        <f aca="false">MY_PT(E$2,$A12)</f>
        <v>4.20197789227134</v>
      </c>
      <c r="F12" s="0" t="n">
        <f aca="false">MY_PT(F$2,$A12)</f>
        <v>4.20197732611499</v>
      </c>
      <c r="G12" s="0" t="n">
        <f aca="false">MY_PT(G$2,$A12)</f>
        <v>4.20197166458536</v>
      </c>
      <c r="H12" s="0" t="n">
        <f aca="false">MY_PT(H$2,$A12)</f>
        <v>4.20196600311695</v>
      </c>
      <c r="I12" s="0" t="n">
        <f aca="false">MY_PT(I$2,$A12)</f>
        <v>4.20196034170971</v>
      </c>
      <c r="J12" s="0" t="n">
        <f aca="false">MY_PT(J$2,$A12)</f>
        <v>4.20195468036371</v>
      </c>
      <c r="K12" s="0" t="n">
        <f aca="false">MY_PT(K$2,$A12)</f>
        <v>4.20194901907891</v>
      </c>
      <c r="L12" s="0" t="n">
        <f aca="false">MY_PT(L$2,$A12)</f>
        <v>4.20194335785521</v>
      </c>
      <c r="M12" s="0" t="n">
        <f aca="false">MY_PT(M$2,$A12)</f>
        <v>4.20193769669282</v>
      </c>
      <c r="N12" s="0" t="n">
        <f aca="false">MY_PT(N$2,$A12)</f>
        <v>4.20193203559158</v>
      </c>
      <c r="O12" s="0" t="n">
        <f aca="false">MY_PT(O$2,$A12)</f>
        <v>4.20192637455155</v>
      </c>
      <c r="P12" s="0" t="n">
        <f aca="false">MY_PT(P$2,$A12)</f>
        <v>4.20186976751729</v>
      </c>
      <c r="Q12" s="0" t="n">
        <f aca="false">MY_PT(Q$2,$A12)</f>
        <v>4.20181316660259</v>
      </c>
      <c r="R12" s="0" t="n">
        <f aca="false">MY_PT(R$2,$A12)</f>
        <v>4.20175657180724</v>
      </c>
      <c r="S12" s="0" t="n">
        <f aca="false">MY_PT(S$2,$A12)</f>
        <v>4.20169998313073</v>
      </c>
      <c r="T12" s="0" t="n">
        <f aca="false">MY_PT(T$2,$A12)</f>
        <v>4.20164340057282</v>
      </c>
      <c r="U12" s="0" t="n">
        <f aca="false">MY_PT(U$2,$A12)</f>
        <v>4.20158682413326</v>
      </c>
      <c r="V12" s="0" t="n">
        <f aca="false">MY_PT(V$2,$A12)</f>
        <v>4.2015302538115</v>
      </c>
      <c r="W12" s="0" t="n">
        <f aca="false">MY_PT(W$2,$A12)</f>
        <v>4.20147368960737</v>
      </c>
      <c r="X12" s="0" t="n">
        <f aca="false">MY_PT(X$2,$A12)</f>
        <v>4.2014171315204</v>
      </c>
      <c r="Y12" s="0" t="n">
        <f aca="false">MY_PT(Y$2,$A12)</f>
        <v>4.20085188702252</v>
      </c>
      <c r="Z12" s="0" t="n">
        <f aca="false">MY_PT(Z$2,$A12)</f>
        <v>4.20028725386891</v>
      </c>
      <c r="AA12" s="0" t="n">
        <f aca="false">MY_PT(AA$2,$A12)</f>
        <v>4.19972323171656</v>
      </c>
      <c r="AB12" s="0" t="n">
        <f aca="false">MY_PT(AB$2,$A12)</f>
        <v>4.19915982022253</v>
      </c>
      <c r="AC12" s="0" t="n">
        <f aca="false">MY_PT(AC$2,$A12)</f>
        <v>4.19859701904394</v>
      </c>
      <c r="AD12" s="0" t="n">
        <f aca="false">MY_PT(AD$2,$A12)</f>
        <v>4.19803482783809</v>
      </c>
      <c r="AE12" s="0" t="n">
        <f aca="false">MY_PT(AE$2,$A12)</f>
        <v>4.19747324626236</v>
      </c>
      <c r="AF12" s="0" t="n">
        <f aca="false">MY_PT(AF$2,$A12)</f>
        <v>4.19691227397415</v>
      </c>
      <c r="AG12" s="0" t="n">
        <f aca="false">MY_PT(AG$2,$A12)</f>
        <v>4.19635191063109</v>
      </c>
      <c r="AH12" s="0" t="n">
        <f aca="false">MY_PT(AH$2,$A12)</f>
        <v>4.19078169393076</v>
      </c>
      <c r="AI12" s="0" t="n">
        <f aca="false">MY_PT(AI$2,$A12)</f>
        <v>4.18527199590113</v>
      </c>
      <c r="AJ12" s="0" t="n">
        <f aca="false">MY_PT(AJ$2,$A12)</f>
        <v>4.1798224759426</v>
      </c>
      <c r="AK12" s="0" t="n">
        <f aca="false">MY_PT(AK$2,$A12)</f>
        <v>4.17443279457659</v>
      </c>
      <c r="AL12" s="0" t="n">
        <f aca="false">MY_PT(AL$2,$A12)</f>
        <v>4.16910261346197</v>
      </c>
      <c r="AM12" s="0" t="n">
        <f aca="false">MY_PT(AM$2,$A12)</f>
        <v>4.16383159541118</v>
      </c>
      <c r="AN12" s="0" t="n">
        <f aca="false">MY_PT(AN$2,$A12)</f>
        <v>4.15861940440555</v>
      </c>
      <c r="AO12" s="0" t="n">
        <f aca="false">MY_PT(AO$2,$A12)</f>
        <v>4.15346570561102</v>
      </c>
      <c r="AP12" s="0" t="n">
        <f aca="false">MY_PT(AP$2,$A12)</f>
        <v>4.14837016539257</v>
      </c>
      <c r="AQ12" s="0" t="n">
        <f aca="false">MY_PT(AQ$2,$A12)</f>
        <v>4.10054097055698</v>
      </c>
      <c r="AR12" s="0" t="n">
        <f aca="false">MY_PT(AR$2,$A12)</f>
        <v>4.09135933139622</v>
      </c>
      <c r="AS12" s="0" t="n">
        <f aca="false">MY_PT(AS$2,$A12)</f>
        <v>4.08834660922205</v>
      </c>
    </row>
    <row r="13" customFormat="false" ht="12.8" hidden="false" customHeight="false" outlineLevel="0" collapsed="false">
      <c r="A13" s="0" t="n">
        <v>33.8</v>
      </c>
      <c r="B13" s="0" t="n">
        <f aca="false">MY_PT(B$2,$A13)</f>
        <v>0.0223514062574381</v>
      </c>
      <c r="C13" s="0" t="n">
        <f aca="false">MY_PT(C$2,$A13)</f>
        <v>4.18765633926811</v>
      </c>
      <c r="D13" s="0" t="n">
        <f aca="false">MY_PT(D$2,$A13)</f>
        <v>4.1876557777826</v>
      </c>
      <c r="E13" s="0" t="n">
        <f aca="false">MY_PT(E$2,$A13)</f>
        <v>4.1876552162977</v>
      </c>
      <c r="F13" s="0" t="n">
        <f aca="false">MY_PT(F$2,$A13)</f>
        <v>4.18765465481345</v>
      </c>
      <c r="G13" s="0" t="n">
        <f aca="false">MY_PT(G$2,$A13)</f>
        <v>4.18764904000403</v>
      </c>
      <c r="H13" s="0" t="n">
        <f aca="false">MY_PT(H$2,$A13)</f>
        <v>4.1876434252553</v>
      </c>
      <c r="I13" s="0" t="n">
        <f aca="false">MY_PT(I$2,$A13)</f>
        <v>4.18763781056733</v>
      </c>
      <c r="J13" s="0" t="n">
        <f aca="false">MY_PT(J$2,$A13)</f>
        <v>4.18763219594009</v>
      </c>
      <c r="K13" s="0" t="n">
        <f aca="false">MY_PT(K$2,$A13)</f>
        <v>4.18762658137358</v>
      </c>
      <c r="L13" s="0" t="n">
        <f aca="false">MY_PT(L$2,$A13)</f>
        <v>4.18762096686779</v>
      </c>
      <c r="M13" s="0" t="n">
        <f aca="false">MY_PT(M$2,$A13)</f>
        <v>4.18761535242278</v>
      </c>
      <c r="N13" s="0" t="n">
        <f aca="false">MY_PT(N$2,$A13)</f>
        <v>4.18760973803848</v>
      </c>
      <c r="O13" s="0" t="n">
        <f aca="false">MY_PT(O$2,$A13)</f>
        <v>4.18760412371488</v>
      </c>
      <c r="P13" s="0" t="n">
        <f aca="false">MY_PT(P$2,$A13)</f>
        <v>4.18754798381905</v>
      </c>
      <c r="Q13" s="0" t="n">
        <f aca="false">MY_PT(Q$2,$A13)</f>
        <v>4.18749184999587</v>
      </c>
      <c r="R13" s="0" t="n">
        <f aca="false">MY_PT(R$2,$A13)</f>
        <v>4.18743572224487</v>
      </c>
      <c r="S13" s="0" t="n">
        <f aca="false">MY_PT(S$2,$A13)</f>
        <v>4.18737960056579</v>
      </c>
      <c r="T13" s="0" t="n">
        <f aca="false">MY_PT(T$2,$A13)</f>
        <v>4.18732348495826</v>
      </c>
      <c r="U13" s="0" t="n">
        <f aca="false">MY_PT(U$2,$A13)</f>
        <v>4.18726737542192</v>
      </c>
      <c r="V13" s="0" t="n">
        <f aca="false">MY_PT(V$2,$A13)</f>
        <v>4.18721127195648</v>
      </c>
      <c r="W13" s="0" t="n">
        <f aca="false">MY_PT(W$2,$A13)</f>
        <v>4.18715517456157</v>
      </c>
      <c r="X13" s="0" t="n">
        <f aca="false">MY_PT(X$2,$A13)</f>
        <v>4.18709908323686</v>
      </c>
      <c r="Y13" s="0" t="n">
        <f aca="false">MY_PT(Y$2,$A13)</f>
        <v>4.18653850377574</v>
      </c>
      <c r="Z13" s="0" t="n">
        <f aca="false">MY_PT(Z$2,$A13)</f>
        <v>4.18597853096054</v>
      </c>
      <c r="AA13" s="0" t="n">
        <f aca="false">MY_PT(AA$2,$A13)</f>
        <v>4.18541916445153</v>
      </c>
      <c r="AB13" s="0" t="n">
        <f aca="false">MY_PT(AB$2,$A13)</f>
        <v>4.18486040390914</v>
      </c>
      <c r="AC13" s="0" t="n">
        <f aca="false">MY_PT(AC$2,$A13)</f>
        <v>4.184302248994</v>
      </c>
      <c r="AD13" s="0" t="n">
        <f aca="false">MY_PT(AD$2,$A13)</f>
        <v>4.18374469936672</v>
      </c>
      <c r="AE13" s="0" t="n">
        <f aca="false">MY_PT(AE$2,$A13)</f>
        <v>4.18318775468808</v>
      </c>
      <c r="AF13" s="0" t="n">
        <f aca="false">MY_PT(AF$2,$A13)</f>
        <v>4.18263141461892</v>
      </c>
      <c r="AG13" s="0" t="n">
        <f aca="false">MY_PT(AG$2,$A13)</f>
        <v>4.18207567882028</v>
      </c>
      <c r="AH13" s="0" t="n">
        <f aca="false">MY_PT(AH$2,$A13)</f>
        <v>4.1765514812034</v>
      </c>
      <c r="AI13" s="0" t="n">
        <f aca="false">MY_PT(AI$2,$A13)</f>
        <v>4.17108733851268</v>
      </c>
      <c r="AJ13" s="0" t="n">
        <f aca="false">MY_PT(AJ$2,$A13)</f>
        <v>4.16568291351529</v>
      </c>
      <c r="AK13" s="0" t="n">
        <f aca="false">MY_PT(AK$2,$A13)</f>
        <v>4.16033787008212</v>
      </c>
      <c r="AL13" s="0" t="n">
        <f aca="false">MY_PT(AL$2,$A13)</f>
        <v>4.15505187320425</v>
      </c>
      <c r="AM13" s="0" t="n">
        <f aca="false">MY_PT(AM$2,$A13)</f>
        <v>4.14982458900869</v>
      </c>
      <c r="AN13" s="0" t="n">
        <f aca="false">MY_PT(AN$2,$A13)</f>
        <v>4.14465568477411</v>
      </c>
      <c r="AO13" s="0" t="n">
        <f aca="false">MY_PT(AO$2,$A13)</f>
        <v>4.13954482894592</v>
      </c>
      <c r="AP13" s="0" t="n">
        <f aca="false">MY_PT(AP$2,$A13)</f>
        <v>4.1344916911508</v>
      </c>
      <c r="AQ13" s="0" t="n">
        <f aca="false">MY_PT(AQ$2,$A13)</f>
        <v>4.08706299530621</v>
      </c>
      <c r="AR13" s="0" t="n">
        <f aca="false">MY_PT(AR$2,$A13)</f>
        <v>4.07795886170639</v>
      </c>
      <c r="AS13" s="0" t="n">
        <f aca="false">MY_PT(AS$2,$A13)</f>
        <v>4.07497162349133</v>
      </c>
    </row>
    <row r="14" customFormat="false" ht="12.8" hidden="false" customHeight="false" outlineLevel="0" collapsed="false">
      <c r="A14" s="0" t="n">
        <v>35.6</v>
      </c>
      <c r="B14" s="0" t="n">
        <f aca="false">MY_PT(B$2,$A14)</f>
        <v>0.0224090463017056</v>
      </c>
      <c r="C14" s="0" t="n">
        <f aca="false">MY_PT(C$2,$A14)</f>
        <v>2015</v>
      </c>
      <c r="D14" s="0" t="n">
        <f aca="false">MY_PT(D$2,$A14)</f>
        <v>4.04861082797223</v>
      </c>
      <c r="E14" s="0" t="n">
        <f aca="false">MY_PT(E$2,$A14)</f>
        <v>4.04861031110384</v>
      </c>
      <c r="F14" s="0" t="n">
        <f aca="false">MY_PT(F$2,$A14)</f>
        <v>4.04860979423604</v>
      </c>
      <c r="G14" s="0" t="n">
        <f aca="false">MY_PT(G$2,$A14)</f>
        <v>4.04860462558895</v>
      </c>
      <c r="H14" s="0" t="n">
        <f aca="false">MY_PT(H$2,$A14)</f>
        <v>4.04859945699817</v>
      </c>
      <c r="I14" s="0" t="n">
        <f aca="false">MY_PT(I$2,$A14)</f>
        <v>4.04859428846364</v>
      </c>
      <c r="J14" s="0" t="n">
        <f aca="false">MY_PT(J$2,$A14)</f>
        <v>4.04858911998541</v>
      </c>
      <c r="K14" s="0" t="n">
        <f aca="false">MY_PT(K$2,$A14)</f>
        <v>4.04858395156332</v>
      </c>
      <c r="L14" s="0" t="n">
        <f aca="false">MY_PT(L$2,$A14)</f>
        <v>4.04857878319758</v>
      </c>
      <c r="M14" s="0" t="n">
        <f aca="false">MY_PT(M$2,$A14)</f>
        <v>4.04857361488804</v>
      </c>
      <c r="N14" s="0" t="n">
        <f aca="false">MY_PT(N$2,$A14)</f>
        <v>4.04856844663478</v>
      </c>
      <c r="O14" s="0" t="n">
        <f aca="false">MY_PT(O$2,$A14)</f>
        <v>4.04856327843783</v>
      </c>
      <c r="P14" s="0" t="n">
        <f aca="false">MY_PT(P$2,$A14)</f>
        <v>4.04851159956205</v>
      </c>
      <c r="Q14" s="0" t="n">
        <f aca="false">MY_PT(Q$2,$A14)</f>
        <v>4.04845992631175</v>
      </c>
      <c r="R14" s="0" t="n">
        <f aca="false">MY_PT(R$2,$A14)</f>
        <v>4.04840825868658</v>
      </c>
      <c r="S14" s="0" t="n">
        <f aca="false">MY_PT(S$2,$A14)</f>
        <v>4.04835659668624</v>
      </c>
      <c r="T14" s="0" t="n">
        <f aca="false">MY_PT(T$2,$A14)</f>
        <v>4.0483049403105</v>
      </c>
      <c r="U14" s="0" t="n">
        <f aca="false">MY_PT(U$2,$A14)</f>
        <v>4.04825328955895</v>
      </c>
      <c r="V14" s="0" t="n">
        <f aca="false">MY_PT(V$2,$A14)</f>
        <v>4.04820164443124</v>
      </c>
      <c r="W14" s="0" t="n">
        <f aca="false">MY_PT(W$2,$A14)</f>
        <v>4.04815000492724</v>
      </c>
      <c r="X14" s="0" t="n">
        <f aca="false">MY_PT(X$2,$A14)</f>
        <v>4.0480983710465</v>
      </c>
      <c r="Y14" s="0" t="n">
        <f aca="false">MY_PT(Y$2,$A14)</f>
        <v>4.04758234145309</v>
      </c>
      <c r="Z14" s="0" t="n">
        <f aca="false">MY_PT(Z$2,$A14)</f>
        <v>4.04706687385133</v>
      </c>
      <c r="AA14" s="0" t="n">
        <f aca="false">MY_PT(AA$2,$A14)</f>
        <v>4.04655196793358</v>
      </c>
      <c r="AB14" s="0" t="n">
        <f aca="false">MY_PT(AB$2,$A14)</f>
        <v>4.04603762339221</v>
      </c>
      <c r="AC14" s="0" t="n">
        <f aca="false">MY_PT(AC$2,$A14)</f>
        <v>4.04552383991976</v>
      </c>
      <c r="AD14" s="0" t="n">
        <f aca="false">MY_PT(AD$2,$A14)</f>
        <v>4.04501061720875</v>
      </c>
      <c r="AE14" s="0" t="n">
        <f aca="false">MY_PT(AE$2,$A14)</f>
        <v>4.04449795495195</v>
      </c>
      <c r="AF14" s="0" t="n">
        <f aca="false">MY_PT(AF$2,$A14)</f>
        <v>4.04398585284212</v>
      </c>
      <c r="AG14" s="0" t="n">
        <f aca="false">MY_PT(AG$2,$A14)</f>
        <v>4.04347431057203</v>
      </c>
      <c r="AH14" s="0" t="n">
        <f aca="false">MY_PT(AH$2,$A14)</f>
        <v>4.03838961155745</v>
      </c>
      <c r="AI14" s="0" t="n">
        <f aca="false">MY_PT(AI$2,$A14)</f>
        <v>4.0333605593593</v>
      </c>
      <c r="AJ14" s="0" t="n">
        <f aca="false">MY_PT(AJ$2,$A14)</f>
        <v>4.02838684837197</v>
      </c>
      <c r="AK14" s="0" t="n">
        <f aca="false">MY_PT(AK$2,$A14)</f>
        <v>4.02346817393573</v>
      </c>
      <c r="AL14" s="0" t="n">
        <f aca="false">MY_PT(AL$2,$A14)</f>
        <v>4.0186042323517</v>
      </c>
      <c r="AM14" s="0" t="n">
        <f aca="false">MY_PT(AM$2,$A14)</f>
        <v>4.01379472089624</v>
      </c>
      <c r="AN14" s="0" t="n">
        <f aca="false">MY_PT(AN$2,$A14)</f>
        <v>4.0090393378353</v>
      </c>
      <c r="AO14" s="0" t="n">
        <f aca="false">MY_PT(AO$2,$A14)</f>
        <v>4.00433778243849</v>
      </c>
      <c r="AP14" s="0" t="n">
        <f aca="false">MY_PT(AP$2,$A14)</f>
        <v>3.99968975499219</v>
      </c>
      <c r="AQ14" s="0" t="n">
        <f aca="false">MY_PT(AQ$2,$A14)</f>
        <v>3.95608833368058</v>
      </c>
      <c r="AR14" s="0" t="n">
        <f aca="false">MY_PT(AR$2,$A14)</f>
        <v>3.94772506110315</v>
      </c>
      <c r="AS14" s="0" t="n">
        <f aca="false">MY_PT(AS$2,$A14)</f>
        <v>3.94498143341831</v>
      </c>
    </row>
    <row r="15" customFormat="false" ht="12.8" hidden="false" customHeight="false" outlineLevel="0" collapsed="false">
      <c r="A15" s="0" t="n">
        <v>37.4</v>
      </c>
      <c r="B15" s="0" t="n">
        <f aca="false">MY_PT(B$2,$A15)</f>
        <v>0.0224672921050664</v>
      </c>
      <c r="C15" s="0" t="n">
        <f aca="false">MY_PT(C$2,$A15)</f>
        <v>0.0224666558085192</v>
      </c>
      <c r="D15" s="0" t="n">
        <f aca="false">MY_PT(D$2,$A15)</f>
        <v>3.91679386064101</v>
      </c>
      <c r="E15" s="0" t="n">
        <f aca="false">MY_PT(E$2,$A15)</f>
        <v>3.91679338481488</v>
      </c>
      <c r="F15" s="0" t="n">
        <f aca="false">MY_PT(F$2,$A15)</f>
        <v>3.91679290898936</v>
      </c>
      <c r="G15" s="0" t="n">
        <f aca="false">MY_PT(G$2,$A15)</f>
        <v>3.91678815076245</v>
      </c>
      <c r="H15" s="0" t="n">
        <f aca="false">MY_PT(H$2,$A15)</f>
        <v>3.9167833925878</v>
      </c>
      <c r="I15" s="0" t="n">
        <f aca="false">MY_PT(I$2,$A15)</f>
        <v>3.91677863446526</v>
      </c>
      <c r="J15" s="0" t="n">
        <f aca="false">MY_PT(J$2,$A15)</f>
        <v>3.9167738763949</v>
      </c>
      <c r="K15" s="0" t="n">
        <f aca="false">MY_PT(K$2,$A15)</f>
        <v>3.91676911837676</v>
      </c>
      <c r="L15" s="0" t="n">
        <f aca="false">MY_PT(L$2,$A15)</f>
        <v>3.91676436041081</v>
      </c>
      <c r="M15" s="0" t="n">
        <f aca="false">MY_PT(M$2,$A15)</f>
        <v>3.91675960249703</v>
      </c>
      <c r="N15" s="0" t="n">
        <f aca="false">MY_PT(N$2,$A15)</f>
        <v>3.9167548446354</v>
      </c>
      <c r="O15" s="0" t="n">
        <f aca="false">MY_PT(O$2,$A15)</f>
        <v>3.91675008682593</v>
      </c>
      <c r="P15" s="0" t="n">
        <f aca="false">MY_PT(P$2,$A15)</f>
        <v>3.91670251160151</v>
      </c>
      <c r="Q15" s="0" t="n">
        <f aca="false">MY_PT(Q$2,$A15)</f>
        <v>3.91665494159472</v>
      </c>
      <c r="R15" s="0" t="n">
        <f aca="false">MY_PT(R$2,$A15)</f>
        <v>3.91660737680539</v>
      </c>
      <c r="S15" s="0" t="n">
        <f aca="false">MY_PT(S$2,$A15)</f>
        <v>3.91655981723319</v>
      </c>
      <c r="T15" s="0" t="n">
        <f aca="false">MY_PT(T$2,$A15)</f>
        <v>3.9165122628778</v>
      </c>
      <c r="U15" s="0" t="n">
        <f aca="false">MY_PT(U$2,$A15)</f>
        <v>3.91646471373904</v>
      </c>
      <c r="V15" s="0" t="n">
        <f aca="false">MY_PT(V$2,$A15)</f>
        <v>3.91641716981657</v>
      </c>
      <c r="W15" s="0" t="n">
        <f aca="false">MY_PT(W$2,$A15)</f>
        <v>3.91636963111011</v>
      </c>
      <c r="X15" s="0" t="n">
        <f aca="false">MY_PT(X$2,$A15)</f>
        <v>3.91632209761943</v>
      </c>
      <c r="Y15" s="0" t="n">
        <f aca="false">MY_PT(Y$2,$A15)</f>
        <v>3.91584704951663</v>
      </c>
      <c r="Z15" s="0" t="n">
        <f aca="false">MY_PT(Z$2,$A15)</f>
        <v>3.91537252268099</v>
      </c>
      <c r="AA15" s="0" t="n">
        <f aca="false">MY_PT(AA$2,$A15)</f>
        <v>3.91489851683316</v>
      </c>
      <c r="AB15" s="0" t="n">
        <f aca="false">MY_PT(AB$2,$A15)</f>
        <v>3.91442503169421</v>
      </c>
      <c r="AC15" s="0" t="n">
        <f aca="false">MY_PT(AC$2,$A15)</f>
        <v>3.91395206698505</v>
      </c>
      <c r="AD15" s="0" t="n">
        <f aca="false">MY_PT(AD$2,$A15)</f>
        <v>3.91347962242685</v>
      </c>
      <c r="AE15" s="0" t="n">
        <f aca="false">MY_PT(AE$2,$A15)</f>
        <v>3.91300769774078</v>
      </c>
      <c r="AF15" s="0" t="n">
        <f aca="false">MY_PT(AF$2,$A15)</f>
        <v>3.912536292648</v>
      </c>
      <c r="AG15" s="0" t="n">
        <f aca="false">MY_PT(AG$2,$A15)</f>
        <v>3.91206540686984</v>
      </c>
      <c r="AH15" s="0" t="n">
        <f aca="false">MY_PT(AH$2,$A15)</f>
        <v>3.90738505014059</v>
      </c>
      <c r="AI15" s="0" t="n">
        <f aca="false">MY_PT(AI$2,$A15)</f>
        <v>3.90275631891178</v>
      </c>
      <c r="AJ15" s="0" t="n">
        <f aca="false">MY_PT(AJ$2,$A15)</f>
        <v>3.89817893581036</v>
      </c>
      <c r="AK15" s="0" t="n">
        <f aca="false">MY_PT(AK$2,$A15)</f>
        <v>3.89365262427335</v>
      </c>
      <c r="AL15" s="0" t="n">
        <f aca="false">MY_PT(AL$2,$A15)</f>
        <v>3.88917710856119</v>
      </c>
      <c r="AM15" s="0" t="n">
        <f aca="false">MY_PT(AM$2,$A15)</f>
        <v>3.88475211377123</v>
      </c>
      <c r="AN15" s="0" t="n">
        <f aca="false">MY_PT(AN$2,$A15)</f>
        <v>3.8803773658508</v>
      </c>
      <c r="AO15" s="0" t="n">
        <f aca="false">MY_PT(AO$2,$A15)</f>
        <v>3.87605259160989</v>
      </c>
      <c r="AP15" s="0" t="n">
        <f aca="false">MY_PT(AP$2,$A15)</f>
        <v>3.87177751873356</v>
      </c>
      <c r="AQ15" s="0" t="n">
        <f aca="false">MY_PT(AQ$2,$A15)</f>
        <v>3.83170110523599</v>
      </c>
      <c r="AR15" s="0" t="n">
        <f aca="false">MY_PT(AR$2,$A15)</f>
        <v>3.8240205059025</v>
      </c>
      <c r="AS15" s="0" t="n">
        <f aca="false">MY_PT(AS$2,$A15)</f>
        <v>3.82150137858699</v>
      </c>
    </row>
    <row r="16" customFormat="false" ht="12.8" hidden="false" customHeight="false" outlineLevel="0" collapsed="false">
      <c r="A16" s="0" t="n">
        <v>39.2</v>
      </c>
      <c r="B16" s="0" t="n">
        <f aca="false">MY_PT(B$2,$A16)</f>
        <v>0.0225261316051753</v>
      </c>
      <c r="C16" s="0" t="n">
        <f aca="false">MY_PT(C$2,$A16)</f>
        <v>0.0225255044943175</v>
      </c>
      <c r="D16" s="0" t="n">
        <f aca="false">MY_PT(D$2,$A16)</f>
        <v>2015</v>
      </c>
      <c r="E16" s="0" t="n">
        <f aca="false">MY_PT(E$2,$A16)</f>
        <v>3.79170409977303</v>
      </c>
      <c r="F16" s="0" t="n">
        <f aca="false">MY_PT(F$2,$A16)</f>
        <v>3.79170366174455</v>
      </c>
      <c r="G16" s="0" t="n">
        <f aca="false">MY_PT(G$2,$A16)</f>
        <v>3.79169928148671</v>
      </c>
      <c r="H16" s="0" t="n">
        <f aca="false">MY_PT(H$2,$A16)</f>
        <v>3.7916949012773</v>
      </c>
      <c r="I16" s="0" t="n">
        <f aca="false">MY_PT(I$2,$A16)</f>
        <v>3.79169052111636</v>
      </c>
      <c r="J16" s="0" t="n">
        <f aca="false">MY_PT(J$2,$A16)</f>
        <v>3.79168614100387</v>
      </c>
      <c r="K16" s="0" t="n">
        <f aca="false">MY_PT(K$2,$A16)</f>
        <v>3.79168176093981</v>
      </c>
      <c r="L16" s="0" t="n">
        <f aca="false">MY_PT(L$2,$A16)</f>
        <v>3.79167738092425</v>
      </c>
      <c r="M16" s="0" t="n">
        <f aca="false">MY_PT(M$2,$A16)</f>
        <v>3.79167300095714</v>
      </c>
      <c r="N16" s="0" t="n">
        <f aca="false">MY_PT(N$2,$A16)</f>
        <v>3.79166862103844</v>
      </c>
      <c r="O16" s="0" t="n">
        <f aca="false">MY_PT(O$2,$A16)</f>
        <v>3.79166424116822</v>
      </c>
      <c r="P16" s="0" t="n">
        <f aca="false">MY_PT(P$2,$A16)</f>
        <v>3.79162044513104</v>
      </c>
      <c r="Q16" s="0" t="n">
        <f aca="false">MY_PT(Q$2,$A16)</f>
        <v>3.79157665393921</v>
      </c>
      <c r="R16" s="0" t="n">
        <f aca="false">MY_PT(R$2,$A16)</f>
        <v>3.79153286759237</v>
      </c>
      <c r="S16" s="0" t="n">
        <f aca="false">MY_PT(S$2,$A16)</f>
        <v>3.79148908609036</v>
      </c>
      <c r="T16" s="0" t="n">
        <f aca="false">MY_PT(T$2,$A16)</f>
        <v>3.79144530943282</v>
      </c>
      <c r="U16" s="0" t="n">
        <f aca="false">MY_PT(U$2,$A16)</f>
        <v>3.79140153761961</v>
      </c>
      <c r="V16" s="0" t="n">
        <f aca="false">MY_PT(V$2,$A16)</f>
        <v>3.79135777065041</v>
      </c>
      <c r="W16" s="0" t="n">
        <f aca="false">MY_PT(W$2,$A16)</f>
        <v>3.79131400852495</v>
      </c>
      <c r="X16" s="0" t="n">
        <f aca="false">MY_PT(X$2,$A16)</f>
        <v>3.79127025124305</v>
      </c>
      <c r="Y16" s="0" t="n">
        <f aca="false">MY_PT(Y$2,$A16)</f>
        <v>3.79083294476124</v>
      </c>
      <c r="Z16" s="0" t="n">
        <f aca="false">MY_PT(Z$2,$A16)</f>
        <v>3.79039612235187</v>
      </c>
      <c r="AA16" s="0" t="n">
        <f aca="false">MY_PT(AA$2,$A16)</f>
        <v>3.78995978376116</v>
      </c>
      <c r="AB16" s="0" t="n">
        <f aca="false">MY_PT(AB$2,$A16)</f>
        <v>3.78952392873565</v>
      </c>
      <c r="AC16" s="0" t="n">
        <f aca="false">MY_PT(AC$2,$A16)</f>
        <v>3.78908855702172</v>
      </c>
      <c r="AD16" s="0" t="n">
        <f aca="false">MY_PT(AD$2,$A16)</f>
        <v>3.78865366836603</v>
      </c>
      <c r="AE16" s="0" t="n">
        <f aca="false">MY_PT(AE$2,$A16)</f>
        <v>3.78821926251508</v>
      </c>
      <c r="AF16" s="0" t="n">
        <f aca="false">MY_PT(AF$2,$A16)</f>
        <v>3.78778533921568</v>
      </c>
      <c r="AG16" s="0" t="n">
        <f aca="false">MY_PT(AG$2,$A16)</f>
        <v>3.78735189821443</v>
      </c>
      <c r="AH16" s="0" t="n">
        <f aca="false">MY_PT(AH$2,$A16)</f>
        <v>3.78304395893716</v>
      </c>
      <c r="AI16" s="0" t="n">
        <f aca="false">MY_PT(AI$2,$A16)</f>
        <v>3.77878397140503</v>
      </c>
      <c r="AJ16" s="0" t="n">
        <f aca="false">MY_PT(AJ$2,$A16)</f>
        <v>3.77457168348392</v>
      </c>
      <c r="AK16" s="0" t="n">
        <f aca="false">MY_PT(AK$2,$A16)</f>
        <v>3.77040684373256</v>
      </c>
      <c r="AL16" s="0" t="n">
        <f aca="false">MY_PT(AL$2,$A16)</f>
        <v>3.7662892014148</v>
      </c>
      <c r="AM16" s="0" t="n">
        <f aca="false">MY_PT(AM$2,$A16)</f>
        <v>3.76221850651216</v>
      </c>
      <c r="AN16" s="0" t="n">
        <f aca="false">MY_PT(AN$2,$A16)</f>
        <v>3.75819450973544</v>
      </c>
      <c r="AO16" s="0" t="n">
        <f aca="false">MY_PT(AO$2,$A16)</f>
        <v>3.75421696253659</v>
      </c>
      <c r="AP16" s="0" t="n">
        <f aca="false">MY_PT(AP$2,$A16)</f>
        <v>3.75028561712029</v>
      </c>
      <c r="AQ16" s="0" t="n">
        <f aca="false">MY_PT(AQ$2,$A16)</f>
        <v>3.71345930607903</v>
      </c>
      <c r="AR16" s="0" t="n">
        <f aca="false">MY_PT(AR$2,$A16)</f>
        <v>3.70640842316242</v>
      </c>
      <c r="AS16" s="0" t="n">
        <f aca="false">MY_PT(AS$2,$A16)</f>
        <v>3.70409640136948</v>
      </c>
    </row>
    <row r="17" customFormat="false" ht="12.8" hidden="false" customHeight="false" outlineLevel="0" collapsed="false">
      <c r="A17" s="0" t="n">
        <v>41</v>
      </c>
      <c r="B17" s="0" t="n">
        <f aca="false">MY_PT(B$2,$A17)</f>
        <v>0.022585553098709</v>
      </c>
      <c r="C17" s="0" t="n">
        <f aca="false">MY_PT(C$2,$A17)</f>
        <v>0.0225849349942264</v>
      </c>
      <c r="D17" s="0" t="n">
        <f aca="false">MY_PT(D$2,$A17)</f>
        <v>0.0225843167937009</v>
      </c>
      <c r="E17" s="0" t="n">
        <f aca="false">MY_PT(E$2,$A17)</f>
        <v>3.67288464552429</v>
      </c>
      <c r="F17" s="0" t="n">
        <f aca="false">MY_PT(F$2,$A17)</f>
        <v>3.67288424234232</v>
      </c>
      <c r="G17" s="0" t="n">
        <f aca="false">MY_PT(G$2,$A17)</f>
        <v>3.67288021054756</v>
      </c>
      <c r="H17" s="0" t="n">
        <f aca="false">MY_PT(H$2,$A17)</f>
        <v>3.67287617879782</v>
      </c>
      <c r="I17" s="0" t="n">
        <f aca="false">MY_PT(I$2,$A17)</f>
        <v>3.67287214709316</v>
      </c>
      <c r="J17" s="0" t="n">
        <f aca="false">MY_PT(J$2,$A17)</f>
        <v>3.6728681154335</v>
      </c>
      <c r="K17" s="0" t="n">
        <f aca="false">MY_PT(K$2,$A17)</f>
        <v>3.67286408381894</v>
      </c>
      <c r="L17" s="0" t="n">
        <f aca="false">MY_PT(L$2,$A17)</f>
        <v>3.67286005224941</v>
      </c>
      <c r="M17" s="0" t="n">
        <f aca="false">MY_PT(M$2,$A17)</f>
        <v>3.67285602072493</v>
      </c>
      <c r="N17" s="0" t="n">
        <f aca="false">MY_PT(N$2,$A17)</f>
        <v>3.6728519892455</v>
      </c>
      <c r="O17" s="0" t="n">
        <f aca="false">MY_PT(O$2,$A17)</f>
        <v>3.67284795781111</v>
      </c>
      <c r="P17" s="0" t="n">
        <f aca="false">MY_PT(P$2,$A17)</f>
        <v>3.67280764594505</v>
      </c>
      <c r="Q17" s="0" t="n">
        <f aca="false">MY_PT(Q$2,$A17)</f>
        <v>3.67276733858365</v>
      </c>
      <c r="R17" s="0" t="n">
        <f aca="false">MY_PT(R$2,$A17)</f>
        <v>3.67272703572669</v>
      </c>
      <c r="S17" s="0" t="n">
        <f aca="false">MY_PT(S$2,$A17)</f>
        <v>3.67268673737399</v>
      </c>
      <c r="T17" s="0" t="n">
        <f aca="false">MY_PT(T$2,$A17)</f>
        <v>3.67264644352527</v>
      </c>
      <c r="U17" s="0" t="n">
        <f aca="false">MY_PT(U$2,$A17)</f>
        <v>3.67260615418034</v>
      </c>
      <c r="V17" s="0" t="n">
        <f aca="false">MY_PT(V$2,$A17)</f>
        <v>3.67256586933893</v>
      </c>
      <c r="W17" s="0" t="n">
        <f aca="false">MY_PT(W$2,$A17)</f>
        <v>3.67252558900087</v>
      </c>
      <c r="X17" s="0" t="n">
        <f aca="false">MY_PT(X$2,$A17)</f>
        <v>3.67248531316582</v>
      </c>
      <c r="Y17" s="0" t="n">
        <f aca="false">MY_PT(Y$2,$A17)</f>
        <v>3.67208280243415</v>
      </c>
      <c r="Z17" s="0" t="n">
        <f aca="false">MY_PT(Z$2,$A17)</f>
        <v>3.67168074175615</v>
      </c>
      <c r="AA17" s="0" t="n">
        <f aca="false">MY_PT(AA$2,$A17)</f>
        <v>3.67127913090113</v>
      </c>
      <c r="AB17" s="0" t="n">
        <f aca="false">MY_PT(AB$2,$A17)</f>
        <v>3.67087796963825</v>
      </c>
      <c r="AC17" s="0" t="n">
        <f aca="false">MY_PT(AC$2,$A17)</f>
        <v>3.67047725773675</v>
      </c>
      <c r="AD17" s="0" t="n">
        <f aca="false">MY_PT(AD$2,$A17)</f>
        <v>3.67007699496607</v>
      </c>
      <c r="AE17" s="0" t="n">
        <f aca="false">MY_PT(AE$2,$A17)</f>
        <v>3.66967718109554</v>
      </c>
      <c r="AF17" s="0" t="n">
        <f aca="false">MY_PT(AF$2,$A17)</f>
        <v>3.66927781589462</v>
      </c>
      <c r="AG17" s="0" t="n">
        <f aca="false">MY_PT(AG$2,$A17)</f>
        <v>3.66887889913279</v>
      </c>
      <c r="AH17" s="0" t="n">
        <f aca="false">MY_PT(AH$2,$A17)</f>
        <v>3.66491434499851</v>
      </c>
      <c r="AI17" s="0" t="n">
        <f aca="false">MY_PT(AI$2,$A17)</f>
        <v>3.66099438165953</v>
      </c>
      <c r="AJ17" s="0" t="n">
        <f aca="false">MY_PT(AJ$2,$A17)</f>
        <v>3.65711877957636</v>
      </c>
      <c r="AK17" s="0" t="n">
        <f aca="false">MY_PT(AK$2,$A17)</f>
        <v>3.6532873098013</v>
      </c>
      <c r="AL17" s="0" t="n">
        <f aca="false">MY_PT(AL$2,$A17)</f>
        <v>3.64949974398991</v>
      </c>
      <c r="AM17" s="0" t="n">
        <f aca="false">MY_PT(AM$2,$A17)</f>
        <v>3.64575585441214</v>
      </c>
      <c r="AN17" s="0" t="n">
        <f aca="false">MY_PT(AN$2,$A17)</f>
        <v>3.64205541396339</v>
      </c>
      <c r="AO17" s="0" t="n">
        <f aca="false">MY_PT(AO$2,$A17)</f>
        <v>3.63839819617528</v>
      </c>
      <c r="AP17" s="0" t="n">
        <f aca="false">MY_PT(AP$2,$A17)</f>
        <v>3.63478397522604</v>
      </c>
      <c r="AQ17" s="0" t="n">
        <f aca="false">MY_PT(AQ$2,$A17)</f>
        <v>3.60095739374932</v>
      </c>
      <c r="AR17" s="0" t="n">
        <f aca="false">MY_PT(AR$2,$A17)</f>
        <v>3.59448796407298</v>
      </c>
      <c r="AS17" s="0" t="n">
        <f aca="false">MY_PT(AS$2,$A17)</f>
        <v>3.5923671923379</v>
      </c>
    </row>
    <row r="18" customFormat="false" ht="12.8" hidden="false" customHeight="false" outlineLevel="0" collapsed="false">
      <c r="A18" s="0" t="n">
        <v>42.8</v>
      </c>
      <c r="B18" s="0" t="n">
        <f aca="false">MY_PT(B$2,$A18)</f>
        <v>0.022645545227419</v>
      </c>
      <c r="C18" s="0" t="n">
        <f aca="false">MY_PT(C$2,$A18)</f>
        <v>0.0226449359548313</v>
      </c>
      <c r="D18" s="0" t="n">
        <f aca="false">MY_PT(D$2,$A18)</f>
        <v>0.0226443265930168</v>
      </c>
      <c r="E18" s="0" t="n">
        <f aca="false">MY_PT(E$2,$A18)</f>
        <v>0.0226437171369202</v>
      </c>
      <c r="F18" s="0" t="n">
        <f aca="false">MY_PT(F$2,$A18)</f>
        <v>3.55991513723952</v>
      </c>
      <c r="G18" s="0" t="n">
        <f aca="false">MY_PT(G$2,$A18)</f>
        <v>3.55991142704214</v>
      </c>
      <c r="H18" s="0" t="n">
        <f aca="false">MY_PT(H$2,$A18)</f>
        <v>3.55990771688672</v>
      </c>
      <c r="I18" s="0" t="n">
        <f aca="false">MY_PT(I$2,$A18)</f>
        <v>3.55990400677327</v>
      </c>
      <c r="J18" s="0" t="n">
        <f aca="false">MY_PT(J$2,$A18)</f>
        <v>3.55990029670167</v>
      </c>
      <c r="K18" s="0" t="n">
        <f aca="false">MY_PT(K$2,$A18)</f>
        <v>3.55989658667206</v>
      </c>
      <c r="L18" s="0" t="n">
        <f aca="false">MY_PT(L$2,$A18)</f>
        <v>3.55989287668433</v>
      </c>
      <c r="M18" s="0" t="n">
        <f aca="false">MY_PT(M$2,$A18)</f>
        <v>3.5598891667386</v>
      </c>
      <c r="N18" s="0" t="n">
        <f aca="false">MY_PT(N$2,$A18)</f>
        <v>3.55988545683474</v>
      </c>
      <c r="O18" s="0" t="n">
        <f aca="false">MY_PT(O$2,$A18)</f>
        <v>3.55988174697282</v>
      </c>
      <c r="P18" s="0" t="n">
        <f aca="false">MY_PT(P$2,$A18)</f>
        <v>3.55984465065981</v>
      </c>
      <c r="Q18" s="0" t="n">
        <f aca="false">MY_PT(Q$2,$A18)</f>
        <v>3.55980755853954</v>
      </c>
      <c r="R18" s="0" t="n">
        <f aca="false">MY_PT(R$2,$A18)</f>
        <v>3.55977047061185</v>
      </c>
      <c r="S18" s="0" t="n">
        <f aca="false">MY_PT(S$2,$A18)</f>
        <v>3.55973338687649</v>
      </c>
      <c r="T18" s="0" t="n">
        <f aca="false">MY_PT(T$2,$A18)</f>
        <v>3.55969630733324</v>
      </c>
      <c r="U18" s="0" t="n">
        <f aca="false">MY_PT(U$2,$A18)</f>
        <v>3.55965923198192</v>
      </c>
      <c r="V18" s="0" t="n">
        <f aca="false">MY_PT(V$2,$A18)</f>
        <v>3.55962216082231</v>
      </c>
      <c r="W18" s="0" t="n">
        <f aca="false">MY_PT(W$2,$A18)</f>
        <v>3.55958509385421</v>
      </c>
      <c r="X18" s="0" t="n">
        <f aca="false">MY_PT(X$2,$A18)</f>
        <v>3.55954803107734</v>
      </c>
      <c r="Y18" s="0" t="n">
        <f aca="false">MY_PT(Y$2,$A18)</f>
        <v>3.55917763378355</v>
      </c>
      <c r="Z18" s="0" t="n">
        <f aca="false">MY_PT(Z$2,$A18)</f>
        <v>3.55880765538692</v>
      </c>
      <c r="AA18" s="0" t="n">
        <f aca="false">MY_PT(AA$2,$A18)</f>
        <v>3.55843809567709</v>
      </c>
      <c r="AB18" s="0" t="n">
        <f aca="false">MY_PT(AB$2,$A18)</f>
        <v>3.55806895444373</v>
      </c>
      <c r="AC18" s="0" t="n">
        <f aca="false">MY_PT(AC$2,$A18)</f>
        <v>3.55770023147655</v>
      </c>
      <c r="AD18" s="0" t="n">
        <f aca="false">MY_PT(AD$2,$A18)</f>
        <v>3.55733192656527</v>
      </c>
      <c r="AE18" s="0" t="n">
        <f aca="false">MY_PT(AE$2,$A18)</f>
        <v>3.5569640394998</v>
      </c>
      <c r="AF18" s="0" t="n">
        <f aca="false">MY_PT(AF$2,$A18)</f>
        <v>3.55659657006996</v>
      </c>
      <c r="AG18" s="0" t="n">
        <f aca="false">MY_PT(AG$2,$A18)</f>
        <v>3.5562295180656</v>
      </c>
      <c r="AH18" s="0" t="n">
        <f aca="false">MY_PT(AH$2,$A18)</f>
        <v>3.55258191023892</v>
      </c>
      <c r="AI18" s="0" t="n">
        <f aca="false">MY_PT(AI$2,$A18)</f>
        <v>3.5489758142204</v>
      </c>
      <c r="AJ18" s="0" t="n">
        <f aca="false">MY_PT(AJ$2,$A18)</f>
        <v>3.54541102072584</v>
      </c>
      <c r="AK18" s="0" t="n">
        <f aca="false">MY_PT(AK$2,$A18)</f>
        <v>3.54188732097576</v>
      </c>
      <c r="AL18" s="0" t="n">
        <f aca="false">MY_PT(AL$2,$A18)</f>
        <v>3.53840450670624</v>
      </c>
      <c r="AM18" s="0" t="n">
        <f aca="false">MY_PT(AM$2,$A18)</f>
        <v>3.53496237017847</v>
      </c>
      <c r="AN18" s="0" t="n">
        <f aca="false">MY_PT(AN$2,$A18)</f>
        <v>3.53156070418951</v>
      </c>
      <c r="AO18" s="0" t="n">
        <f aca="false">MY_PT(AO$2,$A18)</f>
        <v>3.52819930208156</v>
      </c>
      <c r="AP18" s="0" t="n">
        <f aca="false">MY_PT(AP$2,$A18)</f>
        <v>3.52487795775211</v>
      </c>
      <c r="AQ18" s="0" t="n">
        <f aca="false">MY_PT(AQ$2,$A18)</f>
        <v>3.49382276531688</v>
      </c>
      <c r="AR18" s="0" t="n">
        <f aca="false">MY_PT(AR$2,$A18)</f>
        <v>3.48789074413887</v>
      </c>
      <c r="AS18" s="0" t="n">
        <f aca="false">MY_PT(AS$2,$A18)</f>
        <v>3.48594675074921</v>
      </c>
    </row>
    <row r="19" customFormat="false" ht="12.8" hidden="false" customHeight="false" outlineLevel="0" collapsed="false">
      <c r="A19" s="0" t="n">
        <v>44.6</v>
      </c>
      <c r="B19" s="0" t="n">
        <f aca="false">MY_PT(B$2,$A19)</f>
        <v>0.0227060969648321</v>
      </c>
      <c r="C19" s="0" t="n">
        <f aca="false">MY_PT(C$2,$A19)</f>
        <v>0.022705496354283</v>
      </c>
      <c r="D19" s="0" t="n">
        <f aca="false">MY_PT(D$2,$A19)</f>
        <v>0.0227048956605134</v>
      </c>
      <c r="E19" s="0" t="n">
        <f aca="false">MY_PT(E$2,$A19)</f>
        <v>0.0227042948793116</v>
      </c>
      <c r="F19" s="0" t="n">
        <f aca="false">MY_PT(F$2,$A19)</f>
        <v>2015</v>
      </c>
      <c r="G19" s="0" t="n">
        <f aca="false">MY_PT(G$2,$A19)</f>
        <v>3.45240796437427</v>
      </c>
      <c r="H19" s="0" t="n">
        <f aca="false">MY_PT(H$2,$A19)</f>
        <v>3.45240455131844</v>
      </c>
      <c r="I19" s="0" t="n">
        <f aca="false">MY_PT(I$2,$A19)</f>
        <v>3.45240113830168</v>
      </c>
      <c r="J19" s="0" t="n">
        <f aca="false">MY_PT(J$2,$A19)</f>
        <v>3.45239772532399</v>
      </c>
      <c r="K19" s="0" t="n">
        <f aca="false">MY_PT(K$2,$A19)</f>
        <v>3.45239431238539</v>
      </c>
      <c r="L19" s="0" t="n">
        <f aca="false">MY_PT(L$2,$A19)</f>
        <v>3.45239089948585</v>
      </c>
      <c r="M19" s="0" t="n">
        <f aca="false">MY_PT(M$2,$A19)</f>
        <v>3.45238748662539</v>
      </c>
      <c r="N19" s="0" t="n">
        <f aca="false">MY_PT(N$2,$A19)</f>
        <v>3.452384073804</v>
      </c>
      <c r="O19" s="0" t="n">
        <f aca="false">MY_PT(O$2,$A19)</f>
        <v>3.45238066102171</v>
      </c>
      <c r="P19" s="0" t="n">
        <f aca="false">MY_PT(P$2,$A19)</f>
        <v>3.4523465353472</v>
      </c>
      <c r="Q19" s="0" t="n">
        <f aca="false">MY_PT(Q$2,$A19)</f>
        <v>3.45231241357942</v>
      </c>
      <c r="R19" s="0" t="n">
        <f aca="false">MY_PT(R$2,$A19)</f>
        <v>3.4522782957181</v>
      </c>
      <c r="S19" s="0" t="n">
        <f aca="false">MY_PT(S$2,$A19)</f>
        <v>3.45224418176312</v>
      </c>
      <c r="T19" s="0" t="n">
        <f aca="false">MY_PT(T$2,$A19)</f>
        <v>3.45221007171425</v>
      </c>
      <c r="U19" s="0" t="n">
        <f aca="false">MY_PT(U$2,$A19)</f>
        <v>3.45217596557132</v>
      </c>
      <c r="V19" s="0" t="n">
        <f aca="false">MY_PT(V$2,$A19)</f>
        <v>3.45214186333411</v>
      </c>
      <c r="W19" s="0" t="n">
        <f aca="false">MY_PT(W$2,$A19)</f>
        <v>3.45210776500241</v>
      </c>
      <c r="X19" s="0" t="n">
        <f aca="false">MY_PT(X$2,$A19)</f>
        <v>3.45207367057613</v>
      </c>
      <c r="Y19" s="0" t="n">
        <f aca="false">MY_PT(Y$2,$A19)</f>
        <v>3.4517329410649</v>
      </c>
      <c r="Z19" s="0" t="n">
        <f aca="false">MY_PT(Z$2,$A19)</f>
        <v>3.45139260187734</v>
      </c>
      <c r="AA19" s="0" t="n">
        <f aca="false">MY_PT(AA$2,$A19)</f>
        <v>3.45105265282142</v>
      </c>
      <c r="AB19" s="0" t="n">
        <f aca="false">MY_PT(AB$2,$A19)</f>
        <v>3.45071309370514</v>
      </c>
      <c r="AC19" s="0" t="n">
        <f aca="false">MY_PT(AC$2,$A19)</f>
        <v>3.45037392433655</v>
      </c>
      <c r="AD19" s="0" t="n">
        <f aca="false">MY_PT(AD$2,$A19)</f>
        <v>3.4500351445237</v>
      </c>
      <c r="AE19" s="0" t="n">
        <f aca="false">MY_PT(AE$2,$A19)</f>
        <v>3.44969675407477</v>
      </c>
      <c r="AF19" s="0" t="n">
        <f aca="false">MY_PT(AF$2,$A19)</f>
        <v>3.4493587527979</v>
      </c>
      <c r="AG19" s="0" t="n">
        <f aca="false">MY_PT(AG$2,$A19)</f>
        <v>3.44902114050131</v>
      </c>
      <c r="AH19" s="0" t="n">
        <f aca="false">MY_PT(AH$2,$A19)</f>
        <v>3.44566636928634</v>
      </c>
      <c r="AI19" s="0" t="n">
        <f aca="false">MY_PT(AI$2,$A19)</f>
        <v>3.44235028543684</v>
      </c>
      <c r="AJ19" s="0" t="n">
        <f aca="false">MY_PT(AJ$2,$A19)</f>
        <v>3.43907269785169</v>
      </c>
      <c r="AK19" s="0" t="n">
        <f aca="false">MY_PT(AK$2,$A19)</f>
        <v>3.43583341585947</v>
      </c>
      <c r="AL19" s="0" t="n">
        <f aca="false">MY_PT(AL$2,$A19)</f>
        <v>3.43263224922803</v>
      </c>
      <c r="AM19" s="0" t="n">
        <f aca="false">MY_PT(AM$2,$A19)</f>
        <v>3.42946900817405</v>
      </c>
      <c r="AN19" s="0" t="n">
        <f aca="false">MY_PT(AN$2,$A19)</f>
        <v>3.42634350337188</v>
      </c>
      <c r="AO19" s="0" t="n">
        <f aca="false">MY_PT(AO$2,$A19)</f>
        <v>3.42325554596287</v>
      </c>
      <c r="AP19" s="0" t="n">
        <f aca="false">MY_PT(AP$2,$A19)</f>
        <v>3.42020494756439</v>
      </c>
      <c r="AQ19" s="0" t="n">
        <f aca="false">MY_PT(AQ$2,$A19)</f>
        <v>3.39171262243148</v>
      </c>
      <c r="AR19" s="0" t="n">
        <f aca="false">MY_PT(AR$2,$A19)</f>
        <v>3.38627776237131</v>
      </c>
      <c r="AS19" s="0" t="n">
        <f aca="false">MY_PT(AS$2,$A19)</f>
        <v>3.38449732144559</v>
      </c>
    </row>
    <row r="20" customFormat="false" ht="12.8" hidden="false" customHeight="false" outlineLevel="0" collapsed="false">
      <c r="A20" s="0" t="n">
        <v>46.4</v>
      </c>
      <c r="B20" s="0" t="n">
        <f aca="false">MY_PT(B$2,$A20)</f>
        <v>0.022767197603563</v>
      </c>
      <c r="C20" s="0" t="n">
        <f aca="false">MY_PT(C$2,$A20)</f>
        <v>0.0227666054896297</v>
      </c>
      <c r="D20" s="0" t="n">
        <f aca="false">MY_PT(D$2,$A20)</f>
        <v>0.0227660132977969</v>
      </c>
      <c r="E20" s="0" t="n">
        <f aca="false">MY_PT(E$2,$A20)</f>
        <v>0.0227654210245537</v>
      </c>
      <c r="F20" s="0" t="n">
        <f aca="false">MY_PT(F$2,$A20)</f>
        <v>0.0227648286660101</v>
      </c>
      <c r="G20" s="0" t="n">
        <f aca="false">MY_PT(G$2,$A20)</f>
        <v>3.35001606640581</v>
      </c>
      <c r="H20" s="0" t="n">
        <f aca="false">MY_PT(H$2,$A20)</f>
        <v>3.35001292808699</v>
      </c>
      <c r="I20" s="0" t="n">
        <f aca="false">MY_PT(I$2,$A20)</f>
        <v>3.3500097898046</v>
      </c>
      <c r="J20" s="0" t="n">
        <f aca="false">MY_PT(J$2,$A20)</f>
        <v>3.35000665155867</v>
      </c>
      <c r="K20" s="0" t="n">
        <f aca="false">MY_PT(K$2,$A20)</f>
        <v>3.35000351334913</v>
      </c>
      <c r="L20" s="0" t="n">
        <f aca="false">MY_PT(L$2,$A20)</f>
        <v>3.35000037517607</v>
      </c>
      <c r="M20" s="0" t="n">
        <f aca="false">MY_PT(M$2,$A20)</f>
        <v>3.34999723703949</v>
      </c>
      <c r="N20" s="0" t="n">
        <f aca="false">MY_PT(N$2,$A20)</f>
        <v>3.3499940989393</v>
      </c>
      <c r="O20" s="0" t="n">
        <f aca="false">MY_PT(O$2,$A20)</f>
        <v>3.34999096087557</v>
      </c>
      <c r="P20" s="0" t="n">
        <f aca="false">MY_PT(P$2,$A20)</f>
        <v>3.34995958224249</v>
      </c>
      <c r="Q20" s="0" t="n">
        <f aca="false">MY_PT(Q$2,$A20)</f>
        <v>3.34992820725344</v>
      </c>
      <c r="R20" s="0" t="n">
        <f aca="false">MY_PT(R$2,$A20)</f>
        <v>3.34989683590818</v>
      </c>
      <c r="S20" s="0" t="n">
        <f aca="false">MY_PT(S$2,$A20)</f>
        <v>3.34986546820666</v>
      </c>
      <c r="T20" s="0" t="n">
        <f aca="false">MY_PT(T$2,$A20)</f>
        <v>3.34983410414854</v>
      </c>
      <c r="U20" s="0" t="n">
        <f aca="false">MY_PT(U$2,$A20)</f>
        <v>3.34980274373375</v>
      </c>
      <c r="V20" s="0" t="n">
        <f aca="false">MY_PT(V$2,$A20)</f>
        <v>3.34977138696208</v>
      </c>
      <c r="W20" s="0" t="n">
        <f aca="false">MY_PT(W$2,$A20)</f>
        <v>3.34974003383339</v>
      </c>
      <c r="X20" s="0" t="n">
        <f aca="false">MY_PT(X$2,$A20)</f>
        <v>3.34970868434748</v>
      </c>
      <c r="Y20" s="0" t="n">
        <f aca="false">MY_PT(Y$2,$A20)</f>
        <v>3.34939538980249</v>
      </c>
      <c r="Z20" s="0" t="n">
        <f aca="false">MY_PT(Z$2,$A20)</f>
        <v>3.34908245934226</v>
      </c>
      <c r="AA20" s="0" t="n">
        <f aca="false">MY_PT(AA$2,$A20)</f>
        <v>3.34876989279131</v>
      </c>
      <c r="AB20" s="0" t="n">
        <f aca="false">MY_PT(AB$2,$A20)</f>
        <v>3.34845768997409</v>
      </c>
      <c r="AC20" s="0" t="n">
        <f aca="false">MY_PT(AC$2,$A20)</f>
        <v>3.3481458507151</v>
      </c>
      <c r="AD20" s="0" t="n">
        <f aca="false">MY_PT(AD$2,$A20)</f>
        <v>3.3478343748389</v>
      </c>
      <c r="AE20" s="0" t="n">
        <f aca="false">MY_PT(AE$2,$A20)</f>
        <v>3.34752326217014</v>
      </c>
      <c r="AF20" s="0" t="n">
        <f aca="false">MY_PT(AF$2,$A20)</f>
        <v>3.3472125125334</v>
      </c>
      <c r="AG20" s="0" t="n">
        <f aca="false">MY_PT(AG$2,$A20)</f>
        <v>3.34690212575331</v>
      </c>
      <c r="AH20" s="0" t="n">
        <f aca="false">MY_PT(AH$2,$A20)</f>
        <v>3.34381817651997</v>
      </c>
      <c r="AI20" s="0" t="n">
        <f aca="false">MY_PT(AI$2,$A20)</f>
        <v>3.34077032033992</v>
      </c>
      <c r="AJ20" s="0" t="n">
        <f aca="false">MY_PT(AJ$2,$A20)</f>
        <v>3.3377583824565</v>
      </c>
      <c r="AK20" s="0" t="n">
        <f aca="false">MY_PT(AK$2,$A20)</f>
        <v>3.33478218847812</v>
      </c>
      <c r="AL20" s="0" t="n">
        <f aca="false">MY_PT(AL$2,$A20)</f>
        <v>3.33184156438678</v>
      </c>
      <c r="AM20" s="0" t="n">
        <f aca="false">MY_PT(AM$2,$A20)</f>
        <v>3.32893633654685</v>
      </c>
      <c r="AN20" s="0" t="n">
        <f aca="false">MY_PT(AN$2,$A20)</f>
        <v>3.32606633171349</v>
      </c>
      <c r="AO20" s="0" t="n">
        <f aca="false">MY_PT(AO$2,$A20)</f>
        <v>3.32323137704076</v>
      </c>
      <c r="AP20" s="0" t="n">
        <f aca="false">MY_PT(AP$2,$A20)</f>
        <v>3.32043130009007</v>
      </c>
      <c r="AQ20" s="0" t="n">
        <f aca="false">MY_PT(AQ$2,$A20)</f>
        <v>3.29431117588543</v>
      </c>
      <c r="AR20" s="0" t="n">
        <f aca="false">MY_PT(AR$2,$A20)</f>
        <v>3.28933665316111</v>
      </c>
      <c r="AS20" s="0" t="n">
        <f aca="false">MY_PT(AS$2,$A20)</f>
        <v>3.28770766220308</v>
      </c>
    </row>
    <row r="21" customFormat="false" ht="12.8" hidden="false" customHeight="false" outlineLevel="0" collapsed="false">
      <c r="A21" s="0" t="n">
        <v>48.2</v>
      </c>
      <c r="B21" s="0" t="n">
        <f aca="false">MY_PT(B$2,$A21)</f>
        <v>0.0228288367432089</v>
      </c>
      <c r="C21" s="0" t="n">
        <f aca="false">MY_PT(C$2,$A21)</f>
        <v>0.022828252964725</v>
      </c>
      <c r="D21" s="0" t="n">
        <f aca="false">MY_PT(D$2,$A21)</f>
        <v>0.022827669113082</v>
      </c>
      <c r="E21" s="0" t="n">
        <f aca="false">MY_PT(E$2,$A21)</f>
        <v>0.0228270851853507</v>
      </c>
      <c r="F21" s="0" t="n">
        <f aca="false">MY_PT(F$2,$A21)</f>
        <v>0.0228265011782865</v>
      </c>
      <c r="G21" s="0" t="n">
        <f aca="false">MY_PT(G$2,$A21)</f>
        <v>3.25241021977802</v>
      </c>
      <c r="H21" s="0" t="n">
        <f aca="false">MY_PT(H$2,$A21)</f>
        <v>3.25240733575391</v>
      </c>
      <c r="I21" s="0" t="n">
        <f aca="false">MY_PT(I$2,$A21)</f>
        <v>3.25240445176387</v>
      </c>
      <c r="J21" s="0" t="n">
        <f aca="false">MY_PT(J$2,$A21)</f>
        <v>3.25240156780787</v>
      </c>
      <c r="K21" s="0" t="n">
        <f aca="false">MY_PT(K$2,$A21)</f>
        <v>3.25239868388587</v>
      </c>
      <c r="L21" s="0" t="n">
        <f aca="false">MY_PT(L$2,$A21)</f>
        <v>3.2523957999979</v>
      </c>
      <c r="M21" s="0" t="n">
        <f aca="false">MY_PT(M$2,$A21)</f>
        <v>3.25239291614396</v>
      </c>
      <c r="N21" s="0" t="n">
        <f aca="false">MY_PT(N$2,$A21)</f>
        <v>3.25239003232404</v>
      </c>
      <c r="O21" s="0" t="n">
        <f aca="false">MY_PT(O$2,$A21)</f>
        <v>3.25238714853816</v>
      </c>
      <c r="P21" s="0" t="n">
        <f aca="false">MY_PT(P$2,$A21)</f>
        <v>3.2523583125507</v>
      </c>
      <c r="Q21" s="0" t="n">
        <f aca="false">MY_PT(Q$2,$A21)</f>
        <v>3.25232947996575</v>
      </c>
      <c r="R21" s="0" t="n">
        <f aca="false">MY_PT(R$2,$A21)</f>
        <v>3.25230065078308</v>
      </c>
      <c r="S21" s="0" t="n">
        <f aca="false">MY_PT(S$2,$A21)</f>
        <v>3.25227182500262</v>
      </c>
      <c r="T21" s="0" t="n">
        <f aca="false">MY_PT(T$2,$A21)</f>
        <v>3.25224300262414</v>
      </c>
      <c r="U21" s="0" t="n">
        <f aca="false">MY_PT(U$2,$A21)</f>
        <v>3.25221418364748</v>
      </c>
      <c r="V21" s="0" t="n">
        <f aca="false">MY_PT(V$2,$A21)</f>
        <v>3.25218536807251</v>
      </c>
      <c r="W21" s="0" t="n">
        <f aca="false">MY_PT(W$2,$A21)</f>
        <v>3.25215655589906</v>
      </c>
      <c r="X21" s="0" t="n">
        <f aca="false">MY_PT(X$2,$A21)</f>
        <v>3.25212774712701</v>
      </c>
      <c r="Y21" s="0" t="n">
        <f aca="false">MY_PT(Y$2,$A21)</f>
        <v>3.25183984644553</v>
      </c>
      <c r="Z21" s="0" t="n">
        <f aca="false">MY_PT(Z$2,$A21)</f>
        <v>3.25155228572323</v>
      </c>
      <c r="AA21" s="0" t="n">
        <f aca="false">MY_PT(AA$2,$A21)</f>
        <v>3.2512650647992</v>
      </c>
      <c r="AB21" s="0" t="n">
        <f aca="false">MY_PT(AB$2,$A21)</f>
        <v>3.25097818351293</v>
      </c>
      <c r="AC21" s="0" t="n">
        <f aca="false">MY_PT(AC$2,$A21)</f>
        <v>3.25069164170369</v>
      </c>
      <c r="AD21" s="0" t="n">
        <f aca="false">MY_PT(AD$2,$A21)</f>
        <v>3.25040543921084</v>
      </c>
      <c r="AE21" s="0" t="n">
        <f aca="false">MY_PT(AE$2,$A21)</f>
        <v>3.25011957587379</v>
      </c>
      <c r="AF21" s="0" t="n">
        <f aca="false">MY_PT(AF$2,$A21)</f>
        <v>3.24983405153201</v>
      </c>
      <c r="AG21" s="0" t="n">
        <f aca="false">MY_PT(AG$2,$A21)</f>
        <v>3.24954886602493</v>
      </c>
      <c r="AH21" s="0" t="n">
        <f aca="false">MY_PT(AH$2,$A21)</f>
        <v>3.2467156115651</v>
      </c>
      <c r="AI21" s="0" t="n">
        <f aca="false">MY_PT(AI$2,$A21)</f>
        <v>3.24391606420226</v>
      </c>
      <c r="AJ21" s="0" t="n">
        <f aca="false">MY_PT(AJ$2,$A21)</f>
        <v>3.2411500638908</v>
      </c>
      <c r="AK21" s="0" t="n">
        <f aca="false">MY_PT(AK$2,$A21)</f>
        <v>3.2384174508944</v>
      </c>
      <c r="AL21" s="0" t="n">
        <f aca="false">MY_PT(AL$2,$A21)</f>
        <v>3.23571806579373</v>
      </c>
      <c r="AM21" s="0" t="n">
        <f aca="false">MY_PT(AM$2,$A21)</f>
        <v>3.23305174949442</v>
      </c>
      <c r="AN21" s="0" t="n">
        <f aca="false">MY_PT(AN$2,$A21)</f>
        <v>3.23041834323471</v>
      </c>
      <c r="AO21" s="0" t="n">
        <f aca="false">MY_PT(AO$2,$A21)</f>
        <v>3.22781768859316</v>
      </c>
      <c r="AP21" s="0" t="n">
        <f aca="false">MY_PT(AP$2,$A21)</f>
        <v>3.22524962749627</v>
      </c>
      <c r="AQ21" s="0" t="n">
        <f aca="false">MY_PT(AQ$2,$A21)</f>
        <v>3.20132714864802</v>
      </c>
      <c r="AR21" s="0" t="n">
        <f aca="false">MY_PT(AR$2,$A21)</f>
        <v>3.1967792307324</v>
      </c>
      <c r="AS21" s="0" t="n">
        <f aca="false">MY_PT(AS$2,$A21)</f>
        <v>3.19529060173754</v>
      </c>
    </row>
    <row r="22" customFormat="false" ht="12.8" hidden="false" customHeight="false" outlineLevel="0" collapsed="false">
      <c r="A22" s="0" t="n">
        <v>50</v>
      </c>
      <c r="B22" s="0" t="n">
        <f aca="false">MY_PT(B$2,$A22)</f>
        <v>0.0228910042787928</v>
      </c>
      <c r="C22" s="0" t="n">
        <f aca="false">MY_PT(C$2,$A22)</f>
        <v>0.0228904286786863</v>
      </c>
      <c r="D22" s="0" t="n">
        <f aca="false">MY_PT(D$2,$A22)</f>
        <v>0.0228898530096664</v>
      </c>
      <c r="E22" s="0" t="n">
        <f aca="false">MY_PT(E$2,$A22)</f>
        <v>0.0228892772692878</v>
      </c>
      <c r="F22" s="0" t="n">
        <f aca="false">MY_PT(F$2,$A22)</f>
        <v>0.0228887014548421</v>
      </c>
      <c r="G22" s="0" t="n">
        <f aca="false">MY_PT(G$2,$A22)</f>
        <v>3.15929050751873</v>
      </c>
      <c r="H22" s="0" t="n">
        <f aca="false">MY_PT(H$2,$A22)</f>
        <v>3.15928785907956</v>
      </c>
      <c r="I22" s="0" t="n">
        <f aca="false">MY_PT(I$2,$A22)</f>
        <v>3.15928521067219</v>
      </c>
      <c r="J22" s="0" t="n">
        <f aca="false">MY_PT(J$2,$A22)</f>
        <v>3.15928256229658</v>
      </c>
      <c r="K22" s="0" t="n">
        <f aca="false">MY_PT(K$2,$A22)</f>
        <v>3.15927991395283</v>
      </c>
      <c r="L22" s="0" t="n">
        <f aca="false">MY_PT(L$2,$A22)</f>
        <v>3.15927726564085</v>
      </c>
      <c r="M22" s="0" t="n">
        <f aca="false">MY_PT(M$2,$A22)</f>
        <v>3.15927461736072</v>
      </c>
      <c r="N22" s="0" t="n">
        <f aca="false">MY_PT(N$2,$A22)</f>
        <v>3.15927196911234</v>
      </c>
      <c r="O22" s="0" t="n">
        <f aca="false">MY_PT(O$2,$A22)</f>
        <v>3.15926932089578</v>
      </c>
      <c r="P22" s="0" t="n">
        <f aca="false">MY_PT(P$2,$A22)</f>
        <v>3.15924284047932</v>
      </c>
      <c r="Q22" s="0" t="n">
        <f aca="false">MY_PT(Q$2,$A22)</f>
        <v>3.15921636324299</v>
      </c>
      <c r="R22" s="0" t="n">
        <f aca="false">MY_PT(R$2,$A22)</f>
        <v>3.1591898891867</v>
      </c>
      <c r="S22" s="0" t="n">
        <f aca="false">MY_PT(S$2,$A22)</f>
        <v>3.15916341831019</v>
      </c>
      <c r="T22" s="0" t="n">
        <f aca="false">MY_PT(T$2,$A22)</f>
        <v>3.15913695061343</v>
      </c>
      <c r="U22" s="0" t="n">
        <f aca="false">MY_PT(U$2,$A22)</f>
        <v>3.1591104860962</v>
      </c>
      <c r="V22" s="0" t="n">
        <f aca="false">MY_PT(V$2,$A22)</f>
        <v>3.15908402475837</v>
      </c>
      <c r="W22" s="0" t="n">
        <f aca="false">MY_PT(W$2,$A22)</f>
        <v>3.15905756659982</v>
      </c>
      <c r="X22" s="0" t="n">
        <f aca="false">MY_PT(X$2,$A22)</f>
        <v>3.15903111162039</v>
      </c>
      <c r="Y22" s="0" t="n">
        <f aca="false">MY_PT(Y$2,$A22)</f>
        <v>3.15876673664438</v>
      </c>
      <c r="Z22" s="0" t="n">
        <f aca="false">MY_PT(Z$2,$A22)</f>
        <v>3.15850267941717</v>
      </c>
      <c r="AA22" s="0" t="n">
        <f aca="false">MY_PT(AA$2,$A22)</f>
        <v>3.15823893979136</v>
      </c>
      <c r="AB22" s="0" t="n">
        <f aca="false">MY_PT(AB$2,$A22)</f>
        <v>3.15797551761966</v>
      </c>
      <c r="AC22" s="0" t="n">
        <f aca="false">MY_PT(AC$2,$A22)</f>
        <v>3.15771241275472</v>
      </c>
      <c r="AD22" s="0" t="n">
        <f aca="false">MY_PT(AD$2,$A22)</f>
        <v>3.15744962504933</v>
      </c>
      <c r="AE22" s="0" t="n">
        <f aca="false">MY_PT(AE$2,$A22)</f>
        <v>3.15718715435622</v>
      </c>
      <c r="AF22" s="0" t="n">
        <f aca="false">MY_PT(AF$2,$A22)</f>
        <v>3.15692500052812</v>
      </c>
      <c r="AG22" s="0" t="n">
        <f aca="false">MY_PT(AG$2,$A22)</f>
        <v>3.15666316341787</v>
      </c>
      <c r="AH22" s="0" t="n">
        <f aca="false">MY_PT(AH$2,$A22)</f>
        <v>3.15406217942942</v>
      </c>
      <c r="AI22" s="0" t="n">
        <f aca="false">MY_PT(AI$2,$A22)</f>
        <v>3.15149270548615</v>
      </c>
      <c r="AJ22" s="0" t="n">
        <f aca="false">MY_PT(AJ$2,$A22)</f>
        <v>3.14895459480061</v>
      </c>
      <c r="AK22" s="0" t="n">
        <f aca="false">MY_PT(AK$2,$A22)</f>
        <v>3.14644770084628</v>
      </c>
      <c r="AL22" s="0" t="n">
        <f aca="false">MY_PT(AL$2,$A22)</f>
        <v>3.14397187736473</v>
      </c>
      <c r="AM22" s="0" t="n">
        <f aca="false">MY_PT(AM$2,$A22)</f>
        <v>3.14152697837293</v>
      </c>
      <c r="AN22" s="0" t="n">
        <f aca="false">MY_PT(AN$2,$A22)</f>
        <v>3.13911285817028</v>
      </c>
      <c r="AO22" s="0" t="n">
        <f aca="false">MY_PT(AO$2,$A22)</f>
        <v>3.13672937134556</v>
      </c>
      <c r="AP22" s="0" t="n">
        <f aca="false">MY_PT(AP$2,$A22)</f>
        <v>3.13437637278394</v>
      </c>
      <c r="AQ22" s="0" t="n">
        <f aca="false">MY_PT(AQ$2,$A22)</f>
        <v>3.11249154178843</v>
      </c>
      <c r="AR22" s="0" t="n">
        <f aca="false">MY_PT(AR$2,$A22)</f>
        <v>3.10833929139741</v>
      </c>
      <c r="AS22" s="0" t="n">
        <f aca="false">MY_PT(AS$2,$A22)</f>
        <v>3.10698085384727</v>
      </c>
    </row>
    <row r="23" customFormat="false" ht="12.8" hidden="false" customHeight="false" outlineLevel="0" collapsed="false">
      <c r="A23" s="0" t="n">
        <v>68</v>
      </c>
      <c r="B23" s="0" t="n">
        <f aca="false">MY_PT(B$2,$A23)</f>
        <v>0.023539708855884</v>
      </c>
      <c r="C23" s="0" t="n">
        <f aca="false">MY_PT(C$2,$A23)</f>
        <v>0.0235392072043861</v>
      </c>
      <c r="D23" s="0" t="n">
        <f aca="false">MY_PT(D$2,$A23)</f>
        <v>0.0235387055105335</v>
      </c>
      <c r="E23" s="0" t="n">
        <f aca="false">MY_PT(E$2,$A23)</f>
        <v>0.023538203773904</v>
      </c>
      <c r="F23" s="0" t="n">
        <f aca="false">MY_PT(F$2,$A23)</f>
        <v>0.0235377019940314</v>
      </c>
      <c r="G23" s="0" t="n">
        <f aca="false">MY_PT(G$2,$A23)</f>
        <v>0.0235326816830995</v>
      </c>
      <c r="H23" s="0" t="n">
        <f aca="false">MY_PT(H$2,$A23)</f>
        <v>2.42307390658591</v>
      </c>
      <c r="I23" s="0" t="n">
        <f aca="false">MY_PT(I$2,$A23)</f>
        <v>2.42307286652035</v>
      </c>
      <c r="J23" s="0" t="n">
        <f aca="false">MY_PT(J$2,$A23)</f>
        <v>2.42307182647177</v>
      </c>
      <c r="K23" s="0" t="n">
        <f aca="false">MY_PT(K$2,$A23)</f>
        <v>2.4230707864402</v>
      </c>
      <c r="L23" s="0" t="n">
        <f aca="false">MY_PT(L$2,$A23)</f>
        <v>2.42306974642561</v>
      </c>
      <c r="M23" s="0" t="n">
        <f aca="false">MY_PT(M$2,$A23)</f>
        <v>2.42306870642797</v>
      </c>
      <c r="N23" s="0" t="n">
        <f aca="false">MY_PT(N$2,$A23)</f>
        <v>2.42306766644736</v>
      </c>
      <c r="O23" s="0" t="n">
        <f aca="false">MY_PT(O$2,$A23)</f>
        <v>2.42306662648369</v>
      </c>
      <c r="P23" s="0" t="n">
        <f aca="false">MY_PT(P$2,$A23)</f>
        <v>2.42305622778148</v>
      </c>
      <c r="Q23" s="0" t="n">
        <f aca="false">MY_PT(Q$2,$A23)</f>
        <v>2.42304583077782</v>
      </c>
      <c r="R23" s="0" t="n">
        <f aca="false">MY_PT(R$2,$A23)</f>
        <v>2.42303543547263</v>
      </c>
      <c r="S23" s="0" t="n">
        <f aca="false">MY_PT(S$2,$A23)</f>
        <v>2.42302504186586</v>
      </c>
      <c r="T23" s="0" t="n">
        <f aca="false">MY_PT(T$2,$A23)</f>
        <v>2.42301464995744</v>
      </c>
      <c r="U23" s="0" t="n">
        <f aca="false">MY_PT(U$2,$A23)</f>
        <v>2.42300425974733</v>
      </c>
      <c r="V23" s="0" t="n">
        <f aca="false">MY_PT(V$2,$A23)</f>
        <v>2.42299387123541</v>
      </c>
      <c r="W23" s="0" t="n">
        <f aca="false">MY_PT(W$2,$A23)</f>
        <v>2.42298348442162</v>
      </c>
      <c r="X23" s="0" t="n">
        <f aca="false">MY_PT(X$2,$A23)</f>
        <v>2.42297309930596</v>
      </c>
      <c r="Y23" s="0" t="n">
        <f aca="false">MY_PT(Y$2,$A23)</f>
        <v>2.42286934152906</v>
      </c>
      <c r="Z23" s="0" t="n">
        <f aca="false">MY_PT(Z$2,$A23)</f>
        <v>2.42276575348687</v>
      </c>
      <c r="AA23" s="0" t="n">
        <f aca="false">MY_PT(AA$2,$A23)</f>
        <v>2.42266233511245</v>
      </c>
      <c r="AB23" s="0" t="n">
        <f aca="false">MY_PT(AB$2,$A23)</f>
        <v>2.42255908633885</v>
      </c>
      <c r="AC23" s="0" t="n">
        <f aca="false">MY_PT(AC$2,$A23)</f>
        <v>2.42245600709917</v>
      </c>
      <c r="AD23" s="0" t="n">
        <f aca="false">MY_PT(AD$2,$A23)</f>
        <v>2.42235309732642</v>
      </c>
      <c r="AE23" s="0" t="n">
        <f aca="false">MY_PT(AE$2,$A23)</f>
        <v>2.42225035695371</v>
      </c>
      <c r="AF23" s="0" t="n">
        <f aca="false">MY_PT(AF$2,$A23)</f>
        <v>2.42214778591409</v>
      </c>
      <c r="AG23" s="0" t="n">
        <f aca="false">MY_PT(AG$2,$A23)</f>
        <v>2.42204538414065</v>
      </c>
      <c r="AH23" s="0" t="n">
        <f aca="false">MY_PT(AH$2,$A23)</f>
        <v>2.42103066132271</v>
      </c>
      <c r="AI23" s="0" t="n">
        <f aca="false">MY_PT(AI$2,$A23)</f>
        <v>2.42003279151656</v>
      </c>
      <c r="AJ23" s="0" t="n">
        <f aca="false">MY_PT(AJ$2,$A23)</f>
        <v>2.41905170783206</v>
      </c>
      <c r="AK23" s="0" t="n">
        <f aca="false">MY_PT(AK$2,$A23)</f>
        <v>2.41808734340615</v>
      </c>
      <c r="AL23" s="0" t="n">
        <f aca="false">MY_PT(AL$2,$A23)</f>
        <v>2.41713963140575</v>
      </c>
      <c r="AM23" s="0" t="n">
        <f aca="false">MY_PT(AM$2,$A23)</f>
        <v>2.41620850503072</v>
      </c>
      <c r="AN23" s="0" t="n">
        <f aca="false">MY_PT(AN$2,$A23)</f>
        <v>2.41529389751702</v>
      </c>
      <c r="AO23" s="0" t="n">
        <f aca="false">MY_PT(AO$2,$A23)</f>
        <v>2.41439574213955</v>
      </c>
      <c r="AP23" s="0" t="n">
        <f aca="false">MY_PT(AP$2,$A23)</f>
        <v>2.41351397221529</v>
      </c>
      <c r="AQ23" s="0" t="n">
        <f aca="false">MY_PT(AQ$2,$A23)</f>
        <v>2.40558283885026</v>
      </c>
      <c r="AR23" s="0" t="n">
        <f aca="false">MY_PT(AR$2,$A23)</f>
        <v>2.40414298708139</v>
      </c>
      <c r="AS23" s="0" t="n">
        <f aca="false">MY_PT(AS$2,$A23)</f>
        <v>2.40367724009188</v>
      </c>
    </row>
    <row r="24" customFormat="false" ht="12.8" hidden="false" customHeight="false" outlineLevel="0" collapsed="false">
      <c r="A24" s="0" t="n">
        <v>86</v>
      </c>
      <c r="B24" s="0" t="n">
        <f aca="false">MY_PT(B$2,$A24)</f>
        <v>0.0242319621397668</v>
      </c>
      <c r="C24" s="0" t="n">
        <f aca="false">MY_PT(C$2,$A24)</f>
        <v>0.0242315223404523</v>
      </c>
      <c r="D24" s="0" t="n">
        <f aca="false">MY_PT(D$2,$A24)</f>
        <v>0.0242310825124116</v>
      </c>
      <c r="E24" s="0" t="n">
        <f aca="false">MY_PT(E$2,$A24)</f>
        <v>0.0242306426555603</v>
      </c>
      <c r="F24" s="0" t="n">
        <f aca="false">MY_PT(F$2,$A24)</f>
        <v>0.0242302027698063</v>
      </c>
      <c r="G24" s="0" t="n">
        <f aca="false">MY_PT(G$2,$A24)</f>
        <v>0.0242258022969635</v>
      </c>
      <c r="H24" s="0" t="n">
        <f aca="false">MY_PT(H$2,$A24)</f>
        <v>0.0242213987763536</v>
      </c>
      <c r="I24" s="0" t="n">
        <f aca="false">MY_PT(I$2,$A24)</f>
        <v>0.0242169919906553</v>
      </c>
      <c r="J24" s="0" t="n">
        <f aca="false">MY_PT(J$2,$A24)</f>
        <v>1.92887104394409</v>
      </c>
      <c r="K24" s="0" t="n">
        <f aca="false">MY_PT(K$2,$A24)</f>
        <v>1.92887080956346</v>
      </c>
      <c r="L24" s="0" t="n">
        <f aca="false">MY_PT(L$2,$A24)</f>
        <v>1.92887057519257</v>
      </c>
      <c r="M24" s="0" t="n">
        <f aca="false">MY_PT(M$2,$A24)</f>
        <v>1.92887034083142</v>
      </c>
      <c r="N24" s="0" t="n">
        <f aca="false">MY_PT(N$2,$A24)</f>
        <v>1.92887010648001</v>
      </c>
      <c r="O24" s="0" t="n">
        <f aca="false">MY_PT(O$2,$A24)</f>
        <v>1.92886987213832</v>
      </c>
      <c r="P24" s="0" t="n">
        <f aca="false">MY_PT(P$2,$A24)</f>
        <v>1.92886752925718</v>
      </c>
      <c r="Q24" s="0" t="n">
        <f aca="false">MY_PT(Q$2,$A24)</f>
        <v>1.92886518734981</v>
      </c>
      <c r="R24" s="0" t="n">
        <f aca="false">MY_PT(R$2,$A24)</f>
        <v>1.9288628464162</v>
      </c>
      <c r="S24" s="0" t="n">
        <f aca="false">MY_PT(S$2,$A24)</f>
        <v>1.92886050645631</v>
      </c>
      <c r="T24" s="0" t="n">
        <f aca="false">MY_PT(T$2,$A24)</f>
        <v>1.92885816747009</v>
      </c>
      <c r="U24" s="0" t="n">
        <f aca="false">MY_PT(U$2,$A24)</f>
        <v>1.92885582945753</v>
      </c>
      <c r="V24" s="0" t="n">
        <f aca="false">MY_PT(V$2,$A24)</f>
        <v>1.9288534924186</v>
      </c>
      <c r="W24" s="0" t="n">
        <f aca="false">MY_PT(W$2,$A24)</f>
        <v>1.92885115635322</v>
      </c>
      <c r="X24" s="0" t="n">
        <f aca="false">MY_PT(X$2,$A24)</f>
        <v>1.92884882126141</v>
      </c>
      <c r="Y24" s="0" t="n">
        <f aca="false">MY_PT(Y$2,$A24)</f>
        <v>1.92882552388056</v>
      </c>
      <c r="Z24" s="0" t="n">
        <f aca="false">MY_PT(Z$2,$A24)</f>
        <v>1.92880232381585</v>
      </c>
      <c r="AA24" s="0" t="n">
        <f aca="false">MY_PT(AA$2,$A24)</f>
        <v>1.92877922103243</v>
      </c>
      <c r="AB24" s="0" t="n">
        <f aca="false">MY_PT(AB$2,$A24)</f>
        <v>1.9287562154954</v>
      </c>
      <c r="AC24" s="0" t="n">
        <f aca="false">MY_PT(AC$2,$A24)</f>
        <v>1.92873330716994</v>
      </c>
      <c r="AD24" s="0" t="n">
        <f aca="false">MY_PT(AD$2,$A24)</f>
        <v>1.9287104960211</v>
      </c>
      <c r="AE24" s="0" t="n">
        <f aca="false">MY_PT(AE$2,$A24)</f>
        <v>1.92868778201402</v>
      </c>
      <c r="AF24" s="0" t="n">
        <f aca="false">MY_PT(AF$2,$A24)</f>
        <v>1.92866516511387</v>
      </c>
      <c r="AG24" s="0" t="n">
        <f aca="false">MY_PT(AG$2,$A24)</f>
        <v>1.92864264528567</v>
      </c>
      <c r="AH24" s="0" t="n">
        <f aca="false">MY_PT(AH$2,$A24)</f>
        <v>1.92842277828627</v>
      </c>
      <c r="AI24" s="0" t="n">
        <f aca="false">MY_PT(AI$2,$A24)</f>
        <v>1.92821258008923</v>
      </c>
      <c r="AJ24" s="0" t="n">
        <f aca="false">MY_PT(AJ$2,$A24)</f>
        <v>1.92801201576279</v>
      </c>
      <c r="AK24" s="0" t="n">
        <f aca="false">MY_PT(AK$2,$A24)</f>
        <v>1.92782105035066</v>
      </c>
      <c r="AL24" s="0" t="n">
        <f aca="false">MY_PT(AL$2,$A24)</f>
        <v>1.92763964887322</v>
      </c>
      <c r="AM24" s="0" t="n">
        <f aca="false">MY_PT(AM$2,$A24)</f>
        <v>1.92746777632922</v>
      </c>
      <c r="AN24" s="0" t="n">
        <f aca="false">MY_PT(AN$2,$A24)</f>
        <v>1.92730539769695</v>
      </c>
      <c r="AO24" s="0" t="n">
        <f aca="false">MY_PT(AO$2,$A24)</f>
        <v>1.92715247793593</v>
      </c>
      <c r="AP24" s="0" t="n">
        <f aca="false">MY_PT(AP$2,$A24)</f>
        <v>1.9270089819884</v>
      </c>
      <c r="AQ24" s="0" t="n">
        <f aca="false">MY_PT(AQ$2,$A24)</f>
        <v>1.92608461038959</v>
      </c>
      <c r="AR24" s="0" t="n">
        <f aca="false">MY_PT(AR$2,$A24)</f>
        <v>1.92600749638729</v>
      </c>
      <c r="AS24" s="0" t="n">
        <f aca="false">MY_PT(AS$2,$A24)</f>
        <v>1.92599027664529</v>
      </c>
    </row>
    <row r="25" customFormat="false" ht="12.8" hidden="false" customHeight="false" outlineLevel="0" collapsed="false">
      <c r="A25" s="0" t="n">
        <v>104</v>
      </c>
      <c r="B25" s="0" t="n">
        <f aca="false">MY_PT(B$2,$A25)</f>
        <v>0.0249611823919609</v>
      </c>
      <c r="C25" s="0" t="n">
        <f aca="false">MY_PT(C$2,$A25)</f>
        <v>0.0249607947975117</v>
      </c>
      <c r="D25" s="0" t="n">
        <f aca="false">MY_PT(D$2,$A25)</f>
        <v>0.0249604071828819</v>
      </c>
      <c r="E25" s="0" t="n">
        <f aca="false">MY_PT(E$2,$A25)</f>
        <v>0.024960019548049</v>
      </c>
      <c r="F25" s="0" t="n">
        <f aca="false">MY_PT(F$2,$A25)</f>
        <v>0.0249596318929892</v>
      </c>
      <c r="G25" s="0" t="n">
        <f aca="false">MY_PT(G$2,$A25)</f>
        <v>0.0249557542236892</v>
      </c>
      <c r="H25" s="0" t="n">
        <f aca="false">MY_PT(H$2,$A25)</f>
        <v>0.0249518744953328</v>
      </c>
      <c r="I25" s="0" t="n">
        <f aca="false">MY_PT(I$2,$A25)</f>
        <v>0.0249479926615362</v>
      </c>
      <c r="J25" s="0" t="n">
        <f aca="false">MY_PT(J$2,$A25)</f>
        <v>0.0249441086622016</v>
      </c>
      <c r="K25" s="0" t="n">
        <f aca="false">MY_PT(K$2,$A25)</f>
        <v>0.0249402224234574</v>
      </c>
      <c r="L25" s="0" t="n">
        <f aca="false">MY_PT(L$2,$A25)</f>
        <v>0.0249363338575806</v>
      </c>
      <c r="M25" s="0" t="n">
        <f aca="false">MY_PT(M$2,$A25)</f>
        <v>1.57959627515488</v>
      </c>
      <c r="N25" s="0" t="n">
        <f aca="false">MY_PT(N$2,$A25)</f>
        <v>1.57959646337375</v>
      </c>
      <c r="O25" s="0" t="n">
        <f aca="false">MY_PT(O$2,$A25)</f>
        <v>1.57959665159846</v>
      </c>
      <c r="P25" s="0" t="n">
        <f aca="false">MY_PT(P$2,$A25)</f>
        <v>1.57959853416795</v>
      </c>
      <c r="Q25" s="0" t="n">
        <f aca="false">MY_PT(Q$2,$A25)</f>
        <v>1.57960041732344</v>
      </c>
      <c r="R25" s="0" t="n">
        <f aca="false">MY_PT(R$2,$A25)</f>
        <v>1.57960230106492</v>
      </c>
      <c r="S25" s="0" t="n">
        <f aca="false">MY_PT(S$2,$A25)</f>
        <v>1.57960418539232</v>
      </c>
      <c r="T25" s="0" t="n">
        <f aca="false">MY_PT(T$2,$A25)</f>
        <v>1.57960607030567</v>
      </c>
      <c r="U25" s="0" t="n">
        <f aca="false">MY_PT(U$2,$A25)</f>
        <v>1.57960795580494</v>
      </c>
      <c r="V25" s="0" t="n">
        <f aca="false">MY_PT(V$2,$A25)</f>
        <v>1.57960984189011</v>
      </c>
      <c r="W25" s="0" t="n">
        <f aca="false">MY_PT(W$2,$A25)</f>
        <v>1.57961172856115</v>
      </c>
      <c r="X25" s="0" t="n">
        <f aca="false">MY_PT(X$2,$A25)</f>
        <v>1.57961361581804</v>
      </c>
      <c r="Y25" s="0" t="n">
        <f aca="false">MY_PT(Y$2,$A25)</f>
        <v>1.57963252060439</v>
      </c>
      <c r="Z25" s="0" t="n">
        <f aca="false">MY_PT(Z$2,$A25)</f>
        <v>1.5796514839536</v>
      </c>
      <c r="AA25" s="0" t="n">
        <f aca="false">MY_PT(AA$2,$A25)</f>
        <v>1.57967050584521</v>
      </c>
      <c r="AB25" s="0" t="n">
        <f aca="false">MY_PT(AB$2,$A25)</f>
        <v>1.57968958625878</v>
      </c>
      <c r="AC25" s="0" t="n">
        <f aca="false">MY_PT(AC$2,$A25)</f>
        <v>1.57970872517387</v>
      </c>
      <c r="AD25" s="0" t="n">
        <f aca="false">MY_PT(AD$2,$A25)</f>
        <v>1.57972792257005</v>
      </c>
      <c r="AE25" s="0" t="n">
        <f aca="false">MY_PT(AE$2,$A25)</f>
        <v>1.57974717842682</v>
      </c>
      <c r="AF25" s="0" t="n">
        <f aca="false">MY_PT(AF$2,$A25)</f>
        <v>1.57976649272374</v>
      </c>
      <c r="AG25" s="0" t="n">
        <f aca="false">MY_PT(AG$2,$A25)</f>
        <v>1.57978586544034</v>
      </c>
      <c r="AH25" s="0" t="n">
        <f aca="false">MY_PT(AH$2,$A25)</f>
        <v>1.57998280118484</v>
      </c>
      <c r="AI25" s="0" t="n">
        <f aca="false">MY_PT(AI$2,$A25)</f>
        <v>1.58018555636118</v>
      </c>
      <c r="AJ25" s="0" t="n">
        <f aca="false">MY_PT(AJ$2,$A25)</f>
        <v>1.58039411044543</v>
      </c>
      <c r="AK25" s="0" t="n">
        <f aca="false">MY_PT(AK$2,$A25)</f>
        <v>1.58060844287786</v>
      </c>
      <c r="AL25" s="0" t="n">
        <f aca="false">MY_PT(AL$2,$A25)</f>
        <v>1.58082853306379</v>
      </c>
      <c r="AM25" s="0" t="n">
        <f aca="false">MY_PT(AM$2,$A25)</f>
        <v>1.58105436037469</v>
      </c>
      <c r="AN25" s="0" t="n">
        <f aca="false">MY_PT(AN$2,$A25)</f>
        <v>1.58128590414911</v>
      </c>
      <c r="AO25" s="0" t="n">
        <f aca="false">MY_PT(AO$2,$A25)</f>
        <v>1.58152314369377</v>
      </c>
      <c r="AP25" s="0" t="n">
        <f aca="false">MY_PT(AP$2,$A25)</f>
        <v>1.58176605828466</v>
      </c>
      <c r="AQ25" s="0" t="n">
        <f aca="false">MY_PT(AQ$2,$A25)</f>
        <v>1.58450275279519</v>
      </c>
      <c r="AR25" s="0" t="n">
        <f aca="false">MY_PT(AR$2,$A25)</f>
        <v>1.58513607243104</v>
      </c>
      <c r="AS25" s="0" t="n">
        <f aca="false">MY_PT(AS$2,$A25)</f>
        <v>1.58535254515802</v>
      </c>
    </row>
    <row r="26" customFormat="false" ht="12.8" hidden="false" customHeight="false" outlineLevel="0" collapsed="false">
      <c r="A26" s="0" t="n">
        <v>122</v>
      </c>
      <c r="B26" s="0" t="n">
        <f aca="false">MY_PT(B$2,$A26)</f>
        <v>0.0257221802934593</v>
      </c>
      <c r="C26" s="0" t="n">
        <f aca="false">MY_PT(C$2,$A26)</f>
        <v>0.0257218371145717</v>
      </c>
      <c r="D26" s="0" t="n">
        <f aca="false">MY_PT(D$2,$A26)</f>
        <v>0.0257214939212551</v>
      </c>
      <c r="E26" s="0" t="n">
        <f aca="false">MY_PT(E$2,$A26)</f>
        <v>0.0257211507135007</v>
      </c>
      <c r="F26" s="0" t="n">
        <f aca="false">MY_PT(F$2,$A26)</f>
        <v>0.0257208074912992</v>
      </c>
      <c r="G26" s="0" t="n">
        <f aca="false">MY_PT(G$2,$A26)</f>
        <v>0.0257173744725087</v>
      </c>
      <c r="H26" s="0" t="n">
        <f aca="false">MY_PT(H$2,$A26)</f>
        <v>0.025713939997086</v>
      </c>
      <c r="I26" s="0" t="n">
        <f aca="false">MY_PT(I$2,$A26)</f>
        <v>0.0257105040517001</v>
      </c>
      <c r="J26" s="0" t="n">
        <f aca="false">MY_PT(J$2,$A26)</f>
        <v>0.0257070666204643</v>
      </c>
      <c r="K26" s="0" t="n">
        <f aca="false">MY_PT(K$2,$A26)</f>
        <v>0.0257036276849268</v>
      </c>
      <c r="L26" s="0" t="n">
        <f aca="false">MY_PT(L$2,$A26)</f>
        <v>0.0257001872240579</v>
      </c>
      <c r="M26" s="0" t="n">
        <f aca="false">MY_PT(M$2,$A26)</f>
        <v>0.0256967452142352</v>
      </c>
      <c r="N26" s="0" t="n">
        <f aca="false">MY_PT(N$2,$A26)</f>
        <v>0.0256933016292234</v>
      </c>
      <c r="O26" s="0" t="n">
        <f aca="false">MY_PT(O$2,$A26)</f>
        <v>0.0256898564401509</v>
      </c>
      <c r="P26" s="0" t="n">
        <f aca="false">MY_PT(P$2,$A26)</f>
        <v>1.32285119363344</v>
      </c>
      <c r="Q26" s="0" t="n">
        <f aca="false">MY_PT(Q$2,$A26)</f>
        <v>1.32285534676958</v>
      </c>
      <c r="R26" s="0" t="n">
        <f aca="false">MY_PT(R$2,$A26)</f>
        <v>1.32285950026819</v>
      </c>
      <c r="S26" s="0" t="n">
        <f aca="false">MY_PT(S$2,$A26)</f>
        <v>1.32286365412925</v>
      </c>
      <c r="T26" s="0" t="n">
        <f aca="false">MY_PT(T$2,$A26)</f>
        <v>1.32286780835274</v>
      </c>
      <c r="U26" s="0" t="n">
        <f aca="false">MY_PT(U$2,$A26)</f>
        <v>1.32287196293865</v>
      </c>
      <c r="V26" s="0" t="n">
        <f aca="false">MY_PT(V$2,$A26)</f>
        <v>1.322876117887</v>
      </c>
      <c r="W26" s="0" t="n">
        <f aca="false">MY_PT(W$2,$A26)</f>
        <v>1.32288027319773</v>
      </c>
      <c r="X26" s="0" t="n">
        <f aca="false">MY_PT(X$2,$A26)</f>
        <v>1.32288442887085</v>
      </c>
      <c r="Y26" s="0" t="n">
        <f aca="false">MY_PT(Y$2,$A26)</f>
        <v>1.32292600553039</v>
      </c>
      <c r="Z26" s="0" t="n">
        <f aca="false">MY_PT(Z$2,$A26)</f>
        <v>1.32296761841418</v>
      </c>
      <c r="AA26" s="0" t="n">
        <f aca="false">MY_PT(AA$2,$A26)</f>
        <v>1.32300926750918</v>
      </c>
      <c r="AB26" s="0" t="n">
        <f aca="false">MY_PT(AB$2,$A26)</f>
        <v>1.32305095280236</v>
      </c>
      <c r="AC26" s="0" t="n">
        <f aca="false">MY_PT(AC$2,$A26)</f>
        <v>1.32309267428064</v>
      </c>
      <c r="AD26" s="0" t="n">
        <f aca="false">MY_PT(AD$2,$A26)</f>
        <v>1.32313443193098</v>
      </c>
      <c r="AE26" s="0" t="n">
        <f aca="false">MY_PT(AE$2,$A26)</f>
        <v>1.32317622574032</v>
      </c>
      <c r="AF26" s="0" t="n">
        <f aca="false">MY_PT(AF$2,$A26)</f>
        <v>1.32321805569561</v>
      </c>
      <c r="AG26" s="0" t="n">
        <f aca="false">MY_PT(AG$2,$A26)</f>
        <v>1.32325992178375</v>
      </c>
      <c r="AH26" s="0" t="n">
        <f aca="false">MY_PT(AH$2,$A26)</f>
        <v>1.32368056709443</v>
      </c>
      <c r="AI26" s="0" t="n">
        <f aca="false">MY_PT(AI$2,$A26)</f>
        <v>1.32410481128357</v>
      </c>
      <c r="AJ26" s="0" t="n">
        <f aca="false">MY_PT(AJ$2,$A26)</f>
        <v>1.32453264121151</v>
      </c>
      <c r="AK26" s="0" t="n">
        <f aca="false">MY_PT(AK$2,$A26)</f>
        <v>1.32496404369695</v>
      </c>
      <c r="AL26" s="0" t="n">
        <f aca="false">MY_PT(AL$2,$A26)</f>
        <v>1.32539900551799</v>
      </c>
      <c r="AM26" s="0" t="n">
        <f aca="false">MY_PT(AM$2,$A26)</f>
        <v>1.3258375134132</v>
      </c>
      <c r="AN26" s="0" t="n">
        <f aca="false">MY_PT(AN$2,$A26)</f>
        <v>1.32627955408261</v>
      </c>
      <c r="AO26" s="0" t="n">
        <f aca="false">MY_PT(AO$2,$A26)</f>
        <v>1.3267251141889</v>
      </c>
      <c r="AP26" s="0" t="n">
        <f aca="false">MY_PT(AP$2,$A26)</f>
        <v>1.3271741803585</v>
      </c>
      <c r="AQ26" s="0" t="n">
        <f aca="false">MY_PT(AQ$2,$A26)</f>
        <v>1.33185470983728</v>
      </c>
      <c r="AR26" s="0" t="n">
        <f aca="false">MY_PT(AR$2,$A26)</f>
        <v>1.33286298372446</v>
      </c>
      <c r="AS26" s="0" t="n">
        <f aca="false">MY_PT(AS$2,$A26)</f>
        <v>1.33320261231523</v>
      </c>
    </row>
    <row r="27" customFormat="false" ht="12.8" hidden="false" customHeight="false" outlineLevel="0" collapsed="false">
      <c r="A27" s="0" t="n">
        <v>140</v>
      </c>
      <c r="B27" s="0" t="n">
        <f aca="false">MY_PT(B$2,$A27)</f>
        <v>0.0265107825982119</v>
      </c>
      <c r="C27" s="0" t="n">
        <f aca="false">MY_PT(C$2,$A27)</f>
        <v>0.0265104774805024</v>
      </c>
      <c r="D27" s="0" t="n">
        <f aca="false">MY_PT(D$2,$A27)</f>
        <v>0.0265101723523506</v>
      </c>
      <c r="E27" s="0" t="n">
        <f aca="false">MY_PT(E$2,$A27)</f>
        <v>0.0265098672137518</v>
      </c>
      <c r="F27" s="0" t="n">
        <f aca="false">MY_PT(F$2,$A27)</f>
        <v>0.0265095620647012</v>
      </c>
      <c r="G27" s="0" t="n">
        <f aca="false">MY_PT(G$2,$A27)</f>
        <v>0.0265065099982561</v>
      </c>
      <c r="H27" s="0" t="n">
        <f aca="false">MY_PT(H$2,$A27)</f>
        <v>0.026503456881001</v>
      </c>
      <c r="I27" s="0" t="n">
        <f aca="false">MY_PT(I$2,$A27)</f>
        <v>0.0265004027073403</v>
      </c>
      <c r="J27" s="0" t="n">
        <f aca="false">MY_PT(J$2,$A27)</f>
        <v>0.0264973474711843</v>
      </c>
      <c r="K27" s="0" t="n">
        <f aca="false">MY_PT(K$2,$A27)</f>
        <v>0.0264942911659471</v>
      </c>
      <c r="L27" s="0" t="n">
        <f aca="false">MY_PT(L$2,$A27)</f>
        <v>0.0264912337845448</v>
      </c>
      <c r="M27" s="0" t="n">
        <f aca="false">MY_PT(M$2,$A27)</f>
        <v>0.0264881753193923</v>
      </c>
      <c r="N27" s="0" t="n">
        <f aca="false">MY_PT(N$2,$A27)</f>
        <v>0.0264851157624005</v>
      </c>
      <c r="O27" s="0" t="n">
        <f aca="false">MY_PT(O$2,$A27)</f>
        <v>0.0264820551049713</v>
      </c>
      <c r="P27" s="0" t="n">
        <f aca="false">MY_PT(P$2,$A27)</f>
        <v>1.12822643678857</v>
      </c>
      <c r="Q27" s="0" t="n">
        <f aca="false">MY_PT(Q$2,$A27)</f>
        <v>1.1282318118524</v>
      </c>
      <c r="R27" s="0" t="n">
        <f aca="false">MY_PT(R$2,$A27)</f>
        <v>1.12823718714146</v>
      </c>
      <c r="S27" s="0" t="n">
        <f aca="false">MY_PT(S$2,$A27)</f>
        <v>1.12824256265575</v>
      </c>
      <c r="T27" s="0" t="n">
        <f aca="false">MY_PT(T$2,$A27)</f>
        <v>1.12824793839525</v>
      </c>
      <c r="U27" s="0" t="n">
        <f aca="false">MY_PT(U$2,$A27)</f>
        <v>1.12825331435996</v>
      </c>
      <c r="V27" s="0" t="n">
        <f aca="false">MY_PT(V$2,$A27)</f>
        <v>1.12825869054987</v>
      </c>
      <c r="W27" s="0" t="n">
        <f aca="false">MY_PT(W$2,$A27)</f>
        <v>1.12826406696496</v>
      </c>
      <c r="X27" s="0" t="n">
        <f aca="false">MY_PT(X$2,$A27)</f>
        <v>1.12826944360523</v>
      </c>
      <c r="Y27" s="0" t="n">
        <f aca="false">MY_PT(Y$2,$A27)</f>
        <v>1.12832322239102</v>
      </c>
      <c r="Z27" s="0" t="n">
        <f aca="false">MY_PT(Z$2,$A27)</f>
        <v>1.12837702368535</v>
      </c>
      <c r="AA27" s="0" t="n">
        <f aca="false">MY_PT(AA$2,$A27)</f>
        <v>1.12843084747956</v>
      </c>
      <c r="AB27" s="0" t="n">
        <f aca="false">MY_PT(AB$2,$A27)</f>
        <v>1.12848469376496</v>
      </c>
      <c r="AC27" s="0" t="n">
        <f aca="false">MY_PT(AC$2,$A27)</f>
        <v>1.1285385625329</v>
      </c>
      <c r="AD27" s="0" t="n">
        <f aca="false">MY_PT(AD$2,$A27)</f>
        <v>1.12859245377469</v>
      </c>
      <c r="AE27" s="0" t="n">
        <f aca="false">MY_PT(AE$2,$A27)</f>
        <v>1.12864636748165</v>
      </c>
      <c r="AF27" s="0" t="n">
        <f aca="false">MY_PT(AF$2,$A27)</f>
        <v>1.12870030364508</v>
      </c>
      <c r="AG27" s="0" t="n">
        <f aca="false">MY_PT(AG$2,$A27)</f>
        <v>1.12875426225629</v>
      </c>
      <c r="AH27" s="0" t="n">
        <f aca="false">MY_PT(AH$2,$A27)</f>
        <v>1.1292950810795</v>
      </c>
      <c r="AI27" s="0" t="n">
        <f aca="false">MY_PT(AI$2,$A27)</f>
        <v>1.12983813507628</v>
      </c>
      <c r="AJ27" s="0" t="n">
        <f aca="false">MY_PT(AJ$2,$A27)</f>
        <v>1.1303834154647</v>
      </c>
      <c r="AK27" s="0" t="n">
        <f aca="false">MY_PT(AK$2,$A27)</f>
        <v>1.13093091341225</v>
      </c>
      <c r="AL27" s="0" t="n">
        <f aca="false">MY_PT(AL$2,$A27)</f>
        <v>1.13148062003716</v>
      </c>
      <c r="AM27" s="0" t="n">
        <f aca="false">MY_PT(AM$2,$A27)</f>
        <v>1.13203252640978</v>
      </c>
      <c r="AN27" s="0" t="n">
        <f aca="false">MY_PT(AN$2,$A27)</f>
        <v>1.13258662355389</v>
      </c>
      <c r="AO27" s="0" t="n">
        <f aca="false">MY_PT(AO$2,$A27)</f>
        <v>1.13314290244821</v>
      </c>
      <c r="AP27" s="0" t="n">
        <f aca="false">MY_PT(AP$2,$A27)</f>
        <v>1.13370135402776</v>
      </c>
      <c r="AQ27" s="0" t="n">
        <f aca="false">MY_PT(AQ$2,$A27)</f>
        <v>1.13940334495644</v>
      </c>
      <c r="AR27" s="0" t="n">
        <f aca="false">MY_PT(AR$2,$A27)</f>
        <v>1.14060628693564</v>
      </c>
      <c r="AS27" s="0" t="n">
        <f aca="false">MY_PT(AS$2,$A27)</f>
        <v>1.14100966448491</v>
      </c>
    </row>
    <row r="28" customFormat="false" ht="12.8" hidden="false" customHeight="false" outlineLevel="0" collapsed="false">
      <c r="A28" s="0" t="n">
        <v>158</v>
      </c>
      <c r="B28" s="0" t="n">
        <f aca="false">MY_PT(B$2,$A28)</f>
        <v>0.0273235734966626</v>
      </c>
      <c r="C28" s="0" t="n">
        <f aca="false">MY_PT(C$2,$A28)</f>
        <v>0.0273233012088729</v>
      </c>
      <c r="D28" s="0" t="n">
        <f aca="false">MY_PT(D$2,$A28)</f>
        <v>0.0273230289134538</v>
      </c>
      <c r="E28" s="0" t="n">
        <f aca="false">MY_PT(E$2,$A28)</f>
        <v>0.0273227566104023</v>
      </c>
      <c r="F28" s="0" t="n">
        <f aca="false">MY_PT(F$2,$A28)</f>
        <v>0.0273224842997157</v>
      </c>
      <c r="G28" s="0" t="n">
        <f aca="false">MY_PT(G$2,$A28)</f>
        <v>0.0273197607722615</v>
      </c>
      <c r="H28" s="0" t="n">
        <f aca="false">MY_PT(H$2,$A28)</f>
        <v>0.0273170364779971</v>
      </c>
      <c r="I28" s="0" t="n">
        <f aca="false">MY_PT(I$2,$A28)</f>
        <v>0.0273143114138369</v>
      </c>
      <c r="J28" s="0" t="n">
        <f aca="false">MY_PT(J$2,$A28)</f>
        <v>0.0273115855765957</v>
      </c>
      <c r="K28" s="0" t="n">
        <f aca="false">MY_PT(K$2,$A28)</f>
        <v>0.0273088589629879</v>
      </c>
      <c r="L28" s="0" t="n">
        <f aca="false">MY_PT(L$2,$A28)</f>
        <v>0.0273061315696274</v>
      </c>
      <c r="M28" s="0" t="n">
        <f aca="false">MY_PT(M$2,$A28)</f>
        <v>0.027303403393027</v>
      </c>
      <c r="N28" s="0" t="n">
        <f aca="false">MY_PT(N$2,$A28)</f>
        <v>0.0273006744295977</v>
      </c>
      <c r="O28" s="0" t="n">
        <f aca="false">MY_PT(O$2,$A28)</f>
        <v>0.027297944675648</v>
      </c>
      <c r="P28" s="0" t="n">
        <f aca="false">MY_PT(P$2,$A28)</f>
        <v>0.0272706027692369</v>
      </c>
      <c r="Q28" s="0" t="n">
        <f aca="false">MY_PT(Q$2,$A28)</f>
        <v>0.0272431769126408</v>
      </c>
      <c r="R28" s="0" t="n">
        <f aca="false">MY_PT(R$2,$A28)</f>
        <v>0.977034389642835</v>
      </c>
      <c r="S28" s="0" t="n">
        <f aca="false">MY_PT(S$2,$A28)</f>
        <v>0.977040405516927</v>
      </c>
      <c r="T28" s="0" t="n">
        <f aca="false">MY_PT(T$2,$A28)</f>
        <v>0.977046421527191</v>
      </c>
      <c r="U28" s="0" t="n">
        <f aca="false">MY_PT(U$2,$A28)</f>
        <v>0.977052437673613</v>
      </c>
      <c r="V28" s="0" t="n">
        <f aca="false">MY_PT(V$2,$A28)</f>
        <v>0.977058453956198</v>
      </c>
      <c r="W28" s="0" t="n">
        <f aca="false">MY_PT(W$2,$A28)</f>
        <v>0.977064470374936</v>
      </c>
      <c r="X28" s="0" t="n">
        <f aca="false">MY_PT(X$2,$A28)</f>
        <v>0.977070486929825</v>
      </c>
      <c r="Y28" s="0" t="n">
        <f aca="false">MY_PT(Y$2,$A28)</f>
        <v>0.977130659965487</v>
      </c>
      <c r="Z28" s="0" t="n">
        <f aca="false">MY_PT(Z$2,$A28)</f>
        <v>0.977190846609633</v>
      </c>
      <c r="AA28" s="0" t="n">
        <f aca="false">MY_PT(AA$2,$A28)</f>
        <v>0.977251046856595</v>
      </c>
      <c r="AB28" s="0" t="n">
        <f aca="false">MY_PT(AB$2,$A28)</f>
        <v>0.977311260700722</v>
      </c>
      <c r="AC28" s="0" t="n">
        <f aca="false">MY_PT(AC$2,$A28)</f>
        <v>0.977371488136344</v>
      </c>
      <c r="AD28" s="0" t="n">
        <f aca="false">MY_PT(AD$2,$A28)</f>
        <v>0.977431729157792</v>
      </c>
      <c r="AE28" s="0" t="n">
        <f aca="false">MY_PT(AE$2,$A28)</f>
        <v>0.977491983759381</v>
      </c>
      <c r="AF28" s="0" t="n">
        <f aca="false">MY_PT(AF$2,$A28)</f>
        <v>0.977552251935434</v>
      </c>
      <c r="AG28" s="0" t="n">
        <f aca="false">MY_PT(AG$2,$A28)</f>
        <v>0.977612533680249</v>
      </c>
      <c r="AH28" s="0" t="n">
        <f aca="false">MY_PT(AH$2,$A28)</f>
        <v>0.978216096153378</v>
      </c>
      <c r="AI28" s="0" t="n">
        <f aca="false">MY_PT(AI$2,$A28)</f>
        <v>0.978821009191012</v>
      </c>
      <c r="AJ28" s="0" t="n">
        <f aca="false">MY_PT(AJ$2,$A28)</f>
        <v>0.979427266989991</v>
      </c>
      <c r="AK28" s="0" t="n">
        <f aca="false">MY_PT(AK$2,$A28)</f>
        <v>0.980034863682404</v>
      </c>
      <c r="AL28" s="0" t="n">
        <f aca="false">MY_PT(AL$2,$A28)</f>
        <v>0.980643793337412</v>
      </c>
      <c r="AM28" s="0" t="n">
        <f aca="false">MY_PT(AM$2,$A28)</f>
        <v>0.981254049963062</v>
      </c>
      <c r="AN28" s="0" t="n">
        <f aca="false">MY_PT(AN$2,$A28)</f>
        <v>0.981865627508118</v>
      </c>
      <c r="AO28" s="0" t="n">
        <f aca="false">MY_PT(AO$2,$A28)</f>
        <v>0.982478519863921</v>
      </c>
      <c r="AP28" s="0" t="n">
        <f aca="false">MY_PT(AP$2,$A28)</f>
        <v>0.983092720866285</v>
      </c>
      <c r="AQ28" s="0" t="n">
        <f aca="false">MY_PT(AQ$2,$A28)</f>
        <v>0.989305314430448</v>
      </c>
      <c r="AR28" s="0" t="n">
        <f aca="false">MY_PT(AR$2,$A28)</f>
        <v>0.990603181002848</v>
      </c>
      <c r="AS28" s="0" t="n">
        <f aca="false">MY_PT(AS$2,$A28)</f>
        <v>0.991037450270826</v>
      </c>
    </row>
    <row r="29" customFormat="false" ht="12.8" hidden="false" customHeight="false" outlineLevel="0" collapsed="false">
      <c r="A29" s="0" t="n">
        <v>176</v>
      </c>
      <c r="B29" s="0" t="n">
        <f aca="false">MY_PT(B$2,$A29)</f>
        <v>0.0281577127893256</v>
      </c>
      <c r="C29" s="0" t="n">
        <f aca="false">MY_PT(C$2,$A29)</f>
        <v>0.0281574689893512</v>
      </c>
      <c r="D29" s="0" t="n">
        <f aca="false">MY_PT(D$2,$A29)</f>
        <v>0.0281572251837602</v>
      </c>
      <c r="E29" s="0" t="n">
        <f aca="false">MY_PT(E$2,$A29)</f>
        <v>0.0281569813725508</v>
      </c>
      <c r="F29" s="0" t="n">
        <f aca="false">MY_PT(F$2,$A29)</f>
        <v>0.0281567375557211</v>
      </c>
      <c r="G29" s="0" t="n">
        <f aca="false">MY_PT(G$2,$A29)</f>
        <v>0.0281542990778865</v>
      </c>
      <c r="H29" s="0" t="n">
        <f aca="false">MY_PT(H$2,$A29)</f>
        <v>0.0281518600359177</v>
      </c>
      <c r="I29" s="0" t="n">
        <f aca="false">MY_PT(I$2,$A29)</f>
        <v>0.0281494204278851</v>
      </c>
      <c r="J29" s="0" t="n">
        <f aca="false">MY_PT(J$2,$A29)</f>
        <v>0.0281469802518373</v>
      </c>
      <c r="K29" s="0" t="n">
        <f aca="false">MY_PT(K$2,$A29)</f>
        <v>0.0281445395058015</v>
      </c>
      <c r="L29" s="0" t="n">
        <f aca="false">MY_PT(L$2,$A29)</f>
        <v>0.0281420981877833</v>
      </c>
      <c r="M29" s="0" t="n">
        <f aca="false">MY_PT(M$2,$A29)</f>
        <v>0.0281396562957662</v>
      </c>
      <c r="N29" s="0" t="n">
        <f aca="false">MY_PT(N$2,$A29)</f>
        <v>0.0281372138277122</v>
      </c>
      <c r="O29" s="0" t="n">
        <f aca="false">MY_PT(O$2,$A29)</f>
        <v>0.028134770781561</v>
      </c>
      <c r="P29" s="0" t="n">
        <f aca="false">MY_PT(P$2,$A29)</f>
        <v>0.0281103080551144</v>
      </c>
      <c r="Q29" s="0" t="n">
        <f aca="false">MY_PT(Q$2,$A29)</f>
        <v>0.0280857850736267</v>
      </c>
      <c r="R29" s="0" t="n">
        <f aca="false">MY_PT(R$2,$A29)</f>
        <v>0.0280611993173292</v>
      </c>
      <c r="S29" s="0" t="n">
        <f aca="false">MY_PT(S$2,$A29)</f>
        <v>0.857183622156136</v>
      </c>
      <c r="T29" s="0" t="n">
        <f aca="false">MY_PT(T$2,$A29)</f>
        <v>0.857189949140325</v>
      </c>
      <c r="U29" s="0" t="n">
        <f aca="false">MY_PT(U$2,$A29)</f>
        <v>0.85719627619989</v>
      </c>
      <c r="V29" s="0" t="n">
        <f aca="false">MY_PT(V$2,$A29)</f>
        <v>0.857202603334826</v>
      </c>
      <c r="W29" s="0" t="n">
        <f aca="false">MY_PT(W$2,$A29)</f>
        <v>0.857208930545137</v>
      </c>
      <c r="X29" s="0" t="n">
        <f aca="false">MY_PT(X$2,$A29)</f>
        <v>0.857215257830801</v>
      </c>
      <c r="Y29" s="0" t="n">
        <f aca="false">MY_PT(Y$2,$A29)</f>
        <v>0.857278534831867</v>
      </c>
      <c r="Z29" s="0" t="n">
        <f aca="false">MY_PT(Z$2,$A29)</f>
        <v>0.857341819365837</v>
      </c>
      <c r="AA29" s="0" t="n">
        <f aca="false">MY_PT(AA$2,$A29)</f>
        <v>0.857405111429452</v>
      </c>
      <c r="AB29" s="0" t="n">
        <f aca="false">MY_PT(AB$2,$A29)</f>
        <v>0.857468411019436</v>
      </c>
      <c r="AC29" s="0" t="n">
        <f aca="false">MY_PT(AC$2,$A29)</f>
        <v>0.8575317181325</v>
      </c>
      <c r="AD29" s="0" t="n">
        <f aca="false">MY_PT(AD$2,$A29)</f>
        <v>0.85759503276535</v>
      </c>
      <c r="AE29" s="0" t="n">
        <f aca="false">MY_PT(AE$2,$A29)</f>
        <v>0.857658354914685</v>
      </c>
      <c r="AF29" s="0" t="n">
        <f aca="false">MY_PT(AF$2,$A29)</f>
        <v>0.857721684577188</v>
      </c>
      <c r="AG29" s="0" t="n">
        <f aca="false">MY_PT(AG$2,$A29)</f>
        <v>0.857785021749541</v>
      </c>
      <c r="AH29" s="0" t="n">
        <f aca="false">MY_PT(AH$2,$A29)</f>
        <v>0.858418805777663</v>
      </c>
      <c r="AI29" s="0" t="n">
        <f aca="false">MY_PT(AI$2,$A29)</f>
        <v>0.859053337071295</v>
      </c>
      <c r="AJ29" s="0" t="n">
        <f aca="false">MY_PT(AJ$2,$A29)</f>
        <v>0.859688612164637</v>
      </c>
      <c r="AK29" s="0" t="n">
        <f aca="false">MY_PT(AK$2,$A29)</f>
        <v>0.86032462750744</v>
      </c>
      <c r="AL29" s="0" t="n">
        <f aca="false">MY_PT(AL$2,$A29)</f>
        <v>0.860961379467337</v>
      </c>
      <c r="AM29" s="0" t="n">
        <f aca="false">MY_PT(AM$2,$A29)</f>
        <v>0.861598864332253</v>
      </c>
      <c r="AN29" s="0" t="n">
        <f aca="false">MY_PT(AN$2,$A29)</f>
        <v>0.862237078312785</v>
      </c>
      <c r="AO29" s="0" t="n">
        <f aca="false">MY_PT(AO$2,$A29)</f>
        <v>0.862876017544605</v>
      </c>
      <c r="AP29" s="0" t="n">
        <f aca="false">MY_PT(AP$2,$A29)</f>
        <v>0.863515678090865</v>
      </c>
      <c r="AQ29" s="0" t="n">
        <f aca="false">MY_PT(AQ$2,$A29)</f>
        <v>0.869951042777134</v>
      </c>
      <c r="AR29" s="0" t="n">
        <f aca="false">MY_PT(AR$2,$A29)</f>
        <v>0.871287799659908</v>
      </c>
      <c r="AS29" s="0" t="n">
        <f aca="false">MY_PT(AS$2,$A29)</f>
        <v>0.87173451554342</v>
      </c>
    </row>
    <row r="30" customFormat="false" ht="12.8" hidden="false" customHeight="false" outlineLevel="0" collapsed="false">
      <c r="A30" s="0" t="n">
        <v>194</v>
      </c>
      <c r="B30" s="0" t="n">
        <f aca="false">MY_PT(B$2,$A30)</f>
        <v>0.0290108054390598</v>
      </c>
      <c r="C30" s="0" t="n">
        <f aca="false">MY_PT(C$2,$A30)</f>
        <v>0.0290105864958421</v>
      </c>
      <c r="D30" s="0" t="n">
        <f aca="false">MY_PT(D$2,$A30)</f>
        <v>0.029010367548466</v>
      </c>
      <c r="E30" s="0" t="n">
        <f aca="false">MY_PT(E$2,$A30)</f>
        <v>0.0290101485969304</v>
      </c>
      <c r="F30" s="0" t="n">
        <f aca="false">MY_PT(F$2,$A30)</f>
        <v>0.0290099296412341</v>
      </c>
      <c r="G30" s="0" t="n">
        <f aca="false">MY_PT(G$2,$A30)</f>
        <v>0.029007739855149</v>
      </c>
      <c r="H30" s="0" t="n">
        <f aca="false">MY_PT(H$2,$A30)</f>
        <v>0.0290055496515954</v>
      </c>
      <c r="I30" s="0" t="n">
        <f aca="false">MY_PT(I$2,$A30)</f>
        <v>0.029003359029306</v>
      </c>
      <c r="J30" s="0" t="n">
        <f aca="false">MY_PT(J$2,$A30)</f>
        <v>0.029001167987008</v>
      </c>
      <c r="K30" s="0" t="n">
        <f aca="false">MY_PT(K$2,$A30)</f>
        <v>0.0289989765234237</v>
      </c>
      <c r="L30" s="0" t="n">
        <f aca="false">MY_PT(L$2,$A30)</f>
        <v>0.02899678463727</v>
      </c>
      <c r="M30" s="0" t="n">
        <f aca="false">MY_PT(M$2,$A30)</f>
        <v>0.0289945923272586</v>
      </c>
      <c r="N30" s="0" t="n">
        <f aca="false">MY_PT(N$2,$A30)</f>
        <v>0.0289923995920958</v>
      </c>
      <c r="O30" s="0" t="n">
        <f aca="false">MY_PT(O$2,$A30)</f>
        <v>0.0289902064304829</v>
      </c>
      <c r="P30" s="0" t="n">
        <f aca="false">MY_PT(P$2,$A30)</f>
        <v>0.0289682510699191</v>
      </c>
      <c r="Q30" s="0" t="n">
        <f aca="false">MY_PT(Q$2,$A30)</f>
        <v>0.0289462515929115</v>
      </c>
      <c r="R30" s="0" t="n">
        <f aca="false">MY_PT(R$2,$A30)</f>
        <v>0.028924206592972</v>
      </c>
      <c r="S30" s="0" t="n">
        <f aca="false">MY_PT(S$2,$A30)</f>
        <v>0.0289021145589309</v>
      </c>
      <c r="T30" s="0" t="n">
        <f aca="false">MY_PT(T$2,$A30)</f>
        <v>0.0288799738091901</v>
      </c>
      <c r="U30" s="0" t="n">
        <f aca="false">MY_PT(U$2,$A30)</f>
        <v>0.0288577823840645</v>
      </c>
      <c r="V30" s="0" t="n">
        <f aca="false">MY_PT(V$2,$A30)</f>
        <v>0.760579025827114</v>
      </c>
      <c r="W30" s="0" t="n">
        <f aca="false">MY_PT(W$2,$A30)</f>
        <v>0.760585475972177</v>
      </c>
      <c r="X30" s="0" t="n">
        <f aca="false">MY_PT(X$2,$A30)</f>
        <v>0.760591926149005</v>
      </c>
      <c r="Y30" s="0" t="n">
        <f aca="false">MY_PT(Y$2,$A30)</f>
        <v>0.760656429664451</v>
      </c>
      <c r="Z30" s="0" t="n">
        <f aca="false">MY_PT(Z$2,$A30)</f>
        <v>0.760720936355706</v>
      </c>
      <c r="AA30" s="0" t="n">
        <f aca="false">MY_PT(AA$2,$A30)</f>
        <v>0.760785446221625</v>
      </c>
      <c r="AB30" s="0" t="n">
        <f aca="false">MY_PT(AB$2,$A30)</f>
        <v>0.760849959261044</v>
      </c>
      <c r="AC30" s="0" t="n">
        <f aca="false">MY_PT(AC$2,$A30)</f>
        <v>0.760914475472794</v>
      </c>
      <c r="AD30" s="0" t="n">
        <f aca="false">MY_PT(AD$2,$A30)</f>
        <v>0.760978994855688</v>
      </c>
      <c r="AE30" s="0" t="n">
        <f aca="false">MY_PT(AE$2,$A30)</f>
        <v>0.761043517408537</v>
      </c>
      <c r="AF30" s="0" t="n">
        <f aca="false">MY_PT(AF$2,$A30)</f>
        <v>0.761108043130124</v>
      </c>
      <c r="AG30" s="0" t="n">
        <f aca="false">MY_PT(AG$2,$A30)</f>
        <v>0.761172572019237</v>
      </c>
      <c r="AH30" s="0" t="n">
        <f aca="false">MY_PT(AH$2,$A30)</f>
        <v>0.761818034847709</v>
      </c>
      <c r="AI30" s="0" t="n">
        <f aca="false">MY_PT(AI$2,$A30)</f>
        <v>0.762463813002208</v>
      </c>
      <c r="AJ30" s="0" t="n">
        <f aca="false">MY_PT(AJ$2,$A30)</f>
        <v>0.763109905076066</v>
      </c>
      <c r="AK30" s="0" t="n">
        <f aca="false">MY_PT(AK$2,$A30)</f>
        <v>0.76375630955266</v>
      </c>
      <c r="AL30" s="0" t="n">
        <f aca="false">MY_PT(AL$2,$A30)</f>
        <v>0.764403024808397</v>
      </c>
      <c r="AM30" s="0" t="n">
        <f aca="false">MY_PT(AM$2,$A30)</f>
        <v>0.765050049115735</v>
      </c>
      <c r="AN30" s="0" t="n">
        <f aca="false">MY_PT(AN$2,$A30)</f>
        <v>0.765697380646217</v>
      </c>
      <c r="AO30" s="0" t="n">
        <f aca="false">MY_PT(AO$2,$A30)</f>
        <v>0.766345017473467</v>
      </c>
      <c r="AP30" s="0" t="n">
        <f aca="false">MY_PT(AP$2,$A30)</f>
        <v>0.766992957576274</v>
      </c>
      <c r="AQ30" s="0" t="n">
        <f aca="false">MY_PT(AQ$2,$A30)</f>
        <v>0.773488532377092</v>
      </c>
      <c r="AR30" s="0" t="n">
        <f aca="false">MY_PT(AR$2,$A30)</f>
        <v>0.774832700522296</v>
      </c>
      <c r="AS30" s="0" t="n">
        <f aca="false">MY_PT(AS$2,$A30)</f>
        <v>0.775281514621157</v>
      </c>
    </row>
    <row r="31" customFormat="false" ht="12.8" hidden="false" customHeight="false" outlineLevel="0" collapsed="false">
      <c r="A31" s="0" t="n">
        <v>212</v>
      </c>
      <c r="B31" s="0" t="n">
        <f aca="false">MY_PT(B$2,$A31)</f>
        <v>0.0298808062577726</v>
      </c>
      <c r="C31" s="0" t="n">
        <f aca="false">MY_PT(C$2,$A31)</f>
        <v>0.029880609114027</v>
      </c>
      <c r="D31" s="0" t="n">
        <f aca="false">MY_PT(D$2,$A31)</f>
        <v>0.0298804119671916</v>
      </c>
      <c r="E31" s="0" t="n">
        <f aca="false">MY_PT(E$2,$A31)</f>
        <v>0.0298802148172655</v>
      </c>
      <c r="F31" s="0" t="n">
        <f aca="false">MY_PT(F$2,$A31)</f>
        <v>0.0298800176642479</v>
      </c>
      <c r="G31" s="0" t="n">
        <f aca="false">MY_PT(G$2,$A31)</f>
        <v>0.0298780459638507</v>
      </c>
      <c r="H31" s="0" t="n">
        <f aca="false">MY_PT(H$2,$A31)</f>
        <v>0.0298760739533672</v>
      </c>
      <c r="I31" s="0" t="n">
        <f aca="false">MY_PT(I$2,$A31)</f>
        <v>0.029874101631948</v>
      </c>
      <c r="J31" s="0" t="n">
        <f aca="false">MY_PT(J$2,$A31)</f>
        <v>0.0298721289987419</v>
      </c>
      <c r="K31" s="0" t="n">
        <f aca="false">MY_PT(K$2,$A31)</f>
        <v>0.0298701560528961</v>
      </c>
      <c r="L31" s="0" t="n">
        <f aca="false">MY_PT(L$2,$A31)</f>
        <v>0.0298681827935566</v>
      </c>
      <c r="M31" s="0" t="n">
        <f aca="false">MY_PT(M$2,$A31)</f>
        <v>0.0298662092198677</v>
      </c>
      <c r="N31" s="0" t="n">
        <f aca="false">MY_PT(N$2,$A31)</f>
        <v>0.029864235330972</v>
      </c>
      <c r="O31" s="0" t="n">
        <f aca="false">MY_PT(O$2,$A31)</f>
        <v>0.0298622611260108</v>
      </c>
      <c r="P31" s="0" t="n">
        <f aca="false">MY_PT(P$2,$A31)</f>
        <v>0.0298425015027165</v>
      </c>
      <c r="Q31" s="0" t="n">
        <f aca="false">MY_PT(Q$2,$A31)</f>
        <v>0.0298227093159312</v>
      </c>
      <c r="R31" s="0" t="n">
        <f aca="false">MY_PT(R$2,$A31)</f>
        <v>0.0298028836768682</v>
      </c>
      <c r="S31" s="0" t="n">
        <f aca="false">MY_PT(S$2,$A31)</f>
        <v>0.0297830236701143</v>
      </c>
      <c r="T31" s="0" t="n">
        <f aca="false">MY_PT(T$2,$A31)</f>
        <v>0.0297631283396238</v>
      </c>
      <c r="U31" s="0" t="n">
        <f aca="false">MY_PT(U$2,$A31)</f>
        <v>0.029743196665853</v>
      </c>
      <c r="V31" s="0" t="n">
        <f aca="false">MY_PT(V$2,$A31)</f>
        <v>0.029723227531687</v>
      </c>
      <c r="W31" s="0" t="n">
        <f aca="false">MY_PT(W$2,$A31)</f>
        <v>0.0297032196747301</v>
      </c>
      <c r="X31" s="0" t="n">
        <f aca="false">MY_PT(X$2,$A31)</f>
        <v>0.0296831716234434</v>
      </c>
      <c r="Y31" s="0" t="n">
        <f aca="false">MY_PT(Y$2,$A31)</f>
        <v>0.681630477873048</v>
      </c>
      <c r="Z31" s="0" t="n">
        <f aca="false">MY_PT(Z$2,$A31)</f>
        <v>0.681695148064816</v>
      </c>
      <c r="AA31" s="0" t="n">
        <f aca="false">MY_PT(AA$2,$A31)</f>
        <v>0.681759818145537</v>
      </c>
      <c r="AB31" s="0" t="n">
        <f aca="false">MY_PT(AB$2,$A31)</f>
        <v>0.681824488116099</v>
      </c>
      <c r="AC31" s="0" t="n">
        <f aca="false">MY_PT(AC$2,$A31)</f>
        <v>0.681889157977377</v>
      </c>
      <c r="AD31" s="0" t="n">
        <f aca="false">MY_PT(AD$2,$A31)</f>
        <v>0.681953827730241</v>
      </c>
      <c r="AE31" s="0" t="n">
        <f aca="false">MY_PT(AE$2,$A31)</f>
        <v>0.682018497375531</v>
      </c>
      <c r="AF31" s="0" t="n">
        <f aca="false">MY_PT(AF$2,$A31)</f>
        <v>0.682083166914086</v>
      </c>
      <c r="AG31" s="0" t="n">
        <f aca="false">MY_PT(AG$2,$A31)</f>
        <v>0.682147836346715</v>
      </c>
      <c r="AH31" s="0" t="n">
        <f aca="false">MY_PT(AH$2,$A31)</f>
        <v>0.682794525016344</v>
      </c>
      <c r="AI31" s="0" t="n">
        <f aca="false">MY_PT(AI$2,$A31)</f>
        <v>0.683441203882531</v>
      </c>
      <c r="AJ31" s="0" t="n">
        <f aca="false">MY_PT(AJ$2,$A31)</f>
        <v>0.684087873520961</v>
      </c>
      <c r="AK31" s="0" t="n">
        <f aca="false">MY_PT(AK$2,$A31)</f>
        <v>0.684734534365774</v>
      </c>
      <c r="AL31" s="0" t="n">
        <f aca="false">MY_PT(AL$2,$A31)</f>
        <v>0.685381186713271</v>
      </c>
      <c r="AM31" s="0" t="n">
        <f aca="false">MY_PT(AM$2,$A31)</f>
        <v>0.686027830725624</v>
      </c>
      <c r="AN31" s="0" t="n">
        <f aca="false">MY_PT(AN$2,$A31)</f>
        <v>0.6866744664346</v>
      </c>
      <c r="AO31" s="0" t="n">
        <f aca="false">MY_PT(AO$2,$A31)</f>
        <v>0.687321093745289</v>
      </c>
      <c r="AP31" s="0" t="n">
        <f aca="false">MY_PT(AP$2,$A31)</f>
        <v>0.687967712439858</v>
      </c>
      <c r="AQ31" s="0" t="n">
        <f aca="false">MY_PT(AQ$2,$A31)</f>
        <v>0.694433297170276</v>
      </c>
      <c r="AR31" s="0" t="n">
        <f aca="false">MY_PT(AR$2,$A31)</f>
        <v>0.6957675667682</v>
      </c>
      <c r="AS31" s="0" t="n">
        <f aca="false">MY_PT(AS$2,$A31)</f>
        <v>0.696212801538885</v>
      </c>
    </row>
    <row r="32" customFormat="false" ht="12.8" hidden="false" customHeight="false" outlineLevel="0" collapsed="false">
      <c r="A32" s="0" t="n">
        <v>392</v>
      </c>
      <c r="B32" s="0" t="n">
        <f aca="false">MY_PT(B$2,$A32)</f>
        <v>0.0392084609417485</v>
      </c>
      <c r="C32" s="0" t="n">
        <f aca="false">MY_PT(C$2,$A32)</f>
        <v>0.0392083853899315</v>
      </c>
      <c r="D32" s="0" t="n">
        <f aca="false">MY_PT(D$2,$A32)</f>
        <v>0.0392083098380768</v>
      </c>
      <c r="E32" s="0" t="n">
        <f aca="false">MY_PT(E$2,$A32)</f>
        <v>0.0392082342861844</v>
      </c>
      <c r="F32" s="0" t="n">
        <f aca="false">MY_PT(F$2,$A32)</f>
        <v>0.0392081587342543</v>
      </c>
      <c r="G32" s="0" t="n">
        <f aca="false">MY_PT(G$2,$A32)</f>
        <v>0.0392074032128727</v>
      </c>
      <c r="H32" s="0" t="n">
        <f aca="false">MY_PT(H$2,$A32)</f>
        <v>0.0392066476876956</v>
      </c>
      <c r="I32" s="0" t="n">
        <f aca="false">MY_PT(I$2,$A32)</f>
        <v>0.0392058921587038</v>
      </c>
      <c r="J32" s="0" t="n">
        <f aca="false">MY_PT(J$2,$A32)</f>
        <v>0.0392051366258781</v>
      </c>
      <c r="K32" s="0" t="n">
        <f aca="false">MY_PT(K$2,$A32)</f>
        <v>0.0392043810891993</v>
      </c>
      <c r="L32" s="0" t="n">
        <f aca="false">MY_PT(L$2,$A32)</f>
        <v>0.0392036255486481</v>
      </c>
      <c r="M32" s="0" t="n">
        <f aca="false">MY_PT(M$2,$A32)</f>
        <v>0.0392028700042054</v>
      </c>
      <c r="N32" s="0" t="n">
        <f aca="false">MY_PT(N$2,$A32)</f>
        <v>0.0392021144558518</v>
      </c>
      <c r="O32" s="0" t="n">
        <f aca="false">MY_PT(O$2,$A32)</f>
        <v>0.0392013589035681</v>
      </c>
      <c r="P32" s="0" t="n">
        <f aca="false">MY_PT(P$2,$A32)</f>
        <v>0.0391938031603416</v>
      </c>
      <c r="Q32" s="0" t="n">
        <f aca="false">MY_PT(Q$2,$A32)</f>
        <v>0.0391862470029079</v>
      </c>
      <c r="R32" s="0" t="n">
        <f aca="false">MY_PT(R$2,$A32)</f>
        <v>0.0391786904119472</v>
      </c>
      <c r="S32" s="0" t="n">
        <f aca="false">MY_PT(S$2,$A32)</f>
        <v>0.0391711333680911</v>
      </c>
      <c r="T32" s="0" t="n">
        <f aca="false">MY_PT(T$2,$A32)</f>
        <v>0.0391635758519231</v>
      </c>
      <c r="U32" s="0" t="n">
        <f aca="false">MY_PT(U$2,$A32)</f>
        <v>0.0391560178439785</v>
      </c>
      <c r="V32" s="0" t="n">
        <f aca="false">MY_PT(V$2,$A32)</f>
        <v>0.0391484593247441</v>
      </c>
      <c r="W32" s="0" t="n">
        <f aca="false">MY_PT(W$2,$A32)</f>
        <v>0.0391409002746583</v>
      </c>
      <c r="X32" s="0" t="n">
        <f aca="false">MY_PT(X$2,$A32)</f>
        <v>0.0391333406741111</v>
      </c>
      <c r="Y32" s="0" t="n">
        <f aca="false">MY_PT(Y$2,$A32)</f>
        <v>0.0390577100441439</v>
      </c>
      <c r="Z32" s="0" t="n">
        <f aca="false">MY_PT(Z$2,$A32)</f>
        <v>0.0389820024311452</v>
      </c>
      <c r="AA32" s="0" t="n">
        <f aca="false">MY_PT(AA$2,$A32)</f>
        <v>0.0389061973909513</v>
      </c>
      <c r="AB32" s="0" t="n">
        <f aca="false">MY_PT(AB$2,$A32)</f>
        <v>0.0388302739084294</v>
      </c>
      <c r="AC32" s="0" t="n">
        <f aca="false">MY_PT(AC$2,$A32)</f>
        <v>0.0387542102821098</v>
      </c>
      <c r="AD32" s="0" t="n">
        <f aca="false">MY_PT(AD$2,$A32)</f>
        <v>0.0386779839190932</v>
      </c>
      <c r="AE32" s="0" t="n">
        <f aca="false">MY_PT(AE$2,$A32)</f>
        <v>0.038601570998076</v>
      </c>
      <c r="AF32" s="0" t="n">
        <f aca="false">MY_PT(AF$2,$A32)</f>
        <v>0.0385249459457455</v>
      </c>
      <c r="AG32" s="0" t="n">
        <f aca="false">MY_PT(AG$2,$A32)</f>
        <v>0.0384480806566351</v>
      </c>
      <c r="AH32" s="0" t="n">
        <f aca="false">MY_PT(AH$2,$A32)</f>
        <v>0.325204606510197</v>
      </c>
      <c r="AI32" s="0" t="n">
        <f aca="false">MY_PT(AI$2,$A32)</f>
        <v>0.325810183660688</v>
      </c>
      <c r="AJ32" s="0" t="n">
        <f aca="false">MY_PT(AJ$2,$A32)</f>
        <v>0.326413492428687</v>
      </c>
      <c r="AK32" s="0" t="n">
        <f aca="false">MY_PT(AK$2,$A32)</f>
        <v>0.327014573051194</v>
      </c>
      <c r="AL32" s="0" t="n">
        <f aca="false">MY_PT(AL$2,$A32)</f>
        <v>0.327613464683188</v>
      </c>
      <c r="AM32" s="0" t="n">
        <f aca="false">MY_PT(AM$2,$A32)</f>
        <v>0.328210205417892</v>
      </c>
      <c r="AN32" s="0" t="n">
        <f aca="false">MY_PT(AN$2,$A32)</f>
        <v>0.328804832306836</v>
      </c>
      <c r="AO32" s="0" t="n">
        <f aca="false">MY_PT(AO$2,$A32)</f>
        <v>0.329397381379739</v>
      </c>
      <c r="AP32" s="0" t="n">
        <f aca="false">MY_PT(AP$2,$A32)</f>
        <v>0.329987887664221</v>
      </c>
      <c r="AQ32" s="0" t="n">
        <f aca="false">MY_PT(AQ$2,$A32)</f>
        <v>0.335787625491602</v>
      </c>
      <c r="AR32" s="0" t="n">
        <f aca="false">MY_PT(AR$2,$A32)</f>
        <v>0.336962376840206</v>
      </c>
      <c r="AS32" s="0" t="n">
        <f aca="false">MY_PT(AS$2,$A32)</f>
        <v>0.337352806839312</v>
      </c>
    </row>
    <row r="33" customFormat="false" ht="12.8" hidden="false" customHeight="false" outlineLevel="0" collapsed="false">
      <c r="A33" s="0" t="n">
        <v>572</v>
      </c>
      <c r="B33" s="0" t="n">
        <f aca="false">MY_PT(B$2,$A33)</f>
        <v>0.0491125142988742</v>
      </c>
      <c r="C33" s="0" t="n">
        <f aca="false">MY_PT(C$2,$A33)</f>
        <v>0.0491124850791479</v>
      </c>
      <c r="D33" s="0" t="n">
        <f aca="false">MY_PT(D$2,$A33)</f>
        <v>0.0491124558595896</v>
      </c>
      <c r="E33" s="0" t="n">
        <f aca="false">MY_PT(E$2,$A33)</f>
        <v>0.0491124266401992</v>
      </c>
      <c r="F33" s="0" t="n">
        <f aca="false">MY_PT(F$2,$A33)</f>
        <v>0.0491123974209769</v>
      </c>
      <c r="G33" s="0" t="n">
        <f aca="false">MY_PT(G$2,$A33)</f>
        <v>0.0491121052379927</v>
      </c>
      <c r="H33" s="0" t="n">
        <f aca="false">MY_PT(H$2,$A33)</f>
        <v>0.0491118130718081</v>
      </c>
      <c r="I33" s="0" t="n">
        <f aca="false">MY_PT(I$2,$A33)</f>
        <v>0.0491115209224242</v>
      </c>
      <c r="J33" s="0" t="n">
        <f aca="false">MY_PT(J$2,$A33)</f>
        <v>0.0491112287898418</v>
      </c>
      <c r="K33" s="0" t="n">
        <f aca="false">MY_PT(K$2,$A33)</f>
        <v>0.0491109366740621</v>
      </c>
      <c r="L33" s="0" t="n">
        <f aca="false">MY_PT(L$2,$A33)</f>
        <v>0.0491106445750859</v>
      </c>
      <c r="M33" s="0" t="n">
        <f aca="false">MY_PT(M$2,$A33)</f>
        <v>0.0491103524929144</v>
      </c>
      <c r="N33" s="0" t="n">
        <f aca="false">MY_PT(N$2,$A33)</f>
        <v>0.0491100604275484</v>
      </c>
      <c r="O33" s="0" t="n">
        <f aca="false">MY_PT(O$2,$A33)</f>
        <v>0.0491097683789891</v>
      </c>
      <c r="P33" s="0" t="n">
        <f aca="false">MY_PT(P$2,$A33)</f>
        <v>0.0491068488179768</v>
      </c>
      <c r="Q33" s="0" t="n">
        <f aca="false">MY_PT(Q$2,$A33)</f>
        <v>0.0491039309387208</v>
      </c>
      <c r="R33" s="0" t="n">
        <f aca="false">MY_PT(R$2,$A33)</f>
        <v>0.0491010147422216</v>
      </c>
      <c r="S33" s="0" t="n">
        <f aca="false">MY_PT(S$2,$A33)</f>
        <v>0.0490981002294824</v>
      </c>
      <c r="T33" s="0" t="n">
        <f aca="false">MY_PT(T$2,$A33)</f>
        <v>0.0490951874015094</v>
      </c>
      <c r="U33" s="0" t="n">
        <f aca="false">MY_PT(U$2,$A33)</f>
        <v>0.0490922762593112</v>
      </c>
      <c r="V33" s="0" t="n">
        <f aca="false">MY_PT(V$2,$A33)</f>
        <v>0.0490893668038993</v>
      </c>
      <c r="W33" s="0" t="n">
        <f aca="false">MY_PT(W$2,$A33)</f>
        <v>0.0490864590362881</v>
      </c>
      <c r="X33" s="0" t="n">
        <f aca="false">MY_PT(X$2,$A33)</f>
        <v>0.0490835529574945</v>
      </c>
      <c r="Y33" s="0" t="n">
        <f aca="false">MY_PT(Y$2,$A33)</f>
        <v>0.0490545852803407</v>
      </c>
      <c r="Z33" s="0" t="n">
        <f aca="false">MY_PT(Z$2,$A33)</f>
        <v>0.0490257876254032</v>
      </c>
      <c r="AA33" s="0" t="n">
        <f aca="false">MY_PT(AA$2,$A33)</f>
        <v>0.0489971610594144</v>
      </c>
      <c r="AB33" s="0" t="n">
        <f aca="false">MY_PT(AB$2,$A33)</f>
        <v>0.0489687066819427</v>
      </c>
      <c r="AC33" s="0" t="n">
        <f aca="false">MY_PT(AC$2,$A33)</f>
        <v>0.0489404256276612</v>
      </c>
      <c r="AD33" s="0" t="n">
        <f aca="false">MY_PT(AD$2,$A33)</f>
        <v>0.0489123190686756</v>
      </c>
      <c r="AE33" s="0" t="n">
        <f aca="false">MY_PT(AE$2,$A33)</f>
        <v>0.0488843882169119</v>
      </c>
      <c r="AF33" s="0" t="n">
        <f aca="false">MY_PT(AF$2,$A33)</f>
        <v>0.0488566343265615</v>
      </c>
      <c r="AG33" s="0" t="n">
        <f aca="false">MY_PT(AG$2,$A33)</f>
        <v>0.0488290586965839</v>
      </c>
      <c r="AH33" s="0" t="n">
        <f aca="false">MY_PT(AH$2,$A33)</f>
        <v>0.0485634298019724</v>
      </c>
      <c r="AI33" s="0" t="n">
        <f aca="false">MY_PT(AI$2,$A33)</f>
        <v>0.0483174948721293</v>
      </c>
      <c r="AJ33" s="0" t="n">
        <f aca="false">MY_PT(AJ$2,$A33)</f>
        <v>0.048093760911448</v>
      </c>
      <c r="AK33" s="0" t="n">
        <f aca="false">MY_PT(AK$2,$A33)</f>
        <v>0.0478959840026884</v>
      </c>
      <c r="AL33" s="0" t="n">
        <f aca="false">MY_PT(AL$2,$A33)</f>
        <v>0.0477299293453005</v>
      </c>
      <c r="AM33" s="0" t="n">
        <f aca="false">MY_PT(AM$2,$A33)</f>
        <v>0.0476049794793667</v>
      </c>
      <c r="AN33" s="0" t="n">
        <f aca="false">MY_PT(AN$2,$A33)</f>
        <v>0.047537911657402</v>
      </c>
      <c r="AO33" s="0" t="n">
        <f aca="false">MY_PT(AO$2,$A33)</f>
        <v>0.208193987362472</v>
      </c>
      <c r="AP33" s="0" t="n">
        <f aca="false">MY_PT(AP$2,$A33)</f>
        <v>0.209156127556015</v>
      </c>
      <c r="AQ33" s="0" t="n">
        <f aca="false">MY_PT(AQ$2,$A33)</f>
        <v>0.217839159637553</v>
      </c>
      <c r="AR33" s="0" t="n">
        <f aca="false">MY_PT(AR$2,$A33)</f>
        <v>0.219465368163373</v>
      </c>
      <c r="AS33" s="0" t="n">
        <f aca="false">MY_PT(AS$2,$A33)</f>
        <v>0.219997953545923</v>
      </c>
    </row>
    <row r="34" customFormat="false" ht="12.8" hidden="false" customHeight="false" outlineLevel="0" collapsed="false">
      <c r="A34" s="0" t="n">
        <v>752</v>
      </c>
      <c r="B34" s="0" t="n">
        <f aca="false">MY_PT(B$2,$A34)</f>
        <v>0.0591561473517911</v>
      </c>
      <c r="C34" s="0" t="n">
        <f aca="false">MY_PT(C$2,$A34)</f>
        <v>0.0591561393728183</v>
      </c>
      <c r="D34" s="0" t="n">
        <f aca="false">MY_PT(D$2,$A34)</f>
        <v>0.0591561313939867</v>
      </c>
      <c r="E34" s="0" t="n">
        <f aca="false">MY_PT(E$2,$A34)</f>
        <v>0.0591561234152963</v>
      </c>
      <c r="F34" s="0" t="n">
        <f aca="false">MY_PT(F$2,$A34)</f>
        <v>0.0591561154367472</v>
      </c>
      <c r="G34" s="0" t="n">
        <f aca="false">MY_PT(G$2,$A34)</f>
        <v>0.0591560356590228</v>
      </c>
      <c r="H34" s="0" t="n">
        <f aca="false">MY_PT(H$2,$A34)</f>
        <v>0.0591559558954207</v>
      </c>
      <c r="I34" s="0" t="n">
        <f aca="false">MY_PT(I$2,$A34)</f>
        <v>0.0591558761459416</v>
      </c>
      <c r="J34" s="0" t="n">
        <f aca="false">MY_PT(J$2,$A34)</f>
        <v>0.0591557964105862</v>
      </c>
      <c r="K34" s="0" t="n">
        <f aca="false">MY_PT(K$2,$A34)</f>
        <v>0.0591557166893552</v>
      </c>
      <c r="L34" s="0" t="n">
        <f aca="false">MY_PT(L$2,$A34)</f>
        <v>0.0591556369822492</v>
      </c>
      <c r="M34" s="0" t="n">
        <f aca="false">MY_PT(M$2,$A34)</f>
        <v>0.059155557289269</v>
      </c>
      <c r="N34" s="0" t="n">
        <f aca="false">MY_PT(N$2,$A34)</f>
        <v>0.0591554776104152</v>
      </c>
      <c r="O34" s="0" t="n">
        <f aca="false">MY_PT(O$2,$A34)</f>
        <v>0.0591553979456886</v>
      </c>
      <c r="P34" s="0" t="n">
        <f aca="false">MY_PT(P$2,$A34)</f>
        <v>0.059154602075566</v>
      </c>
      <c r="Q34" s="0" t="n">
        <f aca="false">MY_PT(Q$2,$A34)</f>
        <v>0.059153807618914</v>
      </c>
      <c r="R34" s="0" t="n">
        <f aca="false">MY_PT(R$2,$A34)</f>
        <v>0.0591530145764219</v>
      </c>
      <c r="S34" s="0" t="n">
        <f aca="false">MY_PT(S$2,$A34)</f>
        <v>0.05915222294878</v>
      </c>
      <c r="T34" s="0" t="n">
        <f aca="false">MY_PT(T$2,$A34)</f>
        <v>0.0591514327366793</v>
      </c>
      <c r="U34" s="0" t="n">
        <f aca="false">MY_PT(U$2,$A34)</f>
        <v>0.0591506439408118</v>
      </c>
      <c r="V34" s="0" t="n">
        <f aca="false">MY_PT(V$2,$A34)</f>
        <v>0.0591498565618703</v>
      </c>
      <c r="W34" s="0" t="n">
        <f aca="false">MY_PT(W$2,$A34)</f>
        <v>0.0591490706005484</v>
      </c>
      <c r="X34" s="0" t="n">
        <f aca="false">MY_PT(X$2,$A34)</f>
        <v>0.0591482860575406</v>
      </c>
      <c r="Y34" s="0" t="n">
        <f aca="false">MY_PT(Y$2,$A34)</f>
        <v>0.0591405187881568</v>
      </c>
      <c r="Z34" s="0" t="n">
        <f aca="false">MY_PT(Z$2,$A34)</f>
        <v>0.0591328941206422</v>
      </c>
      <c r="AA34" s="0" t="n">
        <f aca="false">MY_PT(AA$2,$A34)</f>
        <v>0.0591254127640675</v>
      </c>
      <c r="AB34" s="0" t="n">
        <f aca="false">MY_PT(AB$2,$A34)</f>
        <v>0.0591180754365792</v>
      </c>
      <c r="AC34" s="0" t="n">
        <f aca="false">MY_PT(AC$2,$A34)</f>
        <v>0.0591108828656091</v>
      </c>
      <c r="AD34" s="0" t="n">
        <f aca="false">MY_PT(AD$2,$A34)</f>
        <v>0.059103835788085</v>
      </c>
      <c r="AE34" s="0" t="n">
        <f aca="false">MY_PT(AE$2,$A34)</f>
        <v>0.059096934950645</v>
      </c>
      <c r="AF34" s="0" t="n">
        <f aca="false">MY_PT(AF$2,$A34)</f>
        <v>0.0590901811098541</v>
      </c>
      <c r="AG34" s="0" t="n">
        <f aca="false">MY_PT(AG$2,$A34)</f>
        <v>0.0590835750324233</v>
      </c>
      <c r="AH34" s="0" t="n">
        <f aca="false">MY_PT(AH$2,$A34)</f>
        <v>0.0590258176266098</v>
      </c>
      <c r="AI34" s="0" t="n">
        <f aca="false">MY_PT(AI$2,$A34)</f>
        <v>0.0589837641886939</v>
      </c>
      <c r="AJ34" s="0" t="n">
        <f aca="false">MY_PT(AJ$2,$A34)</f>
        <v>0.0589583864588974</v>
      </c>
      <c r="AK34" s="0" t="n">
        <f aca="false">MY_PT(AK$2,$A34)</f>
        <v>0.0589508143087951</v>
      </c>
      <c r="AL34" s="0" t="n">
        <f aca="false">MY_PT(AL$2,$A34)</f>
        <v>0.0589623676102508</v>
      </c>
      <c r="AM34" s="0" t="n">
        <f aca="false">MY_PT(AM$2,$A34)</f>
        <v>0.058994593828549</v>
      </c>
      <c r="AN34" s="0" t="n">
        <f aca="false">MY_PT(AN$2,$A34)</f>
        <v>0.0590493134883649</v>
      </c>
      <c r="AO34" s="0" t="n">
        <f aca="false">MY_PT(AO$2,$A34)</f>
        <v>0.0591286766246952</v>
      </c>
      <c r="AP34" s="0" t="n">
        <f aca="false">MY_PT(AP$2,$A34)</f>
        <v>0.0592352345818684</v>
      </c>
      <c r="AQ34" s="0" t="n">
        <f aca="false">MY_PT(AQ$2,$A34)</f>
        <v>0.0629789382937512</v>
      </c>
      <c r="AR34" s="0" t="n">
        <f aca="false">MY_PT(AR$2,$A34)</f>
        <v>0.0650780986798554</v>
      </c>
      <c r="AS34" s="0" t="n">
        <f aca="false">MY_PT(AS$2,$A34)</f>
        <v>0.0660188121409992</v>
      </c>
    </row>
    <row r="35" customFormat="false" ht="12.8" hidden="false" customHeight="false" outlineLevel="0" collapsed="false">
      <c r="A35" s="0" t="n">
        <v>932</v>
      </c>
      <c r="B35" s="0" t="n">
        <f aca="false">MY_PT(B$2,$A35)</f>
        <v>0.0691220977702043</v>
      </c>
      <c r="C35" s="0" t="n">
        <f aca="false">MY_PT(C$2,$A35)</f>
        <v>0.0691221002594654</v>
      </c>
      <c r="D35" s="0" t="n">
        <f aca="false">MY_PT(D$2,$A35)</f>
        <v>0.0691221027488292</v>
      </c>
      <c r="E35" s="0" t="n">
        <f aca="false">MY_PT(E$2,$A35)</f>
        <v>0.0691221052382959</v>
      </c>
      <c r="F35" s="0" t="n">
        <f aca="false">MY_PT(F$2,$A35)</f>
        <v>0.0691221077278655</v>
      </c>
      <c r="G35" s="0" t="n">
        <f aca="false">MY_PT(G$2,$A35)</f>
        <v>0.0691221326292165</v>
      </c>
      <c r="H35" s="0" t="n">
        <f aca="false">MY_PT(H$2,$A35)</f>
        <v>0.0691221575408507</v>
      </c>
      <c r="I35" s="0" t="n">
        <f aca="false">MY_PT(I$2,$A35)</f>
        <v>0.0691221824627684</v>
      </c>
      <c r="J35" s="0" t="n">
        <f aca="false">MY_PT(J$2,$A35)</f>
        <v>0.0691222073949698</v>
      </c>
      <c r="K35" s="0" t="n">
        <f aca="false">MY_PT(K$2,$A35)</f>
        <v>0.0691222323374552</v>
      </c>
      <c r="L35" s="0" t="n">
        <f aca="false">MY_PT(L$2,$A35)</f>
        <v>0.0691222572902248</v>
      </c>
      <c r="M35" s="0" t="n">
        <f aca="false">MY_PT(M$2,$A35)</f>
        <v>0.0691222822532789</v>
      </c>
      <c r="N35" s="0" t="n">
        <f aca="false">MY_PT(N$2,$A35)</f>
        <v>0.0691223072266177</v>
      </c>
      <c r="O35" s="0" t="n">
        <f aca="false">MY_PT(O$2,$A35)</f>
        <v>0.0691223322102415</v>
      </c>
      <c r="P35" s="0" t="n">
        <f aca="false">MY_PT(P$2,$A35)</f>
        <v>0.0691225826122134</v>
      </c>
      <c r="Q35" s="0" t="n">
        <f aca="false">MY_PT(Q$2,$A35)</f>
        <v>0.0691228340429743</v>
      </c>
      <c r="R35" s="0" t="n">
        <f aca="false">MY_PT(R$2,$A35)</f>
        <v>0.0691230865027859</v>
      </c>
      <c r="S35" s="0" t="n">
        <f aca="false">MY_PT(S$2,$A35)</f>
        <v>0.0691233399919098</v>
      </c>
      <c r="T35" s="0" t="n">
        <f aca="false">MY_PT(T$2,$A35)</f>
        <v>0.0691235945106082</v>
      </c>
      <c r="U35" s="0" t="n">
        <f aca="false">MY_PT(U$2,$A35)</f>
        <v>0.0691238500591431</v>
      </c>
      <c r="V35" s="0" t="n">
        <f aca="false">MY_PT(V$2,$A35)</f>
        <v>0.0691241066377769</v>
      </c>
      <c r="W35" s="0" t="n">
        <f aca="false">MY_PT(W$2,$A35)</f>
        <v>0.0691243642467721</v>
      </c>
      <c r="X35" s="0" t="n">
        <f aca="false">MY_PT(X$2,$A35)</f>
        <v>0.0691246228863916</v>
      </c>
      <c r="Y35" s="0" t="n">
        <f aca="false">MY_PT(Y$2,$A35)</f>
        <v>0.0691272660248699</v>
      </c>
      <c r="Z35" s="0" t="n">
        <f aca="false">MY_PT(Z$2,$A35)</f>
        <v>0.0691300125163003</v>
      </c>
      <c r="AA35" s="0" t="n">
        <f aca="false">MY_PT(AA$2,$A35)</f>
        <v>0.0691328626267705</v>
      </c>
      <c r="AB35" s="0" t="n">
        <f aca="false">MY_PT(AB$2,$A35)</f>
        <v>0.0691358166244067</v>
      </c>
      <c r="AC35" s="0" t="n">
        <f aca="false">MY_PT(AC$2,$A35)</f>
        <v>0.0691388747793921</v>
      </c>
      <c r="AD35" s="0" t="n">
        <f aca="false">MY_PT(AD$2,$A35)</f>
        <v>0.0691420373639853</v>
      </c>
      <c r="AE35" s="0" t="n">
        <f aca="false">MY_PT(AE$2,$A35)</f>
        <v>0.0691453046525389</v>
      </c>
      <c r="AF35" s="0" t="n">
        <f aca="false">MY_PT(AF$2,$A35)</f>
        <v>0.0691486769215187</v>
      </c>
      <c r="AG35" s="0" t="n">
        <f aca="false">MY_PT(AG$2,$A35)</f>
        <v>0.0691521544495212</v>
      </c>
      <c r="AH35" s="0" t="n">
        <f aca="false">MY_PT(AH$2,$A35)</f>
        <v>0.0691927818284935</v>
      </c>
      <c r="AI35" s="0" t="n">
        <f aca="false">MY_PT(AI$2,$A35)</f>
        <v>0.0692442581133346</v>
      </c>
      <c r="AJ35" s="0" t="n">
        <f aca="false">MY_PT(AJ$2,$A35)</f>
        <v>0.0693069000153513</v>
      </c>
      <c r="AK35" s="0" t="n">
        <f aca="false">MY_PT(AK$2,$A35)</f>
        <v>0.0693810497191233</v>
      </c>
      <c r="AL35" s="0" t="n">
        <f aca="false">MY_PT(AL$2,$A35)</f>
        <v>0.0694670768047035</v>
      </c>
      <c r="AM35" s="0" t="n">
        <f aca="false">MY_PT(AM$2,$A35)</f>
        <v>0.0695653801912153</v>
      </c>
      <c r="AN35" s="0" t="n">
        <f aca="false">MY_PT(AN$2,$A35)</f>
        <v>0.0696763901040256</v>
      </c>
      <c r="AO35" s="0" t="n">
        <f aca="false">MY_PT(AO$2,$A35)</f>
        <v>0.0698005700692937</v>
      </c>
      <c r="AP35" s="0" t="n">
        <f aca="false">MY_PT(AP$2,$A35)</f>
        <v>0.0699384189413867</v>
      </c>
      <c r="AQ35" s="0" t="n">
        <f aca="false">MY_PT(AQ$2,$A35)</f>
        <v>0.0722080183705803</v>
      </c>
      <c r="AR35" s="0" t="n">
        <f aca="false">MY_PT(AR$2,$A35)</f>
        <v>0.0729217136063777</v>
      </c>
      <c r="AS35" s="0" t="n">
        <f aca="false">MY_PT(AS$2,$A35)</f>
        <v>0.0731825629060937</v>
      </c>
    </row>
    <row r="36" customFormat="false" ht="12.8" hidden="false" customHeight="false" outlineLevel="0" collapsed="false">
      <c r="A36" s="0" t="n">
        <v>1112</v>
      </c>
      <c r="B36" s="0" t="n">
        <f aca="false">MY_PT(B$2,$A36)</f>
        <v>0.0788959154289553</v>
      </c>
      <c r="C36" s="0" t="n">
        <f aca="false">MY_PT(C$2,$A36)</f>
        <v>0.07889592297614</v>
      </c>
      <c r="D36" s="0" t="n">
        <f aca="false">MY_PT(D$2,$A36)</f>
        <v>0.0788959305234006</v>
      </c>
      <c r="E36" s="0" t="n">
        <f aca="false">MY_PT(E$2,$A36)</f>
        <v>0.0788959380707371</v>
      </c>
      <c r="F36" s="0" t="n">
        <f aca="false">MY_PT(F$2,$A36)</f>
        <v>0.0788959456181495</v>
      </c>
      <c r="G36" s="0" t="n">
        <f aca="false">MY_PT(G$2,$A36)</f>
        <v>0.0788960210964483</v>
      </c>
      <c r="H36" s="0" t="n">
        <f aca="false">MY_PT(H$2,$A36)</f>
        <v>0.0788960965823378</v>
      </c>
      <c r="I36" s="0" t="n">
        <f aca="false">MY_PT(I$2,$A36)</f>
        <v>0.0788961720758181</v>
      </c>
      <c r="J36" s="0" t="n">
        <f aca="false">MY_PT(J$2,$A36)</f>
        <v>0.0788962475768893</v>
      </c>
      <c r="K36" s="0" t="n">
        <f aca="false">MY_PT(K$2,$A36)</f>
        <v>0.0788963230855515</v>
      </c>
      <c r="L36" s="0" t="n">
        <f aca="false">MY_PT(L$2,$A36)</f>
        <v>0.0788963986018047</v>
      </c>
      <c r="M36" s="0" t="n">
        <f aca="false">MY_PT(M$2,$A36)</f>
        <v>0.078896474125649</v>
      </c>
      <c r="N36" s="0" t="n">
        <f aca="false">MY_PT(N$2,$A36)</f>
        <v>0.0788965496570846</v>
      </c>
      <c r="O36" s="0" t="n">
        <f aca="false">MY_PT(O$2,$A36)</f>
        <v>0.0788966251961114</v>
      </c>
      <c r="P36" s="0" t="n">
        <f aca="false">MY_PT(P$2,$A36)</f>
        <v>0.0788973810039191</v>
      </c>
      <c r="Q36" s="0" t="n">
        <f aca="false">MY_PT(Q$2,$A36)</f>
        <v>0.0788981375709463</v>
      </c>
      <c r="R36" s="0" t="n">
        <f aca="false">MY_PT(R$2,$A36)</f>
        <v>0.0788988948972752</v>
      </c>
      <c r="S36" s="0" t="n">
        <f aca="false">MY_PT(S$2,$A36)</f>
        <v>0.0788996529829878</v>
      </c>
      <c r="T36" s="0" t="n">
        <f aca="false">MY_PT(T$2,$A36)</f>
        <v>0.0789004118281663</v>
      </c>
      <c r="U36" s="0" t="n">
        <f aca="false">MY_PT(U$2,$A36)</f>
        <v>0.0789011714328927</v>
      </c>
      <c r="V36" s="0" t="n">
        <f aca="false">MY_PT(V$2,$A36)</f>
        <v>0.0789019317972493</v>
      </c>
      <c r="W36" s="0" t="n">
        <f aca="false">MY_PT(W$2,$A36)</f>
        <v>0.0789026929213185</v>
      </c>
      <c r="X36" s="0" t="n">
        <f aca="false">MY_PT(X$2,$A36)</f>
        <v>0.0789034548051824</v>
      </c>
      <c r="Y36" s="0" t="n">
        <f aca="false">MY_PT(Y$2,$A36)</f>
        <v>0.0789111154506743</v>
      </c>
      <c r="Z36" s="0" t="n">
        <f aca="false">MY_PT(Z$2,$A36)</f>
        <v>0.0789188521665136</v>
      </c>
      <c r="AA36" s="0" t="n">
        <f aca="false">MY_PT(AA$2,$A36)</f>
        <v>0.0789266650357449</v>
      </c>
      <c r="AB36" s="0" t="n">
        <f aca="false">MY_PT(AB$2,$A36)</f>
        <v>0.0789345541418616</v>
      </c>
      <c r="AC36" s="0" t="n">
        <f aca="false">MY_PT(AC$2,$A36)</f>
        <v>0.0789425195688056</v>
      </c>
      <c r="AD36" s="0" t="n">
        <f aca="false">MY_PT(AD$2,$A36)</f>
        <v>0.0789505614009673</v>
      </c>
      <c r="AE36" s="0" t="n">
        <f aca="false">MY_PT(AE$2,$A36)</f>
        <v>0.0789586797231867</v>
      </c>
      <c r="AF36" s="0" t="n">
        <f aca="false">MY_PT(AF$2,$A36)</f>
        <v>0.0789668746207525</v>
      </c>
      <c r="AG36" s="0" t="n">
        <f aca="false">MY_PT(AG$2,$A36)</f>
        <v>0.0789751461794029</v>
      </c>
      <c r="AH36" s="0" t="n">
        <f aca="false">MY_PT(AH$2,$A36)</f>
        <v>0.0790620973094583</v>
      </c>
      <c r="AI36" s="0" t="n">
        <f aca="false">MY_PT(AI$2,$A36)</f>
        <v>0.0791568121993532</v>
      </c>
      <c r="AJ36" s="0" t="n">
        <f aca="false">MY_PT(AJ$2,$A36)</f>
        <v>0.0792593840066858</v>
      </c>
      <c r="AK36" s="0" t="n">
        <f aca="false">MY_PT(AK$2,$A36)</f>
        <v>0.0793699103707013</v>
      </c>
      <c r="AL36" s="0" t="n">
        <f aca="false">MY_PT(AL$2,$A36)</f>
        <v>0.0794884933803687</v>
      </c>
      <c r="AM36" s="0" t="n">
        <f aca="false">MY_PT(AM$2,$A36)</f>
        <v>0.0796152395238829</v>
      </c>
      <c r="AN36" s="0" t="n">
        <f aca="false">MY_PT(AN$2,$A36)</f>
        <v>0.0797502596187019</v>
      </c>
      <c r="AO36" s="0" t="n">
        <f aca="false">MY_PT(AO$2,$A36)</f>
        <v>0.0798936687212029</v>
      </c>
      <c r="AP36" s="0" t="n">
        <f aca="false">MY_PT(AP$2,$A36)</f>
        <v>0.0800455860150213</v>
      </c>
      <c r="AQ36" s="0" t="n">
        <f aca="false">MY_PT(AQ$2,$A36)</f>
        <v>0.0820615396042289</v>
      </c>
      <c r="AR36" s="0" t="n">
        <f aca="false">MY_PT(AR$2,$A36)</f>
        <v>0.0825977321543208</v>
      </c>
      <c r="AS36" s="0" t="n">
        <f aca="false">MY_PT(AS$2,$A36)</f>
        <v>0.0827864060003695</v>
      </c>
    </row>
    <row r="37" customFormat="false" ht="12.8" hidden="false" customHeight="false" outlineLevel="0" collapsed="false">
      <c r="A37" s="0" t="n">
        <v>1292</v>
      </c>
      <c r="B37" s="0" t="n">
        <f aca="false">MY_PT(B$2,$A37)</f>
        <v>0.0884188935861614</v>
      </c>
      <c r="C37" s="0" t="n">
        <f aca="false">MY_PT(C$2,$A37)</f>
        <v>0.0884189032082753</v>
      </c>
      <c r="D37" s="0" t="n">
        <f aca="false">MY_PT(D$2,$A37)</f>
        <v>0.0884189128304484</v>
      </c>
      <c r="E37" s="0" t="n">
        <f aca="false">MY_PT(E$2,$A37)</f>
        <v>0.0884189224526807</v>
      </c>
      <c r="F37" s="0" t="n">
        <f aca="false">MY_PT(F$2,$A37)</f>
        <v>0.0884189320749722</v>
      </c>
      <c r="G37" s="0" t="n">
        <f aca="false">MY_PT(G$2,$A37)</f>
        <v>0.0884190283011416</v>
      </c>
      <c r="H37" s="0" t="n">
        <f aca="false">MY_PT(H$2,$A37)</f>
        <v>0.0884191245332289</v>
      </c>
      <c r="I37" s="0" t="n">
        <f aca="false">MY_PT(I$2,$A37)</f>
        <v>0.088419220771234</v>
      </c>
      <c r="J37" s="0" t="n">
        <f aca="false">MY_PT(J$2,$A37)</f>
        <v>0.088419317015157</v>
      </c>
      <c r="K37" s="0" t="n">
        <f aca="false">MY_PT(K$2,$A37)</f>
        <v>0.0884194132649979</v>
      </c>
      <c r="L37" s="0" t="n">
        <f aca="false">MY_PT(L$2,$A37)</f>
        <v>0.0884195095207566</v>
      </c>
      <c r="M37" s="0" t="n">
        <f aca="false">MY_PT(M$2,$A37)</f>
        <v>0.0884196057824332</v>
      </c>
      <c r="N37" s="0" t="n">
        <f aca="false">MY_PT(N$2,$A37)</f>
        <v>0.0884197020500278</v>
      </c>
      <c r="O37" s="0" t="n">
        <f aca="false">MY_PT(O$2,$A37)</f>
        <v>0.0884197983235402</v>
      </c>
      <c r="P37" s="0" t="n">
        <f aca="false">MY_PT(P$2,$A37)</f>
        <v>0.088420761384151</v>
      </c>
      <c r="Q37" s="0" t="n">
        <f aca="false">MY_PT(Q$2,$A37)</f>
        <v>0.0884217250365603</v>
      </c>
      <c r="R37" s="0" t="n">
        <f aca="false">MY_PT(R$2,$A37)</f>
        <v>0.0884226892807754</v>
      </c>
      <c r="S37" s="0" t="n">
        <f aca="false">MY_PT(S$2,$A37)</f>
        <v>0.0884236541168039</v>
      </c>
      <c r="T37" s="0" t="n">
        <f aca="false">MY_PT(T$2,$A37)</f>
        <v>0.088424619544653</v>
      </c>
      <c r="U37" s="0" t="n">
        <f aca="false">MY_PT(U$2,$A37)</f>
        <v>0.0884255855643301</v>
      </c>
      <c r="V37" s="0" t="n">
        <f aca="false">MY_PT(V$2,$A37)</f>
        <v>0.0884265521758428</v>
      </c>
      <c r="W37" s="0" t="n">
        <f aca="false">MY_PT(W$2,$A37)</f>
        <v>0.0884275193791983</v>
      </c>
      <c r="X37" s="0" t="n">
        <f aca="false">MY_PT(X$2,$A37)</f>
        <v>0.0884284871744042</v>
      </c>
      <c r="Y37" s="0" t="n">
        <f aca="false">MY_PT(Y$2,$A37)</f>
        <v>0.088438197679873</v>
      </c>
      <c r="Z37" s="0" t="n">
        <f aca="false">MY_PT(Z$2,$A37)</f>
        <v>0.0884479673786173</v>
      </c>
      <c r="AA37" s="0" t="n">
        <f aca="false">MY_PT(AA$2,$A37)</f>
        <v>0.0884577962782169</v>
      </c>
      <c r="AB37" s="0" t="n">
        <f aca="false">MY_PT(AB$2,$A37)</f>
        <v>0.0884676843863403</v>
      </c>
      <c r="AC37" s="0" t="n">
        <f aca="false">MY_PT(AC$2,$A37)</f>
        <v>0.0884776317107436</v>
      </c>
      <c r="AD37" s="0" t="n">
        <f aca="false">MY_PT(AD$2,$A37)</f>
        <v>0.0884876382592696</v>
      </c>
      <c r="AE37" s="0" t="n">
        <f aca="false">MY_PT(AE$2,$A37)</f>
        <v>0.0884977040398471</v>
      </c>
      <c r="AF37" s="0" t="n">
        <f aca="false">MY_PT(AF$2,$A37)</f>
        <v>0.0885078290604896</v>
      </c>
      <c r="AG37" s="0" t="n">
        <f aca="false">MY_PT(AG$2,$A37)</f>
        <v>0.0885180133292945</v>
      </c>
      <c r="AH37" s="0" t="n">
        <f aca="false">MY_PT(AH$2,$A37)</f>
        <v>0.0886231165058133</v>
      </c>
      <c r="AI37" s="0" t="n">
        <f aca="false">MY_PT(AI$2,$A37)</f>
        <v>0.0887341539922756</v>
      </c>
      <c r="AJ37" s="0" t="n">
        <f aca="false">MY_PT(AJ$2,$A37)</f>
        <v>0.0888511351214685</v>
      </c>
      <c r="AK37" s="0" t="n">
        <f aca="false">MY_PT(AK$2,$A37)</f>
        <v>0.0889740698545337</v>
      </c>
      <c r="AL37" s="0" t="n">
        <f aca="false">MY_PT(AL$2,$A37)</f>
        <v>0.0891029686832729</v>
      </c>
      <c r="AM37" s="0" t="n">
        <f aca="false">MY_PT(AM$2,$A37)</f>
        <v>0.0892378425311412</v>
      </c>
      <c r="AN37" s="0" t="n">
        <f aca="false">MY_PT(AN$2,$A37)</f>
        <v>0.0893787026528933</v>
      </c>
      <c r="AO37" s="0" t="n">
        <f aca="false">MY_PT(AO$2,$A37)</f>
        <v>0.0895255605328529</v>
      </c>
      <c r="AP37" s="0" t="n">
        <f aca="false">MY_PT(AP$2,$A37)</f>
        <v>0.0896784277817961</v>
      </c>
      <c r="AQ37" s="0" t="n">
        <f aca="false">MY_PT(AQ$2,$A37)</f>
        <v>0.0915400471270033</v>
      </c>
      <c r="AR37" s="0" t="n">
        <f aca="false">MY_PT(AR$2,$A37)</f>
        <v>0.0920001419862671</v>
      </c>
      <c r="AS37" s="0" t="n">
        <f aca="false">MY_PT(AS$2,$A37)</f>
        <v>0.0921594812053258</v>
      </c>
    </row>
    <row r="38" customFormat="false" ht="12.8" hidden="false" customHeight="false" outlineLevel="0" collapsed="false">
      <c r="A38" s="0" t="n">
        <v>1472</v>
      </c>
      <c r="B38" s="0" t="n">
        <f aca="false">MY_PT(B$2,$A38)</f>
        <v>0.0976641787354367</v>
      </c>
      <c r="C38" s="0" t="n">
        <f aca="false">MY_PT(C$2,$A38)</f>
        <v>0.0976641887018515</v>
      </c>
      <c r="D38" s="0" t="n">
        <f aca="false">MY_PT(D$2,$A38)</f>
        <v>0.0976641986683156</v>
      </c>
      <c r="E38" s="0" t="n">
        <f aca="false">MY_PT(E$2,$A38)</f>
        <v>0.0976642086348288</v>
      </c>
      <c r="F38" s="0" t="n">
        <f aca="false">MY_PT(F$2,$A38)</f>
        <v>0.0976642186013912</v>
      </c>
      <c r="G38" s="0" t="n">
        <f aca="false">MY_PT(G$2,$A38)</f>
        <v>0.0976643182697207</v>
      </c>
      <c r="H38" s="0" t="n">
        <f aca="false">MY_PT(H$2,$A38)</f>
        <v>0.0976644179429692</v>
      </c>
      <c r="I38" s="0" t="n">
        <f aca="false">MY_PT(I$2,$A38)</f>
        <v>0.0976645176211367</v>
      </c>
      <c r="J38" s="0" t="n">
        <f aca="false">MY_PT(J$2,$A38)</f>
        <v>0.0976646173042233</v>
      </c>
      <c r="K38" s="0" t="n">
        <f aca="false">MY_PT(K$2,$A38)</f>
        <v>0.0976647169922288</v>
      </c>
      <c r="L38" s="0" t="n">
        <f aca="false">MY_PT(L$2,$A38)</f>
        <v>0.0976648166851533</v>
      </c>
      <c r="M38" s="0" t="n">
        <f aca="false">MY_PT(M$2,$A38)</f>
        <v>0.0976649163829966</v>
      </c>
      <c r="N38" s="0" t="n">
        <f aca="false">MY_PT(N$2,$A38)</f>
        <v>0.0976650160857588</v>
      </c>
      <c r="O38" s="0" t="n">
        <f aca="false">MY_PT(O$2,$A38)</f>
        <v>0.0976651157934399</v>
      </c>
      <c r="P38" s="0" t="n">
        <f aca="false">MY_PT(P$2,$A38)</f>
        <v>0.0976661131407822</v>
      </c>
      <c r="Q38" s="0" t="n">
        <f aca="false">MY_PT(Q$2,$A38)</f>
        <v>0.0976671109799811</v>
      </c>
      <c r="R38" s="0" t="n">
        <f aca="false">MY_PT(R$2,$A38)</f>
        <v>0.0976681093110105</v>
      </c>
      <c r="S38" s="0" t="n">
        <f aca="false">MY_PT(S$2,$A38)</f>
        <v>0.0976691081338437</v>
      </c>
      <c r="T38" s="0" t="n">
        <f aca="false">MY_PT(T$2,$A38)</f>
        <v>0.0976701074484546</v>
      </c>
      <c r="U38" s="0" t="n">
        <f aca="false">MY_PT(U$2,$A38)</f>
        <v>0.0976711072548167</v>
      </c>
      <c r="V38" s="0" t="n">
        <f aca="false">MY_PT(V$2,$A38)</f>
        <v>0.0976721075529038</v>
      </c>
      <c r="W38" s="0" t="n">
        <f aca="false">MY_PT(W$2,$A38)</f>
        <v>0.0976731083426894</v>
      </c>
      <c r="X38" s="0" t="n">
        <f aca="false">MY_PT(X$2,$A38)</f>
        <v>0.0976741096241472</v>
      </c>
      <c r="Y38" s="0" t="n">
        <f aca="false">MY_PT(Y$2,$A38)</f>
        <v>0.0976841494749011</v>
      </c>
      <c r="Z38" s="0" t="n">
        <f aca="false">MY_PT(Z$2,$A38)</f>
        <v>0.0976942384639067</v>
      </c>
      <c r="AA38" s="0" t="n">
        <f aca="false">MY_PT(AA$2,$A38)</f>
        <v>0.0977043765648491</v>
      </c>
      <c r="AB38" s="0" t="n">
        <f aca="false">MY_PT(AB$2,$A38)</f>
        <v>0.0977145637514341</v>
      </c>
      <c r="AC38" s="0" t="n">
        <f aca="false">MY_PT(AC$2,$A38)</f>
        <v>0.0977247999973876</v>
      </c>
      <c r="AD38" s="0" t="n">
        <f aca="false">MY_PT(AD$2,$A38)</f>
        <v>0.0977350852764547</v>
      </c>
      <c r="AE38" s="0" t="n">
        <f aca="false">MY_PT(AE$2,$A38)</f>
        <v>0.0977454195623996</v>
      </c>
      <c r="AF38" s="0" t="n">
        <f aca="false">MY_PT(AF$2,$A38)</f>
        <v>0.0977558028290052</v>
      </c>
      <c r="AG38" s="0" t="n">
        <f aca="false">MY_PT(AG$2,$A38)</f>
        <v>0.097766235050072</v>
      </c>
      <c r="AH38" s="0" t="n">
        <f aca="false">MY_PT(AH$2,$A38)</f>
        <v>0.0978732440040886</v>
      </c>
      <c r="AI38" s="0" t="n">
        <f aca="false">MY_PT(AI$2,$A38)</f>
        <v>0.0979851196989586</v>
      </c>
      <c r="AJ38" s="0" t="n">
        <f aca="false">MY_PT(AJ$2,$A38)</f>
        <v>0.0981018361531972</v>
      </c>
      <c r="AK38" s="0" t="n">
        <f aca="false">MY_PT(AK$2,$A38)</f>
        <v>0.0982233674557302</v>
      </c>
      <c r="AL38" s="0" t="n">
        <f aca="false">MY_PT(AL$2,$A38)</f>
        <v>0.0983496877176175</v>
      </c>
      <c r="AM38" s="0" t="n">
        <f aca="false">MY_PT(AM$2,$A38)</f>
        <v>0.0984807710246691</v>
      </c>
      <c r="AN38" s="0" t="n">
        <f aca="false">MY_PT(AN$2,$A38)</f>
        <v>0.0986165913909532</v>
      </c>
      <c r="AO38" s="0" t="n">
        <f aca="false">MY_PT(AO$2,$A38)</f>
        <v>0.0987571227131954</v>
      </c>
      <c r="AP38" s="0" t="n">
        <f aca="false">MY_PT(AP$2,$A38)</f>
        <v>0.0989023387260728</v>
      </c>
      <c r="AQ38" s="0" t="n">
        <f aca="false">MY_PT(AQ$2,$A38)</f>
        <v>0.100606177692275</v>
      </c>
      <c r="AR38" s="0" t="n">
        <f aca="false">MY_PT(AR$2,$A38)</f>
        <v>0.101013258883735</v>
      </c>
      <c r="AS38" s="0" t="n">
        <f aca="false">MY_PT(AS$2,$A38)</f>
        <v>0.101153201950262</v>
      </c>
    </row>
    <row r="39" customFormat="false" ht="12.8" hidden="false" customHeight="false" outlineLevel="0" collapsed="false">
      <c r="A39" s="0" t="n">
        <v>1652</v>
      </c>
      <c r="B39" s="0" t="n">
        <f aca="false">MY_PT(B$2,$A39)</f>
        <v>0.106623423163865</v>
      </c>
      <c r="C39" s="0" t="n">
        <f aca="false">MY_PT(C$2,$A39)</f>
        <v>0.10662343244926</v>
      </c>
      <c r="D39" s="0" t="n">
        <f aca="false">MY_PT(D$2,$A39)</f>
        <v>0.106623441734698</v>
      </c>
      <c r="E39" s="0" t="n">
        <f aca="false">MY_PT(E$2,$A39)</f>
        <v>0.106623451020179</v>
      </c>
      <c r="F39" s="0" t="n">
        <f aca="false">MY_PT(F$2,$A39)</f>
        <v>0.106623460305704</v>
      </c>
      <c r="G39" s="0" t="n">
        <f aca="false">MY_PT(G$2,$A39)</f>
        <v>0.106623553163333</v>
      </c>
      <c r="H39" s="0" t="n">
        <f aca="false">MY_PT(H$2,$A39)</f>
        <v>0.106623646025293</v>
      </c>
      <c r="I39" s="0" t="n">
        <f aca="false">MY_PT(I$2,$A39)</f>
        <v>0.106623738891583</v>
      </c>
      <c r="J39" s="0" t="n">
        <f aca="false">MY_PT(J$2,$A39)</f>
        <v>0.106623831762205</v>
      </c>
      <c r="K39" s="0" t="n">
        <f aca="false">MY_PT(K$2,$A39)</f>
        <v>0.106623924637157</v>
      </c>
      <c r="L39" s="0" t="n">
        <f aca="false">MY_PT(L$2,$A39)</f>
        <v>0.10662401751644</v>
      </c>
      <c r="M39" s="0" t="n">
        <f aca="false">MY_PT(M$2,$A39)</f>
        <v>0.106624110400053</v>
      </c>
      <c r="N39" s="0" t="n">
        <f aca="false">MY_PT(N$2,$A39)</f>
        <v>0.106624203287997</v>
      </c>
      <c r="O39" s="0" t="n">
        <f aca="false">MY_PT(O$2,$A39)</f>
        <v>0.106624296180272</v>
      </c>
      <c r="P39" s="0" t="n">
        <f aca="false">MY_PT(P$2,$A39)</f>
        <v>0.10662522534119</v>
      </c>
      <c r="Q39" s="0" t="n">
        <f aca="false">MY_PT(Q$2,$A39)</f>
        <v>0.10662615493512</v>
      </c>
      <c r="R39" s="0" t="n">
        <f aca="false">MY_PT(R$2,$A39)</f>
        <v>0.106627084962018</v>
      </c>
      <c r="S39" s="0" t="n">
        <f aca="false">MY_PT(S$2,$A39)</f>
        <v>0.106628015421845</v>
      </c>
      <c r="T39" s="0" t="n">
        <f aca="false">MY_PT(T$2,$A39)</f>
        <v>0.106628946314559</v>
      </c>
      <c r="U39" s="0" t="n">
        <f aca="false">MY_PT(U$2,$A39)</f>
        <v>0.106629877640119</v>
      </c>
      <c r="V39" s="0" t="n">
        <f aca="false">MY_PT(V$2,$A39)</f>
        <v>0.106630809398482</v>
      </c>
      <c r="W39" s="0" t="n">
        <f aca="false">MY_PT(W$2,$A39)</f>
        <v>0.106631741589609</v>
      </c>
      <c r="X39" s="0" t="n">
        <f aca="false">MY_PT(X$2,$A39)</f>
        <v>0.106632674213458</v>
      </c>
      <c r="Y39" s="0" t="n">
        <f aca="false">MY_PT(Y$2,$A39)</f>
        <v>0.106642024242561</v>
      </c>
      <c r="Z39" s="0" t="n">
        <f aca="false">MY_PT(Z$2,$A39)</f>
        <v>0.106651417498438</v>
      </c>
      <c r="AA39" s="0" t="n">
        <f aca="false">MY_PT(AA$2,$A39)</f>
        <v>0.106660853939822</v>
      </c>
      <c r="AB39" s="0" t="n">
        <f aca="false">MY_PT(AB$2,$A39)</f>
        <v>0.106670333525454</v>
      </c>
      <c r="AC39" s="0" t="n">
        <f aca="false">MY_PT(AC$2,$A39)</f>
        <v>0.106679856214082</v>
      </c>
      <c r="AD39" s="0" t="n">
        <f aca="false">MY_PT(AD$2,$A39)</f>
        <v>0.106689421964459</v>
      </c>
      <c r="AE39" s="0" t="n">
        <f aca="false">MY_PT(AE$2,$A39)</f>
        <v>0.106699030735344</v>
      </c>
      <c r="AF39" s="0" t="n">
        <f aca="false">MY_PT(AF$2,$A39)</f>
        <v>0.106708682485497</v>
      </c>
      <c r="AG39" s="0" t="n">
        <f aca="false">MY_PT(AG$2,$A39)</f>
        <v>0.106718377173679</v>
      </c>
      <c r="AH39" s="0" t="n">
        <f aca="false">MY_PT(AH$2,$A39)</f>
        <v>0.106817676572819</v>
      </c>
      <c r="AI39" s="0" t="n">
        <f aca="false">MY_PT(AI$2,$A39)</f>
        <v>0.106921224368803</v>
      </c>
      <c r="AJ39" s="0" t="n">
        <f aca="false">MY_PT(AJ$2,$A39)</f>
        <v>0.107028979128427</v>
      </c>
      <c r="AK39" s="0" t="n">
        <f aca="false">MY_PT(AK$2,$A39)</f>
        <v>0.107140899132618</v>
      </c>
      <c r="AL39" s="0" t="n">
        <f aca="false">MY_PT(AL$2,$A39)</f>
        <v>0.107256942246638</v>
      </c>
      <c r="AM39" s="0" t="n">
        <f aca="false">MY_PT(AM$2,$A39)</f>
        <v>0.10737706579415</v>
      </c>
      <c r="AN39" s="0" t="n">
        <f aca="false">MY_PT(AN$2,$A39)</f>
        <v>0.107501226435111</v>
      </c>
      <c r="AO39" s="0" t="n">
        <f aca="false">MY_PT(AO$2,$A39)</f>
        <v>0.10762938004752</v>
      </c>
      <c r="AP39" s="0" t="n">
        <f aca="false">MY_PT(AP$2,$A39)</f>
        <v>2015</v>
      </c>
      <c r="AQ39" s="0" t="n">
        <f aca="false">MY_PT(AQ$2,$A39)</f>
        <v>2015</v>
      </c>
      <c r="AR39" s="0" t="n">
        <f aca="false">MY_PT(AR$2,$A39)</f>
        <v>2015</v>
      </c>
      <c r="AS39" s="0" t="n">
        <f aca="false">MY_PT(AS$2,$A39)</f>
        <v>2015</v>
      </c>
    </row>
    <row r="40" customFormat="false" ht="12.8" hidden="false" customHeight="false" outlineLevel="0" collapsed="false">
      <c r="A40" s="0" t="n">
        <v>1832</v>
      </c>
      <c r="B40" s="0" t="n">
        <f aca="false">MY_PT(B$2,$A40)</f>
        <v>4874462.946665</v>
      </c>
      <c r="C40" s="0" t="n">
        <f aca="false">MY_PT(C$2,$A40)</f>
        <v>4874462.946665</v>
      </c>
      <c r="D40" s="0" t="n">
        <f aca="false">MY_PT(D$2,$A40)</f>
        <v>4874462.946665</v>
      </c>
      <c r="E40" s="0" t="n">
        <f aca="false">MY_PT(E$2,$A40)</f>
        <v>4874462.946665</v>
      </c>
      <c r="F40" s="0" t="n">
        <f aca="false">MY_PT(F$2,$A40)</f>
        <v>4874462.946665</v>
      </c>
      <c r="G40" s="0" t="n">
        <f aca="false">MY_PT(G$2,$A40)</f>
        <v>4874462.946665</v>
      </c>
      <c r="H40" s="0" t="n">
        <f aca="false">MY_PT(H$2,$A40)</f>
        <v>4874462.946665</v>
      </c>
      <c r="I40" s="0" t="n">
        <f aca="false">MY_PT(I$2,$A40)</f>
        <v>4874462.946665</v>
      </c>
      <c r="J40" s="0" t="n">
        <f aca="false">MY_PT(J$2,$A40)</f>
        <v>4874462.946665</v>
      </c>
      <c r="K40" s="0" t="n">
        <f aca="false">MY_PT(K$2,$A40)</f>
        <v>4874462.946665</v>
      </c>
      <c r="L40" s="0" t="n">
        <f aca="false">MY_PT(L$2,$A40)</f>
        <v>4874462.946665</v>
      </c>
      <c r="M40" s="0" t="n">
        <f aca="false">MY_PT(M$2,$A40)</f>
        <v>4874462.946665</v>
      </c>
      <c r="N40" s="0" t="n">
        <f aca="false">MY_PT(N$2,$A40)</f>
        <v>4874462.946665</v>
      </c>
      <c r="O40" s="0" t="n">
        <f aca="false">MY_PT(O$2,$A40)</f>
        <v>4874462.946665</v>
      </c>
      <c r="P40" s="0" t="n">
        <f aca="false">MY_PT(P$2,$A40)</f>
        <v>4874462.946665</v>
      </c>
      <c r="Q40" s="0" t="n">
        <f aca="false">MY_PT(Q$2,$A40)</f>
        <v>4874462.946665</v>
      </c>
      <c r="R40" s="0" t="n">
        <f aca="false">MY_PT(R$2,$A40)</f>
        <v>4874462.946665</v>
      </c>
      <c r="S40" s="0" t="n">
        <f aca="false">MY_PT(S$2,$A40)</f>
        <v>4874462.946665</v>
      </c>
      <c r="T40" s="0" t="n">
        <f aca="false">MY_PT(T$2,$A40)</f>
        <v>4874462.946665</v>
      </c>
      <c r="U40" s="0" t="n">
        <f aca="false">MY_PT(U$2,$A40)</f>
        <v>4874462.946665</v>
      </c>
      <c r="V40" s="0" t="n">
        <f aca="false">MY_PT(V$2,$A40)</f>
        <v>4874462.946665</v>
      </c>
      <c r="W40" s="0" t="n">
        <f aca="false">MY_PT(W$2,$A40)</f>
        <v>4874462.946665</v>
      </c>
      <c r="X40" s="0" t="n">
        <f aca="false">MY_PT(X$2,$A40)</f>
        <v>4874462.946665</v>
      </c>
      <c r="Y40" s="0" t="n">
        <f aca="false">MY_PT(Y$2,$A40)</f>
        <v>4874462.946665</v>
      </c>
      <c r="Z40" s="0" t="n">
        <f aca="false">MY_PT(Z$2,$A40)</f>
        <v>4874462.946665</v>
      </c>
      <c r="AA40" s="0" t="n">
        <f aca="false">MY_PT(AA$2,$A40)</f>
        <v>4874462.946665</v>
      </c>
      <c r="AB40" s="0" t="n">
        <f aca="false">MY_PT(AB$2,$A40)</f>
        <v>4874462.946665</v>
      </c>
      <c r="AC40" s="0" t="n">
        <f aca="false">MY_PT(AC$2,$A40)</f>
        <v>4874462.946665</v>
      </c>
      <c r="AD40" s="0" t="n">
        <f aca="false">MY_PT(AD$2,$A40)</f>
        <v>4874462.946665</v>
      </c>
      <c r="AE40" s="0" t="n">
        <f aca="false">MY_PT(AE$2,$A40)</f>
        <v>4874462.946665</v>
      </c>
      <c r="AF40" s="0" t="n">
        <f aca="false">MY_PT(AF$2,$A40)</f>
        <v>4874462.946665</v>
      </c>
      <c r="AG40" s="0" t="n">
        <f aca="false">MY_PT(AG$2,$A40)</f>
        <v>4874462.946665</v>
      </c>
      <c r="AH40" s="0" t="n">
        <f aca="false">MY_PT(AH$2,$A40)</f>
        <v>4874462.946665</v>
      </c>
      <c r="AI40" s="0" t="n">
        <f aca="false">MY_PT(AI$2,$A40)</f>
        <v>4874462.946665</v>
      </c>
      <c r="AJ40" s="0" t="n">
        <f aca="false">MY_PT(AJ$2,$A40)</f>
        <v>4874462.946665</v>
      </c>
      <c r="AK40" s="0" t="n">
        <f aca="false">MY_PT(AK$2,$A40)</f>
        <v>4874462.946665</v>
      </c>
      <c r="AL40" s="0" t="n">
        <f aca="false">MY_PT(AL$2,$A40)</f>
        <v>4874462.946665</v>
      </c>
      <c r="AM40" s="0" t="n">
        <f aca="false">MY_PT(AM$2,$A40)</f>
        <v>4874462.946665</v>
      </c>
      <c r="AN40" s="0" t="n">
        <f aca="false">MY_PT(AN$2,$A40)</f>
        <v>4874462.946665</v>
      </c>
      <c r="AO40" s="0" t="n">
        <f aca="false">MY_PT(AO$2,$A40)</f>
        <v>4874462.946665</v>
      </c>
      <c r="AP40" s="0" t="n">
        <f aca="false">MY_PT(AP$2,$A40)</f>
        <v>2015</v>
      </c>
      <c r="AQ40" s="0" t="n">
        <f aca="false">MY_PT(AQ$2,$A40)</f>
        <v>2015</v>
      </c>
      <c r="AR40" s="0" t="n">
        <f aca="false">MY_PT(AR$2,$A40)</f>
        <v>2015</v>
      </c>
      <c r="AS40" s="0" t="n">
        <f aca="false">MY_PT(AS$2,$A40)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938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2018-07-11T10:23:13Z</dcterms:created>
  <dc:creator/>
  <dc:description/>
  <dc:language>en-US</dc:language>
  <cp:lastModifiedBy/>
  <dcterms:modified xsi:type="dcterms:W3CDTF">2019-02-24T16:18:52Z</dcterms:modified>
  <cp:revision>123</cp:revision>
  <dc:subject/>
  <dc:title/>
</cp:coreProperties>
</file>