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Properties" sheetId="1" state="visible" r:id="rId3"/>
    <sheet name="Functions" sheetId="2" state="visible" r:id="rId4"/>
    <sheet name="Variables" sheetId="3" state="visible" r:id="rId5"/>
    <sheet name="tcV_p" sheetId="4" state="visible" r:id="rId6"/>
    <sheet name="tcV_T" sheetId="5" state="visible" r:id="rId7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<sst xmlns="http://schemas.openxmlformats.org/spreadsheetml/2006/main" count="530" uniqueCount="255">
  <si>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</si>
  <si>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</si>
  <si>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</si>
  <si>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</si>
  <si>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</si>
  <si>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</si>
  <si>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</si>
  <si>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</si>
  <si>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</si>
  <si>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</si>
  <si>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</si>
  <si>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</si>
  <si>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</si>
  <si>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</si>
  <si>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</si>
  <si>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</si>
  <si>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</si>
  <si>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</si>
  <si>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</si>
  <si>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</si>
  <si>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</si>
  <si>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</si>
  <si>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</si>
  <si>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</si>
  <si>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</si>
  <si>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</si>
  <si>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</si>
  <si>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</si>
  <si>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</si>
  <si>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</si>
  <si>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</si>
  <si>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</si>
  <si>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</si>
  <si>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</si>
  <si>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</si>
  <si>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</si>
  <si>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</si>
  <si>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</si>
  <si>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</si>
  <si>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</si>
  <si>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</si>
  <si>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</si>
  <si>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</si>
  <si>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</si>
  <si>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</si>
  <si>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</si>
  <si>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</si>
  <si>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</si>
  <si>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</si>
  <si>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</si>
  <si>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</si>
  <si>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</si>
  <si>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</si>
  <si>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</si>
  <si>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</si>
  <si>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</si>
  <si>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</si>
  <si>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</si>
  <si>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</si>
  <si>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</si>
  <si>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</si>
  <si>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</si>
  <si>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</si>
  <si>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</si>
  <si>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</si>
  <si>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</si>
  <si>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</si>
  <si>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</si>
  <si>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</si>
  <si>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</si>
  <si>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</si>
  <si>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</si>
  <si>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</si>
  <si>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</si>
  <si>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</si>
  <si>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</si>
  <si>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</si>
  <si>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</si>
  <si>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</si>
  <si>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</si>
  <si>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</si>
  <si>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</si>
  <si>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</si>
  <si>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</si>
  <si>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</si>
  <si>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</si>
  <si>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</si>
  <si>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</si>
  <si>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</si>
  <si>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</si>
  <si>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</si>
  <si>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</si>
  <si>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</si>
  <si>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</si>
  <si>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</si>
  <si>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</si>
  <si>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</si>
  <si>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</si>
  <si>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</si>
  <si>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</si>
  <si>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</si>
  <si>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</si>
  <si>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</si>
  <si>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</si>
  <si>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</si>
  <si>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</si>
  <si>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</si>
  <si>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</si>
  <si>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</si>
  <si>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</si>
  <si>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</si>
  <si>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</si>
  <si>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</si>
  <si>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</si>
  <si>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</si>
  <si>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</si>
  <si>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</si>
  <si>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</si>
  <si>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</si>
  <si>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</si>
  <si>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</si>
  <si>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</si>
  <si>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</si>
  <si>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</si>
  <si>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</si>
  <si>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</si>
  <si>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</si>
  <si>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</si>
  <si>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</si>
  <si>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</si>
  <si>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</si>
  <si>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</si>
  <si>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</si>
  <si>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</si>
  <si>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</si>
  <si>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</si>
  <si>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</si>
  <si>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</si>
  <si>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</si>
  <si>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</si>
  <si>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</si>
  <si>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</si>
  <si>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</si>
  <si>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</si>
  <si>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</si>
  <si>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</si>
  <si>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</si>
  <si>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</si>
  <si>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</si>
  <si>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</si>
  <si>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</si>
  <si>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</si>
  <si>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</si>
  <si>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</si>
  <si>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</si>
  <si>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</si>
  <si>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</si>
  <si>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</si>
  <si>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</si>
  <si>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</si>
  <si>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</si>
  <si>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</si>
  <si>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</si>
  <si>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</si>
  <si>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</si>
  <si>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</si>
  <si>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</si>
  <si>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</si>
  <si>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</si>
  <si>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</si>
  <si>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</si>
  <si>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</si>
  <si>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</si>
  <si>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</si>
  <si>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</si>
  <si>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</si>
  <si>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</si>
  <si>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</si>
  <si>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</si>
  <si>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</si>
  <si>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</si>
  <si>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</si>
  <si>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</si>
  <si>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</si>
  <si>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</si>
  <si>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</si>
  <si>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</si>
  <si>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</si>
  <si>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</si>
  <si>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</si>
  <si>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</si>
  <si>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</si>
  <si>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</si>
  <si>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</si>
  <si>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</si>
  <si>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</si>
  <si>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</si>
  <si>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</si>
  <si>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</si>
  <si>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</si>
  <si>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</si>
  <si>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</si>
  <si>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</si>
  <si>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</si>
  <si>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</si>
  <si>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</si>
  <si>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</si>
  <si>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</si>
  <si>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</si>
  <si>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</si>
  <si>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</si>
  <si>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</si>
  <si>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</si>
  <si>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</si>
  <si>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</si>
  <si>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</si>
  <si>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</si>
  <si>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</si>
  <si>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</si>
  <si>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</si>
  <si>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</si>
  <si>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</si>
  <si>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</si>
  <si>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</si>
  <si>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</si>
  <si>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</si>
  <si>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</si>
  <si>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</si>
  <si>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</si>
  <si>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</si>
  <si>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</si>
  <si>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</si>
  <si>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</si>
  <si>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</si>
  <si>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</si>
  <si>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</si>
  <si>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</si>
  <si>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</si>
  <si>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</si>
  <si>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</si>
  <si>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</si>
  <si>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</si>
  <si>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</si>
  <si>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</si>
  <si>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</si>
  <si>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</si>
  <si>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</si>
  <si>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</si>
  <si>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</si>
  <si>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</si>
  <si>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</si>
  <si>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</si>
  <si>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</si>
  <si>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</si>
  <si>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kappa(p,t)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</si>
</sst>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3.27760752546967E-005</v>
      </c>
      <c r="C72" s="2" t="s">
        <v>45</v>
      </c>
      <c r="D72" s="2" t="n">
        <v>2516.8603952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G1" activeCellId="0" sqref="AG1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Q3"/>
  <sheetViews>
    <sheetView showFormulas="false" showGridLines="true" showRowColHeaders="true" showZeros="true" rightToLeft="false" tabSelected="false" showOutlineSymbols="true" defaultGridColor="true" view="normal" topLeftCell="AF1" colorId="64" zoomScale="100" zoomScaleNormal="100" zoomScalePageLayoutView="100" workbookViewId="0">
      <selection pane="topLeft" activeCell="AM58" activeCellId="0" sqref="AM58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</row>
    <row r="2" customFormat="false" ht="12.8" hidden="false" customHeight="false" outlineLevel="0" collapsed="false">
      <c r="A2" s="0" t="s">
        <v>248</v>
      </c>
      <c r="B2" s="0" t="n">
        <v>0.089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</row>
    <row r="3" customFormat="false" ht="12.8" hidden="false" customHeight="false" outlineLevel="0" collapsed="false">
      <c r="B3" s="0" t="n">
        <f aca="false">TCV_P(B2)</f>
        <v>0.00953162287707637</v>
      </c>
      <c r="C3" s="0" t="n">
        <f aca="false">TCV_P(C2)</f>
        <v>0.00961673852714386</v>
      </c>
      <c r="D3" s="0" t="n">
        <f aca="false">TCV_P(D2)</f>
        <v>0.00969377696952664</v>
      </c>
      <c r="E3" s="0" t="n">
        <f aca="false">TCV_P(E2)</f>
        <v>0.0097630833156219</v>
      </c>
      <c r="F3" s="0" t="n">
        <f aca="false">TCV_P(F2)</f>
        <v>0.00982617696690097</v>
      </c>
      <c r="G3" s="0" t="n">
        <f aca="false">TCV_P(G2)</f>
        <v>0.0102686901034518</v>
      </c>
      <c r="H3" s="0" t="n">
        <f aca="false">TCV_P(H2)</f>
        <v>0.0105517285640638</v>
      </c>
      <c r="I3" s="0" t="n">
        <f aca="false">TCV_P(I2)</f>
        <v>0.0107647309690444</v>
      </c>
      <c r="J3" s="0" t="n">
        <f aca="false">TCV_P(J2)</f>
        <v>0.0109375561740301</v>
      </c>
      <c r="K3" s="0" t="n">
        <f aca="false">TCV_P(K2)</f>
        <v>0.0110840673393414</v>
      </c>
      <c r="L3" s="0" t="n">
        <f aca="false">TCV_P(L2)</f>
        <v>0.0112118972536606</v>
      </c>
      <c r="M3" s="0" t="n">
        <f aca="false">TCV_P(M2)</f>
        <v>0.0113257212687989</v>
      </c>
      <c r="N3" s="0" t="n">
        <f aca="false">TCV_P(N2)</f>
        <v>0.0114286220046394</v>
      </c>
      <c r="O3" s="0" t="n">
        <f aca="false">TCV_P(O2)</f>
        <v>0.011522744924843</v>
      </c>
      <c r="P3" s="0" t="n">
        <f aca="false">TCV_P(P2)</f>
        <v>0.0121971336867471</v>
      </c>
      <c r="Q3" s="0" t="n">
        <f aca="false">TCV_P(Q2)</f>
        <v>0.0126442582874121</v>
      </c>
      <c r="R3" s="0" t="n">
        <f aca="false">TCV_P(R2)</f>
        <v>0.0129904168071724</v>
      </c>
      <c r="S3" s="0" t="n">
        <f aca="false">TCV_P(S2)</f>
        <v>0.013278041390489</v>
      </c>
      <c r="T3" s="0" t="n">
        <f aca="false">TCV_P(T2)</f>
        <v>0.0135269596008383</v>
      </c>
      <c r="U3" s="0" t="n">
        <f aca="false">TCV_P(U2)</f>
        <v>0.0137481544529674</v>
      </c>
      <c r="V3" s="0" t="n">
        <f aca="false">TCV_P(V2)</f>
        <v>0.0139483919693557</v>
      </c>
      <c r="W3" s="0" t="n">
        <f aca="false">TCV_P(W2)</f>
        <v>0.014132157436897</v>
      </c>
      <c r="X3" s="0" t="n">
        <f aca="false">TCV_P(X2)</f>
        <v>0.0143025887040374</v>
      </c>
      <c r="Y3" s="0" t="n">
        <f aca="false">TCV_P(Y2)</f>
        <v>0.0155929629574773</v>
      </c>
      <c r="Z3" s="0" t="n">
        <f aca="false">TCV_P(Z2)</f>
        <v>0.0165189433797172</v>
      </c>
      <c r="AA3" s="0" t="n">
        <f aca="false">TCV_P(AA2)</f>
        <v>0.0172755049759076</v>
      </c>
      <c r="AB3" s="0" t="n">
        <f aca="false">TCV_P(AB2)</f>
        <v>0.0179304990345913</v>
      </c>
      <c r="AC3" s="0" t="n">
        <f aca="false">TCV_P(AC2)</f>
        <v>0.0185165418821275</v>
      </c>
      <c r="AD3" s="0" t="n">
        <f aca="false">TCV_P(AD2)</f>
        <v>0.0190521469428001</v>
      </c>
      <c r="AE3" s="0" t="n">
        <f aca="false">TCV_P(AE2)</f>
        <v>0.019548969159433</v>
      </c>
      <c r="AF3" s="0" t="n">
        <f aca="false">TCV_P(AF2)</f>
        <v>0.0200148876145801</v>
      </c>
      <c r="AG3" s="0" t="n">
        <f aca="false">TCV_P(AG2)</f>
        <v>0.0204555141764983</v>
      </c>
      <c r="AH3" s="0" t="n">
        <f aca="false">TCV_P(AH2)</f>
        <v>0.0240638059933095</v>
      </c>
      <c r="AI3" s="0" t="n">
        <f aca="false">TCV_P(AI2)</f>
        <v>0.0269818061296209</v>
      </c>
      <c r="AJ3" s="0" t="n">
        <f aca="false">TCV_P(AJ2)</f>
        <v>0.0296221880676122</v>
      </c>
      <c r="AK3" s="0" t="n">
        <f aca="false">TCV_P(AK2)</f>
        <v>0.0321478489371912</v>
      </c>
      <c r="AL3" s="0" t="n">
        <f aca="false">TCV_P(AL2)</f>
        <v>0.034650512784055</v>
      </c>
      <c r="AM3" s="0" t="n">
        <f aca="false">TCV_P(AM2)</f>
        <v>0.0371951649747643</v>
      </c>
      <c r="AN3" s="0" t="n">
        <f aca="false">TCV_P(AN2)</f>
        <v>0.0398367974934864</v>
      </c>
      <c r="AO3" s="0" t="n">
        <f aca="false">TCV_P(AO2)</f>
        <v>0.0426288167431283</v>
      </c>
      <c r="AP3" s="0" t="n">
        <f aca="false">TCV_P(AP2)</f>
        <v>0.0456287614677297</v>
      </c>
      <c r="AQ3" s="0" t="n">
        <f aca="false">TCV_P(AQ2)</f>
        <v>0.13087005696158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F3"/>
  <sheetViews>
    <sheetView showFormulas="false" showGridLines="true" showRowColHeaders="true" showZeros="true" rightToLeft="false" tabSelected="true" showOutlineSymbols="true" defaultGridColor="true" view="normal" topLeftCell="AB1" colorId="64" zoomScale="100" zoomScaleNormal="100" zoomScalePageLayoutView="100" workbookViewId="0">
      <selection pane="topLeft" activeCell="AF5" activeCellId="0" sqref="AF5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</row>
    <row r="2" customFormat="false" ht="12.8" hidden="false" customHeight="false" outlineLevel="0" collapsed="false">
      <c r="A2" s="0" t="s">
        <v>250</v>
      </c>
      <c r="B2" s="0" t="n">
        <v>32.1</v>
      </c>
      <c r="C2" s="0" t="n">
        <v>32.18</v>
      </c>
      <c r="D2" s="0" t="n">
        <v>32.36</v>
      </c>
      <c r="E2" s="0" t="n">
        <v>32.54</v>
      </c>
      <c r="F2" s="0" t="n">
        <v>32.72</v>
      </c>
      <c r="G2" s="0" t="n">
        <v>32.9</v>
      </c>
      <c r="H2" s="0" t="n">
        <v>33.08</v>
      </c>
      <c r="I2" s="0" t="n">
        <v>33.26</v>
      </c>
      <c r="J2" s="0" t="n">
        <v>33.44</v>
      </c>
      <c r="K2" s="0" t="n">
        <v>33.62</v>
      </c>
      <c r="L2" s="0" t="n">
        <v>33.8</v>
      </c>
      <c r="M2" s="0" t="n">
        <v>35.6</v>
      </c>
      <c r="N2" s="0" t="n">
        <v>37.4</v>
      </c>
      <c r="O2" s="0" t="n">
        <v>39.2</v>
      </c>
      <c r="P2" s="0" t="n">
        <v>41</v>
      </c>
      <c r="Q2" s="0" t="n">
        <v>42.8</v>
      </c>
      <c r="R2" s="0" t="n">
        <v>44.6</v>
      </c>
      <c r="S2" s="0" t="n">
        <v>46.4</v>
      </c>
      <c r="T2" s="0" t="n">
        <v>48.2</v>
      </c>
      <c r="U2" s="0" t="n">
        <v>50</v>
      </c>
      <c r="V2" s="0" t="n">
        <v>68</v>
      </c>
      <c r="W2" s="0" t="n">
        <v>86</v>
      </c>
      <c r="X2" s="0" t="n">
        <v>104</v>
      </c>
      <c r="Y2" s="0" t="n">
        <v>122</v>
      </c>
      <c r="Z2" s="0" t="n">
        <v>140</v>
      </c>
      <c r="AA2" s="0" t="n">
        <v>158</v>
      </c>
      <c r="AB2" s="0" t="n">
        <v>176</v>
      </c>
      <c r="AC2" s="0" t="n">
        <v>194</v>
      </c>
      <c r="AD2" s="0" t="n">
        <v>212</v>
      </c>
      <c r="AE2" s="0" t="n">
        <v>392</v>
      </c>
      <c r="AF2" s="0" t="n">
        <v>572</v>
      </c>
    </row>
    <row r="3" customFormat="false" ht="12.8" hidden="false" customHeight="false" outlineLevel="0" collapsed="false">
      <c r="B3" s="0" t="n">
        <f aca="false">TCV_T(B2)</f>
        <v>0.00953167044562562</v>
      </c>
      <c r="C3" s="0" t="n">
        <f aca="false">TCV_T(C2)</f>
        <v>0.00953350532459748</v>
      </c>
      <c r="D3" s="0" t="n">
        <f aca="false">TCV_T(D2)</f>
        <v>0.00953763439669188</v>
      </c>
      <c r="E3" s="0" t="n">
        <f aca="false">TCV_T(E2)</f>
        <v>0.00954176429226576</v>
      </c>
      <c r="F3" s="0" t="n">
        <f aca="false">TCV_T(F2)</f>
        <v>0.0095458950118783</v>
      </c>
      <c r="G3" s="0" t="n">
        <f aca="false">TCV_T(G2)</f>
        <v>0.0095500265560908</v>
      </c>
      <c r="H3" s="0" t="n">
        <f aca="false">TCV_T(H2)</f>
        <v>0.00955415892546753</v>
      </c>
      <c r="I3" s="0" t="n">
        <f aca="false">TCV_T(I2)</f>
        <v>0.00955829212057551</v>
      </c>
      <c r="J3" s="0" t="n">
        <f aca="false">TCV_T(J2)</f>
        <v>0.00956242614198424</v>
      </c>
      <c r="K3" s="0" t="n">
        <f aca="false">TCV_T(K2)</f>
        <v>0.00956656099026625</v>
      </c>
      <c r="L3" s="0" t="n">
        <f aca="false">TCV_T(L2)</f>
        <v>0.0095706966659964</v>
      </c>
      <c r="M3" s="0" t="n">
        <f aca="false">TCV_T(M2)</f>
        <v>0.00961209906143449</v>
      </c>
      <c r="N3" s="0" t="n">
        <f aca="false">TCV_T(N2)</f>
        <v>0.00965358485485698</v>
      </c>
      <c r="O3" s="0" t="n">
        <f aca="false">TCV_T(O2)</f>
        <v>0.00969515466771552</v>
      </c>
      <c r="P3" s="0" t="n">
        <f aca="false">TCV_T(P2)</f>
        <v>0.00973680915071047</v>
      </c>
      <c r="Q3" s="0" t="n">
        <f aca="false">TCV_T(Q2)</f>
        <v>0.00977854898470487</v>
      </c>
      <c r="R3" s="0" t="n">
        <f aca="false">TCV_T(R2)</f>
        <v>0.00982037488163791</v>
      </c>
      <c r="S3" s="0" t="n">
        <f aca="false">TCV_T(S2)</f>
        <v>0.00986228758543748</v>
      </c>
      <c r="T3" s="0" t="n">
        <f aca="false">TCV_T(T2)</f>
        <v>0.00990428787292844</v>
      </c>
      <c r="U3" s="0" t="n">
        <f aca="false">TCV_T(U2)</f>
        <v>0.00994637655473676</v>
      </c>
      <c r="V3" s="0" t="n">
        <f aca="false">TCV_T(V2)</f>
        <v>0.0103723293316983</v>
      </c>
      <c r="W3" s="0" t="n">
        <f aca="false">TCV_T(W2)</f>
        <v>0.0108082971317567</v>
      </c>
      <c r="X3" s="0" t="n">
        <f aca="false">TCV_T(X2)</f>
        <v>0.0112557740284239</v>
      </c>
      <c r="Y3" s="0" t="n">
        <f aca="false">TCV_T(Y2)</f>
        <v>0.0117167391626055</v>
      </c>
      <c r="Z3" s="0" t="n">
        <f aca="false">TCV_T(Z2)</f>
        <v>0.0121936720117594</v>
      </c>
      <c r="AA3" s="0" t="n">
        <f aca="false">TCV_T(AA2)</f>
        <v>0.0126895249085449</v>
      </c>
      <c r="AB3" s="0" t="n">
        <f aca="false">TCV_T(AB2)</f>
        <v>0.0132076559380809</v>
      </c>
      <c r="AC3" s="0" t="n">
        <f aca="false">TCV_T(AC2)</f>
        <v>0.0137517331424664</v>
      </c>
      <c r="AD3" s="0" t="n">
        <f aca="false">TCV_T(AD2)</f>
        <v>0.0143256261860339</v>
      </c>
      <c r="AE3" s="0" t="n">
        <f aca="false">TCV_T(AE2)</f>
        <v>0.0225888614302204</v>
      </c>
      <c r="AF3" s="0" t="n">
        <f aca="false">TCV_T(AF2)</f>
        <v>0.0414559030314923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637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2018-10-02T20:43:47Z</dcterms:modified>
  <cp:revision>84</cp:revision>
  <dc:subject/>
  <dc:title/>
</cp:coreProperties>
</file>