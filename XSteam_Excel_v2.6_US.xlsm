
<file path=[Content_Types].xml><?xml version="1.0" encoding="utf-8"?>
<Types xmlns="http://schemas.openxmlformats.org/package/2006/content-types"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_rels/sheet1.xml.rels" ContentType="application/vnd.openxmlformats-package.relationships+xml"/>
  <Override PartName="/xl/worksheets/_rels/sheet2.xml.rels" ContentType="application/vnd.openxmlformats-package.relationships+xml"/>
  <Override PartName="/xl/styles.xml" ContentType="application/vnd.openxmlformats-officedocument.spreadsheetml.styles+xml"/>
  <Override PartName="/xl/workbook.xml" ContentType="application/vnd.ms-excel.sheet.macroEnabled.main+xml"/>
  <Override PartName="/xl/sharedStrings.xml" ContentType="application/vnd.openxmlformats-officedocument.spreadsheetml.sharedStrings+xml"/>
  <Override PartName="/xl/vbaProject.bin" ContentType="application/vnd.ms-office.vbaProject"/>
  <Override PartName="/xl/_rels/workbook.xml.rels" ContentType="application/vnd.openxmlformats-package.relationship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2"/>
  </bookViews>
  <sheets>
    <sheet name="Properties" sheetId="1" state="visible" r:id="rId3"/>
    <sheet name="Functions" sheetId="2" state="visible" r:id="rId4"/>
    <sheet name="Variables" sheetId="3" state="visible" r:id="rId5"/>
  </sheets>
  <definedNames>
    <definedName function="true" hidden="false" name="psat_t" vbProcedure="true"/>
    <definedName function="true" hidden="false" name="Tsat_p" vbProcedure="true"/>
    <definedName function="true" hidden="false" name="hL_T" vbProcedure="true"/>
    <definedName function="true" hidden="false" name="hL_p" vbProcedure="true"/>
    <definedName function="true" hidden="false" name="rhoL_T" vbProcedure="true"/>
    <definedName function="true" hidden="false" name="rhoL_P" vbProcedure="true"/>
    <definedName function="true" hidden="false" name="sL_T" vbProcedure="true"/>
    <definedName function="true" hidden="false" name="sL_p" vbProcedure="true"/>
    <definedName function="true" hidden="false" name="hV_T" vbProcedure="true"/>
    <definedName function="true" hidden="false" name="hV_p" vbProcedure="true"/>
    <definedName function="true" hidden="false" name="rhoV_T" vbProcedure="true"/>
    <definedName function="true" hidden="false" name="rhoV_p" vbProcedure="true"/>
    <definedName function="true" hidden="false" name="sV_T" vbProcedure="true"/>
    <definedName function="true" hidden="false" name="sV_p" vbProcedure="true"/>
    <definedName function="true" hidden="false" name="h_pt" vbProcedure="true"/>
    <definedName function="true" hidden="false" name="T_ph" vbProcedure="true"/>
    <definedName function="true" hidden="false" name="rho_pT" vbProcedure="true"/>
    <definedName function="true" hidden="false" name="rho_ph" vbProcedure="true"/>
    <definedName function="true" hidden="false" name="s_pT" vbProcedure="true"/>
    <definedName function="true" hidden="false" name="s_ph" vbProcedure="true"/>
    <definedName function="true" hidden="false" name="x_ph" vbProcedure="true"/>
    <definedName function="true" hidden="false" name="region_pt" vbProcedure="true"/>
    <definedName function="true" hidden="false" name="region_ph" vbProcedure="true"/>
    <definedName function="true" hidden="false" name="Cp_pT" vbProcedure="true"/>
    <definedName function="true" hidden="false" name="Cp_ph" vbProcedure="true"/>
    <definedName function="true" hidden="false" name="w_pT" vbProcedure="true"/>
    <definedName function="true" hidden="false" name="w_ph" vbProcedure="true"/>
    <definedName function="true" hidden="false" name="T_ps" vbProcedure="true"/>
    <definedName function="true" hidden="false" name="T_hs" vbProcedure="true"/>
    <definedName function="true" hidden="false" name="p_hs" vbProcedure="true"/>
    <definedName function="true" hidden="false" name="p_hrho" vbProcedure="true"/>
    <definedName function="true" hidden="false" name="h_ps" vbProcedure="true"/>
    <definedName function="true" hidden="false" name="h_px" vbProcedure="true"/>
    <definedName function="true" hidden="false" name="h_tx" vbProcedure="true"/>
    <definedName function="true" hidden="false" name="h_prho" vbProcedure="true"/>
    <definedName function="true" hidden="false" name="vV_p" vbProcedure="true"/>
    <definedName function="true" hidden="false" name="vL_p" vbProcedure="true"/>
    <definedName function="true" hidden="false" name="vV_T" vbProcedure="true"/>
    <definedName function="true" hidden="false" name="vL_T" vbProcedure="true"/>
    <definedName function="true" hidden="false" name="v_pT" vbProcedure="true"/>
    <definedName function="true" hidden="false" name="v_ph" vbProcedure="true"/>
    <definedName function="true" hidden="false" name="v_ps" vbProcedure="true"/>
    <definedName function="true" hidden="false" name="rho_ps" vbProcedure="true"/>
    <definedName function="true" hidden="false" name="uV_p" vbProcedure="true"/>
    <definedName function="true" hidden="false" name="uL_p" vbProcedure="true"/>
    <definedName function="true" hidden="false" name="uV_T" vbProcedure="true"/>
    <definedName function="true" hidden="false" name="uL_T" vbProcedure="true"/>
    <definedName function="true" hidden="false" name="u_pT" vbProcedure="true"/>
    <definedName function="true" hidden="false" name="u_ph" vbProcedure="true"/>
    <definedName function="true" hidden="false" name="u_ps" vbProcedure="true"/>
    <definedName function="true" hidden="false" name="CpV_p" vbProcedure="true"/>
    <definedName function="true" hidden="false" name="CpL_p" vbProcedure="true"/>
    <definedName function="true" hidden="false" name="CpV_T" vbProcedure="true"/>
    <definedName function="true" hidden="false" name="CpL_T" vbProcedure="true"/>
    <definedName function="true" hidden="false" name="Cp_ps" vbProcedure="true"/>
    <definedName function="true" hidden="false" name="CvV_p" vbProcedure="true"/>
    <definedName function="true" hidden="false" name="CvL_p" vbProcedure="true"/>
    <definedName function="true" hidden="false" name="CvV_T" vbProcedure="true"/>
    <definedName function="true" hidden="false" name="CvL_T" vbProcedure="true"/>
    <definedName function="true" hidden="false" name="Cv_pT" vbProcedure="true"/>
    <definedName function="true" hidden="false" name="Cv_ph" vbProcedure="true"/>
    <definedName function="true" hidden="false" name="Cv_ps" vbProcedure="true"/>
    <definedName function="true" hidden="false" name="wV_p" vbProcedure="true"/>
    <definedName function="true" hidden="false" name="wL_p" vbProcedure="true"/>
    <definedName function="true" hidden="false" name="wV_T" vbProcedure="true"/>
    <definedName function="true" hidden="false" name="wL_T" vbProcedure="true"/>
    <definedName function="true" hidden="false" name="w_ps" vbProcedure="true"/>
    <definedName function="true" hidden="false" name="my_pT" vbProcedure="true"/>
    <definedName function="true" hidden="false" name="my_ph" vbProcedure="true"/>
    <definedName function="true" hidden="false" name="my_ps" vbProcedure="true"/>
    <definedName function="true" hidden="false" name="pr_pT" vbProcedure="true"/>
    <definedName function="true" hidden="false" name="pr_ph" vbProcedure="true"/>
    <definedName function="true" hidden="false" name="tcL_p" vbProcedure="true"/>
    <definedName function="true" hidden="false" name="tcV_p" vbProcedure="true"/>
    <definedName function="true" hidden="false" name="tcL_T" vbProcedure="true"/>
    <definedName function="true" hidden="false" name="tcV_T" vbProcedure="true"/>
    <definedName function="true" hidden="false" name="tc_pt" vbProcedure="true"/>
    <definedName function="true" hidden="false" name="tc_ph" vbProcedure="true"/>
    <definedName function="true" hidden="false" name="tc_hs" vbProcedure="true"/>
    <definedName function="true" hidden="false" name="st_T" vbProcedure="true"/>
    <definedName function="true" hidden="false" name="st_p" vbProcedure="true"/>
    <definedName function="true" hidden="false" name="x_ps" vbProcedure="true"/>
    <definedName function="true" hidden="false" name="vx_ph" vbProcedure="true"/>
    <definedName function="true" hidden="false" name="vx_ps" vbProcedure="true"/>
  </definedNames>
  <calcPr iterateCount="100" refMode="A1" iterate="false" iterateDelta="0.001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<sst xmlns="http://schemas.openxmlformats.org/spreadsheetml/2006/main" count="526" uniqueCount="254">
  <si>
    <t xml:space="preserve">X Steam Tables  (English Units)</t>
  </si>
  <si>
    <t xml:space="preserve">Excel macros, IF-97 Steam tables. </t>
  </si>
  <si>
    <t xml:space="preserve">The excel scripts are stored inside this workbook. A complete list of functions for use is available on the "Calling functions" worksheet</t>
  </si>
  <si>
    <t xml:space="preserve">By: Magnus Holmgren</t>
  </si>
  <si>
    <t xml:space="preserve">The steam tables are free and provided as is. We take no responsibilities for any errors in the code or damage thereby.</t>
  </si>
  <si>
    <t xml:space="preserve">www.x-eng.com</t>
  </si>
  <si>
    <t xml:space="preserve">OBS: This workbook uses macros. Set security options in Tools:Macro:Security… to enable macros.</t>
  </si>
  <si>
    <t xml:space="preserve">Saturation properties given temperature</t>
  </si>
  <si>
    <t xml:space="preserve">Saturation properties given pressure</t>
  </si>
  <si>
    <t xml:space="preserve">Temperature</t>
  </si>
  <si>
    <t xml:space="preserve">degF</t>
  </si>
  <si>
    <t xml:space="preserve">Pressure</t>
  </si>
  <si>
    <t xml:space="preserve">psi (a)</t>
  </si>
  <si>
    <t xml:space="preserve">Saturation pressure</t>
  </si>
  <si>
    <t xml:space="preserve">Saturation temperature</t>
  </si>
  <si>
    <t xml:space="preserve">Liquid</t>
  </si>
  <si>
    <t xml:space="preserve">Enthalpy</t>
  </si>
  <si>
    <t xml:space="preserve">btu/lb</t>
  </si>
  <si>
    <t xml:space="preserve">Density</t>
  </si>
  <si>
    <t xml:space="preserve">lb /ft3</t>
  </si>
  <si>
    <t xml:space="preserve">Entropy</t>
  </si>
  <si>
    <t xml:space="preserve">btu/(lb F)</t>
  </si>
  <si>
    <t xml:space="preserve">Vapour</t>
  </si>
  <si>
    <t xml:space="preserve">Vapour enthalpy</t>
  </si>
  <si>
    <t xml:space="preserve">Vapour density</t>
  </si>
  <si>
    <t xml:space="preserve">Vapour Entropy</t>
  </si>
  <si>
    <t xml:space="preserve">vapour Entropy</t>
  </si>
  <si>
    <t xml:space="preserve">Evaporation energy</t>
  </si>
  <si>
    <t xml:space="preserve">Properties given pressure and temperature</t>
  </si>
  <si>
    <t xml:space="preserve">Properties given pressure and enthalpy</t>
  </si>
  <si>
    <t xml:space="preserve">Vapour fraction</t>
  </si>
  <si>
    <t xml:space="preserve">%</t>
  </si>
  <si>
    <t xml:space="preserve">IF97 Region</t>
  </si>
  <si>
    <t xml:space="preserve">Phase</t>
  </si>
  <si>
    <t xml:space="preserve">Isobaric heat capacity </t>
  </si>
  <si>
    <t xml:space="preserve">Speed of sound</t>
  </si>
  <si>
    <t xml:space="preserve">ft/s</t>
  </si>
  <si>
    <t xml:space="preserve">X Steam Tables</t>
  </si>
  <si>
    <t xml:space="preserve">v2.6</t>
  </si>
  <si>
    <t xml:space="preserve">http://www.x-eng.com</t>
  </si>
  <si>
    <t xml:space="preserve">Steam tables by Magnus Holmgren according to IAPWS IF-97 </t>
  </si>
  <si>
    <t xml:space="preserve">The excel scripts are stored inside this workbook. (No extra files are needed. Start from a copy of this workbook. This page can be removed)</t>
  </si>
  <si>
    <t xml:space="preserve">For error-reporting, feedback, other units etc. contact:</t>
  </si>
  <si>
    <t xml:space="preserve">magnus@x-eng.com</t>
  </si>
  <si>
    <t xml:space="preserve"> Tsat_p</t>
  </si>
  <si>
    <t xml:space="preserve">psi</t>
  </si>
  <si>
    <t xml:space="preserve">deg F</t>
  </si>
  <si>
    <t xml:space="preserve"> T_ph</t>
  </si>
  <si>
    <t xml:space="preserve">Temperture as a function of pressure and enthalpy</t>
  </si>
  <si>
    <t xml:space="preserve"> T_ps</t>
  </si>
  <si>
    <t xml:space="preserve">Temperture as a function of pressure and entropy</t>
  </si>
  <si>
    <t xml:space="preserve"> T_hs</t>
  </si>
  <si>
    <t xml:space="preserve">Temperture as a function of enthalpy and entropy</t>
  </si>
  <si>
    <t xml:space="preserve"> psat_T</t>
  </si>
  <si>
    <t xml:space="preserve"> p_hs</t>
  </si>
  <si>
    <t xml:space="preserve">Pressure as a function of h and s. </t>
  </si>
  <si>
    <t xml:space="preserve"> p_hrho</t>
  </si>
  <si>
    <t xml:space="preserve">lb/ft3</t>
  </si>
  <si>
    <t xml:space="preserve">Pressure as a function of h and rho (density). Very unaccurate for solid water region since it's almost incompressible!</t>
  </si>
  <si>
    <t xml:space="preserve"> hV_p</t>
  </si>
  <si>
    <t xml:space="preserve">Saturated vapour enthalpy</t>
  </si>
  <si>
    <t xml:space="preserve"> hL_p</t>
  </si>
  <si>
    <t xml:space="preserve">Saturated liquid enthalpy</t>
  </si>
  <si>
    <t xml:space="preserve"> hV_T</t>
  </si>
  <si>
    <t xml:space="preserve"> hL_T</t>
  </si>
  <si>
    <t xml:space="preserve"> h_pT</t>
  </si>
  <si>
    <t xml:space="preserve">Entalpy as a function of pressure and temperature.</t>
  </si>
  <si>
    <t xml:space="preserve"> h_ps</t>
  </si>
  <si>
    <t xml:space="preserve">Entalpy as a function of pressure and entropy.</t>
  </si>
  <si>
    <t xml:space="preserve"> h_px</t>
  </si>
  <si>
    <t xml:space="preserve">Entalpy as a function of pressure and vapour fraction</t>
  </si>
  <si>
    <t xml:space="preserve"> h_Tx</t>
  </si>
  <si>
    <t xml:space="preserve">Entalpy as a function of temperature and vapour fraction</t>
  </si>
  <si>
    <t xml:space="preserve"> h_prho</t>
  </si>
  <si>
    <t xml:space="preserve">Entalpy as a function of pressure and density. Observe for low temperatures (liquid) this equation has 2 solutions. (Not valid!!)</t>
  </si>
  <si>
    <t xml:space="preserve">Specific volume</t>
  </si>
  <si>
    <t xml:space="preserve"> vV_p</t>
  </si>
  <si>
    <t xml:space="preserve">ft3/lb</t>
  </si>
  <si>
    <t xml:space="preserve">Saturated vapour volume</t>
  </si>
  <si>
    <t xml:space="preserve"> vL_p</t>
  </si>
  <si>
    <t xml:space="preserve">Saturated liquid volume</t>
  </si>
  <si>
    <t xml:space="preserve"> vV_T</t>
  </si>
  <si>
    <t xml:space="preserve"> vL_T</t>
  </si>
  <si>
    <t xml:space="preserve"> v_pT</t>
  </si>
  <si>
    <t xml:space="preserve">Specific volume as a function of pressure and temperature.</t>
  </si>
  <si>
    <t xml:space="preserve"> v_ph</t>
  </si>
  <si>
    <t xml:space="preserve">Specific volume as a function of pressure and enthalpy</t>
  </si>
  <si>
    <t xml:space="preserve"> v_ps</t>
  </si>
  <si>
    <t xml:space="preserve">Specific volume as a function of pressure and entropy.</t>
  </si>
  <si>
    <t xml:space="preserve"> rhoV_p</t>
  </si>
  <si>
    <t xml:space="preserve">Saturated vapour density</t>
  </si>
  <si>
    <t xml:space="preserve"> rhoL_p</t>
  </si>
  <si>
    <t xml:space="preserve">Saturated liquid density</t>
  </si>
  <si>
    <t xml:space="preserve"> rhoV_T</t>
  </si>
  <si>
    <t xml:space="preserve"> rhoL_T</t>
  </si>
  <si>
    <t xml:space="preserve"> rho_pT</t>
  </si>
  <si>
    <t xml:space="preserve">Density as a function of pressure and temperature.</t>
  </si>
  <si>
    <t xml:space="preserve"> rho_ph</t>
  </si>
  <si>
    <t xml:space="preserve">Density as a function of pressure and enthalpy</t>
  </si>
  <si>
    <t xml:space="preserve"> rho_ps</t>
  </si>
  <si>
    <t xml:space="preserve">Density as a function of pressure and entropy.</t>
  </si>
  <si>
    <t xml:space="preserve">Specific entropy </t>
  </si>
  <si>
    <t xml:space="preserve"> sV_p</t>
  </si>
  <si>
    <t xml:space="preserve">Saturated vapour entropy</t>
  </si>
  <si>
    <t xml:space="preserve"> sL_p</t>
  </si>
  <si>
    <t xml:space="preserve">Saturated liquid entropy</t>
  </si>
  <si>
    <t xml:space="preserve"> sV_T</t>
  </si>
  <si>
    <t xml:space="preserve"> sL_T</t>
  </si>
  <si>
    <t xml:space="preserve"> s_pT</t>
  </si>
  <si>
    <t xml:space="preserve">Specific entropy as a function of pressure and temperature (Returns saturated vapour entalpy if mixture.)</t>
  </si>
  <si>
    <t xml:space="preserve"> s_ph</t>
  </si>
  <si>
    <t xml:space="preserve">Specific entropy as a function of pressure and enthalpy</t>
  </si>
  <si>
    <t xml:space="preserve">Specific internal energy </t>
  </si>
  <si>
    <t xml:space="preserve"> uV_p</t>
  </si>
  <si>
    <t xml:space="preserve">Saturated vapour internal energy</t>
  </si>
  <si>
    <t xml:space="preserve"> uL_p</t>
  </si>
  <si>
    <t xml:space="preserve">Saturated liquid internal energy</t>
  </si>
  <si>
    <t xml:space="preserve"> uV_T</t>
  </si>
  <si>
    <t xml:space="preserve"> uL_T</t>
  </si>
  <si>
    <t xml:space="preserve"> u_pT</t>
  </si>
  <si>
    <t xml:space="preserve">Specific internal energy as a function of pressure and temperature.</t>
  </si>
  <si>
    <t xml:space="preserve"> u_ph</t>
  </si>
  <si>
    <t xml:space="preserve">Specific internal energy as a function of pressure and enthalpy</t>
  </si>
  <si>
    <t xml:space="preserve"> u_ps</t>
  </si>
  <si>
    <t xml:space="preserve">Specific internal energy as a function of pressure and entropy.</t>
  </si>
  <si>
    <t xml:space="preserve">Specific isobaric heat capacity </t>
  </si>
  <si>
    <t xml:space="preserve"> CpV_p</t>
  </si>
  <si>
    <t xml:space="preserve">Saturated vapour heat capacity </t>
  </si>
  <si>
    <t xml:space="preserve"> CpL_p</t>
  </si>
  <si>
    <t xml:space="preserve">Saturated liquid heat capacity </t>
  </si>
  <si>
    <t xml:space="preserve"> CpV_T</t>
  </si>
  <si>
    <t xml:space="preserve"> CpL_T</t>
  </si>
  <si>
    <t xml:space="preserve"> Cp_pT</t>
  </si>
  <si>
    <t xml:space="preserve">Specific isobaric heat capacity as a function of pressure and temperature.</t>
  </si>
  <si>
    <t xml:space="preserve"> Cp_ph</t>
  </si>
  <si>
    <t xml:space="preserve">Specific isobaric heat capacity as a function of pressure and enthalpy</t>
  </si>
  <si>
    <t xml:space="preserve"> Cp_ps</t>
  </si>
  <si>
    <t xml:space="preserve">Specific isobaric heat capacity as a function of pressure and entropy.</t>
  </si>
  <si>
    <t xml:space="preserve">Specific isochoric heat capacity </t>
  </si>
  <si>
    <t xml:space="preserve"> CvV_p</t>
  </si>
  <si>
    <t xml:space="preserve">Saturated vapour isochoric heat capacity</t>
  </si>
  <si>
    <t xml:space="preserve"> CvL_p</t>
  </si>
  <si>
    <t xml:space="preserve">Saturated liquid isochoric heat capacity</t>
  </si>
  <si>
    <t xml:space="preserve"> CvV_T</t>
  </si>
  <si>
    <t xml:space="preserve"> CvL_T</t>
  </si>
  <si>
    <t xml:space="preserve"> Cv_pT</t>
  </si>
  <si>
    <t xml:space="preserve">Specific isochoric heat capacity as a function of pressure and temperature.</t>
  </si>
  <si>
    <t xml:space="preserve"> Cv_ph</t>
  </si>
  <si>
    <t xml:space="preserve">Specific isochoric heat capacity as a function of pressure and enthalpy</t>
  </si>
  <si>
    <t xml:space="preserve"> Cv_ps</t>
  </si>
  <si>
    <t xml:space="preserve">Specific isochoric heat capacity as a function of pressure and entropy.</t>
  </si>
  <si>
    <t xml:space="preserve">Speed of sound </t>
  </si>
  <si>
    <t xml:space="preserve"> wV_p</t>
  </si>
  <si>
    <t xml:space="preserve">Saturated vapour speed of sound</t>
  </si>
  <si>
    <t xml:space="preserve"> wL_p</t>
  </si>
  <si>
    <t xml:space="preserve">Saturated liquid speed of sound</t>
  </si>
  <si>
    <t xml:space="preserve"> wV_T</t>
  </si>
  <si>
    <t xml:space="preserve"> wL_T</t>
  </si>
  <si>
    <t xml:space="preserve"> w_pT</t>
  </si>
  <si>
    <t xml:space="preserve">Speed of sound as a function of pressure and temperature.</t>
  </si>
  <si>
    <t xml:space="preserve"> w_ph</t>
  </si>
  <si>
    <t xml:space="preserve">Speed of sound as a function of pressure and enthalpy</t>
  </si>
  <si>
    <t xml:space="preserve"> w_ps</t>
  </si>
  <si>
    <t xml:space="preserve">Speed of sound as a function of pressure and entropy.</t>
  </si>
  <si>
    <t xml:space="preserve">Dynamic Viscosity</t>
  </si>
  <si>
    <t xml:space="preserve">Viscosity is not part of IAPWS Steam IF97. Equations from ""Revised Release on the IAPWS Formulation 1985 for the Viscosity of Ordinary Water Substance"", 2003 are used.</t>
  </si>
  <si>
    <t xml:space="preserve">Viscosity in the mixed region (4) is interpolated according to the density. This is not true since it will be two fases.</t>
  </si>
  <si>
    <t xml:space="preserve"> my_pT</t>
  </si>
  <si>
    <t xml:space="preserve">lb/ft/hr</t>
  </si>
  <si>
    <t xml:space="preserve">Viscosity as a function of pressure and temperature.</t>
  </si>
  <si>
    <t xml:space="preserve"> my_ph</t>
  </si>
  <si>
    <t xml:space="preserve">Viscosity as a function of pressure and enthalpy</t>
  </si>
  <si>
    <t xml:space="preserve"> my_ps</t>
  </si>
  <si>
    <t xml:space="preserve">Viscosity as a function of pressure and entropy.</t>
  </si>
  <si>
    <t xml:space="preserve">Prandtl</t>
  </si>
  <si>
    <t xml:space="preserve">Calcualted as Cp*my/tc</t>
  </si>
  <si>
    <t xml:space="preserve"> pr_pT</t>
  </si>
  <si>
    <t xml:space="preserve">-</t>
  </si>
  <si>
    <t xml:space="preserve"> pr_ph</t>
  </si>
  <si>
    <t xml:space="preserve">Thermal Conductivity</t>
  </si>
  <si>
    <t xml:space="preserve">Revised release on the IAPS Formulation 1985 for the Thermal Conductivity of ordinary water substance (IAPWS 1998)</t>
  </si>
  <si>
    <t xml:space="preserve"> tcL_p</t>
  </si>
  <si>
    <t xml:space="preserve">btu/(h*ft*F)</t>
  </si>
  <si>
    <t xml:space="preserve">Saturated vapour thermal conductivity</t>
  </si>
  <si>
    <t xml:space="preserve"> tcV_p</t>
  </si>
  <si>
    <t xml:space="preserve">Saturated liquid thermal conductivity</t>
  </si>
  <si>
    <t xml:space="preserve"> tcL_T</t>
  </si>
  <si>
    <t xml:space="preserve"> tcV_T</t>
  </si>
  <si>
    <t xml:space="preserve"> tc_pT</t>
  </si>
  <si>
    <t xml:space="preserve">Thermal conductivity as a function of pressure and temperature.</t>
  </si>
  <si>
    <t xml:space="preserve"> tc_ph</t>
  </si>
  <si>
    <t xml:space="preserve">Thermal conductivity as a function of pressure and enthalpy</t>
  </si>
  <si>
    <t xml:space="preserve"> tc_hs</t>
  </si>
  <si>
    <t xml:space="preserve">Thermal conductivity as a function of enthalpy and entropy</t>
  </si>
  <si>
    <t xml:space="preserve">Surface Tension</t>
  </si>
  <si>
    <t xml:space="preserve">IAPWS Release on Surface Tension of Ordinary Water Substance, September 1994</t>
  </si>
  <si>
    <t xml:space="preserve"> st_T</t>
  </si>
  <si>
    <t xml:space="preserve">lb/ft</t>
  </si>
  <si>
    <t xml:space="preserve">Surface tension for two phase water/steam as a function of T</t>
  </si>
  <si>
    <t xml:space="preserve"> st_p</t>
  </si>
  <si>
    <t xml:space="preserve"> x_ph</t>
  </si>
  <si>
    <t xml:space="preserve">Vapour fraction as a function of pressure and enthalpy</t>
  </si>
  <si>
    <t xml:space="preserve"> x_ps</t>
  </si>
  <si>
    <t xml:space="preserve">Vapour fraction as a function of pressure and entropy.</t>
  </si>
  <si>
    <t xml:space="preserve">Vapour Volume Fraction</t>
  </si>
  <si>
    <t xml:space="preserve">Observe that vapour volume fraction is very sensitive. Vapour volume is about 1000 times greater than liquid volume and therfore vapour volume fraction</t>
  </si>
  <si>
    <t xml:space="preserve">gets close to the accurancy of steam IF-97</t>
  </si>
  <si>
    <t xml:space="preserve"> vx_ph</t>
  </si>
  <si>
    <t xml:space="preserve">Vapour volume fraction as a function of pressure and enthalpy</t>
  </si>
  <si>
    <t xml:space="preserve"> vx_ps</t>
  </si>
  <si>
    <t xml:space="preserve">Vapour volume fraction as a function of pressure and entropy.</t>
  </si>
  <si>
    <t xml:space="preserve">Version history</t>
  </si>
  <si>
    <t xml:space="preserve">News in V2.6</t>
  </si>
  <si>
    <t xml:space="preserve">* Error in valid region for function tc_ptrho</t>
  </si>
  <si>
    <t xml:space="preserve">* Error in function h3_pt for temperatures near the saturation point.</t>
  </si>
  <si>
    <t xml:space="preserve">News in V2.5</t>
  </si>
  <si>
    <t xml:space="preserve">* DLL distrubution for use in other applications</t>
  </si>
  <si>
    <t xml:space="preserve">* Freebasic translation</t>
  </si>
  <si>
    <t xml:space="preserve">* Fixed small error in Cv Region 5 p&gt;1000bar</t>
  </si>
  <si>
    <t xml:space="preserve">News in V2.4a</t>
  </si>
  <si>
    <t xml:space="preserve">Fixed unit conversion in T_ps region4 (No effekt for SI units.)</t>
  </si>
  <si>
    <t xml:space="preserve">News in V2.4</t>
  </si>
  <si>
    <t xml:space="preserve">* TODO!!! Check Cv in region 5</t>
  </si>
  <si>
    <t xml:space="preserve">* ToDO!!! Tc och my not def. In region 4</t>
  </si>
  <si>
    <t xml:space="preserve">* OpenOffice version introduced. (Fixed calculation differences in open office and excel)</t>
  </si>
  <si>
    <t xml:space="preserve">* Matlab error giving varaible undefined in some backwards solutions fixed.</t>
  </si>
  <si>
    <t xml:space="preserve">News in V2.3</t>
  </si>
  <si>
    <t xml:space="preserve">* Option Explicit, gives more efficient calculations.</t>
  </si>
  <si>
    <t xml:space="preserve">* Extensive testing</t>
  </si>
  <si>
    <t xml:space="preserve">* my_ph not defined in region 4.</t>
  </si>
  <si>
    <t xml:space="preserve">* Problems at region border for h4V_p to adress solver problems at the exact border.</t>
  </si>
  <si>
    <t xml:space="preserve">* Problem at fast border check in region_ph fixed.</t>
  </si>
  <si>
    <t xml:space="preserve">News in V2.2</t>
  </si>
  <si>
    <t xml:space="preserve">* Fixed error in Cp_ph</t>
  </si>
  <si>
    <t xml:space="preserve">* Function p_hrho added. (Very good for calcualting pressure when heating a volume with water/steam mixture.)</t>
  </si>
  <si>
    <t xml:space="preserve">* Fixed error in T_hs return no value for vet region bellow the water saturation line.</t>
  </si>
  <si>
    <t xml:space="preserve">* Prandtl number added</t>
  </si>
  <si>
    <t xml:space="preserve">News in V2.1</t>
  </si>
  <si>
    <t xml:space="preserve">* Calling function h_prho</t>
  </si>
  <si>
    <t xml:space="preserve">* Fixed problem with Cv reporting NaN in region 5.</t>
  </si>
  <si>
    <t xml:space="preserve">* Equivivalent to the Matlab version. (Downloadable from www.x-eng.com)</t>
  </si>
  <si>
    <t xml:space="preserve">News in V2</t>
  </si>
  <si>
    <t xml:space="preserve">* Calling functions of h and s added.</t>
  </si>
  <si>
    <t xml:space="preserve">* Thermal conductivity, Surface tension added</t>
  </si>
  <si>
    <t xml:space="preserve">* Calling functions h_px and h_tx added.</t>
  </si>
  <si>
    <t xml:space="preserve">* Cp, Cv and w undefined in the mixed region. (Before interpolation with the vapor fraction was used.)</t>
  </si>
  <si>
    <t xml:space="preserve">* A work sheet ""Properties"" for simple lookups added.</t>
  </si>
  <si>
    <t xml:space="preserve">* A work sheet "Properties" for simple lookups added.</t>
  </si>
  <si>
    <t xml:space="preserve">p</t>
  </si>
  <si>
    <t xml:space="preserve">s</t>
  </si>
  <si>
    <t xml:space="preserve">T</t>
  </si>
  <si>
    <t xml:space="preserve">h</t>
  </si>
  <si>
    <t xml:space="preserve">rho</t>
  </si>
  <si>
    <t xml:space="preserve">x</t>
  </si>
</sst>
</file>

<file path=xl/styles.xml><?xml version="1.0" encoding="utf-8"?>
<styleSheet xmlns="http://schemas.openxmlformats.org/spreadsheetml/2006/main">
  <numFmts count="7">
    <numFmt numFmtId="164" formatCode="General"/>
    <numFmt numFmtId="165" formatCode="0.00"/>
    <numFmt numFmtId="166" formatCode="0.000"/>
    <numFmt numFmtId="167" formatCode="0.0"/>
    <numFmt numFmtId="168" formatCode="0.0000E+00"/>
    <numFmt numFmtId="169" formatCode="0.0000"/>
    <numFmt numFmtId="170" formatCode="0.00E+00"/>
  </numFmts>
  <fonts count="17"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4"/>
      <name val="Arial"/>
      <family val="2"/>
    </font>
    <font>
      <sz val="10"/>
      <name val="Arial"/>
      <family val="2"/>
    </font>
    <font>
      <sz val="8"/>
      <name val="Arial"/>
      <family val="2"/>
    </font>
    <font>
      <b val="true"/>
      <sz val="10"/>
      <name val="Arial"/>
      <family val="2"/>
    </font>
    <font>
      <u val="single"/>
      <sz val="8"/>
      <color rgb="FF0000FF"/>
      <name val="Arial"/>
      <family val="2"/>
    </font>
    <font>
      <u val="single"/>
      <sz val="10"/>
      <color rgb="FF0000FF"/>
      <name val="Arial"/>
      <family val="0"/>
    </font>
    <font>
      <sz val="14"/>
      <name val="Arial"/>
      <family val="2"/>
    </font>
    <font>
      <b val="true"/>
      <u val="single"/>
      <sz val="8"/>
      <color rgb="FF0000FF"/>
      <name val="Arial"/>
      <family val="2"/>
    </font>
    <font>
      <b val="true"/>
      <sz val="8"/>
      <name val="Arial"/>
      <family val="2"/>
    </font>
    <font>
      <u val="single"/>
      <sz val="8"/>
      <color rgb="FF0000FF"/>
      <name val="Arial"/>
      <family val="0"/>
    </font>
    <font>
      <b val="true"/>
      <i val="true"/>
      <sz val="12"/>
      <name val="Arial"/>
      <family val="2"/>
    </font>
    <font>
      <i val="true"/>
      <sz val="10"/>
      <name val="Arial"/>
      <family val="2"/>
    </font>
    <font>
      <b val="true"/>
      <i val="true"/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CCFFFF"/>
        <bgColor rgb="FFD9FFFF"/>
      </patternFill>
    </fill>
    <fill>
      <patternFill patternType="solid">
        <fgColor rgb="FFD9FFFF"/>
        <bgColor rgb="FFCCFFFF"/>
      </patternFill>
    </fill>
  </fills>
  <borders count="9">
    <border diagonalUp="false" diagonalDown="false">
      <left/>
      <right/>
      <top/>
      <bottom/>
      <diagonal/>
    </border>
    <border diagonalUp="false" diagonalDown="false">
      <left style="thin">
        <color rgb="FF667384"/>
      </left>
      <right/>
      <top style="thin">
        <color rgb="FF667384"/>
      </top>
      <bottom/>
      <diagonal/>
    </border>
    <border diagonalUp="false" diagonalDown="false">
      <left/>
      <right/>
      <top style="thin">
        <color rgb="FF667384"/>
      </top>
      <bottom/>
      <diagonal/>
    </border>
    <border diagonalUp="false" diagonalDown="false">
      <left/>
      <right style="thin">
        <color rgb="FF667384"/>
      </right>
      <top style="thin">
        <color rgb="FF667384"/>
      </top>
      <bottom/>
      <diagonal/>
    </border>
    <border diagonalUp="false" diagonalDown="false">
      <left style="thin">
        <color rgb="FF667384"/>
      </left>
      <right/>
      <top/>
      <bottom/>
      <diagonal/>
    </border>
    <border diagonalUp="false" diagonalDown="false">
      <left/>
      <right style="thin">
        <color rgb="FF667384"/>
      </right>
      <top/>
      <bottom/>
      <diagonal/>
    </border>
    <border diagonalUp="false" diagonalDown="false">
      <left style="thin">
        <color rgb="FF667384"/>
      </left>
      <right/>
      <top/>
      <bottom style="thin">
        <color rgb="FF667384"/>
      </bottom>
      <diagonal/>
    </border>
    <border diagonalUp="false" diagonalDown="false">
      <left/>
      <right/>
      <top/>
      <bottom style="thin">
        <color rgb="FF667384"/>
      </bottom>
      <diagonal/>
    </border>
    <border diagonalUp="false" diagonalDown="false">
      <left/>
      <right style="thin">
        <color rgb="FF667384"/>
      </right>
      <top/>
      <bottom style="thin">
        <color rgb="FF667384"/>
      </bottom>
      <diagonal/>
    </border>
  </borders>
  <cellStyleXfs count="21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9" fillId="0" borderId="0" applyFont="true" applyBorder="false" applyAlignment="false" applyProtection="false"/>
  </cellStyleXfs>
  <cellXfs count="43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8" fillId="0" borderId="0" xfId="2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9" fillId="0" borderId="0" xfId="2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7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7" fillId="3" borderId="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3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7" fillId="3" borderId="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0" fillId="0" borderId="7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8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7" fillId="3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7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1" fillId="0" borderId="0" xfId="2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2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3" fillId="0" borderId="0" xfId="2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5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6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8" fontId="7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5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9" fontId="7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70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7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  <cellStyle name="*unknown*" xfId="20" builtinId="8" customBuiltin="false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D9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7384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sharedStrings" Target="sharedStrings.xml"/>
</Relationships>
</file>

<file path=xl/worksheets/_rels/sheet1.xml.rels><?xml version="1.0" encoding="UTF-8"?>
<Relationships xmlns="http://schemas.openxmlformats.org/package/2006/relationships"><Relationship Id="rId1" Type="http://schemas.openxmlformats.org/officeDocument/2006/relationships/hyperlink" Target="http://www.x-eng.com/" TargetMode="External"/>
</Relationships>
</file>

<file path=xl/worksheets/_rels/sheet2.xml.rels><?xml version="1.0" encoding="UTF-8"?>
<Relationships xmlns="http://schemas.openxmlformats.org/package/2006/relationships"><Relationship Id="rId1" Type="http://schemas.openxmlformats.org/officeDocument/2006/relationships/hyperlink" Target="http://www.x-eng.com/" TargetMode="External"/><Relationship Id="rId2" Type="http://schemas.openxmlformats.org/officeDocument/2006/relationships/hyperlink" Target="mailto:magnus@x-eng.com" TargetMode="Externa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J2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C8" activeCellId="0" sqref="C8"/>
    </sheetView>
  </sheetViews>
  <sheetFormatPr defaultRowHeight="12.75" zeroHeight="false" outlineLevelRow="0" outlineLevelCol="0"/>
  <cols>
    <col collapsed="false" customWidth="true" hidden="false" outlineLevel="0" max="1" min="1" style="0" width="2.56"/>
    <col collapsed="false" customWidth="true" hidden="false" outlineLevel="0" max="2" min="2" style="0" width="20.97"/>
    <col collapsed="false" customWidth="true" hidden="false" outlineLevel="0" max="4" min="3" style="0" width="9.05"/>
    <col collapsed="false" customWidth="true" hidden="false" outlineLevel="0" max="5" min="5" style="0" width="4.7"/>
    <col collapsed="false" customWidth="true" hidden="false" outlineLevel="0" max="6" min="6" style="0" width="20.68"/>
    <col collapsed="false" customWidth="true" hidden="false" outlineLevel="0" max="1025" min="7" style="0" width="9.05"/>
  </cols>
  <sheetData>
    <row r="1" customFormat="false" ht="18" hidden="false" customHeight="false" outlineLevel="0" collapsed="false">
      <c r="B1" s="1" t="s">
        <v>0</v>
      </c>
    </row>
    <row r="2" s="2" customFormat="true" ht="12.75" hidden="false" customHeight="false" outlineLevel="0" collapsed="false">
      <c r="B2" s="3" t="s">
        <v>1</v>
      </c>
      <c r="D2" s="3" t="s">
        <v>2</v>
      </c>
    </row>
    <row r="3" s="2" customFormat="true" ht="12.75" hidden="false" customHeight="false" outlineLevel="0" collapsed="false">
      <c r="B3" s="3" t="s">
        <v>3</v>
      </c>
      <c r="D3" s="3" t="s">
        <v>4</v>
      </c>
      <c r="H3" s="4"/>
      <c r="I3" s="4"/>
    </row>
    <row r="4" customFormat="false" ht="12.75" hidden="false" customHeight="false" outlineLevel="0" collapsed="false">
      <c r="B4" s="5" t="s">
        <v>5</v>
      </c>
      <c r="D4" s="3" t="s">
        <v>6</v>
      </c>
      <c r="H4" s="4"/>
      <c r="I4" s="4"/>
      <c r="J4" s="2"/>
    </row>
    <row r="5" customFormat="false" ht="12.75" hidden="false" customHeight="false" outlineLevel="0" collapsed="false">
      <c r="B5" s="6"/>
      <c r="H5" s="4"/>
      <c r="I5" s="4"/>
      <c r="J5" s="2"/>
    </row>
    <row r="6" customFormat="false" ht="12.75" hidden="false" customHeight="false" outlineLevel="0" collapsed="false">
      <c r="B6" s="7" t="s">
        <v>7</v>
      </c>
      <c r="C6" s="8"/>
      <c r="D6" s="8"/>
      <c r="E6" s="8"/>
      <c r="F6" s="7" t="s">
        <v>8</v>
      </c>
      <c r="G6" s="8"/>
      <c r="H6" s="8"/>
    </row>
    <row r="7" customFormat="false" ht="12.75" hidden="false" customHeight="false" outlineLevel="0" collapsed="false">
      <c r="A7" s="9"/>
      <c r="B7" s="10" t="s">
        <v>9</v>
      </c>
      <c r="C7" s="11" t="n">
        <v>50</v>
      </c>
      <c r="D7" s="12" t="s">
        <v>10</v>
      </c>
      <c r="E7" s="8"/>
      <c r="F7" s="10" t="s">
        <v>11</v>
      </c>
      <c r="G7" s="13" t="n">
        <v>12.57</v>
      </c>
      <c r="H7" s="12" t="s">
        <v>12</v>
      </c>
      <c r="I7" s="9"/>
    </row>
    <row r="8" customFormat="false" ht="12.75" hidden="false" customHeight="false" outlineLevel="0" collapsed="false">
      <c r="A8" s="9"/>
      <c r="B8" s="14" t="s">
        <v>13</v>
      </c>
      <c r="C8" s="15" t="n">
        <f aca="false">psat_t(C7)</f>
        <v>0.178133010007699</v>
      </c>
      <c r="D8" s="16" t="s">
        <v>12</v>
      </c>
      <c r="E8" s="8"/>
      <c r="F8" s="14" t="s">
        <v>14</v>
      </c>
      <c r="G8" s="17" t="n">
        <f aca="false">Tsat_p(G7)</f>
        <v>204.177777919275</v>
      </c>
      <c r="H8" s="16" t="s">
        <v>10</v>
      </c>
      <c r="I8" s="9"/>
    </row>
    <row r="9" customFormat="false" ht="12.75" hidden="false" customHeight="false" outlineLevel="0" collapsed="false">
      <c r="A9" s="9"/>
      <c r="B9" s="18" t="s">
        <v>15</v>
      </c>
      <c r="C9" s="9"/>
      <c r="D9" s="16"/>
      <c r="F9" s="18" t="s">
        <v>15</v>
      </c>
      <c r="G9" s="9"/>
      <c r="H9" s="16"/>
      <c r="I9" s="9"/>
    </row>
    <row r="10" customFormat="false" ht="12.75" hidden="false" customHeight="false" outlineLevel="0" collapsed="false">
      <c r="A10" s="9"/>
      <c r="B10" s="14" t="s">
        <v>16</v>
      </c>
      <c r="C10" s="19" t="n">
        <f aca="false">hL_T(C7)</f>
        <v>18.0658162719191</v>
      </c>
      <c r="D10" s="16" t="s">
        <v>17</v>
      </c>
      <c r="E10" s="8"/>
      <c r="F10" s="14" t="s">
        <v>16</v>
      </c>
      <c r="G10" s="19" t="n">
        <f aca="false">hL_p(G7)</f>
        <v>172.30242549738</v>
      </c>
      <c r="H10" s="16" t="s">
        <v>17</v>
      </c>
      <c r="I10" s="9"/>
    </row>
    <row r="11" customFormat="false" ht="12.75" hidden="false" customHeight="false" outlineLevel="0" collapsed="false">
      <c r="A11" s="9"/>
      <c r="B11" s="14" t="s">
        <v>18</v>
      </c>
      <c r="C11" s="17" t="n">
        <f aca="false">rhoL_T(C7)</f>
        <v>62.4063426187782</v>
      </c>
      <c r="D11" s="16" t="s">
        <v>19</v>
      </c>
      <c r="E11" s="8"/>
      <c r="F11" s="14" t="s">
        <v>18</v>
      </c>
      <c r="G11" s="17" t="n">
        <f aca="false">rhoL_P(G7)</f>
        <v>60.0202091370881</v>
      </c>
      <c r="H11" s="16" t="s">
        <v>19</v>
      </c>
      <c r="I11" s="9"/>
    </row>
    <row r="12" customFormat="false" ht="12.75" hidden="false" customHeight="false" outlineLevel="0" collapsed="false">
      <c r="A12" s="9"/>
      <c r="B12" s="14" t="s">
        <v>20</v>
      </c>
      <c r="C12" s="17" t="n">
        <f aca="false">sL_T(C7)</f>
        <v>0.0360860529032756</v>
      </c>
      <c r="D12" s="16" t="s">
        <v>21</v>
      </c>
      <c r="E12" s="8"/>
      <c r="F12" s="14" t="s">
        <v>20</v>
      </c>
      <c r="G12" s="17" t="n">
        <f aca="false">sL_p(G7)</f>
        <v>0.300387442243574</v>
      </c>
      <c r="H12" s="16" t="s">
        <v>21</v>
      </c>
      <c r="I12" s="9"/>
    </row>
    <row r="13" customFormat="false" ht="12.75" hidden="false" customHeight="false" outlineLevel="0" collapsed="false">
      <c r="A13" s="9"/>
      <c r="B13" s="20" t="s">
        <v>22</v>
      </c>
      <c r="C13" s="9"/>
      <c r="D13" s="16"/>
      <c r="F13" s="20" t="s">
        <v>22</v>
      </c>
      <c r="G13" s="9"/>
      <c r="H13" s="16"/>
      <c r="I13" s="9"/>
    </row>
    <row r="14" customFormat="false" ht="12.75" hidden="false" customHeight="false" outlineLevel="0" collapsed="false">
      <c r="A14" s="9"/>
      <c r="B14" s="14" t="s">
        <v>23</v>
      </c>
      <c r="C14" s="19" t="n">
        <f aca="false">hV_T(C7)</f>
        <v>1083.07387744644</v>
      </c>
      <c r="D14" s="16" t="s">
        <v>17</v>
      </c>
      <c r="E14" s="8"/>
      <c r="F14" s="14" t="s">
        <v>23</v>
      </c>
      <c r="G14" s="19" t="n">
        <f aca="false">hV_p(G7)</f>
        <v>1147.3184908806</v>
      </c>
      <c r="H14" s="16" t="s">
        <v>17</v>
      </c>
      <c r="I14" s="9"/>
    </row>
    <row r="15" customFormat="false" ht="12.75" hidden="false" customHeight="false" outlineLevel="0" collapsed="false">
      <c r="A15" s="9"/>
      <c r="B15" s="14" t="s">
        <v>24</v>
      </c>
      <c r="C15" s="17" t="n">
        <f aca="false">rhoV_T(C7)</f>
        <v>0.000587232864567547</v>
      </c>
      <c r="D15" s="16" t="s">
        <v>19</v>
      </c>
      <c r="E15" s="8"/>
      <c r="F15" s="14" t="s">
        <v>24</v>
      </c>
      <c r="G15" s="17" t="n">
        <f aca="false">rhoV_p(G7)</f>
        <v>0.0322355421635255</v>
      </c>
      <c r="H15" s="16" t="s">
        <v>19</v>
      </c>
      <c r="I15" s="9"/>
    </row>
    <row r="16" customFormat="false" ht="12.75" hidden="false" customHeight="false" outlineLevel="0" collapsed="false">
      <c r="A16" s="9"/>
      <c r="B16" s="14" t="s">
        <v>25</v>
      </c>
      <c r="C16" s="17" t="n">
        <f aca="false">sV_T(C7)</f>
        <v>2.12569167873906</v>
      </c>
      <c r="D16" s="16" t="s">
        <v>21</v>
      </c>
      <c r="E16" s="8"/>
      <c r="F16" s="14" t="s">
        <v>26</v>
      </c>
      <c r="G16" s="17" t="n">
        <f aca="false">sV_p(G7)</f>
        <v>1.76911437146751</v>
      </c>
      <c r="H16" s="16" t="s">
        <v>21</v>
      </c>
      <c r="I16" s="9"/>
    </row>
    <row r="17" customFormat="false" ht="12.75" hidden="false" customHeight="false" outlineLevel="0" collapsed="false">
      <c r="A17" s="9"/>
      <c r="B17" s="21" t="s">
        <v>27</v>
      </c>
      <c r="C17" s="22" t="n">
        <f aca="false">C14-C10</f>
        <v>1065.00806117452</v>
      </c>
      <c r="D17" s="23" t="s">
        <v>17</v>
      </c>
      <c r="E17" s="8"/>
      <c r="F17" s="21" t="s">
        <v>27</v>
      </c>
      <c r="G17" s="22" t="n">
        <f aca="false">G14-G10</f>
        <v>975.016065383219</v>
      </c>
      <c r="H17" s="23" t="s">
        <v>17</v>
      </c>
      <c r="I17" s="9"/>
    </row>
    <row r="18" customFormat="false" ht="12.75" hidden="false" customHeight="false" outlineLevel="0" collapsed="false">
      <c r="A18" s="9"/>
      <c r="I18" s="9"/>
    </row>
    <row r="19" customFormat="false" ht="12.75" hidden="false" customHeight="false" outlineLevel="0" collapsed="false">
      <c r="A19" s="9"/>
      <c r="B19" s="7" t="s">
        <v>28</v>
      </c>
      <c r="C19" s="8"/>
      <c r="D19" s="8"/>
      <c r="E19" s="8"/>
      <c r="F19" s="7" t="s">
        <v>29</v>
      </c>
      <c r="G19" s="8"/>
      <c r="H19" s="8"/>
      <c r="I19" s="9"/>
    </row>
    <row r="20" customFormat="false" ht="12.75" hidden="false" customHeight="false" outlineLevel="0" collapsed="false">
      <c r="A20" s="9"/>
      <c r="B20" s="10" t="s">
        <v>11</v>
      </c>
      <c r="C20" s="11" t="n">
        <v>100</v>
      </c>
      <c r="D20" s="12" t="s">
        <v>12</v>
      </c>
      <c r="E20" s="8"/>
      <c r="F20" s="10" t="s">
        <v>11</v>
      </c>
      <c r="G20" s="11" t="n">
        <v>12.57</v>
      </c>
      <c r="H20" s="12" t="s">
        <v>12</v>
      </c>
      <c r="I20" s="9"/>
    </row>
    <row r="21" customFormat="false" ht="12.75" hidden="false" customHeight="false" outlineLevel="0" collapsed="false">
      <c r="A21" s="9"/>
      <c r="B21" s="24" t="s">
        <v>9</v>
      </c>
      <c r="C21" s="25" t="n">
        <v>50</v>
      </c>
      <c r="D21" s="26" t="s">
        <v>10</v>
      </c>
      <c r="E21" s="9"/>
      <c r="F21" s="24" t="s">
        <v>16</v>
      </c>
      <c r="G21" s="25" t="n">
        <v>2788</v>
      </c>
      <c r="H21" s="26" t="s">
        <v>17</v>
      </c>
      <c r="I21" s="9"/>
    </row>
    <row r="22" customFormat="false" ht="12.75" hidden="false" customHeight="false" outlineLevel="0" collapsed="false">
      <c r="A22" s="9"/>
      <c r="B22" s="14" t="s">
        <v>16</v>
      </c>
      <c r="C22" s="19" t="n">
        <f aca="false">h_pt(C20,C21)</f>
        <v>18.3543276008491</v>
      </c>
      <c r="D22" s="16" t="s">
        <v>17</v>
      </c>
      <c r="E22" s="9"/>
      <c r="F22" s="14" t="s">
        <v>9</v>
      </c>
      <c r="G22" s="19" t="n">
        <f aca="false">T_ph(G20,G21)</f>
        <v>3074.57074832916</v>
      </c>
      <c r="H22" s="16" t="s">
        <v>10</v>
      </c>
      <c r="I22" s="9"/>
    </row>
    <row r="23" customFormat="false" ht="12.75" hidden="false" customHeight="false" outlineLevel="0" collapsed="false">
      <c r="A23" s="9"/>
      <c r="B23" s="14" t="s">
        <v>18</v>
      </c>
      <c r="C23" s="17" t="n">
        <f aca="false">rho_pT(C20,C21)</f>
        <v>62.4268592811154</v>
      </c>
      <c r="D23" s="16" t="s">
        <v>19</v>
      </c>
      <c r="E23" s="9"/>
      <c r="F23" s="14" t="s">
        <v>18</v>
      </c>
      <c r="G23" s="17" t="n">
        <f aca="false">rho_ph(G20,G21)</f>
        <v>0.00597034521663359</v>
      </c>
      <c r="H23" s="16" t="s">
        <v>19</v>
      </c>
      <c r="I23" s="9"/>
    </row>
    <row r="24" customFormat="false" ht="12.75" hidden="false" customHeight="false" outlineLevel="0" collapsed="false">
      <c r="A24" s="9"/>
      <c r="B24" s="14" t="s">
        <v>20</v>
      </c>
      <c r="C24" s="17" t="n">
        <f aca="false">s_pT(C20,C21)</f>
        <v>0.0360714636645231</v>
      </c>
      <c r="D24" s="16" t="s">
        <v>21</v>
      </c>
      <c r="E24" s="9"/>
      <c r="F24" s="14" t="s">
        <v>20</v>
      </c>
      <c r="G24" s="17" t="n">
        <f aca="false">s_ph(G20,G21)</f>
        <v>2.67427631424998</v>
      </c>
      <c r="H24" s="16" t="s">
        <v>21</v>
      </c>
      <c r="I24" s="9"/>
    </row>
    <row r="25" customFormat="false" ht="12.75" hidden="false" customHeight="false" outlineLevel="0" collapsed="false">
      <c r="A25" s="9"/>
      <c r="B25" s="27" t="s">
        <v>30</v>
      </c>
      <c r="C25" s="0" t="n">
        <f aca="false">x_ph(C20,C22)*100</f>
        <v>0</v>
      </c>
      <c r="D25" s="28" t="s">
        <v>31</v>
      </c>
      <c r="F25" s="27" t="s">
        <v>30</v>
      </c>
      <c r="G25" s="0" t="n">
        <f aca="false">x_ph(G20,G21)*100</f>
        <v>100</v>
      </c>
      <c r="H25" s="28" t="s">
        <v>31</v>
      </c>
      <c r="I25" s="9"/>
    </row>
    <row r="26" customFormat="false" ht="12.75" hidden="false" customHeight="false" outlineLevel="0" collapsed="false">
      <c r="A26" s="9"/>
      <c r="B26" s="14" t="s">
        <v>32</v>
      </c>
      <c r="C26" s="9" t="n">
        <f aca="false">region_pt(C20/10,C21+273.15)</f>
        <v>1</v>
      </c>
      <c r="D26" s="16"/>
      <c r="E26" s="9"/>
      <c r="F26" s="14" t="s">
        <v>32</v>
      </c>
      <c r="G26" s="9" t="n">
        <f aca="false">region_ph(G20/10,G21)</f>
        <v>2</v>
      </c>
      <c r="H26" s="16"/>
      <c r="I26" s="9"/>
    </row>
    <row r="27" customFormat="false" ht="12.75" hidden="false" customHeight="false" outlineLevel="0" collapsed="false">
      <c r="A27" s="9"/>
      <c r="B27" s="14" t="s">
        <v>33</v>
      </c>
      <c r="C27" s="29" t="str">
        <f aca="false">IF(C26=2,"Steam",IF(C26=1,"Liquid",IF(C26=4,"Mixture","")))</f>
        <v>Liquid</v>
      </c>
      <c r="D27" s="16"/>
      <c r="E27" s="9"/>
      <c r="F27" s="14" t="s">
        <v>33</v>
      </c>
      <c r="G27" s="29" t="str">
        <f aca="false">IF(G26=2,"Steam",IF(G26=1,"Liquid",IF(G26=4,"Mixture","")))</f>
        <v>Steam</v>
      </c>
      <c r="H27" s="16"/>
      <c r="I27" s="9"/>
    </row>
    <row r="28" customFormat="false" ht="12.75" hidden="false" customHeight="false" outlineLevel="0" collapsed="false">
      <c r="B28" s="14" t="s">
        <v>34</v>
      </c>
      <c r="C28" s="9" t="n">
        <f aca="false">Cp_pT(C20,C21)</f>
        <v>1.00153403274248</v>
      </c>
      <c r="D28" s="16" t="s">
        <v>21</v>
      </c>
      <c r="F28" s="14" t="s">
        <v>34</v>
      </c>
      <c r="G28" s="9" t="n">
        <f aca="false">Cp_ph(G20,G21)</f>
        <v>0.675241793358235</v>
      </c>
      <c r="H28" s="16" t="s">
        <v>21</v>
      </c>
    </row>
    <row r="29" customFormat="false" ht="12.75" hidden="false" customHeight="false" outlineLevel="0" collapsed="false">
      <c r="B29" s="21" t="s">
        <v>35</v>
      </c>
      <c r="C29" s="30" t="n">
        <f aca="false">w_pT(C20,C21)</f>
        <v>4752.24019778972</v>
      </c>
      <c r="D29" s="23" t="s">
        <v>36</v>
      </c>
      <c r="F29" s="21" t="s">
        <v>35</v>
      </c>
      <c r="G29" s="30" t="n">
        <f aca="false">w_ph(G20,G21)</f>
        <v>3414.43914364174</v>
      </c>
      <c r="H29" s="23" t="s">
        <v>36</v>
      </c>
    </row>
  </sheetData>
  <hyperlinks>
    <hyperlink ref="B4" r:id="rId1" display="www.x-eng.com"/>
  </hyperlinks>
  <printOptions headings="false" gridLines="false" gridLinesSet="true" horizontalCentered="false" verticalCentered="false"/>
  <pageMargins left="0.747916666666667" right="0.747916666666667" top="0.984027777777778" bottom="0.984027777777778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M15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D4" activeCellId="0" sqref="D4"/>
    </sheetView>
  </sheetViews>
  <sheetFormatPr defaultRowHeight="12.75" zeroHeight="false" outlineLevelRow="1" outlineLevelCol="0"/>
  <cols>
    <col collapsed="false" customWidth="true" hidden="false" outlineLevel="0" max="1" min="1" style="0" width="11.69"/>
    <col collapsed="false" customWidth="true" hidden="false" outlineLevel="0" max="2" min="2" style="0" width="4.7"/>
    <col collapsed="false" customWidth="true" hidden="false" outlineLevel="0" max="3" min="3" style="0" width="7.69"/>
    <col collapsed="false" customWidth="true" hidden="false" outlineLevel="0" max="4" min="4" style="0" width="4.7"/>
    <col collapsed="false" customWidth="true" hidden="false" outlineLevel="0" max="5" min="5" style="0" width="8.27"/>
    <col collapsed="false" customWidth="true" hidden="false" outlineLevel="0" max="6" min="6" style="4" width="9.98"/>
    <col collapsed="false" customWidth="true" hidden="false" outlineLevel="0" max="7" min="7" style="4" width="10.27"/>
    <col collapsed="false" customWidth="true" hidden="false" outlineLevel="0" max="8" min="8" style="2" width="7.55"/>
    <col collapsed="false" customWidth="true" hidden="false" outlineLevel="0" max="1025" min="9" style="0" width="9.05"/>
  </cols>
  <sheetData>
    <row r="1" s="31" customFormat="true" ht="18" hidden="false" customHeight="false" outlineLevel="0" collapsed="false">
      <c r="A1" s="1" t="s">
        <v>37</v>
      </c>
      <c r="D1" s="2" t="s">
        <v>38</v>
      </c>
      <c r="E1" s="32" t="s">
        <v>39</v>
      </c>
      <c r="F1" s="1"/>
      <c r="G1" s="1"/>
    </row>
    <row r="2" s="33" customFormat="true" ht="11.25" hidden="false" customHeight="false" outlineLevel="0" collapsed="false">
      <c r="A2" s="33" t="s">
        <v>40</v>
      </c>
    </row>
    <row r="3" s="3" customFormat="true" ht="11.25" hidden="false" customHeight="false" outlineLevel="0" collapsed="false">
      <c r="A3" s="3" t="s">
        <v>41</v>
      </c>
    </row>
    <row r="4" s="3" customFormat="true" ht="11.25" hidden="false" customHeight="false" outlineLevel="0" collapsed="false">
      <c r="A4" s="3" t="s">
        <v>42</v>
      </c>
      <c r="F4" s="34" t="s">
        <v>43</v>
      </c>
    </row>
    <row r="5" s="3" customFormat="true" ht="11.25" hidden="false" customHeight="false" outlineLevel="0" collapsed="false">
      <c r="A5" s="3" t="s">
        <v>4</v>
      </c>
    </row>
    <row r="6" customFormat="false" ht="12.75" hidden="false" customHeight="false" outlineLevel="0" collapsed="false">
      <c r="A6" s="33" t="s">
        <v>6</v>
      </c>
      <c r="B6" s="2"/>
      <c r="C6" s="2"/>
      <c r="D6" s="2"/>
      <c r="E6" s="2"/>
      <c r="F6" s="2"/>
      <c r="G6" s="2"/>
    </row>
    <row r="7" customFormat="false" ht="12.75" hidden="false" customHeight="false" outlineLevel="0" collapsed="false">
      <c r="A7" s="33"/>
      <c r="B7" s="2"/>
      <c r="C7" s="2"/>
      <c r="D7" s="2"/>
      <c r="E7" s="2"/>
      <c r="F7" s="2"/>
      <c r="G7" s="2"/>
    </row>
    <row r="8" s="36" customFormat="true" ht="15" hidden="false" customHeight="false" outlineLevel="0" collapsed="false">
      <c r="A8" s="35" t="s">
        <v>9</v>
      </c>
      <c r="F8" s="37"/>
      <c r="G8" s="37"/>
    </row>
    <row r="9" s="3" customFormat="true" ht="12.75" hidden="false" customHeight="false" outlineLevel="1" collapsed="false">
      <c r="A9" s="4" t="s">
        <v>44</v>
      </c>
      <c r="B9" s="2" t="n">
        <v>14.5037738</v>
      </c>
      <c r="C9" s="2" t="s">
        <v>45</v>
      </c>
      <c r="D9" s="2"/>
      <c r="E9" s="2"/>
      <c r="F9" s="4" t="n">
        <f aca="false">Tsat_p(B9)</f>
        <v>211.290653570884</v>
      </c>
      <c r="G9" s="4" t="s">
        <v>46</v>
      </c>
      <c r="H9" s="2" t="s">
        <v>14</v>
      </c>
    </row>
    <row r="10" s="3" customFormat="true" ht="12.75" hidden="false" customHeight="false" outlineLevel="1" collapsed="false">
      <c r="A10" s="4" t="s">
        <v>47</v>
      </c>
      <c r="B10" s="2" t="n">
        <v>1</v>
      </c>
      <c r="C10" s="2" t="s">
        <v>45</v>
      </c>
      <c r="D10" s="2" t="n">
        <v>100</v>
      </c>
      <c r="E10" s="2" t="s">
        <v>17</v>
      </c>
      <c r="F10" s="4" t="n">
        <f aca="false">T_ph(B10,D10)</f>
        <v>101.694337223529</v>
      </c>
      <c r="G10" s="4" t="s">
        <v>46</v>
      </c>
      <c r="H10" s="2" t="s">
        <v>48</v>
      </c>
    </row>
    <row r="11" s="3" customFormat="true" ht="12.75" hidden="false" customHeight="false" outlineLevel="1" collapsed="false">
      <c r="A11" s="4" t="s">
        <v>49</v>
      </c>
      <c r="B11" s="2" t="n">
        <v>1</v>
      </c>
      <c r="C11" s="2" t="s">
        <v>45</v>
      </c>
      <c r="D11" s="2" t="n">
        <v>1</v>
      </c>
      <c r="E11" s="2" t="s">
        <v>21</v>
      </c>
      <c r="F11" s="4" t="n">
        <f aca="false">T_ps(B11,D11)</f>
        <v>101.694337223529</v>
      </c>
      <c r="G11" s="4" t="s">
        <v>46</v>
      </c>
      <c r="H11" s="2" t="s">
        <v>50</v>
      </c>
    </row>
    <row r="12" s="3" customFormat="true" ht="12.75" hidden="false" customHeight="false" outlineLevel="1" collapsed="false">
      <c r="A12" s="4" t="s">
        <v>51</v>
      </c>
      <c r="B12" s="2" t="n">
        <v>100</v>
      </c>
      <c r="C12" s="2" t="s">
        <v>17</v>
      </c>
      <c r="D12" s="2" t="n">
        <v>0.2</v>
      </c>
      <c r="E12" s="2" t="s">
        <v>21</v>
      </c>
      <c r="F12" s="4" t="n">
        <f aca="false">T_hs(B12,D12)</f>
        <v>40.7127087611784</v>
      </c>
      <c r="G12" s="4" t="s">
        <v>46</v>
      </c>
      <c r="H12" s="2" t="s">
        <v>52</v>
      </c>
    </row>
    <row r="13" s="36" customFormat="true" ht="15" hidden="false" customHeight="false" outlineLevel="0" collapsed="false">
      <c r="A13" s="35" t="s">
        <v>11</v>
      </c>
      <c r="F13" s="37"/>
      <c r="G13" s="37"/>
    </row>
    <row r="14" s="3" customFormat="true" ht="12.75" hidden="false" customHeight="false" outlineLevel="1" collapsed="false">
      <c r="A14" s="4" t="s">
        <v>53</v>
      </c>
      <c r="B14" s="2" t="n">
        <v>100</v>
      </c>
      <c r="C14" s="2" t="s">
        <v>46</v>
      </c>
      <c r="D14" s="2"/>
      <c r="E14" s="2"/>
      <c r="F14" s="4" t="n">
        <f aca="false">psat_t(B14)</f>
        <v>0.950439330778813</v>
      </c>
      <c r="G14" s="4" t="s">
        <v>12</v>
      </c>
      <c r="H14" s="2" t="s">
        <v>13</v>
      </c>
    </row>
    <row r="15" s="3" customFormat="true" ht="12.75" hidden="false" customHeight="false" outlineLevel="1" collapsed="false">
      <c r="A15" s="4" t="s">
        <v>54</v>
      </c>
      <c r="B15" s="2" t="n">
        <v>100</v>
      </c>
      <c r="C15" s="2" t="s">
        <v>17</v>
      </c>
      <c r="D15" s="2" t="n">
        <f aca="false">F49</f>
        <v>0.185125247601107</v>
      </c>
      <c r="E15" s="2" t="s">
        <v>21</v>
      </c>
      <c r="F15" s="4" t="n">
        <f aca="false">p_hs(B15,D15)</f>
        <v>5.98829190742783</v>
      </c>
      <c r="G15" s="4" t="s">
        <v>12</v>
      </c>
      <c r="H15" s="2" t="s">
        <v>55</v>
      </c>
    </row>
    <row r="16" s="3" customFormat="true" ht="12.75" hidden="false" customHeight="false" outlineLevel="1" collapsed="false">
      <c r="A16" s="4" t="s">
        <v>56</v>
      </c>
      <c r="B16" s="2" t="n">
        <v>100</v>
      </c>
      <c r="C16" s="2" t="s">
        <v>17</v>
      </c>
      <c r="D16" s="2" t="n">
        <v>5</v>
      </c>
      <c r="E16" s="2" t="s">
        <v>57</v>
      </c>
      <c r="F16" s="4" t="n">
        <f aca="false">p_hrho(B16,D16)</f>
        <v>2.27373191827474</v>
      </c>
      <c r="G16" s="4" t="s">
        <v>12</v>
      </c>
      <c r="H16" s="2" t="s">
        <v>58</v>
      </c>
    </row>
    <row r="17" s="36" customFormat="true" ht="15" hidden="false" customHeight="false" outlineLevel="0" collapsed="false">
      <c r="A17" s="35" t="s">
        <v>16</v>
      </c>
      <c r="F17" s="37"/>
      <c r="G17" s="37"/>
    </row>
    <row r="18" s="3" customFormat="true" ht="12.75" hidden="false" customHeight="false" outlineLevel="1" collapsed="false">
      <c r="A18" s="4" t="s">
        <v>59</v>
      </c>
      <c r="B18" s="2" t="n">
        <v>1</v>
      </c>
      <c r="C18" s="2" t="s">
        <v>45</v>
      </c>
      <c r="D18" s="2"/>
      <c r="E18" s="2"/>
      <c r="F18" s="4" t="n">
        <f aca="false">hV_p(B18)</f>
        <v>1105.439338664</v>
      </c>
      <c r="G18" s="4" t="s">
        <v>17</v>
      </c>
      <c r="H18" s="2" t="s">
        <v>60</v>
      </c>
    </row>
    <row r="19" s="3" customFormat="true" ht="12.75" hidden="false" customHeight="false" outlineLevel="1" collapsed="false">
      <c r="A19" s="4" t="s">
        <v>61</v>
      </c>
      <c r="B19" s="2" t="n">
        <v>1</v>
      </c>
      <c r="C19" s="2" t="s">
        <v>45</v>
      </c>
      <c r="D19" s="2"/>
      <c r="E19" s="2"/>
      <c r="F19" s="4" t="n">
        <f aca="false">hL_p(B19)</f>
        <v>69.7282390493548</v>
      </c>
      <c r="G19" s="4" t="s">
        <v>17</v>
      </c>
      <c r="H19" s="2" t="s">
        <v>62</v>
      </c>
    </row>
    <row r="20" s="3" customFormat="true" ht="12.75" hidden="false" customHeight="false" outlineLevel="1" collapsed="false">
      <c r="A20" s="4" t="s">
        <v>63</v>
      </c>
      <c r="B20" s="2" t="n">
        <v>100</v>
      </c>
      <c r="C20" s="2" t="s">
        <v>46</v>
      </c>
      <c r="D20" s="2"/>
      <c r="E20" s="2"/>
      <c r="F20" s="4" t="n">
        <f aca="false">hV_T(B20)</f>
        <v>1104.7148547166</v>
      </c>
      <c r="G20" s="4" t="s">
        <v>17</v>
      </c>
      <c r="H20" s="2" t="s">
        <v>60</v>
      </c>
    </row>
    <row r="21" s="3" customFormat="true" ht="12.75" hidden="false" customHeight="false" outlineLevel="1" collapsed="false">
      <c r="A21" s="4" t="s">
        <v>64</v>
      </c>
      <c r="B21" s="2" t="n">
        <v>100</v>
      </c>
      <c r="C21" s="2" t="s">
        <v>46</v>
      </c>
      <c r="D21" s="2"/>
      <c r="E21" s="2"/>
      <c r="F21" s="4" t="n">
        <f aca="false">hL_T(B21)</f>
        <v>68.0369856399939</v>
      </c>
      <c r="G21" s="4" t="s">
        <v>17</v>
      </c>
      <c r="H21" s="2" t="s">
        <v>62</v>
      </c>
    </row>
    <row r="22" s="3" customFormat="true" ht="12.75" hidden="false" customHeight="false" outlineLevel="1" collapsed="false">
      <c r="A22" s="4" t="s">
        <v>65</v>
      </c>
      <c r="B22" s="2" t="n">
        <v>14.5037738</v>
      </c>
      <c r="C22" s="2" t="s">
        <v>45</v>
      </c>
      <c r="D22" s="2" t="n">
        <v>68</v>
      </c>
      <c r="E22" s="2" t="s">
        <v>46</v>
      </c>
      <c r="F22" s="4" t="n">
        <f aca="false">h_pt(B22,D22)</f>
        <v>36.1185774579829</v>
      </c>
      <c r="G22" s="4" t="s">
        <v>17</v>
      </c>
      <c r="H22" s="2" t="s">
        <v>66</v>
      </c>
    </row>
    <row r="23" s="3" customFormat="true" ht="12.75" hidden="false" customHeight="false" outlineLevel="1" collapsed="false">
      <c r="A23" s="4" t="s">
        <v>67</v>
      </c>
      <c r="B23" s="2" t="n">
        <v>1</v>
      </c>
      <c r="C23" s="2" t="s">
        <v>45</v>
      </c>
      <c r="D23" s="2" t="n">
        <v>1</v>
      </c>
      <c r="E23" s="2" t="s">
        <v>21</v>
      </c>
      <c r="F23" s="4" t="n">
        <f aca="false">h_ps(B23,D23)</f>
        <v>556.636913648199</v>
      </c>
      <c r="G23" s="4" t="s">
        <v>17</v>
      </c>
      <c r="H23" s="2" t="s">
        <v>68</v>
      </c>
    </row>
    <row r="24" s="3" customFormat="true" ht="12.75" hidden="false" customHeight="false" outlineLevel="1" collapsed="false">
      <c r="A24" s="4" t="s">
        <v>69</v>
      </c>
      <c r="B24" s="2" t="n">
        <v>1</v>
      </c>
      <c r="C24" s="2" t="s">
        <v>45</v>
      </c>
      <c r="D24" s="2" t="n">
        <v>0.5</v>
      </c>
      <c r="E24" s="2"/>
      <c r="F24" s="4" t="n">
        <f aca="false">h_px(B24,D24)</f>
        <v>587.583788856678</v>
      </c>
      <c r="G24" s="4" t="s">
        <v>17</v>
      </c>
      <c r="H24" s="2" t="s">
        <v>70</v>
      </c>
    </row>
    <row r="25" s="3" customFormat="true" ht="12.75" hidden="false" customHeight="false" outlineLevel="1" collapsed="false">
      <c r="A25" s="4" t="s">
        <v>71</v>
      </c>
      <c r="B25" s="2" t="n">
        <v>100</v>
      </c>
      <c r="C25" s="2" t="s">
        <v>46</v>
      </c>
      <c r="D25" s="2" t="n">
        <v>0.5</v>
      </c>
      <c r="E25" s="2"/>
      <c r="F25" s="4" t="n">
        <f aca="false">h_tx(B25,D25)</f>
        <v>586.375920178298</v>
      </c>
      <c r="G25" s="4" t="s">
        <v>17</v>
      </c>
      <c r="H25" s="2" t="s">
        <v>72</v>
      </c>
    </row>
    <row r="26" s="3" customFormat="true" ht="12.75" hidden="false" customHeight="false" outlineLevel="1" collapsed="false">
      <c r="A26" s="4" t="s">
        <v>73</v>
      </c>
      <c r="B26" s="2" t="n">
        <v>1</v>
      </c>
      <c r="C26" s="2" t="s">
        <v>45</v>
      </c>
      <c r="D26" s="2" t="n">
        <v>2</v>
      </c>
      <c r="E26" s="2" t="s">
        <v>57</v>
      </c>
      <c r="F26" s="4" t="n">
        <f aca="false">h_prho(B26,D26)</f>
        <v>71.2309539685793</v>
      </c>
      <c r="G26" s="4" t="s">
        <v>17</v>
      </c>
      <c r="H26" s="2" t="s">
        <v>74</v>
      </c>
    </row>
    <row r="27" s="36" customFormat="true" ht="15" hidden="false" customHeight="false" outlineLevel="0" collapsed="false">
      <c r="A27" s="35" t="s">
        <v>75</v>
      </c>
      <c r="F27" s="37"/>
      <c r="G27" s="37"/>
    </row>
    <row r="28" s="3" customFormat="true" ht="12.75" hidden="false" customHeight="false" outlineLevel="1" collapsed="false">
      <c r="A28" s="4" t="s">
        <v>76</v>
      </c>
      <c r="B28" s="2" t="n">
        <v>1</v>
      </c>
      <c r="C28" s="2" t="s">
        <v>45</v>
      </c>
      <c r="D28" s="2"/>
      <c r="E28" s="2"/>
      <c r="F28" s="4" t="n">
        <f aca="false">vV_p(B28)</f>
        <v>333.507518919018</v>
      </c>
      <c r="G28" s="4" t="s">
        <v>77</v>
      </c>
      <c r="H28" s="2" t="s">
        <v>78</v>
      </c>
    </row>
    <row r="29" s="3" customFormat="true" ht="12.75" hidden="false" customHeight="false" outlineLevel="1" collapsed="false">
      <c r="A29" s="4" t="s">
        <v>79</v>
      </c>
      <c r="B29" s="2" t="n">
        <v>1</v>
      </c>
      <c r="C29" s="2" t="s">
        <v>45</v>
      </c>
      <c r="D29" s="2"/>
      <c r="E29" s="2"/>
      <c r="F29" s="4" t="n">
        <f aca="false">vL_p(B29)</f>
        <v>0.0161368112086034</v>
      </c>
      <c r="G29" s="4" t="s">
        <v>77</v>
      </c>
      <c r="H29" s="2" t="s">
        <v>80</v>
      </c>
    </row>
    <row r="30" s="3" customFormat="true" ht="12.75" hidden="false" customHeight="false" outlineLevel="1" collapsed="false">
      <c r="A30" s="4" t="s">
        <v>81</v>
      </c>
      <c r="B30" s="2" t="n">
        <v>100</v>
      </c>
      <c r="C30" s="2" t="s">
        <v>46</v>
      </c>
      <c r="D30" s="2"/>
      <c r="E30" s="2"/>
      <c r="F30" s="4" t="n">
        <f aca="false">vV_T(B30)</f>
        <v>349.86959989747</v>
      </c>
      <c r="G30" s="4" t="s">
        <v>77</v>
      </c>
      <c r="H30" s="2" t="s">
        <v>78</v>
      </c>
    </row>
    <row r="31" s="3" customFormat="true" ht="12.75" hidden="false" customHeight="false" outlineLevel="1" collapsed="false">
      <c r="A31" s="4" t="s">
        <v>82</v>
      </c>
      <c r="B31" s="2" t="n">
        <v>100</v>
      </c>
      <c r="C31" s="2" t="s">
        <v>46</v>
      </c>
      <c r="D31" s="2"/>
      <c r="E31" s="2"/>
      <c r="F31" s="4" t="n">
        <f aca="false">vL_T(B31)</f>
        <v>0.0161311743270031</v>
      </c>
      <c r="G31" s="4" t="s">
        <v>77</v>
      </c>
      <c r="H31" s="2" t="s">
        <v>80</v>
      </c>
    </row>
    <row r="32" s="3" customFormat="true" ht="12.75" hidden="false" customHeight="false" outlineLevel="1" collapsed="false">
      <c r="A32" s="4" t="s">
        <v>83</v>
      </c>
      <c r="B32" s="2" t="n">
        <v>1</v>
      </c>
      <c r="C32" s="2" t="s">
        <v>45</v>
      </c>
      <c r="D32" s="2" t="n">
        <v>100</v>
      </c>
      <c r="E32" s="2" t="s">
        <v>46</v>
      </c>
      <c r="F32" s="4" t="n">
        <f aca="false">v_pT(B32,D32)</f>
        <v>0.0161311718912175</v>
      </c>
      <c r="G32" s="4" t="s">
        <v>77</v>
      </c>
      <c r="H32" s="2" t="s">
        <v>84</v>
      </c>
    </row>
    <row r="33" s="3" customFormat="true" ht="12.75" hidden="false" customHeight="false" outlineLevel="1" collapsed="false">
      <c r="A33" s="4" t="s">
        <v>85</v>
      </c>
      <c r="B33" s="2" t="n">
        <v>1</v>
      </c>
      <c r="C33" s="2" t="s">
        <v>45</v>
      </c>
      <c r="D33" s="2" t="n">
        <v>1000</v>
      </c>
      <c r="E33" s="2" t="s">
        <v>17</v>
      </c>
      <c r="F33" s="4" t="n">
        <f aca="false">v_ph(B33,D33)</f>
        <v>299.556824760508</v>
      </c>
      <c r="G33" s="4" t="s">
        <v>77</v>
      </c>
      <c r="H33" s="2" t="s">
        <v>86</v>
      </c>
    </row>
    <row r="34" s="3" customFormat="true" ht="12.75" hidden="false" customHeight="false" outlineLevel="1" collapsed="false">
      <c r="A34" s="4" t="s">
        <v>87</v>
      </c>
      <c r="B34" s="2" t="n">
        <v>10</v>
      </c>
      <c r="C34" s="2" t="s">
        <v>45</v>
      </c>
      <c r="D34" s="2" t="n">
        <f aca="false">F49</f>
        <v>0.185125247601107</v>
      </c>
      <c r="E34" s="2" t="s">
        <v>21</v>
      </c>
      <c r="F34" s="4" t="n">
        <f aca="false">v_ps(B34,D34)</f>
        <v>0.016255423844856</v>
      </c>
      <c r="G34" s="4" t="s">
        <v>77</v>
      </c>
      <c r="H34" s="2" t="s">
        <v>88</v>
      </c>
    </row>
    <row r="35" s="36" customFormat="true" ht="15" hidden="false" customHeight="false" outlineLevel="0" collapsed="false">
      <c r="A35" s="35" t="s">
        <v>18</v>
      </c>
      <c r="F35" s="37"/>
      <c r="G35" s="37"/>
    </row>
    <row r="36" s="3" customFormat="true" ht="12.75" hidden="false" customHeight="false" outlineLevel="1" collapsed="false">
      <c r="A36" s="4" t="s">
        <v>89</v>
      </c>
      <c r="B36" s="2" t="n">
        <v>1</v>
      </c>
      <c r="C36" s="2" t="s">
        <v>45</v>
      </c>
      <c r="D36" s="2"/>
      <c r="E36" s="2"/>
      <c r="F36" s="4" t="n">
        <f aca="false">rhoV_p(B36)</f>
        <v>0.00299843314849768</v>
      </c>
      <c r="G36" s="4" t="s">
        <v>57</v>
      </c>
      <c r="H36" s="2" t="s">
        <v>90</v>
      </c>
    </row>
    <row r="37" s="3" customFormat="true" ht="12.75" hidden="false" customHeight="false" outlineLevel="1" collapsed="false">
      <c r="A37" s="4" t="s">
        <v>91</v>
      </c>
      <c r="B37" s="2" t="n">
        <v>1</v>
      </c>
      <c r="C37" s="2" t="s">
        <v>45</v>
      </c>
      <c r="D37" s="2"/>
      <c r="E37" s="2"/>
      <c r="F37" s="4" t="n">
        <f aca="false">rhoL_P(B37)</f>
        <v>61.9701121288973</v>
      </c>
      <c r="G37" s="4" t="s">
        <v>57</v>
      </c>
      <c r="H37" s="2" t="s">
        <v>92</v>
      </c>
    </row>
    <row r="38" s="3" customFormat="true" ht="12.75" hidden="false" customHeight="false" outlineLevel="1" collapsed="false">
      <c r="A38" s="4" t="s">
        <v>93</v>
      </c>
      <c r="B38" s="2" t="n">
        <v>100</v>
      </c>
      <c r="C38" s="2" t="s">
        <v>46</v>
      </c>
      <c r="D38" s="2"/>
      <c r="E38" s="2"/>
      <c r="F38" s="4" t="n">
        <f aca="false">rhoV_T(B38)</f>
        <v>0.00285820774452268</v>
      </c>
      <c r="G38" s="4" t="s">
        <v>57</v>
      </c>
      <c r="H38" s="2" t="s">
        <v>90</v>
      </c>
    </row>
    <row r="39" s="3" customFormat="true" ht="12.75" hidden="false" customHeight="false" outlineLevel="1" collapsed="false">
      <c r="A39" s="4" t="s">
        <v>94</v>
      </c>
      <c r="B39" s="2" t="n">
        <v>100</v>
      </c>
      <c r="C39" s="2" t="s">
        <v>46</v>
      </c>
      <c r="D39" s="2"/>
      <c r="E39" s="2"/>
      <c r="F39" s="4" t="n">
        <f aca="false">rhoL_T(B39)</f>
        <v>61.9917669804131</v>
      </c>
      <c r="G39" s="4" t="s">
        <v>57</v>
      </c>
      <c r="H39" s="2" t="s">
        <v>92</v>
      </c>
    </row>
    <row r="40" s="3" customFormat="true" ht="12.75" hidden="false" customHeight="false" outlineLevel="1" collapsed="false">
      <c r="A40" s="4" t="s">
        <v>95</v>
      </c>
      <c r="B40" s="2" t="n">
        <v>1</v>
      </c>
      <c r="C40" s="2" t="s">
        <v>45</v>
      </c>
      <c r="D40" s="2" t="n">
        <v>100</v>
      </c>
      <c r="E40" s="2" t="s">
        <v>46</v>
      </c>
      <c r="F40" s="4" t="n">
        <f aca="false">rho_pT(B40,D40)</f>
        <v>61.9917763410879</v>
      </c>
      <c r="G40" s="4" t="s">
        <v>57</v>
      </c>
      <c r="H40" s="2" t="s">
        <v>96</v>
      </c>
    </row>
    <row r="41" s="3" customFormat="true" ht="12.75" hidden="false" customHeight="false" outlineLevel="1" collapsed="false">
      <c r="A41" s="4" t="s">
        <v>97</v>
      </c>
      <c r="B41" s="2" t="n">
        <v>1</v>
      </c>
      <c r="C41" s="2" t="s">
        <v>45</v>
      </c>
      <c r="D41" s="2" t="n">
        <v>1000</v>
      </c>
      <c r="E41" s="2" t="s">
        <v>17</v>
      </c>
      <c r="F41" s="4" t="n">
        <f aca="false">rho_ph(B41,D41)</f>
        <v>0.00333826478765586</v>
      </c>
      <c r="G41" s="4" t="s">
        <v>57</v>
      </c>
      <c r="H41" s="2" t="s">
        <v>98</v>
      </c>
    </row>
    <row r="42" s="3" customFormat="true" ht="12.75" hidden="false" customHeight="false" outlineLevel="1" collapsed="false">
      <c r="A42" s="4" t="s">
        <v>99</v>
      </c>
      <c r="B42" s="2" t="n">
        <v>1</v>
      </c>
      <c r="C42" s="2" t="s">
        <v>45</v>
      </c>
      <c r="D42" s="2" t="n">
        <v>1</v>
      </c>
      <c r="E42" s="2" t="s">
        <v>21</v>
      </c>
      <c r="F42" s="4" t="n">
        <f aca="false">rho_ps(B42,D42)</f>
        <v>0.00637766649787366</v>
      </c>
      <c r="G42" s="4" t="s">
        <v>57</v>
      </c>
      <c r="H42" s="2" t="s">
        <v>100</v>
      </c>
    </row>
    <row r="43" s="36" customFormat="true" ht="15" hidden="false" customHeight="false" outlineLevel="0" collapsed="false">
      <c r="A43" s="35" t="s">
        <v>101</v>
      </c>
      <c r="F43" s="37"/>
      <c r="G43" s="37"/>
    </row>
    <row r="44" s="3" customFormat="true" ht="12.75" hidden="false" customHeight="false" outlineLevel="1" collapsed="false">
      <c r="A44" s="4" t="s">
        <v>102</v>
      </c>
      <c r="B44" s="2" t="n">
        <v>1</v>
      </c>
      <c r="C44" s="2" t="s">
        <v>45</v>
      </c>
      <c r="D44" s="2"/>
      <c r="E44" s="2"/>
      <c r="F44" s="4" t="n">
        <f aca="false">sV_p(B44)</f>
        <v>1.97762467964452</v>
      </c>
      <c r="G44" s="4" t="s">
        <v>21</v>
      </c>
      <c r="H44" s="2" t="s">
        <v>103</v>
      </c>
    </row>
    <row r="45" s="3" customFormat="true" ht="12.75" hidden="false" customHeight="false" outlineLevel="1" collapsed="false">
      <c r="A45" s="4" t="s">
        <v>104</v>
      </c>
      <c r="B45" s="2" t="n">
        <v>1</v>
      </c>
      <c r="C45" s="2" t="s">
        <v>45</v>
      </c>
      <c r="D45" s="2"/>
      <c r="E45" s="2"/>
      <c r="F45" s="4" t="n">
        <f aca="false">sL_p(B45)</f>
        <v>0.132631498472098</v>
      </c>
      <c r="G45" s="4" t="s">
        <v>21</v>
      </c>
      <c r="H45" s="2" t="s">
        <v>105</v>
      </c>
    </row>
    <row r="46" s="3" customFormat="true" ht="12.75" hidden="false" customHeight="false" outlineLevel="1" collapsed="false">
      <c r="A46" s="4" t="s">
        <v>106</v>
      </c>
      <c r="B46" s="2" t="n">
        <v>50</v>
      </c>
      <c r="C46" s="2" t="s">
        <v>46</v>
      </c>
      <c r="D46" s="2"/>
      <c r="E46" s="2"/>
      <c r="F46" s="4" t="n">
        <f aca="false">sV_T(B46)</f>
        <v>2.12569167873906</v>
      </c>
      <c r="G46" s="4" t="s">
        <v>21</v>
      </c>
      <c r="H46" s="2" t="s">
        <v>103</v>
      </c>
    </row>
    <row r="47" s="3" customFormat="true" ht="12.75" hidden="false" customHeight="false" outlineLevel="1" collapsed="false">
      <c r="A47" s="4" t="s">
        <v>107</v>
      </c>
      <c r="B47" s="2" t="n">
        <v>100</v>
      </c>
      <c r="C47" s="2" t="s">
        <v>46</v>
      </c>
      <c r="D47" s="2"/>
      <c r="E47" s="2"/>
      <c r="F47" s="4" t="n">
        <f aca="false">sL_T(B47)</f>
        <v>0.129614451305585</v>
      </c>
      <c r="G47" s="4" t="s">
        <v>21</v>
      </c>
      <c r="H47" s="2" t="s">
        <v>105</v>
      </c>
    </row>
    <row r="48" s="3" customFormat="true" ht="12.75" hidden="false" customHeight="false" outlineLevel="1" collapsed="false">
      <c r="A48" s="4" t="s">
        <v>108</v>
      </c>
      <c r="B48" s="2" t="n">
        <v>1</v>
      </c>
      <c r="C48" s="2" t="s">
        <v>45</v>
      </c>
      <c r="D48" s="2" t="n">
        <v>50</v>
      </c>
      <c r="E48" s="2" t="s">
        <v>46</v>
      </c>
      <c r="F48" s="4" t="n">
        <f aca="false">s_pT(B48,D48)</f>
        <v>0.0360859339008569</v>
      </c>
      <c r="G48" s="4" t="s">
        <v>21</v>
      </c>
      <c r="H48" s="2" t="s">
        <v>109</v>
      </c>
    </row>
    <row r="49" s="3" customFormat="true" ht="12.75" hidden="false" customHeight="false" outlineLevel="1" collapsed="false">
      <c r="A49" s="4" t="s">
        <v>110</v>
      </c>
      <c r="B49" s="2" t="n">
        <v>10</v>
      </c>
      <c r="C49" s="2" t="s">
        <v>45</v>
      </c>
      <c r="D49" s="2" t="n">
        <v>100</v>
      </c>
      <c r="E49" s="2" t="s">
        <v>17</v>
      </c>
      <c r="F49" s="4" t="n">
        <f aca="false">s_ph(B49,D49)</f>
        <v>0.185125247601107</v>
      </c>
      <c r="G49" s="4" t="s">
        <v>21</v>
      </c>
      <c r="H49" s="2" t="s">
        <v>111</v>
      </c>
    </row>
    <row r="50" s="36" customFormat="true" ht="15" hidden="false" customHeight="false" outlineLevel="0" collapsed="false">
      <c r="A50" s="35" t="s">
        <v>112</v>
      </c>
      <c r="F50" s="37"/>
      <c r="G50" s="37"/>
    </row>
    <row r="51" s="3" customFormat="true" ht="12.75" hidden="false" customHeight="false" outlineLevel="1" collapsed="false">
      <c r="A51" s="4" t="s">
        <v>113</v>
      </c>
      <c r="B51" s="2" t="n">
        <v>1</v>
      </c>
      <c r="C51" s="2" t="s">
        <v>45</v>
      </c>
      <c r="D51" s="2"/>
      <c r="E51" s="2"/>
      <c r="F51" s="4" t="n">
        <f aca="false">uV_p(B51)</f>
        <v>1043.72386742992</v>
      </c>
      <c r="G51" s="4" t="s">
        <v>17</v>
      </c>
      <c r="H51" s="2" t="s">
        <v>114</v>
      </c>
    </row>
    <row r="52" s="3" customFormat="true" ht="12.75" hidden="false" customHeight="false" outlineLevel="1" collapsed="false">
      <c r="A52" s="4" t="s">
        <v>115</v>
      </c>
      <c r="B52" s="2" t="n">
        <v>1</v>
      </c>
      <c r="C52" s="2" t="s">
        <v>45</v>
      </c>
      <c r="D52" s="2"/>
      <c r="E52" s="2"/>
      <c r="F52" s="4" t="n">
        <f aca="false">uL_p(B52)</f>
        <v>69.7252529370441</v>
      </c>
      <c r="G52" s="4" t="s">
        <v>17</v>
      </c>
      <c r="H52" s="2" t="s">
        <v>116</v>
      </c>
    </row>
    <row r="53" s="3" customFormat="true" ht="12.75" hidden="false" customHeight="false" outlineLevel="1" collapsed="false">
      <c r="A53" s="4" t="s">
        <v>117</v>
      </c>
      <c r="B53" s="2" t="n">
        <v>100</v>
      </c>
      <c r="C53" s="2" t="s">
        <v>46</v>
      </c>
      <c r="D53" s="2"/>
      <c r="E53" s="2"/>
      <c r="F53" s="4" t="n">
        <f aca="false">uV_T(B53)</f>
        <v>1043.18030483667</v>
      </c>
      <c r="G53" s="4" t="s">
        <v>17</v>
      </c>
      <c r="H53" s="2" t="s">
        <v>114</v>
      </c>
    </row>
    <row r="54" s="3" customFormat="true" ht="12.75" hidden="false" customHeight="false" outlineLevel="1" collapsed="false">
      <c r="A54" s="4" t="s">
        <v>118</v>
      </c>
      <c r="B54" s="2" t="n">
        <v>100</v>
      </c>
      <c r="C54" s="2" t="s">
        <v>46</v>
      </c>
      <c r="D54" s="2"/>
      <c r="E54" s="2"/>
      <c r="F54" s="4" t="n">
        <f aca="false">uL_T(B54)</f>
        <v>68.0341485128142</v>
      </c>
      <c r="G54" s="4" t="s">
        <v>17</v>
      </c>
      <c r="H54" s="2" t="s">
        <v>116</v>
      </c>
    </row>
    <row r="55" s="3" customFormat="true" ht="12.75" hidden="false" customHeight="false" outlineLevel="1" collapsed="false">
      <c r="A55" s="4" t="s">
        <v>119</v>
      </c>
      <c r="B55" s="2" t="n">
        <v>1</v>
      </c>
      <c r="C55" s="2" t="s">
        <v>45</v>
      </c>
      <c r="D55" s="2" t="n">
        <v>100</v>
      </c>
      <c r="E55" s="2" t="s">
        <v>46</v>
      </c>
      <c r="F55" s="4" t="n">
        <f aca="false">u_pT(B55,D55)</f>
        <v>68.0341316026102</v>
      </c>
      <c r="G55" s="4" t="s">
        <v>17</v>
      </c>
      <c r="H55" s="2" t="s">
        <v>120</v>
      </c>
    </row>
    <row r="56" s="3" customFormat="true" ht="12.75" hidden="false" customHeight="false" outlineLevel="1" collapsed="false">
      <c r="A56" s="4" t="s">
        <v>121</v>
      </c>
      <c r="B56" s="2" t="n">
        <v>1</v>
      </c>
      <c r="C56" s="2" t="s">
        <v>45</v>
      </c>
      <c r="D56" s="2" t="n">
        <v>1000</v>
      </c>
      <c r="E56" s="2" t="s">
        <v>17</v>
      </c>
      <c r="F56" s="4" t="n">
        <f aca="false">u_ph(B56,D56)</f>
        <v>944.567095034614</v>
      </c>
      <c r="G56" s="4" t="s">
        <v>17</v>
      </c>
      <c r="H56" s="2" t="s">
        <v>122</v>
      </c>
    </row>
    <row r="57" s="3" customFormat="true" ht="12.75" hidden="false" customHeight="false" outlineLevel="1" collapsed="false">
      <c r="A57" s="4" t="s">
        <v>123</v>
      </c>
      <c r="B57" s="2" t="n">
        <v>1</v>
      </c>
      <c r="C57" s="2" t="s">
        <v>45</v>
      </c>
      <c r="D57" s="2" t="n">
        <v>1</v>
      </c>
      <c r="E57" s="2" t="s">
        <v>21</v>
      </c>
      <c r="F57" s="4" t="n">
        <f aca="false">u_ps(B57,D57)</f>
        <v>527.621643755187</v>
      </c>
      <c r="G57" s="4" t="s">
        <v>17</v>
      </c>
      <c r="H57" s="2" t="s">
        <v>124</v>
      </c>
    </row>
    <row r="58" s="36" customFormat="true" ht="15" hidden="false" customHeight="false" outlineLevel="0" collapsed="false">
      <c r="A58" s="35" t="s">
        <v>125</v>
      </c>
      <c r="F58" s="37"/>
      <c r="G58" s="37"/>
    </row>
    <row r="59" s="3" customFormat="true" ht="12.75" hidden="false" customHeight="false" outlineLevel="1" collapsed="false">
      <c r="A59" s="4" t="s">
        <v>126</v>
      </c>
      <c r="B59" s="2" t="n">
        <v>1</v>
      </c>
      <c r="C59" s="2" t="s">
        <v>45</v>
      </c>
      <c r="D59" s="2"/>
      <c r="E59" s="2"/>
      <c r="F59" s="4" t="n">
        <f aca="false">CpV_p(B59)</f>
        <v>0.461046617631938</v>
      </c>
      <c r="G59" s="4" t="s">
        <v>21</v>
      </c>
      <c r="H59" s="2" t="s">
        <v>127</v>
      </c>
    </row>
    <row r="60" s="3" customFormat="true" ht="12.75" hidden="false" customHeight="false" outlineLevel="1" collapsed="false">
      <c r="A60" s="4" t="s">
        <v>128</v>
      </c>
      <c r="B60" s="2" t="n">
        <v>1</v>
      </c>
      <c r="C60" s="2" t="s">
        <v>45</v>
      </c>
      <c r="D60" s="2"/>
      <c r="E60" s="2"/>
      <c r="F60" s="4" t="n">
        <f aca="false">CpL_p(B60)</f>
        <v>0.99809613194003</v>
      </c>
      <c r="G60" s="4" t="s">
        <v>21</v>
      </c>
      <c r="H60" s="2" t="s">
        <v>129</v>
      </c>
    </row>
    <row r="61" s="3" customFormat="true" ht="12.75" hidden="false" customHeight="false" outlineLevel="1" collapsed="false">
      <c r="A61" s="4" t="s">
        <v>130</v>
      </c>
      <c r="B61" s="2" t="n">
        <v>100</v>
      </c>
      <c r="C61" s="2" t="s">
        <v>46</v>
      </c>
      <c r="D61" s="2"/>
      <c r="E61" s="2"/>
      <c r="F61" s="4" t="n">
        <f aca="false">CpV_T(B61)</f>
        <v>0.460714135219902</v>
      </c>
      <c r="G61" s="4" t="s">
        <v>21</v>
      </c>
      <c r="H61" s="2" t="s">
        <v>127</v>
      </c>
    </row>
    <row r="62" s="3" customFormat="true" ht="12.75" hidden="false" customHeight="false" outlineLevel="1" collapsed="false">
      <c r="A62" s="4" t="s">
        <v>131</v>
      </c>
      <c r="B62" s="2" t="n">
        <v>100</v>
      </c>
      <c r="C62" s="2" t="s">
        <v>46</v>
      </c>
      <c r="D62" s="2"/>
      <c r="E62" s="2"/>
      <c r="F62" s="4" t="n">
        <f aca="false">CpL_T(B62)</f>
        <v>0.998110148248171</v>
      </c>
      <c r="G62" s="4" t="s">
        <v>21</v>
      </c>
      <c r="H62" s="2" t="s">
        <v>129</v>
      </c>
    </row>
    <row r="63" s="3" customFormat="true" ht="12.75" hidden="false" customHeight="false" outlineLevel="1" collapsed="false">
      <c r="A63" s="4" t="s">
        <v>132</v>
      </c>
      <c r="B63" s="2" t="n">
        <v>1</v>
      </c>
      <c r="C63" s="2" t="s">
        <v>45</v>
      </c>
      <c r="D63" s="2" t="n">
        <v>100</v>
      </c>
      <c r="E63" s="2" t="s">
        <v>46</v>
      </c>
      <c r="F63" s="4" t="n">
        <f aca="false">Cp_pT(B63,D63)</f>
        <v>0.998109943116514</v>
      </c>
      <c r="G63" s="4" t="s">
        <v>21</v>
      </c>
      <c r="H63" s="2" t="s">
        <v>133</v>
      </c>
    </row>
    <row r="64" s="3" customFormat="true" ht="12.75" hidden="false" customHeight="false" outlineLevel="1" collapsed="false">
      <c r="A64" s="4" t="s">
        <v>134</v>
      </c>
      <c r="B64" s="2" t="n">
        <v>100</v>
      </c>
      <c r="C64" s="2" t="s">
        <v>45</v>
      </c>
      <c r="D64" s="2" t="n">
        <v>200</v>
      </c>
      <c r="E64" s="2" t="s">
        <v>17</v>
      </c>
      <c r="F64" s="4" t="n">
        <f aca="false">Cp_ph(B64,D64)</f>
        <v>1.0103835151868</v>
      </c>
      <c r="G64" s="4" t="s">
        <v>21</v>
      </c>
      <c r="H64" s="2" t="s">
        <v>135</v>
      </c>
    </row>
    <row r="65" s="3" customFormat="true" ht="12.75" hidden="false" customHeight="false" outlineLevel="1" collapsed="false">
      <c r="A65" s="4" t="s">
        <v>136</v>
      </c>
      <c r="B65" s="2" t="n">
        <v>100</v>
      </c>
      <c r="C65" s="2" t="s">
        <v>45</v>
      </c>
      <c r="D65" s="2" t="n">
        <f aca="false">F49</f>
        <v>0.185125247601107</v>
      </c>
      <c r="E65" s="2" t="s">
        <v>21</v>
      </c>
      <c r="F65" s="4" t="n">
        <f aca="false">Cp_ps(B65,D65)</f>
        <v>0.998316850851669</v>
      </c>
      <c r="G65" s="4" t="s">
        <v>21</v>
      </c>
      <c r="H65" s="2" t="s">
        <v>137</v>
      </c>
    </row>
    <row r="66" s="36" customFormat="true" ht="15" hidden="false" customHeight="false" outlineLevel="0" collapsed="false">
      <c r="A66" s="35" t="s">
        <v>138</v>
      </c>
      <c r="F66" s="37"/>
      <c r="G66" s="37"/>
    </row>
    <row r="67" s="3" customFormat="true" ht="12.75" hidden="false" customHeight="false" outlineLevel="1" collapsed="false">
      <c r="A67" s="4" t="s">
        <v>139</v>
      </c>
      <c r="B67" s="2" t="n">
        <v>1</v>
      </c>
      <c r="C67" s="2" t="s">
        <v>45</v>
      </c>
      <c r="D67" s="2"/>
      <c r="E67" s="2"/>
      <c r="F67" s="4" t="n">
        <f aca="false">CvV_p(B67)</f>
        <v>0.347381511839727</v>
      </c>
      <c r="G67" s="4" t="s">
        <v>21</v>
      </c>
      <c r="H67" s="2" t="s">
        <v>140</v>
      </c>
    </row>
    <row r="68" s="3" customFormat="true" ht="12.75" hidden="false" customHeight="false" outlineLevel="1" collapsed="false">
      <c r="A68" s="4" t="s">
        <v>141</v>
      </c>
      <c r="B68" s="2" t="n">
        <v>1</v>
      </c>
      <c r="C68" s="2" t="s">
        <v>45</v>
      </c>
      <c r="D68" s="2"/>
      <c r="E68" s="2"/>
      <c r="F68" s="4" t="n">
        <f aca="false">CvL_p(B68)</f>
        <v>0.974194870722723</v>
      </c>
      <c r="G68" s="4" t="s">
        <v>21</v>
      </c>
      <c r="H68" s="2" t="s">
        <v>142</v>
      </c>
    </row>
    <row r="69" s="3" customFormat="true" ht="12.75" hidden="false" customHeight="false" outlineLevel="1" collapsed="false">
      <c r="A69" s="4" t="s">
        <v>143</v>
      </c>
      <c r="B69" s="2" t="n">
        <v>100</v>
      </c>
      <c r="C69" s="2" t="s">
        <v>46</v>
      </c>
      <c r="D69" s="2"/>
      <c r="E69" s="2"/>
      <c r="F69" s="4" t="n">
        <f aca="false">CvV_T(B69)</f>
        <v>0.347134975679568</v>
      </c>
      <c r="G69" s="4" t="s">
        <v>21</v>
      </c>
      <c r="H69" s="2" t="s">
        <v>140</v>
      </c>
    </row>
    <row r="70" s="3" customFormat="true" ht="12.75" hidden="false" customHeight="false" outlineLevel="1" collapsed="false">
      <c r="A70" s="4" t="s">
        <v>144</v>
      </c>
      <c r="B70" s="2" t="n">
        <v>100</v>
      </c>
      <c r="C70" s="2" t="s">
        <v>46</v>
      </c>
      <c r="D70" s="2"/>
      <c r="E70" s="2"/>
      <c r="F70" s="4" t="n">
        <f aca="false">CvL_T(B70)</f>
        <v>0.97523713984846</v>
      </c>
      <c r="G70" s="4" t="s">
        <v>21</v>
      </c>
      <c r="H70" s="2" t="s">
        <v>142</v>
      </c>
    </row>
    <row r="71" s="3" customFormat="true" ht="12.75" hidden="false" customHeight="false" outlineLevel="1" collapsed="false">
      <c r="A71" s="4" t="s">
        <v>145</v>
      </c>
      <c r="B71" s="2" t="n">
        <v>1</v>
      </c>
      <c r="C71" s="2" t="s">
        <v>45</v>
      </c>
      <c r="D71" s="2" t="n">
        <v>100</v>
      </c>
      <c r="E71" s="2" t="s">
        <v>46</v>
      </c>
      <c r="F71" s="4" t="n">
        <f aca="false">Cv_pT(B71,D71)</f>
        <v>0.975236901555231</v>
      </c>
      <c r="G71" s="4" t="s">
        <v>21</v>
      </c>
      <c r="H71" s="2" t="s">
        <v>146</v>
      </c>
    </row>
    <row r="72" s="3" customFormat="true" ht="12.75" hidden="false" customHeight="false" outlineLevel="1" collapsed="false">
      <c r="A72" s="4" t="s">
        <v>147</v>
      </c>
      <c r="B72" s="2" t="n">
        <v>0.689475729</v>
      </c>
      <c r="C72" s="2" t="s">
        <v>45</v>
      </c>
      <c r="D72" s="2" t="n">
        <v>465.2</v>
      </c>
      <c r="E72" s="2" t="s">
        <v>17</v>
      </c>
      <c r="F72" s="4" t="n">
        <f aca="false">Cv_ph(B72,D72)</f>
        <v>0.886742217183386</v>
      </c>
      <c r="G72" s="4" t="s">
        <v>21</v>
      </c>
      <c r="H72" s="2" t="s">
        <v>148</v>
      </c>
    </row>
    <row r="73" s="3" customFormat="true" ht="12.75" hidden="false" customHeight="false" outlineLevel="1" collapsed="false">
      <c r="A73" s="4" t="s">
        <v>149</v>
      </c>
      <c r="B73" s="2" t="n">
        <v>100</v>
      </c>
      <c r="C73" s="2" t="s">
        <v>45</v>
      </c>
      <c r="D73" s="2" t="n">
        <f aca="false">D65</f>
        <v>0.185125247601107</v>
      </c>
      <c r="E73" s="2" t="s">
        <v>21</v>
      </c>
      <c r="F73" s="4" t="n">
        <f aca="false">Cv_ps(B73,D73)</f>
        <v>0.95412073194367</v>
      </c>
      <c r="G73" s="4" t="s">
        <v>21</v>
      </c>
      <c r="H73" s="2" t="s">
        <v>150</v>
      </c>
    </row>
    <row r="74" s="36" customFormat="true" ht="15" hidden="false" customHeight="false" outlineLevel="0" collapsed="false">
      <c r="A74" s="35" t="s">
        <v>151</v>
      </c>
      <c r="F74" s="37"/>
      <c r="G74" s="37"/>
    </row>
    <row r="75" s="3" customFormat="true" ht="12.75" hidden="false" customHeight="false" outlineLevel="1" collapsed="false">
      <c r="A75" s="4" t="s">
        <v>152</v>
      </c>
      <c r="B75" s="2" t="n">
        <v>1</v>
      </c>
      <c r="C75" s="2" t="s">
        <v>45</v>
      </c>
      <c r="D75" s="2"/>
      <c r="E75" s="2"/>
      <c r="F75" s="4" t="n">
        <f aca="false">wV_p(B75)</f>
        <v>1430.02334433871</v>
      </c>
      <c r="G75" s="4" t="s">
        <v>36</v>
      </c>
      <c r="H75" s="2" t="s">
        <v>153</v>
      </c>
    </row>
    <row r="76" s="3" customFormat="true" ht="12.75" hidden="false" customHeight="false" outlineLevel="1" collapsed="false">
      <c r="A76" s="4" t="s">
        <v>154</v>
      </c>
      <c r="B76" s="2" t="n">
        <v>1</v>
      </c>
      <c r="C76" s="2" t="s">
        <v>45</v>
      </c>
      <c r="D76" s="2"/>
      <c r="E76" s="2"/>
      <c r="F76" s="4" t="n">
        <f aca="false">wL_p(B76)</f>
        <v>5016.12659055008</v>
      </c>
      <c r="G76" s="4" t="s">
        <v>36</v>
      </c>
      <c r="H76" s="2" t="s">
        <v>155</v>
      </c>
    </row>
    <row r="77" s="3" customFormat="true" ht="12.75" hidden="false" customHeight="false" outlineLevel="1" collapsed="false">
      <c r="A77" s="4" t="s">
        <v>156</v>
      </c>
      <c r="B77" s="2" t="n">
        <v>100</v>
      </c>
      <c r="C77" s="2" t="s">
        <v>46</v>
      </c>
      <c r="D77" s="2"/>
      <c r="E77" s="2"/>
      <c r="F77" s="4" t="n">
        <f aca="false">wV_T(B77)</f>
        <v>1427.98073239907</v>
      </c>
      <c r="G77" s="4" t="s">
        <v>36</v>
      </c>
      <c r="H77" s="2" t="s">
        <v>153</v>
      </c>
    </row>
    <row r="78" s="3" customFormat="true" ht="12.75" hidden="false" customHeight="false" outlineLevel="1" collapsed="false">
      <c r="A78" s="4" t="s">
        <v>157</v>
      </c>
      <c r="B78" s="2" t="n">
        <v>100</v>
      </c>
      <c r="C78" s="2" t="s">
        <v>46</v>
      </c>
      <c r="D78" s="2"/>
      <c r="E78" s="2"/>
      <c r="F78" s="4" t="n">
        <f aca="false">wL_T(B78)</f>
        <v>5010.52406566996</v>
      </c>
      <c r="G78" s="4" t="s">
        <v>36</v>
      </c>
      <c r="H78" s="2" t="s">
        <v>155</v>
      </c>
    </row>
    <row r="79" s="3" customFormat="true" ht="12.75" hidden="false" customHeight="false" outlineLevel="1" collapsed="false">
      <c r="A79" s="4" t="s">
        <v>158</v>
      </c>
      <c r="B79" s="2" t="n">
        <v>1</v>
      </c>
      <c r="C79" s="2" t="s">
        <v>45</v>
      </c>
      <c r="D79" s="2" t="n">
        <v>100</v>
      </c>
      <c r="E79" s="2" t="s">
        <v>46</v>
      </c>
      <c r="F79" s="4" t="n">
        <f aca="false">w_pT(B79,D79)</f>
        <v>5010.52587328115</v>
      </c>
      <c r="G79" s="4" t="s">
        <v>36</v>
      </c>
      <c r="H79" s="2" t="s">
        <v>159</v>
      </c>
    </row>
    <row r="80" s="3" customFormat="true" ht="12.75" hidden="false" customHeight="false" outlineLevel="1" collapsed="false">
      <c r="A80" s="4" t="s">
        <v>160</v>
      </c>
      <c r="B80" s="2" t="n">
        <v>100</v>
      </c>
      <c r="C80" s="2" t="s">
        <v>45</v>
      </c>
      <c r="D80" s="2" t="n">
        <v>100</v>
      </c>
      <c r="E80" s="2" t="s">
        <v>17</v>
      </c>
      <c r="F80" s="4" t="n">
        <f aca="false">w_ph(B80,D80)</f>
        <v>5090.51779660552</v>
      </c>
      <c r="G80" s="4" t="s">
        <v>36</v>
      </c>
      <c r="H80" s="2" t="s">
        <v>161</v>
      </c>
    </row>
    <row r="81" s="3" customFormat="true" ht="12.75" hidden="false" customHeight="false" outlineLevel="1" collapsed="false">
      <c r="A81" s="4" t="s">
        <v>162</v>
      </c>
      <c r="B81" s="2" t="n">
        <v>100</v>
      </c>
      <c r="C81" s="2" t="s">
        <v>45</v>
      </c>
      <c r="D81" s="2" t="n">
        <f aca="false">D73</f>
        <v>0.185125247601107</v>
      </c>
      <c r="E81" s="2" t="s">
        <v>21</v>
      </c>
      <c r="F81" s="4" t="n">
        <f aca="false">w_ps(B81,D81)</f>
        <v>5090.91936567224</v>
      </c>
      <c r="G81" s="4" t="s">
        <v>36</v>
      </c>
      <c r="H81" s="2" t="s">
        <v>163</v>
      </c>
    </row>
    <row r="82" s="36" customFormat="true" ht="15" hidden="false" customHeight="false" outlineLevel="0" collapsed="false">
      <c r="A82" s="35" t="s">
        <v>164</v>
      </c>
      <c r="F82" s="37"/>
      <c r="G82" s="37"/>
    </row>
    <row r="83" s="3" customFormat="true" ht="11.25" hidden="false" customHeight="false" outlineLevel="1" collapsed="false">
      <c r="A83" s="3" t="s">
        <v>165</v>
      </c>
      <c r="F83" s="33"/>
      <c r="G83" s="33"/>
    </row>
    <row r="84" s="3" customFormat="true" ht="11.25" hidden="false" customHeight="false" outlineLevel="1" collapsed="false">
      <c r="A84" s="3" t="s">
        <v>166</v>
      </c>
      <c r="F84" s="33"/>
      <c r="G84" s="33"/>
    </row>
    <row r="85" s="3" customFormat="true" ht="12.75" hidden="false" customHeight="false" outlineLevel="1" collapsed="false">
      <c r="A85" s="4" t="s">
        <v>167</v>
      </c>
      <c r="B85" s="2" t="n">
        <v>1</v>
      </c>
      <c r="C85" s="2" t="s">
        <v>45</v>
      </c>
      <c r="D85" s="2" t="n">
        <v>100</v>
      </c>
      <c r="E85" s="2" t="s">
        <v>46</v>
      </c>
      <c r="F85" s="4" t="n">
        <f aca="false">my_pT(B85,D85)</f>
        <v>1.64781781075289</v>
      </c>
      <c r="G85" s="4" t="s">
        <v>168</v>
      </c>
      <c r="H85" s="2" t="s">
        <v>169</v>
      </c>
    </row>
    <row r="86" s="3" customFormat="true" ht="12.75" hidden="false" customHeight="false" outlineLevel="1" collapsed="false">
      <c r="A86" s="4" t="s">
        <v>170</v>
      </c>
      <c r="B86" s="2" t="n">
        <v>100</v>
      </c>
      <c r="C86" s="2" t="s">
        <v>45</v>
      </c>
      <c r="D86" s="2" t="n">
        <v>100</v>
      </c>
      <c r="E86" s="2" t="s">
        <v>17</v>
      </c>
      <c r="F86" s="4" t="n">
        <f aca="false">my_ph(B86,D86)</f>
        <v>1.21111887340758</v>
      </c>
      <c r="G86" s="4" t="s">
        <v>168</v>
      </c>
      <c r="H86" s="2" t="s">
        <v>171</v>
      </c>
    </row>
    <row r="87" s="3" customFormat="true" ht="12.75" hidden="false" customHeight="false" outlineLevel="1" collapsed="false">
      <c r="A87" s="4" t="s">
        <v>172</v>
      </c>
      <c r="B87" s="2" t="n">
        <v>100</v>
      </c>
      <c r="C87" s="2" t="s">
        <v>45</v>
      </c>
      <c r="D87" s="2" t="n">
        <f aca="false">D81</f>
        <v>0.185125247601107</v>
      </c>
      <c r="E87" s="2" t="s">
        <v>21</v>
      </c>
      <c r="F87" s="4" t="n">
        <f aca="false">my_ps(B87,D87)</f>
        <v>1.20817957121741</v>
      </c>
      <c r="G87" s="4" t="s">
        <v>168</v>
      </c>
      <c r="H87" s="2" t="s">
        <v>173</v>
      </c>
    </row>
    <row r="88" customFormat="false" ht="18" hidden="false" customHeight="false" outlineLevel="0" collapsed="false">
      <c r="A88" s="1" t="s">
        <v>174</v>
      </c>
      <c r="F88" s="38"/>
      <c r="H88" s="39"/>
      <c r="I88" s="9"/>
      <c r="J88" s="9"/>
      <c r="K88" s="9"/>
      <c r="L88" s="9"/>
      <c r="M88" s="9"/>
    </row>
    <row r="89" customFormat="false" ht="12.75" hidden="false" customHeight="false" outlineLevel="1" collapsed="false">
      <c r="A89" s="3" t="s">
        <v>175</v>
      </c>
      <c r="F89" s="38"/>
      <c r="H89" s="39"/>
      <c r="I89" s="9"/>
      <c r="J89" s="9"/>
      <c r="K89" s="9"/>
      <c r="L89" s="9"/>
      <c r="M89" s="9"/>
    </row>
    <row r="90" customFormat="false" ht="12.75" hidden="false" customHeight="false" outlineLevel="1" collapsed="false">
      <c r="A90" s="4" t="s">
        <v>176</v>
      </c>
      <c r="B90" s="0" t="n">
        <v>1</v>
      </c>
      <c r="C90" s="0" t="s">
        <v>45</v>
      </c>
      <c r="D90" s="0" t="n">
        <v>200</v>
      </c>
      <c r="E90" s="0" t="s">
        <v>46</v>
      </c>
      <c r="F90" s="38" t="n">
        <f aca="false">pr_pT(B90,D90)</f>
        <v>0.970120243805412</v>
      </c>
      <c r="G90" s="4" t="s">
        <v>177</v>
      </c>
      <c r="H90" s="39"/>
      <c r="I90" s="9"/>
      <c r="J90" s="9"/>
      <c r="K90" s="9"/>
      <c r="L90" s="9"/>
      <c r="M90" s="9"/>
    </row>
    <row r="91" customFormat="false" ht="12.75" hidden="false" customHeight="false" outlineLevel="1" collapsed="false">
      <c r="A91" s="4" t="s">
        <v>178</v>
      </c>
      <c r="B91" s="0" t="n">
        <v>1</v>
      </c>
      <c r="C91" s="0" t="s">
        <v>45</v>
      </c>
      <c r="D91" s="0" t="n">
        <v>0.19</v>
      </c>
      <c r="E91" s="0" t="s">
        <v>17</v>
      </c>
      <c r="F91" s="38" t="n">
        <f aca="false">pr_ph(B91,D91)</f>
        <v>13.4056293767476</v>
      </c>
      <c r="G91" s="4" t="s">
        <v>177</v>
      </c>
      <c r="H91" s="39"/>
      <c r="I91" s="9"/>
      <c r="J91" s="9"/>
      <c r="K91" s="9"/>
      <c r="L91" s="9"/>
      <c r="M91" s="9"/>
    </row>
    <row r="92" s="36" customFormat="true" ht="15" hidden="false" customHeight="false" outlineLevel="0" collapsed="false">
      <c r="A92" s="35" t="s">
        <v>179</v>
      </c>
      <c r="F92" s="37"/>
      <c r="G92" s="37"/>
      <c r="H92" s="40"/>
      <c r="I92" s="40"/>
      <c r="J92" s="40"/>
      <c r="K92" s="40"/>
      <c r="L92" s="40"/>
      <c r="M92" s="40"/>
    </row>
    <row r="93" s="3" customFormat="true" ht="11.25" hidden="false" customHeight="false" outlineLevel="1" collapsed="false">
      <c r="A93" s="3" t="s">
        <v>180</v>
      </c>
      <c r="F93" s="33"/>
      <c r="G93" s="33"/>
    </row>
    <row r="94" s="3" customFormat="true" ht="12.75" hidden="false" customHeight="false" outlineLevel="1" collapsed="false">
      <c r="A94" s="4" t="s">
        <v>181</v>
      </c>
      <c r="B94" s="2" t="n">
        <v>1</v>
      </c>
      <c r="C94" s="2" t="s">
        <v>45</v>
      </c>
      <c r="D94" s="2"/>
      <c r="E94" s="2"/>
      <c r="F94" s="4" t="n">
        <f aca="false">tcL_p(B94)</f>
        <v>0.3622261386837</v>
      </c>
      <c r="G94" s="4" t="s">
        <v>182</v>
      </c>
      <c r="H94" s="2" t="s">
        <v>183</v>
      </c>
    </row>
    <row r="95" s="3" customFormat="true" ht="12.75" hidden="false" customHeight="false" outlineLevel="1" collapsed="false">
      <c r="A95" s="4" t="s">
        <v>184</v>
      </c>
      <c r="B95" s="2" t="n">
        <v>1</v>
      </c>
      <c r="C95" s="2" t="s">
        <v>45</v>
      </c>
      <c r="D95" s="2"/>
      <c r="E95" s="2"/>
      <c r="F95" s="4" t="n">
        <f aca="false">tcV_p(B95)</f>
        <v>0.011197748930408</v>
      </c>
      <c r="G95" s="4" t="s">
        <v>182</v>
      </c>
      <c r="H95" s="2" t="s">
        <v>185</v>
      </c>
    </row>
    <row r="96" s="3" customFormat="true" ht="12.75" hidden="false" customHeight="false" outlineLevel="1" collapsed="false">
      <c r="A96" s="4" t="s">
        <v>186</v>
      </c>
      <c r="B96" s="2" t="n">
        <v>50</v>
      </c>
      <c r="C96" s="2" t="s">
        <v>46</v>
      </c>
      <c r="D96" s="2"/>
      <c r="E96" s="2"/>
      <c r="F96" s="4" t="n">
        <f aca="false">tcL_T(B96)</f>
        <v>0.336226682080524</v>
      </c>
      <c r="G96" s="4" t="s">
        <v>182</v>
      </c>
      <c r="H96" s="2" t="s">
        <v>183</v>
      </c>
    </row>
    <row r="97" s="3" customFormat="true" ht="12.75" hidden="false" customHeight="false" outlineLevel="1" collapsed="false">
      <c r="A97" s="4" t="s">
        <v>187</v>
      </c>
      <c r="B97" s="2" t="n">
        <v>50</v>
      </c>
      <c r="C97" s="2" t="s">
        <v>46</v>
      </c>
      <c r="D97" s="2"/>
      <c r="E97" s="2"/>
      <c r="F97" s="4" t="n">
        <f aca="false">tcV_T(B97)</f>
        <v>0.00994637655473676</v>
      </c>
      <c r="G97" s="4" t="s">
        <v>182</v>
      </c>
      <c r="H97" s="2" t="s">
        <v>185</v>
      </c>
    </row>
    <row r="98" s="3" customFormat="true" ht="12.75" hidden="false" customHeight="false" outlineLevel="1" collapsed="false">
      <c r="A98" s="4" t="s">
        <v>188</v>
      </c>
      <c r="B98" s="2" t="n">
        <v>1</v>
      </c>
      <c r="C98" s="2" t="s">
        <v>45</v>
      </c>
      <c r="D98" s="2" t="n">
        <v>50</v>
      </c>
      <c r="E98" s="2" t="s">
        <v>46</v>
      </c>
      <c r="F98" s="4" t="n">
        <f aca="false">tc_pt(B98,D98)</f>
        <v>0.336228521154035</v>
      </c>
      <c r="G98" s="4" t="s">
        <v>182</v>
      </c>
      <c r="H98" s="2" t="s">
        <v>189</v>
      </c>
    </row>
    <row r="99" s="3" customFormat="true" ht="12.75" hidden="false" customHeight="false" outlineLevel="1" collapsed="false">
      <c r="A99" s="4" t="s">
        <v>190</v>
      </c>
      <c r="B99" s="2" t="n">
        <v>1</v>
      </c>
      <c r="C99" s="2" t="s">
        <v>45</v>
      </c>
      <c r="D99" s="2" t="n">
        <v>100</v>
      </c>
      <c r="E99" s="2" t="s">
        <v>21</v>
      </c>
      <c r="F99" s="4" t="n">
        <f aca="false">tc_ph(B99,D99)</f>
        <v>0.0201367520009703</v>
      </c>
      <c r="G99" s="4" t="s">
        <v>182</v>
      </c>
      <c r="H99" s="2" t="s">
        <v>191</v>
      </c>
    </row>
    <row r="100" s="3" customFormat="true" ht="12.75" hidden="false" customHeight="false" outlineLevel="1" collapsed="false">
      <c r="A100" s="4" t="s">
        <v>192</v>
      </c>
      <c r="B100" s="2" t="n">
        <v>100</v>
      </c>
      <c r="C100" s="2" t="s">
        <v>17</v>
      </c>
      <c r="D100" s="2" t="n">
        <f aca="false">D73</f>
        <v>0.185125247601107</v>
      </c>
      <c r="E100" s="2" t="s">
        <v>21</v>
      </c>
      <c r="F100" s="4" t="n">
        <f aca="false">tc_hs(B100,D100)</f>
        <v>0.373481961027135</v>
      </c>
      <c r="G100" s="4" t="s">
        <v>182</v>
      </c>
      <c r="H100" s="2" t="s">
        <v>193</v>
      </c>
    </row>
    <row r="101" s="3" customFormat="true" ht="15" hidden="false" customHeight="false" outlineLevel="0" collapsed="false">
      <c r="A101" s="35" t="s">
        <v>194</v>
      </c>
      <c r="B101" s="2"/>
      <c r="C101" s="2"/>
      <c r="D101" s="2"/>
      <c r="E101" s="2"/>
      <c r="F101" s="4"/>
      <c r="G101" s="4"/>
      <c r="H101" s="2"/>
    </row>
    <row r="102" s="3" customFormat="true" ht="11.25" hidden="false" customHeight="false" outlineLevel="1" collapsed="false">
      <c r="A102" s="3" t="s">
        <v>195</v>
      </c>
      <c r="F102" s="33"/>
      <c r="G102" s="33"/>
    </row>
    <row r="103" s="3" customFormat="true" ht="12.75" hidden="false" customHeight="false" outlineLevel="1" collapsed="false">
      <c r="A103" s="4" t="s">
        <v>196</v>
      </c>
      <c r="B103" s="2" t="n">
        <v>100</v>
      </c>
      <c r="C103" s="2" t="s">
        <v>46</v>
      </c>
      <c r="D103" s="2"/>
      <c r="E103" s="2"/>
      <c r="F103" s="4" t="n">
        <f aca="false">st_T(B104)</f>
        <v>0.00534227753051554</v>
      </c>
      <c r="G103" s="4" t="s">
        <v>197</v>
      </c>
      <c r="H103" s="2" t="s">
        <v>198</v>
      </c>
    </row>
    <row r="104" s="3" customFormat="true" ht="12.75" hidden="false" customHeight="false" outlineLevel="1" collapsed="false">
      <c r="A104" s="4" t="s">
        <v>199</v>
      </c>
      <c r="B104" s="2" t="n">
        <v>1</v>
      </c>
      <c r="C104" s="2" t="s">
        <v>45</v>
      </c>
      <c r="D104" s="2"/>
      <c r="E104" s="2"/>
      <c r="F104" s="4" t="n">
        <f aca="false">st_p(B104)</f>
        <v>0.00478309732010988</v>
      </c>
      <c r="G104" s="4" t="s">
        <v>197</v>
      </c>
      <c r="H104" s="2" t="s">
        <v>198</v>
      </c>
    </row>
    <row r="105" s="36" customFormat="true" ht="15" hidden="false" customHeight="false" outlineLevel="0" collapsed="false">
      <c r="A105" s="35" t="s">
        <v>30</v>
      </c>
      <c r="F105" s="37"/>
      <c r="G105" s="37"/>
    </row>
    <row r="106" s="3" customFormat="true" ht="12.75" hidden="false" customHeight="false" outlineLevel="1" collapsed="false">
      <c r="A106" s="4" t="s">
        <v>200</v>
      </c>
      <c r="B106" s="2" t="n">
        <v>1</v>
      </c>
      <c r="C106" s="2" t="s">
        <v>45</v>
      </c>
      <c r="D106" s="2" t="n">
        <v>1000</v>
      </c>
      <c r="E106" s="2" t="s">
        <v>17</v>
      </c>
      <c r="F106" s="4" t="n">
        <f aca="false">x_ph(B106,D106)</f>
        <v>0.898196187427912</v>
      </c>
      <c r="G106" s="4"/>
      <c r="H106" s="2" t="s">
        <v>201</v>
      </c>
    </row>
    <row r="107" s="3" customFormat="true" ht="12.75" hidden="false" customHeight="false" outlineLevel="1" collapsed="false">
      <c r="A107" s="4" t="s">
        <v>202</v>
      </c>
      <c r="B107" s="2" t="n">
        <v>1</v>
      </c>
      <c r="C107" s="2" t="s">
        <v>45</v>
      </c>
      <c r="D107" s="2" t="n">
        <v>4</v>
      </c>
      <c r="E107" s="2" t="s">
        <v>21</v>
      </c>
      <c r="F107" s="4" t="n">
        <f aca="false">x_ps(B107,D107)</f>
        <v>1</v>
      </c>
      <c r="G107" s="4"/>
      <c r="H107" s="2" t="s">
        <v>203</v>
      </c>
    </row>
    <row r="108" s="36" customFormat="true" ht="15" hidden="false" customHeight="false" outlineLevel="0" collapsed="false">
      <c r="A108" s="35" t="s">
        <v>204</v>
      </c>
      <c r="F108" s="37"/>
      <c r="G108" s="37"/>
    </row>
    <row r="109" s="3" customFormat="true" ht="11.25" hidden="false" customHeight="false" outlineLevel="1" collapsed="false">
      <c r="A109" s="3" t="s">
        <v>205</v>
      </c>
      <c r="F109" s="33"/>
      <c r="G109" s="33"/>
    </row>
    <row r="110" s="3" customFormat="true" ht="11.25" hidden="false" customHeight="false" outlineLevel="1" collapsed="false">
      <c r="A110" s="3" t="s">
        <v>206</v>
      </c>
      <c r="F110" s="33"/>
      <c r="G110" s="33"/>
    </row>
    <row r="111" s="3" customFormat="true" ht="12.75" hidden="false" customHeight="false" outlineLevel="1" collapsed="false">
      <c r="A111" s="4" t="s">
        <v>207</v>
      </c>
      <c r="B111" s="2" t="n">
        <v>1</v>
      </c>
      <c r="C111" s="2" t="s">
        <v>45</v>
      </c>
      <c r="D111" s="2" t="n">
        <v>418</v>
      </c>
      <c r="E111" s="2" t="s">
        <v>17</v>
      </c>
      <c r="F111" s="41" t="n">
        <f aca="false">vx_ph(B111,D111)</f>
        <v>0.999904503658888</v>
      </c>
      <c r="G111" s="4"/>
      <c r="H111" s="2" t="s">
        <v>208</v>
      </c>
    </row>
    <row r="112" s="3" customFormat="true" ht="12.75" hidden="false" customHeight="false" outlineLevel="1" collapsed="false">
      <c r="A112" s="4" t="s">
        <v>209</v>
      </c>
      <c r="B112" s="2" t="n">
        <v>1</v>
      </c>
      <c r="C112" s="2" t="s">
        <v>45</v>
      </c>
      <c r="D112" s="2" t="n">
        <v>4</v>
      </c>
      <c r="E112" s="2" t="s">
        <v>21</v>
      </c>
      <c r="F112" s="41" t="n">
        <f aca="false">vx_ps(B112,D112)</f>
        <v>1</v>
      </c>
      <c r="G112" s="4"/>
      <c r="H112" s="2" t="s">
        <v>210</v>
      </c>
    </row>
    <row r="113" s="3" customFormat="true" ht="11.25" hidden="false" customHeight="false" outlineLevel="0" collapsed="false">
      <c r="F113" s="33"/>
      <c r="G113" s="33"/>
    </row>
    <row r="114" customFormat="false" ht="15" hidden="false" customHeight="false" outlineLevel="0" collapsed="false">
      <c r="A114" s="35" t="s">
        <v>211</v>
      </c>
    </row>
    <row r="115" customFormat="false" ht="12.75" hidden="false" customHeight="false" outlineLevel="0" collapsed="false">
      <c r="A115" s="33" t="s">
        <v>212</v>
      </c>
    </row>
    <row r="116" customFormat="false" ht="12.75" hidden="false" customHeight="false" outlineLevel="0" collapsed="false">
      <c r="A116" s="3" t="s">
        <v>213</v>
      </c>
    </row>
    <row r="117" customFormat="false" ht="12.75" hidden="false" customHeight="false" outlineLevel="0" collapsed="false">
      <c r="A117" s="3" t="s">
        <v>214</v>
      </c>
    </row>
    <row r="118" customFormat="false" ht="12.75" hidden="false" customHeight="false" outlineLevel="0" collapsed="false">
      <c r="A118" s="33" t="s">
        <v>215</v>
      </c>
    </row>
    <row r="119" customFormat="false" ht="12.75" hidden="false" customHeight="false" outlineLevel="0" collapsed="false">
      <c r="A119" s="3" t="s">
        <v>216</v>
      </c>
    </row>
    <row r="120" customFormat="false" ht="12.75" hidden="false" customHeight="false" outlineLevel="0" collapsed="false">
      <c r="A120" s="3" t="s">
        <v>217</v>
      </c>
    </row>
    <row r="121" customFormat="false" ht="12.75" hidden="false" customHeight="false" outlineLevel="0" collapsed="false">
      <c r="A121" s="3" t="s">
        <v>218</v>
      </c>
    </row>
    <row r="122" customFormat="false" ht="12.75" hidden="false" customHeight="false" outlineLevel="0" collapsed="false">
      <c r="A122" s="33" t="s">
        <v>219</v>
      </c>
    </row>
    <row r="123" customFormat="false" ht="12.75" hidden="false" customHeight="false" outlineLevel="0" collapsed="false">
      <c r="A123" s="3" t="s">
        <v>220</v>
      </c>
    </row>
    <row r="124" customFormat="false" ht="12.75" hidden="false" customHeight="false" outlineLevel="0" collapsed="false">
      <c r="A124" s="3" t="s">
        <v>221</v>
      </c>
    </row>
    <row r="125" customFormat="false" ht="12.75" hidden="false" customHeight="false" outlineLevel="0" collapsed="false">
      <c r="A125" s="3" t="s">
        <v>222</v>
      </c>
      <c r="G125" s="33"/>
    </row>
    <row r="126" customFormat="false" ht="12.75" hidden="false" customHeight="false" outlineLevel="0" collapsed="false">
      <c r="A126" s="33" t="s">
        <v>223</v>
      </c>
      <c r="G126" s="3"/>
    </row>
    <row r="127" customFormat="false" ht="12.75" hidden="false" customHeight="false" outlineLevel="0" collapsed="false">
      <c r="A127" s="3" t="s">
        <v>224</v>
      </c>
      <c r="G127" s="3"/>
    </row>
    <row r="128" customFormat="false" ht="12" hidden="false" customHeight="true" outlineLevel="0" collapsed="false">
      <c r="A128" s="3" t="s">
        <v>225</v>
      </c>
      <c r="G128" s="3"/>
      <c r="K128" s="3"/>
    </row>
    <row r="129" customFormat="false" ht="11.45" hidden="false" customHeight="true" outlineLevel="0" collapsed="false">
      <c r="A129" s="3" t="s">
        <v>226</v>
      </c>
    </row>
    <row r="130" customFormat="false" ht="11.45" hidden="false" customHeight="true" outlineLevel="0" collapsed="false">
      <c r="A130" s="3" t="s">
        <v>227</v>
      </c>
    </row>
    <row r="131" customFormat="false" ht="12.75" hidden="false" customHeight="false" outlineLevel="0" collapsed="false">
      <c r="A131" s="33" t="s">
        <v>228</v>
      </c>
    </row>
    <row r="132" customFormat="false" ht="12.75" hidden="false" customHeight="false" outlineLevel="0" collapsed="false">
      <c r="A132" s="3" t="s">
        <v>229</v>
      </c>
    </row>
    <row r="133" customFormat="false" ht="12.75" hidden="false" customHeight="false" outlineLevel="0" collapsed="false">
      <c r="A133" s="3" t="s">
        <v>230</v>
      </c>
    </row>
    <row r="134" customFormat="false" ht="12.75" hidden="false" customHeight="false" outlineLevel="0" collapsed="false">
      <c r="A134" s="3" t="s">
        <v>231</v>
      </c>
    </row>
    <row r="135" customFormat="false" ht="12.75" hidden="false" customHeight="false" outlineLevel="0" collapsed="false">
      <c r="A135" s="3" t="s">
        <v>232</v>
      </c>
    </row>
    <row r="136" customFormat="false" ht="12.75" hidden="false" customHeight="false" outlineLevel="0" collapsed="false">
      <c r="A136" s="3" t="s">
        <v>228</v>
      </c>
    </row>
    <row r="137" customFormat="false" ht="12.75" hidden="false" customHeight="false" outlineLevel="0" collapsed="false">
      <c r="A137" s="33" t="s">
        <v>233</v>
      </c>
    </row>
    <row r="138" customFormat="false" ht="12.75" hidden="false" customHeight="false" outlineLevel="0" collapsed="false">
      <c r="A138" s="3" t="s">
        <v>234</v>
      </c>
    </row>
    <row r="139" customFormat="false" ht="12.75" hidden="false" customHeight="false" outlineLevel="0" collapsed="false">
      <c r="A139" s="3" t="s">
        <v>235</v>
      </c>
    </row>
    <row r="140" customFormat="false" ht="12.75" hidden="false" customHeight="false" outlineLevel="0" collapsed="false">
      <c r="A140" s="3" t="s">
        <v>236</v>
      </c>
    </row>
    <row r="141" customFormat="false" ht="12.75" hidden="false" customHeight="false" outlineLevel="0" collapsed="false">
      <c r="A141" s="3" t="s">
        <v>237</v>
      </c>
    </row>
    <row r="142" customFormat="false" ht="12.75" hidden="false" customHeight="false" outlineLevel="0" collapsed="false">
      <c r="A142" s="3" t="s">
        <v>238</v>
      </c>
    </row>
    <row r="143" customFormat="false" ht="12.75" hidden="false" customHeight="false" outlineLevel="0" collapsed="false">
      <c r="A143" s="33" t="s">
        <v>239</v>
      </c>
    </row>
    <row r="144" customFormat="false" ht="12.75" hidden="false" customHeight="false" outlineLevel="0" collapsed="false">
      <c r="A144" s="3" t="s">
        <v>240</v>
      </c>
    </row>
    <row r="145" customFormat="false" ht="12.75" hidden="false" customHeight="false" outlineLevel="0" collapsed="false">
      <c r="A145" s="3" t="s">
        <v>241</v>
      </c>
    </row>
    <row r="146" customFormat="false" ht="12.75" hidden="false" customHeight="false" outlineLevel="0" collapsed="false">
      <c r="A146" s="3" t="s">
        <v>242</v>
      </c>
    </row>
    <row r="147" customFormat="false" ht="12.75" hidden="false" customHeight="false" outlineLevel="0" collapsed="false">
      <c r="A147" s="33" t="s">
        <v>243</v>
      </c>
    </row>
    <row r="148" customFormat="false" ht="12.75" hidden="false" customHeight="false" outlineLevel="0" collapsed="false">
      <c r="A148" s="3" t="s">
        <v>244</v>
      </c>
    </row>
    <row r="149" customFormat="false" ht="12.75" hidden="false" customHeight="false" outlineLevel="0" collapsed="false">
      <c r="A149" s="3" t="s">
        <v>245</v>
      </c>
    </row>
    <row r="150" customFormat="false" ht="12.75" hidden="false" customHeight="false" outlineLevel="0" collapsed="false">
      <c r="A150" s="3" t="s">
        <v>246</v>
      </c>
    </row>
    <row r="151" customFormat="false" ht="12.75" hidden="false" customHeight="false" outlineLevel="0" collapsed="false">
      <c r="A151" s="3" t="s">
        <v>245</v>
      </c>
    </row>
    <row r="152" customFormat="false" ht="12.75" hidden="false" customHeight="false" outlineLevel="0" collapsed="false">
      <c r="A152" s="3" t="s">
        <v>247</v>
      </c>
    </row>
  </sheetData>
  <hyperlinks>
    <hyperlink ref="E1" r:id="rId1" display="http://www.x-eng.com"/>
    <hyperlink ref="F4" r:id="rId2" display="magnus@x-eng.com"/>
  </hyperlinks>
  <printOptions headings="false" gridLines="false" gridLinesSet="true" horizontalCentered="false" verticalCentered="false"/>
  <pageMargins left="0.747916666666667" right="0.747916666666667" top="0.984027777777778" bottom="0.984027777777778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S650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B10" activeCellId="0" sqref="B10"/>
    </sheetView>
  </sheetViews>
  <sheetFormatPr defaultRowHeight="12.8" zeroHeight="false" outlineLevelRow="0" outlineLevelCol="0"/>
  <cols>
    <col collapsed="false" customWidth="false" hidden="false" outlineLevel="0" max="1025" min="1" style="0" width="11.52"/>
  </cols>
  <sheetData>
    <row r="1" customFormat="false" ht="14.65" hidden="false" customHeight="false" outlineLevel="0" collapsed="false">
      <c r="B1" s="0" t="n">
        <v>1</v>
      </c>
      <c r="C1" s="0" t="n">
        <v>2</v>
      </c>
      <c r="D1" s="0" t="n">
        <v>3</v>
      </c>
      <c r="E1" s="0" t="n">
        <v>4</v>
      </c>
      <c r="F1" s="0" t="n">
        <v>5</v>
      </c>
      <c r="G1" s="0" t="n">
        <v>6</v>
      </c>
      <c r="H1" s="0" t="n">
        <v>7</v>
      </c>
      <c r="I1" s="0" t="n">
        <v>8</v>
      </c>
      <c r="J1" s="0" t="n">
        <v>9</v>
      </c>
      <c r="K1" s="0" t="n">
        <v>10</v>
      </c>
      <c r="L1" s="0" t="n">
        <v>11</v>
      </c>
      <c r="M1" s="0" t="n">
        <v>12</v>
      </c>
      <c r="N1" s="0" t="n">
        <v>13</v>
      </c>
      <c r="O1" s="0" t="n">
        <v>14</v>
      </c>
      <c r="P1" s="0" t="n">
        <v>15</v>
      </c>
      <c r="Q1" s="0" t="n">
        <v>16</v>
      </c>
      <c r="R1" s="0" t="n">
        <v>17</v>
      </c>
      <c r="S1" s="0" t="n">
        <v>18</v>
      </c>
      <c r="T1" s="0" t="n">
        <v>19</v>
      </c>
      <c r="U1" s="0" t="n">
        <v>20</v>
      </c>
      <c r="V1" s="0" t="n">
        <v>21</v>
      </c>
      <c r="W1" s="0" t="n">
        <v>22</v>
      </c>
      <c r="X1" s="0" t="n">
        <v>23</v>
      </c>
      <c r="Y1" s="0" t="n">
        <v>24</v>
      </c>
      <c r="Z1" s="0" t="n">
        <v>25</v>
      </c>
      <c r="AA1" s="0" t="n">
        <v>26</v>
      </c>
      <c r="AB1" s="0" t="n">
        <v>27</v>
      </c>
      <c r="AC1" s="0" t="n">
        <v>28</v>
      </c>
      <c r="AD1" s="0" t="n">
        <v>29</v>
      </c>
      <c r="AE1" s="0" t="n">
        <v>30</v>
      </c>
      <c r="AF1" s="0" t="n">
        <v>31</v>
      </c>
      <c r="AG1" s="0" t="n">
        <v>32</v>
      </c>
      <c r="AH1" s="0" t="n">
        <v>33</v>
      </c>
      <c r="AI1" s="0" t="n">
        <v>34</v>
      </c>
      <c r="AJ1" s="0" t="n">
        <v>35</v>
      </c>
      <c r="AK1" s="0" t="n">
        <v>36</v>
      </c>
      <c r="AL1" s="0" t="n">
        <v>37</v>
      </c>
      <c r="AM1" s="0" t="n">
        <v>38</v>
      </c>
      <c r="AN1" s="0" t="n">
        <v>39</v>
      </c>
      <c r="AO1" s="0" t="n">
        <v>40</v>
      </c>
      <c r="AP1" s="0" t="n">
        <v>41</v>
      </c>
      <c r="AQ1" s="0" t="n">
        <v>42</v>
      </c>
      <c r="AR1" s="0" t="n">
        <v>43</v>
      </c>
      <c r="AS1" s="0" t="n">
        <v>44</v>
      </c>
    </row>
    <row r="2" customFormat="false" ht="14.65" hidden="false" customHeight="false" outlineLevel="0" collapsed="false">
      <c r="A2" s="0" t="s">
        <v>248</v>
      </c>
      <c r="B2" s="0" t="n">
        <v>0.0887133475876132</v>
      </c>
      <c r="C2" s="0" t="n">
        <v>0.103217121367299</v>
      </c>
      <c r="D2" s="0" t="n">
        <v>0.117720895146985</v>
      </c>
      <c r="E2" s="0" t="n">
        <v>0.132224668926671</v>
      </c>
      <c r="F2" s="0" t="n">
        <v>0.146728442706357</v>
      </c>
      <c r="G2" s="0" t="n">
        <v>0.291766180503215</v>
      </c>
      <c r="H2" s="0" t="n">
        <v>0.436803918300074</v>
      </c>
      <c r="I2" s="0" t="n">
        <v>0.581841656096933</v>
      </c>
      <c r="J2" s="0" t="n">
        <v>0.726879393893791</v>
      </c>
      <c r="K2" s="0" t="n">
        <v>0.87191713169065</v>
      </c>
      <c r="L2" s="0" t="n">
        <v>1.01695486948751</v>
      </c>
      <c r="M2" s="0" t="n">
        <v>1.16199260728437</v>
      </c>
      <c r="N2" s="0" t="n">
        <v>1.30703034508123</v>
      </c>
      <c r="O2" s="0" t="n">
        <v>1.45206808287809</v>
      </c>
      <c r="P2" s="0" t="n">
        <v>2.90244546084667</v>
      </c>
      <c r="Q2" s="0" t="n">
        <v>4.35282283881526</v>
      </c>
      <c r="R2" s="0" t="n">
        <v>5.80320021678385</v>
      </c>
      <c r="S2" s="0" t="n">
        <v>7.25357759475243</v>
      </c>
      <c r="T2" s="0" t="n">
        <v>8.70395497272102</v>
      </c>
      <c r="U2" s="0" t="n">
        <v>10.1543323506896</v>
      </c>
      <c r="V2" s="0" t="n">
        <v>11.6047097286582</v>
      </c>
      <c r="W2" s="0" t="n">
        <v>13.0550871066268</v>
      </c>
      <c r="X2" s="0" t="n">
        <v>14.5054644845954</v>
      </c>
      <c r="Y2" s="0" t="n">
        <v>29.0092382642812</v>
      </c>
      <c r="Z2" s="0" t="n">
        <v>43.5130120439671</v>
      </c>
      <c r="AA2" s="0" t="n">
        <v>58.016785823653</v>
      </c>
      <c r="AB2" s="0" t="n">
        <v>72.5205596033389</v>
      </c>
      <c r="AC2" s="0" t="n">
        <v>87.0243333830247</v>
      </c>
      <c r="AD2" s="0" t="n">
        <v>101.528107162711</v>
      </c>
      <c r="AE2" s="0" t="n">
        <v>116.031880942396</v>
      </c>
      <c r="AF2" s="0" t="n">
        <v>130.535654722082</v>
      </c>
      <c r="AG2" s="0" t="n">
        <v>145.039428501768</v>
      </c>
      <c r="AH2" s="0" t="n">
        <v>290.077166298627</v>
      </c>
      <c r="AI2" s="0" t="n">
        <v>435.114904095486</v>
      </c>
      <c r="AJ2" s="0" t="n">
        <v>580.152641892344</v>
      </c>
      <c r="AK2" s="0" t="n">
        <v>725.190379689203</v>
      </c>
      <c r="AL2" s="0" t="n">
        <v>870.228117486062</v>
      </c>
      <c r="AM2" s="0" t="n">
        <v>1015.26585528292</v>
      </c>
      <c r="AN2" s="0" t="n">
        <v>1160.30359307978</v>
      </c>
      <c r="AO2" s="0" t="n">
        <v>1305.34133087664</v>
      </c>
      <c r="AP2" s="0" t="n">
        <v>1450.3790686735</v>
      </c>
      <c r="AQ2" s="0" t="n">
        <v>2900.75644664208</v>
      </c>
      <c r="AR2" s="0" t="n">
        <v>3200.105394863</v>
      </c>
      <c r="AS2" s="0" t="n">
        <v>3300</v>
      </c>
    </row>
    <row r="3" customFormat="false" ht="14.65" hidden="false" customHeight="false" outlineLevel="0" collapsed="false">
      <c r="A3" s="0" t="s">
        <v>249</v>
      </c>
      <c r="B3" s="42" t="n">
        <v>-3.6E-005</v>
      </c>
      <c r="C3" s="0" t="n">
        <v>0</v>
      </c>
      <c r="D3" s="0" t="n">
        <v>0.000238845896627</v>
      </c>
      <c r="E3" s="0" t="n">
        <v>0.000477691793254</v>
      </c>
      <c r="F3" s="0" t="n">
        <v>0.000716537689881</v>
      </c>
      <c r="G3" s="0" t="n">
        <v>0.000955383586508</v>
      </c>
      <c r="H3" s="0" t="n">
        <v>0.001194229483135</v>
      </c>
      <c r="I3" s="0" t="n">
        <v>0.001433075379762</v>
      </c>
      <c r="J3" s="0" t="n">
        <v>0.001671921276389</v>
      </c>
      <c r="K3" s="0" t="n">
        <v>0.001910767173016</v>
      </c>
      <c r="L3" s="0" t="n">
        <v>0.002149613069643</v>
      </c>
      <c r="M3" s="0" t="n">
        <v>0.00238845896627</v>
      </c>
      <c r="N3" s="0" t="n">
        <v>0.00477691793254</v>
      </c>
      <c r="O3" s="0" t="n">
        <v>0.00716537689881</v>
      </c>
      <c r="P3" s="0" t="n">
        <v>0.00955383586508</v>
      </c>
      <c r="Q3" s="0" t="n">
        <v>0.01194229483135</v>
      </c>
      <c r="R3" s="0" t="n">
        <v>0.01433075379762</v>
      </c>
      <c r="S3" s="0" t="n">
        <v>0.01671921276389</v>
      </c>
      <c r="T3" s="0" t="n">
        <v>0.01910767173016</v>
      </c>
      <c r="U3" s="0" t="n">
        <v>0.02149613069643</v>
      </c>
      <c r="V3" s="0" t="n">
        <v>0.0238845896627</v>
      </c>
      <c r="W3" s="0" t="n">
        <v>0.0477691793254</v>
      </c>
      <c r="X3" s="0" t="n">
        <v>0.0716537689881</v>
      </c>
      <c r="Y3" s="0" t="n">
        <v>0.0955383586508</v>
      </c>
      <c r="Z3" s="0" t="n">
        <v>0.1194229483135</v>
      </c>
      <c r="AA3" s="0" t="n">
        <v>0.1433075379762</v>
      </c>
      <c r="AB3" s="0" t="n">
        <v>0.1671921276389</v>
      </c>
      <c r="AC3" s="0" t="n">
        <v>0.1910767173016</v>
      </c>
      <c r="AD3" s="0" t="n">
        <v>0.2149613069643</v>
      </c>
      <c r="AE3" s="0" t="n">
        <v>0.238845896627</v>
      </c>
      <c r="AF3" s="0" t="n">
        <v>0.477691793254</v>
      </c>
      <c r="AG3" s="0" t="n">
        <v>0.716537689881</v>
      </c>
      <c r="AH3" s="0" t="n">
        <v>0.955383586508</v>
      </c>
      <c r="AI3" s="0" t="n">
        <v>1.194229483135</v>
      </c>
      <c r="AJ3" s="0" t="n">
        <v>1.433075379762</v>
      </c>
      <c r="AK3" s="0" t="n">
        <v>1.671921276389</v>
      </c>
      <c r="AL3" s="0" t="n">
        <v>1.910767173016</v>
      </c>
      <c r="AM3" s="0" t="n">
        <v>2.149613069643</v>
      </c>
      <c r="AN3" s="0" t="n">
        <v>2.185</v>
      </c>
      <c r="AO3" s="0" t="n">
        <v>2.2</v>
      </c>
    </row>
    <row r="4" customFormat="false" ht="14.65" hidden="false" customHeight="false" outlineLevel="0" collapsed="false">
      <c r="A4" s="0" t="s">
        <v>250</v>
      </c>
      <c r="B4" s="0" t="n">
        <v>32</v>
      </c>
      <c r="C4" s="0" t="n">
        <v>32.18</v>
      </c>
      <c r="D4" s="0" t="n">
        <v>32.36</v>
      </c>
      <c r="E4" s="0" t="n">
        <v>32.54</v>
      </c>
      <c r="F4" s="0" t="n">
        <v>32.72</v>
      </c>
      <c r="G4" s="0" t="n">
        <v>32.9</v>
      </c>
      <c r="H4" s="0" t="n">
        <v>33.08</v>
      </c>
      <c r="I4" s="0" t="n">
        <v>33.26</v>
      </c>
      <c r="J4" s="0" t="n">
        <v>33.44</v>
      </c>
      <c r="K4" s="0" t="n">
        <v>33.62</v>
      </c>
      <c r="L4" s="0" t="n">
        <v>33.8</v>
      </c>
      <c r="M4" s="0" t="n">
        <v>35.6</v>
      </c>
      <c r="N4" s="0" t="n">
        <v>37.4</v>
      </c>
      <c r="O4" s="0" t="n">
        <v>39.2</v>
      </c>
      <c r="P4" s="0" t="n">
        <v>41</v>
      </c>
      <c r="Q4" s="0" t="n">
        <v>42.8</v>
      </c>
      <c r="R4" s="0" t="n">
        <v>44.6</v>
      </c>
      <c r="S4" s="0" t="n">
        <v>46.4</v>
      </c>
      <c r="T4" s="0" t="n">
        <v>48.2</v>
      </c>
      <c r="U4" s="0" t="n">
        <v>50</v>
      </c>
      <c r="V4" s="0" t="n">
        <v>68</v>
      </c>
      <c r="W4" s="0" t="n">
        <v>86</v>
      </c>
      <c r="X4" s="0" t="n">
        <v>104</v>
      </c>
      <c r="Y4" s="0" t="n">
        <v>122</v>
      </c>
      <c r="Z4" s="0" t="n">
        <v>140</v>
      </c>
      <c r="AA4" s="0" t="n">
        <v>158</v>
      </c>
      <c r="AB4" s="0" t="n">
        <v>176</v>
      </c>
      <c r="AC4" s="0" t="n">
        <v>194</v>
      </c>
      <c r="AD4" s="0" t="n">
        <v>212</v>
      </c>
      <c r="AE4" s="0" t="n">
        <v>392</v>
      </c>
      <c r="AF4" s="0" t="n">
        <v>572</v>
      </c>
      <c r="AG4" s="0" t="n">
        <v>752</v>
      </c>
    </row>
    <row r="9" customFormat="false" ht="14.65" hidden="false" customHeight="false" outlineLevel="0" collapsed="false">
      <c r="A9" s="0" t="s">
        <v>251</v>
      </c>
      <c r="B9" s="0" t="s">
        <v>252</v>
      </c>
      <c r="C9" s="0" t="s">
        <v>253</v>
      </c>
    </row>
    <row r="10" customFormat="false" ht="14.65" hidden="false" customHeight="false" outlineLevel="0" collapsed="false">
      <c r="A10" s="0" t="n">
        <v>0</v>
      </c>
      <c r="B10" s="0" t="n">
        <v>0.000624279606</v>
      </c>
      <c r="C10" s="0" t="n">
        <v>0</v>
      </c>
    </row>
    <row r="11" customFormat="false" ht="14.65" hidden="false" customHeight="false" outlineLevel="0" collapsed="false">
      <c r="A11" s="0" t="n">
        <v>0.0429922613929493</v>
      </c>
      <c r="B11" s="0" t="n">
        <v>0.001248559212</v>
      </c>
      <c r="C11" s="0" t="n">
        <v>0.001</v>
      </c>
    </row>
    <row r="12" customFormat="false" ht="14.65" hidden="false" customHeight="false" outlineLevel="0" collapsed="false">
      <c r="A12" s="0" t="n">
        <v>0.0859845227858985</v>
      </c>
      <c r="B12" s="0" t="n">
        <v>0.001872838818</v>
      </c>
      <c r="C12" s="0" t="n">
        <f aca="false">C11+0.001</f>
        <v>0.002</v>
      </c>
    </row>
    <row r="13" customFormat="false" ht="14.65" hidden="false" customHeight="false" outlineLevel="0" collapsed="false">
      <c r="A13" s="0" t="n">
        <v>0.128976784178848</v>
      </c>
      <c r="B13" s="0" t="n">
        <v>0.002497118424</v>
      </c>
      <c r="C13" s="0" t="n">
        <f aca="false">C12+0.001</f>
        <v>0.003</v>
      </c>
    </row>
    <row r="14" customFormat="false" ht="14.65" hidden="false" customHeight="false" outlineLevel="0" collapsed="false">
      <c r="A14" s="0" t="n">
        <v>0.171969045571797</v>
      </c>
      <c r="B14" s="0" t="n">
        <v>0.00312139803</v>
      </c>
      <c r="C14" s="0" t="n">
        <f aca="false">C13+0.001</f>
        <v>0.004</v>
      </c>
    </row>
    <row r="15" customFormat="false" ht="14.65" hidden="false" customHeight="false" outlineLevel="0" collapsed="false">
      <c r="A15" s="0" t="n">
        <v>0.214961306964746</v>
      </c>
      <c r="B15" s="0" t="n">
        <v>0.003745677636</v>
      </c>
      <c r="C15" s="0" t="n">
        <f aca="false">C14+0.001</f>
        <v>0.005</v>
      </c>
    </row>
    <row r="16" customFormat="false" ht="14.65" hidden="false" customHeight="false" outlineLevel="0" collapsed="false">
      <c r="A16" s="0" t="n">
        <v>0.257953568357696</v>
      </c>
      <c r="B16" s="0" t="n">
        <v>0.004369957242</v>
      </c>
      <c r="C16" s="0" t="n">
        <f aca="false">C15+0.001</f>
        <v>0.006</v>
      </c>
    </row>
    <row r="17" customFormat="false" ht="14.65" hidden="false" customHeight="false" outlineLevel="0" collapsed="false">
      <c r="A17" s="0" t="n">
        <v>0.300945829750645</v>
      </c>
      <c r="B17" s="0" t="n">
        <v>0.004994236848</v>
      </c>
      <c r="C17" s="0" t="n">
        <f aca="false">C16+0.001</f>
        <v>0.007</v>
      </c>
    </row>
    <row r="18" customFormat="false" ht="14.65" hidden="false" customHeight="false" outlineLevel="0" collapsed="false">
      <c r="A18" s="0" t="n">
        <v>0.343938091143594</v>
      </c>
      <c r="B18" s="0" t="n">
        <v>0.005618516454</v>
      </c>
      <c r="C18" s="0" t="n">
        <f aca="false">C17+0.001</f>
        <v>0.008</v>
      </c>
    </row>
    <row r="19" customFormat="false" ht="14.65" hidden="false" customHeight="false" outlineLevel="0" collapsed="false">
      <c r="A19" s="0" t="n">
        <v>0.386930352536543</v>
      </c>
      <c r="B19" s="0" t="n">
        <v>0.00624279606</v>
      </c>
      <c r="C19" s="0" t="n">
        <f aca="false">C18+0.001</f>
        <v>0.009</v>
      </c>
    </row>
    <row r="20" customFormat="false" ht="14.65" hidden="false" customHeight="false" outlineLevel="0" collapsed="false">
      <c r="A20" s="0" t="n">
        <v>0.429922613929493</v>
      </c>
      <c r="B20" s="0" t="n">
        <v>0.01248559212</v>
      </c>
      <c r="C20" s="0" t="n">
        <f aca="false">C19+0.001</f>
        <v>0.01</v>
      </c>
    </row>
    <row r="21" customFormat="false" ht="14.65" hidden="false" customHeight="false" outlineLevel="0" collapsed="false">
      <c r="A21" s="0" t="n">
        <v>0.859845227858985</v>
      </c>
      <c r="B21" s="0" t="n">
        <v>0.01872838818</v>
      </c>
      <c r="C21" s="0" t="n">
        <f aca="false">C20+0.01</f>
        <v>0.02</v>
      </c>
    </row>
    <row r="22" customFormat="false" ht="14.65" hidden="false" customHeight="false" outlineLevel="0" collapsed="false">
      <c r="A22" s="0" t="n">
        <v>1.28976784178848</v>
      </c>
      <c r="B22" s="0" t="n">
        <v>0.02497118424</v>
      </c>
      <c r="C22" s="0" t="n">
        <f aca="false">C21+0.01</f>
        <v>0.03</v>
      </c>
    </row>
    <row r="23" customFormat="false" ht="14.65" hidden="false" customHeight="false" outlineLevel="0" collapsed="false">
      <c r="A23" s="0" t="n">
        <v>1.71969045571797</v>
      </c>
      <c r="B23" s="0" t="n">
        <v>0.0312139803</v>
      </c>
      <c r="C23" s="0" t="n">
        <f aca="false">C22+0.01</f>
        <v>0.04</v>
      </c>
    </row>
    <row r="24" customFormat="false" ht="14.65" hidden="false" customHeight="false" outlineLevel="0" collapsed="false">
      <c r="A24" s="0" t="n">
        <v>2.14961306964746</v>
      </c>
      <c r="B24" s="0" t="n">
        <v>0.03745677636</v>
      </c>
      <c r="C24" s="0" t="n">
        <f aca="false">C23+0.01</f>
        <v>0.05</v>
      </c>
    </row>
    <row r="25" customFormat="false" ht="14.65" hidden="false" customHeight="false" outlineLevel="0" collapsed="false">
      <c r="A25" s="0" t="n">
        <v>2.57953568357696</v>
      </c>
      <c r="B25" s="0" t="n">
        <v>0.04369957242</v>
      </c>
      <c r="C25" s="0" t="n">
        <f aca="false">C24+0.01</f>
        <v>0.06</v>
      </c>
    </row>
    <row r="26" customFormat="false" ht="14.65" hidden="false" customHeight="false" outlineLevel="0" collapsed="false">
      <c r="A26" s="0" t="n">
        <v>3.00945829750645</v>
      </c>
      <c r="B26" s="0" t="n">
        <v>0.04994236848</v>
      </c>
      <c r="C26" s="0" t="n">
        <f aca="false">C25+0.01</f>
        <v>0.07</v>
      </c>
    </row>
    <row r="27" customFormat="false" ht="14.65" hidden="false" customHeight="false" outlineLevel="0" collapsed="false">
      <c r="A27" s="0" t="n">
        <v>3.43938091143594</v>
      </c>
      <c r="B27" s="0" t="n">
        <v>0.05618516454</v>
      </c>
      <c r="C27" s="0" t="n">
        <f aca="false">C26+0.01</f>
        <v>0.08</v>
      </c>
    </row>
    <row r="28" customFormat="false" ht="14.65" hidden="false" customHeight="false" outlineLevel="0" collapsed="false">
      <c r="A28" s="0" t="n">
        <v>3.86930352536543</v>
      </c>
      <c r="B28" s="0" t="n">
        <v>0.0624279606</v>
      </c>
      <c r="C28" s="0" t="n">
        <f aca="false">C27+0.01</f>
        <v>0.09</v>
      </c>
    </row>
    <row r="29" customFormat="false" ht="14.65" hidden="false" customHeight="false" outlineLevel="0" collapsed="false">
      <c r="A29" s="0" t="n">
        <v>4.29922613929493</v>
      </c>
      <c r="B29" s="0" t="n">
        <v>0.1248559212</v>
      </c>
      <c r="C29" s="0" t="n">
        <f aca="false">C28+0.01</f>
        <v>0.1</v>
      </c>
    </row>
    <row r="30" customFormat="false" ht="14.65" hidden="false" customHeight="false" outlineLevel="0" collapsed="false">
      <c r="A30" s="0" t="n">
        <v>8.59845227858985</v>
      </c>
      <c r="B30" s="0" t="n">
        <v>0.1872838818</v>
      </c>
      <c r="C30" s="0" t="n">
        <f aca="false">C29+0.1</f>
        <v>0.2</v>
      </c>
    </row>
    <row r="31" customFormat="false" ht="14.65" hidden="false" customHeight="false" outlineLevel="0" collapsed="false">
      <c r="A31" s="0" t="n">
        <v>12.8976784178848</v>
      </c>
      <c r="B31" s="0" t="n">
        <v>0.2497118424</v>
      </c>
      <c r="C31" s="0" t="n">
        <f aca="false">C30+0.1</f>
        <v>0.3</v>
      </c>
    </row>
    <row r="32" customFormat="false" ht="14.65" hidden="false" customHeight="false" outlineLevel="0" collapsed="false">
      <c r="A32" s="0" t="n">
        <v>17.1969045571797</v>
      </c>
      <c r="B32" s="0" t="n">
        <v>0.312139803</v>
      </c>
      <c r="C32" s="0" t="n">
        <f aca="false">C31+0.1</f>
        <v>0.4</v>
      </c>
    </row>
    <row r="33" customFormat="false" ht="14.65" hidden="false" customHeight="false" outlineLevel="0" collapsed="false">
      <c r="A33" s="0" t="n">
        <v>21.4961306964746</v>
      </c>
      <c r="B33" s="0" t="n">
        <v>0.3745677636</v>
      </c>
      <c r="C33" s="0" t="n">
        <f aca="false">C32+0.1</f>
        <v>0.5</v>
      </c>
    </row>
    <row r="34" customFormat="false" ht="14.65" hidden="false" customHeight="false" outlineLevel="0" collapsed="false">
      <c r="A34" s="0" t="n">
        <v>25.7953568357696</v>
      </c>
      <c r="B34" s="0" t="n">
        <v>0.4369957242</v>
      </c>
      <c r="C34" s="0" t="n">
        <f aca="false">C33+0.1</f>
        <v>0.6</v>
      </c>
    </row>
    <row r="35" customFormat="false" ht="14.65" hidden="false" customHeight="false" outlineLevel="0" collapsed="false">
      <c r="A35" s="0" t="n">
        <v>30.0945829750645</v>
      </c>
      <c r="B35" s="0" t="n">
        <v>0.4994236848</v>
      </c>
      <c r="C35" s="0" t="n">
        <f aca="false">C34+0.1</f>
        <v>0.7</v>
      </c>
    </row>
    <row r="36" customFormat="false" ht="14.65" hidden="false" customHeight="false" outlineLevel="0" collapsed="false">
      <c r="A36" s="0" t="n">
        <v>34.3938091143594</v>
      </c>
      <c r="B36" s="0" t="n">
        <v>0.5618516454</v>
      </c>
      <c r="C36" s="0" t="n">
        <f aca="false">C35+0.1</f>
        <v>0.8</v>
      </c>
    </row>
    <row r="37" customFormat="false" ht="14.65" hidden="false" customHeight="false" outlineLevel="0" collapsed="false">
      <c r="A37" s="0" t="n">
        <v>38.6930352536543</v>
      </c>
      <c r="B37" s="0" t="n">
        <v>0.624279606</v>
      </c>
      <c r="C37" s="0" t="n">
        <f aca="false">C36+0.1</f>
        <v>0.9</v>
      </c>
    </row>
    <row r="38" customFormat="false" ht="14.65" hidden="false" customHeight="false" outlineLevel="0" collapsed="false">
      <c r="A38" s="0" t="n">
        <v>42.9922613929493</v>
      </c>
      <c r="B38" s="0" t="n">
        <v>1.248559212</v>
      </c>
      <c r="C38" s="0" t="n">
        <f aca="false">C37+0.1</f>
        <v>1</v>
      </c>
    </row>
    <row r="39" customFormat="false" ht="14.65" hidden="false" customHeight="false" outlineLevel="0" collapsed="false">
      <c r="A39" s="0" t="n">
        <v>85.9845227858985</v>
      </c>
      <c r="B39" s="0" t="n">
        <v>1.872838818</v>
      </c>
    </row>
    <row r="40" customFormat="false" ht="14.65" hidden="false" customHeight="false" outlineLevel="0" collapsed="false">
      <c r="A40" s="0" t="n">
        <v>128.976784178848</v>
      </c>
      <c r="B40" s="0" t="n">
        <v>2.497118424</v>
      </c>
    </row>
    <row r="41" customFormat="false" ht="14.65" hidden="false" customHeight="false" outlineLevel="0" collapsed="false">
      <c r="A41" s="0" t="n">
        <v>171.969045571797</v>
      </c>
      <c r="B41" s="0" t="n">
        <v>3.12139803</v>
      </c>
    </row>
    <row r="42" customFormat="false" ht="14.65" hidden="false" customHeight="false" outlineLevel="0" collapsed="false">
      <c r="A42" s="0" t="n">
        <v>214.961306964746</v>
      </c>
      <c r="B42" s="0" t="n">
        <v>3.745677636</v>
      </c>
    </row>
    <row r="43" customFormat="false" ht="14.65" hidden="false" customHeight="false" outlineLevel="0" collapsed="false">
      <c r="A43" s="0" t="n">
        <v>257.953568357696</v>
      </c>
      <c r="B43" s="0" t="n">
        <v>4.369957242</v>
      </c>
    </row>
    <row r="44" customFormat="false" ht="14.65" hidden="false" customHeight="false" outlineLevel="0" collapsed="false">
      <c r="A44" s="0" t="n">
        <v>300.945829750645</v>
      </c>
      <c r="B44" s="0" t="n">
        <v>4.994236848</v>
      </c>
    </row>
    <row r="45" customFormat="false" ht="14.65" hidden="false" customHeight="false" outlineLevel="0" collapsed="false">
      <c r="A45" s="0" t="n">
        <v>343.938091143594</v>
      </c>
      <c r="B45" s="0" t="n">
        <v>5.618516454</v>
      </c>
    </row>
    <row r="46" customFormat="false" ht="14.65" hidden="false" customHeight="false" outlineLevel="0" collapsed="false">
      <c r="A46" s="0" t="n">
        <v>386.930352536543</v>
      </c>
      <c r="B46" s="0" t="n">
        <v>6.24279606</v>
      </c>
    </row>
    <row r="47" customFormat="false" ht="14.65" hidden="false" customHeight="false" outlineLevel="0" collapsed="false">
      <c r="A47" s="0" t="n">
        <v>429.922613929493</v>
      </c>
      <c r="B47" s="0" t="n">
        <v>12.48559212</v>
      </c>
    </row>
    <row r="48" customFormat="false" ht="14.65" hidden="false" customHeight="false" outlineLevel="0" collapsed="false">
      <c r="A48" s="0" t="n">
        <v>859.845227858985</v>
      </c>
      <c r="B48" s="0" t="n">
        <v>18.72838818</v>
      </c>
    </row>
    <row r="49" customFormat="false" ht="14.65" hidden="false" customHeight="false" outlineLevel="0" collapsed="false">
      <c r="A49" s="0" t="n">
        <v>864.14445399828</v>
      </c>
      <c r="B49" s="0" t="n">
        <v>24.97118424</v>
      </c>
    </row>
    <row r="50" customFormat="false" ht="14.65" hidden="false" customHeight="false" outlineLevel="0" collapsed="false">
      <c r="A50" s="0" t="n">
        <v>868.443680137575</v>
      </c>
      <c r="B50" s="0" t="n">
        <v>31.2139803</v>
      </c>
    </row>
    <row r="51" customFormat="false" ht="14.65" hidden="false" customHeight="false" outlineLevel="0" collapsed="false">
      <c r="A51" s="0" t="n">
        <v>872.74290627687</v>
      </c>
      <c r="B51" s="0" t="n">
        <v>37.45677636</v>
      </c>
    </row>
    <row r="52" customFormat="false" ht="14.65" hidden="false" customHeight="false" outlineLevel="0" collapsed="false">
      <c r="A52" s="0" t="n">
        <v>877.042132416165</v>
      </c>
      <c r="B52" s="0" t="n">
        <v>43.69957242</v>
      </c>
    </row>
    <row r="53" customFormat="false" ht="14.65" hidden="false" customHeight="false" outlineLevel="0" collapsed="false">
      <c r="A53" s="0" t="n">
        <v>881.34135855546</v>
      </c>
      <c r="B53" s="0" t="n">
        <v>49.94236848</v>
      </c>
    </row>
    <row r="54" customFormat="false" ht="14.65" hidden="false" customHeight="false" outlineLevel="0" collapsed="false">
      <c r="A54" s="0" t="n">
        <v>885.640584694755</v>
      </c>
      <c r="B54" s="0" t="n">
        <v>56.18516454</v>
      </c>
    </row>
    <row r="55" customFormat="false" ht="14.65" hidden="false" customHeight="false" outlineLevel="0" collapsed="false">
      <c r="A55" s="0" t="n">
        <v>889.93981083405</v>
      </c>
      <c r="B55" s="0" t="n">
        <v>62.4279606</v>
      </c>
    </row>
    <row r="56" customFormat="false" ht="14.65" hidden="false" customHeight="false" outlineLevel="0" collapsed="false">
      <c r="A56" s="0" t="n">
        <v>894.239036973345</v>
      </c>
    </row>
    <row r="57" customFormat="false" ht="14.65" hidden="false" customHeight="false" outlineLevel="0" collapsed="false">
      <c r="A57" s="0" t="n">
        <v>898.53826311264</v>
      </c>
    </row>
    <row r="58" customFormat="false" ht="14.65" hidden="false" customHeight="false" outlineLevel="0" collapsed="false">
      <c r="A58" s="0" t="n">
        <v>902.837489251935</v>
      </c>
    </row>
    <row r="59" customFormat="false" ht="14.65" hidden="false" customHeight="false" outlineLevel="0" collapsed="false">
      <c r="A59" s="0" t="n">
        <v>907.13671539123</v>
      </c>
    </row>
    <row r="60" customFormat="false" ht="14.65" hidden="false" customHeight="false" outlineLevel="0" collapsed="false">
      <c r="A60" s="0" t="n">
        <v>911.435941530525</v>
      </c>
    </row>
    <row r="61" customFormat="false" ht="14.65" hidden="false" customHeight="false" outlineLevel="0" collapsed="false">
      <c r="A61" s="0" t="n">
        <v>915.735167669819</v>
      </c>
    </row>
    <row r="62" customFormat="false" ht="14.65" hidden="false" customHeight="false" outlineLevel="0" collapsed="false">
      <c r="A62" s="0" t="n">
        <v>920.034393809114</v>
      </c>
    </row>
    <row r="63" customFormat="false" ht="14.65" hidden="false" customHeight="false" outlineLevel="0" collapsed="false">
      <c r="A63" s="0" t="n">
        <v>924.333619948409</v>
      </c>
    </row>
    <row r="64" customFormat="false" ht="14.65" hidden="false" customHeight="false" outlineLevel="0" collapsed="false">
      <c r="A64" s="0" t="n">
        <v>928.632846087704</v>
      </c>
    </row>
    <row r="65" customFormat="false" ht="14.65" hidden="false" customHeight="false" outlineLevel="0" collapsed="false">
      <c r="A65" s="0" t="n">
        <v>932.932072226999</v>
      </c>
    </row>
    <row r="66" customFormat="false" ht="14.65" hidden="false" customHeight="false" outlineLevel="0" collapsed="false">
      <c r="A66" s="0" t="n">
        <v>937.231298366294</v>
      </c>
    </row>
    <row r="67" customFormat="false" ht="14.65" hidden="false" customHeight="false" outlineLevel="0" collapsed="false">
      <c r="A67" s="0" t="n">
        <v>941.530524505589</v>
      </c>
    </row>
    <row r="68" customFormat="false" ht="14.65" hidden="false" customHeight="false" outlineLevel="0" collapsed="false">
      <c r="A68" s="0" t="n">
        <v>945.829750644884</v>
      </c>
    </row>
    <row r="69" customFormat="false" ht="14.65" hidden="false" customHeight="false" outlineLevel="0" collapsed="false">
      <c r="A69" s="0" t="n">
        <v>950.128976784179</v>
      </c>
    </row>
    <row r="70" customFormat="false" ht="14.65" hidden="false" customHeight="false" outlineLevel="0" collapsed="false">
      <c r="A70" s="0" t="n">
        <v>954.428202923474</v>
      </c>
    </row>
    <row r="71" customFormat="false" ht="14.65" hidden="false" customHeight="false" outlineLevel="0" collapsed="false">
      <c r="A71" s="0" t="n">
        <v>958.727429062769</v>
      </c>
    </row>
    <row r="72" customFormat="false" ht="14.65" hidden="false" customHeight="false" outlineLevel="0" collapsed="false">
      <c r="A72" s="0" t="n">
        <v>963.026655202064</v>
      </c>
    </row>
    <row r="73" customFormat="false" ht="14.65" hidden="false" customHeight="false" outlineLevel="0" collapsed="false">
      <c r="A73" s="0" t="n">
        <v>967.325881341359</v>
      </c>
    </row>
    <row r="74" customFormat="false" ht="14.65" hidden="false" customHeight="false" outlineLevel="0" collapsed="false">
      <c r="A74" s="0" t="n">
        <v>971.625107480653</v>
      </c>
    </row>
    <row r="75" customFormat="false" ht="14.65" hidden="false" customHeight="false" outlineLevel="0" collapsed="false">
      <c r="A75" s="0" t="n">
        <v>975.924333619948</v>
      </c>
    </row>
    <row r="76" customFormat="false" ht="14.65" hidden="false" customHeight="false" outlineLevel="0" collapsed="false">
      <c r="A76" s="0" t="n">
        <v>980.223559759243</v>
      </c>
    </row>
    <row r="77" customFormat="false" ht="14.65" hidden="false" customHeight="false" outlineLevel="0" collapsed="false">
      <c r="A77" s="0" t="n">
        <v>984.522785898538</v>
      </c>
    </row>
    <row r="78" customFormat="false" ht="14.65" hidden="false" customHeight="false" outlineLevel="0" collapsed="false">
      <c r="A78" s="0" t="n">
        <v>988.822012037833</v>
      </c>
    </row>
    <row r="79" customFormat="false" ht="14.65" hidden="false" customHeight="false" outlineLevel="0" collapsed="false">
      <c r="A79" s="0" t="n">
        <v>993.121238177128</v>
      </c>
    </row>
    <row r="80" customFormat="false" ht="14.65" hidden="false" customHeight="false" outlineLevel="0" collapsed="false">
      <c r="A80" s="0" t="n">
        <v>997.420464316423</v>
      </c>
    </row>
    <row r="81" customFormat="false" ht="14.65" hidden="false" customHeight="false" outlineLevel="0" collapsed="false">
      <c r="A81" s="0" t="n">
        <v>1001.71969045572</v>
      </c>
    </row>
    <row r="82" customFormat="false" ht="14.65" hidden="false" customHeight="false" outlineLevel="0" collapsed="false">
      <c r="A82" s="0" t="n">
        <v>1006.01891659501</v>
      </c>
    </row>
    <row r="83" customFormat="false" ht="14.65" hidden="false" customHeight="false" outlineLevel="0" collapsed="false">
      <c r="A83" s="0" t="n">
        <v>1010.31814273431</v>
      </c>
    </row>
    <row r="84" customFormat="false" ht="14.65" hidden="false" customHeight="false" outlineLevel="0" collapsed="false">
      <c r="A84" s="0" t="n">
        <v>1014.6173688736</v>
      </c>
    </row>
    <row r="85" customFormat="false" ht="14.65" hidden="false" customHeight="false" outlineLevel="0" collapsed="false">
      <c r="A85" s="0" t="n">
        <v>1018.9165950129</v>
      </c>
    </row>
    <row r="86" customFormat="false" ht="14.65" hidden="false" customHeight="false" outlineLevel="0" collapsed="false">
      <c r="A86" s="0" t="n">
        <v>1023.21582115219</v>
      </c>
    </row>
    <row r="87" customFormat="false" ht="14.65" hidden="false" customHeight="false" outlineLevel="0" collapsed="false">
      <c r="A87" s="0" t="n">
        <v>1027.51504729149</v>
      </c>
    </row>
    <row r="88" customFormat="false" ht="14.65" hidden="false" customHeight="false" outlineLevel="0" collapsed="false">
      <c r="A88" s="0" t="n">
        <v>1031.81427343078</v>
      </c>
    </row>
    <row r="89" customFormat="false" ht="14.65" hidden="false" customHeight="false" outlineLevel="0" collapsed="false">
      <c r="A89" s="0" t="n">
        <v>1036.11349957008</v>
      </c>
    </row>
    <row r="90" customFormat="false" ht="14.65" hidden="false" customHeight="false" outlineLevel="0" collapsed="false">
      <c r="A90" s="0" t="n">
        <v>1040.41272570937</v>
      </c>
    </row>
    <row r="91" customFormat="false" ht="14.65" hidden="false" customHeight="false" outlineLevel="0" collapsed="false">
      <c r="A91" s="0" t="n">
        <v>1044.71195184867</v>
      </c>
    </row>
    <row r="92" customFormat="false" ht="14.65" hidden="false" customHeight="false" outlineLevel="0" collapsed="false">
      <c r="A92" s="0" t="n">
        <v>1049.01117798796</v>
      </c>
    </row>
    <row r="93" customFormat="false" ht="14.65" hidden="false" customHeight="false" outlineLevel="0" collapsed="false">
      <c r="A93" s="0" t="n">
        <v>1053.31040412726</v>
      </c>
    </row>
    <row r="94" customFormat="false" ht="14.65" hidden="false" customHeight="false" outlineLevel="0" collapsed="false">
      <c r="A94" s="0" t="n">
        <v>1057.60963026655</v>
      </c>
    </row>
    <row r="95" customFormat="false" ht="14.65" hidden="false" customHeight="false" outlineLevel="0" collapsed="false">
      <c r="A95" s="0" t="n">
        <v>1061.90885640585</v>
      </c>
    </row>
    <row r="96" customFormat="false" ht="14.65" hidden="false" customHeight="false" outlineLevel="0" collapsed="false">
      <c r="A96" s="0" t="n">
        <v>1066.20808254514</v>
      </c>
    </row>
    <row r="97" customFormat="false" ht="14.65" hidden="false" customHeight="false" outlineLevel="0" collapsed="false">
      <c r="A97" s="0" t="n">
        <v>1070.50730868444</v>
      </c>
    </row>
    <row r="98" customFormat="false" ht="14.65" hidden="false" customHeight="false" outlineLevel="0" collapsed="false">
      <c r="A98" s="0" t="n">
        <v>1074.80653482373</v>
      </c>
    </row>
    <row r="99" customFormat="false" ht="14.65" hidden="false" customHeight="false" outlineLevel="0" collapsed="false">
      <c r="A99" s="0" t="n">
        <v>1079.10576096303</v>
      </c>
    </row>
    <row r="100" customFormat="false" ht="14.65" hidden="false" customHeight="false" outlineLevel="0" collapsed="false">
      <c r="A100" s="0" t="n">
        <v>1083.40498710232</v>
      </c>
    </row>
    <row r="101" customFormat="false" ht="14.65" hidden="false" customHeight="false" outlineLevel="0" collapsed="false">
      <c r="A101" s="0" t="n">
        <v>1087.70421324162</v>
      </c>
    </row>
    <row r="102" customFormat="false" ht="14.65" hidden="false" customHeight="false" outlineLevel="0" collapsed="false">
      <c r="A102" s="0" t="n">
        <v>1092.00343938091</v>
      </c>
    </row>
    <row r="103" customFormat="false" ht="14.65" hidden="false" customHeight="false" outlineLevel="0" collapsed="false">
      <c r="A103" s="0" t="n">
        <v>1096.30266552021</v>
      </c>
    </row>
    <row r="104" customFormat="false" ht="14.65" hidden="false" customHeight="false" outlineLevel="0" collapsed="false">
      <c r="A104" s="0" t="n">
        <v>1100.6018916595</v>
      </c>
    </row>
    <row r="105" customFormat="false" ht="14.65" hidden="false" customHeight="false" outlineLevel="0" collapsed="false">
      <c r="A105" s="0" t="n">
        <v>1104.9011177988</v>
      </c>
    </row>
    <row r="106" customFormat="false" ht="12.8" hidden="false" customHeight="false" outlineLevel="0" collapsed="false">
      <c r="A106" s="0" t="n">
        <v>1109.20034393809</v>
      </c>
    </row>
    <row r="107" customFormat="false" ht="12.8" hidden="false" customHeight="false" outlineLevel="0" collapsed="false">
      <c r="A107" s="0" t="n">
        <v>1113.49957007739</v>
      </c>
    </row>
    <row r="108" customFormat="false" ht="12.8" hidden="false" customHeight="false" outlineLevel="0" collapsed="false">
      <c r="A108" s="0" t="n">
        <v>1117.79879621668</v>
      </c>
    </row>
    <row r="109" customFormat="false" ht="12.8" hidden="false" customHeight="false" outlineLevel="0" collapsed="false">
      <c r="A109" s="0" t="n">
        <v>1122.09802235598</v>
      </c>
    </row>
    <row r="110" customFormat="false" ht="12.8" hidden="false" customHeight="false" outlineLevel="0" collapsed="false">
      <c r="A110" s="0" t="n">
        <v>1126.39724849527</v>
      </c>
    </row>
    <row r="111" customFormat="false" ht="12.8" hidden="false" customHeight="false" outlineLevel="0" collapsed="false">
      <c r="A111" s="0" t="n">
        <v>1130.69647463457</v>
      </c>
    </row>
    <row r="112" customFormat="false" ht="12.8" hidden="false" customHeight="false" outlineLevel="0" collapsed="false">
      <c r="A112" s="0" t="n">
        <v>1134.99570077386</v>
      </c>
    </row>
    <row r="113" customFormat="false" ht="12.8" hidden="false" customHeight="false" outlineLevel="0" collapsed="false">
      <c r="A113" s="0" t="n">
        <v>1139.29492691316</v>
      </c>
    </row>
    <row r="114" customFormat="false" ht="12.8" hidden="false" customHeight="false" outlineLevel="0" collapsed="false">
      <c r="A114" s="0" t="n">
        <v>1143.59415305245</v>
      </c>
    </row>
    <row r="115" customFormat="false" ht="12.8" hidden="false" customHeight="false" outlineLevel="0" collapsed="false">
      <c r="A115" s="0" t="n">
        <v>1147.89337919175</v>
      </c>
    </row>
    <row r="116" customFormat="false" ht="12.8" hidden="false" customHeight="false" outlineLevel="0" collapsed="false">
      <c r="A116" s="0" t="n">
        <v>1152.19260533104</v>
      </c>
    </row>
    <row r="117" customFormat="false" ht="12.8" hidden="false" customHeight="false" outlineLevel="0" collapsed="false">
      <c r="A117" s="0" t="n">
        <v>1156.49183147034</v>
      </c>
    </row>
    <row r="118" customFormat="false" ht="12.8" hidden="false" customHeight="false" outlineLevel="0" collapsed="false">
      <c r="A118" s="0" t="n">
        <v>1160.79105760963</v>
      </c>
    </row>
    <row r="119" customFormat="false" ht="12.8" hidden="false" customHeight="false" outlineLevel="0" collapsed="false">
      <c r="A119" s="0" t="n">
        <v>1165.09028374893</v>
      </c>
    </row>
    <row r="120" customFormat="false" ht="12.8" hidden="false" customHeight="false" outlineLevel="0" collapsed="false">
      <c r="A120" s="0" t="n">
        <v>1169.38950988822</v>
      </c>
    </row>
    <row r="121" customFormat="false" ht="12.8" hidden="false" customHeight="false" outlineLevel="0" collapsed="false">
      <c r="A121" s="0" t="n">
        <v>1173.68873602752</v>
      </c>
    </row>
    <row r="122" customFormat="false" ht="12.8" hidden="false" customHeight="false" outlineLevel="0" collapsed="false">
      <c r="A122" s="0" t="n">
        <v>1177.98796216681</v>
      </c>
    </row>
    <row r="123" customFormat="false" ht="12.8" hidden="false" customHeight="false" outlineLevel="0" collapsed="false">
      <c r="A123" s="0" t="n">
        <v>1182.2871883061</v>
      </c>
    </row>
    <row r="124" customFormat="false" ht="12.8" hidden="false" customHeight="false" outlineLevel="0" collapsed="false">
      <c r="A124" s="0" t="n">
        <v>1186.5864144454</v>
      </c>
    </row>
    <row r="125" customFormat="false" ht="12.8" hidden="false" customHeight="false" outlineLevel="0" collapsed="false">
      <c r="A125" s="0" t="n">
        <v>1190.88564058469</v>
      </c>
    </row>
    <row r="126" customFormat="false" ht="12.8" hidden="false" customHeight="false" outlineLevel="0" collapsed="false">
      <c r="A126" s="0" t="n">
        <v>1195.18486672399</v>
      </c>
    </row>
    <row r="127" customFormat="false" ht="12.8" hidden="false" customHeight="false" outlineLevel="0" collapsed="false">
      <c r="A127" s="0" t="n">
        <v>1199.48409286328</v>
      </c>
    </row>
    <row r="128" customFormat="false" ht="12.8" hidden="false" customHeight="false" outlineLevel="0" collapsed="false">
      <c r="A128" s="0" t="n">
        <v>1203.78331900258</v>
      </c>
    </row>
    <row r="129" customFormat="false" ht="12.8" hidden="false" customHeight="false" outlineLevel="0" collapsed="false">
      <c r="A129" s="0" t="n">
        <v>1208.08254514187</v>
      </c>
    </row>
    <row r="130" customFormat="false" ht="12.8" hidden="false" customHeight="false" outlineLevel="0" collapsed="false">
      <c r="A130" s="0" t="n">
        <v>1212.38177128117</v>
      </c>
    </row>
    <row r="131" customFormat="false" ht="12.8" hidden="false" customHeight="false" outlineLevel="0" collapsed="false">
      <c r="A131" s="0" t="n">
        <v>1216.68099742046</v>
      </c>
    </row>
    <row r="132" customFormat="false" ht="12.8" hidden="false" customHeight="false" outlineLevel="0" collapsed="false">
      <c r="A132" s="0" t="n">
        <v>1220.98022355976</v>
      </c>
    </row>
    <row r="133" customFormat="false" ht="12.8" hidden="false" customHeight="false" outlineLevel="0" collapsed="false">
      <c r="A133" s="0" t="n">
        <v>1225.27944969905</v>
      </c>
    </row>
    <row r="134" customFormat="false" ht="12.8" hidden="false" customHeight="false" outlineLevel="0" collapsed="false">
      <c r="A134" s="0" t="n">
        <v>1229.57867583835</v>
      </c>
    </row>
    <row r="135" customFormat="false" ht="12.8" hidden="false" customHeight="false" outlineLevel="0" collapsed="false">
      <c r="A135" s="0" t="n">
        <v>1233.87790197764</v>
      </c>
    </row>
    <row r="136" customFormat="false" ht="12.8" hidden="false" customHeight="false" outlineLevel="0" collapsed="false">
      <c r="A136" s="0" t="n">
        <v>1238.17712811694</v>
      </c>
    </row>
    <row r="137" customFormat="false" ht="12.8" hidden="false" customHeight="false" outlineLevel="0" collapsed="false">
      <c r="A137" s="0" t="n">
        <v>1242.47635425623</v>
      </c>
    </row>
    <row r="138" customFormat="false" ht="12.8" hidden="false" customHeight="false" outlineLevel="0" collapsed="false">
      <c r="A138" s="0" t="n">
        <v>1246.77558039553</v>
      </c>
    </row>
    <row r="139" customFormat="false" ht="12.8" hidden="false" customHeight="false" outlineLevel="0" collapsed="false">
      <c r="A139" s="0" t="n">
        <v>1251.07480653482</v>
      </c>
    </row>
    <row r="140" customFormat="false" ht="12.8" hidden="false" customHeight="false" outlineLevel="0" collapsed="false">
      <c r="A140" s="0" t="n">
        <v>1255.37403267412</v>
      </c>
    </row>
    <row r="141" customFormat="false" ht="12.8" hidden="false" customHeight="false" outlineLevel="0" collapsed="false">
      <c r="A141" s="0" t="n">
        <v>1259.67325881341</v>
      </c>
    </row>
    <row r="142" customFormat="false" ht="12.8" hidden="false" customHeight="false" outlineLevel="0" collapsed="false">
      <c r="A142" s="0" t="n">
        <v>1263.97248495271</v>
      </c>
    </row>
    <row r="143" customFormat="false" ht="12.8" hidden="false" customHeight="false" outlineLevel="0" collapsed="false">
      <c r="A143" s="0" t="n">
        <v>1268.271711092</v>
      </c>
    </row>
    <row r="144" customFormat="false" ht="12.8" hidden="false" customHeight="false" outlineLevel="0" collapsed="false">
      <c r="A144" s="0" t="n">
        <v>1272.5709372313</v>
      </c>
    </row>
    <row r="145" customFormat="false" ht="12.8" hidden="false" customHeight="false" outlineLevel="0" collapsed="false">
      <c r="A145" s="0" t="n">
        <v>1276.87016337059</v>
      </c>
    </row>
    <row r="146" customFormat="false" ht="12.8" hidden="false" customHeight="false" outlineLevel="0" collapsed="false">
      <c r="A146" s="0" t="n">
        <v>1281.16938950989</v>
      </c>
    </row>
    <row r="147" customFormat="false" ht="12.8" hidden="false" customHeight="false" outlineLevel="0" collapsed="false">
      <c r="A147" s="0" t="n">
        <v>1285.46861564918</v>
      </c>
    </row>
    <row r="148" customFormat="false" ht="12.8" hidden="false" customHeight="false" outlineLevel="0" collapsed="false">
      <c r="A148" s="0" t="n">
        <v>1289.76784178848</v>
      </c>
    </row>
    <row r="149" customFormat="false" ht="12.8" hidden="false" customHeight="false" outlineLevel="0" collapsed="false">
      <c r="A149" s="0" t="n">
        <v>1294.06706792777</v>
      </c>
    </row>
    <row r="150" customFormat="false" ht="12.8" hidden="false" customHeight="false" outlineLevel="0" collapsed="false">
      <c r="A150" s="0" t="n">
        <v>1298.36629406707</v>
      </c>
    </row>
    <row r="151" customFormat="false" ht="12.8" hidden="false" customHeight="false" outlineLevel="0" collapsed="false">
      <c r="A151" s="0" t="n">
        <v>1302.66552020636</v>
      </c>
    </row>
    <row r="152" customFormat="false" ht="12.8" hidden="false" customHeight="false" outlineLevel="0" collapsed="false">
      <c r="A152" s="0" t="n">
        <v>1306.96474634566</v>
      </c>
    </row>
    <row r="153" customFormat="false" ht="12.8" hidden="false" customHeight="false" outlineLevel="0" collapsed="false">
      <c r="A153" s="0" t="n">
        <v>1311.26397248495</v>
      </c>
    </row>
    <row r="154" customFormat="false" ht="12.8" hidden="false" customHeight="false" outlineLevel="0" collapsed="false">
      <c r="A154" s="0" t="n">
        <v>1315.56319862425</v>
      </c>
    </row>
    <row r="155" customFormat="false" ht="12.8" hidden="false" customHeight="false" outlineLevel="0" collapsed="false">
      <c r="A155" s="0" t="n">
        <v>1319.86242476354</v>
      </c>
    </row>
    <row r="156" customFormat="false" ht="12.8" hidden="false" customHeight="false" outlineLevel="0" collapsed="false">
      <c r="A156" s="0" t="n">
        <v>1324.16165090284</v>
      </c>
    </row>
    <row r="157" customFormat="false" ht="12.8" hidden="false" customHeight="false" outlineLevel="0" collapsed="false">
      <c r="A157" s="0" t="n">
        <v>1328.46087704213</v>
      </c>
    </row>
    <row r="158" customFormat="false" ht="12.8" hidden="false" customHeight="false" outlineLevel="0" collapsed="false">
      <c r="A158" s="0" t="n">
        <v>1332.76010318143</v>
      </c>
    </row>
    <row r="159" customFormat="false" ht="12.8" hidden="false" customHeight="false" outlineLevel="0" collapsed="false">
      <c r="A159" s="0" t="n">
        <v>1337.05932932072</v>
      </c>
    </row>
    <row r="160" customFormat="false" ht="12.8" hidden="false" customHeight="false" outlineLevel="0" collapsed="false">
      <c r="A160" s="0" t="n">
        <v>1341.35855546002</v>
      </c>
    </row>
    <row r="161" customFormat="false" ht="12.8" hidden="false" customHeight="false" outlineLevel="0" collapsed="false">
      <c r="A161" s="0" t="n">
        <v>1345.65778159931</v>
      </c>
    </row>
    <row r="162" customFormat="false" ht="12.8" hidden="false" customHeight="false" outlineLevel="0" collapsed="false">
      <c r="A162" s="0" t="n">
        <v>1349.95700773861</v>
      </c>
    </row>
    <row r="163" customFormat="false" ht="12.8" hidden="false" customHeight="false" outlineLevel="0" collapsed="false">
      <c r="A163" s="0" t="n">
        <v>1354.2562338779</v>
      </c>
    </row>
    <row r="164" customFormat="false" ht="12.8" hidden="false" customHeight="false" outlineLevel="0" collapsed="false">
      <c r="A164" s="0" t="n">
        <v>1358.5554600172</v>
      </c>
    </row>
    <row r="165" customFormat="false" ht="12.8" hidden="false" customHeight="false" outlineLevel="0" collapsed="false">
      <c r="A165" s="0" t="n">
        <v>1362.85468615649</v>
      </c>
    </row>
    <row r="166" customFormat="false" ht="12.8" hidden="false" customHeight="false" outlineLevel="0" collapsed="false">
      <c r="A166" s="0" t="n">
        <v>1367.15391229579</v>
      </c>
    </row>
    <row r="167" customFormat="false" ht="12.8" hidden="false" customHeight="false" outlineLevel="0" collapsed="false">
      <c r="A167" s="0" t="n">
        <v>1371.45313843508</v>
      </c>
    </row>
    <row r="168" customFormat="false" ht="12.8" hidden="false" customHeight="false" outlineLevel="0" collapsed="false">
      <c r="A168" s="0" t="n">
        <v>1375.75236457438</v>
      </c>
    </row>
    <row r="169" customFormat="false" ht="12.8" hidden="false" customHeight="false" outlineLevel="0" collapsed="false">
      <c r="A169" s="0" t="n">
        <v>1380.05159071367</v>
      </c>
    </row>
    <row r="170" customFormat="false" ht="12.8" hidden="false" customHeight="false" outlineLevel="0" collapsed="false">
      <c r="A170" s="0" t="n">
        <v>1384.35081685297</v>
      </c>
    </row>
    <row r="171" customFormat="false" ht="12.8" hidden="false" customHeight="false" outlineLevel="0" collapsed="false">
      <c r="A171" s="0" t="n">
        <v>1388.65004299226</v>
      </c>
    </row>
    <row r="172" customFormat="false" ht="12.8" hidden="false" customHeight="false" outlineLevel="0" collapsed="false">
      <c r="A172" s="0" t="n">
        <v>1392.94926913156</v>
      </c>
    </row>
    <row r="173" customFormat="false" ht="12.8" hidden="false" customHeight="false" outlineLevel="0" collapsed="false">
      <c r="A173" s="0" t="n">
        <v>1397.24849527085</v>
      </c>
    </row>
    <row r="174" customFormat="false" ht="12.8" hidden="false" customHeight="false" outlineLevel="0" collapsed="false">
      <c r="A174" s="0" t="n">
        <v>1401.54772141015</v>
      </c>
    </row>
    <row r="175" customFormat="false" ht="12.8" hidden="false" customHeight="false" outlineLevel="0" collapsed="false">
      <c r="A175" s="0" t="n">
        <v>1405.84694754944</v>
      </c>
    </row>
    <row r="176" customFormat="false" ht="12.8" hidden="false" customHeight="false" outlineLevel="0" collapsed="false">
      <c r="A176" s="0" t="n">
        <v>1410.14617368874</v>
      </c>
    </row>
    <row r="177" customFormat="false" ht="12.8" hidden="false" customHeight="false" outlineLevel="0" collapsed="false">
      <c r="A177" s="0" t="n">
        <v>1414.44539982803</v>
      </c>
    </row>
    <row r="178" customFormat="false" ht="12.8" hidden="false" customHeight="false" outlineLevel="0" collapsed="false">
      <c r="A178" s="0" t="n">
        <v>1418.74462596733</v>
      </c>
    </row>
    <row r="179" customFormat="false" ht="12.8" hidden="false" customHeight="false" outlineLevel="0" collapsed="false">
      <c r="A179" s="0" t="n">
        <v>1423.04385210662</v>
      </c>
    </row>
    <row r="180" customFormat="false" ht="12.8" hidden="false" customHeight="false" outlineLevel="0" collapsed="false">
      <c r="A180" s="0" t="n">
        <v>1427.34307824592</v>
      </c>
    </row>
    <row r="181" customFormat="false" ht="12.8" hidden="false" customHeight="false" outlineLevel="0" collapsed="false">
      <c r="A181" s="0" t="n">
        <v>1431.64230438521</v>
      </c>
    </row>
    <row r="182" customFormat="false" ht="12.8" hidden="false" customHeight="false" outlineLevel="0" collapsed="false">
      <c r="A182" s="0" t="n">
        <v>1435.94153052451</v>
      </c>
    </row>
    <row r="183" customFormat="false" ht="12.8" hidden="false" customHeight="false" outlineLevel="0" collapsed="false">
      <c r="A183" s="0" t="n">
        <v>1440.2407566638</v>
      </c>
    </row>
    <row r="184" customFormat="false" ht="12.8" hidden="false" customHeight="false" outlineLevel="0" collapsed="false">
      <c r="A184" s="0" t="n">
        <v>1444.5399828031</v>
      </c>
    </row>
    <row r="185" customFormat="false" ht="12.8" hidden="false" customHeight="false" outlineLevel="0" collapsed="false">
      <c r="A185" s="0" t="n">
        <v>1448.83920894239</v>
      </c>
    </row>
    <row r="186" customFormat="false" ht="12.8" hidden="false" customHeight="false" outlineLevel="0" collapsed="false">
      <c r="A186" s="0" t="n">
        <v>1453.13843508169</v>
      </c>
    </row>
    <row r="187" customFormat="false" ht="12.8" hidden="false" customHeight="false" outlineLevel="0" collapsed="false">
      <c r="A187" s="0" t="n">
        <v>1457.43766122098</v>
      </c>
    </row>
    <row r="188" customFormat="false" ht="12.8" hidden="false" customHeight="false" outlineLevel="0" collapsed="false">
      <c r="A188" s="0" t="n">
        <v>1461.73688736028</v>
      </c>
    </row>
    <row r="189" customFormat="false" ht="12.8" hidden="false" customHeight="false" outlineLevel="0" collapsed="false">
      <c r="A189" s="0" t="n">
        <v>1466.03611349957</v>
      </c>
    </row>
    <row r="190" customFormat="false" ht="12.8" hidden="false" customHeight="false" outlineLevel="0" collapsed="false">
      <c r="A190" s="0" t="n">
        <v>1470.33533963887</v>
      </c>
    </row>
    <row r="191" customFormat="false" ht="12.8" hidden="false" customHeight="false" outlineLevel="0" collapsed="false">
      <c r="A191" s="0" t="n">
        <v>1474.63456577816</v>
      </c>
    </row>
    <row r="192" customFormat="false" ht="12.8" hidden="false" customHeight="false" outlineLevel="0" collapsed="false">
      <c r="A192" s="0" t="n">
        <v>1478.93379191745</v>
      </c>
    </row>
    <row r="193" customFormat="false" ht="12.8" hidden="false" customHeight="false" outlineLevel="0" collapsed="false">
      <c r="A193" s="0" t="n">
        <v>1483.23301805675</v>
      </c>
    </row>
    <row r="194" customFormat="false" ht="12.8" hidden="false" customHeight="false" outlineLevel="0" collapsed="false">
      <c r="A194" s="0" t="n">
        <v>1487.53224419604</v>
      </c>
    </row>
    <row r="195" customFormat="false" ht="12.8" hidden="false" customHeight="false" outlineLevel="0" collapsed="false">
      <c r="A195" s="0" t="n">
        <v>1491.83147033534</v>
      </c>
    </row>
    <row r="196" customFormat="false" ht="12.8" hidden="false" customHeight="false" outlineLevel="0" collapsed="false">
      <c r="A196" s="0" t="n">
        <v>1496.13069647463</v>
      </c>
    </row>
    <row r="197" customFormat="false" ht="12.8" hidden="false" customHeight="false" outlineLevel="0" collapsed="false">
      <c r="A197" s="0" t="n">
        <v>1500.42992261393</v>
      </c>
    </row>
    <row r="198" customFormat="false" ht="12.8" hidden="false" customHeight="false" outlineLevel="0" collapsed="false">
      <c r="A198" s="0" t="n">
        <v>1504.72914875322</v>
      </c>
    </row>
    <row r="199" customFormat="false" ht="12.8" hidden="false" customHeight="false" outlineLevel="0" collapsed="false">
      <c r="A199" s="0" t="n">
        <v>1509.02837489252</v>
      </c>
    </row>
    <row r="200" customFormat="false" ht="12.8" hidden="false" customHeight="false" outlineLevel="0" collapsed="false">
      <c r="A200" s="0" t="n">
        <v>1513.32760103181</v>
      </c>
    </row>
    <row r="201" customFormat="false" ht="12.8" hidden="false" customHeight="false" outlineLevel="0" collapsed="false">
      <c r="A201" s="0" t="n">
        <v>1517.62682717111</v>
      </c>
    </row>
    <row r="202" customFormat="false" ht="12.8" hidden="false" customHeight="false" outlineLevel="0" collapsed="false">
      <c r="A202" s="0" t="n">
        <v>1521.9260533104</v>
      </c>
    </row>
    <row r="203" customFormat="false" ht="12.8" hidden="false" customHeight="false" outlineLevel="0" collapsed="false">
      <c r="A203" s="0" t="n">
        <v>1526.2252794497</v>
      </c>
    </row>
    <row r="204" customFormat="false" ht="12.8" hidden="false" customHeight="false" outlineLevel="0" collapsed="false">
      <c r="A204" s="0" t="n">
        <v>1530.52450558899</v>
      </c>
    </row>
    <row r="205" customFormat="false" ht="12.8" hidden="false" customHeight="false" outlineLevel="0" collapsed="false">
      <c r="A205" s="0" t="n">
        <v>1534.82373172829</v>
      </c>
    </row>
    <row r="206" customFormat="false" ht="12.8" hidden="false" customHeight="false" outlineLevel="0" collapsed="false">
      <c r="A206" s="0" t="n">
        <v>1539.12295786758</v>
      </c>
    </row>
    <row r="207" customFormat="false" ht="12.8" hidden="false" customHeight="false" outlineLevel="0" collapsed="false">
      <c r="A207" s="0" t="n">
        <v>1543.42218400688</v>
      </c>
    </row>
    <row r="208" customFormat="false" ht="12.8" hidden="false" customHeight="false" outlineLevel="0" collapsed="false">
      <c r="A208" s="0" t="n">
        <v>1547.72141014617</v>
      </c>
    </row>
    <row r="209" customFormat="false" ht="12.8" hidden="false" customHeight="false" outlineLevel="0" collapsed="false">
      <c r="A209" s="0" t="n">
        <v>1552.02063628547</v>
      </c>
    </row>
    <row r="210" customFormat="false" ht="12.8" hidden="false" customHeight="false" outlineLevel="0" collapsed="false">
      <c r="A210" s="0" t="n">
        <v>1556.31986242476</v>
      </c>
    </row>
    <row r="211" customFormat="false" ht="12.8" hidden="false" customHeight="false" outlineLevel="0" collapsed="false">
      <c r="A211" s="0" t="n">
        <v>1560.61908856406</v>
      </c>
    </row>
    <row r="212" customFormat="false" ht="12.8" hidden="false" customHeight="false" outlineLevel="0" collapsed="false">
      <c r="A212" s="0" t="n">
        <v>1564.91831470335</v>
      </c>
    </row>
    <row r="213" customFormat="false" ht="12.8" hidden="false" customHeight="false" outlineLevel="0" collapsed="false">
      <c r="A213" s="0" t="n">
        <v>1569.21754084265</v>
      </c>
    </row>
    <row r="214" customFormat="false" ht="12.8" hidden="false" customHeight="false" outlineLevel="0" collapsed="false">
      <c r="A214" s="0" t="n">
        <v>1573.51676698194</v>
      </c>
    </row>
    <row r="215" customFormat="false" ht="12.8" hidden="false" customHeight="false" outlineLevel="0" collapsed="false">
      <c r="A215" s="0" t="n">
        <v>1577.81599312124</v>
      </c>
    </row>
    <row r="216" customFormat="false" ht="12.8" hidden="false" customHeight="false" outlineLevel="0" collapsed="false">
      <c r="A216" s="0" t="n">
        <v>1582.11521926053</v>
      </c>
    </row>
    <row r="217" customFormat="false" ht="12.8" hidden="false" customHeight="false" outlineLevel="0" collapsed="false">
      <c r="A217" s="0" t="n">
        <v>1586.41444539983</v>
      </c>
    </row>
    <row r="218" customFormat="false" ht="12.8" hidden="false" customHeight="false" outlineLevel="0" collapsed="false">
      <c r="A218" s="0" t="n">
        <v>1590.71367153912</v>
      </c>
    </row>
    <row r="219" customFormat="false" ht="12.8" hidden="false" customHeight="false" outlineLevel="0" collapsed="false">
      <c r="A219" s="0" t="n">
        <v>1595.01289767842</v>
      </c>
    </row>
    <row r="220" customFormat="false" ht="12.8" hidden="false" customHeight="false" outlineLevel="0" collapsed="false">
      <c r="A220" s="0" t="n">
        <v>1599.31212381771</v>
      </c>
    </row>
    <row r="221" customFormat="false" ht="12.8" hidden="false" customHeight="false" outlineLevel="0" collapsed="false">
      <c r="A221" s="0" t="n">
        <v>1603.61134995701</v>
      </c>
    </row>
    <row r="222" customFormat="false" ht="12.8" hidden="false" customHeight="false" outlineLevel="0" collapsed="false">
      <c r="A222" s="0" t="n">
        <v>1607.9105760963</v>
      </c>
    </row>
    <row r="223" customFormat="false" ht="12.8" hidden="false" customHeight="false" outlineLevel="0" collapsed="false">
      <c r="A223" s="0" t="n">
        <v>1612.2098022356</v>
      </c>
    </row>
    <row r="224" customFormat="false" ht="12.8" hidden="false" customHeight="false" outlineLevel="0" collapsed="false">
      <c r="A224" s="0" t="n">
        <v>1616.50902837489</v>
      </c>
    </row>
    <row r="225" customFormat="false" ht="12.8" hidden="false" customHeight="false" outlineLevel="0" collapsed="false">
      <c r="A225" s="0" t="n">
        <v>1620.80825451419</v>
      </c>
    </row>
    <row r="226" customFormat="false" ht="12.8" hidden="false" customHeight="false" outlineLevel="0" collapsed="false">
      <c r="A226" s="0" t="n">
        <v>1625.10748065348</v>
      </c>
    </row>
    <row r="227" customFormat="false" ht="12.8" hidden="false" customHeight="false" outlineLevel="0" collapsed="false">
      <c r="A227" s="0" t="n">
        <v>1629.40670679278</v>
      </c>
    </row>
    <row r="228" customFormat="false" ht="12.8" hidden="false" customHeight="false" outlineLevel="0" collapsed="false">
      <c r="A228" s="0" t="n">
        <v>1633.70593293207</v>
      </c>
    </row>
    <row r="229" customFormat="false" ht="12.8" hidden="false" customHeight="false" outlineLevel="0" collapsed="false">
      <c r="A229" s="0" t="n">
        <v>1638.00515907137</v>
      </c>
    </row>
    <row r="230" customFormat="false" ht="12.8" hidden="false" customHeight="false" outlineLevel="0" collapsed="false">
      <c r="A230" s="0" t="n">
        <v>1642.30438521066</v>
      </c>
    </row>
    <row r="231" customFormat="false" ht="12.8" hidden="false" customHeight="false" outlineLevel="0" collapsed="false">
      <c r="A231" s="0" t="n">
        <v>1646.60361134996</v>
      </c>
    </row>
    <row r="232" customFormat="false" ht="12.8" hidden="false" customHeight="false" outlineLevel="0" collapsed="false">
      <c r="A232" s="0" t="n">
        <v>1650.90283748925</v>
      </c>
    </row>
    <row r="233" customFormat="false" ht="12.8" hidden="false" customHeight="false" outlineLevel="0" collapsed="false">
      <c r="A233" s="0" t="n">
        <v>1655.20206362855</v>
      </c>
    </row>
    <row r="234" customFormat="false" ht="12.8" hidden="false" customHeight="false" outlineLevel="0" collapsed="false">
      <c r="A234" s="0" t="n">
        <v>1659.50128976784</v>
      </c>
    </row>
    <row r="235" customFormat="false" ht="12.8" hidden="false" customHeight="false" outlineLevel="0" collapsed="false">
      <c r="A235" s="0" t="n">
        <v>1663.80051590714</v>
      </c>
    </row>
    <row r="236" customFormat="false" ht="12.8" hidden="false" customHeight="false" outlineLevel="0" collapsed="false">
      <c r="A236" s="0" t="n">
        <v>1668.09974204643</v>
      </c>
    </row>
    <row r="237" customFormat="false" ht="12.8" hidden="false" customHeight="false" outlineLevel="0" collapsed="false">
      <c r="A237" s="0" t="n">
        <v>1672.39896818573</v>
      </c>
    </row>
    <row r="238" customFormat="false" ht="12.8" hidden="false" customHeight="false" outlineLevel="0" collapsed="false">
      <c r="A238" s="0" t="n">
        <v>1676.69819432502</v>
      </c>
    </row>
    <row r="239" customFormat="false" ht="12.8" hidden="false" customHeight="false" outlineLevel="0" collapsed="false">
      <c r="A239" s="0" t="n">
        <v>1680.99742046432</v>
      </c>
    </row>
    <row r="240" customFormat="false" ht="12.8" hidden="false" customHeight="false" outlineLevel="0" collapsed="false">
      <c r="A240" s="0" t="n">
        <v>1685.29664660361</v>
      </c>
    </row>
    <row r="241" customFormat="false" ht="12.8" hidden="false" customHeight="false" outlineLevel="0" collapsed="false">
      <c r="A241" s="0" t="n">
        <v>1689.59587274291</v>
      </c>
    </row>
    <row r="242" customFormat="false" ht="12.8" hidden="false" customHeight="false" outlineLevel="0" collapsed="false">
      <c r="A242" s="0" t="n">
        <v>1693.8950988822</v>
      </c>
    </row>
    <row r="243" customFormat="false" ht="12.8" hidden="false" customHeight="false" outlineLevel="0" collapsed="false">
      <c r="A243" s="0" t="n">
        <v>1698.1943250215</v>
      </c>
    </row>
    <row r="244" customFormat="false" ht="12.8" hidden="false" customHeight="false" outlineLevel="0" collapsed="false">
      <c r="A244" s="0" t="n">
        <v>1702.49355116079</v>
      </c>
    </row>
    <row r="245" customFormat="false" ht="12.8" hidden="false" customHeight="false" outlineLevel="0" collapsed="false">
      <c r="A245" s="0" t="n">
        <v>1706.79277730009</v>
      </c>
    </row>
    <row r="246" customFormat="false" ht="12.8" hidden="false" customHeight="false" outlineLevel="0" collapsed="false">
      <c r="A246" s="0" t="n">
        <v>1711.09200343938</v>
      </c>
    </row>
    <row r="247" customFormat="false" ht="12.8" hidden="false" customHeight="false" outlineLevel="0" collapsed="false">
      <c r="A247" s="0" t="n">
        <v>1715.39122957868</v>
      </c>
    </row>
    <row r="248" customFormat="false" ht="12.8" hidden="false" customHeight="false" outlineLevel="0" collapsed="false">
      <c r="A248" s="0" t="n">
        <v>1719.69045571797</v>
      </c>
    </row>
    <row r="249" customFormat="false" ht="12.8" hidden="false" customHeight="false" outlineLevel="0" collapsed="false">
      <c r="A249" s="0" t="n">
        <v>1723.98968185727</v>
      </c>
    </row>
    <row r="250" customFormat="false" ht="12.8" hidden="false" customHeight="false" outlineLevel="0" collapsed="false">
      <c r="A250" s="0" t="n">
        <v>1728.28890799656</v>
      </c>
    </row>
    <row r="251" customFormat="false" ht="12.8" hidden="false" customHeight="false" outlineLevel="0" collapsed="false">
      <c r="A251" s="0" t="n">
        <v>1732.58813413586</v>
      </c>
    </row>
    <row r="252" customFormat="false" ht="12.8" hidden="false" customHeight="false" outlineLevel="0" collapsed="false">
      <c r="A252" s="0" t="n">
        <v>1736.88736027515</v>
      </c>
    </row>
    <row r="253" customFormat="false" ht="12.8" hidden="false" customHeight="false" outlineLevel="0" collapsed="false">
      <c r="A253" s="0" t="n">
        <v>1741.18658641445</v>
      </c>
    </row>
    <row r="254" customFormat="false" ht="12.8" hidden="false" customHeight="false" outlineLevel="0" collapsed="false">
      <c r="A254" s="0" t="n">
        <v>1745.48581255374</v>
      </c>
    </row>
    <row r="255" customFormat="false" ht="12.8" hidden="false" customHeight="false" outlineLevel="0" collapsed="false">
      <c r="A255" s="0" t="n">
        <v>1749.78503869304</v>
      </c>
    </row>
    <row r="256" customFormat="false" ht="12.8" hidden="false" customHeight="false" outlineLevel="0" collapsed="false">
      <c r="A256" s="0" t="n">
        <v>1754.08426483233</v>
      </c>
    </row>
    <row r="257" customFormat="false" ht="12.8" hidden="false" customHeight="false" outlineLevel="0" collapsed="false">
      <c r="A257" s="0" t="n">
        <v>1758.38349097163</v>
      </c>
    </row>
    <row r="258" customFormat="false" ht="12.8" hidden="false" customHeight="false" outlineLevel="0" collapsed="false">
      <c r="A258" s="0" t="n">
        <v>1762.68271711092</v>
      </c>
    </row>
    <row r="259" customFormat="false" ht="12.8" hidden="false" customHeight="false" outlineLevel="0" collapsed="false">
      <c r="A259" s="0" t="n">
        <v>1766.98194325022</v>
      </c>
    </row>
    <row r="260" customFormat="false" ht="12.8" hidden="false" customHeight="false" outlineLevel="0" collapsed="false">
      <c r="A260" s="0" t="n">
        <v>1771.28116938951</v>
      </c>
    </row>
    <row r="261" customFormat="false" ht="12.8" hidden="false" customHeight="false" outlineLevel="0" collapsed="false">
      <c r="A261" s="0" t="n">
        <v>1775.5803955288</v>
      </c>
    </row>
    <row r="262" customFormat="false" ht="12.8" hidden="false" customHeight="false" outlineLevel="0" collapsed="false">
      <c r="A262" s="0" t="n">
        <v>1779.8796216681</v>
      </c>
    </row>
    <row r="263" customFormat="false" ht="12.8" hidden="false" customHeight="false" outlineLevel="0" collapsed="false">
      <c r="A263" s="0" t="n">
        <v>1784.17884780739</v>
      </c>
    </row>
    <row r="264" customFormat="false" ht="12.8" hidden="false" customHeight="false" outlineLevel="0" collapsed="false">
      <c r="A264" s="0" t="n">
        <v>1788.47807394669</v>
      </c>
    </row>
    <row r="265" customFormat="false" ht="12.8" hidden="false" customHeight="false" outlineLevel="0" collapsed="false">
      <c r="A265" s="0" t="n">
        <v>1792.77730008598</v>
      </c>
    </row>
    <row r="266" customFormat="false" ht="12.8" hidden="false" customHeight="false" outlineLevel="0" collapsed="false">
      <c r="A266" s="0" t="n">
        <v>1797.07652622528</v>
      </c>
    </row>
    <row r="267" customFormat="false" ht="12.8" hidden="false" customHeight="false" outlineLevel="0" collapsed="false">
      <c r="A267" s="0" t="n">
        <v>1801.37575236457</v>
      </c>
    </row>
    <row r="268" customFormat="false" ht="12.8" hidden="false" customHeight="false" outlineLevel="0" collapsed="false">
      <c r="A268" s="0" t="n">
        <v>1805.67497850387</v>
      </c>
    </row>
    <row r="269" customFormat="false" ht="12.8" hidden="false" customHeight="false" outlineLevel="0" collapsed="false">
      <c r="A269" s="0" t="n">
        <v>1809.97420464316</v>
      </c>
    </row>
    <row r="270" customFormat="false" ht="12.8" hidden="false" customHeight="false" outlineLevel="0" collapsed="false">
      <c r="A270" s="0" t="n">
        <v>1814.27343078246</v>
      </c>
    </row>
    <row r="271" customFormat="false" ht="12.8" hidden="false" customHeight="false" outlineLevel="0" collapsed="false">
      <c r="A271" s="0" t="n">
        <v>1818.57265692175</v>
      </c>
    </row>
    <row r="272" customFormat="false" ht="12.8" hidden="false" customHeight="false" outlineLevel="0" collapsed="false">
      <c r="A272" s="0" t="n">
        <v>1822.87188306105</v>
      </c>
    </row>
    <row r="273" customFormat="false" ht="12.8" hidden="false" customHeight="false" outlineLevel="0" collapsed="false">
      <c r="A273" s="0" t="n">
        <v>1827.17110920034</v>
      </c>
    </row>
    <row r="274" customFormat="false" ht="12.8" hidden="false" customHeight="false" outlineLevel="0" collapsed="false">
      <c r="A274" s="0" t="n">
        <v>1831.47033533964</v>
      </c>
    </row>
    <row r="275" customFormat="false" ht="12.8" hidden="false" customHeight="false" outlineLevel="0" collapsed="false">
      <c r="A275" s="0" t="n">
        <v>1835.76956147893</v>
      </c>
    </row>
    <row r="276" customFormat="false" ht="12.8" hidden="false" customHeight="false" outlineLevel="0" collapsed="false">
      <c r="A276" s="0" t="n">
        <v>1840.06878761823</v>
      </c>
    </row>
    <row r="277" customFormat="false" ht="12.8" hidden="false" customHeight="false" outlineLevel="0" collapsed="false">
      <c r="A277" s="0" t="n">
        <v>1844.36801375752</v>
      </c>
    </row>
    <row r="278" customFormat="false" ht="12.8" hidden="false" customHeight="false" outlineLevel="0" collapsed="false">
      <c r="A278" s="0" t="n">
        <v>1848.66723989682</v>
      </c>
    </row>
    <row r="279" customFormat="false" ht="12.8" hidden="false" customHeight="false" outlineLevel="0" collapsed="false">
      <c r="A279" s="0" t="n">
        <v>1852.96646603611</v>
      </c>
    </row>
    <row r="280" customFormat="false" ht="12.8" hidden="false" customHeight="false" outlineLevel="0" collapsed="false">
      <c r="A280" s="0" t="n">
        <v>1857.26569217541</v>
      </c>
    </row>
    <row r="281" customFormat="false" ht="12.8" hidden="false" customHeight="false" outlineLevel="0" collapsed="false">
      <c r="A281" s="0" t="n">
        <v>1861.5649183147</v>
      </c>
    </row>
    <row r="282" customFormat="false" ht="12.8" hidden="false" customHeight="false" outlineLevel="0" collapsed="false">
      <c r="A282" s="0" t="n">
        <v>1865.864144454</v>
      </c>
    </row>
    <row r="283" customFormat="false" ht="12.8" hidden="false" customHeight="false" outlineLevel="0" collapsed="false">
      <c r="A283" s="0" t="n">
        <v>1870.16337059329</v>
      </c>
    </row>
    <row r="284" customFormat="false" ht="12.8" hidden="false" customHeight="false" outlineLevel="0" collapsed="false">
      <c r="A284" s="0" t="n">
        <v>1874.46259673259</v>
      </c>
    </row>
    <row r="285" customFormat="false" ht="12.8" hidden="false" customHeight="false" outlineLevel="0" collapsed="false">
      <c r="A285" s="0" t="n">
        <v>1878.76182287188</v>
      </c>
    </row>
    <row r="286" customFormat="false" ht="12.8" hidden="false" customHeight="false" outlineLevel="0" collapsed="false">
      <c r="A286" s="0" t="n">
        <v>1883.06104901118</v>
      </c>
    </row>
    <row r="287" customFormat="false" ht="12.8" hidden="false" customHeight="false" outlineLevel="0" collapsed="false">
      <c r="A287" s="0" t="n">
        <v>1887.36027515047</v>
      </c>
    </row>
    <row r="288" customFormat="false" ht="12.8" hidden="false" customHeight="false" outlineLevel="0" collapsed="false">
      <c r="A288" s="0" t="n">
        <v>1891.65950128977</v>
      </c>
    </row>
    <row r="289" customFormat="false" ht="12.8" hidden="false" customHeight="false" outlineLevel="0" collapsed="false">
      <c r="A289" s="0" t="n">
        <v>1895.95872742906</v>
      </c>
    </row>
    <row r="290" customFormat="false" ht="12.8" hidden="false" customHeight="false" outlineLevel="0" collapsed="false">
      <c r="A290" s="0" t="n">
        <v>1900.25795356836</v>
      </c>
    </row>
    <row r="291" customFormat="false" ht="12.8" hidden="false" customHeight="false" outlineLevel="0" collapsed="false">
      <c r="A291" s="0" t="n">
        <v>1904.55717970765</v>
      </c>
    </row>
    <row r="292" customFormat="false" ht="12.8" hidden="false" customHeight="false" outlineLevel="0" collapsed="false">
      <c r="A292" s="0" t="n">
        <v>1908.85640584695</v>
      </c>
    </row>
    <row r="293" customFormat="false" ht="12.8" hidden="false" customHeight="false" outlineLevel="0" collapsed="false">
      <c r="A293" s="0" t="n">
        <v>1913.15563198624</v>
      </c>
    </row>
    <row r="294" customFormat="false" ht="12.8" hidden="false" customHeight="false" outlineLevel="0" collapsed="false">
      <c r="A294" s="0" t="n">
        <v>1917.45485812554</v>
      </c>
    </row>
    <row r="295" customFormat="false" ht="12.8" hidden="false" customHeight="false" outlineLevel="0" collapsed="false">
      <c r="A295" s="0" t="n">
        <v>1921.75408426483</v>
      </c>
    </row>
    <row r="296" customFormat="false" ht="12.8" hidden="false" customHeight="false" outlineLevel="0" collapsed="false">
      <c r="A296" s="0" t="n">
        <v>1926.05331040413</v>
      </c>
    </row>
    <row r="297" customFormat="false" ht="12.8" hidden="false" customHeight="false" outlineLevel="0" collapsed="false">
      <c r="A297" s="0" t="n">
        <v>1930.35253654342</v>
      </c>
    </row>
    <row r="298" customFormat="false" ht="12.8" hidden="false" customHeight="false" outlineLevel="0" collapsed="false">
      <c r="A298" s="0" t="n">
        <v>1934.65176268272</v>
      </c>
    </row>
    <row r="299" customFormat="false" ht="12.8" hidden="false" customHeight="false" outlineLevel="0" collapsed="false">
      <c r="A299" s="0" t="n">
        <v>1938.95098882201</v>
      </c>
    </row>
    <row r="300" customFormat="false" ht="12.8" hidden="false" customHeight="false" outlineLevel="0" collapsed="false">
      <c r="A300" s="0" t="n">
        <v>1943.25021496131</v>
      </c>
    </row>
    <row r="301" customFormat="false" ht="12.8" hidden="false" customHeight="false" outlineLevel="0" collapsed="false">
      <c r="A301" s="0" t="n">
        <v>1947.5494411006</v>
      </c>
    </row>
    <row r="302" customFormat="false" ht="12.8" hidden="false" customHeight="false" outlineLevel="0" collapsed="false">
      <c r="A302" s="0" t="n">
        <v>1951.8486672399</v>
      </c>
    </row>
    <row r="303" customFormat="false" ht="12.8" hidden="false" customHeight="false" outlineLevel="0" collapsed="false">
      <c r="A303" s="0" t="n">
        <v>1956.14789337919</v>
      </c>
    </row>
    <row r="304" customFormat="false" ht="12.8" hidden="false" customHeight="false" outlineLevel="0" collapsed="false">
      <c r="A304" s="0" t="n">
        <v>1960.44711951849</v>
      </c>
    </row>
    <row r="305" customFormat="false" ht="12.8" hidden="false" customHeight="false" outlineLevel="0" collapsed="false">
      <c r="A305" s="0" t="n">
        <v>1964.74634565778</v>
      </c>
    </row>
    <row r="306" customFormat="false" ht="12.8" hidden="false" customHeight="false" outlineLevel="0" collapsed="false">
      <c r="A306" s="0" t="n">
        <v>1969.04557179708</v>
      </c>
    </row>
    <row r="307" customFormat="false" ht="12.8" hidden="false" customHeight="false" outlineLevel="0" collapsed="false">
      <c r="A307" s="0" t="n">
        <v>1973.34479793637</v>
      </c>
    </row>
    <row r="308" customFormat="false" ht="12.8" hidden="false" customHeight="false" outlineLevel="0" collapsed="false">
      <c r="A308" s="0" t="n">
        <v>1977.64402407567</v>
      </c>
    </row>
    <row r="309" customFormat="false" ht="12.8" hidden="false" customHeight="false" outlineLevel="0" collapsed="false">
      <c r="A309" s="0" t="n">
        <v>1981.94325021496</v>
      </c>
    </row>
    <row r="310" customFormat="false" ht="12.8" hidden="false" customHeight="false" outlineLevel="0" collapsed="false">
      <c r="A310" s="0" t="n">
        <v>1986.24247635426</v>
      </c>
    </row>
    <row r="311" customFormat="false" ht="12.8" hidden="false" customHeight="false" outlineLevel="0" collapsed="false">
      <c r="A311" s="0" t="n">
        <v>1990.54170249355</v>
      </c>
    </row>
    <row r="312" customFormat="false" ht="12.8" hidden="false" customHeight="false" outlineLevel="0" collapsed="false">
      <c r="A312" s="0" t="n">
        <v>1994.84092863285</v>
      </c>
    </row>
    <row r="313" customFormat="false" ht="12.8" hidden="false" customHeight="false" outlineLevel="0" collapsed="false">
      <c r="A313" s="0" t="n">
        <v>1999.14015477214</v>
      </c>
    </row>
    <row r="314" customFormat="false" ht="12.8" hidden="false" customHeight="false" outlineLevel="0" collapsed="false">
      <c r="A314" s="0" t="n">
        <v>2003.43938091144</v>
      </c>
    </row>
    <row r="315" customFormat="false" ht="12.8" hidden="false" customHeight="false" outlineLevel="0" collapsed="false">
      <c r="A315" s="0" t="n">
        <v>2007.73860705073</v>
      </c>
    </row>
    <row r="316" customFormat="false" ht="12.8" hidden="false" customHeight="false" outlineLevel="0" collapsed="false">
      <c r="A316" s="0" t="n">
        <v>2012.03783319003</v>
      </c>
    </row>
    <row r="317" customFormat="false" ht="12.8" hidden="false" customHeight="false" outlineLevel="0" collapsed="false">
      <c r="A317" s="0" t="n">
        <v>2016.33705932932</v>
      </c>
    </row>
    <row r="318" customFormat="false" ht="12.8" hidden="false" customHeight="false" outlineLevel="0" collapsed="false">
      <c r="A318" s="0" t="n">
        <v>2020.63628546862</v>
      </c>
    </row>
    <row r="319" customFormat="false" ht="12.8" hidden="false" customHeight="false" outlineLevel="0" collapsed="false">
      <c r="A319" s="0" t="n">
        <v>2024.93551160791</v>
      </c>
    </row>
    <row r="320" customFormat="false" ht="12.8" hidden="false" customHeight="false" outlineLevel="0" collapsed="false">
      <c r="A320" s="0" t="n">
        <v>2029.23473774721</v>
      </c>
    </row>
    <row r="321" customFormat="false" ht="12.8" hidden="false" customHeight="false" outlineLevel="0" collapsed="false">
      <c r="A321" s="0" t="n">
        <v>2033.5339638865</v>
      </c>
    </row>
    <row r="322" customFormat="false" ht="12.8" hidden="false" customHeight="false" outlineLevel="0" collapsed="false">
      <c r="A322" s="0" t="n">
        <v>2037.8331900258</v>
      </c>
    </row>
    <row r="323" customFormat="false" ht="12.8" hidden="false" customHeight="false" outlineLevel="0" collapsed="false">
      <c r="A323" s="0" t="n">
        <v>2042.13241616509</v>
      </c>
    </row>
    <row r="324" customFormat="false" ht="12.8" hidden="false" customHeight="false" outlineLevel="0" collapsed="false">
      <c r="A324" s="0" t="n">
        <v>2046.43164230439</v>
      </c>
    </row>
    <row r="325" customFormat="false" ht="12.8" hidden="false" customHeight="false" outlineLevel="0" collapsed="false">
      <c r="A325" s="0" t="n">
        <v>2050.73086844368</v>
      </c>
    </row>
    <row r="326" customFormat="false" ht="12.8" hidden="false" customHeight="false" outlineLevel="0" collapsed="false">
      <c r="A326" s="0" t="n">
        <v>2055.03009458298</v>
      </c>
    </row>
    <row r="327" customFormat="false" ht="12.8" hidden="false" customHeight="false" outlineLevel="0" collapsed="false">
      <c r="A327" s="0" t="n">
        <v>2059.32932072227</v>
      </c>
    </row>
    <row r="328" customFormat="false" ht="12.8" hidden="false" customHeight="false" outlineLevel="0" collapsed="false">
      <c r="A328" s="0" t="n">
        <v>2063.62854686156</v>
      </c>
    </row>
    <row r="329" customFormat="false" ht="12.8" hidden="false" customHeight="false" outlineLevel="0" collapsed="false">
      <c r="A329" s="0" t="n">
        <v>2067.92777300086</v>
      </c>
    </row>
    <row r="330" customFormat="false" ht="12.8" hidden="false" customHeight="false" outlineLevel="0" collapsed="false">
      <c r="A330" s="0" t="n">
        <v>2072.22699914015</v>
      </c>
    </row>
    <row r="331" customFormat="false" ht="12.8" hidden="false" customHeight="false" outlineLevel="0" collapsed="false">
      <c r="A331" s="0" t="n">
        <v>2076.52622527945</v>
      </c>
    </row>
    <row r="332" customFormat="false" ht="12.8" hidden="false" customHeight="false" outlineLevel="0" collapsed="false">
      <c r="A332" s="0" t="n">
        <v>2080.82545141874</v>
      </c>
    </row>
    <row r="333" customFormat="false" ht="12.8" hidden="false" customHeight="false" outlineLevel="0" collapsed="false">
      <c r="A333" s="0" t="n">
        <v>2085.12467755804</v>
      </c>
    </row>
    <row r="334" customFormat="false" ht="12.8" hidden="false" customHeight="false" outlineLevel="0" collapsed="false">
      <c r="A334" s="0" t="n">
        <v>2089.42390369733</v>
      </c>
    </row>
    <row r="335" customFormat="false" ht="12.8" hidden="false" customHeight="false" outlineLevel="0" collapsed="false">
      <c r="A335" s="0" t="n">
        <v>2093.72312983663</v>
      </c>
    </row>
    <row r="336" customFormat="false" ht="12.8" hidden="false" customHeight="false" outlineLevel="0" collapsed="false">
      <c r="A336" s="0" t="n">
        <v>2098.02235597592</v>
      </c>
    </row>
    <row r="337" customFormat="false" ht="12.8" hidden="false" customHeight="false" outlineLevel="0" collapsed="false">
      <c r="A337" s="0" t="n">
        <v>2102.32158211522</v>
      </c>
    </row>
    <row r="338" customFormat="false" ht="12.8" hidden="false" customHeight="false" outlineLevel="0" collapsed="false">
      <c r="A338" s="0" t="n">
        <v>2106.62080825451</v>
      </c>
    </row>
    <row r="339" customFormat="false" ht="12.8" hidden="false" customHeight="false" outlineLevel="0" collapsed="false">
      <c r="A339" s="0" t="n">
        <v>2110.92003439381</v>
      </c>
    </row>
    <row r="340" customFormat="false" ht="12.8" hidden="false" customHeight="false" outlineLevel="0" collapsed="false">
      <c r="A340" s="0" t="n">
        <v>2115.2192605331</v>
      </c>
    </row>
    <row r="341" customFormat="false" ht="12.8" hidden="false" customHeight="false" outlineLevel="0" collapsed="false">
      <c r="A341" s="0" t="n">
        <v>2119.5184866724</v>
      </c>
    </row>
    <row r="342" customFormat="false" ht="12.8" hidden="false" customHeight="false" outlineLevel="0" collapsed="false">
      <c r="A342" s="0" t="n">
        <v>2123.81771281169</v>
      </c>
    </row>
    <row r="343" customFormat="false" ht="12.8" hidden="false" customHeight="false" outlineLevel="0" collapsed="false">
      <c r="A343" s="0" t="n">
        <v>2128.11693895099</v>
      </c>
    </row>
    <row r="344" customFormat="false" ht="12.8" hidden="false" customHeight="false" outlineLevel="0" collapsed="false">
      <c r="A344" s="0" t="n">
        <v>2132.41616509028</v>
      </c>
    </row>
    <row r="345" customFormat="false" ht="12.8" hidden="false" customHeight="false" outlineLevel="0" collapsed="false">
      <c r="A345" s="0" t="n">
        <v>2136.71539122958</v>
      </c>
    </row>
    <row r="346" customFormat="false" ht="12.8" hidden="false" customHeight="false" outlineLevel="0" collapsed="false">
      <c r="A346" s="0" t="n">
        <v>2141.01461736887</v>
      </c>
    </row>
    <row r="347" customFormat="false" ht="12.8" hidden="false" customHeight="false" outlineLevel="0" collapsed="false">
      <c r="A347" s="0" t="n">
        <v>2145.31384350817</v>
      </c>
    </row>
    <row r="348" customFormat="false" ht="12.8" hidden="false" customHeight="false" outlineLevel="0" collapsed="false">
      <c r="A348" s="0" t="n">
        <v>2149.61306964746</v>
      </c>
    </row>
    <row r="349" customFormat="false" ht="12.8" hidden="false" customHeight="false" outlineLevel="0" collapsed="false">
      <c r="A349" s="0" t="n">
        <v>2153.91229578676</v>
      </c>
    </row>
    <row r="350" customFormat="false" ht="12.8" hidden="false" customHeight="false" outlineLevel="0" collapsed="false">
      <c r="A350" s="0" t="n">
        <v>2158.21152192605</v>
      </c>
    </row>
    <row r="351" customFormat="false" ht="12.8" hidden="false" customHeight="false" outlineLevel="0" collapsed="false">
      <c r="A351" s="0" t="n">
        <v>2162.51074806535</v>
      </c>
    </row>
    <row r="352" customFormat="false" ht="12.8" hidden="false" customHeight="false" outlineLevel="0" collapsed="false">
      <c r="A352" s="0" t="n">
        <v>2166.80997420464</v>
      </c>
    </row>
    <row r="353" customFormat="false" ht="12.8" hidden="false" customHeight="false" outlineLevel="0" collapsed="false">
      <c r="A353" s="0" t="n">
        <v>2171.10920034394</v>
      </c>
    </row>
    <row r="354" customFormat="false" ht="12.8" hidden="false" customHeight="false" outlineLevel="0" collapsed="false">
      <c r="A354" s="0" t="n">
        <v>2175.40842648323</v>
      </c>
    </row>
    <row r="355" customFormat="false" ht="12.8" hidden="false" customHeight="false" outlineLevel="0" collapsed="false">
      <c r="A355" s="0" t="n">
        <v>2179.70765262253</v>
      </c>
    </row>
    <row r="356" customFormat="false" ht="12.8" hidden="false" customHeight="false" outlineLevel="0" collapsed="false">
      <c r="A356" s="0" t="n">
        <v>2184.00687876182</v>
      </c>
    </row>
    <row r="357" customFormat="false" ht="12.8" hidden="false" customHeight="false" outlineLevel="0" collapsed="false">
      <c r="A357" s="0" t="n">
        <v>2188.30610490112</v>
      </c>
    </row>
    <row r="358" customFormat="false" ht="12.8" hidden="false" customHeight="false" outlineLevel="0" collapsed="false">
      <c r="A358" s="0" t="n">
        <v>2192.60533104041</v>
      </c>
    </row>
    <row r="359" customFormat="false" ht="12.8" hidden="false" customHeight="false" outlineLevel="0" collapsed="false">
      <c r="A359" s="0" t="n">
        <v>2196.90455717971</v>
      </c>
    </row>
    <row r="360" customFormat="false" ht="12.8" hidden="false" customHeight="false" outlineLevel="0" collapsed="false">
      <c r="A360" s="0" t="n">
        <v>2201.203783319</v>
      </c>
    </row>
    <row r="361" customFormat="false" ht="12.8" hidden="false" customHeight="false" outlineLevel="0" collapsed="false">
      <c r="A361" s="0" t="n">
        <v>2205.5030094583</v>
      </c>
    </row>
    <row r="362" customFormat="false" ht="12.8" hidden="false" customHeight="false" outlineLevel="0" collapsed="false">
      <c r="A362" s="0" t="n">
        <v>2209.80223559759</v>
      </c>
    </row>
    <row r="363" customFormat="false" ht="12.8" hidden="false" customHeight="false" outlineLevel="0" collapsed="false">
      <c r="A363" s="0" t="n">
        <v>2214.10146173689</v>
      </c>
    </row>
    <row r="364" customFormat="false" ht="12.8" hidden="false" customHeight="false" outlineLevel="0" collapsed="false">
      <c r="A364" s="0" t="n">
        <v>2218.40068787618</v>
      </c>
    </row>
    <row r="365" customFormat="false" ht="12.8" hidden="false" customHeight="false" outlineLevel="0" collapsed="false">
      <c r="A365" s="0" t="n">
        <v>2222.69991401548</v>
      </c>
    </row>
    <row r="366" customFormat="false" ht="12.8" hidden="false" customHeight="false" outlineLevel="0" collapsed="false">
      <c r="A366" s="0" t="n">
        <v>2226.99914015477</v>
      </c>
    </row>
    <row r="367" customFormat="false" ht="12.8" hidden="false" customHeight="false" outlineLevel="0" collapsed="false">
      <c r="A367" s="0" t="n">
        <v>2231.29836629407</v>
      </c>
    </row>
    <row r="368" customFormat="false" ht="12.8" hidden="false" customHeight="false" outlineLevel="0" collapsed="false">
      <c r="A368" s="0" t="n">
        <v>2235.59759243336</v>
      </c>
    </row>
    <row r="369" customFormat="false" ht="12.8" hidden="false" customHeight="false" outlineLevel="0" collapsed="false">
      <c r="A369" s="0" t="n">
        <v>2239.89681857266</v>
      </c>
    </row>
    <row r="370" customFormat="false" ht="12.8" hidden="false" customHeight="false" outlineLevel="0" collapsed="false">
      <c r="A370" s="0" t="n">
        <v>2244.19604471195</v>
      </c>
    </row>
    <row r="371" customFormat="false" ht="12.8" hidden="false" customHeight="false" outlineLevel="0" collapsed="false">
      <c r="A371" s="0" t="n">
        <v>2248.49527085125</v>
      </c>
    </row>
    <row r="372" customFormat="false" ht="12.8" hidden="false" customHeight="false" outlineLevel="0" collapsed="false">
      <c r="A372" s="0" t="n">
        <v>2252.79449699054</v>
      </c>
    </row>
    <row r="373" customFormat="false" ht="12.8" hidden="false" customHeight="false" outlineLevel="0" collapsed="false">
      <c r="A373" s="0" t="n">
        <v>2257.09372312984</v>
      </c>
    </row>
    <row r="374" customFormat="false" ht="12.8" hidden="false" customHeight="false" outlineLevel="0" collapsed="false">
      <c r="A374" s="0" t="n">
        <v>2261.39294926913</v>
      </c>
    </row>
    <row r="375" customFormat="false" ht="12.8" hidden="false" customHeight="false" outlineLevel="0" collapsed="false">
      <c r="A375" s="0" t="n">
        <v>2265.69217540843</v>
      </c>
    </row>
    <row r="376" customFormat="false" ht="12.8" hidden="false" customHeight="false" outlineLevel="0" collapsed="false">
      <c r="A376" s="0" t="n">
        <v>2269.99140154772</v>
      </c>
    </row>
    <row r="377" customFormat="false" ht="12.8" hidden="false" customHeight="false" outlineLevel="0" collapsed="false">
      <c r="A377" s="0" t="n">
        <v>2274.29062768702</v>
      </c>
    </row>
    <row r="378" customFormat="false" ht="12.8" hidden="false" customHeight="false" outlineLevel="0" collapsed="false">
      <c r="A378" s="0" t="n">
        <v>2278.58985382631</v>
      </c>
    </row>
    <row r="379" customFormat="false" ht="12.8" hidden="false" customHeight="false" outlineLevel="0" collapsed="false">
      <c r="A379" s="0" t="n">
        <v>2282.88907996561</v>
      </c>
    </row>
    <row r="380" customFormat="false" ht="12.8" hidden="false" customHeight="false" outlineLevel="0" collapsed="false">
      <c r="A380" s="0" t="n">
        <v>2287.1883061049</v>
      </c>
    </row>
    <row r="381" customFormat="false" ht="12.8" hidden="false" customHeight="false" outlineLevel="0" collapsed="false">
      <c r="A381" s="0" t="n">
        <v>2291.4875322442</v>
      </c>
    </row>
    <row r="382" customFormat="false" ht="12.8" hidden="false" customHeight="false" outlineLevel="0" collapsed="false">
      <c r="A382" s="0" t="n">
        <v>2295.78675838349</v>
      </c>
    </row>
    <row r="383" customFormat="false" ht="12.8" hidden="false" customHeight="false" outlineLevel="0" collapsed="false">
      <c r="A383" s="0" t="n">
        <v>2300.08598452279</v>
      </c>
    </row>
    <row r="384" customFormat="false" ht="12.8" hidden="false" customHeight="false" outlineLevel="0" collapsed="false">
      <c r="A384" s="0" t="n">
        <v>2304.38521066208</v>
      </c>
    </row>
    <row r="385" customFormat="false" ht="12.8" hidden="false" customHeight="false" outlineLevel="0" collapsed="false">
      <c r="A385" s="0" t="n">
        <v>2308.68443680138</v>
      </c>
    </row>
    <row r="386" customFormat="false" ht="12.8" hidden="false" customHeight="false" outlineLevel="0" collapsed="false">
      <c r="A386" s="0" t="n">
        <v>2312.98366294067</v>
      </c>
    </row>
    <row r="387" customFormat="false" ht="12.8" hidden="false" customHeight="false" outlineLevel="0" collapsed="false">
      <c r="A387" s="0" t="n">
        <v>2317.28288907997</v>
      </c>
    </row>
    <row r="388" customFormat="false" ht="12.8" hidden="false" customHeight="false" outlineLevel="0" collapsed="false">
      <c r="A388" s="0" t="n">
        <v>2321.58211521926</v>
      </c>
    </row>
    <row r="389" customFormat="false" ht="12.8" hidden="false" customHeight="false" outlineLevel="0" collapsed="false">
      <c r="A389" s="0" t="n">
        <v>2325.88134135856</v>
      </c>
    </row>
    <row r="390" customFormat="false" ht="12.8" hidden="false" customHeight="false" outlineLevel="0" collapsed="false">
      <c r="A390" s="0" t="n">
        <v>2330.18056749785</v>
      </c>
    </row>
    <row r="391" customFormat="false" ht="12.8" hidden="false" customHeight="false" outlineLevel="0" collapsed="false">
      <c r="A391" s="0" t="n">
        <v>2334.47979363715</v>
      </c>
    </row>
    <row r="392" customFormat="false" ht="12.8" hidden="false" customHeight="false" outlineLevel="0" collapsed="false">
      <c r="A392" s="0" t="n">
        <v>2338.77901977644</v>
      </c>
    </row>
    <row r="393" customFormat="false" ht="12.8" hidden="false" customHeight="false" outlineLevel="0" collapsed="false">
      <c r="A393" s="0" t="n">
        <v>2343.07824591573</v>
      </c>
    </row>
    <row r="394" customFormat="false" ht="12.8" hidden="false" customHeight="false" outlineLevel="0" collapsed="false">
      <c r="A394" s="0" t="n">
        <v>2347.37747205503</v>
      </c>
    </row>
    <row r="395" customFormat="false" ht="12.8" hidden="false" customHeight="false" outlineLevel="0" collapsed="false">
      <c r="A395" s="0" t="n">
        <v>2351.67669819433</v>
      </c>
    </row>
    <row r="396" customFormat="false" ht="12.8" hidden="false" customHeight="false" outlineLevel="0" collapsed="false">
      <c r="A396" s="0" t="n">
        <v>2355.97592433362</v>
      </c>
    </row>
    <row r="397" customFormat="false" ht="12.8" hidden="false" customHeight="false" outlineLevel="0" collapsed="false">
      <c r="A397" s="0" t="n">
        <v>2360.27515047291</v>
      </c>
    </row>
    <row r="398" customFormat="false" ht="12.8" hidden="false" customHeight="false" outlineLevel="0" collapsed="false">
      <c r="A398" s="0" t="n">
        <v>2364.57437661221</v>
      </c>
    </row>
    <row r="399" customFormat="false" ht="12.8" hidden="false" customHeight="false" outlineLevel="0" collapsed="false">
      <c r="A399" s="0" t="n">
        <v>2368.8736027515</v>
      </c>
    </row>
    <row r="400" customFormat="false" ht="12.8" hidden="false" customHeight="false" outlineLevel="0" collapsed="false">
      <c r="A400" s="0" t="n">
        <v>2373.1728288908</v>
      </c>
    </row>
    <row r="401" customFormat="false" ht="12.8" hidden="false" customHeight="false" outlineLevel="0" collapsed="false">
      <c r="A401" s="0" t="n">
        <v>2377.47205503009</v>
      </c>
    </row>
    <row r="402" customFormat="false" ht="12.8" hidden="false" customHeight="false" outlineLevel="0" collapsed="false">
      <c r="A402" s="0" t="n">
        <v>2381.77128116939</v>
      </c>
    </row>
    <row r="403" customFormat="false" ht="12.8" hidden="false" customHeight="false" outlineLevel="0" collapsed="false">
      <c r="A403" s="0" t="n">
        <v>2386.07050730868</v>
      </c>
    </row>
    <row r="404" customFormat="false" ht="12.8" hidden="false" customHeight="false" outlineLevel="0" collapsed="false">
      <c r="A404" s="0" t="n">
        <v>2390.36973344798</v>
      </c>
    </row>
    <row r="405" customFormat="false" ht="12.8" hidden="false" customHeight="false" outlineLevel="0" collapsed="false">
      <c r="A405" s="0" t="n">
        <v>2394.66895958727</v>
      </c>
    </row>
    <row r="406" customFormat="false" ht="12.8" hidden="false" customHeight="false" outlineLevel="0" collapsed="false">
      <c r="A406" s="0" t="n">
        <v>2398.96818572657</v>
      </c>
    </row>
    <row r="407" customFormat="false" ht="12.8" hidden="false" customHeight="false" outlineLevel="0" collapsed="false">
      <c r="A407" s="0" t="n">
        <v>2403.26741186586</v>
      </c>
    </row>
    <row r="408" customFormat="false" ht="12.8" hidden="false" customHeight="false" outlineLevel="0" collapsed="false">
      <c r="A408" s="0" t="n">
        <v>2407.56663800516</v>
      </c>
    </row>
    <row r="409" customFormat="false" ht="12.8" hidden="false" customHeight="false" outlineLevel="0" collapsed="false">
      <c r="A409" s="0" t="n">
        <v>2411.86586414445</v>
      </c>
    </row>
    <row r="410" customFormat="false" ht="12.8" hidden="false" customHeight="false" outlineLevel="0" collapsed="false">
      <c r="A410" s="0" t="n">
        <v>2416.16509028375</v>
      </c>
    </row>
    <row r="411" customFormat="false" ht="12.8" hidden="false" customHeight="false" outlineLevel="0" collapsed="false">
      <c r="A411" s="0" t="n">
        <v>2420.46431642304</v>
      </c>
    </row>
    <row r="412" customFormat="false" ht="12.8" hidden="false" customHeight="false" outlineLevel="0" collapsed="false">
      <c r="A412" s="0" t="n">
        <v>2424.76354256234</v>
      </c>
    </row>
    <row r="413" customFormat="false" ht="12.8" hidden="false" customHeight="false" outlineLevel="0" collapsed="false">
      <c r="A413" s="0" t="n">
        <v>2429.06276870163</v>
      </c>
    </row>
    <row r="414" customFormat="false" ht="12.8" hidden="false" customHeight="false" outlineLevel="0" collapsed="false">
      <c r="A414" s="0" t="n">
        <v>2433.36199484093</v>
      </c>
    </row>
    <row r="415" customFormat="false" ht="12.8" hidden="false" customHeight="false" outlineLevel="0" collapsed="false">
      <c r="A415" s="0" t="n">
        <v>2437.66122098022</v>
      </c>
    </row>
    <row r="416" customFormat="false" ht="12.8" hidden="false" customHeight="false" outlineLevel="0" collapsed="false">
      <c r="A416" s="0" t="n">
        <v>2441.96044711952</v>
      </c>
    </row>
    <row r="417" customFormat="false" ht="12.8" hidden="false" customHeight="false" outlineLevel="0" collapsed="false">
      <c r="A417" s="0" t="n">
        <v>2446.25967325881</v>
      </c>
    </row>
    <row r="418" customFormat="false" ht="12.8" hidden="false" customHeight="false" outlineLevel="0" collapsed="false">
      <c r="A418" s="0" t="n">
        <v>2450.55889939811</v>
      </c>
    </row>
    <row r="419" customFormat="false" ht="12.8" hidden="false" customHeight="false" outlineLevel="0" collapsed="false">
      <c r="A419" s="0" t="n">
        <v>2454.8581255374</v>
      </c>
    </row>
    <row r="420" customFormat="false" ht="12.8" hidden="false" customHeight="false" outlineLevel="0" collapsed="false">
      <c r="A420" s="0" t="n">
        <v>2459.1573516767</v>
      </c>
    </row>
    <row r="421" customFormat="false" ht="12.8" hidden="false" customHeight="false" outlineLevel="0" collapsed="false">
      <c r="A421" s="0" t="n">
        <v>2463.45657781599</v>
      </c>
    </row>
    <row r="422" customFormat="false" ht="12.8" hidden="false" customHeight="false" outlineLevel="0" collapsed="false">
      <c r="A422" s="0" t="n">
        <v>2467.75580395529</v>
      </c>
    </row>
    <row r="423" customFormat="false" ht="12.8" hidden="false" customHeight="false" outlineLevel="0" collapsed="false">
      <c r="A423" s="0" t="n">
        <v>2472.05503009458</v>
      </c>
    </row>
    <row r="424" customFormat="false" ht="12.8" hidden="false" customHeight="false" outlineLevel="0" collapsed="false">
      <c r="A424" s="0" t="n">
        <v>2476.35425623388</v>
      </c>
    </row>
    <row r="425" customFormat="false" ht="12.8" hidden="false" customHeight="false" outlineLevel="0" collapsed="false">
      <c r="A425" s="0" t="n">
        <v>2480.65348237317</v>
      </c>
    </row>
    <row r="426" customFormat="false" ht="12.8" hidden="false" customHeight="false" outlineLevel="0" collapsed="false">
      <c r="A426" s="0" t="n">
        <v>2484.95270851247</v>
      </c>
    </row>
    <row r="427" customFormat="false" ht="12.8" hidden="false" customHeight="false" outlineLevel="0" collapsed="false">
      <c r="A427" s="0" t="n">
        <v>2489.25193465176</v>
      </c>
    </row>
    <row r="428" customFormat="false" ht="12.8" hidden="false" customHeight="false" outlineLevel="0" collapsed="false">
      <c r="A428" s="0" t="n">
        <v>2493.55116079106</v>
      </c>
    </row>
    <row r="429" customFormat="false" ht="12.8" hidden="false" customHeight="false" outlineLevel="0" collapsed="false">
      <c r="A429" s="0" t="n">
        <v>2497.85038693035</v>
      </c>
    </row>
    <row r="430" customFormat="false" ht="12.8" hidden="false" customHeight="false" outlineLevel="0" collapsed="false">
      <c r="A430" s="0" t="n">
        <v>2502.14961306965</v>
      </c>
    </row>
    <row r="431" customFormat="false" ht="12.8" hidden="false" customHeight="false" outlineLevel="0" collapsed="false">
      <c r="A431" s="0" t="n">
        <v>2506.44883920894</v>
      </c>
    </row>
    <row r="432" customFormat="false" ht="12.8" hidden="false" customHeight="false" outlineLevel="0" collapsed="false">
      <c r="A432" s="0" t="n">
        <v>2510.74806534824</v>
      </c>
    </row>
    <row r="433" customFormat="false" ht="12.8" hidden="false" customHeight="false" outlineLevel="0" collapsed="false">
      <c r="A433" s="0" t="n">
        <v>2515.04729148753</v>
      </c>
    </row>
    <row r="434" customFormat="false" ht="12.8" hidden="false" customHeight="false" outlineLevel="0" collapsed="false">
      <c r="A434" s="0" t="n">
        <v>2519.34651762683</v>
      </c>
    </row>
    <row r="435" customFormat="false" ht="12.8" hidden="false" customHeight="false" outlineLevel="0" collapsed="false">
      <c r="A435" s="0" t="n">
        <v>2523.64574376612</v>
      </c>
    </row>
    <row r="436" customFormat="false" ht="12.8" hidden="false" customHeight="false" outlineLevel="0" collapsed="false">
      <c r="A436" s="0" t="n">
        <v>2527.94496990542</v>
      </c>
    </row>
    <row r="437" customFormat="false" ht="12.8" hidden="false" customHeight="false" outlineLevel="0" collapsed="false">
      <c r="A437" s="0" t="n">
        <v>2532.24419604471</v>
      </c>
    </row>
    <row r="438" customFormat="false" ht="12.8" hidden="false" customHeight="false" outlineLevel="0" collapsed="false">
      <c r="A438" s="0" t="n">
        <v>2536.54342218401</v>
      </c>
    </row>
    <row r="439" customFormat="false" ht="12.8" hidden="false" customHeight="false" outlineLevel="0" collapsed="false">
      <c r="A439" s="0" t="n">
        <v>2540.8426483233</v>
      </c>
    </row>
    <row r="440" customFormat="false" ht="12.8" hidden="false" customHeight="false" outlineLevel="0" collapsed="false">
      <c r="A440" s="0" t="n">
        <v>2545.1418744626</v>
      </c>
    </row>
    <row r="441" customFormat="false" ht="12.8" hidden="false" customHeight="false" outlineLevel="0" collapsed="false">
      <c r="A441" s="0" t="n">
        <v>2549.44110060189</v>
      </c>
    </row>
    <row r="442" customFormat="false" ht="12.8" hidden="false" customHeight="false" outlineLevel="0" collapsed="false">
      <c r="A442" s="0" t="n">
        <v>2553.74032674119</v>
      </c>
    </row>
    <row r="443" customFormat="false" ht="12.8" hidden="false" customHeight="false" outlineLevel="0" collapsed="false">
      <c r="A443" s="0" t="n">
        <v>2558.03955288048</v>
      </c>
    </row>
    <row r="444" customFormat="false" ht="12.8" hidden="false" customHeight="false" outlineLevel="0" collapsed="false">
      <c r="A444" s="0" t="n">
        <v>2562.33877901978</v>
      </c>
    </row>
    <row r="445" customFormat="false" ht="12.8" hidden="false" customHeight="false" outlineLevel="0" collapsed="false">
      <c r="A445" s="0" t="n">
        <v>2566.63800515907</v>
      </c>
    </row>
    <row r="446" customFormat="false" ht="12.8" hidden="false" customHeight="false" outlineLevel="0" collapsed="false">
      <c r="A446" s="0" t="n">
        <v>2570.93723129837</v>
      </c>
    </row>
    <row r="447" customFormat="false" ht="12.8" hidden="false" customHeight="false" outlineLevel="0" collapsed="false">
      <c r="A447" s="0" t="n">
        <v>2575.23645743766</v>
      </c>
    </row>
    <row r="448" customFormat="false" ht="12.8" hidden="false" customHeight="false" outlineLevel="0" collapsed="false">
      <c r="A448" s="0" t="n">
        <v>2579.53568357696</v>
      </c>
    </row>
    <row r="449" customFormat="false" ht="12.8" hidden="false" customHeight="false" outlineLevel="0" collapsed="false">
      <c r="A449" s="0" t="n">
        <v>2583.83490971625</v>
      </c>
    </row>
    <row r="450" customFormat="false" ht="12.8" hidden="false" customHeight="false" outlineLevel="0" collapsed="false">
      <c r="A450" s="0" t="n">
        <v>2588.13413585555</v>
      </c>
    </row>
    <row r="451" customFormat="false" ht="12.8" hidden="false" customHeight="false" outlineLevel="0" collapsed="false">
      <c r="A451" s="0" t="n">
        <v>2592.43336199484</v>
      </c>
    </row>
    <row r="452" customFormat="false" ht="12.8" hidden="false" customHeight="false" outlineLevel="0" collapsed="false">
      <c r="A452" s="0" t="n">
        <v>2596.73258813414</v>
      </c>
    </row>
    <row r="453" customFormat="false" ht="12.8" hidden="false" customHeight="false" outlineLevel="0" collapsed="false">
      <c r="A453" s="0" t="n">
        <v>2601.03181427343</v>
      </c>
    </row>
    <row r="454" customFormat="false" ht="12.8" hidden="false" customHeight="false" outlineLevel="0" collapsed="false">
      <c r="A454" s="0" t="n">
        <v>2605.33104041273</v>
      </c>
    </row>
    <row r="455" customFormat="false" ht="12.8" hidden="false" customHeight="false" outlineLevel="0" collapsed="false">
      <c r="A455" s="0" t="n">
        <v>2609.63026655202</v>
      </c>
    </row>
    <row r="456" customFormat="false" ht="12.8" hidden="false" customHeight="false" outlineLevel="0" collapsed="false">
      <c r="A456" s="0" t="n">
        <v>2613.92949269132</v>
      </c>
    </row>
    <row r="457" customFormat="false" ht="12.8" hidden="false" customHeight="false" outlineLevel="0" collapsed="false">
      <c r="A457" s="0" t="n">
        <v>2618.22871883061</v>
      </c>
    </row>
    <row r="458" customFormat="false" ht="12.8" hidden="false" customHeight="false" outlineLevel="0" collapsed="false">
      <c r="A458" s="0" t="n">
        <v>2622.52794496991</v>
      </c>
    </row>
    <row r="459" customFormat="false" ht="12.8" hidden="false" customHeight="false" outlineLevel="0" collapsed="false">
      <c r="A459" s="0" t="n">
        <v>2626.8271711092</v>
      </c>
    </row>
    <row r="460" customFormat="false" ht="12.8" hidden="false" customHeight="false" outlineLevel="0" collapsed="false">
      <c r="A460" s="0" t="n">
        <v>2631.1263972485</v>
      </c>
    </row>
    <row r="461" customFormat="false" ht="12.8" hidden="false" customHeight="false" outlineLevel="0" collapsed="false">
      <c r="A461" s="0" t="n">
        <v>2635.42562338779</v>
      </c>
    </row>
    <row r="462" customFormat="false" ht="12.8" hidden="false" customHeight="false" outlineLevel="0" collapsed="false">
      <c r="A462" s="0" t="n">
        <v>2639.72484952709</v>
      </c>
    </row>
    <row r="463" customFormat="false" ht="12.8" hidden="false" customHeight="false" outlineLevel="0" collapsed="false">
      <c r="A463" s="0" t="n">
        <v>2644.02407566638</v>
      </c>
    </row>
    <row r="464" customFormat="false" ht="12.8" hidden="false" customHeight="false" outlineLevel="0" collapsed="false">
      <c r="A464" s="0" t="n">
        <v>2648.32330180567</v>
      </c>
    </row>
    <row r="465" customFormat="false" ht="12.8" hidden="false" customHeight="false" outlineLevel="0" collapsed="false">
      <c r="A465" s="0" t="n">
        <v>2652.62252794497</v>
      </c>
    </row>
    <row r="466" customFormat="false" ht="12.8" hidden="false" customHeight="false" outlineLevel="0" collapsed="false">
      <c r="A466" s="0" t="n">
        <v>2656.92175408426</v>
      </c>
    </row>
    <row r="467" customFormat="false" ht="12.8" hidden="false" customHeight="false" outlineLevel="0" collapsed="false">
      <c r="A467" s="0" t="n">
        <v>2661.22098022356</v>
      </c>
    </row>
    <row r="468" customFormat="false" ht="12.8" hidden="false" customHeight="false" outlineLevel="0" collapsed="false">
      <c r="A468" s="0" t="n">
        <v>2665.52020636285</v>
      </c>
    </row>
    <row r="469" customFormat="false" ht="12.8" hidden="false" customHeight="false" outlineLevel="0" collapsed="false">
      <c r="A469" s="0" t="n">
        <v>2669.81943250215</v>
      </c>
    </row>
    <row r="470" customFormat="false" ht="12.8" hidden="false" customHeight="false" outlineLevel="0" collapsed="false">
      <c r="A470" s="0" t="n">
        <v>2674.11865864144</v>
      </c>
    </row>
    <row r="471" customFormat="false" ht="12.8" hidden="false" customHeight="false" outlineLevel="0" collapsed="false">
      <c r="A471" s="0" t="n">
        <v>2678.41788478074</v>
      </c>
    </row>
    <row r="472" customFormat="false" ht="12.8" hidden="false" customHeight="false" outlineLevel="0" collapsed="false">
      <c r="A472" s="0" t="n">
        <v>2682.71711092003</v>
      </c>
    </row>
    <row r="473" customFormat="false" ht="12.8" hidden="false" customHeight="false" outlineLevel="0" collapsed="false">
      <c r="A473" s="0" t="n">
        <v>2687.01633705933</v>
      </c>
    </row>
    <row r="474" customFormat="false" ht="12.8" hidden="false" customHeight="false" outlineLevel="0" collapsed="false">
      <c r="A474" s="0" t="n">
        <v>2691.31556319862</v>
      </c>
    </row>
    <row r="475" customFormat="false" ht="12.8" hidden="false" customHeight="false" outlineLevel="0" collapsed="false">
      <c r="A475" s="0" t="n">
        <v>2695.61478933792</v>
      </c>
    </row>
    <row r="476" customFormat="false" ht="12.8" hidden="false" customHeight="false" outlineLevel="0" collapsed="false">
      <c r="A476" s="0" t="n">
        <v>2699.91401547721</v>
      </c>
    </row>
    <row r="477" customFormat="false" ht="12.8" hidden="false" customHeight="false" outlineLevel="0" collapsed="false">
      <c r="A477" s="0" t="n">
        <v>2704.21324161651</v>
      </c>
    </row>
    <row r="478" customFormat="false" ht="12.8" hidden="false" customHeight="false" outlineLevel="0" collapsed="false">
      <c r="A478" s="0" t="n">
        <v>2708.5124677558</v>
      </c>
    </row>
    <row r="479" customFormat="false" ht="12.8" hidden="false" customHeight="false" outlineLevel="0" collapsed="false">
      <c r="A479" s="0" t="n">
        <v>2712.8116938951</v>
      </c>
    </row>
    <row r="480" customFormat="false" ht="12.8" hidden="false" customHeight="false" outlineLevel="0" collapsed="false">
      <c r="A480" s="0" t="n">
        <v>2717.11092003439</v>
      </c>
    </row>
    <row r="481" customFormat="false" ht="12.8" hidden="false" customHeight="false" outlineLevel="0" collapsed="false">
      <c r="A481" s="0" t="n">
        <v>2721.41014617369</v>
      </c>
    </row>
    <row r="482" customFormat="false" ht="12.8" hidden="false" customHeight="false" outlineLevel="0" collapsed="false">
      <c r="A482" s="0" t="n">
        <v>2725.70937231298</v>
      </c>
    </row>
    <row r="483" customFormat="false" ht="12.8" hidden="false" customHeight="false" outlineLevel="0" collapsed="false">
      <c r="A483" s="0" t="n">
        <v>2730.00859845228</v>
      </c>
    </row>
    <row r="484" customFormat="false" ht="12.8" hidden="false" customHeight="false" outlineLevel="0" collapsed="false">
      <c r="A484" s="0" t="n">
        <v>2734.30782459157</v>
      </c>
    </row>
    <row r="485" customFormat="false" ht="12.8" hidden="false" customHeight="false" outlineLevel="0" collapsed="false">
      <c r="A485" s="0" t="n">
        <v>2738.60705073087</v>
      </c>
    </row>
    <row r="486" customFormat="false" ht="12.8" hidden="false" customHeight="false" outlineLevel="0" collapsed="false">
      <c r="A486" s="0" t="n">
        <v>2742.90627687016</v>
      </c>
    </row>
    <row r="487" customFormat="false" ht="12.8" hidden="false" customHeight="false" outlineLevel="0" collapsed="false">
      <c r="A487" s="0" t="n">
        <v>2747.20550300946</v>
      </c>
    </row>
    <row r="488" customFormat="false" ht="12.8" hidden="false" customHeight="false" outlineLevel="0" collapsed="false">
      <c r="A488" s="0" t="n">
        <v>2751.50472914875</v>
      </c>
    </row>
    <row r="489" customFormat="false" ht="12.8" hidden="false" customHeight="false" outlineLevel="0" collapsed="false">
      <c r="A489" s="0" t="n">
        <v>2755.80395528805</v>
      </c>
    </row>
    <row r="490" customFormat="false" ht="12.8" hidden="false" customHeight="false" outlineLevel="0" collapsed="false">
      <c r="A490" s="0" t="n">
        <v>2760.10318142734</v>
      </c>
    </row>
    <row r="491" customFormat="false" ht="12.8" hidden="false" customHeight="false" outlineLevel="0" collapsed="false">
      <c r="A491" s="0" t="n">
        <v>2764.40240756664</v>
      </c>
    </row>
    <row r="492" customFormat="false" ht="12.8" hidden="false" customHeight="false" outlineLevel="0" collapsed="false">
      <c r="A492" s="0" t="n">
        <v>2768.70163370593</v>
      </c>
    </row>
    <row r="493" customFormat="false" ht="12.8" hidden="false" customHeight="false" outlineLevel="0" collapsed="false">
      <c r="A493" s="0" t="n">
        <v>2773.00085984523</v>
      </c>
    </row>
    <row r="494" customFormat="false" ht="12.8" hidden="false" customHeight="false" outlineLevel="0" collapsed="false">
      <c r="A494" s="0" t="n">
        <v>2777.30008598452</v>
      </c>
    </row>
    <row r="495" customFormat="false" ht="12.8" hidden="false" customHeight="false" outlineLevel="0" collapsed="false">
      <c r="A495" s="0" t="n">
        <v>2781.59931212382</v>
      </c>
    </row>
    <row r="496" customFormat="false" ht="12.8" hidden="false" customHeight="false" outlineLevel="0" collapsed="false">
      <c r="A496" s="0" t="n">
        <v>2785.89853826311</v>
      </c>
    </row>
    <row r="497" customFormat="false" ht="12.8" hidden="false" customHeight="false" outlineLevel="0" collapsed="false">
      <c r="A497" s="0" t="n">
        <v>2790.19776440241</v>
      </c>
    </row>
    <row r="498" customFormat="false" ht="12.8" hidden="false" customHeight="false" outlineLevel="0" collapsed="false">
      <c r="A498" s="0" t="n">
        <v>2794.4969905417</v>
      </c>
    </row>
    <row r="499" customFormat="false" ht="12.8" hidden="false" customHeight="false" outlineLevel="0" collapsed="false">
      <c r="A499" s="0" t="n">
        <v>2798.796216681</v>
      </c>
    </row>
    <row r="500" customFormat="false" ht="12.8" hidden="false" customHeight="false" outlineLevel="0" collapsed="false">
      <c r="A500" s="0" t="n">
        <v>2803.09544282029</v>
      </c>
    </row>
    <row r="501" customFormat="false" ht="12.8" hidden="false" customHeight="false" outlineLevel="0" collapsed="false">
      <c r="A501" s="0" t="n">
        <v>2807.39466895959</v>
      </c>
    </row>
    <row r="502" customFormat="false" ht="12.8" hidden="false" customHeight="false" outlineLevel="0" collapsed="false">
      <c r="A502" s="0" t="n">
        <v>2811.69389509888</v>
      </c>
    </row>
    <row r="503" customFormat="false" ht="12.8" hidden="false" customHeight="false" outlineLevel="0" collapsed="false">
      <c r="A503" s="0" t="n">
        <v>2815.99312123818</v>
      </c>
    </row>
    <row r="504" customFormat="false" ht="12.8" hidden="false" customHeight="false" outlineLevel="0" collapsed="false">
      <c r="A504" s="0" t="n">
        <v>2820.29234737747</v>
      </c>
    </row>
    <row r="505" customFormat="false" ht="12.8" hidden="false" customHeight="false" outlineLevel="0" collapsed="false">
      <c r="A505" s="0" t="n">
        <v>2824.59157351677</v>
      </c>
    </row>
    <row r="506" customFormat="false" ht="12.8" hidden="false" customHeight="false" outlineLevel="0" collapsed="false">
      <c r="A506" s="0" t="n">
        <v>2828.89079965606</v>
      </c>
    </row>
    <row r="507" customFormat="false" ht="12.8" hidden="false" customHeight="false" outlineLevel="0" collapsed="false">
      <c r="A507" s="0" t="n">
        <v>2833.19002579536</v>
      </c>
    </row>
    <row r="508" customFormat="false" ht="12.8" hidden="false" customHeight="false" outlineLevel="0" collapsed="false">
      <c r="A508" s="0" t="n">
        <v>2837.48925193465</v>
      </c>
    </row>
    <row r="509" customFormat="false" ht="12.8" hidden="false" customHeight="false" outlineLevel="0" collapsed="false">
      <c r="A509" s="0" t="n">
        <v>2841.78847807395</v>
      </c>
    </row>
    <row r="510" customFormat="false" ht="12.8" hidden="false" customHeight="false" outlineLevel="0" collapsed="false">
      <c r="A510" s="0" t="n">
        <v>2846.08770421324</v>
      </c>
    </row>
    <row r="511" customFormat="false" ht="12.8" hidden="false" customHeight="false" outlineLevel="0" collapsed="false">
      <c r="A511" s="0" t="n">
        <v>2850.38693035254</v>
      </c>
    </row>
    <row r="512" customFormat="false" ht="12.8" hidden="false" customHeight="false" outlineLevel="0" collapsed="false">
      <c r="A512" s="0" t="n">
        <v>2854.68615649183</v>
      </c>
    </row>
    <row r="513" customFormat="false" ht="12.8" hidden="false" customHeight="false" outlineLevel="0" collapsed="false">
      <c r="A513" s="0" t="n">
        <v>2858.98538263113</v>
      </c>
    </row>
    <row r="514" customFormat="false" ht="12.8" hidden="false" customHeight="false" outlineLevel="0" collapsed="false">
      <c r="A514" s="0" t="n">
        <v>2863.28460877042</v>
      </c>
    </row>
    <row r="515" customFormat="false" ht="12.8" hidden="false" customHeight="false" outlineLevel="0" collapsed="false">
      <c r="A515" s="0" t="n">
        <v>2867.58383490972</v>
      </c>
    </row>
    <row r="516" customFormat="false" ht="12.8" hidden="false" customHeight="false" outlineLevel="0" collapsed="false">
      <c r="A516" s="0" t="n">
        <v>2871.88306104901</v>
      </c>
    </row>
    <row r="517" customFormat="false" ht="12.8" hidden="false" customHeight="false" outlineLevel="0" collapsed="false">
      <c r="A517" s="0" t="n">
        <v>2876.18228718831</v>
      </c>
    </row>
    <row r="518" customFormat="false" ht="12.8" hidden="false" customHeight="false" outlineLevel="0" collapsed="false">
      <c r="A518" s="0" t="n">
        <v>2880.4815133276</v>
      </c>
    </row>
    <row r="519" customFormat="false" ht="12.8" hidden="false" customHeight="false" outlineLevel="0" collapsed="false">
      <c r="A519" s="0" t="n">
        <v>2884.7807394669</v>
      </c>
    </row>
    <row r="520" customFormat="false" ht="12.8" hidden="false" customHeight="false" outlineLevel="0" collapsed="false">
      <c r="A520" s="0" t="n">
        <v>2889.07996560619</v>
      </c>
    </row>
    <row r="521" customFormat="false" ht="12.8" hidden="false" customHeight="false" outlineLevel="0" collapsed="false">
      <c r="A521" s="0" t="n">
        <v>2893.37919174549</v>
      </c>
    </row>
    <row r="522" customFormat="false" ht="12.8" hidden="false" customHeight="false" outlineLevel="0" collapsed="false">
      <c r="A522" s="0" t="n">
        <v>2897.67841788478</v>
      </c>
    </row>
    <row r="523" customFormat="false" ht="12.8" hidden="false" customHeight="false" outlineLevel="0" collapsed="false">
      <c r="A523" s="0" t="n">
        <v>2901.97764402408</v>
      </c>
    </row>
    <row r="524" customFormat="false" ht="12.8" hidden="false" customHeight="false" outlineLevel="0" collapsed="false">
      <c r="A524" s="0" t="n">
        <v>2906.27687016337</v>
      </c>
    </row>
    <row r="525" customFormat="false" ht="12.8" hidden="false" customHeight="false" outlineLevel="0" collapsed="false">
      <c r="A525" s="0" t="n">
        <v>2910.57609630267</v>
      </c>
    </row>
    <row r="526" customFormat="false" ht="12.8" hidden="false" customHeight="false" outlineLevel="0" collapsed="false">
      <c r="A526" s="0" t="n">
        <v>2914.87532244196</v>
      </c>
    </row>
    <row r="527" customFormat="false" ht="12.8" hidden="false" customHeight="false" outlineLevel="0" collapsed="false">
      <c r="A527" s="0" t="n">
        <v>2919.17454858126</v>
      </c>
    </row>
    <row r="528" customFormat="false" ht="12.8" hidden="false" customHeight="false" outlineLevel="0" collapsed="false">
      <c r="A528" s="0" t="n">
        <v>2923.47377472055</v>
      </c>
    </row>
    <row r="529" customFormat="false" ht="12.8" hidden="false" customHeight="false" outlineLevel="0" collapsed="false">
      <c r="A529" s="0" t="n">
        <v>2927.77300085985</v>
      </c>
    </row>
    <row r="530" customFormat="false" ht="12.8" hidden="false" customHeight="false" outlineLevel="0" collapsed="false">
      <c r="A530" s="0" t="n">
        <v>2932.07222699914</v>
      </c>
    </row>
    <row r="531" customFormat="false" ht="12.8" hidden="false" customHeight="false" outlineLevel="0" collapsed="false">
      <c r="A531" s="0" t="n">
        <v>2936.37145313843</v>
      </c>
    </row>
    <row r="532" customFormat="false" ht="12.8" hidden="false" customHeight="false" outlineLevel="0" collapsed="false">
      <c r="A532" s="0" t="n">
        <v>2940.67067927773</v>
      </c>
    </row>
    <row r="533" customFormat="false" ht="12.8" hidden="false" customHeight="false" outlineLevel="0" collapsed="false">
      <c r="A533" s="0" t="n">
        <v>2944.96990541702</v>
      </c>
    </row>
    <row r="534" customFormat="false" ht="12.8" hidden="false" customHeight="false" outlineLevel="0" collapsed="false">
      <c r="A534" s="0" t="n">
        <v>2949.26913155632</v>
      </c>
    </row>
    <row r="535" customFormat="false" ht="12.8" hidden="false" customHeight="false" outlineLevel="0" collapsed="false">
      <c r="A535" s="0" t="n">
        <v>2953.56835769561</v>
      </c>
    </row>
    <row r="536" customFormat="false" ht="12.8" hidden="false" customHeight="false" outlineLevel="0" collapsed="false">
      <c r="A536" s="0" t="n">
        <v>2957.86758383491</v>
      </c>
    </row>
    <row r="537" customFormat="false" ht="12.8" hidden="false" customHeight="false" outlineLevel="0" collapsed="false">
      <c r="A537" s="0" t="n">
        <v>2962.1668099742</v>
      </c>
    </row>
    <row r="538" customFormat="false" ht="12.8" hidden="false" customHeight="false" outlineLevel="0" collapsed="false">
      <c r="A538" s="0" t="n">
        <v>2966.4660361135</v>
      </c>
    </row>
    <row r="539" customFormat="false" ht="12.8" hidden="false" customHeight="false" outlineLevel="0" collapsed="false">
      <c r="A539" s="0" t="n">
        <v>2970.76526225279</v>
      </c>
    </row>
    <row r="540" customFormat="false" ht="12.8" hidden="false" customHeight="false" outlineLevel="0" collapsed="false">
      <c r="A540" s="0" t="n">
        <v>2975.06448839209</v>
      </c>
    </row>
    <row r="541" customFormat="false" ht="12.8" hidden="false" customHeight="false" outlineLevel="0" collapsed="false">
      <c r="A541" s="0" t="n">
        <v>2979.36371453138</v>
      </c>
    </row>
    <row r="542" customFormat="false" ht="12.8" hidden="false" customHeight="false" outlineLevel="0" collapsed="false">
      <c r="A542" s="0" t="n">
        <v>2983.66294067068</v>
      </c>
    </row>
    <row r="543" customFormat="false" ht="12.8" hidden="false" customHeight="false" outlineLevel="0" collapsed="false">
      <c r="A543" s="0" t="n">
        <v>2987.96216680997</v>
      </c>
    </row>
    <row r="544" customFormat="false" ht="12.8" hidden="false" customHeight="false" outlineLevel="0" collapsed="false">
      <c r="A544" s="0" t="n">
        <v>2992.26139294927</v>
      </c>
    </row>
    <row r="545" customFormat="false" ht="12.8" hidden="false" customHeight="false" outlineLevel="0" collapsed="false">
      <c r="A545" s="0" t="n">
        <v>2996.56061908856</v>
      </c>
    </row>
    <row r="546" customFormat="false" ht="12.8" hidden="false" customHeight="false" outlineLevel="0" collapsed="false">
      <c r="A546" s="0" t="n">
        <v>3000.85984522786</v>
      </c>
    </row>
    <row r="547" customFormat="false" ht="12.8" hidden="false" customHeight="false" outlineLevel="0" collapsed="false">
      <c r="A547" s="0" t="n">
        <v>3005.15907136715</v>
      </c>
    </row>
    <row r="548" customFormat="false" ht="12.8" hidden="false" customHeight="false" outlineLevel="0" collapsed="false">
      <c r="A548" s="0" t="n">
        <v>3009.45829750645</v>
      </c>
    </row>
    <row r="549" customFormat="false" ht="12.8" hidden="false" customHeight="false" outlineLevel="0" collapsed="false">
      <c r="A549" s="0" t="n">
        <v>3013.75752364574</v>
      </c>
    </row>
    <row r="550" customFormat="false" ht="12.8" hidden="false" customHeight="false" outlineLevel="0" collapsed="false">
      <c r="A550" s="0" t="n">
        <v>3018.05674978504</v>
      </c>
    </row>
    <row r="551" customFormat="false" ht="12.8" hidden="false" customHeight="false" outlineLevel="0" collapsed="false">
      <c r="A551" s="0" t="n">
        <v>3022.35597592433</v>
      </c>
    </row>
    <row r="552" customFormat="false" ht="12.8" hidden="false" customHeight="false" outlineLevel="0" collapsed="false">
      <c r="A552" s="0" t="n">
        <v>3026.65520206363</v>
      </c>
    </row>
    <row r="553" customFormat="false" ht="12.8" hidden="false" customHeight="false" outlineLevel="0" collapsed="false">
      <c r="A553" s="0" t="n">
        <v>3030.95442820292</v>
      </c>
    </row>
    <row r="554" customFormat="false" ht="12.8" hidden="false" customHeight="false" outlineLevel="0" collapsed="false">
      <c r="A554" s="0" t="n">
        <v>3035.25365434222</v>
      </c>
    </row>
    <row r="555" customFormat="false" ht="12.8" hidden="false" customHeight="false" outlineLevel="0" collapsed="false">
      <c r="A555" s="0" t="n">
        <v>3039.55288048151</v>
      </c>
    </row>
    <row r="556" customFormat="false" ht="12.8" hidden="false" customHeight="false" outlineLevel="0" collapsed="false">
      <c r="A556" s="0" t="n">
        <v>3043.85210662081</v>
      </c>
    </row>
    <row r="557" customFormat="false" ht="12.8" hidden="false" customHeight="false" outlineLevel="0" collapsed="false">
      <c r="A557" s="0" t="n">
        <v>3048.1513327601</v>
      </c>
    </row>
    <row r="558" customFormat="false" ht="12.8" hidden="false" customHeight="false" outlineLevel="0" collapsed="false">
      <c r="A558" s="0" t="n">
        <v>3052.4505588994</v>
      </c>
    </row>
    <row r="559" customFormat="false" ht="12.8" hidden="false" customHeight="false" outlineLevel="0" collapsed="false">
      <c r="A559" s="0" t="n">
        <v>3056.74978503869</v>
      </c>
    </row>
    <row r="560" customFormat="false" ht="12.8" hidden="false" customHeight="false" outlineLevel="0" collapsed="false">
      <c r="A560" s="0" t="n">
        <v>3061.04901117799</v>
      </c>
    </row>
    <row r="561" customFormat="false" ht="12.8" hidden="false" customHeight="false" outlineLevel="0" collapsed="false">
      <c r="A561" s="0" t="n">
        <v>3065.34823731728</v>
      </c>
    </row>
    <row r="562" customFormat="false" ht="12.8" hidden="false" customHeight="false" outlineLevel="0" collapsed="false">
      <c r="A562" s="0" t="n">
        <v>3069.64746345658</v>
      </c>
    </row>
    <row r="563" customFormat="false" ht="12.8" hidden="false" customHeight="false" outlineLevel="0" collapsed="false">
      <c r="A563" s="0" t="n">
        <v>3073.94668959587</v>
      </c>
    </row>
    <row r="564" customFormat="false" ht="12.8" hidden="false" customHeight="false" outlineLevel="0" collapsed="false">
      <c r="A564" s="0" t="n">
        <v>3078.24591573517</v>
      </c>
    </row>
    <row r="565" customFormat="false" ht="12.8" hidden="false" customHeight="false" outlineLevel="0" collapsed="false">
      <c r="A565" s="0" t="n">
        <v>3082.54514187446</v>
      </c>
    </row>
    <row r="566" customFormat="false" ht="12.8" hidden="false" customHeight="false" outlineLevel="0" collapsed="false">
      <c r="A566" s="0" t="n">
        <v>3086.84436801376</v>
      </c>
    </row>
    <row r="567" customFormat="false" ht="12.8" hidden="false" customHeight="false" outlineLevel="0" collapsed="false">
      <c r="A567" s="0" t="n">
        <v>3091.14359415305</v>
      </c>
    </row>
    <row r="568" customFormat="false" ht="12.8" hidden="false" customHeight="false" outlineLevel="0" collapsed="false">
      <c r="A568" s="0" t="n">
        <v>3095.44282029235</v>
      </c>
    </row>
    <row r="569" customFormat="false" ht="12.8" hidden="false" customHeight="false" outlineLevel="0" collapsed="false">
      <c r="A569" s="0" t="n">
        <v>3099.74204643164</v>
      </c>
    </row>
    <row r="570" customFormat="false" ht="12.8" hidden="false" customHeight="false" outlineLevel="0" collapsed="false">
      <c r="A570" s="0" t="n">
        <v>3104.04127257094</v>
      </c>
    </row>
    <row r="571" customFormat="false" ht="12.8" hidden="false" customHeight="false" outlineLevel="0" collapsed="false">
      <c r="A571" s="0" t="n">
        <v>3108.34049871023</v>
      </c>
    </row>
    <row r="572" customFormat="false" ht="12.8" hidden="false" customHeight="false" outlineLevel="0" collapsed="false">
      <c r="A572" s="0" t="n">
        <v>3112.63972484953</v>
      </c>
    </row>
    <row r="573" customFormat="false" ht="12.8" hidden="false" customHeight="false" outlineLevel="0" collapsed="false">
      <c r="A573" s="0" t="n">
        <v>3116.93895098882</v>
      </c>
    </row>
    <row r="574" customFormat="false" ht="12.8" hidden="false" customHeight="false" outlineLevel="0" collapsed="false">
      <c r="A574" s="0" t="n">
        <v>3121.23817712812</v>
      </c>
    </row>
    <row r="575" customFormat="false" ht="12.8" hidden="false" customHeight="false" outlineLevel="0" collapsed="false">
      <c r="A575" s="0" t="n">
        <v>3125.53740326741</v>
      </c>
    </row>
    <row r="576" customFormat="false" ht="12.8" hidden="false" customHeight="false" outlineLevel="0" collapsed="false">
      <c r="A576" s="0" t="n">
        <v>3129.83662940671</v>
      </c>
    </row>
    <row r="577" customFormat="false" ht="12.8" hidden="false" customHeight="false" outlineLevel="0" collapsed="false">
      <c r="A577" s="0" t="n">
        <v>3134.135855546</v>
      </c>
    </row>
    <row r="578" customFormat="false" ht="12.8" hidden="false" customHeight="false" outlineLevel="0" collapsed="false">
      <c r="A578" s="0" t="n">
        <v>3138.4350816853</v>
      </c>
    </row>
    <row r="579" customFormat="false" ht="12.8" hidden="false" customHeight="false" outlineLevel="0" collapsed="false">
      <c r="A579" s="0" t="n">
        <v>3142.73430782459</v>
      </c>
    </row>
    <row r="580" customFormat="false" ht="12.8" hidden="false" customHeight="false" outlineLevel="0" collapsed="false">
      <c r="A580" s="0" t="n">
        <v>3147.03353396389</v>
      </c>
    </row>
    <row r="581" customFormat="false" ht="12.8" hidden="false" customHeight="false" outlineLevel="0" collapsed="false">
      <c r="A581" s="0" t="n">
        <v>3151.33276010318</v>
      </c>
    </row>
    <row r="582" customFormat="false" ht="12.8" hidden="false" customHeight="false" outlineLevel="0" collapsed="false">
      <c r="A582" s="0" t="n">
        <v>3155.63198624248</v>
      </c>
    </row>
    <row r="583" customFormat="false" ht="12.8" hidden="false" customHeight="false" outlineLevel="0" collapsed="false">
      <c r="A583" s="0" t="n">
        <v>3159.93121238177</v>
      </c>
    </row>
    <row r="584" customFormat="false" ht="12.8" hidden="false" customHeight="false" outlineLevel="0" collapsed="false">
      <c r="A584" s="0" t="n">
        <v>3164.23043852107</v>
      </c>
    </row>
    <row r="585" customFormat="false" ht="12.8" hidden="false" customHeight="false" outlineLevel="0" collapsed="false">
      <c r="A585" s="0" t="n">
        <v>3168.52966466036</v>
      </c>
    </row>
    <row r="586" customFormat="false" ht="12.8" hidden="false" customHeight="false" outlineLevel="0" collapsed="false">
      <c r="A586" s="0" t="n">
        <v>3172.82889079966</v>
      </c>
    </row>
    <row r="587" customFormat="false" ht="12.8" hidden="false" customHeight="false" outlineLevel="0" collapsed="false">
      <c r="A587" s="0" t="n">
        <v>3177.12811693895</v>
      </c>
    </row>
    <row r="588" customFormat="false" ht="12.8" hidden="false" customHeight="false" outlineLevel="0" collapsed="false">
      <c r="A588" s="0" t="n">
        <v>3181.42734307825</v>
      </c>
    </row>
    <row r="589" customFormat="false" ht="12.8" hidden="false" customHeight="false" outlineLevel="0" collapsed="false">
      <c r="A589" s="0" t="n">
        <v>3185.72656921754</v>
      </c>
    </row>
    <row r="590" customFormat="false" ht="12.8" hidden="false" customHeight="false" outlineLevel="0" collapsed="false">
      <c r="A590" s="0" t="n">
        <v>3190.02579535684</v>
      </c>
    </row>
    <row r="591" customFormat="false" ht="12.8" hidden="false" customHeight="false" outlineLevel="0" collapsed="false">
      <c r="A591" s="0" t="n">
        <v>3194.32502149613</v>
      </c>
    </row>
    <row r="592" customFormat="false" ht="12.8" hidden="false" customHeight="false" outlineLevel="0" collapsed="false">
      <c r="A592" s="0" t="n">
        <v>3198.62424763543</v>
      </c>
    </row>
    <row r="593" customFormat="false" ht="12.8" hidden="false" customHeight="false" outlineLevel="0" collapsed="false">
      <c r="A593" s="0" t="n">
        <v>3202.92347377472</v>
      </c>
    </row>
    <row r="594" customFormat="false" ht="12.8" hidden="false" customHeight="false" outlineLevel="0" collapsed="false">
      <c r="A594" s="0" t="n">
        <v>3207.22269991402</v>
      </c>
    </row>
    <row r="595" customFormat="false" ht="12.8" hidden="false" customHeight="false" outlineLevel="0" collapsed="false">
      <c r="A595" s="0" t="n">
        <v>3211.52192605331</v>
      </c>
    </row>
    <row r="596" customFormat="false" ht="12.8" hidden="false" customHeight="false" outlineLevel="0" collapsed="false">
      <c r="A596" s="0" t="n">
        <v>3215.82115219261</v>
      </c>
    </row>
    <row r="597" customFormat="false" ht="12.8" hidden="false" customHeight="false" outlineLevel="0" collapsed="false">
      <c r="A597" s="0" t="n">
        <v>3220.1203783319</v>
      </c>
    </row>
    <row r="598" customFormat="false" ht="12.8" hidden="false" customHeight="false" outlineLevel="0" collapsed="false">
      <c r="A598" s="0" t="n">
        <v>3224.4196044712</v>
      </c>
    </row>
    <row r="599" customFormat="false" ht="12.8" hidden="false" customHeight="false" outlineLevel="0" collapsed="false">
      <c r="A599" s="0" t="n">
        <v>3228.71883061049</v>
      </c>
    </row>
    <row r="600" customFormat="false" ht="12.8" hidden="false" customHeight="false" outlineLevel="0" collapsed="false">
      <c r="A600" s="0" t="n">
        <v>3233.01805674979</v>
      </c>
    </row>
    <row r="601" customFormat="false" ht="12.8" hidden="false" customHeight="false" outlineLevel="0" collapsed="false">
      <c r="A601" s="0" t="n">
        <v>3237.31728288908</v>
      </c>
    </row>
    <row r="602" customFormat="false" ht="12.8" hidden="false" customHeight="false" outlineLevel="0" collapsed="false">
      <c r="A602" s="0" t="n">
        <v>3241.61650902837</v>
      </c>
    </row>
    <row r="603" customFormat="false" ht="12.8" hidden="false" customHeight="false" outlineLevel="0" collapsed="false">
      <c r="A603" s="0" t="n">
        <v>3245.91573516767</v>
      </c>
    </row>
    <row r="604" customFormat="false" ht="12.8" hidden="false" customHeight="false" outlineLevel="0" collapsed="false">
      <c r="A604" s="0" t="n">
        <v>3250.21496130696</v>
      </c>
    </row>
    <row r="605" customFormat="false" ht="12.8" hidden="false" customHeight="false" outlineLevel="0" collapsed="false">
      <c r="A605" s="0" t="n">
        <v>3254.51418744626</v>
      </c>
    </row>
    <row r="606" customFormat="false" ht="12.8" hidden="false" customHeight="false" outlineLevel="0" collapsed="false">
      <c r="A606" s="0" t="n">
        <v>3258.81341358555</v>
      </c>
    </row>
    <row r="607" customFormat="false" ht="12.8" hidden="false" customHeight="false" outlineLevel="0" collapsed="false">
      <c r="A607" s="0" t="n">
        <v>3263.11263972485</v>
      </c>
    </row>
    <row r="608" customFormat="false" ht="12.8" hidden="false" customHeight="false" outlineLevel="0" collapsed="false">
      <c r="A608" s="0" t="n">
        <v>3267.41186586414</v>
      </c>
    </row>
    <row r="609" customFormat="false" ht="12.8" hidden="false" customHeight="false" outlineLevel="0" collapsed="false">
      <c r="A609" s="0" t="n">
        <v>3271.71109200344</v>
      </c>
    </row>
    <row r="610" customFormat="false" ht="12.8" hidden="false" customHeight="false" outlineLevel="0" collapsed="false">
      <c r="A610" s="0" t="n">
        <v>3276.01031814273</v>
      </c>
    </row>
    <row r="611" customFormat="false" ht="12.8" hidden="false" customHeight="false" outlineLevel="0" collapsed="false">
      <c r="A611" s="0" t="n">
        <v>3280.30954428203</v>
      </c>
    </row>
    <row r="612" customFormat="false" ht="12.8" hidden="false" customHeight="false" outlineLevel="0" collapsed="false">
      <c r="A612" s="0" t="n">
        <v>3284.60877042132</v>
      </c>
    </row>
    <row r="613" customFormat="false" ht="12.8" hidden="false" customHeight="false" outlineLevel="0" collapsed="false">
      <c r="A613" s="0" t="n">
        <v>3288.90799656062</v>
      </c>
    </row>
    <row r="614" customFormat="false" ht="12.8" hidden="false" customHeight="false" outlineLevel="0" collapsed="false">
      <c r="A614" s="0" t="n">
        <v>3293.20722269991</v>
      </c>
    </row>
    <row r="615" customFormat="false" ht="12.8" hidden="false" customHeight="false" outlineLevel="0" collapsed="false">
      <c r="A615" s="0" t="n">
        <v>3297.50644883921</v>
      </c>
    </row>
    <row r="616" customFormat="false" ht="12.8" hidden="false" customHeight="false" outlineLevel="0" collapsed="false">
      <c r="A616" s="0" t="n">
        <v>3301.8056749785</v>
      </c>
    </row>
    <row r="617" customFormat="false" ht="12.8" hidden="false" customHeight="false" outlineLevel="0" collapsed="false">
      <c r="A617" s="0" t="n">
        <v>3306.1049011178</v>
      </c>
    </row>
    <row r="618" customFormat="false" ht="12.8" hidden="false" customHeight="false" outlineLevel="0" collapsed="false">
      <c r="A618" s="0" t="n">
        <v>3310.40412725709</v>
      </c>
    </row>
    <row r="619" customFormat="false" ht="12.8" hidden="false" customHeight="false" outlineLevel="0" collapsed="false">
      <c r="A619" s="0" t="n">
        <v>3314.70335339639</v>
      </c>
    </row>
    <row r="620" customFormat="false" ht="12.8" hidden="false" customHeight="false" outlineLevel="0" collapsed="false">
      <c r="A620" s="0" t="n">
        <v>3319.00257953568</v>
      </c>
    </row>
    <row r="621" customFormat="false" ht="12.8" hidden="false" customHeight="false" outlineLevel="0" collapsed="false">
      <c r="A621" s="0" t="n">
        <v>3323.30180567498</v>
      </c>
    </row>
    <row r="622" customFormat="false" ht="12.8" hidden="false" customHeight="false" outlineLevel="0" collapsed="false">
      <c r="A622" s="0" t="n">
        <v>3327.60103181427</v>
      </c>
    </row>
    <row r="623" customFormat="false" ht="12.8" hidden="false" customHeight="false" outlineLevel="0" collapsed="false">
      <c r="A623" s="0" t="n">
        <v>3331.90025795357</v>
      </c>
    </row>
    <row r="624" customFormat="false" ht="12.8" hidden="false" customHeight="false" outlineLevel="0" collapsed="false">
      <c r="A624" s="0" t="n">
        <v>3336.19948409286</v>
      </c>
    </row>
    <row r="625" customFormat="false" ht="12.8" hidden="false" customHeight="false" outlineLevel="0" collapsed="false">
      <c r="A625" s="0" t="n">
        <v>3340.49871023216</v>
      </c>
    </row>
    <row r="626" customFormat="false" ht="12.8" hidden="false" customHeight="false" outlineLevel="0" collapsed="false">
      <c r="A626" s="0" t="n">
        <v>3344.79793637145</v>
      </c>
    </row>
    <row r="627" customFormat="false" ht="12.8" hidden="false" customHeight="false" outlineLevel="0" collapsed="false">
      <c r="A627" s="0" t="n">
        <v>3349.09716251075</v>
      </c>
    </row>
    <row r="628" customFormat="false" ht="12.8" hidden="false" customHeight="false" outlineLevel="0" collapsed="false">
      <c r="A628" s="0" t="n">
        <v>3353.39638865004</v>
      </c>
    </row>
    <row r="629" customFormat="false" ht="12.8" hidden="false" customHeight="false" outlineLevel="0" collapsed="false">
      <c r="A629" s="0" t="n">
        <v>3357.69561478934</v>
      </c>
    </row>
    <row r="630" customFormat="false" ht="12.8" hidden="false" customHeight="false" outlineLevel="0" collapsed="false">
      <c r="A630" s="0" t="n">
        <v>3361.99484092863</v>
      </c>
    </row>
    <row r="631" customFormat="false" ht="12.8" hidden="false" customHeight="false" outlineLevel="0" collapsed="false">
      <c r="A631" s="0" t="n">
        <v>3366.29406706793</v>
      </c>
    </row>
    <row r="632" customFormat="false" ht="12.8" hidden="false" customHeight="false" outlineLevel="0" collapsed="false">
      <c r="A632" s="0" t="n">
        <v>3370.59329320722</v>
      </c>
    </row>
    <row r="633" customFormat="false" ht="12.8" hidden="false" customHeight="false" outlineLevel="0" collapsed="false">
      <c r="A633" s="0" t="n">
        <v>3374.89251934652</v>
      </c>
    </row>
    <row r="634" customFormat="false" ht="12.8" hidden="false" customHeight="false" outlineLevel="0" collapsed="false">
      <c r="A634" s="0" t="n">
        <v>3379.19174548581</v>
      </c>
    </row>
    <row r="635" customFormat="false" ht="12.8" hidden="false" customHeight="false" outlineLevel="0" collapsed="false">
      <c r="A635" s="0" t="n">
        <v>3383.49097162511</v>
      </c>
    </row>
    <row r="636" customFormat="false" ht="12.8" hidden="false" customHeight="false" outlineLevel="0" collapsed="false">
      <c r="A636" s="0" t="n">
        <v>3387.7901977644</v>
      </c>
    </row>
    <row r="637" customFormat="false" ht="12.8" hidden="false" customHeight="false" outlineLevel="0" collapsed="false">
      <c r="A637" s="0" t="n">
        <v>3392.0894239037</v>
      </c>
    </row>
    <row r="638" customFormat="false" ht="12.8" hidden="false" customHeight="false" outlineLevel="0" collapsed="false">
      <c r="A638" s="0" t="n">
        <v>3396.38865004299</v>
      </c>
    </row>
    <row r="639" customFormat="false" ht="12.8" hidden="false" customHeight="false" outlineLevel="0" collapsed="false">
      <c r="A639" s="0" t="n">
        <v>3400.68787618229</v>
      </c>
    </row>
    <row r="640" customFormat="false" ht="12.8" hidden="false" customHeight="false" outlineLevel="0" collapsed="false">
      <c r="A640" s="0" t="n">
        <v>3404.98710232158</v>
      </c>
    </row>
    <row r="641" customFormat="false" ht="12.8" hidden="false" customHeight="false" outlineLevel="0" collapsed="false">
      <c r="A641" s="0" t="n">
        <v>3409.28632846088</v>
      </c>
    </row>
    <row r="642" customFormat="false" ht="12.8" hidden="false" customHeight="false" outlineLevel="0" collapsed="false">
      <c r="A642" s="0" t="n">
        <v>3413.58555460017</v>
      </c>
    </row>
    <row r="643" customFormat="false" ht="12.8" hidden="false" customHeight="false" outlineLevel="0" collapsed="false">
      <c r="A643" s="0" t="n">
        <v>3417.88478073947</v>
      </c>
    </row>
    <row r="644" customFormat="false" ht="12.8" hidden="false" customHeight="false" outlineLevel="0" collapsed="false">
      <c r="A644" s="0" t="n">
        <v>3422.18400687876</v>
      </c>
    </row>
    <row r="645" customFormat="false" ht="12.8" hidden="false" customHeight="false" outlineLevel="0" collapsed="false">
      <c r="A645" s="0" t="n">
        <v>3426.48323301806</v>
      </c>
    </row>
    <row r="646" customFormat="false" ht="12.8" hidden="false" customHeight="false" outlineLevel="0" collapsed="false">
      <c r="A646" s="0" t="n">
        <v>3430.78245915735</v>
      </c>
    </row>
    <row r="647" customFormat="false" ht="12.8" hidden="false" customHeight="false" outlineLevel="0" collapsed="false">
      <c r="A647" s="0" t="n">
        <v>3435.08168529665</v>
      </c>
    </row>
    <row r="648" customFormat="false" ht="12.8" hidden="false" customHeight="false" outlineLevel="0" collapsed="false">
      <c r="A648" s="0" t="n">
        <v>3439.38091143594</v>
      </c>
    </row>
    <row r="649" customFormat="false" ht="12.8" hidden="false" customHeight="false" outlineLevel="0" collapsed="false">
      <c r="A649" s="0" t="n">
        <v>3869.30352536543</v>
      </c>
    </row>
    <row r="650" customFormat="false" ht="12.8" hidden="false" customHeight="false" outlineLevel="0" collapsed="false">
      <c r="A650" s="0" t="n">
        <v>4299.22613929493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10</TotalTime>
  <Application>LibreOffice/6.0.2.1$Windows_X86_64 LibreOffice_project/f7f06a8f319e4b62f9bc5095aa112a65d2f3ac89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2018-07-11T10:23:13Z</dcterms:created>
  <dc:creator/>
  <dc:description/>
  <dc:language>en-US</dc:language>
  <cp:lastModifiedBy/>
  <dcterms:modified xsi:type="dcterms:W3CDTF">2018-07-11T10:34:05Z</dcterms:modified>
  <cp:revision>7</cp:revision>
  <dc:subject/>
  <dc:title/>
</cp:coreProperties>
</file>