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11295" windowHeight="5325" activeTab="1"/>
  </bookViews>
  <sheets>
    <sheet name="Properties" sheetId="13" r:id="rId1"/>
    <sheet name="Functions" sheetId="14" r:id="rId2"/>
  </sheets>
  <functionGroups/>
  <calcPr calcId="124519"/>
</workbook>
</file>

<file path=xl/calcChain.xml><?xml version="1.0" encoding="utf-8"?>
<calcChain xmlns="http://schemas.openxmlformats.org/spreadsheetml/2006/main">
  <c r="F9" i="14"/>
  <c r="F112"/>
  <c r="F111"/>
  <c r="F107"/>
  <c r="F106"/>
  <c r="F104"/>
  <c r="F103"/>
  <c r="F100"/>
  <c r="F99"/>
  <c r="F98"/>
  <c r="F97"/>
  <c r="F96"/>
  <c r="F95"/>
  <c r="F94"/>
  <c r="F91"/>
  <c r="F90"/>
  <c r="F87"/>
  <c r="F86"/>
  <c r="F85"/>
  <c r="F81"/>
  <c r="F80"/>
  <c r="F79"/>
  <c r="F78"/>
  <c r="F77"/>
  <c r="F76"/>
  <c r="F75"/>
  <c r="F73"/>
  <c r="F72"/>
  <c r="F71"/>
  <c r="F70"/>
  <c r="F69"/>
  <c r="F68"/>
  <c r="F67"/>
  <c r="F65"/>
  <c r="F64"/>
  <c r="F63"/>
  <c r="F62"/>
  <c r="F61"/>
  <c r="F60"/>
  <c r="F59"/>
  <c r="F57"/>
  <c r="F56"/>
  <c r="F55"/>
  <c r="F54"/>
  <c r="F53"/>
  <c r="F52"/>
  <c r="F51"/>
  <c r="F48"/>
  <c r="F47"/>
  <c r="F46"/>
  <c r="F45"/>
  <c r="F44"/>
  <c r="F42"/>
  <c r="F41"/>
  <c r="F40"/>
  <c r="F39"/>
  <c r="F38"/>
  <c r="F37"/>
  <c r="F36"/>
  <c r="F34"/>
  <c r="F33"/>
  <c r="F32"/>
  <c r="F31"/>
  <c r="F30"/>
  <c r="F29"/>
  <c r="F28"/>
  <c r="F26"/>
  <c r="F25"/>
  <c r="F24"/>
  <c r="F23"/>
  <c r="F22"/>
  <c r="F21"/>
  <c r="F20"/>
  <c r="F19"/>
  <c r="F18"/>
  <c r="F16"/>
  <c r="F15"/>
  <c r="F14"/>
  <c r="F12"/>
  <c r="F11"/>
  <c r="F10"/>
  <c r="G29" i="13"/>
  <c r="C29"/>
  <c r="G28"/>
  <c r="C28"/>
  <c r="D49" i="14" l="1"/>
  <c r="F49"/>
  <c r="G26" i="13"/>
  <c r="C26"/>
  <c r="G25"/>
  <c r="G24"/>
  <c r="C24"/>
  <c r="G23"/>
  <c r="C23"/>
  <c r="G22"/>
  <c r="C22"/>
  <c r="C25" s="1"/>
  <c r="C27" l="1"/>
  <c r="G27"/>
  <c r="G16"/>
  <c r="C16"/>
  <c r="G15"/>
  <c r="C15"/>
  <c r="G14"/>
  <c r="C14"/>
  <c r="G12"/>
  <c r="C12"/>
  <c r="G11"/>
  <c r="C11"/>
  <c r="G10"/>
  <c r="C10"/>
  <c r="G8"/>
  <c r="C8"/>
  <c r="C17" l="1"/>
  <c r="G17"/>
</calcChain>
</file>

<file path=xl/sharedStrings.xml><?xml version="1.0" encoding="utf-8"?>
<sst xmlns="http://schemas.openxmlformats.org/spreadsheetml/2006/main" count="515" uniqueCount="243">
  <si>
    <t>X Steam Tables</t>
  </si>
  <si>
    <t xml:space="preserve">Excel macros, IF-97 Steam tables. </t>
  </si>
  <si>
    <t>The excel scripts are stored inside this workbook. A complete list of functions for use is available on the "Calling functions" worksheet</t>
  </si>
  <si>
    <t>By: Magnus Holmgren</t>
  </si>
  <si>
    <t>The steam tables are free and provided as is. We take no responsibilities for any errors in the code or damage thereby.</t>
  </si>
  <si>
    <t>www.x-eng.com</t>
  </si>
  <si>
    <t>OBS: This workbook uses macros. Set security options in Tools:Macro:Security… to enable macros.</t>
  </si>
  <si>
    <t>Saturation properties given temperature</t>
  </si>
  <si>
    <t>Saturation properties given pressure</t>
  </si>
  <si>
    <t>Temperature</t>
  </si>
  <si>
    <t>°C</t>
  </si>
  <si>
    <t>Pressure</t>
  </si>
  <si>
    <t>Saturation pressure</t>
  </si>
  <si>
    <t>Saturation temperature</t>
  </si>
  <si>
    <t>Liquid</t>
  </si>
  <si>
    <t>Enthalpy</t>
  </si>
  <si>
    <t>kJ/kg</t>
  </si>
  <si>
    <t>Density</t>
  </si>
  <si>
    <t>kg/m3</t>
  </si>
  <si>
    <t>Entropy</t>
  </si>
  <si>
    <t>kJ/kgK</t>
  </si>
  <si>
    <t>Vapour</t>
  </si>
  <si>
    <t>Vapour enthalpy</t>
  </si>
  <si>
    <t>Vapour density</t>
  </si>
  <si>
    <t>Vapour Entropy</t>
  </si>
  <si>
    <t>vapour Entropy</t>
  </si>
  <si>
    <t>Evaporation energy</t>
  </si>
  <si>
    <t>Properties given pressure and temperature</t>
  </si>
  <si>
    <t>Properties given pressure and enthalpy</t>
  </si>
  <si>
    <t>Vapour fraction</t>
  </si>
  <si>
    <t>%</t>
  </si>
  <si>
    <t>IF97 Region</t>
  </si>
  <si>
    <t>Phase</t>
  </si>
  <si>
    <t xml:space="preserve">Isobaric heat capacity </t>
  </si>
  <si>
    <t>Speed of sound</t>
  </si>
  <si>
    <t>m/s</t>
  </si>
  <si>
    <t>v2.5</t>
  </si>
  <si>
    <t>http://www.x-eng.com</t>
  </si>
  <si>
    <t xml:space="preserve">Steam tables by Magnus Holmgren according to IAPWS IF-97 </t>
  </si>
  <si>
    <t>The excel scripts are stored inside this workbook. (No extra files are needed. Start from a copy of this workbook. This page can be removed)</t>
  </si>
  <si>
    <t>For error-reporting, feedback, other units etc. contact:</t>
  </si>
  <si>
    <t>magnus@x-eng.com</t>
  </si>
  <si>
    <t xml:space="preserve"> Tsat_p</t>
  </si>
  <si>
    <t>bar</t>
  </si>
  <si>
    <t xml:space="preserve"> T_ph</t>
  </si>
  <si>
    <t>Temperture as a function of pressure and enthalpy</t>
  </si>
  <si>
    <t xml:space="preserve"> T_ps</t>
  </si>
  <si>
    <t>kJ/(kg K)</t>
  </si>
  <si>
    <t>Temperture as a function of pressure and entropy</t>
  </si>
  <si>
    <t xml:space="preserve"> T_hs</t>
  </si>
  <si>
    <t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</si>
  <si>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</si>
  <si>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</si>
  <si>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</si>
  <si>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</si>
  <si>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>Pressure as a function of h and rho (density). Very unaccurate for solid water region since it's almost incompressible!</t>
  </si>
  <si>
    <t xml:space="preserve"> hV_p</t>
  </si>
  <si>
    <t>Saturated vapour enthalpy</t>
  </si>
  <si>
    <t xml:space="preserve"> hL_p</t>
  </si>
  <si>
    <t>Saturated liquid enthalpy</t>
  </si>
  <si>
    <t xml:space="preserve"> hV_T</t>
  </si>
  <si>
    <t xml:space="preserve"> hL_T</t>
  </si>
  <si>
    <t xml:space="preserve"> h_pT</t>
  </si>
  <si>
    <t>Entalpy as a function of pressure and temperature.</t>
  </si>
  <si>
    <t xml:space="preserve"> h_ps</t>
  </si>
  <si>
    <t>Entalpy as a function of pressure and entropy.</t>
  </si>
  <si>
    <t xml:space="preserve"> h_px</t>
  </si>
  <si>
    <t>Entalpy as a function of pressure and vapour fraction</t>
  </si>
  <si>
    <t xml:space="preserve"> h_Tx</t>
  </si>
  <si>
    <t>Entalpy as a function of temperature and vapour fraction</t>
  </si>
  <si>
    <t xml:space="preserve"> h_prho</t>
  </si>
  <si>
    <t>Entalpy as a function of pressure and density. Observe for low temperatures (liquid) this equation has 2 solutions. (Not valid!!)</t>
  </si>
  <si>
    <t>Specific volume</t>
  </si>
  <si>
    <t xml:space="preserve"> vV_p</t>
  </si>
  <si>
    <t>m3/kg</t>
  </si>
  <si>
    <t>Saturated vapour volume</t>
  </si>
  <si>
    <t xml:space="preserve"> vL_p</t>
  </si>
  <si>
    <t>Saturated liquid volume</t>
  </si>
  <si>
    <t xml:space="preserve"> vV_T</t>
  </si>
  <si>
    <t xml:space="preserve"> vL_T</t>
  </si>
  <si>
    <t xml:space="preserve"> v_pT</t>
  </si>
  <si>
    <t>Specific volume as a function of pressure and temperature.</t>
  </si>
  <si>
    <t xml:space="preserve"> v_ph</t>
  </si>
  <si>
    <t>Specific volume as a function of pressure and enthalpy</t>
  </si>
  <si>
    <t xml:space="preserve"> v_ps</t>
  </si>
  <si>
    <t>Specific volume as a function of pressure and entropy.</t>
  </si>
  <si>
    <t xml:space="preserve"> rhoV_p</t>
  </si>
  <si>
    <t>Saturated vapour density</t>
  </si>
  <si>
    <t xml:space="preserve"> rhoL_p</t>
  </si>
  <si>
    <t>Saturated liquid density</t>
  </si>
  <si>
    <t xml:space="preserve"> rhoV_T</t>
  </si>
  <si>
    <t xml:space="preserve"> rhoL_T</t>
  </si>
  <si>
    <t xml:space="preserve"> rho_pT</t>
  </si>
  <si>
    <t>Density as a function of pressure and temperature.</t>
  </si>
  <si>
    <t xml:space="preserve"> rho_ph</t>
  </si>
  <si>
    <t>Density as a function of pressure and enthalpy</t>
  </si>
  <si>
    <t xml:space="preserve"> rho_ps</t>
  </si>
  <si>
    <t>Density as a function of pressure and entropy.</t>
  </si>
  <si>
    <t xml:space="preserve">Specific entropy </t>
  </si>
  <si>
    <t xml:space="preserve"> sV_p</t>
  </si>
  <si>
    <t>Saturated vapour entropy</t>
  </si>
  <si>
    <t xml:space="preserve"> sL_p</t>
  </si>
  <si>
    <t>Saturated liquid entropy</t>
  </si>
  <si>
    <t xml:space="preserve"> sV_T</t>
  </si>
  <si>
    <t xml:space="preserve"> sL_T</t>
  </si>
  <si>
    <t xml:space="preserve"> s_pT</t>
  </si>
  <si>
    <t>Specific entropy as a function of pressure and temperature (Returns saturated vapour entalpy if mixture.)</t>
  </si>
  <si>
    <t xml:space="preserve"> s_ph</t>
  </si>
  <si>
    <t>Specific entropy as a function of pressure and enthalpy</t>
  </si>
  <si>
    <t xml:space="preserve">Specific internal energy </t>
  </si>
  <si>
    <t xml:space="preserve"> uV_p</t>
  </si>
  <si>
    <t>Saturated vapour internal energy</t>
  </si>
  <si>
    <t xml:space="preserve"> uL_p</t>
  </si>
  <si>
    <t>Saturated liquid internal energy</t>
  </si>
  <si>
    <t xml:space="preserve"> uV_T</t>
  </si>
  <si>
    <t xml:space="preserve"> uL_T</t>
  </si>
  <si>
    <t xml:space="preserve"> u_pT</t>
  </si>
  <si>
    <t>Specific internal energy as a function of pressure and temperature.</t>
  </si>
  <si>
    <t xml:space="preserve"> u_ph</t>
  </si>
  <si>
    <t>Specific internal energy as a function of pressure and enthalpy</t>
  </si>
  <si>
    <t xml:space="preserve"> u_ps</t>
  </si>
  <si>
    <t>Specific internal energy as a function of pressure and entropy.</t>
  </si>
  <si>
    <t xml:space="preserve">Specific isobaric heat capacity </t>
  </si>
  <si>
    <t xml:space="preserve"> CpV_p</t>
  </si>
  <si>
    <t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</si>
  <si>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</si>
  <si>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</si>
  <si>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</si>
  <si>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</si>
  <si>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</si>
  <si>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</si>
  <si>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>Specific isobaric heat capacity as a function of pressure and temperature.</t>
  </si>
  <si>
    <t xml:space="preserve"> Cp_ph</t>
  </si>
  <si>
    <t>Specific isobaric heat capacity as a function of pressure and enthalpy</t>
  </si>
  <si>
    <t xml:space="preserve"> Cp_ps</t>
  </si>
  <si>
    <t>Specific isobaric heat capacity as a function of pressure and entropy.</t>
  </si>
  <si>
    <t xml:space="preserve">Specific isochoric heat capacity </t>
  </si>
  <si>
    <t xml:space="preserve"> CvV_p</t>
  </si>
  <si>
    <t>Saturated vapour isochoric heat capacity</t>
  </si>
  <si>
    <t xml:space="preserve"> CvL_p</t>
  </si>
  <si>
    <t>Saturated liquid isochoric heat capacity</t>
  </si>
  <si>
    <t xml:space="preserve"> CvV_T</t>
  </si>
  <si>
    <t xml:space="preserve"> CvL_T</t>
  </si>
  <si>
    <t xml:space="preserve"> Cv_pT</t>
  </si>
  <si>
    <t>Specific isochoric heat capacity as a function of pressure and temperature.</t>
  </si>
  <si>
    <t xml:space="preserve"> Cv_ph</t>
  </si>
  <si>
    <t>Specific isochoric heat capacity as a function of pressure and enthalpy</t>
  </si>
  <si>
    <t xml:space="preserve"> Cv_ps</t>
  </si>
  <si>
    <t>Specific isochoric heat capacity as a function of pressure and entropy.</t>
  </si>
  <si>
    <t xml:space="preserve">Speed of sound </t>
  </si>
  <si>
    <t xml:space="preserve"> wV_p</t>
  </si>
  <si>
    <t>Saturated vapour speed of sound</t>
  </si>
  <si>
    <t xml:space="preserve"> wL_p</t>
  </si>
  <si>
    <t>Saturated liquid speed of sound</t>
  </si>
  <si>
    <t xml:space="preserve"> wV_T</t>
  </si>
  <si>
    <t xml:space="preserve"> wL_T</t>
  </si>
  <si>
    <t xml:space="preserve"> w_pT</t>
  </si>
  <si>
    <t>Speed of sound as a function of pressure and temperature.</t>
  </si>
  <si>
    <t xml:space="preserve"> w_ph</t>
  </si>
  <si>
    <t>Speed of sound as a function of pressure and enthalpy</t>
  </si>
  <si>
    <t xml:space="preserve"> w_ps</t>
  </si>
  <si>
    <t>Speed of sound as a function of pressure and entropy.</t>
  </si>
  <si>
    <t>Dynamic Viscosity</t>
  </si>
  <si>
    <t>Viscosity is not part of IAPWS Steam IF97. Equations from "Revised Release on the IAPWS Formulation 1985 for the Viscosity of Ordinary Water Substance", 2003 are used.</t>
  </si>
  <si>
    <t>Viscosity in the mixed region (4) is interpolated according to the density. This is not true since it will be two fases.</t>
  </si>
  <si>
    <t xml:space="preserve"> my_pT</t>
  </si>
  <si>
    <t>Pa s</t>
  </si>
  <si>
    <t>Viscosity as a function of pressure and temperature.</t>
  </si>
  <si>
    <t xml:space="preserve"> my_ph</t>
  </si>
  <si>
    <t>Viscosity as a function of pressure and enthalpy</t>
  </si>
  <si>
    <t xml:space="preserve"> my_ps</t>
  </si>
  <si>
    <t>Viscosity as a function of pressure and entropy.</t>
  </si>
  <si>
    <t>Prandtl</t>
  </si>
  <si>
    <t>Calcualted as Cp*my/tc</t>
  </si>
  <si>
    <t xml:space="preserve"> pr_pT</t>
  </si>
  <si>
    <t>-</t>
  </si>
  <si>
    <t xml:space="preserve"> pr_ph</t>
  </si>
  <si>
    <t>Thermal Conductivity</t>
  </si>
  <si>
    <t>Revised release on the IAPS Formulation 1985 for the Thermal Conductivity of ordinary water substance (IAPWS 1998)</t>
  </si>
  <si>
    <t xml:space="preserve"> tcL_p</t>
  </si>
  <si>
    <t>W/(m K)</t>
  </si>
  <si>
    <t>Saturated vapour thermal conductivity</t>
  </si>
  <si>
    <t xml:space="preserve"> tcV_p</t>
  </si>
  <si>
    <t>Saturated liquid thermal conductivity</t>
  </si>
  <si>
    <t xml:space="preserve"> tcL_T</t>
  </si>
  <si>
    <t xml:space="preserve"> tcV_T</t>
  </si>
  <si>
    <t xml:space="preserve"> tc_pT</t>
  </si>
  <si>
    <t>Thermal conductivity as a function of pressure and temperature.</t>
  </si>
  <si>
    <t xml:space="preserve"> tc_ph</t>
  </si>
  <si>
    <t>Thermal conductivity as a function of pressure and enthalpy</t>
  </si>
  <si>
    <t xml:space="preserve"> tc_hs</t>
  </si>
  <si>
    <t>Thermal conductivity as a function of enthalpy and entropy</t>
  </si>
  <si>
    <t>Surface Tension</t>
  </si>
  <si>
    <t>IAPWS Release on Surface Tension of Ordinary Water Substance, September 1994</t>
  </si>
  <si>
    <t xml:space="preserve"> st_T</t>
  </si>
  <si>
    <t>N/m</t>
  </si>
  <si>
    <t>Surface tension for two phase water/steam as a function of T</t>
  </si>
  <si>
    <t xml:space="preserve"> st_p</t>
  </si>
  <si>
    <t xml:space="preserve"> x_ph</t>
  </si>
  <si>
    <t>Vapour fraction as a function of pressure and enthalpy</t>
  </si>
  <si>
    <t xml:space="preserve"> x_ps</t>
  </si>
  <si>
    <t>Vapour fraction as a function of pressure and entropy.</t>
  </si>
  <si>
    <t>Vapour Volume Fraction</t>
  </si>
  <si>
    <t>Observe that vapour volume fraction is very sensitive. Vapour volume is about 1000 times greater than liquid volume and therfore vapour volume fraction</t>
  </si>
  <si>
    <t>gets close to the accurancy of steam IF-97</t>
  </si>
  <si>
    <t xml:space="preserve"> vx_ph</t>
  </si>
  <si>
    <t>Vapour volume fraction as a function of pressure and enthalpy</t>
  </si>
  <si>
    <t xml:space="preserve"> vx_ps</t>
  </si>
  <si>
    <t>Vapour volume fraction as a function of pressure and entropy.</t>
  </si>
  <si>
    <t>Version history</t>
  </si>
  <si>
    <t>News in V2.5</t>
  </si>
  <si>
    <t>* DLL distrubution for use in other applications</t>
  </si>
  <si>
    <t>* Freebasic translation</t>
  </si>
  <si>
    <t>* Fixed small error in Cv Region 5 p&gt;1000bar</t>
  </si>
  <si>
    <t>News in V2.4a</t>
  </si>
  <si>
    <t>* ToSIUnit for h_ps region 4. (No effect in SI unit version).</t>
  </si>
  <si>
    <t>News in V2.4</t>
  </si>
  <si>
    <t>* Functions by p,rho inplemented in matlab also.</t>
  </si>
  <si>
    <t>* Many missing ; in matlab causing printouts detected.</t>
  </si>
  <si>
    <t>* OpenOffice version introduced. (Fixed calculation differences in open office and excel)</t>
  </si>
  <si>
    <t>* Matlab error giving varaible undefined in some backwards solutions fixed.</t>
  </si>
  <si>
    <t>News in V2.3</t>
  </si>
  <si>
    <t>* Option Explicit, gives more efficient calculations.</t>
  </si>
  <si>
    <t>* Extensive testing</t>
  </si>
  <si>
    <t>* my_ph not defined in region 4.</t>
  </si>
  <si>
    <t>* Problems at region border for h4V_p to adress solver problems at the exact border.</t>
  </si>
  <si>
    <t>* Problem at fast border check in region_ph fixed.</t>
  </si>
  <si>
    <t>News in V2.2</t>
  </si>
  <si>
    <t>* Fixed error in Cp_ph</t>
  </si>
  <si>
    <t>* Function p_hrho added. (Very good for calcualting pressure when heating a volume with water/steam mixture.)</t>
  </si>
  <si>
    <t>* Fixed error in T_hs return no value for vet region bellow the water saturation line.</t>
  </si>
  <si>
    <t>* Prandtl number added</t>
  </si>
  <si>
    <t>News in V2.1</t>
  </si>
  <si>
    <t>* Calling function h_prho</t>
  </si>
  <si>
    <t>* Fixed problem with Cv reporting NaN in region 5.</t>
  </si>
  <si>
    <t>* Equivivalent to the Matlab version. (Downloadable from www.x-eng.com)</t>
  </si>
  <si>
    <t>News in V2</t>
  </si>
  <si>
    <t>* Calling functions of h and s added.</t>
  </si>
  <si>
    <t>* Thermal conductivity, Surface tension added</t>
  </si>
  <si>
    <t>* Calling functions h_px and h_tx added.</t>
  </si>
  <si>
    <t>* Cp, Cv and w undefined in the mixed region. (Before interpolation with the vapor fraction was used.)</t>
  </si>
  <si>
    <t>* A work sheet "Properties" for simple lookups added.</t>
  </si>
  <si>
    <t>kPa</t>
  </si>
</sst>
</file>

<file path=xl/styles.xml><?xml version="1.0" encoding="utf-8"?>
<styleSheet xmlns="http://schemas.openxmlformats.org/spreadsheetml/2006/main">
  <numFmts count="4">
    <numFmt numFmtId="164" formatCode="0.0000E+00"/>
    <numFmt numFmtId="165" formatCode="0.0000"/>
    <numFmt numFmtId="166" formatCode="0.000"/>
    <numFmt numFmtId="167" formatCode="0.0"/>
  </numFmts>
  <fonts count="1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color indexed="12"/>
      <name val="Arial"/>
      <family val="2"/>
    </font>
    <font>
      <b/>
      <u/>
      <sz val="8"/>
      <color indexed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u/>
      <sz val="8"/>
      <color indexed="12"/>
      <name val="Arial"/>
      <family val="2"/>
    </font>
    <font>
      <b/>
      <i/>
      <sz val="12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lightGray">
        <fgColor indexed="9"/>
        <bgColor indexed="41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2">
    <xf numFmtId="0" fontId="0" fillId="0" borderId="0" xfId="0"/>
    <xf numFmtId="0" fontId="2" fillId="0" borderId="0" xfId="1" applyFont="1"/>
    <xf numFmtId="0" fontId="3" fillId="0" borderId="0" xfId="1" applyFont="1"/>
    <xf numFmtId="0" fontId="1" fillId="0" borderId="0" xfId="1" applyFont="1"/>
    <xf numFmtId="0" fontId="5" fillId="0" borderId="0" xfId="2" applyFont="1" applyAlignment="1" applyProtection="1"/>
    <xf numFmtId="0" fontId="6" fillId="0" borderId="0" xfId="1" applyFont="1"/>
    <xf numFmtId="0" fontId="7" fillId="0" borderId="0" xfId="1" applyFont="1"/>
    <xf numFmtId="0" fontId="8" fillId="0" borderId="0" xfId="2" applyFont="1" applyAlignment="1" applyProtection="1"/>
    <xf numFmtId="0" fontId="1" fillId="0" borderId="0" xfId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Font="1"/>
    <xf numFmtId="164" fontId="12" fillId="0" borderId="0" xfId="1" applyNumberFormat="1" applyFont="1"/>
    <xf numFmtId="0" fontId="1" fillId="0" borderId="0" xfId="1" applyFont="1" applyBorder="1"/>
    <xf numFmtId="0" fontId="1" fillId="0" borderId="0" xfId="1" applyBorder="1"/>
    <xf numFmtId="0" fontId="10" fillId="0" borderId="0" xfId="1" applyFont="1" applyBorder="1"/>
    <xf numFmtId="165" fontId="12" fillId="0" borderId="0" xfId="1" applyNumberFormat="1" applyFont="1"/>
    <xf numFmtId="0" fontId="4" fillId="0" borderId="0" xfId="2" applyAlignment="1" applyProtection="1"/>
    <xf numFmtId="0" fontId="12" fillId="0" borderId="0" xfId="1" applyFont="1" applyFill="1" applyBorder="1"/>
    <xf numFmtId="0" fontId="1" fillId="0" borderId="0" xfId="1" applyFill="1" applyBorder="1"/>
    <xf numFmtId="0" fontId="1" fillId="2" borderId="1" xfId="1" applyFill="1" applyBorder="1"/>
    <xf numFmtId="2" fontId="12" fillId="3" borderId="2" xfId="1" applyNumberFormat="1" applyFont="1" applyFill="1" applyBorder="1"/>
    <xf numFmtId="0" fontId="1" fillId="2" borderId="3" xfId="1" applyFill="1" applyBorder="1"/>
    <xf numFmtId="166" fontId="12" fillId="3" borderId="2" xfId="1" applyNumberFormat="1" applyFont="1" applyFill="1" applyBorder="1"/>
    <xf numFmtId="0" fontId="1" fillId="0" borderId="4" xfId="1" applyBorder="1"/>
    <xf numFmtId="166" fontId="1" fillId="0" borderId="0" xfId="1" applyNumberFormat="1" applyBorder="1"/>
    <xf numFmtId="0" fontId="1" fillId="0" borderId="5" xfId="1" applyBorder="1"/>
    <xf numFmtId="2" fontId="1" fillId="0" borderId="0" xfId="1" applyNumberFormat="1" applyBorder="1"/>
    <xf numFmtId="0" fontId="12" fillId="0" borderId="4" xfId="1" applyFont="1" applyBorder="1"/>
    <xf numFmtId="167" fontId="1" fillId="0" borderId="0" xfId="1" applyNumberFormat="1" applyBorder="1"/>
    <xf numFmtId="0" fontId="12" fillId="0" borderId="4" xfId="1" applyFont="1" applyFill="1" applyBorder="1"/>
    <xf numFmtId="0" fontId="1" fillId="0" borderId="6" xfId="1" applyBorder="1"/>
    <xf numFmtId="167" fontId="1" fillId="0" borderId="7" xfId="1" applyNumberFormat="1" applyBorder="1"/>
    <xf numFmtId="0" fontId="1" fillId="0" borderId="8" xfId="1" applyBorder="1"/>
    <xf numFmtId="0" fontId="1" fillId="2" borderId="4" xfId="1" applyFill="1" applyBorder="1"/>
    <xf numFmtId="2" fontId="12" fillId="3" borderId="0" xfId="1" applyNumberFormat="1" applyFont="1" applyFill="1" applyBorder="1"/>
    <xf numFmtId="0" fontId="1" fillId="2" borderId="5" xfId="1" applyFill="1" applyBorder="1"/>
    <xf numFmtId="0" fontId="1" fillId="0" borderId="4" xfId="1" applyFill="1" applyBorder="1"/>
    <xf numFmtId="0" fontId="1" fillId="0" borderId="5" xfId="1" applyFill="1" applyBorder="1"/>
    <xf numFmtId="0" fontId="12" fillId="0" borderId="0" xfId="1" applyFont="1" applyBorder="1" applyAlignment="1">
      <alignment horizontal="center"/>
    </xf>
    <xf numFmtId="0" fontId="1" fillId="0" borderId="7" xfId="1" applyBorder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x-eng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agnus@x-eng.com" TargetMode="External"/><Relationship Id="rId1" Type="http://schemas.openxmlformats.org/officeDocument/2006/relationships/hyperlink" Target="http://www.x-e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J29"/>
  <sheetViews>
    <sheetView workbookViewId="0">
      <selection activeCell="H40" sqref="H40"/>
    </sheetView>
  </sheetViews>
  <sheetFormatPr defaultRowHeight="12.75"/>
  <cols>
    <col min="1" max="1" width="2.5703125" style="8" customWidth="1"/>
    <col min="2" max="2" width="21" style="8" customWidth="1"/>
    <col min="3" max="4" width="9.140625" style="8"/>
    <col min="5" max="5" width="4.7109375" style="8" customWidth="1"/>
    <col min="6" max="6" width="20.7109375" style="8" customWidth="1"/>
    <col min="7" max="256" width="9.140625" style="8"/>
    <col min="257" max="257" width="2.5703125" style="8" customWidth="1"/>
    <col min="258" max="258" width="21" style="8" customWidth="1"/>
    <col min="259" max="260" width="9.140625" style="8"/>
    <col min="261" max="261" width="4.7109375" style="8" customWidth="1"/>
    <col min="262" max="262" width="20.7109375" style="8" customWidth="1"/>
    <col min="263" max="512" width="9.140625" style="8"/>
    <col min="513" max="513" width="2.5703125" style="8" customWidth="1"/>
    <col min="514" max="514" width="21" style="8" customWidth="1"/>
    <col min="515" max="516" width="9.140625" style="8"/>
    <col min="517" max="517" width="4.7109375" style="8" customWidth="1"/>
    <col min="518" max="518" width="20.7109375" style="8" customWidth="1"/>
    <col min="519" max="768" width="9.140625" style="8"/>
    <col min="769" max="769" width="2.5703125" style="8" customWidth="1"/>
    <col min="770" max="770" width="21" style="8" customWidth="1"/>
    <col min="771" max="772" width="9.140625" style="8"/>
    <col min="773" max="773" width="4.7109375" style="8" customWidth="1"/>
    <col min="774" max="774" width="20.7109375" style="8" customWidth="1"/>
    <col min="775" max="1024" width="9.140625" style="8"/>
    <col min="1025" max="1025" width="2.5703125" style="8" customWidth="1"/>
    <col min="1026" max="1026" width="21" style="8" customWidth="1"/>
    <col min="1027" max="1028" width="9.140625" style="8"/>
    <col min="1029" max="1029" width="4.7109375" style="8" customWidth="1"/>
    <col min="1030" max="1030" width="20.7109375" style="8" customWidth="1"/>
    <col min="1031" max="1280" width="9.140625" style="8"/>
    <col min="1281" max="1281" width="2.5703125" style="8" customWidth="1"/>
    <col min="1282" max="1282" width="21" style="8" customWidth="1"/>
    <col min="1283" max="1284" width="9.140625" style="8"/>
    <col min="1285" max="1285" width="4.7109375" style="8" customWidth="1"/>
    <col min="1286" max="1286" width="20.7109375" style="8" customWidth="1"/>
    <col min="1287" max="1536" width="9.140625" style="8"/>
    <col min="1537" max="1537" width="2.5703125" style="8" customWidth="1"/>
    <col min="1538" max="1538" width="21" style="8" customWidth="1"/>
    <col min="1539" max="1540" width="9.140625" style="8"/>
    <col min="1541" max="1541" width="4.7109375" style="8" customWidth="1"/>
    <col min="1542" max="1542" width="20.7109375" style="8" customWidth="1"/>
    <col min="1543" max="1792" width="9.140625" style="8"/>
    <col min="1793" max="1793" width="2.5703125" style="8" customWidth="1"/>
    <col min="1794" max="1794" width="21" style="8" customWidth="1"/>
    <col min="1795" max="1796" width="9.140625" style="8"/>
    <col min="1797" max="1797" width="4.7109375" style="8" customWidth="1"/>
    <col min="1798" max="1798" width="20.7109375" style="8" customWidth="1"/>
    <col min="1799" max="2048" width="9.140625" style="8"/>
    <col min="2049" max="2049" width="2.5703125" style="8" customWidth="1"/>
    <col min="2050" max="2050" width="21" style="8" customWidth="1"/>
    <col min="2051" max="2052" width="9.140625" style="8"/>
    <col min="2053" max="2053" width="4.7109375" style="8" customWidth="1"/>
    <col min="2054" max="2054" width="20.7109375" style="8" customWidth="1"/>
    <col min="2055" max="2304" width="9.140625" style="8"/>
    <col min="2305" max="2305" width="2.5703125" style="8" customWidth="1"/>
    <col min="2306" max="2306" width="21" style="8" customWidth="1"/>
    <col min="2307" max="2308" width="9.140625" style="8"/>
    <col min="2309" max="2309" width="4.7109375" style="8" customWidth="1"/>
    <col min="2310" max="2310" width="20.7109375" style="8" customWidth="1"/>
    <col min="2311" max="2560" width="9.140625" style="8"/>
    <col min="2561" max="2561" width="2.5703125" style="8" customWidth="1"/>
    <col min="2562" max="2562" width="21" style="8" customWidth="1"/>
    <col min="2563" max="2564" width="9.140625" style="8"/>
    <col min="2565" max="2565" width="4.7109375" style="8" customWidth="1"/>
    <col min="2566" max="2566" width="20.7109375" style="8" customWidth="1"/>
    <col min="2567" max="2816" width="9.140625" style="8"/>
    <col min="2817" max="2817" width="2.5703125" style="8" customWidth="1"/>
    <col min="2818" max="2818" width="21" style="8" customWidth="1"/>
    <col min="2819" max="2820" width="9.140625" style="8"/>
    <col min="2821" max="2821" width="4.7109375" style="8" customWidth="1"/>
    <col min="2822" max="2822" width="20.7109375" style="8" customWidth="1"/>
    <col min="2823" max="3072" width="9.140625" style="8"/>
    <col min="3073" max="3073" width="2.5703125" style="8" customWidth="1"/>
    <col min="3074" max="3074" width="21" style="8" customWidth="1"/>
    <col min="3075" max="3076" width="9.140625" style="8"/>
    <col min="3077" max="3077" width="4.7109375" style="8" customWidth="1"/>
    <col min="3078" max="3078" width="20.7109375" style="8" customWidth="1"/>
    <col min="3079" max="3328" width="9.140625" style="8"/>
    <col min="3329" max="3329" width="2.5703125" style="8" customWidth="1"/>
    <col min="3330" max="3330" width="21" style="8" customWidth="1"/>
    <col min="3331" max="3332" width="9.140625" style="8"/>
    <col min="3333" max="3333" width="4.7109375" style="8" customWidth="1"/>
    <col min="3334" max="3334" width="20.7109375" style="8" customWidth="1"/>
    <col min="3335" max="3584" width="9.140625" style="8"/>
    <col min="3585" max="3585" width="2.5703125" style="8" customWidth="1"/>
    <col min="3586" max="3586" width="21" style="8" customWidth="1"/>
    <col min="3587" max="3588" width="9.140625" style="8"/>
    <col min="3589" max="3589" width="4.7109375" style="8" customWidth="1"/>
    <col min="3590" max="3590" width="20.7109375" style="8" customWidth="1"/>
    <col min="3591" max="3840" width="9.140625" style="8"/>
    <col min="3841" max="3841" width="2.5703125" style="8" customWidth="1"/>
    <col min="3842" max="3842" width="21" style="8" customWidth="1"/>
    <col min="3843" max="3844" width="9.140625" style="8"/>
    <col min="3845" max="3845" width="4.7109375" style="8" customWidth="1"/>
    <col min="3846" max="3846" width="20.7109375" style="8" customWidth="1"/>
    <col min="3847" max="4096" width="9.140625" style="8"/>
    <col min="4097" max="4097" width="2.5703125" style="8" customWidth="1"/>
    <col min="4098" max="4098" width="21" style="8" customWidth="1"/>
    <col min="4099" max="4100" width="9.140625" style="8"/>
    <col min="4101" max="4101" width="4.7109375" style="8" customWidth="1"/>
    <col min="4102" max="4102" width="20.7109375" style="8" customWidth="1"/>
    <col min="4103" max="4352" width="9.140625" style="8"/>
    <col min="4353" max="4353" width="2.5703125" style="8" customWidth="1"/>
    <col min="4354" max="4354" width="21" style="8" customWidth="1"/>
    <col min="4355" max="4356" width="9.140625" style="8"/>
    <col min="4357" max="4357" width="4.7109375" style="8" customWidth="1"/>
    <col min="4358" max="4358" width="20.7109375" style="8" customWidth="1"/>
    <col min="4359" max="4608" width="9.140625" style="8"/>
    <col min="4609" max="4609" width="2.5703125" style="8" customWidth="1"/>
    <col min="4610" max="4610" width="21" style="8" customWidth="1"/>
    <col min="4611" max="4612" width="9.140625" style="8"/>
    <col min="4613" max="4613" width="4.7109375" style="8" customWidth="1"/>
    <col min="4614" max="4614" width="20.7109375" style="8" customWidth="1"/>
    <col min="4615" max="4864" width="9.140625" style="8"/>
    <col min="4865" max="4865" width="2.5703125" style="8" customWidth="1"/>
    <col min="4866" max="4866" width="21" style="8" customWidth="1"/>
    <col min="4867" max="4868" width="9.140625" style="8"/>
    <col min="4869" max="4869" width="4.7109375" style="8" customWidth="1"/>
    <col min="4870" max="4870" width="20.7109375" style="8" customWidth="1"/>
    <col min="4871" max="5120" width="9.140625" style="8"/>
    <col min="5121" max="5121" width="2.5703125" style="8" customWidth="1"/>
    <col min="5122" max="5122" width="21" style="8" customWidth="1"/>
    <col min="5123" max="5124" width="9.140625" style="8"/>
    <col min="5125" max="5125" width="4.7109375" style="8" customWidth="1"/>
    <col min="5126" max="5126" width="20.7109375" style="8" customWidth="1"/>
    <col min="5127" max="5376" width="9.140625" style="8"/>
    <col min="5377" max="5377" width="2.5703125" style="8" customWidth="1"/>
    <col min="5378" max="5378" width="21" style="8" customWidth="1"/>
    <col min="5379" max="5380" width="9.140625" style="8"/>
    <col min="5381" max="5381" width="4.7109375" style="8" customWidth="1"/>
    <col min="5382" max="5382" width="20.7109375" style="8" customWidth="1"/>
    <col min="5383" max="5632" width="9.140625" style="8"/>
    <col min="5633" max="5633" width="2.5703125" style="8" customWidth="1"/>
    <col min="5634" max="5634" width="21" style="8" customWidth="1"/>
    <col min="5635" max="5636" width="9.140625" style="8"/>
    <col min="5637" max="5637" width="4.7109375" style="8" customWidth="1"/>
    <col min="5638" max="5638" width="20.7109375" style="8" customWidth="1"/>
    <col min="5639" max="5888" width="9.140625" style="8"/>
    <col min="5889" max="5889" width="2.5703125" style="8" customWidth="1"/>
    <col min="5890" max="5890" width="21" style="8" customWidth="1"/>
    <col min="5891" max="5892" width="9.140625" style="8"/>
    <col min="5893" max="5893" width="4.7109375" style="8" customWidth="1"/>
    <col min="5894" max="5894" width="20.7109375" style="8" customWidth="1"/>
    <col min="5895" max="6144" width="9.140625" style="8"/>
    <col min="6145" max="6145" width="2.5703125" style="8" customWidth="1"/>
    <col min="6146" max="6146" width="21" style="8" customWidth="1"/>
    <col min="6147" max="6148" width="9.140625" style="8"/>
    <col min="6149" max="6149" width="4.7109375" style="8" customWidth="1"/>
    <col min="6150" max="6150" width="20.7109375" style="8" customWidth="1"/>
    <col min="6151" max="6400" width="9.140625" style="8"/>
    <col min="6401" max="6401" width="2.5703125" style="8" customWidth="1"/>
    <col min="6402" max="6402" width="21" style="8" customWidth="1"/>
    <col min="6403" max="6404" width="9.140625" style="8"/>
    <col min="6405" max="6405" width="4.7109375" style="8" customWidth="1"/>
    <col min="6406" max="6406" width="20.7109375" style="8" customWidth="1"/>
    <col min="6407" max="6656" width="9.140625" style="8"/>
    <col min="6657" max="6657" width="2.5703125" style="8" customWidth="1"/>
    <col min="6658" max="6658" width="21" style="8" customWidth="1"/>
    <col min="6659" max="6660" width="9.140625" style="8"/>
    <col min="6661" max="6661" width="4.7109375" style="8" customWidth="1"/>
    <col min="6662" max="6662" width="20.7109375" style="8" customWidth="1"/>
    <col min="6663" max="6912" width="9.140625" style="8"/>
    <col min="6913" max="6913" width="2.5703125" style="8" customWidth="1"/>
    <col min="6914" max="6914" width="21" style="8" customWidth="1"/>
    <col min="6915" max="6916" width="9.140625" style="8"/>
    <col min="6917" max="6917" width="4.7109375" style="8" customWidth="1"/>
    <col min="6918" max="6918" width="20.7109375" style="8" customWidth="1"/>
    <col min="6919" max="7168" width="9.140625" style="8"/>
    <col min="7169" max="7169" width="2.5703125" style="8" customWidth="1"/>
    <col min="7170" max="7170" width="21" style="8" customWidth="1"/>
    <col min="7171" max="7172" width="9.140625" style="8"/>
    <col min="7173" max="7173" width="4.7109375" style="8" customWidth="1"/>
    <col min="7174" max="7174" width="20.7109375" style="8" customWidth="1"/>
    <col min="7175" max="7424" width="9.140625" style="8"/>
    <col min="7425" max="7425" width="2.5703125" style="8" customWidth="1"/>
    <col min="7426" max="7426" width="21" style="8" customWidth="1"/>
    <col min="7427" max="7428" width="9.140625" style="8"/>
    <col min="7429" max="7429" width="4.7109375" style="8" customWidth="1"/>
    <col min="7430" max="7430" width="20.7109375" style="8" customWidth="1"/>
    <col min="7431" max="7680" width="9.140625" style="8"/>
    <col min="7681" max="7681" width="2.5703125" style="8" customWidth="1"/>
    <col min="7682" max="7682" width="21" style="8" customWidth="1"/>
    <col min="7683" max="7684" width="9.140625" style="8"/>
    <col min="7685" max="7685" width="4.7109375" style="8" customWidth="1"/>
    <col min="7686" max="7686" width="20.7109375" style="8" customWidth="1"/>
    <col min="7687" max="7936" width="9.140625" style="8"/>
    <col min="7937" max="7937" width="2.5703125" style="8" customWidth="1"/>
    <col min="7938" max="7938" width="21" style="8" customWidth="1"/>
    <col min="7939" max="7940" width="9.140625" style="8"/>
    <col min="7941" max="7941" width="4.7109375" style="8" customWidth="1"/>
    <col min="7942" max="7942" width="20.7109375" style="8" customWidth="1"/>
    <col min="7943" max="8192" width="9.140625" style="8"/>
    <col min="8193" max="8193" width="2.5703125" style="8" customWidth="1"/>
    <col min="8194" max="8194" width="21" style="8" customWidth="1"/>
    <col min="8195" max="8196" width="9.140625" style="8"/>
    <col min="8197" max="8197" width="4.7109375" style="8" customWidth="1"/>
    <col min="8198" max="8198" width="20.7109375" style="8" customWidth="1"/>
    <col min="8199" max="8448" width="9.140625" style="8"/>
    <col min="8449" max="8449" width="2.5703125" style="8" customWidth="1"/>
    <col min="8450" max="8450" width="21" style="8" customWidth="1"/>
    <col min="8451" max="8452" width="9.140625" style="8"/>
    <col min="8453" max="8453" width="4.7109375" style="8" customWidth="1"/>
    <col min="8454" max="8454" width="20.7109375" style="8" customWidth="1"/>
    <col min="8455" max="8704" width="9.140625" style="8"/>
    <col min="8705" max="8705" width="2.5703125" style="8" customWidth="1"/>
    <col min="8706" max="8706" width="21" style="8" customWidth="1"/>
    <col min="8707" max="8708" width="9.140625" style="8"/>
    <col min="8709" max="8709" width="4.7109375" style="8" customWidth="1"/>
    <col min="8710" max="8710" width="20.7109375" style="8" customWidth="1"/>
    <col min="8711" max="8960" width="9.140625" style="8"/>
    <col min="8961" max="8961" width="2.5703125" style="8" customWidth="1"/>
    <col min="8962" max="8962" width="21" style="8" customWidth="1"/>
    <col min="8963" max="8964" width="9.140625" style="8"/>
    <col min="8965" max="8965" width="4.7109375" style="8" customWidth="1"/>
    <col min="8966" max="8966" width="20.7109375" style="8" customWidth="1"/>
    <col min="8967" max="9216" width="9.140625" style="8"/>
    <col min="9217" max="9217" width="2.5703125" style="8" customWidth="1"/>
    <col min="9218" max="9218" width="21" style="8" customWidth="1"/>
    <col min="9219" max="9220" width="9.140625" style="8"/>
    <col min="9221" max="9221" width="4.7109375" style="8" customWidth="1"/>
    <col min="9222" max="9222" width="20.7109375" style="8" customWidth="1"/>
    <col min="9223" max="9472" width="9.140625" style="8"/>
    <col min="9473" max="9473" width="2.5703125" style="8" customWidth="1"/>
    <col min="9474" max="9474" width="21" style="8" customWidth="1"/>
    <col min="9475" max="9476" width="9.140625" style="8"/>
    <col min="9477" max="9477" width="4.7109375" style="8" customWidth="1"/>
    <col min="9478" max="9478" width="20.7109375" style="8" customWidth="1"/>
    <col min="9479" max="9728" width="9.140625" style="8"/>
    <col min="9729" max="9729" width="2.5703125" style="8" customWidth="1"/>
    <col min="9730" max="9730" width="21" style="8" customWidth="1"/>
    <col min="9731" max="9732" width="9.140625" style="8"/>
    <col min="9733" max="9733" width="4.7109375" style="8" customWidth="1"/>
    <col min="9734" max="9734" width="20.7109375" style="8" customWidth="1"/>
    <col min="9735" max="9984" width="9.140625" style="8"/>
    <col min="9985" max="9985" width="2.5703125" style="8" customWidth="1"/>
    <col min="9986" max="9986" width="21" style="8" customWidth="1"/>
    <col min="9987" max="9988" width="9.140625" style="8"/>
    <col min="9989" max="9989" width="4.7109375" style="8" customWidth="1"/>
    <col min="9990" max="9990" width="20.7109375" style="8" customWidth="1"/>
    <col min="9991" max="10240" width="9.140625" style="8"/>
    <col min="10241" max="10241" width="2.5703125" style="8" customWidth="1"/>
    <col min="10242" max="10242" width="21" style="8" customWidth="1"/>
    <col min="10243" max="10244" width="9.140625" style="8"/>
    <col min="10245" max="10245" width="4.7109375" style="8" customWidth="1"/>
    <col min="10246" max="10246" width="20.7109375" style="8" customWidth="1"/>
    <col min="10247" max="10496" width="9.140625" style="8"/>
    <col min="10497" max="10497" width="2.5703125" style="8" customWidth="1"/>
    <col min="10498" max="10498" width="21" style="8" customWidth="1"/>
    <col min="10499" max="10500" width="9.140625" style="8"/>
    <col min="10501" max="10501" width="4.7109375" style="8" customWidth="1"/>
    <col min="10502" max="10502" width="20.7109375" style="8" customWidth="1"/>
    <col min="10503" max="10752" width="9.140625" style="8"/>
    <col min="10753" max="10753" width="2.5703125" style="8" customWidth="1"/>
    <col min="10754" max="10754" width="21" style="8" customWidth="1"/>
    <col min="10755" max="10756" width="9.140625" style="8"/>
    <col min="10757" max="10757" width="4.7109375" style="8" customWidth="1"/>
    <col min="10758" max="10758" width="20.7109375" style="8" customWidth="1"/>
    <col min="10759" max="11008" width="9.140625" style="8"/>
    <col min="11009" max="11009" width="2.5703125" style="8" customWidth="1"/>
    <col min="11010" max="11010" width="21" style="8" customWidth="1"/>
    <col min="11011" max="11012" width="9.140625" style="8"/>
    <col min="11013" max="11013" width="4.7109375" style="8" customWidth="1"/>
    <col min="11014" max="11014" width="20.7109375" style="8" customWidth="1"/>
    <col min="11015" max="11264" width="9.140625" style="8"/>
    <col min="11265" max="11265" width="2.5703125" style="8" customWidth="1"/>
    <col min="11266" max="11266" width="21" style="8" customWidth="1"/>
    <col min="11267" max="11268" width="9.140625" style="8"/>
    <col min="11269" max="11269" width="4.7109375" style="8" customWidth="1"/>
    <col min="11270" max="11270" width="20.7109375" style="8" customWidth="1"/>
    <col min="11271" max="11520" width="9.140625" style="8"/>
    <col min="11521" max="11521" width="2.5703125" style="8" customWidth="1"/>
    <col min="11522" max="11522" width="21" style="8" customWidth="1"/>
    <col min="11523" max="11524" width="9.140625" style="8"/>
    <col min="11525" max="11525" width="4.7109375" style="8" customWidth="1"/>
    <col min="11526" max="11526" width="20.7109375" style="8" customWidth="1"/>
    <col min="11527" max="11776" width="9.140625" style="8"/>
    <col min="11777" max="11777" width="2.5703125" style="8" customWidth="1"/>
    <col min="11778" max="11778" width="21" style="8" customWidth="1"/>
    <col min="11779" max="11780" width="9.140625" style="8"/>
    <col min="11781" max="11781" width="4.7109375" style="8" customWidth="1"/>
    <col min="11782" max="11782" width="20.7109375" style="8" customWidth="1"/>
    <col min="11783" max="12032" width="9.140625" style="8"/>
    <col min="12033" max="12033" width="2.5703125" style="8" customWidth="1"/>
    <col min="12034" max="12034" width="21" style="8" customWidth="1"/>
    <col min="12035" max="12036" width="9.140625" style="8"/>
    <col min="12037" max="12037" width="4.7109375" style="8" customWidth="1"/>
    <col min="12038" max="12038" width="20.7109375" style="8" customWidth="1"/>
    <col min="12039" max="12288" width="9.140625" style="8"/>
    <col min="12289" max="12289" width="2.5703125" style="8" customWidth="1"/>
    <col min="12290" max="12290" width="21" style="8" customWidth="1"/>
    <col min="12291" max="12292" width="9.140625" style="8"/>
    <col min="12293" max="12293" width="4.7109375" style="8" customWidth="1"/>
    <col min="12294" max="12294" width="20.7109375" style="8" customWidth="1"/>
    <col min="12295" max="12544" width="9.140625" style="8"/>
    <col min="12545" max="12545" width="2.5703125" style="8" customWidth="1"/>
    <col min="12546" max="12546" width="21" style="8" customWidth="1"/>
    <col min="12547" max="12548" width="9.140625" style="8"/>
    <col min="12549" max="12549" width="4.7109375" style="8" customWidth="1"/>
    <col min="12550" max="12550" width="20.7109375" style="8" customWidth="1"/>
    <col min="12551" max="12800" width="9.140625" style="8"/>
    <col min="12801" max="12801" width="2.5703125" style="8" customWidth="1"/>
    <col min="12802" max="12802" width="21" style="8" customWidth="1"/>
    <col min="12803" max="12804" width="9.140625" style="8"/>
    <col min="12805" max="12805" width="4.7109375" style="8" customWidth="1"/>
    <col min="12806" max="12806" width="20.7109375" style="8" customWidth="1"/>
    <col min="12807" max="13056" width="9.140625" style="8"/>
    <col min="13057" max="13057" width="2.5703125" style="8" customWidth="1"/>
    <col min="13058" max="13058" width="21" style="8" customWidth="1"/>
    <col min="13059" max="13060" width="9.140625" style="8"/>
    <col min="13061" max="13061" width="4.7109375" style="8" customWidth="1"/>
    <col min="13062" max="13062" width="20.7109375" style="8" customWidth="1"/>
    <col min="13063" max="13312" width="9.140625" style="8"/>
    <col min="13313" max="13313" width="2.5703125" style="8" customWidth="1"/>
    <col min="13314" max="13314" width="21" style="8" customWidth="1"/>
    <col min="13315" max="13316" width="9.140625" style="8"/>
    <col min="13317" max="13317" width="4.7109375" style="8" customWidth="1"/>
    <col min="13318" max="13318" width="20.7109375" style="8" customWidth="1"/>
    <col min="13319" max="13568" width="9.140625" style="8"/>
    <col min="13569" max="13569" width="2.5703125" style="8" customWidth="1"/>
    <col min="13570" max="13570" width="21" style="8" customWidth="1"/>
    <col min="13571" max="13572" width="9.140625" style="8"/>
    <col min="13573" max="13573" width="4.7109375" style="8" customWidth="1"/>
    <col min="13574" max="13574" width="20.7109375" style="8" customWidth="1"/>
    <col min="13575" max="13824" width="9.140625" style="8"/>
    <col min="13825" max="13825" width="2.5703125" style="8" customWidth="1"/>
    <col min="13826" max="13826" width="21" style="8" customWidth="1"/>
    <col min="13827" max="13828" width="9.140625" style="8"/>
    <col min="13829" max="13829" width="4.7109375" style="8" customWidth="1"/>
    <col min="13830" max="13830" width="20.7109375" style="8" customWidth="1"/>
    <col min="13831" max="14080" width="9.140625" style="8"/>
    <col min="14081" max="14081" width="2.5703125" style="8" customWidth="1"/>
    <col min="14082" max="14082" width="21" style="8" customWidth="1"/>
    <col min="14083" max="14084" width="9.140625" style="8"/>
    <col min="14085" max="14085" width="4.7109375" style="8" customWidth="1"/>
    <col min="14086" max="14086" width="20.7109375" style="8" customWidth="1"/>
    <col min="14087" max="14336" width="9.140625" style="8"/>
    <col min="14337" max="14337" width="2.5703125" style="8" customWidth="1"/>
    <col min="14338" max="14338" width="21" style="8" customWidth="1"/>
    <col min="14339" max="14340" width="9.140625" style="8"/>
    <col min="14341" max="14341" width="4.7109375" style="8" customWidth="1"/>
    <col min="14342" max="14342" width="20.7109375" style="8" customWidth="1"/>
    <col min="14343" max="14592" width="9.140625" style="8"/>
    <col min="14593" max="14593" width="2.5703125" style="8" customWidth="1"/>
    <col min="14594" max="14594" width="21" style="8" customWidth="1"/>
    <col min="14595" max="14596" width="9.140625" style="8"/>
    <col min="14597" max="14597" width="4.7109375" style="8" customWidth="1"/>
    <col min="14598" max="14598" width="20.7109375" style="8" customWidth="1"/>
    <col min="14599" max="14848" width="9.140625" style="8"/>
    <col min="14849" max="14849" width="2.5703125" style="8" customWidth="1"/>
    <col min="14850" max="14850" width="21" style="8" customWidth="1"/>
    <col min="14851" max="14852" width="9.140625" style="8"/>
    <col min="14853" max="14853" width="4.7109375" style="8" customWidth="1"/>
    <col min="14854" max="14854" width="20.7109375" style="8" customWidth="1"/>
    <col min="14855" max="15104" width="9.140625" style="8"/>
    <col min="15105" max="15105" width="2.5703125" style="8" customWidth="1"/>
    <col min="15106" max="15106" width="21" style="8" customWidth="1"/>
    <col min="15107" max="15108" width="9.140625" style="8"/>
    <col min="15109" max="15109" width="4.7109375" style="8" customWidth="1"/>
    <col min="15110" max="15110" width="20.7109375" style="8" customWidth="1"/>
    <col min="15111" max="15360" width="9.140625" style="8"/>
    <col min="15361" max="15361" width="2.5703125" style="8" customWidth="1"/>
    <col min="15362" max="15362" width="21" style="8" customWidth="1"/>
    <col min="15363" max="15364" width="9.140625" style="8"/>
    <col min="15365" max="15365" width="4.7109375" style="8" customWidth="1"/>
    <col min="15366" max="15366" width="20.7109375" style="8" customWidth="1"/>
    <col min="15367" max="15616" width="9.140625" style="8"/>
    <col min="15617" max="15617" width="2.5703125" style="8" customWidth="1"/>
    <col min="15618" max="15618" width="21" style="8" customWidth="1"/>
    <col min="15619" max="15620" width="9.140625" style="8"/>
    <col min="15621" max="15621" width="4.7109375" style="8" customWidth="1"/>
    <col min="15622" max="15622" width="20.7109375" style="8" customWidth="1"/>
    <col min="15623" max="15872" width="9.140625" style="8"/>
    <col min="15873" max="15873" width="2.5703125" style="8" customWidth="1"/>
    <col min="15874" max="15874" width="21" style="8" customWidth="1"/>
    <col min="15875" max="15876" width="9.140625" style="8"/>
    <col min="15877" max="15877" width="4.7109375" style="8" customWidth="1"/>
    <col min="15878" max="15878" width="20.7109375" style="8" customWidth="1"/>
    <col min="15879" max="16128" width="9.140625" style="8"/>
    <col min="16129" max="16129" width="2.5703125" style="8" customWidth="1"/>
    <col min="16130" max="16130" width="21" style="8" customWidth="1"/>
    <col min="16131" max="16132" width="9.140625" style="8"/>
    <col min="16133" max="16133" width="4.7109375" style="8" customWidth="1"/>
    <col min="16134" max="16134" width="20.7109375" style="8" customWidth="1"/>
    <col min="16135" max="16384" width="9.140625" style="8"/>
  </cols>
  <sheetData>
    <row r="1" spans="1:10" ht="18">
      <c r="B1" s="1" t="s">
        <v>0</v>
      </c>
    </row>
    <row r="2" spans="1:10" s="3" customFormat="1">
      <c r="B2" s="6" t="s">
        <v>1</v>
      </c>
      <c r="D2" s="6" t="s">
        <v>2</v>
      </c>
    </row>
    <row r="3" spans="1:10" s="3" customFormat="1">
      <c r="B3" s="6" t="s">
        <v>3</v>
      </c>
      <c r="D3" s="6" t="s">
        <v>4</v>
      </c>
      <c r="H3" s="12"/>
      <c r="I3" s="12"/>
    </row>
    <row r="4" spans="1:10">
      <c r="B4" s="7" t="s">
        <v>5</v>
      </c>
      <c r="D4" s="6" t="s">
        <v>6</v>
      </c>
      <c r="H4" s="12"/>
      <c r="I4" s="12"/>
      <c r="J4" s="3"/>
    </row>
    <row r="5" spans="1:10">
      <c r="B5" s="18"/>
      <c r="H5" s="12"/>
      <c r="I5" s="12"/>
      <c r="J5" s="3"/>
    </row>
    <row r="6" spans="1:10">
      <c r="B6" s="19" t="s">
        <v>7</v>
      </c>
      <c r="C6" s="20"/>
      <c r="D6" s="20"/>
      <c r="E6" s="20"/>
      <c r="F6" s="19" t="s">
        <v>8</v>
      </c>
      <c r="G6" s="20"/>
      <c r="H6" s="20"/>
    </row>
    <row r="7" spans="1:10">
      <c r="A7" s="15"/>
      <c r="B7" s="21" t="s">
        <v>9</v>
      </c>
      <c r="C7" s="22">
        <v>100</v>
      </c>
      <c r="D7" s="23" t="s">
        <v>10</v>
      </c>
      <c r="E7" s="20"/>
      <c r="F7" s="21" t="s">
        <v>11</v>
      </c>
      <c r="G7" s="24">
        <v>12.57</v>
      </c>
      <c r="H7" s="23" t="s">
        <v>242</v>
      </c>
      <c r="I7" s="15"/>
    </row>
    <row r="8" spans="1:10">
      <c r="A8" s="15"/>
      <c r="B8" s="25" t="s">
        <v>12</v>
      </c>
      <c r="C8" s="26">
        <f>psat_t(C7)</f>
        <v>101.41797792131013</v>
      </c>
      <c r="D8" s="27" t="s">
        <v>242</v>
      </c>
      <c r="E8" s="20"/>
      <c r="F8" s="25" t="s">
        <v>13</v>
      </c>
      <c r="G8" s="28">
        <f>Tsat_P(G7)</f>
        <v>50.354184303236707</v>
      </c>
      <c r="H8" s="27" t="s">
        <v>10</v>
      </c>
      <c r="I8" s="15"/>
    </row>
    <row r="9" spans="1:10">
      <c r="A9" s="15"/>
      <c r="B9" s="29" t="s">
        <v>14</v>
      </c>
      <c r="C9" s="15"/>
      <c r="D9" s="27"/>
      <c r="F9" s="29" t="s">
        <v>14</v>
      </c>
      <c r="G9" s="15"/>
      <c r="H9" s="27"/>
      <c r="I9" s="15"/>
    </row>
    <row r="10" spans="1:10">
      <c r="A10" s="15"/>
      <c r="B10" s="25" t="s">
        <v>15</v>
      </c>
      <c r="C10" s="30">
        <f>hL_T(C7)</f>
        <v>419.09915499770312</v>
      </c>
      <c r="D10" s="27" t="s">
        <v>16</v>
      </c>
      <c r="E10" s="20"/>
      <c r="F10" s="25" t="s">
        <v>15</v>
      </c>
      <c r="G10" s="30">
        <f>hL_p(G7)</f>
        <v>210.81680773401646</v>
      </c>
      <c r="H10" s="27" t="s">
        <v>16</v>
      </c>
      <c r="I10" s="15"/>
    </row>
    <row r="11" spans="1:10">
      <c r="A11" s="15"/>
      <c r="B11" s="25" t="s">
        <v>17</v>
      </c>
      <c r="C11" s="28">
        <f>rhoL_T(C7)</f>
        <v>958.35427728589013</v>
      </c>
      <c r="D11" s="27" t="s">
        <v>18</v>
      </c>
      <c r="E11" s="20"/>
      <c r="F11" s="25" t="s">
        <v>17</v>
      </c>
      <c r="G11" s="28">
        <f>rhoL_p(G7)</f>
        <v>987.84839044384353</v>
      </c>
      <c r="H11" s="27" t="s">
        <v>18</v>
      </c>
      <c r="I11" s="15"/>
    </row>
    <row r="12" spans="1:10">
      <c r="A12" s="15"/>
      <c r="B12" s="25" t="s">
        <v>19</v>
      </c>
      <c r="C12" s="28">
        <f>sL_T(C7)</f>
        <v>1.3070143278413395</v>
      </c>
      <c r="D12" s="27" t="s">
        <v>20</v>
      </c>
      <c r="E12" s="20"/>
      <c r="F12" s="25" t="s">
        <v>19</v>
      </c>
      <c r="G12" s="28">
        <f>sL_p(G7)</f>
        <v>0.70837250669684626</v>
      </c>
      <c r="H12" s="27" t="s">
        <v>20</v>
      </c>
      <c r="I12" s="15"/>
    </row>
    <row r="13" spans="1:10">
      <c r="A13" s="15"/>
      <c r="B13" s="31" t="s">
        <v>21</v>
      </c>
      <c r="C13" s="15"/>
      <c r="D13" s="27"/>
      <c r="F13" s="31" t="s">
        <v>21</v>
      </c>
      <c r="G13" s="15"/>
      <c r="H13" s="27"/>
      <c r="I13" s="15"/>
    </row>
    <row r="14" spans="1:10">
      <c r="A14" s="15"/>
      <c r="B14" s="25" t="s">
        <v>22</v>
      </c>
      <c r="C14" s="30">
        <f>hV_T(C7)</f>
        <v>2675.5720292208343</v>
      </c>
      <c r="D14" s="27" t="s">
        <v>16</v>
      </c>
      <c r="E14" s="20"/>
      <c r="F14" s="25" t="s">
        <v>22</v>
      </c>
      <c r="G14" s="30">
        <f>hV_p(G7)</f>
        <v>2591.9355741864356</v>
      </c>
      <c r="H14" s="27" t="s">
        <v>16</v>
      </c>
      <c r="I14" s="15"/>
    </row>
    <row r="15" spans="1:10">
      <c r="A15" s="15"/>
      <c r="B15" s="25" t="s">
        <v>23</v>
      </c>
      <c r="C15" s="28">
        <f>rhoV_T(C7)</f>
        <v>0.59813599252570293</v>
      </c>
      <c r="D15" s="27" t="s">
        <v>18</v>
      </c>
      <c r="E15" s="20"/>
      <c r="F15" s="25" t="s">
        <v>23</v>
      </c>
      <c r="G15" s="28">
        <f>rhoV_p(G7)</f>
        <v>8.4523774392729747E-2</v>
      </c>
      <c r="H15" s="27" t="s">
        <v>18</v>
      </c>
      <c r="I15" s="15"/>
    </row>
    <row r="16" spans="1:10">
      <c r="A16" s="15"/>
      <c r="B16" s="25" t="s">
        <v>24</v>
      </c>
      <c r="C16" s="28">
        <f>sV_T(C7)</f>
        <v>7.3540770509584048</v>
      </c>
      <c r="D16" s="27" t="s">
        <v>20</v>
      </c>
      <c r="E16" s="20"/>
      <c r="F16" s="25" t="s">
        <v>25</v>
      </c>
      <c r="G16" s="28">
        <f>sV_p(G7)</f>
        <v>8.0687733323127588</v>
      </c>
      <c r="H16" s="27" t="s">
        <v>20</v>
      </c>
      <c r="I16" s="15"/>
    </row>
    <row r="17" spans="1:9">
      <c r="A17" s="15"/>
      <c r="B17" s="32" t="s">
        <v>26</v>
      </c>
      <c r="C17" s="33">
        <f>C14-C10</f>
        <v>2256.4728742231314</v>
      </c>
      <c r="D17" s="34" t="s">
        <v>16</v>
      </c>
      <c r="E17" s="20"/>
      <c r="F17" s="32" t="s">
        <v>26</v>
      </c>
      <c r="G17" s="33">
        <f>G14-G10</f>
        <v>2381.1187664524191</v>
      </c>
      <c r="H17" s="34" t="s">
        <v>16</v>
      </c>
      <c r="I17" s="15"/>
    </row>
    <row r="18" spans="1:9">
      <c r="A18" s="15"/>
      <c r="I18" s="15"/>
    </row>
    <row r="19" spans="1:9">
      <c r="A19" s="15"/>
      <c r="B19" s="19" t="s">
        <v>27</v>
      </c>
      <c r="C19" s="20"/>
      <c r="D19" s="20"/>
      <c r="E19" s="20"/>
      <c r="F19" s="19" t="s">
        <v>28</v>
      </c>
      <c r="G19" s="20"/>
      <c r="H19" s="20"/>
      <c r="I19" s="15"/>
    </row>
    <row r="20" spans="1:9">
      <c r="A20" s="15"/>
      <c r="B20" s="21" t="s">
        <v>11</v>
      </c>
      <c r="C20" s="22">
        <v>1</v>
      </c>
      <c r="D20" s="23" t="s">
        <v>242</v>
      </c>
      <c r="E20" s="20"/>
      <c r="F20" s="21" t="s">
        <v>11</v>
      </c>
      <c r="G20" s="22">
        <v>12.57</v>
      </c>
      <c r="H20" s="23" t="s">
        <v>242</v>
      </c>
      <c r="I20" s="15"/>
    </row>
    <row r="21" spans="1:9">
      <c r="A21" s="15"/>
      <c r="B21" s="35" t="s">
        <v>9</v>
      </c>
      <c r="C21" s="36">
        <v>20</v>
      </c>
      <c r="D21" s="37" t="s">
        <v>10</v>
      </c>
      <c r="E21" s="15"/>
      <c r="F21" s="35" t="s">
        <v>15</v>
      </c>
      <c r="G21" s="36">
        <v>2788</v>
      </c>
      <c r="H21" s="37" t="s">
        <v>16</v>
      </c>
      <c r="I21" s="15"/>
    </row>
    <row r="22" spans="1:9">
      <c r="A22" s="15"/>
      <c r="B22" s="25" t="s">
        <v>15</v>
      </c>
      <c r="C22" s="30">
        <f>h_pt(C20,C21)</f>
        <v>2538.1854837939122</v>
      </c>
      <c r="D22" s="27" t="s">
        <v>16</v>
      </c>
      <c r="E22" s="15"/>
      <c r="F22" s="25" t="s">
        <v>9</v>
      </c>
      <c r="G22" s="30">
        <f>T_ph(G20,G21)</f>
        <v>152.68566559874733</v>
      </c>
      <c r="H22" s="27" t="s">
        <v>10</v>
      </c>
      <c r="I22" s="15"/>
    </row>
    <row r="23" spans="1:9">
      <c r="A23" s="15"/>
      <c r="B23" s="25" t="s">
        <v>17</v>
      </c>
      <c r="C23" s="28">
        <f>rho_pT(C20,C21)</f>
        <v>7.3952369387248872E-3</v>
      </c>
      <c r="D23" s="27" t="s">
        <v>18</v>
      </c>
      <c r="E23" s="15"/>
      <c r="F23" s="25" t="s">
        <v>17</v>
      </c>
      <c r="G23" s="28">
        <f>rho_ph(G20,G21)</f>
        <v>6.4022098624044316E-2</v>
      </c>
      <c r="H23" s="27" t="s">
        <v>18</v>
      </c>
      <c r="I23" s="15"/>
    </row>
    <row r="24" spans="1:9">
      <c r="A24" s="15"/>
      <c r="B24" s="25" t="s">
        <v>19</v>
      </c>
      <c r="C24" s="28">
        <f>s_pT(C20,C21)</f>
        <v>9.0604341729713038</v>
      </c>
      <c r="D24" s="27" t="s">
        <v>20</v>
      </c>
      <c r="E24" s="15"/>
      <c r="F24" s="25" t="s">
        <v>19</v>
      </c>
      <c r="G24" s="28">
        <f>s_ph(G20,G21)</f>
        <v>8.595423413188275</v>
      </c>
      <c r="H24" s="27" t="s">
        <v>20</v>
      </c>
      <c r="I24" s="15"/>
    </row>
    <row r="25" spans="1:9">
      <c r="A25" s="15"/>
      <c r="B25" s="38" t="s">
        <v>29</v>
      </c>
      <c r="C25" s="8">
        <f>x_ph(C20,C22)*100</f>
        <v>100</v>
      </c>
      <c r="D25" s="39" t="s">
        <v>30</v>
      </c>
      <c r="F25" s="38" t="s">
        <v>29</v>
      </c>
      <c r="G25" s="8">
        <f>x_ph(G20,G21)*100</f>
        <v>100</v>
      </c>
      <c r="H25" s="39" t="s">
        <v>30</v>
      </c>
      <c r="I25" s="15"/>
    </row>
    <row r="26" spans="1:9">
      <c r="A26" s="15"/>
      <c r="B26" s="25" t="s">
        <v>31</v>
      </c>
      <c r="C26" s="15">
        <f>region_pt(C20/10,C21+273.15)</f>
        <v>1</v>
      </c>
      <c r="D26" s="27"/>
      <c r="E26" s="15"/>
      <c r="F26" s="25" t="s">
        <v>31</v>
      </c>
      <c r="G26" s="15">
        <f>region_ph(G20/10,G21)</f>
        <v>2</v>
      </c>
      <c r="H26" s="27"/>
      <c r="I26" s="15"/>
    </row>
    <row r="27" spans="1:9">
      <c r="A27" s="15"/>
      <c r="B27" s="25" t="s">
        <v>32</v>
      </c>
      <c r="C27" s="40" t="str">
        <f>IF(C26=2,"Steam",IF(C26=1,"Liquid",IF(C26=4,"Mixture","")))</f>
        <v>Liquid</v>
      </c>
      <c r="D27" s="27"/>
      <c r="E27" s="15"/>
      <c r="F27" s="25" t="s">
        <v>32</v>
      </c>
      <c r="G27" s="40" t="str">
        <f>IF(G26=2,"Steam",IF(G26=1,"Liquid",IF(G26=4,"Mixture","")))</f>
        <v>Steam</v>
      </c>
      <c r="H27" s="27"/>
      <c r="I27" s="15"/>
    </row>
    <row r="28" spans="1:9">
      <c r="B28" s="25" t="s">
        <v>33</v>
      </c>
      <c r="C28" s="15">
        <f>Cp_pT(C20,C21)</f>
        <v>1.874325441047451</v>
      </c>
      <c r="D28" s="27" t="s">
        <v>16</v>
      </c>
      <c r="F28" s="25" t="s">
        <v>33</v>
      </c>
      <c r="G28" s="15">
        <f>Cp_ph(G20,G21)</f>
        <v>1.9229461918413409</v>
      </c>
      <c r="H28" s="27" t="s">
        <v>16</v>
      </c>
    </row>
    <row r="29" spans="1:9">
      <c r="B29" s="32" t="s">
        <v>34</v>
      </c>
      <c r="C29" s="41">
        <f>w_pT(C20,C21)</f>
        <v>423.84763825421652</v>
      </c>
      <c r="D29" s="34" t="s">
        <v>35</v>
      </c>
      <c r="F29" s="32" t="s">
        <v>34</v>
      </c>
      <c r="G29" s="41">
        <f>w_ph(G20,G21)</f>
        <v>508.56068721086712</v>
      </c>
      <c r="H29" s="34" t="s">
        <v>35</v>
      </c>
    </row>
  </sheetData>
  <hyperlinks>
    <hyperlink ref="B4" r:id="rId1"/>
  </hyperlinks>
  <pageMargins left="0.75" right="0.75" top="1" bottom="1" header="0.5" footer="0.5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>
    <outlinePr summaryBelow="0"/>
  </sheetPr>
  <dimension ref="A1:M147"/>
  <sheetViews>
    <sheetView tabSelected="1" workbookViewId="0">
      <selection activeCell="A3" sqref="A3"/>
    </sheetView>
  </sheetViews>
  <sheetFormatPr defaultRowHeight="12.75" outlineLevelRow="1"/>
  <cols>
    <col min="1" max="1" width="24.140625" style="8" customWidth="1"/>
    <col min="2" max="2" width="4.7109375" style="8" customWidth="1"/>
    <col min="3" max="3" width="7.7109375" style="8" customWidth="1"/>
    <col min="4" max="4" width="4.7109375" style="8" customWidth="1"/>
    <col min="5" max="5" width="8.28515625" style="8" customWidth="1"/>
    <col min="6" max="6" width="10.42578125" style="12" bestFit="1" customWidth="1"/>
    <col min="7" max="7" width="9.140625" style="12"/>
    <col min="8" max="8" width="7.5703125" style="3" customWidth="1"/>
    <col min="9" max="256" width="9.140625" style="8"/>
    <col min="257" max="257" width="24.140625" style="8" customWidth="1"/>
    <col min="258" max="258" width="4.7109375" style="8" customWidth="1"/>
    <col min="259" max="259" width="7.7109375" style="8" customWidth="1"/>
    <col min="260" max="260" width="4.7109375" style="8" customWidth="1"/>
    <col min="261" max="261" width="8.28515625" style="8" customWidth="1"/>
    <col min="262" max="262" width="10.42578125" style="8" bestFit="1" customWidth="1"/>
    <col min="263" max="263" width="9.140625" style="8"/>
    <col min="264" max="264" width="7.5703125" style="8" customWidth="1"/>
    <col min="265" max="512" width="9.140625" style="8"/>
    <col min="513" max="513" width="24.140625" style="8" customWidth="1"/>
    <col min="514" max="514" width="4.7109375" style="8" customWidth="1"/>
    <col min="515" max="515" width="7.7109375" style="8" customWidth="1"/>
    <col min="516" max="516" width="4.7109375" style="8" customWidth="1"/>
    <col min="517" max="517" width="8.28515625" style="8" customWidth="1"/>
    <col min="518" max="518" width="10.42578125" style="8" bestFit="1" customWidth="1"/>
    <col min="519" max="519" width="9.140625" style="8"/>
    <col min="520" max="520" width="7.5703125" style="8" customWidth="1"/>
    <col min="521" max="768" width="9.140625" style="8"/>
    <col min="769" max="769" width="24.140625" style="8" customWidth="1"/>
    <col min="770" max="770" width="4.7109375" style="8" customWidth="1"/>
    <col min="771" max="771" width="7.7109375" style="8" customWidth="1"/>
    <col min="772" max="772" width="4.7109375" style="8" customWidth="1"/>
    <col min="773" max="773" width="8.28515625" style="8" customWidth="1"/>
    <col min="774" max="774" width="10.42578125" style="8" bestFit="1" customWidth="1"/>
    <col min="775" max="775" width="9.140625" style="8"/>
    <col min="776" max="776" width="7.5703125" style="8" customWidth="1"/>
    <col min="777" max="1024" width="9.140625" style="8"/>
    <col min="1025" max="1025" width="24.140625" style="8" customWidth="1"/>
    <col min="1026" max="1026" width="4.7109375" style="8" customWidth="1"/>
    <col min="1027" max="1027" width="7.7109375" style="8" customWidth="1"/>
    <col min="1028" max="1028" width="4.7109375" style="8" customWidth="1"/>
    <col min="1029" max="1029" width="8.28515625" style="8" customWidth="1"/>
    <col min="1030" max="1030" width="10.42578125" style="8" bestFit="1" customWidth="1"/>
    <col min="1031" max="1031" width="9.140625" style="8"/>
    <col min="1032" max="1032" width="7.5703125" style="8" customWidth="1"/>
    <col min="1033" max="1280" width="9.140625" style="8"/>
    <col min="1281" max="1281" width="24.140625" style="8" customWidth="1"/>
    <col min="1282" max="1282" width="4.7109375" style="8" customWidth="1"/>
    <col min="1283" max="1283" width="7.7109375" style="8" customWidth="1"/>
    <col min="1284" max="1284" width="4.7109375" style="8" customWidth="1"/>
    <col min="1285" max="1285" width="8.28515625" style="8" customWidth="1"/>
    <col min="1286" max="1286" width="10.42578125" style="8" bestFit="1" customWidth="1"/>
    <col min="1287" max="1287" width="9.140625" style="8"/>
    <col min="1288" max="1288" width="7.5703125" style="8" customWidth="1"/>
    <col min="1289" max="1536" width="9.140625" style="8"/>
    <col min="1537" max="1537" width="24.140625" style="8" customWidth="1"/>
    <col min="1538" max="1538" width="4.7109375" style="8" customWidth="1"/>
    <col min="1539" max="1539" width="7.7109375" style="8" customWidth="1"/>
    <col min="1540" max="1540" width="4.7109375" style="8" customWidth="1"/>
    <col min="1541" max="1541" width="8.28515625" style="8" customWidth="1"/>
    <col min="1542" max="1542" width="10.42578125" style="8" bestFit="1" customWidth="1"/>
    <col min="1543" max="1543" width="9.140625" style="8"/>
    <col min="1544" max="1544" width="7.5703125" style="8" customWidth="1"/>
    <col min="1545" max="1792" width="9.140625" style="8"/>
    <col min="1793" max="1793" width="24.140625" style="8" customWidth="1"/>
    <col min="1794" max="1794" width="4.7109375" style="8" customWidth="1"/>
    <col min="1795" max="1795" width="7.7109375" style="8" customWidth="1"/>
    <col min="1796" max="1796" width="4.7109375" style="8" customWidth="1"/>
    <col min="1797" max="1797" width="8.28515625" style="8" customWidth="1"/>
    <col min="1798" max="1798" width="10.42578125" style="8" bestFit="1" customWidth="1"/>
    <col min="1799" max="1799" width="9.140625" style="8"/>
    <col min="1800" max="1800" width="7.5703125" style="8" customWidth="1"/>
    <col min="1801" max="2048" width="9.140625" style="8"/>
    <col min="2049" max="2049" width="24.140625" style="8" customWidth="1"/>
    <col min="2050" max="2050" width="4.7109375" style="8" customWidth="1"/>
    <col min="2051" max="2051" width="7.7109375" style="8" customWidth="1"/>
    <col min="2052" max="2052" width="4.7109375" style="8" customWidth="1"/>
    <col min="2053" max="2053" width="8.28515625" style="8" customWidth="1"/>
    <col min="2054" max="2054" width="10.42578125" style="8" bestFit="1" customWidth="1"/>
    <col min="2055" max="2055" width="9.140625" style="8"/>
    <col min="2056" max="2056" width="7.5703125" style="8" customWidth="1"/>
    <col min="2057" max="2304" width="9.140625" style="8"/>
    <col min="2305" max="2305" width="24.140625" style="8" customWidth="1"/>
    <col min="2306" max="2306" width="4.7109375" style="8" customWidth="1"/>
    <col min="2307" max="2307" width="7.7109375" style="8" customWidth="1"/>
    <col min="2308" max="2308" width="4.7109375" style="8" customWidth="1"/>
    <col min="2309" max="2309" width="8.28515625" style="8" customWidth="1"/>
    <col min="2310" max="2310" width="10.42578125" style="8" bestFit="1" customWidth="1"/>
    <col min="2311" max="2311" width="9.140625" style="8"/>
    <col min="2312" max="2312" width="7.5703125" style="8" customWidth="1"/>
    <col min="2313" max="2560" width="9.140625" style="8"/>
    <col min="2561" max="2561" width="24.140625" style="8" customWidth="1"/>
    <col min="2562" max="2562" width="4.7109375" style="8" customWidth="1"/>
    <col min="2563" max="2563" width="7.7109375" style="8" customWidth="1"/>
    <col min="2564" max="2564" width="4.7109375" style="8" customWidth="1"/>
    <col min="2565" max="2565" width="8.28515625" style="8" customWidth="1"/>
    <col min="2566" max="2566" width="10.42578125" style="8" bestFit="1" customWidth="1"/>
    <col min="2567" max="2567" width="9.140625" style="8"/>
    <col min="2568" max="2568" width="7.5703125" style="8" customWidth="1"/>
    <col min="2569" max="2816" width="9.140625" style="8"/>
    <col min="2817" max="2817" width="24.140625" style="8" customWidth="1"/>
    <col min="2818" max="2818" width="4.7109375" style="8" customWidth="1"/>
    <col min="2819" max="2819" width="7.7109375" style="8" customWidth="1"/>
    <col min="2820" max="2820" width="4.7109375" style="8" customWidth="1"/>
    <col min="2821" max="2821" width="8.28515625" style="8" customWidth="1"/>
    <col min="2822" max="2822" width="10.42578125" style="8" bestFit="1" customWidth="1"/>
    <col min="2823" max="2823" width="9.140625" style="8"/>
    <col min="2824" max="2824" width="7.5703125" style="8" customWidth="1"/>
    <col min="2825" max="3072" width="9.140625" style="8"/>
    <col min="3073" max="3073" width="24.140625" style="8" customWidth="1"/>
    <col min="3074" max="3074" width="4.7109375" style="8" customWidth="1"/>
    <col min="3075" max="3075" width="7.7109375" style="8" customWidth="1"/>
    <col min="3076" max="3076" width="4.7109375" style="8" customWidth="1"/>
    <col min="3077" max="3077" width="8.28515625" style="8" customWidth="1"/>
    <col min="3078" max="3078" width="10.42578125" style="8" bestFit="1" customWidth="1"/>
    <col min="3079" max="3079" width="9.140625" style="8"/>
    <col min="3080" max="3080" width="7.5703125" style="8" customWidth="1"/>
    <col min="3081" max="3328" width="9.140625" style="8"/>
    <col min="3329" max="3329" width="24.140625" style="8" customWidth="1"/>
    <col min="3330" max="3330" width="4.7109375" style="8" customWidth="1"/>
    <col min="3331" max="3331" width="7.7109375" style="8" customWidth="1"/>
    <col min="3332" max="3332" width="4.7109375" style="8" customWidth="1"/>
    <col min="3333" max="3333" width="8.28515625" style="8" customWidth="1"/>
    <col min="3334" max="3334" width="10.42578125" style="8" bestFit="1" customWidth="1"/>
    <col min="3335" max="3335" width="9.140625" style="8"/>
    <col min="3336" max="3336" width="7.5703125" style="8" customWidth="1"/>
    <col min="3337" max="3584" width="9.140625" style="8"/>
    <col min="3585" max="3585" width="24.140625" style="8" customWidth="1"/>
    <col min="3586" max="3586" width="4.7109375" style="8" customWidth="1"/>
    <col min="3587" max="3587" width="7.7109375" style="8" customWidth="1"/>
    <col min="3588" max="3588" width="4.7109375" style="8" customWidth="1"/>
    <col min="3589" max="3589" width="8.28515625" style="8" customWidth="1"/>
    <col min="3590" max="3590" width="10.42578125" style="8" bestFit="1" customWidth="1"/>
    <col min="3591" max="3591" width="9.140625" style="8"/>
    <col min="3592" max="3592" width="7.5703125" style="8" customWidth="1"/>
    <col min="3593" max="3840" width="9.140625" style="8"/>
    <col min="3841" max="3841" width="24.140625" style="8" customWidth="1"/>
    <col min="3842" max="3842" width="4.7109375" style="8" customWidth="1"/>
    <col min="3843" max="3843" width="7.7109375" style="8" customWidth="1"/>
    <col min="3844" max="3844" width="4.7109375" style="8" customWidth="1"/>
    <col min="3845" max="3845" width="8.28515625" style="8" customWidth="1"/>
    <col min="3846" max="3846" width="10.42578125" style="8" bestFit="1" customWidth="1"/>
    <col min="3847" max="3847" width="9.140625" style="8"/>
    <col min="3848" max="3848" width="7.5703125" style="8" customWidth="1"/>
    <col min="3849" max="4096" width="9.140625" style="8"/>
    <col min="4097" max="4097" width="24.140625" style="8" customWidth="1"/>
    <col min="4098" max="4098" width="4.7109375" style="8" customWidth="1"/>
    <col min="4099" max="4099" width="7.7109375" style="8" customWidth="1"/>
    <col min="4100" max="4100" width="4.7109375" style="8" customWidth="1"/>
    <col min="4101" max="4101" width="8.28515625" style="8" customWidth="1"/>
    <col min="4102" max="4102" width="10.42578125" style="8" bestFit="1" customWidth="1"/>
    <col min="4103" max="4103" width="9.140625" style="8"/>
    <col min="4104" max="4104" width="7.5703125" style="8" customWidth="1"/>
    <col min="4105" max="4352" width="9.140625" style="8"/>
    <col min="4353" max="4353" width="24.140625" style="8" customWidth="1"/>
    <col min="4354" max="4354" width="4.7109375" style="8" customWidth="1"/>
    <col min="4355" max="4355" width="7.7109375" style="8" customWidth="1"/>
    <col min="4356" max="4356" width="4.7109375" style="8" customWidth="1"/>
    <col min="4357" max="4357" width="8.28515625" style="8" customWidth="1"/>
    <col min="4358" max="4358" width="10.42578125" style="8" bestFit="1" customWidth="1"/>
    <col min="4359" max="4359" width="9.140625" style="8"/>
    <col min="4360" max="4360" width="7.5703125" style="8" customWidth="1"/>
    <col min="4361" max="4608" width="9.140625" style="8"/>
    <col min="4609" max="4609" width="24.140625" style="8" customWidth="1"/>
    <col min="4610" max="4610" width="4.7109375" style="8" customWidth="1"/>
    <col min="4611" max="4611" width="7.7109375" style="8" customWidth="1"/>
    <col min="4612" max="4612" width="4.7109375" style="8" customWidth="1"/>
    <col min="4613" max="4613" width="8.28515625" style="8" customWidth="1"/>
    <col min="4614" max="4614" width="10.42578125" style="8" bestFit="1" customWidth="1"/>
    <col min="4615" max="4615" width="9.140625" style="8"/>
    <col min="4616" max="4616" width="7.5703125" style="8" customWidth="1"/>
    <col min="4617" max="4864" width="9.140625" style="8"/>
    <col min="4865" max="4865" width="24.140625" style="8" customWidth="1"/>
    <col min="4866" max="4866" width="4.7109375" style="8" customWidth="1"/>
    <col min="4867" max="4867" width="7.7109375" style="8" customWidth="1"/>
    <col min="4868" max="4868" width="4.7109375" style="8" customWidth="1"/>
    <col min="4869" max="4869" width="8.28515625" style="8" customWidth="1"/>
    <col min="4870" max="4870" width="10.42578125" style="8" bestFit="1" customWidth="1"/>
    <col min="4871" max="4871" width="9.140625" style="8"/>
    <col min="4872" max="4872" width="7.5703125" style="8" customWidth="1"/>
    <col min="4873" max="5120" width="9.140625" style="8"/>
    <col min="5121" max="5121" width="24.140625" style="8" customWidth="1"/>
    <col min="5122" max="5122" width="4.7109375" style="8" customWidth="1"/>
    <col min="5123" max="5123" width="7.7109375" style="8" customWidth="1"/>
    <col min="5124" max="5124" width="4.7109375" style="8" customWidth="1"/>
    <col min="5125" max="5125" width="8.28515625" style="8" customWidth="1"/>
    <col min="5126" max="5126" width="10.42578125" style="8" bestFit="1" customWidth="1"/>
    <col min="5127" max="5127" width="9.140625" style="8"/>
    <col min="5128" max="5128" width="7.5703125" style="8" customWidth="1"/>
    <col min="5129" max="5376" width="9.140625" style="8"/>
    <col min="5377" max="5377" width="24.140625" style="8" customWidth="1"/>
    <col min="5378" max="5378" width="4.7109375" style="8" customWidth="1"/>
    <col min="5379" max="5379" width="7.7109375" style="8" customWidth="1"/>
    <col min="5380" max="5380" width="4.7109375" style="8" customWidth="1"/>
    <col min="5381" max="5381" width="8.28515625" style="8" customWidth="1"/>
    <col min="5382" max="5382" width="10.42578125" style="8" bestFit="1" customWidth="1"/>
    <col min="5383" max="5383" width="9.140625" style="8"/>
    <col min="5384" max="5384" width="7.5703125" style="8" customWidth="1"/>
    <col min="5385" max="5632" width="9.140625" style="8"/>
    <col min="5633" max="5633" width="24.140625" style="8" customWidth="1"/>
    <col min="5634" max="5634" width="4.7109375" style="8" customWidth="1"/>
    <col min="5635" max="5635" width="7.7109375" style="8" customWidth="1"/>
    <col min="5636" max="5636" width="4.7109375" style="8" customWidth="1"/>
    <col min="5637" max="5637" width="8.28515625" style="8" customWidth="1"/>
    <col min="5638" max="5638" width="10.42578125" style="8" bestFit="1" customWidth="1"/>
    <col min="5639" max="5639" width="9.140625" style="8"/>
    <col min="5640" max="5640" width="7.5703125" style="8" customWidth="1"/>
    <col min="5641" max="5888" width="9.140625" style="8"/>
    <col min="5889" max="5889" width="24.140625" style="8" customWidth="1"/>
    <col min="5890" max="5890" width="4.7109375" style="8" customWidth="1"/>
    <col min="5891" max="5891" width="7.7109375" style="8" customWidth="1"/>
    <col min="5892" max="5892" width="4.7109375" style="8" customWidth="1"/>
    <col min="5893" max="5893" width="8.28515625" style="8" customWidth="1"/>
    <col min="5894" max="5894" width="10.42578125" style="8" bestFit="1" customWidth="1"/>
    <col min="5895" max="5895" width="9.140625" style="8"/>
    <col min="5896" max="5896" width="7.5703125" style="8" customWidth="1"/>
    <col min="5897" max="6144" width="9.140625" style="8"/>
    <col min="6145" max="6145" width="24.140625" style="8" customWidth="1"/>
    <col min="6146" max="6146" width="4.7109375" style="8" customWidth="1"/>
    <col min="6147" max="6147" width="7.7109375" style="8" customWidth="1"/>
    <col min="6148" max="6148" width="4.7109375" style="8" customWidth="1"/>
    <col min="6149" max="6149" width="8.28515625" style="8" customWidth="1"/>
    <col min="6150" max="6150" width="10.42578125" style="8" bestFit="1" customWidth="1"/>
    <col min="6151" max="6151" width="9.140625" style="8"/>
    <col min="6152" max="6152" width="7.5703125" style="8" customWidth="1"/>
    <col min="6153" max="6400" width="9.140625" style="8"/>
    <col min="6401" max="6401" width="24.140625" style="8" customWidth="1"/>
    <col min="6402" max="6402" width="4.7109375" style="8" customWidth="1"/>
    <col min="6403" max="6403" width="7.7109375" style="8" customWidth="1"/>
    <col min="6404" max="6404" width="4.7109375" style="8" customWidth="1"/>
    <col min="6405" max="6405" width="8.28515625" style="8" customWidth="1"/>
    <col min="6406" max="6406" width="10.42578125" style="8" bestFit="1" customWidth="1"/>
    <col min="6407" max="6407" width="9.140625" style="8"/>
    <col min="6408" max="6408" width="7.5703125" style="8" customWidth="1"/>
    <col min="6409" max="6656" width="9.140625" style="8"/>
    <col min="6657" max="6657" width="24.140625" style="8" customWidth="1"/>
    <col min="6658" max="6658" width="4.7109375" style="8" customWidth="1"/>
    <col min="6659" max="6659" width="7.7109375" style="8" customWidth="1"/>
    <col min="6660" max="6660" width="4.7109375" style="8" customWidth="1"/>
    <col min="6661" max="6661" width="8.28515625" style="8" customWidth="1"/>
    <col min="6662" max="6662" width="10.42578125" style="8" bestFit="1" customWidth="1"/>
    <col min="6663" max="6663" width="9.140625" style="8"/>
    <col min="6664" max="6664" width="7.5703125" style="8" customWidth="1"/>
    <col min="6665" max="6912" width="9.140625" style="8"/>
    <col min="6913" max="6913" width="24.140625" style="8" customWidth="1"/>
    <col min="6914" max="6914" width="4.7109375" style="8" customWidth="1"/>
    <col min="6915" max="6915" width="7.7109375" style="8" customWidth="1"/>
    <col min="6916" max="6916" width="4.7109375" style="8" customWidth="1"/>
    <col min="6917" max="6917" width="8.28515625" style="8" customWidth="1"/>
    <col min="6918" max="6918" width="10.42578125" style="8" bestFit="1" customWidth="1"/>
    <col min="6919" max="6919" width="9.140625" style="8"/>
    <col min="6920" max="6920" width="7.5703125" style="8" customWidth="1"/>
    <col min="6921" max="7168" width="9.140625" style="8"/>
    <col min="7169" max="7169" width="24.140625" style="8" customWidth="1"/>
    <col min="7170" max="7170" width="4.7109375" style="8" customWidth="1"/>
    <col min="7171" max="7171" width="7.7109375" style="8" customWidth="1"/>
    <col min="7172" max="7172" width="4.7109375" style="8" customWidth="1"/>
    <col min="7173" max="7173" width="8.28515625" style="8" customWidth="1"/>
    <col min="7174" max="7174" width="10.42578125" style="8" bestFit="1" customWidth="1"/>
    <col min="7175" max="7175" width="9.140625" style="8"/>
    <col min="7176" max="7176" width="7.5703125" style="8" customWidth="1"/>
    <col min="7177" max="7424" width="9.140625" style="8"/>
    <col min="7425" max="7425" width="24.140625" style="8" customWidth="1"/>
    <col min="7426" max="7426" width="4.7109375" style="8" customWidth="1"/>
    <col min="7427" max="7427" width="7.7109375" style="8" customWidth="1"/>
    <col min="7428" max="7428" width="4.7109375" style="8" customWidth="1"/>
    <col min="7429" max="7429" width="8.28515625" style="8" customWidth="1"/>
    <col min="7430" max="7430" width="10.42578125" style="8" bestFit="1" customWidth="1"/>
    <col min="7431" max="7431" width="9.140625" style="8"/>
    <col min="7432" max="7432" width="7.5703125" style="8" customWidth="1"/>
    <col min="7433" max="7680" width="9.140625" style="8"/>
    <col min="7681" max="7681" width="24.140625" style="8" customWidth="1"/>
    <col min="7682" max="7682" width="4.7109375" style="8" customWidth="1"/>
    <col min="7683" max="7683" width="7.7109375" style="8" customWidth="1"/>
    <col min="7684" max="7684" width="4.7109375" style="8" customWidth="1"/>
    <col min="7685" max="7685" width="8.28515625" style="8" customWidth="1"/>
    <col min="7686" max="7686" width="10.42578125" style="8" bestFit="1" customWidth="1"/>
    <col min="7687" max="7687" width="9.140625" style="8"/>
    <col min="7688" max="7688" width="7.5703125" style="8" customWidth="1"/>
    <col min="7689" max="7936" width="9.140625" style="8"/>
    <col min="7937" max="7937" width="24.140625" style="8" customWidth="1"/>
    <col min="7938" max="7938" width="4.7109375" style="8" customWidth="1"/>
    <col min="7939" max="7939" width="7.7109375" style="8" customWidth="1"/>
    <col min="7940" max="7940" width="4.7109375" style="8" customWidth="1"/>
    <col min="7941" max="7941" width="8.28515625" style="8" customWidth="1"/>
    <col min="7942" max="7942" width="10.42578125" style="8" bestFit="1" customWidth="1"/>
    <col min="7943" max="7943" width="9.140625" style="8"/>
    <col min="7944" max="7944" width="7.5703125" style="8" customWidth="1"/>
    <col min="7945" max="8192" width="9.140625" style="8"/>
    <col min="8193" max="8193" width="24.140625" style="8" customWidth="1"/>
    <col min="8194" max="8194" width="4.7109375" style="8" customWidth="1"/>
    <col min="8195" max="8195" width="7.7109375" style="8" customWidth="1"/>
    <col min="8196" max="8196" width="4.7109375" style="8" customWidth="1"/>
    <col min="8197" max="8197" width="8.28515625" style="8" customWidth="1"/>
    <col min="8198" max="8198" width="10.42578125" style="8" bestFit="1" customWidth="1"/>
    <col min="8199" max="8199" width="9.140625" style="8"/>
    <col min="8200" max="8200" width="7.5703125" style="8" customWidth="1"/>
    <col min="8201" max="8448" width="9.140625" style="8"/>
    <col min="8449" max="8449" width="24.140625" style="8" customWidth="1"/>
    <col min="8450" max="8450" width="4.7109375" style="8" customWidth="1"/>
    <col min="8451" max="8451" width="7.7109375" style="8" customWidth="1"/>
    <col min="8452" max="8452" width="4.7109375" style="8" customWidth="1"/>
    <col min="8453" max="8453" width="8.28515625" style="8" customWidth="1"/>
    <col min="8454" max="8454" width="10.42578125" style="8" bestFit="1" customWidth="1"/>
    <col min="8455" max="8455" width="9.140625" style="8"/>
    <col min="8456" max="8456" width="7.5703125" style="8" customWidth="1"/>
    <col min="8457" max="8704" width="9.140625" style="8"/>
    <col min="8705" max="8705" width="24.140625" style="8" customWidth="1"/>
    <col min="8706" max="8706" width="4.7109375" style="8" customWidth="1"/>
    <col min="8707" max="8707" width="7.7109375" style="8" customWidth="1"/>
    <col min="8708" max="8708" width="4.7109375" style="8" customWidth="1"/>
    <col min="8709" max="8709" width="8.28515625" style="8" customWidth="1"/>
    <col min="8710" max="8710" width="10.42578125" style="8" bestFit="1" customWidth="1"/>
    <col min="8711" max="8711" width="9.140625" style="8"/>
    <col min="8712" max="8712" width="7.5703125" style="8" customWidth="1"/>
    <col min="8713" max="8960" width="9.140625" style="8"/>
    <col min="8961" max="8961" width="24.140625" style="8" customWidth="1"/>
    <col min="8962" max="8962" width="4.7109375" style="8" customWidth="1"/>
    <col min="8963" max="8963" width="7.7109375" style="8" customWidth="1"/>
    <col min="8964" max="8964" width="4.7109375" style="8" customWidth="1"/>
    <col min="8965" max="8965" width="8.28515625" style="8" customWidth="1"/>
    <col min="8966" max="8966" width="10.42578125" style="8" bestFit="1" customWidth="1"/>
    <col min="8967" max="8967" width="9.140625" style="8"/>
    <col min="8968" max="8968" width="7.5703125" style="8" customWidth="1"/>
    <col min="8969" max="9216" width="9.140625" style="8"/>
    <col min="9217" max="9217" width="24.140625" style="8" customWidth="1"/>
    <col min="9218" max="9218" width="4.7109375" style="8" customWidth="1"/>
    <col min="9219" max="9219" width="7.7109375" style="8" customWidth="1"/>
    <col min="9220" max="9220" width="4.7109375" style="8" customWidth="1"/>
    <col min="9221" max="9221" width="8.28515625" style="8" customWidth="1"/>
    <col min="9222" max="9222" width="10.42578125" style="8" bestFit="1" customWidth="1"/>
    <col min="9223" max="9223" width="9.140625" style="8"/>
    <col min="9224" max="9224" width="7.5703125" style="8" customWidth="1"/>
    <col min="9225" max="9472" width="9.140625" style="8"/>
    <col min="9473" max="9473" width="24.140625" style="8" customWidth="1"/>
    <col min="9474" max="9474" width="4.7109375" style="8" customWidth="1"/>
    <col min="9475" max="9475" width="7.7109375" style="8" customWidth="1"/>
    <col min="9476" max="9476" width="4.7109375" style="8" customWidth="1"/>
    <col min="9477" max="9477" width="8.28515625" style="8" customWidth="1"/>
    <col min="9478" max="9478" width="10.42578125" style="8" bestFit="1" customWidth="1"/>
    <col min="9479" max="9479" width="9.140625" style="8"/>
    <col min="9480" max="9480" width="7.5703125" style="8" customWidth="1"/>
    <col min="9481" max="9728" width="9.140625" style="8"/>
    <col min="9729" max="9729" width="24.140625" style="8" customWidth="1"/>
    <col min="9730" max="9730" width="4.7109375" style="8" customWidth="1"/>
    <col min="9731" max="9731" width="7.7109375" style="8" customWidth="1"/>
    <col min="9732" max="9732" width="4.7109375" style="8" customWidth="1"/>
    <col min="9733" max="9733" width="8.28515625" style="8" customWidth="1"/>
    <col min="9734" max="9734" width="10.42578125" style="8" bestFit="1" customWidth="1"/>
    <col min="9735" max="9735" width="9.140625" style="8"/>
    <col min="9736" max="9736" width="7.5703125" style="8" customWidth="1"/>
    <col min="9737" max="9984" width="9.140625" style="8"/>
    <col min="9985" max="9985" width="24.140625" style="8" customWidth="1"/>
    <col min="9986" max="9986" width="4.7109375" style="8" customWidth="1"/>
    <col min="9987" max="9987" width="7.7109375" style="8" customWidth="1"/>
    <col min="9988" max="9988" width="4.7109375" style="8" customWidth="1"/>
    <col min="9989" max="9989" width="8.28515625" style="8" customWidth="1"/>
    <col min="9990" max="9990" width="10.42578125" style="8" bestFit="1" customWidth="1"/>
    <col min="9991" max="9991" width="9.140625" style="8"/>
    <col min="9992" max="9992" width="7.5703125" style="8" customWidth="1"/>
    <col min="9993" max="10240" width="9.140625" style="8"/>
    <col min="10241" max="10241" width="24.140625" style="8" customWidth="1"/>
    <col min="10242" max="10242" width="4.7109375" style="8" customWidth="1"/>
    <col min="10243" max="10243" width="7.7109375" style="8" customWidth="1"/>
    <col min="10244" max="10244" width="4.7109375" style="8" customWidth="1"/>
    <col min="10245" max="10245" width="8.28515625" style="8" customWidth="1"/>
    <col min="10246" max="10246" width="10.42578125" style="8" bestFit="1" customWidth="1"/>
    <col min="10247" max="10247" width="9.140625" style="8"/>
    <col min="10248" max="10248" width="7.5703125" style="8" customWidth="1"/>
    <col min="10249" max="10496" width="9.140625" style="8"/>
    <col min="10497" max="10497" width="24.140625" style="8" customWidth="1"/>
    <col min="10498" max="10498" width="4.7109375" style="8" customWidth="1"/>
    <col min="10499" max="10499" width="7.7109375" style="8" customWidth="1"/>
    <col min="10500" max="10500" width="4.7109375" style="8" customWidth="1"/>
    <col min="10501" max="10501" width="8.28515625" style="8" customWidth="1"/>
    <col min="10502" max="10502" width="10.42578125" style="8" bestFit="1" customWidth="1"/>
    <col min="10503" max="10503" width="9.140625" style="8"/>
    <col min="10504" max="10504" width="7.5703125" style="8" customWidth="1"/>
    <col min="10505" max="10752" width="9.140625" style="8"/>
    <col min="10753" max="10753" width="24.140625" style="8" customWidth="1"/>
    <col min="10754" max="10754" width="4.7109375" style="8" customWidth="1"/>
    <col min="10755" max="10755" width="7.7109375" style="8" customWidth="1"/>
    <col min="10756" max="10756" width="4.7109375" style="8" customWidth="1"/>
    <col min="10757" max="10757" width="8.28515625" style="8" customWidth="1"/>
    <col min="10758" max="10758" width="10.42578125" style="8" bestFit="1" customWidth="1"/>
    <col min="10759" max="10759" width="9.140625" style="8"/>
    <col min="10760" max="10760" width="7.5703125" style="8" customWidth="1"/>
    <col min="10761" max="11008" width="9.140625" style="8"/>
    <col min="11009" max="11009" width="24.140625" style="8" customWidth="1"/>
    <col min="11010" max="11010" width="4.7109375" style="8" customWidth="1"/>
    <col min="11011" max="11011" width="7.7109375" style="8" customWidth="1"/>
    <col min="11012" max="11012" width="4.7109375" style="8" customWidth="1"/>
    <col min="11013" max="11013" width="8.28515625" style="8" customWidth="1"/>
    <col min="11014" max="11014" width="10.42578125" style="8" bestFit="1" customWidth="1"/>
    <col min="11015" max="11015" width="9.140625" style="8"/>
    <col min="11016" max="11016" width="7.5703125" style="8" customWidth="1"/>
    <col min="11017" max="11264" width="9.140625" style="8"/>
    <col min="11265" max="11265" width="24.140625" style="8" customWidth="1"/>
    <col min="11266" max="11266" width="4.7109375" style="8" customWidth="1"/>
    <col min="11267" max="11267" width="7.7109375" style="8" customWidth="1"/>
    <col min="11268" max="11268" width="4.7109375" style="8" customWidth="1"/>
    <col min="11269" max="11269" width="8.28515625" style="8" customWidth="1"/>
    <col min="11270" max="11270" width="10.42578125" style="8" bestFit="1" customWidth="1"/>
    <col min="11271" max="11271" width="9.140625" style="8"/>
    <col min="11272" max="11272" width="7.5703125" style="8" customWidth="1"/>
    <col min="11273" max="11520" width="9.140625" style="8"/>
    <col min="11521" max="11521" width="24.140625" style="8" customWidth="1"/>
    <col min="11522" max="11522" width="4.7109375" style="8" customWidth="1"/>
    <col min="11523" max="11523" width="7.7109375" style="8" customWidth="1"/>
    <col min="11524" max="11524" width="4.7109375" style="8" customWidth="1"/>
    <col min="11525" max="11525" width="8.28515625" style="8" customWidth="1"/>
    <col min="11526" max="11526" width="10.42578125" style="8" bestFit="1" customWidth="1"/>
    <col min="11527" max="11527" width="9.140625" style="8"/>
    <col min="11528" max="11528" width="7.5703125" style="8" customWidth="1"/>
    <col min="11529" max="11776" width="9.140625" style="8"/>
    <col min="11777" max="11777" width="24.140625" style="8" customWidth="1"/>
    <col min="11778" max="11778" width="4.7109375" style="8" customWidth="1"/>
    <col min="11779" max="11779" width="7.7109375" style="8" customWidth="1"/>
    <col min="11780" max="11780" width="4.7109375" style="8" customWidth="1"/>
    <col min="11781" max="11781" width="8.28515625" style="8" customWidth="1"/>
    <col min="11782" max="11782" width="10.42578125" style="8" bestFit="1" customWidth="1"/>
    <col min="11783" max="11783" width="9.140625" style="8"/>
    <col min="11784" max="11784" width="7.5703125" style="8" customWidth="1"/>
    <col min="11785" max="12032" width="9.140625" style="8"/>
    <col min="12033" max="12033" width="24.140625" style="8" customWidth="1"/>
    <col min="12034" max="12034" width="4.7109375" style="8" customWidth="1"/>
    <col min="12035" max="12035" width="7.7109375" style="8" customWidth="1"/>
    <col min="12036" max="12036" width="4.7109375" style="8" customWidth="1"/>
    <col min="12037" max="12037" width="8.28515625" style="8" customWidth="1"/>
    <col min="12038" max="12038" width="10.42578125" style="8" bestFit="1" customWidth="1"/>
    <col min="12039" max="12039" width="9.140625" style="8"/>
    <col min="12040" max="12040" width="7.5703125" style="8" customWidth="1"/>
    <col min="12041" max="12288" width="9.140625" style="8"/>
    <col min="12289" max="12289" width="24.140625" style="8" customWidth="1"/>
    <col min="12290" max="12290" width="4.7109375" style="8" customWidth="1"/>
    <col min="12291" max="12291" width="7.7109375" style="8" customWidth="1"/>
    <col min="12292" max="12292" width="4.7109375" style="8" customWidth="1"/>
    <col min="12293" max="12293" width="8.28515625" style="8" customWidth="1"/>
    <col min="12294" max="12294" width="10.42578125" style="8" bestFit="1" customWidth="1"/>
    <col min="12295" max="12295" width="9.140625" style="8"/>
    <col min="12296" max="12296" width="7.5703125" style="8" customWidth="1"/>
    <col min="12297" max="12544" width="9.140625" style="8"/>
    <col min="12545" max="12545" width="24.140625" style="8" customWidth="1"/>
    <col min="12546" max="12546" width="4.7109375" style="8" customWidth="1"/>
    <col min="12547" max="12547" width="7.7109375" style="8" customWidth="1"/>
    <col min="12548" max="12548" width="4.7109375" style="8" customWidth="1"/>
    <col min="12549" max="12549" width="8.28515625" style="8" customWidth="1"/>
    <col min="12550" max="12550" width="10.42578125" style="8" bestFit="1" customWidth="1"/>
    <col min="12551" max="12551" width="9.140625" style="8"/>
    <col min="12552" max="12552" width="7.5703125" style="8" customWidth="1"/>
    <col min="12553" max="12800" width="9.140625" style="8"/>
    <col min="12801" max="12801" width="24.140625" style="8" customWidth="1"/>
    <col min="12802" max="12802" width="4.7109375" style="8" customWidth="1"/>
    <col min="12803" max="12803" width="7.7109375" style="8" customWidth="1"/>
    <col min="12804" max="12804" width="4.7109375" style="8" customWidth="1"/>
    <col min="12805" max="12805" width="8.28515625" style="8" customWidth="1"/>
    <col min="12806" max="12806" width="10.42578125" style="8" bestFit="1" customWidth="1"/>
    <col min="12807" max="12807" width="9.140625" style="8"/>
    <col min="12808" max="12808" width="7.5703125" style="8" customWidth="1"/>
    <col min="12809" max="13056" width="9.140625" style="8"/>
    <col min="13057" max="13057" width="24.140625" style="8" customWidth="1"/>
    <col min="13058" max="13058" width="4.7109375" style="8" customWidth="1"/>
    <col min="13059" max="13059" width="7.7109375" style="8" customWidth="1"/>
    <col min="13060" max="13060" width="4.7109375" style="8" customWidth="1"/>
    <col min="13061" max="13061" width="8.28515625" style="8" customWidth="1"/>
    <col min="13062" max="13062" width="10.42578125" style="8" bestFit="1" customWidth="1"/>
    <col min="13063" max="13063" width="9.140625" style="8"/>
    <col min="13064" max="13064" width="7.5703125" style="8" customWidth="1"/>
    <col min="13065" max="13312" width="9.140625" style="8"/>
    <col min="13313" max="13313" width="24.140625" style="8" customWidth="1"/>
    <col min="13314" max="13314" width="4.7109375" style="8" customWidth="1"/>
    <col min="13315" max="13315" width="7.7109375" style="8" customWidth="1"/>
    <col min="13316" max="13316" width="4.7109375" style="8" customWidth="1"/>
    <col min="13317" max="13317" width="8.28515625" style="8" customWidth="1"/>
    <col min="13318" max="13318" width="10.42578125" style="8" bestFit="1" customWidth="1"/>
    <col min="13319" max="13319" width="9.140625" style="8"/>
    <col min="13320" max="13320" width="7.5703125" style="8" customWidth="1"/>
    <col min="13321" max="13568" width="9.140625" style="8"/>
    <col min="13569" max="13569" width="24.140625" style="8" customWidth="1"/>
    <col min="13570" max="13570" width="4.7109375" style="8" customWidth="1"/>
    <col min="13571" max="13571" width="7.7109375" style="8" customWidth="1"/>
    <col min="13572" max="13572" width="4.7109375" style="8" customWidth="1"/>
    <col min="13573" max="13573" width="8.28515625" style="8" customWidth="1"/>
    <col min="13574" max="13574" width="10.42578125" style="8" bestFit="1" customWidth="1"/>
    <col min="13575" max="13575" width="9.140625" style="8"/>
    <col min="13576" max="13576" width="7.5703125" style="8" customWidth="1"/>
    <col min="13577" max="13824" width="9.140625" style="8"/>
    <col min="13825" max="13825" width="24.140625" style="8" customWidth="1"/>
    <col min="13826" max="13826" width="4.7109375" style="8" customWidth="1"/>
    <col min="13827" max="13827" width="7.7109375" style="8" customWidth="1"/>
    <col min="13828" max="13828" width="4.7109375" style="8" customWidth="1"/>
    <col min="13829" max="13829" width="8.28515625" style="8" customWidth="1"/>
    <col min="13830" max="13830" width="10.42578125" style="8" bestFit="1" customWidth="1"/>
    <col min="13831" max="13831" width="9.140625" style="8"/>
    <col min="13832" max="13832" width="7.5703125" style="8" customWidth="1"/>
    <col min="13833" max="14080" width="9.140625" style="8"/>
    <col min="14081" max="14081" width="24.140625" style="8" customWidth="1"/>
    <col min="14082" max="14082" width="4.7109375" style="8" customWidth="1"/>
    <col min="14083" max="14083" width="7.7109375" style="8" customWidth="1"/>
    <col min="14084" max="14084" width="4.7109375" style="8" customWidth="1"/>
    <col min="14085" max="14085" width="8.28515625" style="8" customWidth="1"/>
    <col min="14086" max="14086" width="10.42578125" style="8" bestFit="1" customWidth="1"/>
    <col min="14087" max="14087" width="9.140625" style="8"/>
    <col min="14088" max="14088" width="7.5703125" style="8" customWidth="1"/>
    <col min="14089" max="14336" width="9.140625" style="8"/>
    <col min="14337" max="14337" width="24.140625" style="8" customWidth="1"/>
    <col min="14338" max="14338" width="4.7109375" style="8" customWidth="1"/>
    <col min="14339" max="14339" width="7.7109375" style="8" customWidth="1"/>
    <col min="14340" max="14340" width="4.7109375" style="8" customWidth="1"/>
    <col min="14341" max="14341" width="8.28515625" style="8" customWidth="1"/>
    <col min="14342" max="14342" width="10.42578125" style="8" bestFit="1" customWidth="1"/>
    <col min="14343" max="14343" width="9.140625" style="8"/>
    <col min="14344" max="14344" width="7.5703125" style="8" customWidth="1"/>
    <col min="14345" max="14592" width="9.140625" style="8"/>
    <col min="14593" max="14593" width="24.140625" style="8" customWidth="1"/>
    <col min="14594" max="14594" width="4.7109375" style="8" customWidth="1"/>
    <col min="14595" max="14595" width="7.7109375" style="8" customWidth="1"/>
    <col min="14596" max="14596" width="4.7109375" style="8" customWidth="1"/>
    <col min="14597" max="14597" width="8.28515625" style="8" customWidth="1"/>
    <col min="14598" max="14598" width="10.42578125" style="8" bestFit="1" customWidth="1"/>
    <col min="14599" max="14599" width="9.140625" style="8"/>
    <col min="14600" max="14600" width="7.5703125" style="8" customWidth="1"/>
    <col min="14601" max="14848" width="9.140625" style="8"/>
    <col min="14849" max="14849" width="24.140625" style="8" customWidth="1"/>
    <col min="14850" max="14850" width="4.7109375" style="8" customWidth="1"/>
    <col min="14851" max="14851" width="7.7109375" style="8" customWidth="1"/>
    <col min="14852" max="14852" width="4.7109375" style="8" customWidth="1"/>
    <col min="14853" max="14853" width="8.28515625" style="8" customWidth="1"/>
    <col min="14854" max="14854" width="10.42578125" style="8" bestFit="1" customWidth="1"/>
    <col min="14855" max="14855" width="9.140625" style="8"/>
    <col min="14856" max="14856" width="7.5703125" style="8" customWidth="1"/>
    <col min="14857" max="15104" width="9.140625" style="8"/>
    <col min="15105" max="15105" width="24.140625" style="8" customWidth="1"/>
    <col min="15106" max="15106" width="4.7109375" style="8" customWidth="1"/>
    <col min="15107" max="15107" width="7.7109375" style="8" customWidth="1"/>
    <col min="15108" max="15108" width="4.7109375" style="8" customWidth="1"/>
    <col min="15109" max="15109" width="8.28515625" style="8" customWidth="1"/>
    <col min="15110" max="15110" width="10.42578125" style="8" bestFit="1" customWidth="1"/>
    <col min="15111" max="15111" width="9.140625" style="8"/>
    <col min="15112" max="15112" width="7.5703125" style="8" customWidth="1"/>
    <col min="15113" max="15360" width="9.140625" style="8"/>
    <col min="15361" max="15361" width="24.140625" style="8" customWidth="1"/>
    <col min="15362" max="15362" width="4.7109375" style="8" customWidth="1"/>
    <col min="15363" max="15363" width="7.7109375" style="8" customWidth="1"/>
    <col min="15364" max="15364" width="4.7109375" style="8" customWidth="1"/>
    <col min="15365" max="15365" width="8.28515625" style="8" customWidth="1"/>
    <col min="15366" max="15366" width="10.42578125" style="8" bestFit="1" customWidth="1"/>
    <col min="15367" max="15367" width="9.140625" style="8"/>
    <col min="15368" max="15368" width="7.5703125" style="8" customWidth="1"/>
    <col min="15369" max="15616" width="9.140625" style="8"/>
    <col min="15617" max="15617" width="24.140625" style="8" customWidth="1"/>
    <col min="15618" max="15618" width="4.7109375" style="8" customWidth="1"/>
    <col min="15619" max="15619" width="7.7109375" style="8" customWidth="1"/>
    <col min="15620" max="15620" width="4.7109375" style="8" customWidth="1"/>
    <col min="15621" max="15621" width="8.28515625" style="8" customWidth="1"/>
    <col min="15622" max="15622" width="10.42578125" style="8" bestFit="1" customWidth="1"/>
    <col min="15623" max="15623" width="9.140625" style="8"/>
    <col min="15624" max="15624" width="7.5703125" style="8" customWidth="1"/>
    <col min="15625" max="15872" width="9.140625" style="8"/>
    <col min="15873" max="15873" width="24.140625" style="8" customWidth="1"/>
    <col min="15874" max="15874" width="4.7109375" style="8" customWidth="1"/>
    <col min="15875" max="15875" width="7.7109375" style="8" customWidth="1"/>
    <col min="15876" max="15876" width="4.7109375" style="8" customWidth="1"/>
    <col min="15877" max="15877" width="8.28515625" style="8" customWidth="1"/>
    <col min="15878" max="15878" width="10.42578125" style="8" bestFit="1" customWidth="1"/>
    <col min="15879" max="15879" width="9.140625" style="8"/>
    <col min="15880" max="15880" width="7.5703125" style="8" customWidth="1"/>
    <col min="15881" max="16128" width="9.140625" style="8"/>
    <col min="16129" max="16129" width="24.140625" style="8" customWidth="1"/>
    <col min="16130" max="16130" width="4.7109375" style="8" customWidth="1"/>
    <col min="16131" max="16131" width="7.7109375" style="8" customWidth="1"/>
    <col min="16132" max="16132" width="4.7109375" style="8" customWidth="1"/>
    <col min="16133" max="16133" width="8.28515625" style="8" customWidth="1"/>
    <col min="16134" max="16134" width="10.42578125" style="8" bestFit="1" customWidth="1"/>
    <col min="16135" max="16135" width="9.140625" style="8"/>
    <col min="16136" max="16136" width="7.5703125" style="8" customWidth="1"/>
    <col min="16137" max="16384" width="9.140625" style="8"/>
  </cols>
  <sheetData>
    <row r="1" spans="1:8" s="2" customFormat="1" ht="18">
      <c r="A1" s="1" t="s">
        <v>0</v>
      </c>
      <c r="D1" s="3" t="s">
        <v>36</v>
      </c>
      <c r="E1" s="4" t="s">
        <v>37</v>
      </c>
      <c r="F1" s="1"/>
      <c r="G1" s="1"/>
    </row>
    <row r="2" spans="1:8" s="5" customFormat="1" ht="11.25">
      <c r="A2" s="5" t="s">
        <v>38</v>
      </c>
    </row>
    <row r="3" spans="1:8" s="6" customFormat="1" ht="11.25">
      <c r="A3" s="6" t="s">
        <v>39</v>
      </c>
    </row>
    <row r="4" spans="1:8" s="6" customFormat="1" ht="11.25">
      <c r="A4" s="6" t="s">
        <v>40</v>
      </c>
      <c r="F4" s="7" t="s">
        <v>41</v>
      </c>
    </row>
    <row r="5" spans="1:8" s="6" customFormat="1" ht="11.25">
      <c r="A5" s="6" t="s">
        <v>4</v>
      </c>
    </row>
    <row r="6" spans="1:8">
      <c r="A6" s="5" t="s">
        <v>6</v>
      </c>
      <c r="B6" s="3"/>
      <c r="C6" s="3"/>
      <c r="D6" s="3"/>
      <c r="E6" s="3"/>
      <c r="F6" s="3"/>
      <c r="G6" s="3"/>
    </row>
    <row r="7" spans="1:8">
      <c r="A7" s="5"/>
      <c r="B7" s="3"/>
      <c r="C7" s="3"/>
      <c r="D7" s="3"/>
      <c r="E7" s="3"/>
      <c r="F7" s="3"/>
      <c r="G7" s="3"/>
    </row>
    <row r="8" spans="1:8" s="10" customFormat="1" ht="15">
      <c r="A8" s="9" t="s">
        <v>9</v>
      </c>
      <c r="F8" s="11"/>
      <c r="G8" s="11"/>
    </row>
    <row r="9" spans="1:8" s="6" customFormat="1" outlineLevel="1">
      <c r="A9" s="12" t="s">
        <v>42</v>
      </c>
      <c r="B9" s="3">
        <v>100</v>
      </c>
      <c r="C9" s="3" t="s">
        <v>242</v>
      </c>
      <c r="D9" s="3"/>
      <c r="E9" s="3"/>
      <c r="F9" s="12">
        <f>Tsat_P(B9)</f>
        <v>99.605918611337643</v>
      </c>
      <c r="G9" s="12" t="s">
        <v>10</v>
      </c>
      <c r="H9" s="3" t="s">
        <v>13</v>
      </c>
    </row>
    <row r="10" spans="1:8" s="6" customFormat="1" outlineLevel="1">
      <c r="A10" s="12" t="s">
        <v>44</v>
      </c>
      <c r="B10" s="3">
        <v>100</v>
      </c>
      <c r="C10" s="3" t="s">
        <v>242</v>
      </c>
      <c r="D10" s="3">
        <v>100</v>
      </c>
      <c r="E10" s="3" t="s">
        <v>16</v>
      </c>
      <c r="F10" s="12">
        <f>T_ph(B10,D10)</f>
        <v>23.844819075324835</v>
      </c>
      <c r="G10" s="12" t="s">
        <v>10</v>
      </c>
      <c r="H10" s="3" t="s">
        <v>45</v>
      </c>
    </row>
    <row r="11" spans="1:8" s="6" customFormat="1" outlineLevel="1">
      <c r="A11" s="12" t="s">
        <v>46</v>
      </c>
      <c r="B11" s="3">
        <v>100</v>
      </c>
      <c r="C11" s="3" t="s">
        <v>242</v>
      </c>
      <c r="D11" s="3">
        <v>1</v>
      </c>
      <c r="E11" s="3" t="s">
        <v>47</v>
      </c>
      <c r="F11" s="12">
        <f>T_ps(B11,D11)</f>
        <v>73.708594214408663</v>
      </c>
      <c r="G11" s="12" t="s">
        <v>10</v>
      </c>
      <c r="H11" s="3" t="s">
        <v>48</v>
      </c>
    </row>
    <row r="12" spans="1:8" s="6" customFormat="1" outlineLevel="1">
      <c r="A12" s="12" t="s">
        <v>49</v>
      </c>
      <c r="B12" s="3">
        <v>100</v>
      </c>
      <c r="C12" s="3" t="s">
        <v>16</v>
      </c>
      <c r="D12" s="3">
        <v>0.2</v>
      </c>
      <c r="E12" s="3" t="s">
        <v>47</v>
      </c>
      <c r="F12" s="12">
        <f>T_hs(B12,D12)</f>
        <v>13.849335111872563</v>
      </c>
      <c r="G12" s="12" t="s">
        <v>10</v>
      </c>
      <c r="H12" s="3" t="s">
        <v>50</v>
      </c>
    </row>
    <row r="13" spans="1:8" s="10" customFormat="1" ht="15">
      <c r="A13" s="9" t="s">
        <v>11</v>
      </c>
      <c r="F13" s="11"/>
      <c r="G13" s="11"/>
    </row>
    <row r="14" spans="1:8" s="6" customFormat="1" outlineLevel="1">
      <c r="A14" s="12" t="s">
        <v>51</v>
      </c>
      <c r="B14" s="3">
        <v>100</v>
      </c>
      <c r="C14" s="3" t="s">
        <v>10</v>
      </c>
      <c r="D14" s="3"/>
      <c r="E14" s="3"/>
      <c r="F14" s="12">
        <f>psat_t(B14)</f>
        <v>101.41797792131013</v>
      </c>
      <c r="G14" s="12" t="s">
        <v>43</v>
      </c>
      <c r="H14" s="3" t="s">
        <v>12</v>
      </c>
    </row>
    <row r="15" spans="1:8" s="6" customFormat="1" outlineLevel="1">
      <c r="A15" s="12" t="s">
        <v>52</v>
      </c>
      <c r="B15" s="3">
        <v>84</v>
      </c>
      <c r="C15" s="3" t="s">
        <v>16</v>
      </c>
      <c r="D15" s="3">
        <v>0.29599999999999999</v>
      </c>
      <c r="E15" s="3" t="s">
        <v>47</v>
      </c>
      <c r="F15" s="12">
        <f>p_hs(B15,D15)</f>
        <v>229.54982692809139</v>
      </c>
      <c r="G15" s="12" t="s">
        <v>43</v>
      </c>
      <c r="H15" s="3" t="s">
        <v>53</v>
      </c>
    </row>
    <row r="16" spans="1:8" s="6" customFormat="1" outlineLevel="1">
      <c r="A16" s="12" t="s">
        <v>54</v>
      </c>
      <c r="B16" s="3">
        <v>2000</v>
      </c>
      <c r="C16" s="3" t="s">
        <v>16</v>
      </c>
      <c r="D16" s="3">
        <v>5</v>
      </c>
      <c r="E16" s="3" t="s">
        <v>18</v>
      </c>
      <c r="F16" s="12">
        <f>p_hrho(B16,D16)</f>
        <v>604.64688779320568</v>
      </c>
      <c r="G16" s="12" t="s">
        <v>43</v>
      </c>
      <c r="H16" s="3" t="s">
        <v>55</v>
      </c>
    </row>
    <row r="17" spans="1:8" s="10" customFormat="1" ht="15">
      <c r="A17" s="9" t="s">
        <v>15</v>
      </c>
      <c r="F17" s="11"/>
      <c r="G17" s="11"/>
    </row>
    <row r="18" spans="1:8" s="6" customFormat="1" outlineLevel="1">
      <c r="A18" s="12" t="s">
        <v>56</v>
      </c>
      <c r="B18" s="3">
        <v>100</v>
      </c>
      <c r="C18" s="3" t="s">
        <v>242</v>
      </c>
      <c r="D18" s="3"/>
      <c r="E18" s="3"/>
      <c r="F18" s="12">
        <f>hV_p(B18)</f>
        <v>2674.9496408321461</v>
      </c>
      <c r="G18" s="12" t="s">
        <v>16</v>
      </c>
      <c r="H18" s="3" t="s">
        <v>57</v>
      </c>
    </row>
    <row r="19" spans="1:8" s="6" customFormat="1" outlineLevel="1">
      <c r="A19" s="12" t="s">
        <v>58</v>
      </c>
      <c r="B19" s="3">
        <v>100</v>
      </c>
      <c r="C19" s="3" t="s">
        <v>242</v>
      </c>
      <c r="D19" s="3"/>
      <c r="E19" s="3"/>
      <c r="F19" s="12">
        <f>hL_p(B19)</f>
        <v>417.43648581623171</v>
      </c>
      <c r="G19" s="12" t="s">
        <v>16</v>
      </c>
      <c r="H19" s="3" t="s">
        <v>59</v>
      </c>
    </row>
    <row r="20" spans="1:8" s="6" customFormat="1" outlineLevel="1">
      <c r="A20" s="12" t="s">
        <v>60</v>
      </c>
      <c r="B20" s="3">
        <v>100</v>
      </c>
      <c r="C20" s="3" t="s">
        <v>10</v>
      </c>
      <c r="D20" s="3"/>
      <c r="E20" s="3"/>
      <c r="F20" s="12">
        <f>hV_T(B20)</f>
        <v>2675.5720292208343</v>
      </c>
      <c r="G20" s="12" t="s">
        <v>16</v>
      </c>
      <c r="H20" s="3" t="s">
        <v>57</v>
      </c>
    </row>
    <row r="21" spans="1:8" s="6" customFormat="1" outlineLevel="1">
      <c r="A21" s="12" t="s">
        <v>61</v>
      </c>
      <c r="B21" s="3">
        <v>100</v>
      </c>
      <c r="C21" s="3" t="s">
        <v>10</v>
      </c>
      <c r="D21" s="3"/>
      <c r="E21" s="3"/>
      <c r="F21" s="12">
        <f>hL_T(B21)</f>
        <v>419.09915499770312</v>
      </c>
      <c r="G21" s="12" t="s">
        <v>16</v>
      </c>
      <c r="H21" s="3" t="s">
        <v>59</v>
      </c>
    </row>
    <row r="22" spans="1:8" s="6" customFormat="1" outlineLevel="1">
      <c r="A22" s="12" t="s">
        <v>62</v>
      </c>
      <c r="B22" s="3">
        <v>100</v>
      </c>
      <c r="C22" s="3" t="s">
        <v>242</v>
      </c>
      <c r="D22" s="3">
        <v>20</v>
      </c>
      <c r="E22" s="3" t="s">
        <v>10</v>
      </c>
      <c r="F22" s="12">
        <f>h_pt(B22,D22)</f>
        <v>84.01181116713623</v>
      </c>
      <c r="G22" s="12" t="s">
        <v>16</v>
      </c>
      <c r="H22" s="3" t="s">
        <v>63</v>
      </c>
    </row>
    <row r="23" spans="1:8" s="6" customFormat="1" outlineLevel="1">
      <c r="A23" s="12" t="s">
        <v>64</v>
      </c>
      <c r="B23" s="3">
        <v>100</v>
      </c>
      <c r="C23" s="3" t="s">
        <v>242</v>
      </c>
      <c r="D23" s="3">
        <v>1</v>
      </c>
      <c r="E23" s="3" t="s">
        <v>47</v>
      </c>
      <c r="F23" s="12">
        <f>h_ps(B23,D23)</f>
        <v>308.61071708294634</v>
      </c>
      <c r="G23" s="12" t="s">
        <v>16</v>
      </c>
      <c r="H23" s="3" t="s">
        <v>65</v>
      </c>
    </row>
    <row r="24" spans="1:8" s="6" customFormat="1" outlineLevel="1">
      <c r="A24" s="12" t="s">
        <v>66</v>
      </c>
      <c r="B24" s="3">
        <v>100</v>
      </c>
      <c r="C24" s="3" t="s">
        <v>242</v>
      </c>
      <c r="D24" s="3">
        <v>0.5</v>
      </c>
      <c r="E24" s="3"/>
      <c r="F24" s="12">
        <f>h_px(B24,D24)</f>
        <v>1546.1930633241889</v>
      </c>
      <c r="G24" s="12" t="s">
        <v>16</v>
      </c>
      <c r="H24" s="3" t="s">
        <v>67</v>
      </c>
    </row>
    <row r="25" spans="1:8" s="6" customFormat="1" outlineLevel="1">
      <c r="A25" s="12" t="s">
        <v>68</v>
      </c>
      <c r="B25" s="3">
        <v>100</v>
      </c>
      <c r="C25" s="3" t="s">
        <v>10</v>
      </c>
      <c r="D25" s="3">
        <v>0.5</v>
      </c>
      <c r="E25" s="3"/>
      <c r="F25" s="12">
        <f>h_tx(B25,D25)</f>
        <v>1547.3355921092686</v>
      </c>
      <c r="G25" s="12" t="s">
        <v>16</v>
      </c>
      <c r="H25" s="3" t="s">
        <v>69</v>
      </c>
    </row>
    <row r="26" spans="1:8" s="6" customFormat="1" outlineLevel="1">
      <c r="A26" s="12" t="s">
        <v>70</v>
      </c>
      <c r="B26" s="3">
        <v>100</v>
      </c>
      <c r="C26" s="3" t="s">
        <v>242</v>
      </c>
      <c r="D26" s="3">
        <v>2</v>
      </c>
      <c r="E26" s="3" t="s">
        <v>18</v>
      </c>
      <c r="F26" s="12">
        <f>h_prho(B26,D26)</f>
        <v>1082.7733907600204</v>
      </c>
      <c r="G26" s="12" t="s">
        <v>16</v>
      </c>
      <c r="H26" s="3" t="s">
        <v>71</v>
      </c>
    </row>
    <row r="27" spans="1:8" s="10" customFormat="1" ht="15">
      <c r="A27" s="9" t="s">
        <v>72</v>
      </c>
      <c r="F27" s="11"/>
      <c r="G27" s="11"/>
    </row>
    <row r="28" spans="1:8" s="6" customFormat="1" outlineLevel="1">
      <c r="A28" s="12" t="s">
        <v>73</v>
      </c>
      <c r="B28" s="3">
        <v>100</v>
      </c>
      <c r="C28" s="3" t="s">
        <v>242</v>
      </c>
      <c r="D28" s="3"/>
      <c r="E28" s="3"/>
      <c r="F28" s="12">
        <f>vV_p(B28)</f>
        <v>1.6940225229026846</v>
      </c>
      <c r="G28" s="12" t="s">
        <v>74</v>
      </c>
      <c r="H28" s="3" t="s">
        <v>75</v>
      </c>
    </row>
    <row r="29" spans="1:8" s="6" customFormat="1" outlineLevel="1">
      <c r="A29" s="12" t="s">
        <v>76</v>
      </c>
      <c r="B29" s="3">
        <v>100</v>
      </c>
      <c r="C29" s="3" t="s">
        <v>242</v>
      </c>
      <c r="D29" s="3"/>
      <c r="E29" s="3"/>
      <c r="F29" s="12">
        <f>vL_p(B29)</f>
        <v>1.0431478391551838E-3</v>
      </c>
      <c r="G29" s="12" t="s">
        <v>74</v>
      </c>
      <c r="H29" s="3" t="s">
        <v>77</v>
      </c>
    </row>
    <row r="30" spans="1:8" s="6" customFormat="1" outlineLevel="1">
      <c r="A30" s="12" t="s">
        <v>78</v>
      </c>
      <c r="B30" s="3">
        <v>100</v>
      </c>
      <c r="C30" s="3" t="s">
        <v>10</v>
      </c>
      <c r="D30" s="3"/>
      <c r="E30" s="3"/>
      <c r="F30" s="12">
        <f>vV_T(B30)</f>
        <v>1.6718606010940367</v>
      </c>
      <c r="G30" s="12" t="s">
        <v>74</v>
      </c>
      <c r="H30" s="3" t="s">
        <v>75</v>
      </c>
    </row>
    <row r="31" spans="1:8" s="6" customFormat="1" outlineLevel="1">
      <c r="A31" s="12" t="s">
        <v>79</v>
      </c>
      <c r="B31" s="3">
        <v>100</v>
      </c>
      <c r="C31" s="3" t="s">
        <v>10</v>
      </c>
      <c r="D31" s="3"/>
      <c r="E31" s="3"/>
      <c r="F31" s="12">
        <f>vL_T(B31)</f>
        <v>1.0434554566105269E-3</v>
      </c>
      <c r="G31" s="12" t="s">
        <v>74</v>
      </c>
      <c r="H31" s="3" t="s">
        <v>77</v>
      </c>
    </row>
    <row r="32" spans="1:8" s="6" customFormat="1" outlineLevel="1">
      <c r="A32" s="12" t="s">
        <v>80</v>
      </c>
      <c r="B32" s="3">
        <v>100</v>
      </c>
      <c r="C32" s="3" t="s">
        <v>242</v>
      </c>
      <c r="D32" s="3">
        <v>100</v>
      </c>
      <c r="E32" s="3" t="s">
        <v>10</v>
      </c>
      <c r="F32" s="12">
        <f>v_pT(B32,D32)</f>
        <v>1.6959594073982218</v>
      </c>
      <c r="G32" s="12" t="s">
        <v>74</v>
      </c>
      <c r="H32" s="3" t="s">
        <v>81</v>
      </c>
    </row>
    <row r="33" spans="1:8" s="6" customFormat="1" outlineLevel="1">
      <c r="A33" s="12" t="s">
        <v>82</v>
      </c>
      <c r="B33" s="3">
        <v>100</v>
      </c>
      <c r="C33" s="3" t="s">
        <v>242</v>
      </c>
      <c r="D33" s="3">
        <v>1000</v>
      </c>
      <c r="E33" s="3" t="s">
        <v>16</v>
      </c>
      <c r="F33" s="12">
        <f>v_ph(B33,D33)</f>
        <v>0.43792565812986356</v>
      </c>
      <c r="G33" s="12" t="s">
        <v>74</v>
      </c>
      <c r="H33" s="3" t="s">
        <v>83</v>
      </c>
    </row>
    <row r="34" spans="1:8" s="6" customFormat="1" outlineLevel="1">
      <c r="A34" s="12" t="s">
        <v>84</v>
      </c>
      <c r="B34" s="3">
        <v>100</v>
      </c>
      <c r="C34" s="3" t="s">
        <v>242</v>
      </c>
      <c r="D34" s="3">
        <v>5</v>
      </c>
      <c r="E34" s="3" t="s">
        <v>47</v>
      </c>
      <c r="F34" s="12">
        <f>v_ps(B34,D34)</f>
        <v>1.0346353901862877</v>
      </c>
      <c r="G34" s="12" t="s">
        <v>74</v>
      </c>
      <c r="H34" s="3" t="s">
        <v>85</v>
      </c>
    </row>
    <row r="35" spans="1:8" s="10" customFormat="1" ht="15">
      <c r="A35" s="9" t="s">
        <v>17</v>
      </c>
      <c r="F35" s="11"/>
      <c r="G35" s="11"/>
    </row>
    <row r="36" spans="1:8" s="6" customFormat="1" outlineLevel="1">
      <c r="A36" s="12" t="s">
        <v>86</v>
      </c>
      <c r="B36" s="3">
        <v>100</v>
      </c>
      <c r="C36" s="3" t="s">
        <v>242</v>
      </c>
      <c r="D36" s="3"/>
      <c r="E36" s="3"/>
      <c r="F36" s="12">
        <f>rhoV_p(B36)</f>
        <v>0.59031092354457815</v>
      </c>
      <c r="G36" s="12" t="s">
        <v>18</v>
      </c>
      <c r="H36" s="3" t="s">
        <v>87</v>
      </c>
    </row>
    <row r="37" spans="1:8" s="6" customFormat="1" outlineLevel="1">
      <c r="A37" s="12" t="s">
        <v>88</v>
      </c>
      <c r="B37" s="3">
        <v>100</v>
      </c>
      <c r="C37" s="3" t="s">
        <v>242</v>
      </c>
      <c r="D37" s="3"/>
      <c r="E37" s="3"/>
      <c r="F37" s="12">
        <f>rhoL_p(B37)</f>
        <v>958.63688967603287</v>
      </c>
      <c r="G37" s="12" t="s">
        <v>18</v>
      </c>
      <c r="H37" s="3" t="s">
        <v>89</v>
      </c>
    </row>
    <row r="38" spans="1:8" s="6" customFormat="1" outlineLevel="1">
      <c r="A38" s="12" t="s">
        <v>90</v>
      </c>
      <c r="B38" s="3">
        <v>100</v>
      </c>
      <c r="C38" s="3" t="s">
        <v>10</v>
      </c>
      <c r="D38" s="3"/>
      <c r="E38" s="3"/>
      <c r="F38" s="12">
        <f>rhoV_T(B38)</f>
        <v>0.59813599252570293</v>
      </c>
      <c r="G38" s="12" t="s">
        <v>18</v>
      </c>
      <c r="H38" s="3" t="s">
        <v>87</v>
      </c>
    </row>
    <row r="39" spans="1:8" s="6" customFormat="1" outlineLevel="1">
      <c r="A39" s="12" t="s">
        <v>91</v>
      </c>
      <c r="B39" s="3">
        <v>100</v>
      </c>
      <c r="C39" s="3" t="s">
        <v>10</v>
      </c>
      <c r="D39" s="3"/>
      <c r="E39" s="3"/>
      <c r="F39" s="12">
        <f>rhoL_T(B39)</f>
        <v>958.35427728589013</v>
      </c>
      <c r="G39" s="12" t="s">
        <v>18</v>
      </c>
      <c r="H39" s="3" t="s">
        <v>89</v>
      </c>
    </row>
    <row r="40" spans="1:8" s="6" customFormat="1" outlineLevel="1">
      <c r="A40" s="12" t="s">
        <v>92</v>
      </c>
      <c r="B40" s="3">
        <v>100</v>
      </c>
      <c r="C40" s="3" t="s">
        <v>242</v>
      </c>
      <c r="D40" s="3">
        <v>100</v>
      </c>
      <c r="E40" s="3" t="s">
        <v>10</v>
      </c>
      <c r="F40" s="12">
        <f>rho_pT(B40,D40)</f>
        <v>0.5896367540624714</v>
      </c>
      <c r="G40" s="12" t="s">
        <v>18</v>
      </c>
      <c r="H40" s="3" t="s">
        <v>93</v>
      </c>
    </row>
    <row r="41" spans="1:8" s="6" customFormat="1" outlineLevel="1">
      <c r="A41" s="12" t="s">
        <v>94</v>
      </c>
      <c r="B41" s="3">
        <v>100</v>
      </c>
      <c r="C41" s="3" t="s">
        <v>242</v>
      </c>
      <c r="D41" s="3">
        <v>1000</v>
      </c>
      <c r="E41" s="3" t="s">
        <v>16</v>
      </c>
      <c r="F41" s="12">
        <f>rho_ph(B41,D41)</f>
        <v>2.2834926007086289</v>
      </c>
      <c r="G41" s="12" t="s">
        <v>18</v>
      </c>
      <c r="H41" s="3" t="s">
        <v>95</v>
      </c>
    </row>
    <row r="42" spans="1:8" s="6" customFormat="1" outlineLevel="1">
      <c r="A42" s="12" t="s">
        <v>96</v>
      </c>
      <c r="B42" s="3">
        <v>100</v>
      </c>
      <c r="C42" s="3" t="s">
        <v>242</v>
      </c>
      <c r="D42" s="3">
        <v>1</v>
      </c>
      <c r="E42" s="3" t="s">
        <v>47</v>
      </c>
      <c r="F42" s="12">
        <f>rho_ps(B42,D42)</f>
        <v>975.62367884823243</v>
      </c>
      <c r="G42" s="12" t="s">
        <v>18</v>
      </c>
      <c r="H42" s="3" t="s">
        <v>97</v>
      </c>
    </row>
    <row r="43" spans="1:8" s="10" customFormat="1" ht="15">
      <c r="A43" s="9" t="s">
        <v>98</v>
      </c>
      <c r="F43" s="11"/>
      <c r="G43" s="11"/>
    </row>
    <row r="44" spans="1:8" s="6" customFormat="1" outlineLevel="1">
      <c r="A44" s="12" t="s">
        <v>99</v>
      </c>
      <c r="B44" s="3">
        <v>1</v>
      </c>
      <c r="C44" s="3" t="s">
        <v>242</v>
      </c>
      <c r="D44" s="3"/>
      <c r="E44" s="3"/>
      <c r="F44" s="12">
        <f>sV_p(B44)</f>
        <v>8.9749297903862573</v>
      </c>
      <c r="G44" s="12" t="s">
        <v>47</v>
      </c>
      <c r="H44" s="3" t="s">
        <v>100</v>
      </c>
    </row>
    <row r="45" spans="1:8" s="6" customFormat="1" outlineLevel="1">
      <c r="A45" s="12" t="s">
        <v>101</v>
      </c>
      <c r="B45" s="3">
        <v>1</v>
      </c>
      <c r="C45" s="3" t="s">
        <v>242</v>
      </c>
      <c r="D45" s="3"/>
      <c r="E45" s="3"/>
      <c r="F45" s="12">
        <f>sL_p(B45)</f>
        <v>0.10591044766253487</v>
      </c>
      <c r="G45" s="12" t="s">
        <v>47</v>
      </c>
      <c r="H45" s="3" t="s">
        <v>102</v>
      </c>
    </row>
    <row r="46" spans="1:8" s="6" customFormat="1" outlineLevel="1">
      <c r="A46" s="12" t="s">
        <v>103</v>
      </c>
      <c r="B46" s="3">
        <v>1E-4</v>
      </c>
      <c r="C46" s="3" t="s">
        <v>10</v>
      </c>
      <c r="D46" s="3"/>
      <c r="E46" s="3"/>
      <c r="F46" s="12">
        <f>sV_T(B46)</f>
        <v>9.1557567158855857</v>
      </c>
      <c r="G46" s="12" t="s">
        <v>47</v>
      </c>
      <c r="H46" s="3" t="s">
        <v>100</v>
      </c>
    </row>
    <row r="47" spans="1:8" s="6" customFormat="1" outlineLevel="1">
      <c r="A47" s="12" t="s">
        <v>104</v>
      </c>
      <c r="B47" s="3">
        <v>100</v>
      </c>
      <c r="C47" s="3" t="s">
        <v>10</v>
      </c>
      <c r="D47" s="3"/>
      <c r="E47" s="3"/>
      <c r="F47" s="12">
        <f>sL_T(B47)</f>
        <v>1.3070143278413395</v>
      </c>
      <c r="G47" s="12" t="s">
        <v>47</v>
      </c>
      <c r="H47" s="3" t="s">
        <v>102</v>
      </c>
    </row>
    <row r="48" spans="1:8" s="6" customFormat="1" outlineLevel="1">
      <c r="A48" s="12" t="s">
        <v>105</v>
      </c>
      <c r="B48" s="3">
        <v>100</v>
      </c>
      <c r="C48" s="3" t="s">
        <v>242</v>
      </c>
      <c r="D48" s="3">
        <v>20</v>
      </c>
      <c r="E48" s="3" t="s">
        <v>10</v>
      </c>
      <c r="F48" s="12">
        <f>s_pT(B48,D48)</f>
        <v>0.29648292080641009</v>
      </c>
      <c r="G48" s="12" t="s">
        <v>47</v>
      </c>
      <c r="H48" s="3" t="s">
        <v>106</v>
      </c>
    </row>
    <row r="49" spans="1:8" s="6" customFormat="1" outlineLevel="1">
      <c r="A49" s="12" t="s">
        <v>107</v>
      </c>
      <c r="B49" s="3">
        <v>100</v>
      </c>
      <c r="C49" s="3" t="s">
        <v>242</v>
      </c>
      <c r="D49" s="3">
        <f>F22</f>
        <v>84.01181116713623</v>
      </c>
      <c r="E49" s="3" t="s">
        <v>16</v>
      </c>
      <c r="F49" s="12">
        <f>s_ph(B49,D49)</f>
        <v>0.29681384467642941</v>
      </c>
      <c r="G49" s="12" t="s">
        <v>47</v>
      </c>
      <c r="H49" s="3" t="s">
        <v>108</v>
      </c>
    </row>
    <row r="50" spans="1:8" s="10" customFormat="1" ht="15">
      <c r="A50" s="9" t="s">
        <v>109</v>
      </c>
      <c r="F50" s="11"/>
      <c r="G50" s="11"/>
    </row>
    <row r="51" spans="1:8" s="6" customFormat="1" outlineLevel="1">
      <c r="A51" s="12" t="s">
        <v>110</v>
      </c>
      <c r="B51" s="3">
        <v>100</v>
      </c>
      <c r="C51" s="3" t="s">
        <v>242</v>
      </c>
      <c r="D51" s="3"/>
      <c r="E51" s="3"/>
      <c r="F51" s="12">
        <f>uV_p(B51)</f>
        <v>2505.5473885418778</v>
      </c>
      <c r="G51" s="12" t="s">
        <v>16</v>
      </c>
      <c r="H51" s="3" t="s">
        <v>111</v>
      </c>
    </row>
    <row r="52" spans="1:8" s="6" customFormat="1" outlineLevel="1">
      <c r="A52" s="12" t="s">
        <v>112</v>
      </c>
      <c r="B52" s="3">
        <v>100</v>
      </c>
      <c r="C52" s="3" t="s">
        <v>242</v>
      </c>
      <c r="D52" s="3"/>
      <c r="E52" s="3"/>
      <c r="F52" s="12">
        <f>uL_p(B52)</f>
        <v>417.33217103231618</v>
      </c>
      <c r="G52" s="12" t="s">
        <v>16</v>
      </c>
      <c r="H52" s="3" t="s">
        <v>113</v>
      </c>
    </row>
    <row r="53" spans="1:8" s="6" customFormat="1" outlineLevel="1">
      <c r="A53" s="12" t="s">
        <v>114</v>
      </c>
      <c r="B53" s="3">
        <v>100</v>
      </c>
      <c r="C53" s="3" t="s">
        <v>10</v>
      </c>
      <c r="D53" s="3"/>
      <c r="E53" s="3"/>
      <c r="F53" s="12">
        <f>uV_T(B53)</f>
        <v>2506.0153076915708</v>
      </c>
      <c r="G53" s="12" t="s">
        <v>16</v>
      </c>
      <c r="H53" s="3" t="s">
        <v>111</v>
      </c>
    </row>
    <row r="54" spans="1:8" s="6" customFormat="1" outlineLevel="1">
      <c r="A54" s="12" t="s">
        <v>115</v>
      </c>
      <c r="B54" s="3">
        <v>100</v>
      </c>
      <c r="C54" s="3" t="s">
        <v>10</v>
      </c>
      <c r="D54" s="3"/>
      <c r="E54" s="3"/>
      <c r="F54" s="12">
        <f>uL_T(B54)</f>
        <v>418.99332985524268</v>
      </c>
      <c r="G54" s="12" t="s">
        <v>16</v>
      </c>
      <c r="H54" s="3" t="s">
        <v>113</v>
      </c>
    </row>
    <row r="55" spans="1:8" s="6" customFormat="1" outlineLevel="1">
      <c r="A55" s="12" t="s">
        <v>116</v>
      </c>
      <c r="B55" s="3">
        <v>100</v>
      </c>
      <c r="C55" s="3" t="s">
        <v>242</v>
      </c>
      <c r="D55" s="3">
        <v>100</v>
      </c>
      <c r="E55" s="3" t="s">
        <v>10</v>
      </c>
      <c r="F55" s="12">
        <f>u_pT(B55,D55)</f>
        <v>2506.1714264660072</v>
      </c>
      <c r="G55" s="12" t="s">
        <v>16</v>
      </c>
      <c r="H55" s="3" t="s">
        <v>117</v>
      </c>
    </row>
    <row r="56" spans="1:8" s="6" customFormat="1" outlineLevel="1">
      <c r="A56" s="12" t="s">
        <v>118</v>
      </c>
      <c r="B56" s="3">
        <v>100</v>
      </c>
      <c r="C56" s="3" t="s">
        <v>242</v>
      </c>
      <c r="D56" s="3">
        <v>1000</v>
      </c>
      <c r="E56" s="3" t="s">
        <v>16</v>
      </c>
      <c r="F56" s="12">
        <f>u_ph(B56,D56)</f>
        <v>956.20743418701375</v>
      </c>
      <c r="G56" s="12" t="s">
        <v>16</v>
      </c>
      <c r="H56" s="3" t="s">
        <v>119</v>
      </c>
    </row>
    <row r="57" spans="1:8" s="6" customFormat="1" outlineLevel="1">
      <c r="A57" s="12" t="s">
        <v>120</v>
      </c>
      <c r="B57" s="3">
        <v>100</v>
      </c>
      <c r="C57" s="3" t="s">
        <v>242</v>
      </c>
      <c r="D57" s="3">
        <v>1</v>
      </c>
      <c r="E57" s="3" t="s">
        <v>47</v>
      </c>
      <c r="F57" s="12">
        <f>u_ps(B57,D57)</f>
        <v>308.50821854568443</v>
      </c>
      <c r="G57" s="12" t="s">
        <v>16</v>
      </c>
      <c r="H57" s="3" t="s">
        <v>121</v>
      </c>
    </row>
    <row r="58" spans="1:8" s="10" customFormat="1" ht="15">
      <c r="A58" s="9" t="s">
        <v>122</v>
      </c>
      <c r="F58" s="11"/>
      <c r="G58" s="11"/>
    </row>
    <row r="59" spans="1:8" s="6" customFormat="1" outlineLevel="1">
      <c r="A59" s="12" t="s">
        <v>123</v>
      </c>
      <c r="B59" s="3">
        <v>100</v>
      </c>
      <c r="C59" s="3" t="s">
        <v>242</v>
      </c>
      <c r="D59" s="3"/>
      <c r="E59" s="3"/>
      <c r="F59" s="12">
        <f>CpV_p(B59)</f>
        <v>2.0759380252044393</v>
      </c>
      <c r="G59" s="12" t="s">
        <v>124</v>
      </c>
      <c r="H59" s="3" t="s">
        <v>125</v>
      </c>
    </row>
    <row r="60" spans="1:8" s="6" customFormat="1" outlineLevel="1">
      <c r="A60" s="12" t="s">
        <v>126</v>
      </c>
      <c r="B60" s="3">
        <v>100</v>
      </c>
      <c r="C60" s="3" t="s">
        <v>242</v>
      </c>
      <c r="D60" s="3"/>
      <c r="E60" s="3"/>
      <c r="F60" s="12">
        <f>CpL_p(B60)</f>
        <v>4.2161494308387475</v>
      </c>
      <c r="G60" s="12" t="s">
        <v>124</v>
      </c>
      <c r="H60" s="3" t="s">
        <v>127</v>
      </c>
    </row>
    <row r="61" spans="1:8" s="6" customFormat="1" outlineLevel="1">
      <c r="A61" s="12" t="s">
        <v>128</v>
      </c>
      <c r="B61" s="3">
        <v>100</v>
      </c>
      <c r="C61" s="3" t="s">
        <v>10</v>
      </c>
      <c r="D61" s="3"/>
      <c r="E61" s="3"/>
      <c r="F61" s="12">
        <f>CpV_T(B61)</f>
        <v>2.0774918684822654</v>
      </c>
      <c r="G61" s="12" t="s">
        <v>124</v>
      </c>
      <c r="H61" s="3" t="s">
        <v>125</v>
      </c>
    </row>
    <row r="62" spans="1:8" s="6" customFormat="1" outlineLevel="1">
      <c r="A62" s="12" t="s">
        <v>129</v>
      </c>
      <c r="B62" s="3">
        <v>100</v>
      </c>
      <c r="C62" s="3" t="s">
        <v>10</v>
      </c>
      <c r="D62" s="3"/>
      <c r="E62" s="3"/>
      <c r="F62" s="12">
        <f>CpL_T(B62)</f>
        <v>4.2166451189235845</v>
      </c>
      <c r="G62" s="12" t="s">
        <v>124</v>
      </c>
      <c r="H62" s="3" t="s">
        <v>127</v>
      </c>
    </row>
    <row r="63" spans="1:8" s="6" customFormat="1" outlineLevel="1">
      <c r="A63" s="12" t="s">
        <v>130</v>
      </c>
      <c r="B63" s="3">
        <v>100</v>
      </c>
      <c r="C63" s="3" t="s">
        <v>242</v>
      </c>
      <c r="D63" s="3">
        <v>100</v>
      </c>
      <c r="E63" s="3" t="s">
        <v>10</v>
      </c>
      <c r="F63" s="12">
        <f>Cp_pT(B63,D63)</f>
        <v>2.0741085545801092</v>
      </c>
      <c r="G63" s="12" t="s">
        <v>124</v>
      </c>
      <c r="H63" s="3" t="s">
        <v>131</v>
      </c>
    </row>
    <row r="64" spans="1:8" s="6" customFormat="1" outlineLevel="1">
      <c r="A64" s="12" t="s">
        <v>132</v>
      </c>
      <c r="B64" s="3">
        <v>100</v>
      </c>
      <c r="C64" s="3" t="s">
        <v>242</v>
      </c>
      <c r="D64" s="3">
        <v>200</v>
      </c>
      <c r="E64" s="3" t="s">
        <v>16</v>
      </c>
      <c r="F64" s="12">
        <f>Cp_ph(B64,D64)</f>
        <v>4.1791357316880209</v>
      </c>
      <c r="G64" s="12" t="s">
        <v>124</v>
      </c>
      <c r="H64" s="3" t="s">
        <v>133</v>
      </c>
    </row>
    <row r="65" spans="1:8" s="6" customFormat="1" outlineLevel="1">
      <c r="A65" s="12" t="s">
        <v>134</v>
      </c>
      <c r="B65" s="3">
        <v>100</v>
      </c>
      <c r="C65" s="3" t="s">
        <v>242</v>
      </c>
      <c r="D65" s="3">
        <v>1</v>
      </c>
      <c r="E65" s="3" t="s">
        <v>47</v>
      </c>
      <c r="F65" s="12">
        <f>Cp_ps(B65,D65)</f>
        <v>4.1906070379012936</v>
      </c>
      <c r="G65" s="12" t="s">
        <v>124</v>
      </c>
      <c r="H65" s="3" t="s">
        <v>135</v>
      </c>
    </row>
    <row r="66" spans="1:8" s="10" customFormat="1" ht="15">
      <c r="A66" s="9" t="s">
        <v>136</v>
      </c>
      <c r="F66" s="11"/>
      <c r="G66" s="11"/>
    </row>
    <row r="67" spans="1:8" s="6" customFormat="1" outlineLevel="1">
      <c r="A67" s="12" t="s">
        <v>137</v>
      </c>
      <c r="B67" s="3">
        <v>100</v>
      </c>
      <c r="C67" s="3" t="s">
        <v>242</v>
      </c>
      <c r="D67" s="3"/>
      <c r="E67" s="3"/>
      <c r="F67" s="12">
        <f>CvV_p(B67)</f>
        <v>1.5526969793308025</v>
      </c>
      <c r="G67" s="12" t="s">
        <v>124</v>
      </c>
      <c r="H67" s="3" t="s">
        <v>138</v>
      </c>
    </row>
    <row r="68" spans="1:8" s="6" customFormat="1" outlineLevel="1">
      <c r="A68" s="12" t="s">
        <v>139</v>
      </c>
      <c r="B68" s="3">
        <v>100</v>
      </c>
      <c r="C68" s="3" t="s">
        <v>242</v>
      </c>
      <c r="D68" s="3"/>
      <c r="E68" s="3"/>
      <c r="F68" s="12">
        <f>CvL_p(B68)</f>
        <v>3.7696996827334974</v>
      </c>
      <c r="G68" s="12" t="s">
        <v>124</v>
      </c>
      <c r="H68" s="3" t="s">
        <v>140</v>
      </c>
    </row>
    <row r="69" spans="1:8" s="6" customFormat="1" outlineLevel="1">
      <c r="A69" s="12" t="s">
        <v>141</v>
      </c>
      <c r="B69" s="3">
        <v>100</v>
      </c>
      <c r="C69" s="3" t="s">
        <v>10</v>
      </c>
      <c r="D69" s="3"/>
      <c r="E69" s="3"/>
      <c r="F69" s="12">
        <f>CvV_T(B69)</f>
        <v>1.5536986960345103</v>
      </c>
      <c r="G69" s="12" t="s">
        <v>124</v>
      </c>
      <c r="H69" s="3" t="s">
        <v>138</v>
      </c>
    </row>
    <row r="70" spans="1:8" s="6" customFormat="1" outlineLevel="1">
      <c r="A70" s="12" t="s">
        <v>142</v>
      </c>
      <c r="B70" s="3">
        <v>100</v>
      </c>
      <c r="C70" s="3" t="s">
        <v>10</v>
      </c>
      <c r="D70" s="3"/>
      <c r="E70" s="3"/>
      <c r="F70" s="12">
        <f>CvL_T(B70)</f>
        <v>3.7677002201427507</v>
      </c>
      <c r="G70" s="12" t="s">
        <v>124</v>
      </c>
      <c r="H70" s="3" t="s">
        <v>140</v>
      </c>
    </row>
    <row r="71" spans="1:8" s="6" customFormat="1" outlineLevel="1">
      <c r="A71" s="12" t="s">
        <v>143</v>
      </c>
      <c r="B71" s="3">
        <v>100</v>
      </c>
      <c r="C71" s="3" t="s">
        <v>242</v>
      </c>
      <c r="D71" s="3">
        <v>100</v>
      </c>
      <c r="E71" s="3" t="s">
        <v>10</v>
      </c>
      <c r="F71" s="12">
        <f>Cv_pT(B71,D71)</f>
        <v>1.5513972494644879</v>
      </c>
      <c r="G71" s="12" t="s">
        <v>124</v>
      </c>
      <c r="H71" s="3" t="s">
        <v>144</v>
      </c>
    </row>
    <row r="72" spans="1:8" s="6" customFormat="1" outlineLevel="1">
      <c r="A72" s="12" t="s">
        <v>145</v>
      </c>
      <c r="B72" s="3">
        <v>100</v>
      </c>
      <c r="C72" s="3" t="s">
        <v>242</v>
      </c>
      <c r="D72" s="3">
        <v>200</v>
      </c>
      <c r="E72" s="3" t="s">
        <v>16</v>
      </c>
      <c r="F72" s="12">
        <f>Cv_ph(B72,D72)</f>
        <v>4.0351763635796729</v>
      </c>
      <c r="G72" s="12" t="s">
        <v>124</v>
      </c>
      <c r="H72" s="3" t="s">
        <v>146</v>
      </c>
    </row>
    <row r="73" spans="1:8" s="6" customFormat="1" outlineLevel="1">
      <c r="A73" s="12" t="s">
        <v>147</v>
      </c>
      <c r="B73" s="3">
        <v>100</v>
      </c>
      <c r="C73" s="3" t="s">
        <v>242</v>
      </c>
      <c r="D73" s="3">
        <v>1</v>
      </c>
      <c r="E73" s="3" t="s">
        <v>47</v>
      </c>
      <c r="F73" s="12">
        <f>Cv_ps(B73,D73)</f>
        <v>3.9029194681136645</v>
      </c>
      <c r="G73" s="12" t="s">
        <v>124</v>
      </c>
      <c r="H73" s="3" t="s">
        <v>148</v>
      </c>
    </row>
    <row r="74" spans="1:8" s="10" customFormat="1" ht="15">
      <c r="A74" s="9" t="s">
        <v>149</v>
      </c>
      <c r="F74" s="11"/>
      <c r="G74" s="11"/>
    </row>
    <row r="75" spans="1:8" s="6" customFormat="1" outlineLevel="1">
      <c r="A75" s="12" t="s">
        <v>150</v>
      </c>
      <c r="B75" s="3">
        <v>100</v>
      </c>
      <c r="C75" s="3" t="s">
        <v>242</v>
      </c>
      <c r="D75" s="3"/>
      <c r="E75" s="3"/>
      <c r="F75" s="12">
        <f>wV_p(B75)</f>
        <v>472.05415710604763</v>
      </c>
      <c r="G75" s="12" t="s">
        <v>35</v>
      </c>
      <c r="H75" s="3" t="s">
        <v>151</v>
      </c>
    </row>
    <row r="76" spans="1:8" s="6" customFormat="1" outlineLevel="1">
      <c r="A76" s="12" t="s">
        <v>152</v>
      </c>
      <c r="B76" s="3">
        <v>100</v>
      </c>
      <c r="C76" s="3" t="s">
        <v>242</v>
      </c>
      <c r="D76" s="3"/>
      <c r="E76" s="3"/>
      <c r="F76" s="12">
        <f>wL_p(B76)</f>
        <v>1545.4519475339648</v>
      </c>
      <c r="G76" s="12" t="s">
        <v>35</v>
      </c>
      <c r="H76" s="3" t="s">
        <v>153</v>
      </c>
    </row>
    <row r="77" spans="1:8" s="6" customFormat="1" outlineLevel="1">
      <c r="A77" s="12" t="s">
        <v>154</v>
      </c>
      <c r="B77" s="3">
        <v>100</v>
      </c>
      <c r="C77" s="3" t="s">
        <v>10</v>
      </c>
      <c r="D77" s="3"/>
      <c r="E77" s="3"/>
      <c r="F77" s="12">
        <f>wV_T(B77)</f>
        <v>472.2559492389438</v>
      </c>
      <c r="G77" s="12" t="s">
        <v>35</v>
      </c>
      <c r="H77" s="3" t="s">
        <v>151</v>
      </c>
    </row>
    <row r="78" spans="1:8" s="6" customFormat="1" outlineLevel="1">
      <c r="A78" s="12" t="s">
        <v>155</v>
      </c>
      <c r="B78" s="3">
        <v>100</v>
      </c>
      <c r="C78" s="3" t="s">
        <v>10</v>
      </c>
      <c r="D78" s="3"/>
      <c r="E78" s="3"/>
      <c r="F78" s="12">
        <f>wL_T(B78)</f>
        <v>1545.0922491938707</v>
      </c>
      <c r="G78" s="12" t="s">
        <v>35</v>
      </c>
      <c r="H78" s="3" t="s">
        <v>153</v>
      </c>
    </row>
    <row r="79" spans="1:8" s="6" customFormat="1" outlineLevel="1">
      <c r="A79" s="12" t="s">
        <v>156</v>
      </c>
      <c r="B79" s="3">
        <v>100</v>
      </c>
      <c r="C79" s="3" t="s">
        <v>242</v>
      </c>
      <c r="D79" s="3">
        <v>100</v>
      </c>
      <c r="E79" s="3" t="s">
        <v>10</v>
      </c>
      <c r="F79" s="12">
        <f>w_pT(B79,D79)</f>
        <v>472.33752352485521</v>
      </c>
      <c r="G79" s="12" t="s">
        <v>35</v>
      </c>
      <c r="H79" s="3" t="s">
        <v>157</v>
      </c>
    </row>
    <row r="80" spans="1:8" s="6" customFormat="1" outlineLevel="1">
      <c r="A80" s="12" t="s">
        <v>158</v>
      </c>
      <c r="B80" s="3">
        <v>100</v>
      </c>
      <c r="C80" s="3" t="s">
        <v>242</v>
      </c>
      <c r="D80" s="3">
        <v>200</v>
      </c>
      <c r="E80" s="3" t="s">
        <v>16</v>
      </c>
      <c r="F80" s="12">
        <f>w_ph(B80,D80)</f>
        <v>1542.6824750114695</v>
      </c>
      <c r="G80" s="12" t="s">
        <v>35</v>
      </c>
      <c r="H80" s="3" t="s">
        <v>159</v>
      </c>
    </row>
    <row r="81" spans="1:13" s="6" customFormat="1" outlineLevel="1">
      <c r="A81" s="12" t="s">
        <v>160</v>
      </c>
      <c r="B81" s="3">
        <v>100</v>
      </c>
      <c r="C81" s="3" t="s">
        <v>242</v>
      </c>
      <c r="D81" s="3">
        <v>1</v>
      </c>
      <c r="E81" s="3" t="s">
        <v>47</v>
      </c>
      <c r="F81" s="12">
        <f>w_ps(B81,D81)</f>
        <v>1557.8585355322159</v>
      </c>
      <c r="G81" s="12" t="s">
        <v>35</v>
      </c>
      <c r="H81" s="3" t="s">
        <v>161</v>
      </c>
    </row>
    <row r="82" spans="1:13" s="10" customFormat="1" ht="15">
      <c r="A82" s="9" t="s">
        <v>162</v>
      </c>
      <c r="F82" s="11"/>
      <c r="G82" s="11"/>
    </row>
    <row r="83" spans="1:13" s="6" customFormat="1" ht="11.25" outlineLevel="1">
      <c r="A83" s="6" t="s">
        <v>163</v>
      </c>
      <c r="F83" s="5"/>
      <c r="G83" s="5"/>
    </row>
    <row r="84" spans="1:13" s="6" customFormat="1" ht="11.25" outlineLevel="1">
      <c r="A84" s="6" t="s">
        <v>164</v>
      </c>
      <c r="F84" s="5"/>
      <c r="G84" s="5"/>
    </row>
    <row r="85" spans="1:13" s="6" customFormat="1" outlineLevel="1">
      <c r="A85" s="12" t="s">
        <v>165</v>
      </c>
      <c r="B85" s="3">
        <v>100</v>
      </c>
      <c r="C85" s="3" t="s">
        <v>242</v>
      </c>
      <c r="D85" s="3">
        <v>100</v>
      </c>
      <c r="E85" s="3" t="s">
        <v>10</v>
      </c>
      <c r="F85" s="12">
        <f>my_pT(B85,D85)</f>
        <v>1.2270405707196506E-5</v>
      </c>
      <c r="G85" s="12" t="s">
        <v>166</v>
      </c>
      <c r="H85" s="3" t="s">
        <v>167</v>
      </c>
    </row>
    <row r="86" spans="1:13" s="6" customFormat="1" outlineLevel="1">
      <c r="A86" s="12" t="s">
        <v>168</v>
      </c>
      <c r="B86" s="3">
        <v>100</v>
      </c>
      <c r="C86" s="3" t="s">
        <v>242</v>
      </c>
      <c r="D86" s="3">
        <v>100</v>
      </c>
      <c r="E86" s="3" t="s">
        <v>16</v>
      </c>
      <c r="F86" s="13">
        <f>my_ph(B86,D86)</f>
        <v>9.1400377030210805E-4</v>
      </c>
      <c r="G86" s="12" t="s">
        <v>166</v>
      </c>
      <c r="H86" s="3" t="s">
        <v>169</v>
      </c>
    </row>
    <row r="87" spans="1:13" s="6" customFormat="1" outlineLevel="1">
      <c r="A87" s="12" t="s">
        <v>170</v>
      </c>
      <c r="B87" s="3">
        <v>100</v>
      </c>
      <c r="C87" s="3" t="s">
        <v>242</v>
      </c>
      <c r="D87" s="3">
        <v>1</v>
      </c>
      <c r="E87" s="3" t="s">
        <v>47</v>
      </c>
      <c r="F87" s="13">
        <f>my_ps(B87,D87)</f>
        <v>3.8422186564756434E-4</v>
      </c>
      <c r="G87" s="12" t="s">
        <v>166</v>
      </c>
      <c r="H87" s="3" t="s">
        <v>171</v>
      </c>
    </row>
    <row r="88" spans="1:13" ht="18">
      <c r="A88" s="1" t="s">
        <v>172</v>
      </c>
      <c r="F88" s="13"/>
      <c r="H88" s="14"/>
      <c r="I88" s="15"/>
      <c r="J88" s="15"/>
      <c r="K88" s="15"/>
      <c r="L88" s="15"/>
      <c r="M88" s="15"/>
    </row>
    <row r="89" spans="1:13" outlineLevel="1">
      <c r="A89" s="6" t="s">
        <v>173</v>
      </c>
      <c r="F89" s="13"/>
      <c r="H89" s="14"/>
      <c r="I89" s="15"/>
      <c r="J89" s="15"/>
      <c r="K89" s="15"/>
      <c r="L89" s="15"/>
      <c r="M89" s="15"/>
    </row>
    <row r="90" spans="1:13" outlineLevel="1">
      <c r="A90" s="12" t="s">
        <v>174</v>
      </c>
      <c r="B90" s="3">
        <v>100</v>
      </c>
      <c r="C90" s="3" t="s">
        <v>242</v>
      </c>
      <c r="D90" s="8">
        <v>200</v>
      </c>
      <c r="E90" s="8" t="s">
        <v>10</v>
      </c>
      <c r="F90" s="13">
        <f>pr_pT(B90,D90)</f>
        <v>0.95780821438588049</v>
      </c>
      <c r="G90" s="12" t="s">
        <v>175</v>
      </c>
      <c r="H90" s="14"/>
      <c r="I90" s="15"/>
      <c r="J90" s="15"/>
      <c r="K90" s="15"/>
      <c r="L90" s="15"/>
      <c r="M90" s="15"/>
    </row>
    <row r="91" spans="1:13" outlineLevel="1">
      <c r="A91" s="12" t="s">
        <v>176</v>
      </c>
      <c r="B91" s="3">
        <v>100</v>
      </c>
      <c r="C91" s="3" t="s">
        <v>242</v>
      </c>
      <c r="D91" s="8">
        <v>2875.4750649489024</v>
      </c>
      <c r="E91" s="8" t="s">
        <v>16</v>
      </c>
      <c r="F91" s="13">
        <f>pr_ph(B91,D91)</f>
        <v>0.95780826148355769</v>
      </c>
      <c r="G91" s="12" t="s">
        <v>175</v>
      </c>
      <c r="H91" s="14"/>
      <c r="I91" s="15"/>
      <c r="J91" s="15"/>
      <c r="K91" s="15"/>
      <c r="L91" s="15"/>
      <c r="M91" s="15"/>
    </row>
    <row r="92" spans="1:13" s="10" customFormat="1" ht="15">
      <c r="A92" s="9" t="s">
        <v>177</v>
      </c>
      <c r="F92" s="11"/>
      <c r="G92" s="11"/>
      <c r="H92" s="16"/>
      <c r="I92" s="16"/>
      <c r="J92" s="16"/>
      <c r="K92" s="16"/>
      <c r="L92" s="16"/>
      <c r="M92" s="16"/>
    </row>
    <row r="93" spans="1:13" s="6" customFormat="1" ht="11.25" outlineLevel="1">
      <c r="A93" s="6" t="s">
        <v>178</v>
      </c>
      <c r="F93" s="5"/>
      <c r="G93" s="5"/>
    </row>
    <row r="94" spans="1:13" s="6" customFormat="1" outlineLevel="1">
      <c r="A94" s="12" t="s">
        <v>179</v>
      </c>
      <c r="B94" s="3">
        <v>100</v>
      </c>
      <c r="C94" s="3" t="s">
        <v>242</v>
      </c>
      <c r="D94" s="3"/>
      <c r="E94" s="3"/>
      <c r="F94" s="12">
        <f>tcL_p(B94)</f>
        <v>0.6775938217664319</v>
      </c>
      <c r="G94" s="12" t="s">
        <v>180</v>
      </c>
      <c r="H94" s="3" t="s">
        <v>181</v>
      </c>
    </row>
    <row r="95" spans="1:13" s="6" customFormat="1" outlineLevel="1">
      <c r="A95" s="12" t="s">
        <v>182</v>
      </c>
      <c r="B95" s="3">
        <v>100</v>
      </c>
      <c r="C95" s="3" t="s">
        <v>242</v>
      </c>
      <c r="D95" s="3"/>
      <c r="E95" s="3"/>
      <c r="F95" s="12">
        <f>tcV_p(B95)</f>
        <v>2.4753667592350453E-2</v>
      </c>
      <c r="G95" s="12" t="s">
        <v>180</v>
      </c>
      <c r="H95" s="3" t="s">
        <v>183</v>
      </c>
    </row>
    <row r="96" spans="1:13" s="6" customFormat="1" outlineLevel="1">
      <c r="A96" s="12" t="s">
        <v>184</v>
      </c>
      <c r="B96" s="3">
        <v>25</v>
      </c>
      <c r="C96" s="3" t="s">
        <v>10</v>
      </c>
      <c r="D96" s="3"/>
      <c r="E96" s="3"/>
      <c r="F96" s="12">
        <f>tcL_T(B96)</f>
        <v>0.60745816157887145</v>
      </c>
      <c r="G96" s="12" t="s">
        <v>180</v>
      </c>
      <c r="H96" s="3" t="s">
        <v>181</v>
      </c>
    </row>
    <row r="97" spans="1:8" s="6" customFormat="1" outlineLevel="1">
      <c r="A97" s="12" t="s">
        <v>185</v>
      </c>
      <c r="B97" s="3">
        <v>25</v>
      </c>
      <c r="C97" s="3" t="s">
        <v>10</v>
      </c>
      <c r="D97" s="3"/>
      <c r="E97" s="3"/>
      <c r="F97" s="12">
        <f>tcV_T(B97)</f>
        <v>1.8326722876863266E-2</v>
      </c>
      <c r="G97" s="12" t="s">
        <v>180</v>
      </c>
      <c r="H97" s="3" t="s">
        <v>183</v>
      </c>
    </row>
    <row r="98" spans="1:8" s="6" customFormat="1" outlineLevel="1">
      <c r="A98" s="12" t="s">
        <v>186</v>
      </c>
      <c r="B98" s="3">
        <v>100</v>
      </c>
      <c r="C98" s="3" t="s">
        <v>242</v>
      </c>
      <c r="D98" s="3">
        <v>25</v>
      </c>
      <c r="E98" s="3" t="s">
        <v>10</v>
      </c>
      <c r="F98" s="12">
        <f>tc_pt(B98,D98)</f>
        <v>0.60750980639075813</v>
      </c>
      <c r="G98" s="12" t="s">
        <v>180</v>
      </c>
      <c r="H98" s="3" t="s">
        <v>187</v>
      </c>
    </row>
    <row r="99" spans="1:8" s="6" customFormat="1" outlineLevel="1">
      <c r="A99" s="12" t="s">
        <v>188</v>
      </c>
      <c r="B99" s="3">
        <v>100</v>
      </c>
      <c r="C99" s="3" t="s">
        <v>242</v>
      </c>
      <c r="D99" s="3">
        <v>100</v>
      </c>
      <c r="E99" s="3" t="s">
        <v>47</v>
      </c>
      <c r="F99" s="12">
        <f>tc_ph(B99,D99)</f>
        <v>0.60571006245601322</v>
      </c>
      <c r="G99" s="12" t="s">
        <v>180</v>
      </c>
      <c r="H99" s="3" t="s">
        <v>189</v>
      </c>
    </row>
    <row r="100" spans="1:8" s="6" customFormat="1" outlineLevel="1">
      <c r="A100" s="12" t="s">
        <v>190</v>
      </c>
      <c r="B100" s="3">
        <v>100</v>
      </c>
      <c r="C100" s="3" t="s">
        <v>47</v>
      </c>
      <c r="D100" s="3">
        <v>0.34</v>
      </c>
      <c r="E100" s="3" t="s">
        <v>47</v>
      </c>
      <c r="F100" s="12">
        <f>tc_hs(B100,D100)</f>
        <v>0.60628312384891225</v>
      </c>
      <c r="G100" s="12" t="s">
        <v>180</v>
      </c>
      <c r="H100" s="3" t="s">
        <v>191</v>
      </c>
    </row>
    <row r="101" spans="1:8" s="6" customFormat="1" ht="15">
      <c r="A101" s="9" t="s">
        <v>192</v>
      </c>
      <c r="B101" s="3"/>
      <c r="C101" s="3"/>
      <c r="D101" s="3"/>
      <c r="E101" s="3"/>
      <c r="F101" s="12"/>
      <c r="G101" s="12"/>
      <c r="H101" s="3"/>
    </row>
    <row r="102" spans="1:8" s="6" customFormat="1" ht="11.25" outlineLevel="1">
      <c r="A102" s="6" t="s">
        <v>193</v>
      </c>
      <c r="F102" s="5"/>
      <c r="G102" s="5"/>
    </row>
    <row r="103" spans="1:8" s="6" customFormat="1" outlineLevel="1">
      <c r="A103" s="12" t="s">
        <v>194</v>
      </c>
      <c r="B103" s="3">
        <v>100</v>
      </c>
      <c r="C103" s="3" t="s">
        <v>10</v>
      </c>
      <c r="D103" s="3"/>
      <c r="E103" s="3"/>
      <c r="F103" s="12">
        <f>st_T(B104)</f>
        <v>5.8911868587664083E-2</v>
      </c>
      <c r="G103" s="12" t="s">
        <v>195</v>
      </c>
      <c r="H103" s="3" t="s">
        <v>196</v>
      </c>
    </row>
    <row r="104" spans="1:8" s="6" customFormat="1" outlineLevel="1">
      <c r="A104" s="12" t="s">
        <v>197</v>
      </c>
      <c r="B104" s="3">
        <v>100</v>
      </c>
      <c r="C104" s="3" t="s">
        <v>242</v>
      </c>
      <c r="D104" s="3"/>
      <c r="E104" s="3"/>
      <c r="F104" s="12">
        <f>st_p(B104)</f>
        <v>5.8987784180859933E-2</v>
      </c>
      <c r="G104" s="12" t="s">
        <v>195</v>
      </c>
      <c r="H104" s="3" t="s">
        <v>196</v>
      </c>
    </row>
    <row r="105" spans="1:8" s="10" customFormat="1" ht="15">
      <c r="A105" s="9" t="s">
        <v>29</v>
      </c>
      <c r="F105" s="11"/>
      <c r="G105" s="11"/>
    </row>
    <row r="106" spans="1:8" s="6" customFormat="1" outlineLevel="1">
      <c r="A106" s="12" t="s">
        <v>198</v>
      </c>
      <c r="B106" s="3">
        <v>100</v>
      </c>
      <c r="C106" s="3" t="s">
        <v>242</v>
      </c>
      <c r="D106" s="3">
        <v>1000</v>
      </c>
      <c r="E106" s="3" t="s">
        <v>16</v>
      </c>
      <c r="F106" s="12">
        <f>x_ph(B106,D106)</f>
        <v>0.25805542390279518</v>
      </c>
      <c r="G106" s="12"/>
      <c r="H106" s="3" t="s">
        <v>199</v>
      </c>
    </row>
    <row r="107" spans="1:8" s="6" customFormat="1" outlineLevel="1">
      <c r="A107" s="12" t="s">
        <v>200</v>
      </c>
      <c r="B107" s="3">
        <v>100</v>
      </c>
      <c r="C107" s="3" t="s">
        <v>242</v>
      </c>
      <c r="D107" s="3">
        <v>4</v>
      </c>
      <c r="E107" s="3" t="s">
        <v>47</v>
      </c>
      <c r="F107" s="12">
        <f>x_ps(B107,D107)</f>
        <v>0.4453979607323203</v>
      </c>
      <c r="G107" s="12"/>
      <c r="H107" s="3" t="s">
        <v>201</v>
      </c>
    </row>
    <row r="108" spans="1:8" s="10" customFormat="1" ht="15">
      <c r="A108" s="9" t="s">
        <v>202</v>
      </c>
      <c r="F108" s="11"/>
      <c r="G108" s="11"/>
    </row>
    <row r="109" spans="1:8" s="6" customFormat="1" ht="11.25" outlineLevel="1">
      <c r="A109" s="6" t="s">
        <v>203</v>
      </c>
      <c r="F109" s="5"/>
      <c r="G109" s="5"/>
    </row>
    <row r="110" spans="1:8" s="6" customFormat="1" ht="11.25" outlineLevel="1">
      <c r="A110" s="6" t="s">
        <v>204</v>
      </c>
      <c r="F110" s="5"/>
      <c r="G110" s="5"/>
    </row>
    <row r="111" spans="1:8" s="6" customFormat="1" outlineLevel="1">
      <c r="A111" s="12" t="s">
        <v>205</v>
      </c>
      <c r="B111" s="3">
        <v>100</v>
      </c>
      <c r="C111" s="3" t="s">
        <v>242</v>
      </c>
      <c r="D111" s="3">
        <v>418</v>
      </c>
      <c r="E111" s="3" t="s">
        <v>16</v>
      </c>
      <c r="F111" s="17">
        <f>vx_ph(B111,D111)</f>
        <v>0.28849309343706725</v>
      </c>
      <c r="G111" s="12"/>
      <c r="H111" s="3" t="s">
        <v>206</v>
      </c>
    </row>
    <row r="112" spans="1:8" s="6" customFormat="1" outlineLevel="1">
      <c r="A112" s="12" t="s">
        <v>207</v>
      </c>
      <c r="B112" s="3">
        <v>100</v>
      </c>
      <c r="C112" s="3" t="s">
        <v>242</v>
      </c>
      <c r="D112" s="3">
        <v>4</v>
      </c>
      <c r="E112" s="3" t="s">
        <v>47</v>
      </c>
      <c r="F112" s="17">
        <f>vx_ps(B112,D112)</f>
        <v>0.99923382663888027</v>
      </c>
      <c r="G112" s="12"/>
      <c r="H112" s="3" t="s">
        <v>208</v>
      </c>
    </row>
    <row r="113" spans="1:7" s="6" customFormat="1" ht="11.25">
      <c r="F113" s="5"/>
      <c r="G113" s="5"/>
    </row>
    <row r="114" spans="1:7" ht="15">
      <c r="A114" s="9" t="s">
        <v>209</v>
      </c>
    </row>
    <row r="115" spans="1:7">
      <c r="A115" s="5" t="s">
        <v>210</v>
      </c>
    </row>
    <row r="116" spans="1:7">
      <c r="A116" s="6" t="s">
        <v>211</v>
      </c>
    </row>
    <row r="117" spans="1:7">
      <c r="A117" s="6" t="s">
        <v>212</v>
      </c>
    </row>
    <row r="118" spans="1:7">
      <c r="A118" s="6" t="s">
        <v>213</v>
      </c>
    </row>
    <row r="119" spans="1:7">
      <c r="A119" s="5" t="s">
        <v>214</v>
      </c>
    </row>
    <row r="120" spans="1:7">
      <c r="A120" s="6" t="s">
        <v>215</v>
      </c>
    </row>
    <row r="121" spans="1:7">
      <c r="A121" s="5" t="s">
        <v>216</v>
      </c>
    </row>
    <row r="122" spans="1:7">
      <c r="A122" s="6" t="s">
        <v>217</v>
      </c>
    </row>
    <row r="123" spans="1:7">
      <c r="A123" s="6" t="s">
        <v>218</v>
      </c>
    </row>
    <row r="124" spans="1:7" ht="10.9" customHeight="1">
      <c r="A124" s="6" t="s">
        <v>219</v>
      </c>
    </row>
    <row r="125" spans="1:7" ht="11.45" customHeight="1">
      <c r="A125" s="6" t="s">
        <v>220</v>
      </c>
    </row>
    <row r="126" spans="1:7" ht="11.45" customHeight="1">
      <c r="A126" s="5" t="s">
        <v>221</v>
      </c>
    </row>
    <row r="127" spans="1:7">
      <c r="A127" s="6" t="s">
        <v>222</v>
      </c>
    </row>
    <row r="128" spans="1:7">
      <c r="A128" s="6" t="s">
        <v>223</v>
      </c>
    </row>
    <row r="129" spans="1:1">
      <c r="A129" s="6" t="s">
        <v>224</v>
      </c>
    </row>
    <row r="130" spans="1:1">
      <c r="A130" s="6" t="s">
        <v>225</v>
      </c>
    </row>
    <row r="131" spans="1:1">
      <c r="A131" s="6" t="s">
        <v>226</v>
      </c>
    </row>
    <row r="132" spans="1:1">
      <c r="A132" s="5" t="s">
        <v>227</v>
      </c>
    </row>
    <row r="133" spans="1:1">
      <c r="A133" s="6" t="s">
        <v>223</v>
      </c>
    </row>
    <row r="134" spans="1:1">
      <c r="A134" s="6" t="s">
        <v>228</v>
      </c>
    </row>
    <row r="135" spans="1:1">
      <c r="A135" s="6" t="s">
        <v>229</v>
      </c>
    </row>
    <row r="136" spans="1:1">
      <c r="A136" s="6" t="s">
        <v>230</v>
      </c>
    </row>
    <row r="137" spans="1:1">
      <c r="A137" s="6" t="s">
        <v>231</v>
      </c>
    </row>
    <row r="138" spans="1:1">
      <c r="A138" s="5" t="s">
        <v>232</v>
      </c>
    </row>
    <row r="139" spans="1:1">
      <c r="A139" s="6" t="s">
        <v>233</v>
      </c>
    </row>
    <row r="140" spans="1:1">
      <c r="A140" s="6" t="s">
        <v>234</v>
      </c>
    </row>
    <row r="141" spans="1:1">
      <c r="A141" s="6" t="s">
        <v>235</v>
      </c>
    </row>
    <row r="142" spans="1:1">
      <c r="A142" s="5" t="s">
        <v>236</v>
      </c>
    </row>
    <row r="143" spans="1:1">
      <c r="A143" s="6" t="s">
        <v>237</v>
      </c>
    </row>
    <row r="144" spans="1:1">
      <c r="A144" s="6" t="s">
        <v>238</v>
      </c>
    </row>
    <row r="145" spans="1:1">
      <c r="A145" s="6" t="s">
        <v>239</v>
      </c>
    </row>
    <row r="146" spans="1:1">
      <c r="A146" s="6" t="s">
        <v>240</v>
      </c>
    </row>
    <row r="147" spans="1:1">
      <c r="A147" s="6" t="s">
        <v>241</v>
      </c>
    </row>
  </sheetData>
  <hyperlinks>
    <hyperlink ref="E1" r:id="rId1"/>
    <hyperlink ref="F4" r:id="rId2"/>
  </hyperlinks>
  <pageMargins left="0.75" right="0.75" top="1" bottom="1" header="0.5" footer="0.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Properties</vt:lpstr>
      <vt:lpstr>Functions</vt:lpstr>
    </vt:vector>
  </TitlesOfParts>
  <Company>Mechanical Engineering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kwoodbury</dc:creator>
  <cp:lastModifiedBy>kwoodbury</cp:lastModifiedBy>
  <dcterms:created xsi:type="dcterms:W3CDTF">2007-09-20T16:33:49Z</dcterms:created>
  <dcterms:modified xsi:type="dcterms:W3CDTF">2007-09-26T13:39:28Z</dcterms:modified>
</cp:coreProperties>
</file>