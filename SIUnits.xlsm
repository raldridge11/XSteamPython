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u_ps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<sst xmlns="http://schemas.openxmlformats.org/spreadsheetml/2006/main" count="523" uniqueCount="250">
  <si>
    <t xml:space="preserve">X Steam Tables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</si>
  <si>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</si>
  <si>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</si>
  <si>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</si>
  <si>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</si>
  <si>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</si>
  <si>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</si>
  <si>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</si>
  <si>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</si>
  <si>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</si>
  <si>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°C</t>
  </si>
  <si>
    <t xml:space="preserve">Pressure</t>
  </si>
  <si>
    <t xml:space="preserve">kPa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</si>
  <si>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</si>
  <si>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</si>
  <si>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</si>
  <si>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</si>
  <si>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kJ/kg</t>
  </si>
  <si>
    <t xml:space="preserve">Density</t>
  </si>
  <si>
    <t xml:space="preserve">kg/m3</t>
  </si>
  <si>
    <t xml:space="preserve">Entropy</t>
  </si>
  <si>
    <t xml:space="preserve">kJ/kgK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</si>
  <si>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</si>
  <si>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</si>
  <si>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</si>
  <si>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</si>
  <si>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</si>
  <si>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</si>
  <si>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</si>
  <si>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</si>
  <si>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</si>
  <si>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</si>
  <si>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</si>
  <si>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</si>
  <si>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</si>
  <si>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</si>
  <si>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m/s</t>
  </si>
  <si>
    <t xml:space="preserve">v2.5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</si>
  <si>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</si>
  <si>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</si>
  <si>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</si>
  <si>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</si>
  <si>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</si>
  <si>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</si>
  <si>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 T_ph</t>
  </si>
  <si>
    <t xml:space="preserve">Temperture as a function of pressure and enthalpy</t>
  </si>
  <si>
    <t xml:space="preserve"> T_ps</t>
  </si>
  <si>
    <t xml:space="preserve">kJ/(kg K)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</si>
  <si>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</si>
  <si>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</si>
  <si>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</si>
  <si>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</si>
  <si>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bar</t>
  </si>
  <si>
    <t xml:space="preserve"> p_hs</t>
  </si>
  <si>
    <t xml:space="preserve">Pressure as a function of h and s. </t>
  </si>
  <si>
    <t xml:space="preserve"> p_hrho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</si>
  <si>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</si>
  <si>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</si>
  <si>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</si>
  <si>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</si>
  <si>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</si>
  <si>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</si>
  <si>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</si>
  <si>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</si>
  <si>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</si>
  <si>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</si>
  <si>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</si>
  <si>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</si>
  <si>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</si>
  <si>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</si>
  <si>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</si>
  <si>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</si>
  <si>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</si>
  <si>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</si>
  <si>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</si>
  <si>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m3/kg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</si>
  <si>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</si>
  <si>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</si>
  <si>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</si>
  <si>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</si>
  <si>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</si>
  <si>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</si>
  <si>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</si>
  <si>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</si>
  <si>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</si>
  <si>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</si>
  <si>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</si>
  <si>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</si>
  <si>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</si>
  <si>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</si>
  <si>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</si>
  <si>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</si>
  <si>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</si>
  <si>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</si>
  <si>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</si>
  <si>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</si>
  <si>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</si>
  <si>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</si>
  <si>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</si>
  <si>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</si>
  <si>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</si>
  <si>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</si>
  <si>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</si>
  <si>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</si>
  <si>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</si>
  <si>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</si>
  <si>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</si>
  <si>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</si>
  <si>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</si>
  <si>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</si>
  <si>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</si>
  <si>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</si>
  <si>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</si>
  <si>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</si>
  <si>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</si>
  <si>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</si>
  <si>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</si>
  <si>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</si>
  <si>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</si>
  <si>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</si>
  <si>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</si>
  <si>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</si>
  <si>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</si>
  <si>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</si>
  <si>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</si>
  <si>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kJ/(kg°C)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</si>
  <si>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</si>
  <si>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</si>
  <si>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</si>
  <si>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</si>
  <si>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</si>
  <si>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</si>
  <si>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</si>
  <si>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</si>
  <si>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</si>
  <si>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</si>
  <si>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</si>
  <si>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</si>
  <si>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</si>
  <si>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</si>
  <si>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</si>
  <si>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</si>
  <si>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</si>
  <si>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</si>
  <si>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</si>
  <si>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</si>
  <si>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</si>
  <si>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</si>
  <si>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</si>
  <si>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</si>
  <si>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</si>
  <si>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</si>
  <si>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</si>
  <si>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</si>
  <si>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</si>
  <si>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</si>
  <si>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</si>
  <si>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</si>
  <si>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</si>
  <si>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</si>
  <si>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</si>
  <si>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</si>
  <si>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</si>
  <si>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</si>
  <si>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"Revised Release on the IAPWS Formulation 1985 for the Viscosity of Ordinary Water Substance",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</si>
  <si>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</si>
  <si>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</si>
  <si>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Pa s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</si>
  <si>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</si>
  <si>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</si>
  <si>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</si>
  <si>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</si>
  <si>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</si>
  <si>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</si>
  <si>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</si>
  <si>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</si>
  <si>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</si>
  <si>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</si>
  <si>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</si>
  <si>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</si>
  <si>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</si>
  <si>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W/(m K)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</si>
  <si>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</si>
  <si>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</si>
  <si>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</si>
  <si>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</si>
  <si>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</si>
  <si>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</si>
  <si>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</si>
  <si>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</si>
  <si>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</si>
  <si>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</si>
  <si>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</si>
  <si>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</si>
  <si>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</si>
  <si>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</si>
  <si>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N/m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</si>
  <si>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</si>
  <si>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</si>
  <si>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</si>
  <si>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</si>
  <si>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</si>
  <si>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</si>
  <si>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</si>
  <si>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</si>
  <si>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</si>
  <si>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</si>
  <si>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</si>
  <si>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</si>
  <si>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</si>
  <si>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</si>
  <si>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</si>
  <si>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</si>
  <si>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</si>
  <si>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</si>
  <si>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</si>
  <si>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* ToSIUnit for h_ps region 4. (No effect in SI unit version).</t>
  </si>
  <si>
    <t xml:space="preserve">News in V2.4</t>
  </si>
  <si>
    <t xml:space="preserve">* Functions by p,rho inplemented in matlab also.</t>
  </si>
  <si>
    <t xml:space="preserve">* Many missing ; in matlab causing printouts detected.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</si>
  <si>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</si>
  <si>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</si>
  <si>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</si>
  <si>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</si>
  <si>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</si>
  <si>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</si>
  <si>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</si>
  <si>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</si>
  <si>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</si>
  <si>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</si>
  <si>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</si>
  <si>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</si>
  <si>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</si>
  <si>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</si>
  <si>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</si>
  <si>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</si>
  <si>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</si>
  <si>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</si>
  <si>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</si>
  <si>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</si>
  <si>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</si>
  <si>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</si>
  <si>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</si>
  <si>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</si>
  <si>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</si>
  <si>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</si>
  <si>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h</t>
  </si>
  <si>
    <t xml:space="preserve">rho</t>
  </si>
  <si>
    <t xml:space="preserve">x</t>
  </si>
  <si>
    <t xml:space="preserve">u(p,t)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</si>
</sst>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</numFmts>
  <fonts count="1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14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2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8FFFF"/>
      </patternFill>
    </fill>
    <fill>
      <patternFill patternType="solid">
        <fgColor rgb="FFD8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3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3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6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8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8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Excel Built-in Explanatory Text" xfId="21" builtinId="53" customBuiltin="tru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8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40" activeCellId="0" sqref="H40"/>
    </sheetView>
  </sheetViews>
  <sheetFormatPr defaultRowHeight="12.75" zeroHeight="false" outlineLevelRow="0" outlineLevelCol="0"/>
  <cols>
    <col collapsed="false" customWidth="true" hidden="false" outlineLevel="0" max="1" min="1" style="1" width="2.57"/>
    <col collapsed="false" customWidth="true" hidden="false" outlineLevel="0" max="2" min="2" style="1" width="20.98"/>
    <col collapsed="false" customWidth="true" hidden="false" outlineLevel="0" max="4" min="3" style="1" width="9.13"/>
    <col collapsed="false" customWidth="true" hidden="false" outlineLevel="0" max="5" min="5" style="1" width="4.71"/>
    <col collapsed="false" customWidth="true" hidden="false" outlineLevel="0" max="6" min="6" style="1" width="20.71"/>
    <col collapsed="false" customWidth="true" hidden="false" outlineLevel="0" max="256" min="7" style="1" width="9.13"/>
    <col collapsed="false" customWidth="true" hidden="false" outlineLevel="0" max="257" min="257" style="1" width="2.57"/>
    <col collapsed="false" customWidth="true" hidden="false" outlineLevel="0" max="258" min="258" style="1" width="20.98"/>
    <col collapsed="false" customWidth="true" hidden="false" outlineLevel="0" max="260" min="259" style="1" width="9.13"/>
    <col collapsed="false" customWidth="true" hidden="false" outlineLevel="0" max="261" min="261" style="1" width="4.71"/>
    <col collapsed="false" customWidth="true" hidden="false" outlineLevel="0" max="262" min="262" style="1" width="20.71"/>
    <col collapsed="false" customWidth="true" hidden="false" outlineLevel="0" max="512" min="263" style="1" width="9.13"/>
    <col collapsed="false" customWidth="true" hidden="false" outlineLevel="0" max="513" min="513" style="1" width="2.57"/>
    <col collapsed="false" customWidth="true" hidden="false" outlineLevel="0" max="514" min="514" style="1" width="20.98"/>
    <col collapsed="false" customWidth="true" hidden="false" outlineLevel="0" max="516" min="515" style="1" width="9.13"/>
    <col collapsed="false" customWidth="true" hidden="false" outlineLevel="0" max="517" min="517" style="1" width="4.71"/>
    <col collapsed="false" customWidth="true" hidden="false" outlineLevel="0" max="518" min="518" style="1" width="20.71"/>
    <col collapsed="false" customWidth="true" hidden="false" outlineLevel="0" max="768" min="519" style="1" width="9.13"/>
    <col collapsed="false" customWidth="true" hidden="false" outlineLevel="0" max="769" min="769" style="1" width="2.57"/>
    <col collapsed="false" customWidth="true" hidden="false" outlineLevel="0" max="770" min="770" style="1" width="20.98"/>
    <col collapsed="false" customWidth="true" hidden="false" outlineLevel="0" max="772" min="771" style="1" width="9.13"/>
    <col collapsed="false" customWidth="true" hidden="false" outlineLevel="0" max="773" min="773" style="1" width="4.71"/>
    <col collapsed="false" customWidth="true" hidden="false" outlineLevel="0" max="774" min="774" style="1" width="20.71"/>
    <col collapsed="false" customWidth="true" hidden="false" outlineLevel="0" max="1025" min="775" style="1" width="9.13"/>
  </cols>
  <sheetData>
    <row r="1" customFormat="false" ht="18" hidden="false" customHeight="false" outlineLevel="0" collapsed="false">
      <c r="B1" s="2" t="s">
        <v>0</v>
      </c>
    </row>
    <row r="2" s="3" customFormat="true" ht="12.75" hidden="false" customHeight="false" outlineLevel="0" collapsed="false">
      <c r="B2" s="4" t="s">
        <v>1</v>
      </c>
      <c r="D2" s="4" t="s">
        <v>2</v>
      </c>
    </row>
    <row r="3" s="3" customFormat="true" ht="12.75" hidden="false" customHeight="false" outlineLevel="0" collapsed="false">
      <c r="B3" s="4" t="s">
        <v>3</v>
      </c>
      <c r="D3" s="4" t="s">
        <v>4</v>
      </c>
      <c r="H3" s="5"/>
      <c r="I3" s="5"/>
    </row>
    <row r="4" customFormat="false" ht="12.75" hidden="false" customHeight="false" outlineLevel="0" collapsed="false">
      <c r="B4" s="6" t="s">
        <v>5</v>
      </c>
      <c r="D4" s="4" t="s">
        <v>6</v>
      </c>
      <c r="H4" s="5"/>
      <c r="I4" s="5"/>
      <c r="J4" s="3"/>
    </row>
    <row r="5" customFormat="false" ht="12.75" hidden="false" customHeight="false" outlineLevel="0" collapsed="false">
      <c r="B5" s="7"/>
      <c r="H5" s="5"/>
      <c r="I5" s="5"/>
      <c r="J5" s="3"/>
    </row>
    <row r="6" customFormat="false" ht="12.75" hidden="false" customHeight="false" outlineLevel="0" collapsed="false">
      <c r="B6" s="8" t="s">
        <v>7</v>
      </c>
      <c r="C6" s="9"/>
      <c r="D6" s="9"/>
      <c r="E6" s="9"/>
      <c r="F6" s="8" t="s">
        <v>8</v>
      </c>
      <c r="G6" s="9"/>
      <c r="H6" s="9"/>
    </row>
    <row r="7" customFormat="false" ht="12.75" hidden="false" customHeight="false" outlineLevel="0" collapsed="false">
      <c r="A7" s="9"/>
      <c r="B7" s="10" t="s">
        <v>9</v>
      </c>
      <c r="C7" s="11" t="n">
        <v>100</v>
      </c>
      <c r="D7" s="12" t="s">
        <v>10</v>
      </c>
      <c r="E7" s="9"/>
      <c r="F7" s="10" t="s">
        <v>11</v>
      </c>
      <c r="G7" s="13" t="n">
        <v>12.57</v>
      </c>
      <c r="H7" s="12" t="s">
        <v>12</v>
      </c>
      <c r="I7" s="9"/>
    </row>
    <row r="8" customFormat="false" ht="12.75" hidden="false" customHeight="false" outlineLevel="0" collapsed="false">
      <c r="A8" s="9"/>
      <c r="B8" s="14" t="s">
        <v>13</v>
      </c>
      <c r="C8" s="15" t="n">
        <f aca="false">PSAT_T(C7)</f>
        <v>101.41797792131</v>
      </c>
      <c r="D8" s="16" t="s">
        <v>12</v>
      </c>
      <c r="E8" s="9"/>
      <c r="F8" s="14" t="s">
        <v>14</v>
      </c>
      <c r="G8" s="17" t="n">
        <f aca="false">TSAT_P(G7)</f>
        <v>50.3541843032366</v>
      </c>
      <c r="H8" s="16" t="s">
        <v>10</v>
      </c>
      <c r="I8" s="9"/>
    </row>
    <row r="9" customFormat="false" ht="12.75" hidden="false" customHeight="false" outlineLevel="0" collapsed="false">
      <c r="A9" s="9"/>
      <c r="B9" s="18" t="s">
        <v>15</v>
      </c>
      <c r="C9" s="9"/>
      <c r="D9" s="16"/>
      <c r="F9" s="18" t="s">
        <v>15</v>
      </c>
      <c r="G9" s="9"/>
      <c r="H9" s="16"/>
      <c r="I9" s="9"/>
    </row>
    <row r="10" customFormat="false" ht="12.75" hidden="false" customHeight="false" outlineLevel="0" collapsed="false">
      <c r="A10" s="9"/>
      <c r="B10" s="14" t="s">
        <v>16</v>
      </c>
      <c r="C10" s="19" t="n">
        <f aca="false">HL_T(C7)</f>
        <v>419.099154997703</v>
      </c>
      <c r="D10" s="16" t="s">
        <v>17</v>
      </c>
      <c r="E10" s="9"/>
      <c r="F10" s="14" t="s">
        <v>16</v>
      </c>
      <c r="G10" s="19" t="n">
        <f aca="false">HL_P(G7)</f>
        <v>210.816807734016</v>
      </c>
      <c r="H10" s="16" t="s">
        <v>17</v>
      </c>
      <c r="I10" s="9"/>
    </row>
    <row r="11" customFormat="false" ht="12.75" hidden="false" customHeight="false" outlineLevel="0" collapsed="false">
      <c r="A11" s="9"/>
      <c r="B11" s="14" t="s">
        <v>18</v>
      </c>
      <c r="C11" s="17" t="n">
        <f aca="false">RHOL_T(C7)</f>
        <v>958.35427728589</v>
      </c>
      <c r="D11" s="16" t="s">
        <v>19</v>
      </c>
      <c r="E11" s="9"/>
      <c r="F11" s="14" t="s">
        <v>18</v>
      </c>
      <c r="G11" s="17" t="n">
        <f aca="false">RHOL_P(G7)</f>
        <v>987.848390443843</v>
      </c>
      <c r="H11" s="16" t="s">
        <v>19</v>
      </c>
      <c r="I11" s="9"/>
    </row>
    <row r="12" customFormat="false" ht="12.75" hidden="false" customHeight="false" outlineLevel="0" collapsed="false">
      <c r="A12" s="9"/>
      <c r="B12" s="14" t="s">
        <v>20</v>
      </c>
      <c r="C12" s="17" t="n">
        <f aca="false">SL_T(C7)</f>
        <v>1.30701432784134</v>
      </c>
      <c r="D12" s="16" t="s">
        <v>21</v>
      </c>
      <c r="E12" s="9"/>
      <c r="F12" s="14" t="s">
        <v>20</v>
      </c>
      <c r="G12" s="17" t="n">
        <f aca="false">SL_P(G7)</f>
        <v>0.708372506696844</v>
      </c>
      <c r="H12" s="16" t="s">
        <v>21</v>
      </c>
      <c r="I12" s="9"/>
    </row>
    <row r="13" customFormat="false" ht="12.75" hidden="false" customHeight="false" outlineLevel="0" collapsed="false">
      <c r="A13" s="9"/>
      <c r="B13" s="18" t="s">
        <v>22</v>
      </c>
      <c r="C13" s="9"/>
      <c r="D13" s="16"/>
      <c r="F13" s="18" t="s">
        <v>22</v>
      </c>
      <c r="G13" s="9"/>
      <c r="H13" s="16"/>
      <c r="I13" s="9"/>
    </row>
    <row r="14" customFormat="false" ht="12.75" hidden="false" customHeight="false" outlineLevel="0" collapsed="false">
      <c r="A14" s="9"/>
      <c r="B14" s="14" t="s">
        <v>23</v>
      </c>
      <c r="C14" s="19" t="n">
        <f aca="false">HV_T(C7)</f>
        <v>2675.57202922083</v>
      </c>
      <c r="D14" s="16" t="s">
        <v>17</v>
      </c>
      <c r="E14" s="9"/>
      <c r="F14" s="14" t="s">
        <v>23</v>
      </c>
      <c r="G14" s="19" t="n">
        <f aca="false">HV_P(G7)</f>
        <v>2591.93557418644</v>
      </c>
      <c r="H14" s="16" t="s">
        <v>17</v>
      </c>
      <c r="I14" s="9"/>
    </row>
    <row r="15" customFormat="false" ht="12.75" hidden="false" customHeight="false" outlineLevel="0" collapsed="false">
      <c r="A15" s="9"/>
      <c r="B15" s="14" t="s">
        <v>24</v>
      </c>
      <c r="C15" s="17" t="n">
        <f aca="false">RHOV_T(C7)</f>
        <v>0.598135992525703</v>
      </c>
      <c r="D15" s="16" t="s">
        <v>19</v>
      </c>
      <c r="E15" s="9"/>
      <c r="F15" s="14" t="s">
        <v>24</v>
      </c>
      <c r="G15" s="17" t="n">
        <f aca="false">RHOV_P(G7)</f>
        <v>0.0845237743927298</v>
      </c>
      <c r="H15" s="16" t="s">
        <v>19</v>
      </c>
      <c r="I15" s="9"/>
    </row>
    <row r="16" customFormat="false" ht="12.75" hidden="false" customHeight="false" outlineLevel="0" collapsed="false">
      <c r="A16" s="9"/>
      <c r="B16" s="14" t="s">
        <v>25</v>
      </c>
      <c r="C16" s="17" t="n">
        <f aca="false">SV_T(C7)</f>
        <v>7.35407705095841</v>
      </c>
      <c r="D16" s="16" t="s">
        <v>21</v>
      </c>
      <c r="E16" s="9"/>
      <c r="F16" s="14" t="s">
        <v>26</v>
      </c>
      <c r="G16" s="17" t="n">
        <f aca="false">SV_P(G7)</f>
        <v>8.06877333231276</v>
      </c>
      <c r="H16" s="16" t="s">
        <v>21</v>
      </c>
      <c r="I16" s="9"/>
    </row>
    <row r="17" customFormat="false" ht="12.75" hidden="false" customHeight="false" outlineLevel="0" collapsed="false">
      <c r="A17" s="9"/>
      <c r="B17" s="20" t="s">
        <v>27</v>
      </c>
      <c r="C17" s="21" t="n">
        <f aca="false">C14-C10</f>
        <v>2256.47287422313</v>
      </c>
      <c r="D17" s="22" t="s">
        <v>17</v>
      </c>
      <c r="E17" s="9"/>
      <c r="F17" s="20" t="s">
        <v>27</v>
      </c>
      <c r="G17" s="21" t="n">
        <f aca="false">G14-G10</f>
        <v>2381.11876645242</v>
      </c>
      <c r="H17" s="22" t="s">
        <v>17</v>
      </c>
      <c r="I17" s="9"/>
    </row>
    <row r="18" customFormat="false" ht="12.75" hidden="false" customHeight="false" outlineLevel="0" collapsed="false">
      <c r="A18" s="9"/>
      <c r="I18" s="9"/>
    </row>
    <row r="19" customFormat="false" ht="12.75" hidden="false" customHeight="false" outlineLevel="0" collapsed="false">
      <c r="A19" s="9"/>
      <c r="B19" s="8" t="s">
        <v>28</v>
      </c>
      <c r="C19" s="9"/>
      <c r="D19" s="9"/>
      <c r="E19" s="9"/>
      <c r="F19" s="8" t="s">
        <v>29</v>
      </c>
      <c r="G19" s="9"/>
      <c r="H19" s="9"/>
      <c r="I19" s="9"/>
    </row>
    <row r="20" customFormat="false" ht="12.75" hidden="false" customHeight="false" outlineLevel="0" collapsed="false">
      <c r="A20" s="9"/>
      <c r="B20" s="10" t="s">
        <v>11</v>
      </c>
      <c r="C20" s="11" t="n">
        <v>1</v>
      </c>
      <c r="D20" s="12" t="s">
        <v>12</v>
      </c>
      <c r="E20" s="9"/>
      <c r="F20" s="10" t="s">
        <v>11</v>
      </c>
      <c r="G20" s="11" t="n">
        <v>12.57</v>
      </c>
      <c r="H20" s="12" t="s">
        <v>12</v>
      </c>
      <c r="I20" s="9"/>
    </row>
    <row r="21" customFormat="false" ht="12.75" hidden="false" customHeight="false" outlineLevel="0" collapsed="false">
      <c r="A21" s="9"/>
      <c r="B21" s="23" t="s">
        <v>9</v>
      </c>
      <c r="C21" s="24" t="n">
        <v>20</v>
      </c>
      <c r="D21" s="25" t="s">
        <v>10</v>
      </c>
      <c r="E21" s="9"/>
      <c r="F21" s="23" t="s">
        <v>16</v>
      </c>
      <c r="G21" s="24" t="n">
        <v>2788</v>
      </c>
      <c r="H21" s="25" t="s">
        <v>17</v>
      </c>
      <c r="I21" s="9"/>
    </row>
    <row r="22" customFormat="false" ht="12.75" hidden="false" customHeight="false" outlineLevel="0" collapsed="false">
      <c r="A22" s="9"/>
      <c r="B22" s="14" t="s">
        <v>16</v>
      </c>
      <c r="C22" s="19" t="n">
        <f aca="false">H_PT(C20,C21)</f>
        <v>2538.18548379391</v>
      </c>
      <c r="D22" s="16" t="s">
        <v>17</v>
      </c>
      <c r="E22" s="9"/>
      <c r="F22" s="14" t="s">
        <v>9</v>
      </c>
      <c r="G22" s="19" t="n">
        <f aca="false">T_PH(G20,G21)</f>
        <v>152.685665598747</v>
      </c>
      <c r="H22" s="16" t="s">
        <v>10</v>
      </c>
      <c r="I22" s="9"/>
    </row>
    <row r="23" customFormat="false" ht="12.75" hidden="false" customHeight="false" outlineLevel="0" collapsed="false">
      <c r="A23" s="9"/>
      <c r="B23" s="14" t="s">
        <v>18</v>
      </c>
      <c r="C23" s="17" t="n">
        <f aca="false">RHO_PT(C20,C21)</f>
        <v>0.00739523693872489</v>
      </c>
      <c r="D23" s="16" t="s">
        <v>19</v>
      </c>
      <c r="E23" s="9"/>
      <c r="F23" s="14" t="s">
        <v>18</v>
      </c>
      <c r="G23" s="17" t="n">
        <f aca="false">RHO_PH(G20,G21)</f>
        <v>0.0640220986240443</v>
      </c>
      <c r="H23" s="16" t="s">
        <v>19</v>
      </c>
      <c r="I23" s="9"/>
    </row>
    <row r="24" customFormat="false" ht="12.75" hidden="false" customHeight="false" outlineLevel="0" collapsed="false">
      <c r="A24" s="9"/>
      <c r="B24" s="14" t="s">
        <v>20</v>
      </c>
      <c r="C24" s="17" t="n">
        <f aca="false">S_PT(C20,C21)</f>
        <v>9.0604341729713</v>
      </c>
      <c r="D24" s="16" t="s">
        <v>21</v>
      </c>
      <c r="E24" s="9"/>
      <c r="F24" s="14" t="s">
        <v>20</v>
      </c>
      <c r="G24" s="17" t="n">
        <f aca="false">S_PH(G20,G21)</f>
        <v>8.59542341318828</v>
      </c>
      <c r="H24" s="16" t="s">
        <v>21</v>
      </c>
      <c r="I24" s="9"/>
    </row>
    <row r="25" customFormat="false" ht="12.75" hidden="false" customHeight="false" outlineLevel="0" collapsed="false">
      <c r="A25" s="9"/>
      <c r="B25" s="14" t="s">
        <v>30</v>
      </c>
      <c r="C25" s="1" t="n">
        <f aca="false">X_PH(C20,C22)*100</f>
        <v>100</v>
      </c>
      <c r="D25" s="16" t="s">
        <v>31</v>
      </c>
      <c r="F25" s="14" t="s">
        <v>30</v>
      </c>
      <c r="G25" s="1" t="n">
        <f aca="false">X_PH(G20,G21)*100</f>
        <v>100</v>
      </c>
      <c r="H25" s="16" t="s">
        <v>31</v>
      </c>
      <c r="I25" s="9"/>
    </row>
    <row r="26" customFormat="false" ht="12.75" hidden="false" customHeight="false" outlineLevel="0" collapsed="false">
      <c r="A26" s="9"/>
      <c r="B26" s="14" t="s">
        <v>32</v>
      </c>
      <c r="C26" s="9" t="n">
        <f aca="false">REGION_PT(C20/10,C21+273.15)</f>
        <v>1</v>
      </c>
      <c r="D26" s="16"/>
      <c r="E26" s="9"/>
      <c r="F26" s="14" t="s">
        <v>32</v>
      </c>
      <c r="G26" s="9" t="n">
        <f aca="false">REGION_PH(G20/10,G21)</f>
        <v>2</v>
      </c>
      <c r="H26" s="16"/>
      <c r="I26" s="9"/>
    </row>
    <row r="27" customFormat="false" ht="12.75" hidden="false" customHeight="false" outlineLevel="0" collapsed="false">
      <c r="A27" s="9"/>
      <c r="B27" s="14" t="s">
        <v>33</v>
      </c>
      <c r="C27" s="26" t="str">
        <f aca="false">IF(C26=2,"Steam",IF(C26=1,"Liquid",IF(C26=4,"Mixture","")))</f>
        <v>Liquid</v>
      </c>
      <c r="D27" s="16"/>
      <c r="E27" s="9"/>
      <c r="F27" s="14" t="s">
        <v>33</v>
      </c>
      <c r="G27" s="26" t="str">
        <f aca="false">IF(G26=2,"Steam",IF(G26=1,"Liquid",IF(G26=4,"Mixture","")))</f>
        <v>Steam</v>
      </c>
      <c r="H27" s="16"/>
      <c r="I27" s="9"/>
    </row>
    <row r="28" customFormat="false" ht="12.75" hidden="false" customHeight="false" outlineLevel="0" collapsed="false">
      <c r="B28" s="14" t="s">
        <v>34</v>
      </c>
      <c r="C28" s="9" t="n">
        <f aca="false">CP_PT(C20,C21)</f>
        <v>1.87432544104745</v>
      </c>
      <c r="D28" s="16" t="s">
        <v>17</v>
      </c>
      <c r="F28" s="14" t="s">
        <v>34</v>
      </c>
      <c r="G28" s="9" t="n">
        <f aca="false">CP_PH(G20,G21)</f>
        <v>1.92294619184134</v>
      </c>
      <c r="H28" s="16" t="s">
        <v>17</v>
      </c>
    </row>
    <row r="29" customFormat="false" ht="12.75" hidden="false" customHeight="false" outlineLevel="0" collapsed="false">
      <c r="B29" s="20" t="s">
        <v>35</v>
      </c>
      <c r="C29" s="27" t="n">
        <f aca="false">W_PT(C20,C21)</f>
        <v>423.847638254217</v>
      </c>
      <c r="D29" s="22" t="s">
        <v>36</v>
      </c>
      <c r="F29" s="20" t="s">
        <v>35</v>
      </c>
      <c r="G29" s="27" t="n">
        <f aca="false">W_PH(G20,G21)</f>
        <v>508.560687210867</v>
      </c>
      <c r="H29" s="22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4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38" activeCellId="0" sqref="D38"/>
    </sheetView>
  </sheetViews>
  <sheetFormatPr defaultRowHeight="12.75" zeroHeight="false" outlineLevelRow="1" outlineLevelCol="0"/>
  <cols>
    <col collapsed="false" customWidth="true" hidden="false" outlineLevel="0" max="1" min="1" style="1" width="24.15"/>
    <col collapsed="false" customWidth="true" hidden="false" outlineLevel="0" max="2" min="2" style="1" width="4.71"/>
    <col collapsed="false" customWidth="true" hidden="false" outlineLevel="0" max="3" min="3" style="1" width="7.71"/>
    <col collapsed="false" customWidth="true" hidden="false" outlineLevel="0" max="4" min="4" style="1" width="4.71"/>
    <col collapsed="false" customWidth="true" hidden="false" outlineLevel="0" max="5" min="5" style="1" width="8.29"/>
    <col collapsed="false" customWidth="true" hidden="false" outlineLevel="0" max="6" min="6" style="5" width="10.42"/>
    <col collapsed="false" customWidth="true" hidden="false" outlineLevel="0" max="7" min="7" style="5" width="9.13"/>
    <col collapsed="false" customWidth="true" hidden="false" outlineLevel="0" max="8" min="8" style="3" width="7.57"/>
    <col collapsed="false" customWidth="true" hidden="false" outlineLevel="0" max="256" min="9" style="1" width="9.13"/>
    <col collapsed="false" customWidth="true" hidden="false" outlineLevel="0" max="257" min="257" style="1" width="24.15"/>
    <col collapsed="false" customWidth="true" hidden="false" outlineLevel="0" max="258" min="258" style="1" width="4.71"/>
    <col collapsed="false" customWidth="true" hidden="false" outlineLevel="0" max="259" min="259" style="1" width="7.71"/>
    <col collapsed="false" customWidth="true" hidden="false" outlineLevel="0" max="260" min="260" style="1" width="4.71"/>
    <col collapsed="false" customWidth="true" hidden="false" outlineLevel="0" max="261" min="261" style="1" width="8.29"/>
    <col collapsed="false" customWidth="true" hidden="false" outlineLevel="0" max="262" min="262" style="1" width="10.42"/>
    <col collapsed="false" customWidth="true" hidden="false" outlineLevel="0" max="263" min="263" style="1" width="9.13"/>
    <col collapsed="false" customWidth="true" hidden="false" outlineLevel="0" max="264" min="264" style="1" width="7.57"/>
    <col collapsed="false" customWidth="true" hidden="false" outlineLevel="0" max="512" min="265" style="1" width="9.13"/>
    <col collapsed="false" customWidth="true" hidden="false" outlineLevel="0" max="513" min="513" style="1" width="24.15"/>
    <col collapsed="false" customWidth="true" hidden="false" outlineLevel="0" max="514" min="514" style="1" width="4.71"/>
    <col collapsed="false" customWidth="true" hidden="false" outlineLevel="0" max="515" min="515" style="1" width="7.71"/>
    <col collapsed="false" customWidth="true" hidden="false" outlineLevel="0" max="516" min="516" style="1" width="4.71"/>
    <col collapsed="false" customWidth="true" hidden="false" outlineLevel="0" max="517" min="517" style="1" width="8.29"/>
    <col collapsed="false" customWidth="true" hidden="false" outlineLevel="0" max="518" min="518" style="1" width="10.42"/>
    <col collapsed="false" customWidth="true" hidden="false" outlineLevel="0" max="519" min="519" style="1" width="9.13"/>
    <col collapsed="false" customWidth="true" hidden="false" outlineLevel="0" max="520" min="520" style="1" width="7.57"/>
    <col collapsed="false" customWidth="true" hidden="false" outlineLevel="0" max="768" min="521" style="1" width="9.13"/>
    <col collapsed="false" customWidth="true" hidden="false" outlineLevel="0" max="769" min="769" style="1" width="24.15"/>
    <col collapsed="false" customWidth="true" hidden="false" outlineLevel="0" max="770" min="770" style="1" width="4.71"/>
    <col collapsed="false" customWidth="true" hidden="false" outlineLevel="0" max="771" min="771" style="1" width="7.71"/>
    <col collapsed="false" customWidth="true" hidden="false" outlineLevel="0" max="772" min="772" style="1" width="4.71"/>
    <col collapsed="false" customWidth="true" hidden="false" outlineLevel="0" max="773" min="773" style="1" width="8.29"/>
    <col collapsed="false" customWidth="true" hidden="false" outlineLevel="0" max="774" min="774" style="1" width="10.42"/>
    <col collapsed="false" customWidth="true" hidden="false" outlineLevel="0" max="775" min="775" style="1" width="9.13"/>
    <col collapsed="false" customWidth="true" hidden="false" outlineLevel="0" max="776" min="776" style="1" width="7.57"/>
    <col collapsed="false" customWidth="true" hidden="false" outlineLevel="0" max="1025" min="777" style="1" width="9.13"/>
  </cols>
  <sheetData>
    <row r="1" s="28" customFormat="true" ht="18" hidden="false" customHeight="false" outlineLevel="0" collapsed="false">
      <c r="A1" s="2" t="s">
        <v>0</v>
      </c>
      <c r="D1" s="3" t="s">
        <v>37</v>
      </c>
      <c r="E1" s="29" t="s">
        <v>38</v>
      </c>
      <c r="F1" s="2"/>
      <c r="G1" s="2"/>
    </row>
    <row r="2" s="30" customFormat="true" ht="11.25" hidden="false" customHeight="false" outlineLevel="0" collapsed="false">
      <c r="A2" s="30" t="s">
        <v>39</v>
      </c>
    </row>
    <row r="3" s="4" customFormat="true" ht="11.25" hidden="false" customHeight="false" outlineLevel="0" collapsed="false">
      <c r="A3" s="4" t="s">
        <v>40</v>
      </c>
    </row>
    <row r="4" s="4" customFormat="true" ht="11.25" hidden="false" customHeight="false" outlineLevel="0" collapsed="false">
      <c r="A4" s="4" t="s">
        <v>41</v>
      </c>
      <c r="F4" s="6" t="s">
        <v>42</v>
      </c>
    </row>
    <row r="5" s="4" customFormat="true" ht="11.25" hidden="false" customHeight="false" outlineLevel="0" collapsed="false">
      <c r="A5" s="4" t="s">
        <v>4</v>
      </c>
    </row>
    <row r="6" customFormat="false" ht="12.75" hidden="false" customHeight="false" outlineLevel="0" collapsed="false">
      <c r="A6" s="30" t="s">
        <v>6</v>
      </c>
      <c r="B6" s="3"/>
      <c r="C6" s="3"/>
      <c r="D6" s="3"/>
      <c r="E6" s="3"/>
      <c r="F6" s="3"/>
      <c r="G6" s="3"/>
    </row>
    <row r="7" customFormat="false" ht="12.75" hidden="false" customHeight="false" outlineLevel="0" collapsed="false">
      <c r="A7" s="30"/>
      <c r="B7" s="3"/>
      <c r="C7" s="3"/>
      <c r="D7" s="3"/>
      <c r="E7" s="3"/>
      <c r="F7" s="3"/>
      <c r="G7" s="3"/>
    </row>
    <row r="8" s="32" customFormat="true" ht="15" hidden="false" customHeight="false" outlineLevel="0" collapsed="false">
      <c r="A8" s="31" t="s">
        <v>9</v>
      </c>
      <c r="F8" s="33"/>
      <c r="G8" s="33"/>
    </row>
    <row r="9" s="4" customFormat="true" ht="12.75" hidden="false" customHeight="false" outlineLevel="1" collapsed="false">
      <c r="A9" s="5" t="s">
        <v>43</v>
      </c>
      <c r="B9" s="3" t="n">
        <v>100</v>
      </c>
      <c r="C9" s="3" t="s">
        <v>12</v>
      </c>
      <c r="D9" s="3"/>
      <c r="E9" s="3"/>
      <c r="F9" s="5" t="n">
        <f aca="false">TSAT_P(B9)</f>
        <v>99.6059186113376</v>
      </c>
      <c r="G9" s="5" t="s">
        <v>10</v>
      </c>
      <c r="H9" s="3" t="s">
        <v>14</v>
      </c>
    </row>
    <row r="10" s="4" customFormat="true" ht="12.75" hidden="false" customHeight="false" outlineLevel="1" collapsed="false">
      <c r="A10" s="5" t="s">
        <v>44</v>
      </c>
      <c r="B10" s="3" t="n">
        <v>100</v>
      </c>
      <c r="C10" s="3" t="s">
        <v>12</v>
      </c>
      <c r="D10" s="3" t="n">
        <v>100</v>
      </c>
      <c r="E10" s="3" t="s">
        <v>17</v>
      </c>
      <c r="F10" s="5" t="n">
        <f aca="false">T_PH(B10,D10)</f>
        <v>23.8448190753248</v>
      </c>
      <c r="G10" s="5" t="s">
        <v>10</v>
      </c>
      <c r="H10" s="3" t="s">
        <v>45</v>
      </c>
    </row>
    <row r="11" s="4" customFormat="true" ht="12.75" hidden="false" customHeight="false" outlineLevel="1" collapsed="false">
      <c r="A11" s="5" t="s">
        <v>46</v>
      </c>
      <c r="B11" s="3" t="n">
        <v>100</v>
      </c>
      <c r="C11" s="3" t="s">
        <v>12</v>
      </c>
      <c r="D11" s="3" t="n">
        <v>1</v>
      </c>
      <c r="E11" s="3" t="s">
        <v>47</v>
      </c>
      <c r="F11" s="5" t="n">
        <f aca="false">T_PS(B11,D11)</f>
        <v>73.7085942144087</v>
      </c>
      <c r="G11" s="5" t="s">
        <v>10</v>
      </c>
      <c r="H11" s="3" t="s">
        <v>48</v>
      </c>
    </row>
    <row r="12" s="4" customFormat="true" ht="12.75" hidden="false" customHeight="false" outlineLevel="1" collapsed="false">
      <c r="A12" s="5" t="s">
        <v>49</v>
      </c>
      <c r="B12" s="3" t="n">
        <v>100</v>
      </c>
      <c r="C12" s="3" t="s">
        <v>17</v>
      </c>
      <c r="D12" s="3" t="n">
        <v>0.2</v>
      </c>
      <c r="E12" s="3" t="s">
        <v>47</v>
      </c>
      <c r="F12" s="5" t="n">
        <f aca="false">T_HS(B12,D12)</f>
        <v>13.8493351118726</v>
      </c>
      <c r="G12" s="5" t="s">
        <v>10</v>
      </c>
      <c r="H12" s="3" t="s">
        <v>50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4" customFormat="true" ht="12.75" hidden="false" customHeight="false" outlineLevel="1" collapsed="false">
      <c r="A14" s="5" t="s">
        <v>51</v>
      </c>
      <c r="B14" s="3" t="n">
        <v>100</v>
      </c>
      <c r="C14" s="3" t="s">
        <v>10</v>
      </c>
      <c r="D14" s="3"/>
      <c r="E14" s="3"/>
      <c r="F14" s="5" t="n">
        <f aca="false">PSAT_T(B14)</f>
        <v>101.41797792131</v>
      </c>
      <c r="G14" s="5" t="s">
        <v>52</v>
      </c>
      <c r="H14" s="3" t="s">
        <v>13</v>
      </c>
    </row>
    <row r="15" s="4" customFormat="true" ht="12.75" hidden="false" customHeight="false" outlineLevel="1" collapsed="false">
      <c r="A15" s="5" t="s">
        <v>53</v>
      </c>
      <c r="B15" s="3" t="n">
        <v>84</v>
      </c>
      <c r="C15" s="3" t="s">
        <v>17</v>
      </c>
      <c r="D15" s="3" t="n">
        <v>0.296</v>
      </c>
      <c r="E15" s="3" t="s">
        <v>47</v>
      </c>
      <c r="F15" s="5" t="n">
        <f aca="false">P_HS(B15,D15)</f>
        <v>229.549826928091</v>
      </c>
      <c r="G15" s="5" t="s">
        <v>52</v>
      </c>
      <c r="H15" s="3" t="s">
        <v>54</v>
      </c>
    </row>
    <row r="16" s="4" customFormat="true" ht="12.75" hidden="false" customHeight="false" outlineLevel="1" collapsed="false">
      <c r="A16" s="5" t="s">
        <v>55</v>
      </c>
      <c r="B16" s="3" t="n">
        <v>2000</v>
      </c>
      <c r="C16" s="3" t="s">
        <v>17</v>
      </c>
      <c r="D16" s="3" t="n">
        <v>5</v>
      </c>
      <c r="E16" s="3" t="s">
        <v>19</v>
      </c>
      <c r="F16" s="5" t="n">
        <f aca="false">P_HRHO(B16,D16)</f>
        <v>604.646887793206</v>
      </c>
      <c r="G16" s="5" t="s">
        <v>52</v>
      </c>
      <c r="H16" s="3" t="s">
        <v>56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4" customFormat="true" ht="12.75" hidden="false" customHeight="false" outlineLevel="1" collapsed="false">
      <c r="A18" s="5" t="s">
        <v>57</v>
      </c>
      <c r="B18" s="3" t="n">
        <v>100</v>
      </c>
      <c r="C18" s="3" t="s">
        <v>12</v>
      </c>
      <c r="D18" s="3"/>
      <c r="E18" s="3"/>
      <c r="F18" s="5" t="n">
        <f aca="false">HV_P(B18)</f>
        <v>2674.94964083215</v>
      </c>
      <c r="G18" s="5" t="s">
        <v>17</v>
      </c>
      <c r="H18" s="3" t="s">
        <v>58</v>
      </c>
    </row>
    <row r="19" s="4" customFormat="true" ht="12.75" hidden="false" customHeight="false" outlineLevel="1" collapsed="false">
      <c r="A19" s="5" t="s">
        <v>59</v>
      </c>
      <c r="B19" s="3" t="n">
        <v>100</v>
      </c>
      <c r="C19" s="3" t="s">
        <v>12</v>
      </c>
      <c r="D19" s="3"/>
      <c r="E19" s="3"/>
      <c r="F19" s="5" t="n">
        <f aca="false">HL_P(B19)</f>
        <v>417.436485816232</v>
      </c>
      <c r="G19" s="5" t="s">
        <v>17</v>
      </c>
      <c r="H19" s="3" t="s">
        <v>60</v>
      </c>
    </row>
    <row r="20" s="4" customFormat="true" ht="12.75" hidden="false" customHeight="false" outlineLevel="1" collapsed="false">
      <c r="A20" s="5" t="s">
        <v>61</v>
      </c>
      <c r="B20" s="3" t="n">
        <v>100</v>
      </c>
      <c r="C20" s="3" t="s">
        <v>10</v>
      </c>
      <c r="D20" s="3"/>
      <c r="E20" s="3"/>
      <c r="F20" s="5" t="n">
        <f aca="false">HV_T(B20)</f>
        <v>2675.57202922083</v>
      </c>
      <c r="G20" s="5" t="s">
        <v>17</v>
      </c>
      <c r="H20" s="3" t="s">
        <v>58</v>
      </c>
    </row>
    <row r="21" s="4" customFormat="true" ht="12.75" hidden="false" customHeight="false" outlineLevel="1" collapsed="false">
      <c r="A21" s="5" t="s">
        <v>62</v>
      </c>
      <c r="B21" s="3" t="n">
        <v>100</v>
      </c>
      <c r="C21" s="3" t="s">
        <v>10</v>
      </c>
      <c r="D21" s="3"/>
      <c r="E21" s="3"/>
      <c r="F21" s="5" t="n">
        <f aca="false">HL_T(B21)</f>
        <v>419.099154997703</v>
      </c>
      <c r="G21" s="5" t="s">
        <v>17</v>
      </c>
      <c r="H21" s="3" t="s">
        <v>60</v>
      </c>
    </row>
    <row r="22" s="4" customFormat="true" ht="12.75" hidden="false" customHeight="false" outlineLevel="1" collapsed="false">
      <c r="A22" s="5" t="s">
        <v>63</v>
      </c>
      <c r="B22" s="3" t="n">
        <v>100</v>
      </c>
      <c r="C22" s="3" t="s">
        <v>12</v>
      </c>
      <c r="D22" s="3" t="n">
        <v>20</v>
      </c>
      <c r="E22" s="3" t="s">
        <v>10</v>
      </c>
      <c r="F22" s="5" t="n">
        <f aca="false">H_PT(B22,D22)</f>
        <v>84.0118111671364</v>
      </c>
      <c r="G22" s="5" t="s">
        <v>17</v>
      </c>
      <c r="H22" s="3" t="s">
        <v>64</v>
      </c>
    </row>
    <row r="23" s="4" customFormat="true" ht="12.75" hidden="false" customHeight="false" outlineLevel="1" collapsed="false">
      <c r="A23" s="5" t="s">
        <v>65</v>
      </c>
      <c r="B23" s="3" t="n">
        <v>100</v>
      </c>
      <c r="C23" s="3" t="s">
        <v>12</v>
      </c>
      <c r="D23" s="3" t="n">
        <v>1</v>
      </c>
      <c r="E23" s="3" t="s">
        <v>47</v>
      </c>
      <c r="F23" s="5" t="n">
        <f aca="false">H_PS(B23,D23)</f>
        <v>308.610717082946</v>
      </c>
      <c r="G23" s="5" t="s">
        <v>17</v>
      </c>
      <c r="H23" s="3" t="s">
        <v>66</v>
      </c>
    </row>
    <row r="24" s="4" customFormat="true" ht="12.75" hidden="false" customHeight="false" outlineLevel="1" collapsed="false">
      <c r="A24" s="5" t="s">
        <v>67</v>
      </c>
      <c r="B24" s="3" t="n">
        <v>100</v>
      </c>
      <c r="C24" s="3" t="s">
        <v>12</v>
      </c>
      <c r="D24" s="3" t="n">
        <v>0.5</v>
      </c>
      <c r="E24" s="3"/>
      <c r="F24" s="5" t="n">
        <f aca="false">H_PX(B24,D24)</f>
        <v>1546.19306332419</v>
      </c>
      <c r="G24" s="5" t="s">
        <v>17</v>
      </c>
      <c r="H24" s="3" t="s">
        <v>68</v>
      </c>
    </row>
    <row r="25" s="4" customFormat="true" ht="12.75" hidden="false" customHeight="false" outlineLevel="1" collapsed="false">
      <c r="A25" s="5" t="s">
        <v>69</v>
      </c>
      <c r="B25" s="3" t="n">
        <v>100</v>
      </c>
      <c r="C25" s="3" t="s">
        <v>10</v>
      </c>
      <c r="D25" s="3" t="n">
        <v>0.5</v>
      </c>
      <c r="E25" s="3"/>
      <c r="F25" s="5" t="n">
        <f aca="false">H_TX(B25,D25)</f>
        <v>1547.33559210927</v>
      </c>
      <c r="G25" s="5" t="s">
        <v>17</v>
      </c>
      <c r="H25" s="3" t="s">
        <v>70</v>
      </c>
    </row>
    <row r="26" s="4" customFormat="true" ht="12.75" hidden="false" customHeight="false" outlineLevel="1" collapsed="false">
      <c r="A26" s="5" t="s">
        <v>71</v>
      </c>
      <c r="B26" s="3" t="n">
        <v>100</v>
      </c>
      <c r="C26" s="3" t="s">
        <v>12</v>
      </c>
      <c r="D26" s="3" t="n">
        <v>2</v>
      </c>
      <c r="E26" s="3" t="s">
        <v>19</v>
      </c>
      <c r="F26" s="5" t="n">
        <f aca="false">H_PRHO(B26,D26)</f>
        <v>1082.77339076002</v>
      </c>
      <c r="G26" s="5" t="s">
        <v>17</v>
      </c>
      <c r="H26" s="3" t="s">
        <v>72</v>
      </c>
    </row>
    <row r="27" s="32" customFormat="true" ht="15" hidden="false" customHeight="false" outlineLevel="0" collapsed="false">
      <c r="A27" s="31" t="s">
        <v>73</v>
      </c>
      <c r="F27" s="33"/>
      <c r="G27" s="33"/>
    </row>
    <row r="28" s="4" customFormat="true" ht="12.75" hidden="false" customHeight="false" outlineLevel="1" collapsed="false">
      <c r="A28" s="5" t="s">
        <v>74</v>
      </c>
      <c r="B28" s="3" t="n">
        <v>100</v>
      </c>
      <c r="C28" s="3" t="s">
        <v>12</v>
      </c>
      <c r="D28" s="3"/>
      <c r="E28" s="3"/>
      <c r="F28" s="5" t="n">
        <f aca="false">VV_P(B28)</f>
        <v>1.69402252290268</v>
      </c>
      <c r="G28" s="5" t="s">
        <v>75</v>
      </c>
      <c r="H28" s="3" t="s">
        <v>76</v>
      </c>
    </row>
    <row r="29" s="4" customFormat="true" ht="12.75" hidden="false" customHeight="false" outlineLevel="1" collapsed="false">
      <c r="A29" s="5" t="s">
        <v>77</v>
      </c>
      <c r="B29" s="3" t="n">
        <v>100</v>
      </c>
      <c r="C29" s="3" t="s">
        <v>12</v>
      </c>
      <c r="D29" s="3"/>
      <c r="E29" s="3"/>
      <c r="F29" s="5" t="n">
        <f aca="false">VL_P(B29)</f>
        <v>0.00104314783915518</v>
      </c>
      <c r="G29" s="5" t="s">
        <v>75</v>
      </c>
      <c r="H29" s="3" t="s">
        <v>78</v>
      </c>
    </row>
    <row r="30" s="4" customFormat="true" ht="12.75" hidden="false" customHeight="false" outlineLevel="1" collapsed="false">
      <c r="A30" s="5" t="s">
        <v>79</v>
      </c>
      <c r="B30" s="3" t="n">
        <v>100</v>
      </c>
      <c r="C30" s="3" t="s">
        <v>10</v>
      </c>
      <c r="D30" s="3"/>
      <c r="E30" s="3"/>
      <c r="F30" s="5" t="n">
        <f aca="false">VV_T(B30)</f>
        <v>1.67186060109404</v>
      </c>
      <c r="G30" s="5" t="s">
        <v>75</v>
      </c>
      <c r="H30" s="3" t="s">
        <v>76</v>
      </c>
    </row>
    <row r="31" s="4" customFormat="true" ht="12.75" hidden="false" customHeight="false" outlineLevel="1" collapsed="false">
      <c r="A31" s="5" t="s">
        <v>80</v>
      </c>
      <c r="B31" s="3" t="n">
        <v>100</v>
      </c>
      <c r="C31" s="3" t="s">
        <v>10</v>
      </c>
      <c r="D31" s="3"/>
      <c r="E31" s="3"/>
      <c r="F31" s="5" t="n">
        <f aca="false">VL_T(B31)</f>
        <v>0.00104345545661053</v>
      </c>
      <c r="G31" s="5" t="s">
        <v>75</v>
      </c>
      <c r="H31" s="3" t="s">
        <v>78</v>
      </c>
    </row>
    <row r="32" s="4" customFormat="true" ht="12.75" hidden="false" customHeight="false" outlineLevel="1" collapsed="false">
      <c r="A32" s="5" t="s">
        <v>81</v>
      </c>
      <c r="B32" s="3" t="n">
        <v>100</v>
      </c>
      <c r="C32" s="3" t="s">
        <v>12</v>
      </c>
      <c r="D32" s="3" t="n">
        <v>100</v>
      </c>
      <c r="E32" s="3" t="s">
        <v>10</v>
      </c>
      <c r="F32" s="5" t="n">
        <f aca="false">V_PT(B32,D32)</f>
        <v>1.69595940739822</v>
      </c>
      <c r="G32" s="5" t="s">
        <v>75</v>
      </c>
      <c r="H32" s="3" t="s">
        <v>82</v>
      </c>
    </row>
    <row r="33" s="4" customFormat="true" ht="12.75" hidden="false" customHeight="false" outlineLevel="1" collapsed="false">
      <c r="A33" s="5" t="s">
        <v>83</v>
      </c>
      <c r="B33" s="3" t="n">
        <v>100</v>
      </c>
      <c r="C33" s="3" t="s">
        <v>12</v>
      </c>
      <c r="D33" s="3" t="n">
        <v>1000</v>
      </c>
      <c r="E33" s="3" t="s">
        <v>17</v>
      </c>
      <c r="F33" s="5" t="n">
        <f aca="false">V_PH(B33,D33)</f>
        <v>0.437925658129864</v>
      </c>
      <c r="G33" s="5" t="s">
        <v>75</v>
      </c>
      <c r="H33" s="3" t="s">
        <v>84</v>
      </c>
    </row>
    <row r="34" s="4" customFormat="true" ht="12.75" hidden="false" customHeight="false" outlineLevel="1" collapsed="false">
      <c r="A34" s="5" t="s">
        <v>85</v>
      </c>
      <c r="B34" s="3" t="n">
        <v>100</v>
      </c>
      <c r="C34" s="3" t="s">
        <v>12</v>
      </c>
      <c r="D34" s="3" t="n">
        <v>5</v>
      </c>
      <c r="E34" s="3" t="s">
        <v>47</v>
      </c>
      <c r="F34" s="5" t="n">
        <f aca="false">V_PS(B34,D34)</f>
        <v>1.03463539018629</v>
      </c>
      <c r="G34" s="5" t="s">
        <v>75</v>
      </c>
      <c r="H34" s="3" t="s">
        <v>86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4" customFormat="true" ht="12.75" hidden="false" customHeight="false" outlineLevel="1" collapsed="false">
      <c r="A36" s="5" t="s">
        <v>87</v>
      </c>
      <c r="B36" s="3" t="n">
        <v>100</v>
      </c>
      <c r="C36" s="3" t="s">
        <v>12</v>
      </c>
      <c r="D36" s="3"/>
      <c r="E36" s="3"/>
      <c r="F36" s="5" t="n">
        <f aca="false">RHOV_P(B36)</f>
        <v>0.590310923544578</v>
      </c>
      <c r="G36" s="5" t="s">
        <v>19</v>
      </c>
      <c r="H36" s="3" t="s">
        <v>88</v>
      </c>
    </row>
    <row r="37" s="4" customFormat="true" ht="12.75" hidden="false" customHeight="false" outlineLevel="1" collapsed="false">
      <c r="A37" s="5" t="s">
        <v>89</v>
      </c>
      <c r="B37" s="3" t="n">
        <v>100</v>
      </c>
      <c r="C37" s="3" t="s">
        <v>12</v>
      </c>
      <c r="D37" s="3"/>
      <c r="E37" s="3"/>
      <c r="F37" s="5" t="n">
        <f aca="false">RHOL_P(B37)</f>
        <v>958.636889676033</v>
      </c>
      <c r="G37" s="5" t="s">
        <v>19</v>
      </c>
      <c r="H37" s="3" t="s">
        <v>90</v>
      </c>
    </row>
    <row r="38" s="4" customFormat="true" ht="12.75" hidden="false" customHeight="false" outlineLevel="1" collapsed="false">
      <c r="A38" s="5" t="s">
        <v>91</v>
      </c>
      <c r="B38" s="3" t="n">
        <v>100</v>
      </c>
      <c r="C38" s="3" t="s">
        <v>10</v>
      </c>
      <c r="D38" s="3"/>
      <c r="E38" s="3"/>
      <c r="F38" s="5" t="n">
        <f aca="false">RHOV_T(B38)</f>
        <v>0.598135992525703</v>
      </c>
      <c r="G38" s="5" t="s">
        <v>19</v>
      </c>
      <c r="H38" s="3" t="s">
        <v>88</v>
      </c>
    </row>
    <row r="39" s="4" customFormat="true" ht="12.75" hidden="false" customHeight="false" outlineLevel="1" collapsed="false">
      <c r="A39" s="5" t="s">
        <v>92</v>
      </c>
      <c r="B39" s="3" t="n">
        <v>100</v>
      </c>
      <c r="C39" s="3" t="s">
        <v>10</v>
      </c>
      <c r="D39" s="3"/>
      <c r="E39" s="3"/>
      <c r="F39" s="5" t="n">
        <f aca="false">RHOL_T(B39)</f>
        <v>958.35427728589</v>
      </c>
      <c r="G39" s="5" t="s">
        <v>19</v>
      </c>
      <c r="H39" s="3" t="s">
        <v>90</v>
      </c>
    </row>
    <row r="40" s="4" customFormat="true" ht="12.75" hidden="false" customHeight="false" outlineLevel="1" collapsed="false">
      <c r="A40" s="5" t="s">
        <v>93</v>
      </c>
      <c r="B40" s="3" t="n">
        <v>100</v>
      </c>
      <c r="C40" s="3" t="s">
        <v>12</v>
      </c>
      <c r="D40" s="3" t="n">
        <v>100</v>
      </c>
      <c r="E40" s="3" t="s">
        <v>10</v>
      </c>
      <c r="F40" s="5" t="n">
        <f aca="false">RHO_PT(B40,D40)</f>
        <v>0.589636754062471</v>
      </c>
      <c r="G40" s="5" t="s">
        <v>19</v>
      </c>
      <c r="H40" s="3" t="s">
        <v>94</v>
      </c>
    </row>
    <row r="41" s="4" customFormat="true" ht="12.75" hidden="false" customHeight="false" outlineLevel="1" collapsed="false">
      <c r="A41" s="5" t="s">
        <v>95</v>
      </c>
      <c r="B41" s="3" t="n">
        <v>100</v>
      </c>
      <c r="C41" s="3" t="s">
        <v>12</v>
      </c>
      <c r="D41" s="3" t="n">
        <v>1000</v>
      </c>
      <c r="E41" s="3" t="s">
        <v>17</v>
      </c>
      <c r="F41" s="5" t="n">
        <f aca="false">RHO_PH(B41,D41)</f>
        <v>2.28349260070863</v>
      </c>
      <c r="G41" s="5" t="s">
        <v>19</v>
      </c>
      <c r="H41" s="3" t="s">
        <v>96</v>
      </c>
    </row>
    <row r="42" s="4" customFormat="true" ht="12.75" hidden="false" customHeight="false" outlineLevel="1" collapsed="false">
      <c r="A42" s="5" t="s">
        <v>97</v>
      </c>
      <c r="B42" s="3" t="n">
        <v>100</v>
      </c>
      <c r="C42" s="3" t="s">
        <v>12</v>
      </c>
      <c r="D42" s="3" t="n">
        <v>1</v>
      </c>
      <c r="E42" s="3" t="s">
        <v>47</v>
      </c>
      <c r="F42" s="5" t="n">
        <f aca="false">RHO_PS(B42,D42)</f>
        <v>975.623678848232</v>
      </c>
      <c r="G42" s="5" t="s">
        <v>19</v>
      </c>
      <c r="H42" s="3" t="s">
        <v>98</v>
      </c>
    </row>
    <row r="43" s="32" customFormat="true" ht="15" hidden="false" customHeight="false" outlineLevel="0" collapsed="false">
      <c r="A43" s="31" t="s">
        <v>99</v>
      </c>
      <c r="F43" s="33"/>
      <c r="G43" s="33"/>
    </row>
    <row r="44" s="4" customFormat="true" ht="12.75" hidden="false" customHeight="false" outlineLevel="1" collapsed="false">
      <c r="A44" s="5" t="s">
        <v>100</v>
      </c>
      <c r="B44" s="3" t="n">
        <v>1</v>
      </c>
      <c r="C44" s="3" t="s">
        <v>12</v>
      </c>
      <c r="D44" s="3"/>
      <c r="E44" s="3"/>
      <c r="F44" s="5" t="n">
        <f aca="false">SV_P(B44)</f>
        <v>8.97492979038626</v>
      </c>
      <c r="G44" s="5" t="s">
        <v>47</v>
      </c>
      <c r="H44" s="3" t="s">
        <v>101</v>
      </c>
    </row>
    <row r="45" s="4" customFormat="true" ht="12.75" hidden="false" customHeight="false" outlineLevel="1" collapsed="false">
      <c r="A45" s="5" t="s">
        <v>102</v>
      </c>
      <c r="B45" s="3" t="n">
        <v>1</v>
      </c>
      <c r="C45" s="3" t="s">
        <v>12</v>
      </c>
      <c r="D45" s="3"/>
      <c r="E45" s="3"/>
      <c r="F45" s="5" t="n">
        <f aca="false">SL_P(B45)</f>
        <v>0.105910447662535</v>
      </c>
      <c r="G45" s="5" t="s">
        <v>47</v>
      </c>
      <c r="H45" s="3" t="s">
        <v>103</v>
      </c>
    </row>
    <row r="46" s="4" customFormat="true" ht="12.75" hidden="false" customHeight="false" outlineLevel="1" collapsed="false">
      <c r="A46" s="5" t="s">
        <v>104</v>
      </c>
      <c r="B46" s="3" t="n">
        <v>0.0001</v>
      </c>
      <c r="C46" s="3" t="s">
        <v>10</v>
      </c>
      <c r="D46" s="3"/>
      <c r="E46" s="3"/>
      <c r="F46" s="5" t="n">
        <f aca="false">SV_T(B46)</f>
        <v>9.15575671588559</v>
      </c>
      <c r="G46" s="5" t="s">
        <v>47</v>
      </c>
      <c r="H46" s="3" t="s">
        <v>101</v>
      </c>
    </row>
    <row r="47" s="4" customFormat="true" ht="12.75" hidden="false" customHeight="false" outlineLevel="1" collapsed="false">
      <c r="A47" s="5" t="s">
        <v>105</v>
      </c>
      <c r="B47" s="3" t="n">
        <v>100</v>
      </c>
      <c r="C47" s="3" t="s">
        <v>10</v>
      </c>
      <c r="D47" s="3"/>
      <c r="E47" s="3"/>
      <c r="F47" s="5" t="n">
        <f aca="false">SL_T(B47)</f>
        <v>1.30701432784134</v>
      </c>
      <c r="G47" s="5" t="s">
        <v>47</v>
      </c>
      <c r="H47" s="3" t="s">
        <v>103</v>
      </c>
    </row>
    <row r="48" s="4" customFormat="true" ht="12.75" hidden="false" customHeight="false" outlineLevel="1" collapsed="false">
      <c r="A48" s="5" t="s">
        <v>106</v>
      </c>
      <c r="B48" s="3" t="n">
        <v>100</v>
      </c>
      <c r="C48" s="3" t="s">
        <v>12</v>
      </c>
      <c r="D48" s="3" t="n">
        <v>20</v>
      </c>
      <c r="E48" s="3" t="s">
        <v>10</v>
      </c>
      <c r="F48" s="5" t="n">
        <f aca="false">S_PT(B48,D48)</f>
        <v>0.29648292080641</v>
      </c>
      <c r="G48" s="5" t="s">
        <v>47</v>
      </c>
      <c r="H48" s="3" t="s">
        <v>107</v>
      </c>
    </row>
    <row r="49" s="4" customFormat="true" ht="12.75" hidden="false" customHeight="false" outlineLevel="1" collapsed="false">
      <c r="A49" s="5" t="s">
        <v>108</v>
      </c>
      <c r="B49" s="3" t="n">
        <v>100</v>
      </c>
      <c r="C49" s="3" t="s">
        <v>12</v>
      </c>
      <c r="D49" s="3" t="n">
        <f aca="false">F22</f>
        <v>84.0118111671364</v>
      </c>
      <c r="E49" s="3" t="s">
        <v>17</v>
      </c>
      <c r="F49" s="5" t="n">
        <f aca="false">S_PH(B49,D49)</f>
        <v>0.29681384467643</v>
      </c>
      <c r="G49" s="5" t="s">
        <v>47</v>
      </c>
      <c r="H49" s="3" t="s">
        <v>109</v>
      </c>
    </row>
    <row r="50" s="32" customFormat="true" ht="15" hidden="false" customHeight="false" outlineLevel="0" collapsed="false">
      <c r="A50" s="31" t="s">
        <v>110</v>
      </c>
      <c r="F50" s="33"/>
      <c r="G50" s="33"/>
    </row>
    <row r="51" s="4" customFormat="true" ht="12.75" hidden="false" customHeight="false" outlineLevel="1" collapsed="false">
      <c r="A51" s="5" t="s">
        <v>111</v>
      </c>
      <c r="B51" s="3" t="n">
        <v>100</v>
      </c>
      <c r="C51" s="3" t="s">
        <v>12</v>
      </c>
      <c r="D51" s="3"/>
      <c r="E51" s="3"/>
      <c r="F51" s="5" t="n">
        <f aca="false">UV_P(B51)</f>
        <v>2505.54738854188</v>
      </c>
      <c r="G51" s="5" t="s">
        <v>17</v>
      </c>
      <c r="H51" s="3" t="s">
        <v>112</v>
      </c>
    </row>
    <row r="52" s="4" customFormat="true" ht="12.75" hidden="false" customHeight="false" outlineLevel="1" collapsed="false">
      <c r="A52" s="5" t="s">
        <v>113</v>
      </c>
      <c r="B52" s="3" t="n">
        <v>100</v>
      </c>
      <c r="C52" s="3" t="s">
        <v>12</v>
      </c>
      <c r="D52" s="3"/>
      <c r="E52" s="3"/>
      <c r="F52" s="5" t="n">
        <f aca="false">UL_P(B52)</f>
        <v>417.332171032316</v>
      </c>
      <c r="G52" s="5" t="s">
        <v>17</v>
      </c>
      <c r="H52" s="3" t="s">
        <v>114</v>
      </c>
    </row>
    <row r="53" s="4" customFormat="true" ht="12.75" hidden="false" customHeight="false" outlineLevel="1" collapsed="false">
      <c r="A53" s="5" t="s">
        <v>115</v>
      </c>
      <c r="B53" s="3" t="n">
        <v>100</v>
      </c>
      <c r="C53" s="3" t="s">
        <v>10</v>
      </c>
      <c r="D53" s="3"/>
      <c r="E53" s="3"/>
      <c r="F53" s="5" t="n">
        <f aca="false">UV_T(B53)</f>
        <v>2506.01530769157</v>
      </c>
      <c r="G53" s="5" t="s">
        <v>17</v>
      </c>
      <c r="H53" s="3" t="s">
        <v>112</v>
      </c>
    </row>
    <row r="54" s="4" customFormat="true" ht="12.75" hidden="false" customHeight="false" outlineLevel="1" collapsed="false">
      <c r="A54" s="5" t="s">
        <v>116</v>
      </c>
      <c r="B54" s="3" t="n">
        <v>100</v>
      </c>
      <c r="C54" s="3" t="s">
        <v>10</v>
      </c>
      <c r="D54" s="3"/>
      <c r="E54" s="3"/>
      <c r="F54" s="5" t="n">
        <f aca="false">UL_T(B54)</f>
        <v>418.993329855243</v>
      </c>
      <c r="G54" s="5" t="s">
        <v>17</v>
      </c>
      <c r="H54" s="3" t="s">
        <v>114</v>
      </c>
    </row>
    <row r="55" s="4" customFormat="true" ht="12.75" hidden="false" customHeight="false" outlineLevel="1" collapsed="false">
      <c r="A55" s="5" t="s">
        <v>117</v>
      </c>
      <c r="B55" s="3" t="n">
        <v>100</v>
      </c>
      <c r="C55" s="3" t="s">
        <v>12</v>
      </c>
      <c r="D55" s="3" t="n">
        <v>100</v>
      </c>
      <c r="E55" s="3" t="s">
        <v>10</v>
      </c>
      <c r="F55" s="5" t="n">
        <f aca="false">U_PT(B55,D55)</f>
        <v>2506.17142646601</v>
      </c>
      <c r="G55" s="5" t="s">
        <v>17</v>
      </c>
      <c r="H55" s="3" t="s">
        <v>118</v>
      </c>
    </row>
    <row r="56" s="4" customFormat="true" ht="12.75" hidden="false" customHeight="false" outlineLevel="1" collapsed="false">
      <c r="A56" s="5" t="s">
        <v>119</v>
      </c>
      <c r="B56" s="3" t="n">
        <v>100</v>
      </c>
      <c r="C56" s="3" t="s">
        <v>12</v>
      </c>
      <c r="D56" s="3" t="n">
        <v>1000</v>
      </c>
      <c r="E56" s="3" t="s">
        <v>17</v>
      </c>
      <c r="F56" s="5" t="n">
        <f aca="false">U_PH(B56,D56)</f>
        <v>956.207434187014</v>
      </c>
      <c r="G56" s="5" t="s">
        <v>17</v>
      </c>
      <c r="H56" s="3" t="s">
        <v>120</v>
      </c>
    </row>
    <row r="57" s="4" customFormat="true" ht="12.75" hidden="false" customHeight="false" outlineLevel="1" collapsed="false">
      <c r="A57" s="5" t="s">
        <v>121</v>
      </c>
      <c r="B57" s="3" t="n">
        <v>100</v>
      </c>
      <c r="C57" s="3" t="s">
        <v>12</v>
      </c>
      <c r="D57" s="3" t="n">
        <v>1</v>
      </c>
      <c r="E57" s="3" t="s">
        <v>47</v>
      </c>
      <c r="F57" s="5" t="n">
        <f aca="false">U_PS(B57,D57)</f>
        <v>308.508218545684</v>
      </c>
      <c r="G57" s="5" t="s">
        <v>17</v>
      </c>
      <c r="H57" s="3" t="s">
        <v>122</v>
      </c>
    </row>
    <row r="58" s="32" customFormat="true" ht="15" hidden="false" customHeight="false" outlineLevel="0" collapsed="false">
      <c r="A58" s="31" t="s">
        <v>123</v>
      </c>
      <c r="F58" s="33"/>
      <c r="G58" s="33"/>
    </row>
    <row r="59" s="4" customFormat="true" ht="12.75" hidden="false" customHeight="false" outlineLevel="1" collapsed="false">
      <c r="A59" s="5" t="s">
        <v>124</v>
      </c>
      <c r="B59" s="3" t="n">
        <v>100</v>
      </c>
      <c r="C59" s="3" t="s">
        <v>12</v>
      </c>
      <c r="D59" s="3"/>
      <c r="E59" s="3"/>
      <c r="F59" s="5" t="n">
        <f aca="false">CPV_P(B59)</f>
        <v>2.07593802520444</v>
      </c>
      <c r="G59" s="5" t="s">
        <v>125</v>
      </c>
      <c r="H59" s="3" t="s">
        <v>126</v>
      </c>
    </row>
    <row r="60" s="4" customFormat="true" ht="12.75" hidden="false" customHeight="false" outlineLevel="1" collapsed="false">
      <c r="A60" s="5" t="s">
        <v>127</v>
      </c>
      <c r="B60" s="3" t="n">
        <v>100</v>
      </c>
      <c r="C60" s="3" t="s">
        <v>12</v>
      </c>
      <c r="D60" s="3"/>
      <c r="E60" s="3"/>
      <c r="F60" s="5" t="n">
        <f aca="false">CPL_P(B60)</f>
        <v>4.21614943083875</v>
      </c>
      <c r="G60" s="5" t="s">
        <v>125</v>
      </c>
      <c r="H60" s="3" t="s">
        <v>128</v>
      </c>
    </row>
    <row r="61" s="4" customFormat="true" ht="12.75" hidden="false" customHeight="false" outlineLevel="1" collapsed="false">
      <c r="A61" s="5" t="s">
        <v>129</v>
      </c>
      <c r="B61" s="3" t="n">
        <v>100</v>
      </c>
      <c r="C61" s="3" t="s">
        <v>10</v>
      </c>
      <c r="D61" s="3"/>
      <c r="E61" s="3"/>
      <c r="F61" s="5" t="n">
        <f aca="false">CPV_T(B61)</f>
        <v>2.07749186848227</v>
      </c>
      <c r="G61" s="5" t="s">
        <v>125</v>
      </c>
      <c r="H61" s="3" t="s">
        <v>126</v>
      </c>
    </row>
    <row r="62" s="4" customFormat="true" ht="12.75" hidden="false" customHeight="false" outlineLevel="1" collapsed="false">
      <c r="A62" s="5" t="s">
        <v>130</v>
      </c>
      <c r="B62" s="3" t="n">
        <v>100</v>
      </c>
      <c r="C62" s="3" t="s">
        <v>10</v>
      </c>
      <c r="D62" s="3"/>
      <c r="E62" s="3"/>
      <c r="F62" s="5" t="n">
        <f aca="false">CPL_T(B62)</f>
        <v>4.21664511892358</v>
      </c>
      <c r="G62" s="5" t="s">
        <v>125</v>
      </c>
      <c r="H62" s="3" t="s">
        <v>128</v>
      </c>
    </row>
    <row r="63" s="4" customFormat="true" ht="12.75" hidden="false" customHeight="false" outlineLevel="1" collapsed="false">
      <c r="A63" s="5" t="s">
        <v>131</v>
      </c>
      <c r="B63" s="3" t="n">
        <v>100</v>
      </c>
      <c r="C63" s="3" t="s">
        <v>12</v>
      </c>
      <c r="D63" s="3" t="n">
        <v>100</v>
      </c>
      <c r="E63" s="3" t="s">
        <v>10</v>
      </c>
      <c r="F63" s="5" t="n">
        <f aca="false">CP_PT(B63,D63)</f>
        <v>2.07410855458011</v>
      </c>
      <c r="G63" s="5" t="s">
        <v>125</v>
      </c>
      <c r="H63" s="3" t="s">
        <v>132</v>
      </c>
    </row>
    <row r="64" s="4" customFormat="true" ht="12.75" hidden="false" customHeight="false" outlineLevel="1" collapsed="false">
      <c r="A64" s="5" t="s">
        <v>133</v>
      </c>
      <c r="B64" s="3" t="n">
        <v>100</v>
      </c>
      <c r="C64" s="3" t="s">
        <v>12</v>
      </c>
      <c r="D64" s="3" t="n">
        <v>200</v>
      </c>
      <c r="E64" s="3" t="s">
        <v>17</v>
      </c>
      <c r="F64" s="5" t="n">
        <f aca="false">CP_PH(B64,D64)</f>
        <v>4.17913573168802</v>
      </c>
      <c r="G64" s="5" t="s">
        <v>125</v>
      </c>
      <c r="H64" s="3" t="s">
        <v>134</v>
      </c>
    </row>
    <row r="65" s="4" customFormat="true" ht="12.75" hidden="false" customHeight="false" outlineLevel="1" collapsed="false">
      <c r="A65" s="5" t="s">
        <v>135</v>
      </c>
      <c r="B65" s="3" t="n">
        <v>100</v>
      </c>
      <c r="C65" s="3" t="s">
        <v>12</v>
      </c>
      <c r="D65" s="3" t="n">
        <v>1</v>
      </c>
      <c r="E65" s="3" t="s">
        <v>47</v>
      </c>
      <c r="F65" s="5" t="n">
        <f aca="false">CP_PS(B65,D65)</f>
        <v>4.19060703790129</v>
      </c>
      <c r="G65" s="5" t="s">
        <v>125</v>
      </c>
      <c r="H65" s="3" t="s">
        <v>136</v>
      </c>
    </row>
    <row r="66" s="32" customFormat="true" ht="15" hidden="false" customHeight="false" outlineLevel="0" collapsed="false">
      <c r="A66" s="31" t="s">
        <v>137</v>
      </c>
      <c r="F66" s="33"/>
      <c r="G66" s="33"/>
    </row>
    <row r="67" s="4" customFormat="true" ht="12.75" hidden="false" customHeight="false" outlineLevel="1" collapsed="false">
      <c r="A67" s="5" t="s">
        <v>138</v>
      </c>
      <c r="B67" s="3" t="n">
        <v>100</v>
      </c>
      <c r="C67" s="3" t="s">
        <v>12</v>
      </c>
      <c r="D67" s="3"/>
      <c r="E67" s="3"/>
      <c r="F67" s="5" t="n">
        <f aca="false">CVV_P(B67)</f>
        <v>1.5526969793308</v>
      </c>
      <c r="G67" s="5" t="s">
        <v>125</v>
      </c>
      <c r="H67" s="3" t="s">
        <v>139</v>
      </c>
    </row>
    <row r="68" s="4" customFormat="true" ht="12.75" hidden="false" customHeight="false" outlineLevel="1" collapsed="false">
      <c r="A68" s="5" t="s">
        <v>140</v>
      </c>
      <c r="B68" s="3" t="n">
        <v>100</v>
      </c>
      <c r="C68" s="3" t="s">
        <v>12</v>
      </c>
      <c r="D68" s="3"/>
      <c r="E68" s="3"/>
      <c r="F68" s="5" t="n">
        <f aca="false">CVL_P(B68)</f>
        <v>3.7696996827335</v>
      </c>
      <c r="G68" s="5" t="s">
        <v>125</v>
      </c>
      <c r="H68" s="3" t="s">
        <v>141</v>
      </c>
    </row>
    <row r="69" s="4" customFormat="true" ht="12.75" hidden="false" customHeight="false" outlineLevel="1" collapsed="false">
      <c r="A69" s="5" t="s">
        <v>142</v>
      </c>
      <c r="B69" s="3" t="n">
        <v>100</v>
      </c>
      <c r="C69" s="3" t="s">
        <v>10</v>
      </c>
      <c r="D69" s="3"/>
      <c r="E69" s="3"/>
      <c r="F69" s="5" t="n">
        <f aca="false">CVV_T(B69)</f>
        <v>1.55369869603451</v>
      </c>
      <c r="G69" s="5" t="s">
        <v>125</v>
      </c>
      <c r="H69" s="3" t="s">
        <v>139</v>
      </c>
    </row>
    <row r="70" s="4" customFormat="true" ht="12.75" hidden="false" customHeight="false" outlineLevel="1" collapsed="false">
      <c r="A70" s="5" t="s">
        <v>143</v>
      </c>
      <c r="B70" s="3" t="n">
        <v>100</v>
      </c>
      <c r="C70" s="3" t="s">
        <v>10</v>
      </c>
      <c r="D70" s="3"/>
      <c r="E70" s="3"/>
      <c r="F70" s="5" t="n">
        <f aca="false">CVL_T(B70)</f>
        <v>3.76770022014275</v>
      </c>
      <c r="G70" s="5" t="s">
        <v>125</v>
      </c>
      <c r="H70" s="3" t="s">
        <v>141</v>
      </c>
    </row>
    <row r="71" s="4" customFormat="true" ht="12.75" hidden="false" customHeight="false" outlineLevel="1" collapsed="false">
      <c r="A71" s="5" t="s">
        <v>144</v>
      </c>
      <c r="B71" s="3" t="n">
        <v>100</v>
      </c>
      <c r="C71" s="3" t="s">
        <v>12</v>
      </c>
      <c r="D71" s="3" t="n">
        <v>100</v>
      </c>
      <c r="E71" s="3" t="s">
        <v>10</v>
      </c>
      <c r="F71" s="5" t="n">
        <f aca="false">CV_PT(B71,D71)</f>
        <v>1.55139724946449</v>
      </c>
      <c r="G71" s="5" t="s">
        <v>125</v>
      </c>
      <c r="H71" s="3" t="s">
        <v>145</v>
      </c>
    </row>
    <row r="72" s="4" customFormat="true" ht="12.75" hidden="false" customHeight="false" outlineLevel="1" collapsed="false">
      <c r="A72" s="5" t="s">
        <v>146</v>
      </c>
      <c r="B72" s="3" t="n">
        <v>0.0001</v>
      </c>
      <c r="C72" s="3" t="s">
        <v>12</v>
      </c>
      <c r="D72" s="3" t="n">
        <v>200</v>
      </c>
      <c r="E72" s="3" t="s">
        <v>17</v>
      </c>
      <c r="F72" s="5" t="n">
        <f aca="false">CV_PH(B72,D72)</f>
        <v>2015</v>
      </c>
      <c r="G72" s="5" t="s">
        <v>125</v>
      </c>
      <c r="H72" s="3" t="s">
        <v>147</v>
      </c>
    </row>
    <row r="73" s="4" customFormat="true" ht="12.75" hidden="false" customHeight="false" outlineLevel="1" collapsed="false">
      <c r="A73" s="5" t="s">
        <v>148</v>
      </c>
      <c r="B73" s="3" t="n">
        <v>100</v>
      </c>
      <c r="C73" s="3" t="s">
        <v>12</v>
      </c>
      <c r="D73" s="3" t="n">
        <v>1</v>
      </c>
      <c r="E73" s="3" t="s">
        <v>47</v>
      </c>
      <c r="F73" s="5" t="n">
        <f aca="false">CV_PS(B73,D73)</f>
        <v>3.90291946811366</v>
      </c>
      <c r="G73" s="5" t="s">
        <v>125</v>
      </c>
      <c r="H73" s="3" t="s">
        <v>149</v>
      </c>
    </row>
    <row r="74" s="32" customFormat="true" ht="15" hidden="false" customHeight="false" outlineLevel="0" collapsed="false">
      <c r="A74" s="31" t="s">
        <v>150</v>
      </c>
      <c r="F74" s="33"/>
      <c r="G74" s="33"/>
    </row>
    <row r="75" s="4" customFormat="true" ht="12.75" hidden="false" customHeight="false" outlineLevel="1" collapsed="false">
      <c r="A75" s="5" t="s">
        <v>151</v>
      </c>
      <c r="B75" s="3" t="n">
        <v>100</v>
      </c>
      <c r="C75" s="3" t="s">
        <v>12</v>
      </c>
      <c r="D75" s="3"/>
      <c r="E75" s="3"/>
      <c r="F75" s="5" t="n">
        <f aca="false">WV_P(B75)</f>
        <v>472.054157106048</v>
      </c>
      <c r="G75" s="5" t="s">
        <v>36</v>
      </c>
      <c r="H75" s="3" t="s">
        <v>152</v>
      </c>
    </row>
    <row r="76" s="4" customFormat="true" ht="12.75" hidden="false" customHeight="false" outlineLevel="1" collapsed="false">
      <c r="A76" s="5" t="s">
        <v>153</v>
      </c>
      <c r="B76" s="3" t="n">
        <v>100</v>
      </c>
      <c r="C76" s="3" t="s">
        <v>12</v>
      </c>
      <c r="D76" s="3"/>
      <c r="E76" s="3"/>
      <c r="F76" s="5" t="n">
        <f aca="false">WL_P(B76)</f>
        <v>1545.45194753397</v>
      </c>
      <c r="G76" s="5" t="s">
        <v>36</v>
      </c>
      <c r="H76" s="3" t="s">
        <v>154</v>
      </c>
    </row>
    <row r="77" s="4" customFormat="true" ht="12.75" hidden="false" customHeight="false" outlineLevel="1" collapsed="false">
      <c r="A77" s="5" t="s">
        <v>155</v>
      </c>
      <c r="B77" s="3" t="n">
        <v>100</v>
      </c>
      <c r="C77" s="3" t="s">
        <v>10</v>
      </c>
      <c r="D77" s="3"/>
      <c r="E77" s="3"/>
      <c r="F77" s="5" t="n">
        <f aca="false">WV_T(B77)</f>
        <v>472.255949238944</v>
      </c>
      <c r="G77" s="5" t="s">
        <v>36</v>
      </c>
      <c r="H77" s="3" t="s">
        <v>152</v>
      </c>
    </row>
    <row r="78" s="4" customFormat="true" ht="12.75" hidden="false" customHeight="false" outlineLevel="1" collapsed="false">
      <c r="A78" s="5" t="s">
        <v>156</v>
      </c>
      <c r="B78" s="3" t="n">
        <v>100</v>
      </c>
      <c r="C78" s="3" t="s">
        <v>10</v>
      </c>
      <c r="D78" s="3"/>
      <c r="E78" s="3"/>
      <c r="F78" s="5" t="n">
        <f aca="false">WL_T(B78)</f>
        <v>1545.09224919387</v>
      </c>
      <c r="G78" s="5" t="s">
        <v>36</v>
      </c>
      <c r="H78" s="3" t="s">
        <v>154</v>
      </c>
    </row>
    <row r="79" s="4" customFormat="true" ht="12.75" hidden="false" customHeight="false" outlineLevel="1" collapsed="false">
      <c r="A79" s="5" t="s">
        <v>157</v>
      </c>
      <c r="B79" s="3" t="n">
        <v>100</v>
      </c>
      <c r="C79" s="3" t="s">
        <v>12</v>
      </c>
      <c r="D79" s="3" t="n">
        <v>100</v>
      </c>
      <c r="E79" s="3" t="s">
        <v>10</v>
      </c>
      <c r="F79" s="5" t="n">
        <f aca="false">W_PT(B79,D79)</f>
        <v>472.337523524855</v>
      </c>
      <c r="G79" s="5" t="s">
        <v>36</v>
      </c>
      <c r="H79" s="3" t="s">
        <v>158</v>
      </c>
    </row>
    <row r="80" s="4" customFormat="true" ht="12.75" hidden="false" customHeight="false" outlineLevel="1" collapsed="false">
      <c r="A80" s="5" t="s">
        <v>159</v>
      </c>
      <c r="B80" s="3" t="n">
        <v>100</v>
      </c>
      <c r="C80" s="3" t="s">
        <v>12</v>
      </c>
      <c r="D80" s="3" t="n">
        <v>200</v>
      </c>
      <c r="E80" s="3" t="s">
        <v>17</v>
      </c>
      <c r="F80" s="5" t="n">
        <f aca="false">W_PH(B80,D80)</f>
        <v>1542.68247501147</v>
      </c>
      <c r="G80" s="5" t="s">
        <v>36</v>
      </c>
      <c r="H80" s="3" t="s">
        <v>160</v>
      </c>
    </row>
    <row r="81" s="4" customFormat="true" ht="12.75" hidden="false" customHeight="false" outlineLevel="1" collapsed="false">
      <c r="A81" s="5" t="s">
        <v>161</v>
      </c>
      <c r="B81" s="3" t="n">
        <v>100</v>
      </c>
      <c r="C81" s="3" t="s">
        <v>12</v>
      </c>
      <c r="D81" s="3" t="n">
        <v>1</v>
      </c>
      <c r="E81" s="3" t="s">
        <v>47</v>
      </c>
      <c r="F81" s="5" t="n">
        <f aca="false">W_PS(B81,D81)</f>
        <v>1557.85853553222</v>
      </c>
      <c r="G81" s="5" t="s">
        <v>36</v>
      </c>
      <c r="H81" s="3" t="s">
        <v>162</v>
      </c>
    </row>
    <row r="82" s="32" customFormat="true" ht="15" hidden="false" customHeight="false" outlineLevel="0" collapsed="false">
      <c r="A82" s="31" t="s">
        <v>163</v>
      </c>
      <c r="F82" s="33"/>
      <c r="G82" s="33"/>
    </row>
    <row r="83" s="4" customFormat="true" ht="11.25" hidden="false" customHeight="false" outlineLevel="1" collapsed="false">
      <c r="A83" s="4" t="s">
        <v>164</v>
      </c>
      <c r="F83" s="30"/>
      <c r="G83" s="30"/>
    </row>
    <row r="84" s="4" customFormat="true" ht="11.25" hidden="false" customHeight="false" outlineLevel="1" collapsed="false">
      <c r="A84" s="4" t="s">
        <v>165</v>
      </c>
      <c r="F84" s="30"/>
      <c r="G84" s="30"/>
    </row>
    <row r="85" s="4" customFormat="true" ht="12.75" hidden="false" customHeight="false" outlineLevel="1" collapsed="false">
      <c r="A85" s="5" t="s">
        <v>166</v>
      </c>
      <c r="B85" s="3" t="n">
        <v>100</v>
      </c>
      <c r="C85" s="3" t="s">
        <v>12</v>
      </c>
      <c r="D85" s="3" t="n">
        <v>100</v>
      </c>
      <c r="E85" s="3" t="s">
        <v>10</v>
      </c>
      <c r="F85" s="5" t="n">
        <f aca="false">MY_PT(B85,D85)</f>
        <v>1.22704057071965E-005</v>
      </c>
      <c r="G85" s="5" t="s">
        <v>167</v>
      </c>
      <c r="H85" s="3" t="s">
        <v>168</v>
      </c>
    </row>
    <row r="86" s="4" customFormat="true" ht="12.75" hidden="false" customHeight="false" outlineLevel="1" collapsed="false">
      <c r="A86" s="5" t="s">
        <v>169</v>
      </c>
      <c r="B86" s="3" t="n">
        <v>100</v>
      </c>
      <c r="C86" s="3" t="s">
        <v>12</v>
      </c>
      <c r="D86" s="3" t="n">
        <v>100</v>
      </c>
      <c r="E86" s="3" t="s">
        <v>17</v>
      </c>
      <c r="F86" s="34" t="n">
        <f aca="false">MY_PH(B86,D86)</f>
        <v>0.000914003770302112</v>
      </c>
      <c r="G86" s="5" t="s">
        <v>167</v>
      </c>
      <c r="H86" s="3" t="s">
        <v>170</v>
      </c>
    </row>
    <row r="87" s="4" customFormat="true" ht="12.75" hidden="false" customHeight="false" outlineLevel="1" collapsed="false">
      <c r="A87" s="5" t="s">
        <v>171</v>
      </c>
      <c r="B87" s="3" t="n">
        <v>100</v>
      </c>
      <c r="C87" s="3" t="s">
        <v>12</v>
      </c>
      <c r="D87" s="3" t="n">
        <v>1</v>
      </c>
      <c r="E87" s="3" t="s">
        <v>47</v>
      </c>
      <c r="F87" s="34" t="n">
        <f aca="false">MY_PS(B87,D87)</f>
        <v>0.000384221865647568</v>
      </c>
      <c r="G87" s="5" t="s">
        <v>167</v>
      </c>
      <c r="H87" s="3" t="s">
        <v>172</v>
      </c>
    </row>
    <row r="88" customFormat="false" ht="18" hidden="false" customHeight="false" outlineLevel="0" collapsed="false">
      <c r="A88" s="2" t="s">
        <v>173</v>
      </c>
      <c r="F88" s="34"/>
      <c r="H88" s="35"/>
      <c r="I88" s="9"/>
      <c r="J88" s="9"/>
      <c r="K88" s="9"/>
      <c r="L88" s="9"/>
      <c r="M88" s="9"/>
    </row>
    <row r="89" customFormat="false" ht="12.75" hidden="false" customHeight="false" outlineLevel="1" collapsed="false">
      <c r="A89" s="4" t="s">
        <v>174</v>
      </c>
      <c r="F89" s="34"/>
      <c r="H89" s="35"/>
      <c r="I89" s="9"/>
      <c r="J89" s="9"/>
      <c r="K89" s="9"/>
      <c r="L89" s="9"/>
      <c r="M89" s="9"/>
    </row>
    <row r="90" customFormat="false" ht="12.75" hidden="false" customHeight="false" outlineLevel="1" collapsed="false">
      <c r="A90" s="5" t="s">
        <v>175</v>
      </c>
      <c r="B90" s="3" t="n">
        <v>100</v>
      </c>
      <c r="C90" s="3" t="s">
        <v>12</v>
      </c>
      <c r="D90" s="1" t="n">
        <v>200</v>
      </c>
      <c r="E90" s="1" t="s">
        <v>10</v>
      </c>
      <c r="F90" s="34" t="n">
        <f aca="false">PR_PT(B90,D90)</f>
        <v>0.957808214385887</v>
      </c>
      <c r="G90" s="5" t="s">
        <v>176</v>
      </c>
      <c r="H90" s="35"/>
      <c r="I90" s="9"/>
      <c r="J90" s="9"/>
      <c r="K90" s="9"/>
      <c r="L90" s="9"/>
      <c r="M90" s="9"/>
    </row>
    <row r="91" customFormat="false" ht="12.75" hidden="false" customHeight="false" outlineLevel="1" collapsed="false">
      <c r="A91" s="5" t="s">
        <v>177</v>
      </c>
      <c r="B91" s="3" t="n">
        <v>100</v>
      </c>
      <c r="C91" s="3" t="s">
        <v>12</v>
      </c>
      <c r="D91" s="1" t="n">
        <v>2875.4750649489</v>
      </c>
      <c r="E91" s="1" t="s">
        <v>17</v>
      </c>
      <c r="F91" s="34" t="n">
        <f aca="false">PR_PH(B91,D91)</f>
        <v>0.957808261483562</v>
      </c>
      <c r="G91" s="5" t="s">
        <v>176</v>
      </c>
      <c r="H91" s="35"/>
      <c r="I91" s="9"/>
      <c r="J91" s="9"/>
      <c r="K91" s="9"/>
      <c r="L91" s="9"/>
      <c r="M91" s="9"/>
    </row>
    <row r="92" s="32" customFormat="true" ht="15" hidden="false" customHeight="false" outlineLevel="0" collapsed="false">
      <c r="A92" s="31" t="s">
        <v>178</v>
      </c>
      <c r="F92" s="33"/>
      <c r="G92" s="33"/>
      <c r="H92" s="36"/>
      <c r="I92" s="36"/>
      <c r="J92" s="36"/>
      <c r="K92" s="36"/>
      <c r="L92" s="36"/>
      <c r="M92" s="36"/>
    </row>
    <row r="93" s="4" customFormat="true" ht="11.25" hidden="false" customHeight="false" outlineLevel="1" collapsed="false">
      <c r="A93" s="4" t="s">
        <v>179</v>
      </c>
      <c r="F93" s="30"/>
      <c r="G93" s="30"/>
    </row>
    <row r="94" s="4" customFormat="true" ht="12.75" hidden="false" customHeight="false" outlineLevel="1" collapsed="false">
      <c r="A94" s="5" t="s">
        <v>180</v>
      </c>
      <c r="B94" s="3" t="n">
        <v>100</v>
      </c>
      <c r="C94" s="3" t="s">
        <v>12</v>
      </c>
      <c r="D94" s="3"/>
      <c r="E94" s="3"/>
      <c r="F94" s="5" t="n">
        <f aca="false">TCL_P(B94)</f>
        <v>0.677593821766432</v>
      </c>
      <c r="G94" s="5" t="s">
        <v>181</v>
      </c>
      <c r="H94" s="3" t="s">
        <v>182</v>
      </c>
    </row>
    <row r="95" s="4" customFormat="true" ht="12.75" hidden="false" customHeight="false" outlineLevel="1" collapsed="false">
      <c r="A95" s="5" t="s">
        <v>183</v>
      </c>
      <c r="B95" s="3" t="n">
        <v>100</v>
      </c>
      <c r="C95" s="3" t="s">
        <v>12</v>
      </c>
      <c r="D95" s="3"/>
      <c r="E95" s="3"/>
      <c r="F95" s="5" t="n">
        <f aca="false">TCV_P(B95)</f>
        <v>0.0247536675923502</v>
      </c>
      <c r="G95" s="5" t="s">
        <v>181</v>
      </c>
      <c r="H95" s="3" t="s">
        <v>184</v>
      </c>
    </row>
    <row r="96" s="4" customFormat="true" ht="12.75" hidden="false" customHeight="false" outlineLevel="1" collapsed="false">
      <c r="A96" s="5" t="s">
        <v>185</v>
      </c>
      <c r="B96" s="3" t="n">
        <v>25</v>
      </c>
      <c r="C96" s="3" t="s">
        <v>10</v>
      </c>
      <c r="D96" s="3"/>
      <c r="E96" s="3"/>
      <c r="F96" s="5" t="n">
        <f aca="false">TCL_T(B96)</f>
        <v>0.607458161578871</v>
      </c>
      <c r="G96" s="5" t="s">
        <v>181</v>
      </c>
      <c r="H96" s="3" t="s">
        <v>182</v>
      </c>
    </row>
    <row r="97" s="4" customFormat="true" ht="12.75" hidden="false" customHeight="false" outlineLevel="1" collapsed="false">
      <c r="A97" s="5" t="s">
        <v>186</v>
      </c>
      <c r="B97" s="3" t="n">
        <v>25</v>
      </c>
      <c r="C97" s="3" t="s">
        <v>10</v>
      </c>
      <c r="D97" s="3"/>
      <c r="E97" s="3"/>
      <c r="F97" s="5" t="n">
        <f aca="false">TCV_T(B97)</f>
        <v>0.0183267228768631</v>
      </c>
      <c r="G97" s="5" t="s">
        <v>181</v>
      </c>
      <c r="H97" s="3" t="s">
        <v>184</v>
      </c>
    </row>
    <row r="98" s="4" customFormat="true" ht="12.75" hidden="false" customHeight="false" outlineLevel="1" collapsed="false">
      <c r="A98" s="5" t="s">
        <v>187</v>
      </c>
      <c r="B98" s="3" t="n">
        <v>100</v>
      </c>
      <c r="C98" s="3" t="s">
        <v>12</v>
      </c>
      <c r="D98" s="3" t="n">
        <v>25</v>
      </c>
      <c r="E98" s="3" t="s">
        <v>10</v>
      </c>
      <c r="F98" s="5" t="n">
        <f aca="false">TC_PT(B98,D98)</f>
        <v>0.607509806390758</v>
      </c>
      <c r="G98" s="5" t="s">
        <v>181</v>
      </c>
      <c r="H98" s="3" t="s">
        <v>188</v>
      </c>
    </row>
    <row r="99" s="4" customFormat="true" ht="12.75" hidden="false" customHeight="false" outlineLevel="1" collapsed="false">
      <c r="A99" s="5" t="s">
        <v>189</v>
      </c>
      <c r="B99" s="3" t="n">
        <v>100</v>
      </c>
      <c r="C99" s="3" t="s">
        <v>12</v>
      </c>
      <c r="D99" s="3" t="n">
        <v>100</v>
      </c>
      <c r="E99" s="3" t="s">
        <v>47</v>
      </c>
      <c r="F99" s="5" t="n">
        <f aca="false">TC_PH(B99,D99)</f>
        <v>0.605710062456013</v>
      </c>
      <c r="G99" s="5" t="s">
        <v>181</v>
      </c>
      <c r="H99" s="3" t="s">
        <v>190</v>
      </c>
    </row>
    <row r="100" s="4" customFormat="true" ht="12.75" hidden="false" customHeight="false" outlineLevel="1" collapsed="false">
      <c r="A100" s="5" t="s">
        <v>191</v>
      </c>
      <c r="B100" s="3" t="n">
        <v>100</v>
      </c>
      <c r="C100" s="3" t="s">
        <v>47</v>
      </c>
      <c r="D100" s="3" t="n">
        <v>0.34</v>
      </c>
      <c r="E100" s="3" t="s">
        <v>47</v>
      </c>
      <c r="F100" s="5" t="n">
        <f aca="false">TC_HS(B100,D100)</f>
        <v>0.606283123848912</v>
      </c>
      <c r="G100" s="5" t="s">
        <v>181</v>
      </c>
      <c r="H100" s="3" t="s">
        <v>192</v>
      </c>
    </row>
    <row r="101" s="4" customFormat="true" ht="15" hidden="false" customHeight="false" outlineLevel="0" collapsed="false">
      <c r="A101" s="31" t="s">
        <v>193</v>
      </c>
      <c r="B101" s="3"/>
      <c r="C101" s="3"/>
      <c r="D101" s="3"/>
      <c r="E101" s="3"/>
      <c r="F101" s="5"/>
      <c r="G101" s="5"/>
      <c r="H101" s="3"/>
    </row>
    <row r="102" s="4" customFormat="true" ht="11.25" hidden="false" customHeight="false" outlineLevel="1" collapsed="false">
      <c r="A102" s="4" t="s">
        <v>194</v>
      </c>
      <c r="F102" s="30"/>
      <c r="G102" s="30"/>
    </row>
    <row r="103" s="4" customFormat="true" ht="12.75" hidden="false" customHeight="false" outlineLevel="1" collapsed="false">
      <c r="A103" s="5" t="s">
        <v>195</v>
      </c>
      <c r="B103" s="3" t="n">
        <v>100</v>
      </c>
      <c r="C103" s="3" t="s">
        <v>10</v>
      </c>
      <c r="D103" s="3"/>
      <c r="E103" s="3"/>
      <c r="F103" s="5" t="n">
        <f aca="false">ST_T(B104)</f>
        <v>0.0589118685876641</v>
      </c>
      <c r="G103" s="5" t="s">
        <v>196</v>
      </c>
      <c r="H103" s="3" t="s">
        <v>197</v>
      </c>
    </row>
    <row r="104" s="4" customFormat="true" ht="12.75" hidden="false" customHeight="false" outlineLevel="1" collapsed="false">
      <c r="A104" s="5" t="s">
        <v>198</v>
      </c>
      <c r="B104" s="3" t="n">
        <v>100</v>
      </c>
      <c r="C104" s="3" t="s">
        <v>12</v>
      </c>
      <c r="D104" s="3"/>
      <c r="E104" s="3"/>
      <c r="F104" s="5" t="n">
        <f aca="false">ST_P(B104)</f>
        <v>0.0589877841808599</v>
      </c>
      <c r="G104" s="5" t="s">
        <v>196</v>
      </c>
      <c r="H104" s="3" t="s">
        <v>197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4" customFormat="true" ht="12.75" hidden="false" customHeight="false" outlineLevel="1" collapsed="false">
      <c r="A106" s="5" t="s">
        <v>199</v>
      </c>
      <c r="B106" s="3" t="n">
        <v>100</v>
      </c>
      <c r="C106" s="3" t="s">
        <v>12</v>
      </c>
      <c r="D106" s="3" t="n">
        <v>1000</v>
      </c>
      <c r="E106" s="3" t="s">
        <v>17</v>
      </c>
      <c r="F106" s="5" t="n">
        <f aca="false">X_PH(B106,D106)</f>
        <v>0.258055423902795</v>
      </c>
      <c r="G106" s="5"/>
      <c r="H106" s="3" t="s">
        <v>200</v>
      </c>
    </row>
    <row r="107" s="4" customFormat="true" ht="12.75" hidden="false" customHeight="false" outlineLevel="1" collapsed="false">
      <c r="A107" s="5" t="s">
        <v>201</v>
      </c>
      <c r="B107" s="3" t="n">
        <v>100</v>
      </c>
      <c r="C107" s="3" t="s">
        <v>12</v>
      </c>
      <c r="D107" s="3" t="n">
        <v>4</v>
      </c>
      <c r="E107" s="3" t="s">
        <v>47</v>
      </c>
      <c r="F107" s="5" t="n">
        <f aca="false">X_PS(B107,D107)</f>
        <v>0.44539796073232</v>
      </c>
      <c r="G107" s="5"/>
      <c r="H107" s="3" t="s">
        <v>202</v>
      </c>
    </row>
    <row r="108" s="32" customFormat="true" ht="15" hidden="false" customHeight="false" outlineLevel="0" collapsed="false">
      <c r="A108" s="31" t="s">
        <v>203</v>
      </c>
      <c r="F108" s="33"/>
      <c r="G108" s="33"/>
    </row>
    <row r="109" s="4" customFormat="true" ht="11.25" hidden="false" customHeight="false" outlineLevel="1" collapsed="false">
      <c r="A109" s="4" t="s">
        <v>204</v>
      </c>
      <c r="F109" s="30"/>
      <c r="G109" s="30"/>
    </row>
    <row r="110" s="4" customFormat="true" ht="11.25" hidden="false" customHeight="false" outlineLevel="1" collapsed="false">
      <c r="A110" s="4" t="s">
        <v>205</v>
      </c>
      <c r="F110" s="30"/>
      <c r="G110" s="30"/>
    </row>
    <row r="111" s="4" customFormat="true" ht="12.75" hidden="false" customHeight="false" outlineLevel="1" collapsed="false">
      <c r="A111" s="5" t="s">
        <v>206</v>
      </c>
      <c r="B111" s="3" t="n">
        <v>100</v>
      </c>
      <c r="C111" s="3" t="s">
        <v>12</v>
      </c>
      <c r="D111" s="3" t="n">
        <v>418</v>
      </c>
      <c r="E111" s="3" t="s">
        <v>17</v>
      </c>
      <c r="F111" s="37" t="n">
        <f aca="false">VX_PH(B111,D111)</f>
        <v>0.288493093437067</v>
      </c>
      <c r="G111" s="5"/>
      <c r="H111" s="3" t="s">
        <v>207</v>
      </c>
    </row>
    <row r="112" s="4" customFormat="true" ht="12.75" hidden="false" customHeight="false" outlineLevel="1" collapsed="false">
      <c r="A112" s="5" t="s">
        <v>208</v>
      </c>
      <c r="B112" s="3" t="n">
        <v>100</v>
      </c>
      <c r="C112" s="3" t="s">
        <v>12</v>
      </c>
      <c r="D112" s="3" t="n">
        <v>4</v>
      </c>
      <c r="E112" s="3" t="s">
        <v>47</v>
      </c>
      <c r="F112" s="37" t="n">
        <f aca="false">VX_PS(B112,D112)</f>
        <v>0.99923382663888</v>
      </c>
      <c r="G112" s="5"/>
      <c r="H112" s="3" t="s">
        <v>209</v>
      </c>
    </row>
    <row r="113" s="4" customFormat="true" ht="11.25" hidden="false" customHeight="false" outlineLevel="0" collapsed="false">
      <c r="F113" s="30"/>
      <c r="G113" s="30"/>
    </row>
    <row r="114" customFormat="false" ht="15" hidden="false" customHeight="false" outlineLevel="0" collapsed="false">
      <c r="A114" s="31" t="s">
        <v>210</v>
      </c>
    </row>
    <row r="115" customFormat="false" ht="12.75" hidden="false" customHeight="false" outlineLevel="0" collapsed="false">
      <c r="A115" s="30" t="s">
        <v>211</v>
      </c>
    </row>
    <row r="116" customFormat="false" ht="12.75" hidden="false" customHeight="false" outlineLevel="0" collapsed="false">
      <c r="A116" s="4" t="s">
        <v>212</v>
      </c>
    </row>
    <row r="117" customFormat="false" ht="12.75" hidden="false" customHeight="false" outlineLevel="0" collapsed="false">
      <c r="A117" s="4" t="s">
        <v>213</v>
      </c>
    </row>
    <row r="118" customFormat="false" ht="12.75" hidden="false" customHeight="false" outlineLevel="0" collapsed="false">
      <c r="A118" s="4" t="s">
        <v>214</v>
      </c>
    </row>
    <row r="119" customFormat="false" ht="12.75" hidden="false" customHeight="false" outlineLevel="0" collapsed="false">
      <c r="A119" s="30" t="s">
        <v>215</v>
      </c>
    </row>
    <row r="120" customFormat="false" ht="12.75" hidden="false" customHeight="false" outlineLevel="0" collapsed="false">
      <c r="A120" s="4" t="s">
        <v>216</v>
      </c>
    </row>
    <row r="121" customFormat="false" ht="12.75" hidden="false" customHeight="false" outlineLevel="0" collapsed="false">
      <c r="A121" s="30" t="s">
        <v>217</v>
      </c>
    </row>
    <row r="122" customFormat="false" ht="12.75" hidden="false" customHeight="false" outlineLevel="0" collapsed="false">
      <c r="A122" s="4" t="s">
        <v>218</v>
      </c>
    </row>
    <row r="123" customFormat="false" ht="12.75" hidden="false" customHeight="false" outlineLevel="0" collapsed="false">
      <c r="A123" s="4" t="s">
        <v>219</v>
      </c>
    </row>
    <row r="124" customFormat="false" ht="10.9" hidden="false" customHeight="true" outlineLevel="0" collapsed="false">
      <c r="A124" s="4" t="s">
        <v>220</v>
      </c>
    </row>
    <row r="125" customFormat="false" ht="11.45" hidden="false" customHeight="true" outlineLevel="0" collapsed="false">
      <c r="A125" s="4" t="s">
        <v>221</v>
      </c>
    </row>
    <row r="126" customFormat="false" ht="11.45" hidden="false" customHeight="true" outlineLevel="0" collapsed="false">
      <c r="A126" s="30" t="s">
        <v>222</v>
      </c>
    </row>
    <row r="127" customFormat="false" ht="12.75" hidden="false" customHeight="false" outlineLevel="0" collapsed="false">
      <c r="A127" s="4" t="s">
        <v>223</v>
      </c>
    </row>
    <row r="128" customFormat="false" ht="12.75" hidden="false" customHeight="false" outlineLevel="0" collapsed="false">
      <c r="A128" s="4" t="s">
        <v>224</v>
      </c>
    </row>
    <row r="129" customFormat="false" ht="12.75" hidden="false" customHeight="false" outlineLevel="0" collapsed="false">
      <c r="A129" s="4" t="s">
        <v>225</v>
      </c>
    </row>
    <row r="130" customFormat="false" ht="12.75" hidden="false" customHeight="false" outlineLevel="0" collapsed="false">
      <c r="A130" s="4" t="s">
        <v>226</v>
      </c>
    </row>
    <row r="131" customFormat="false" ht="12.75" hidden="false" customHeight="false" outlineLevel="0" collapsed="false">
      <c r="A131" s="4" t="s">
        <v>227</v>
      </c>
    </row>
    <row r="132" customFormat="false" ht="12.75" hidden="false" customHeight="false" outlineLevel="0" collapsed="false">
      <c r="A132" s="30" t="s">
        <v>228</v>
      </c>
    </row>
    <row r="133" customFormat="false" ht="12.75" hidden="false" customHeight="false" outlineLevel="0" collapsed="false">
      <c r="A133" s="4" t="s">
        <v>224</v>
      </c>
    </row>
    <row r="134" customFormat="false" ht="12.75" hidden="false" customHeight="false" outlineLevel="0" collapsed="false">
      <c r="A134" s="4" t="s">
        <v>229</v>
      </c>
    </row>
    <row r="135" customFormat="false" ht="12.75" hidden="false" customHeight="false" outlineLevel="0" collapsed="false">
      <c r="A135" s="4" t="s">
        <v>230</v>
      </c>
    </row>
    <row r="136" customFormat="false" ht="12.75" hidden="false" customHeight="false" outlineLevel="0" collapsed="false">
      <c r="A136" s="4" t="s">
        <v>231</v>
      </c>
    </row>
    <row r="137" customFormat="false" ht="12.75" hidden="false" customHeight="false" outlineLevel="0" collapsed="false">
      <c r="A137" s="4" t="s">
        <v>232</v>
      </c>
    </row>
    <row r="138" customFormat="false" ht="12.75" hidden="false" customHeight="false" outlineLevel="0" collapsed="false">
      <c r="A138" s="30" t="s">
        <v>233</v>
      </c>
    </row>
    <row r="139" customFormat="false" ht="12.75" hidden="false" customHeight="false" outlineLevel="0" collapsed="false">
      <c r="A139" s="4" t="s">
        <v>234</v>
      </c>
    </row>
    <row r="140" customFormat="false" ht="12.75" hidden="false" customHeight="false" outlineLevel="0" collapsed="false">
      <c r="A140" s="4" t="s">
        <v>235</v>
      </c>
    </row>
    <row r="141" customFormat="false" ht="12.75" hidden="false" customHeight="false" outlineLevel="0" collapsed="false">
      <c r="A141" s="4" t="s">
        <v>236</v>
      </c>
    </row>
    <row r="142" customFormat="false" ht="12.75" hidden="false" customHeight="false" outlineLevel="0" collapsed="false">
      <c r="A142" s="30" t="s">
        <v>237</v>
      </c>
    </row>
    <row r="143" customFormat="false" ht="12.75" hidden="false" customHeight="false" outlineLevel="0" collapsed="false">
      <c r="A143" s="4" t="s">
        <v>238</v>
      </c>
    </row>
    <row r="144" customFormat="false" ht="12.75" hidden="false" customHeight="false" outlineLevel="0" collapsed="false">
      <c r="A144" s="4" t="s">
        <v>239</v>
      </c>
    </row>
    <row r="145" customFormat="false" ht="12.75" hidden="false" customHeight="false" outlineLevel="0" collapsed="false">
      <c r="A145" s="4" t="s">
        <v>240</v>
      </c>
    </row>
    <row r="146" customFormat="false" ht="12.75" hidden="false" customHeight="false" outlineLevel="0" collapsed="false">
      <c r="A146" s="4" t="s">
        <v>241</v>
      </c>
    </row>
    <row r="147" customFormat="false" ht="12.75" hidden="false" customHeight="false" outlineLevel="0" collapsed="false">
      <c r="A147" s="4" t="s">
        <v>242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49"/>
  <sheetViews>
    <sheetView showFormulas="false" showGridLines="true" showRowColHeaders="true" showZeros="true" rightToLeft="false" tabSelected="false" showOutlineSymbols="true" defaultGridColor="true" view="normal" topLeftCell="AE1" colorId="64" zoomScale="100" zoomScaleNormal="100" zoomScalePageLayoutView="100" workbookViewId="0">
      <selection pane="topLeft" activeCell="B3" activeCellId="0" sqref="B3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3.8" hidden="false" customHeight="false" outlineLevel="0" collapsed="false">
      <c r="A2" s="0" t="s">
        <v>243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A3" s="0" t="s">
        <v>244</v>
      </c>
      <c r="B3" s="0" t="n">
        <v>-0.00015</v>
      </c>
      <c r="C3" s="0" t="n">
        <v>0</v>
      </c>
      <c r="D3" s="0" t="n">
        <v>0.001</v>
      </c>
      <c r="E3" s="0" t="n">
        <v>0.002</v>
      </c>
      <c r="F3" s="0" t="n">
        <v>0.003</v>
      </c>
      <c r="G3" s="0" t="n">
        <v>0.004</v>
      </c>
      <c r="H3" s="0" t="n">
        <v>0.005</v>
      </c>
      <c r="I3" s="0" t="n">
        <v>0.006</v>
      </c>
      <c r="J3" s="0" t="n">
        <v>0.007</v>
      </c>
      <c r="K3" s="0" t="n">
        <v>0.008</v>
      </c>
      <c r="L3" s="0" t="n">
        <v>0.009</v>
      </c>
      <c r="M3" s="0" t="n">
        <v>0.01</v>
      </c>
      <c r="N3" s="0" t="n">
        <v>0.02</v>
      </c>
      <c r="O3" s="0" t="n">
        <v>0.03</v>
      </c>
      <c r="P3" s="0" t="n">
        <v>0.04</v>
      </c>
      <c r="Q3" s="0" t="n">
        <v>0.05</v>
      </c>
      <c r="R3" s="0" t="n">
        <v>0.06</v>
      </c>
      <c r="S3" s="0" t="n">
        <v>0.07</v>
      </c>
      <c r="T3" s="0" t="n">
        <v>0.08</v>
      </c>
      <c r="U3" s="0" t="n">
        <v>0.09</v>
      </c>
      <c r="V3" s="0" t="n">
        <v>0.1</v>
      </c>
      <c r="W3" s="0" t="n">
        <v>0.2</v>
      </c>
      <c r="X3" s="0" t="n">
        <v>0.3</v>
      </c>
      <c r="Y3" s="0" t="n">
        <v>0.4</v>
      </c>
      <c r="Z3" s="0" t="n">
        <v>0.5</v>
      </c>
      <c r="AA3" s="0" t="n">
        <v>0.6</v>
      </c>
      <c r="AB3" s="0" t="n">
        <v>0.7</v>
      </c>
      <c r="AC3" s="0" t="n">
        <v>0.8</v>
      </c>
      <c r="AD3" s="0" t="n">
        <v>0.9</v>
      </c>
      <c r="AE3" s="0" t="n">
        <v>1</v>
      </c>
      <c r="AF3" s="0" t="n">
        <v>2</v>
      </c>
      <c r="AG3" s="0" t="n">
        <v>3</v>
      </c>
      <c r="AH3" s="0" t="n">
        <v>4</v>
      </c>
      <c r="AI3" s="0" t="n">
        <v>5</v>
      </c>
      <c r="AJ3" s="0" t="n">
        <v>6</v>
      </c>
      <c r="AK3" s="0" t="n">
        <v>7</v>
      </c>
      <c r="AL3" s="0" t="n">
        <v>8</v>
      </c>
      <c r="AM3" s="0" t="n">
        <v>9</v>
      </c>
      <c r="AN3" s="0" t="n">
        <v>9.15574</v>
      </c>
      <c r="AO3" s="0" t="n">
        <v>9.2</v>
      </c>
    </row>
    <row r="4" customFormat="false" ht="13.8" hidden="false" customHeight="false" outlineLevel="0" collapsed="false">
      <c r="A4" s="0" t="s">
        <v>245</v>
      </c>
      <c r="B4" s="0" t="n">
        <v>0</v>
      </c>
      <c r="C4" s="0" t="n">
        <v>0.1</v>
      </c>
      <c r="D4" s="0" t="n">
        <v>0.2</v>
      </c>
      <c r="E4" s="0" t="n">
        <v>0.3</v>
      </c>
      <c r="F4" s="0" t="n">
        <v>0.4</v>
      </c>
      <c r="G4" s="0" t="n">
        <v>0.5</v>
      </c>
      <c r="H4" s="0" t="n">
        <v>0.6</v>
      </c>
      <c r="I4" s="0" t="n">
        <v>0.7</v>
      </c>
      <c r="J4" s="0" t="n">
        <v>0.8</v>
      </c>
      <c r="K4" s="0" t="n">
        <v>0.9</v>
      </c>
      <c r="L4" s="0" t="n">
        <v>1</v>
      </c>
      <c r="M4" s="0" t="n">
        <v>2</v>
      </c>
      <c r="N4" s="0" t="n">
        <v>3</v>
      </c>
      <c r="O4" s="0" t="n">
        <v>4</v>
      </c>
      <c r="P4" s="0" t="n">
        <v>5</v>
      </c>
      <c r="Q4" s="0" t="n">
        <v>6</v>
      </c>
      <c r="R4" s="0" t="n">
        <v>7</v>
      </c>
      <c r="S4" s="0" t="n">
        <v>8</v>
      </c>
      <c r="T4" s="0" t="n">
        <v>9</v>
      </c>
      <c r="U4" s="0" t="n">
        <v>10</v>
      </c>
      <c r="V4" s="0" t="n">
        <v>20</v>
      </c>
      <c r="W4" s="0" t="n">
        <v>30</v>
      </c>
      <c r="X4" s="0" t="n">
        <v>40</v>
      </c>
      <c r="Y4" s="0" t="n">
        <v>50</v>
      </c>
      <c r="Z4" s="0" t="n">
        <v>60</v>
      </c>
      <c r="AA4" s="0" t="n">
        <v>70</v>
      </c>
      <c r="AB4" s="0" t="n">
        <v>80</v>
      </c>
      <c r="AC4" s="0" t="n">
        <v>90</v>
      </c>
      <c r="AD4" s="0" t="n">
        <v>100</v>
      </c>
      <c r="AE4" s="0" t="n">
        <v>200</v>
      </c>
      <c r="AF4" s="0" t="n">
        <v>300</v>
      </c>
      <c r="AG4" s="0" t="n">
        <v>400</v>
      </c>
    </row>
    <row r="9" customFormat="false" ht="12.8" hidden="false" customHeight="false" outlineLevel="0" collapsed="false">
      <c r="A9" s="0" t="s">
        <v>246</v>
      </c>
      <c r="B9" s="0" t="s">
        <v>247</v>
      </c>
      <c r="C9" s="0" t="s">
        <v>248</v>
      </c>
    </row>
    <row r="10" customFormat="false" ht="12.8" hidden="false" customHeight="false" outlineLevel="0" collapsed="false">
      <c r="A10" s="0" t="n">
        <v>0.1</v>
      </c>
      <c r="B10" s="0" t="n">
        <v>0.01</v>
      </c>
      <c r="C10" s="0" t="n">
        <v>0</v>
      </c>
    </row>
    <row r="11" customFormat="false" ht="13.8" hidden="false" customHeight="false" outlineLevel="0" collapsed="false">
      <c r="A11" s="0" t="n">
        <v>0.2</v>
      </c>
      <c r="B11" s="0" t="n">
        <f aca="false">B10+0.01</f>
        <v>0.02</v>
      </c>
      <c r="C11" s="0" t="n">
        <v>0.001</v>
      </c>
    </row>
    <row r="12" customFormat="false" ht="13.8" hidden="false" customHeight="false" outlineLevel="0" collapsed="false">
      <c r="A12" s="0" t="n">
        <v>0.3</v>
      </c>
      <c r="B12" s="0" t="n">
        <f aca="false">B11+0.01</f>
        <v>0.03</v>
      </c>
      <c r="C12" s="0" t="n">
        <f aca="false">C11+0.001</f>
        <v>0.002</v>
      </c>
    </row>
    <row r="13" customFormat="false" ht="13.8" hidden="false" customHeight="false" outlineLevel="0" collapsed="false">
      <c r="A13" s="0" t="n">
        <v>0.4</v>
      </c>
      <c r="B13" s="0" t="n">
        <f aca="false">B12+0.01</f>
        <v>0.04</v>
      </c>
      <c r="C13" s="0" t="n">
        <f aca="false">C12+0.001</f>
        <v>0.003</v>
      </c>
    </row>
    <row r="14" customFormat="false" ht="13.8" hidden="false" customHeight="false" outlineLevel="0" collapsed="false">
      <c r="A14" s="0" t="n">
        <v>0.5</v>
      </c>
      <c r="B14" s="0" t="n">
        <f aca="false">B13+0.01</f>
        <v>0.05</v>
      </c>
      <c r="C14" s="0" t="n">
        <f aca="false">C13+0.001</f>
        <v>0.004</v>
      </c>
    </row>
    <row r="15" customFormat="false" ht="13.8" hidden="false" customHeight="false" outlineLevel="0" collapsed="false">
      <c r="A15" s="0" t="n">
        <v>0.6</v>
      </c>
      <c r="B15" s="0" t="n">
        <f aca="false">B14+0.01</f>
        <v>0.06</v>
      </c>
      <c r="C15" s="0" t="n">
        <f aca="false">C14+0.001</f>
        <v>0.005</v>
      </c>
    </row>
    <row r="16" customFormat="false" ht="13.8" hidden="false" customHeight="false" outlineLevel="0" collapsed="false">
      <c r="A16" s="0" t="n">
        <v>0.7</v>
      </c>
      <c r="B16" s="0" t="n">
        <f aca="false">B15+0.01</f>
        <v>0.07</v>
      </c>
      <c r="C16" s="0" t="n">
        <f aca="false">C15+0.001</f>
        <v>0.006</v>
      </c>
    </row>
    <row r="17" customFormat="false" ht="13.8" hidden="false" customHeight="false" outlineLevel="0" collapsed="false">
      <c r="A17" s="0" t="n">
        <v>0.8</v>
      </c>
      <c r="B17" s="0" t="n">
        <f aca="false">B16+0.01</f>
        <v>0.08</v>
      </c>
      <c r="C17" s="0" t="n">
        <f aca="false">C16+0.001</f>
        <v>0.007</v>
      </c>
    </row>
    <row r="18" customFormat="false" ht="13.8" hidden="false" customHeight="false" outlineLevel="0" collapsed="false">
      <c r="A18" s="0" t="n">
        <v>0.9</v>
      </c>
      <c r="B18" s="0" t="n">
        <f aca="false">B17+0.01</f>
        <v>0.09</v>
      </c>
      <c r="C18" s="0" t="n">
        <f aca="false">C17+0.001</f>
        <v>0.008</v>
      </c>
    </row>
    <row r="19" customFormat="false" ht="13.8" hidden="false" customHeight="false" outlineLevel="0" collapsed="false">
      <c r="A19" s="0" t="n">
        <v>1</v>
      </c>
      <c r="B19" s="0" t="n">
        <f aca="false">B18+0.01</f>
        <v>0.1</v>
      </c>
      <c r="C19" s="0" t="n">
        <f aca="false">C18+0.001</f>
        <v>0.009</v>
      </c>
    </row>
    <row r="20" customFormat="false" ht="13.8" hidden="false" customHeight="false" outlineLevel="0" collapsed="false">
      <c r="A20" s="0" t="n">
        <v>2</v>
      </c>
      <c r="B20" s="0" t="n">
        <f aca="false">B19+0.1</f>
        <v>0.2</v>
      </c>
      <c r="C20" s="0" t="n">
        <f aca="false">C19+0.001</f>
        <v>0.01</v>
      </c>
    </row>
    <row r="21" customFormat="false" ht="13.8" hidden="false" customHeight="false" outlineLevel="0" collapsed="false">
      <c r="A21" s="0" t="n">
        <v>3</v>
      </c>
      <c r="B21" s="0" t="n">
        <f aca="false">B20+0.1</f>
        <v>0.3</v>
      </c>
      <c r="C21" s="0" t="n">
        <f aca="false">C20+0.01</f>
        <v>0.02</v>
      </c>
    </row>
    <row r="22" customFormat="false" ht="13.8" hidden="false" customHeight="false" outlineLevel="0" collapsed="false">
      <c r="A22" s="0" t="n">
        <v>4</v>
      </c>
      <c r="B22" s="0" t="n">
        <f aca="false">B21+0.1</f>
        <v>0.4</v>
      </c>
      <c r="C22" s="0" t="n">
        <f aca="false">C21+0.01</f>
        <v>0.03</v>
      </c>
    </row>
    <row r="23" customFormat="false" ht="13.8" hidden="false" customHeight="false" outlineLevel="0" collapsed="false">
      <c r="A23" s="0" t="n">
        <v>5</v>
      </c>
      <c r="B23" s="0" t="n">
        <f aca="false">B22+0.1</f>
        <v>0.5</v>
      </c>
      <c r="C23" s="0" t="n">
        <f aca="false">C22+0.01</f>
        <v>0.04</v>
      </c>
    </row>
    <row r="24" customFormat="false" ht="13.8" hidden="false" customHeight="false" outlineLevel="0" collapsed="false">
      <c r="A24" s="0" t="n">
        <v>6</v>
      </c>
      <c r="B24" s="0" t="n">
        <f aca="false">B23+0.1</f>
        <v>0.6</v>
      </c>
      <c r="C24" s="0" t="n">
        <f aca="false">C23+0.01</f>
        <v>0.05</v>
      </c>
    </row>
    <row r="25" customFormat="false" ht="13.8" hidden="false" customHeight="false" outlineLevel="0" collapsed="false">
      <c r="A25" s="0" t="n">
        <v>7</v>
      </c>
      <c r="B25" s="0" t="n">
        <f aca="false">B24+0.1</f>
        <v>0.7</v>
      </c>
      <c r="C25" s="0" t="n">
        <f aca="false">C24+0.01</f>
        <v>0.06</v>
      </c>
    </row>
    <row r="26" customFormat="false" ht="13.8" hidden="false" customHeight="false" outlineLevel="0" collapsed="false">
      <c r="A26" s="0" t="n">
        <v>8</v>
      </c>
      <c r="B26" s="0" t="n">
        <f aca="false">B25+0.1</f>
        <v>0.8</v>
      </c>
      <c r="C26" s="0" t="n">
        <f aca="false">C25+0.01</f>
        <v>0.07</v>
      </c>
    </row>
    <row r="27" customFormat="false" ht="13.8" hidden="false" customHeight="false" outlineLevel="0" collapsed="false">
      <c r="A27" s="0" t="n">
        <v>9</v>
      </c>
      <c r="B27" s="0" t="n">
        <f aca="false">B26+0.1</f>
        <v>0.9</v>
      </c>
      <c r="C27" s="0" t="n">
        <f aca="false">C26+0.01</f>
        <v>0.08</v>
      </c>
    </row>
    <row r="28" customFormat="false" ht="13.8" hidden="false" customHeight="false" outlineLevel="0" collapsed="false">
      <c r="A28" s="0" t="n">
        <v>10</v>
      </c>
      <c r="B28" s="0" t="n">
        <f aca="false">B27+0.1</f>
        <v>1</v>
      </c>
      <c r="C28" s="0" t="n">
        <f aca="false">C27+0.01</f>
        <v>0.09</v>
      </c>
    </row>
    <row r="29" customFormat="false" ht="13.8" hidden="false" customHeight="false" outlineLevel="0" collapsed="false">
      <c r="A29" s="0" t="n">
        <v>20</v>
      </c>
      <c r="B29" s="0" t="n">
        <f aca="false">B28+1</f>
        <v>2</v>
      </c>
      <c r="C29" s="0" t="n">
        <f aca="false">C28+0.01</f>
        <v>0.1</v>
      </c>
    </row>
    <row r="30" customFormat="false" ht="13.8" hidden="false" customHeight="false" outlineLevel="0" collapsed="false">
      <c r="A30" s="0" t="n">
        <v>30</v>
      </c>
      <c r="B30" s="0" t="n">
        <f aca="false">B29+1</f>
        <v>3</v>
      </c>
      <c r="C30" s="0" t="n">
        <f aca="false">C29+0.1</f>
        <v>0.2</v>
      </c>
    </row>
    <row r="31" customFormat="false" ht="13.8" hidden="false" customHeight="false" outlineLevel="0" collapsed="false">
      <c r="A31" s="0" t="n">
        <v>40</v>
      </c>
      <c r="B31" s="0" t="n">
        <f aca="false">B30+1</f>
        <v>4</v>
      </c>
      <c r="C31" s="0" t="n">
        <f aca="false">C30+0.1</f>
        <v>0.3</v>
      </c>
    </row>
    <row r="32" customFormat="false" ht="13.8" hidden="false" customHeight="false" outlineLevel="0" collapsed="false">
      <c r="A32" s="0" t="n">
        <v>50</v>
      </c>
      <c r="B32" s="0" t="n">
        <f aca="false">B31+1</f>
        <v>5</v>
      </c>
      <c r="C32" s="0" t="n">
        <f aca="false">C31+0.1</f>
        <v>0.4</v>
      </c>
    </row>
    <row r="33" customFormat="false" ht="13.8" hidden="false" customHeight="false" outlineLevel="0" collapsed="false">
      <c r="A33" s="0" t="n">
        <v>60</v>
      </c>
      <c r="B33" s="0" t="n">
        <f aca="false">B32+1</f>
        <v>6</v>
      </c>
      <c r="C33" s="0" t="n">
        <f aca="false">C32+0.1</f>
        <v>0.5</v>
      </c>
    </row>
    <row r="34" customFormat="false" ht="13.8" hidden="false" customHeight="false" outlineLevel="0" collapsed="false">
      <c r="A34" s="0" t="n">
        <v>70</v>
      </c>
      <c r="B34" s="0" t="n">
        <f aca="false">B33+1</f>
        <v>7</v>
      </c>
      <c r="C34" s="0" t="n">
        <f aca="false">C33+0.1</f>
        <v>0.6</v>
      </c>
    </row>
    <row r="35" customFormat="false" ht="13.8" hidden="false" customHeight="false" outlineLevel="0" collapsed="false">
      <c r="A35" s="0" t="n">
        <v>80</v>
      </c>
      <c r="B35" s="0" t="n">
        <f aca="false">B34+1</f>
        <v>8</v>
      </c>
      <c r="C35" s="0" t="n">
        <f aca="false">C34+0.1</f>
        <v>0.7</v>
      </c>
    </row>
    <row r="36" customFormat="false" ht="13.8" hidden="false" customHeight="false" outlineLevel="0" collapsed="false">
      <c r="A36" s="0" t="n">
        <v>90</v>
      </c>
      <c r="B36" s="0" t="n">
        <f aca="false">B35+1</f>
        <v>9</v>
      </c>
      <c r="C36" s="0" t="n">
        <f aca="false">C35+0.1</f>
        <v>0.8</v>
      </c>
    </row>
    <row r="37" customFormat="false" ht="13.8" hidden="false" customHeight="false" outlineLevel="0" collapsed="false">
      <c r="A37" s="0" t="n">
        <v>100</v>
      </c>
      <c r="B37" s="0" t="n">
        <f aca="false">B36+1</f>
        <v>10</v>
      </c>
      <c r="C37" s="0" t="n">
        <f aca="false">C36+0.1</f>
        <v>0.9</v>
      </c>
    </row>
    <row r="38" customFormat="false" ht="13.8" hidden="false" customHeight="false" outlineLevel="0" collapsed="false">
      <c r="A38" s="0" t="n">
        <v>200</v>
      </c>
      <c r="B38" s="0" t="n">
        <f aca="false">B37+10</f>
        <v>20</v>
      </c>
      <c r="C38" s="0" t="n">
        <f aca="false">C37+0.1</f>
        <v>1</v>
      </c>
    </row>
    <row r="39" customFormat="false" ht="13.8" hidden="false" customHeight="false" outlineLevel="0" collapsed="false">
      <c r="A39" s="0" t="n">
        <v>300</v>
      </c>
      <c r="B39" s="0" t="n">
        <f aca="false">B38+10</f>
        <v>30</v>
      </c>
    </row>
    <row r="40" customFormat="false" ht="13.8" hidden="false" customHeight="false" outlineLevel="0" collapsed="false">
      <c r="A40" s="0" t="n">
        <v>400</v>
      </c>
      <c r="B40" s="0" t="n">
        <f aca="false">B39+10</f>
        <v>40</v>
      </c>
    </row>
    <row r="41" customFormat="false" ht="13.8" hidden="false" customHeight="false" outlineLevel="0" collapsed="false">
      <c r="A41" s="0" t="n">
        <v>500</v>
      </c>
      <c r="B41" s="0" t="n">
        <f aca="false">B40+10</f>
        <v>50</v>
      </c>
    </row>
    <row r="42" customFormat="false" ht="13.8" hidden="false" customHeight="false" outlineLevel="0" collapsed="false">
      <c r="A42" s="0" t="n">
        <v>600</v>
      </c>
      <c r="B42" s="0" t="n">
        <f aca="false">B41+10</f>
        <v>60</v>
      </c>
    </row>
    <row r="43" customFormat="false" ht="13.8" hidden="false" customHeight="false" outlineLevel="0" collapsed="false">
      <c r="A43" s="0" t="n">
        <v>700</v>
      </c>
      <c r="B43" s="0" t="n">
        <f aca="false">B42+10</f>
        <v>70</v>
      </c>
    </row>
    <row r="44" customFormat="false" ht="13.8" hidden="false" customHeight="false" outlineLevel="0" collapsed="false">
      <c r="A44" s="0" t="n">
        <v>800</v>
      </c>
      <c r="B44" s="0" t="n">
        <f aca="false">B43+10</f>
        <v>80</v>
      </c>
    </row>
    <row r="45" customFormat="false" ht="13.8" hidden="false" customHeight="false" outlineLevel="0" collapsed="false">
      <c r="A45" s="0" t="n">
        <v>900</v>
      </c>
      <c r="B45" s="0" t="n">
        <f aca="false">B44+10</f>
        <v>90</v>
      </c>
    </row>
    <row r="46" customFormat="false" ht="13.8" hidden="false" customHeight="false" outlineLevel="0" collapsed="false">
      <c r="A46" s="0" t="n">
        <v>1000</v>
      </c>
      <c r="B46" s="0" t="n">
        <f aca="false">B45+10</f>
        <v>100</v>
      </c>
    </row>
    <row r="47" customFormat="false" ht="13.8" hidden="false" customHeight="false" outlineLevel="0" collapsed="false">
      <c r="A47" s="0" t="n">
        <v>2000</v>
      </c>
      <c r="B47" s="0" t="n">
        <f aca="false">B46+100</f>
        <v>200</v>
      </c>
    </row>
    <row r="48" customFormat="false" ht="13.8" hidden="false" customHeight="false" outlineLevel="0" collapsed="false">
      <c r="A48" s="0" t="n">
        <v>2010</v>
      </c>
      <c r="B48" s="0" t="n">
        <f aca="false">B47+100</f>
        <v>300</v>
      </c>
    </row>
    <row r="49" customFormat="false" ht="13.8" hidden="false" customHeight="false" outlineLevel="0" collapsed="false">
      <c r="A49" s="0" t="n">
        <v>2020</v>
      </c>
      <c r="B49" s="0" t="n">
        <f aca="false">B48+100</f>
        <v>400</v>
      </c>
    </row>
    <row r="50" customFormat="false" ht="13.8" hidden="false" customHeight="false" outlineLevel="0" collapsed="false">
      <c r="A50" s="0" t="n">
        <v>2030</v>
      </c>
      <c r="B50" s="0" t="n">
        <f aca="false">B49+100</f>
        <v>500</v>
      </c>
    </row>
    <row r="51" customFormat="false" ht="13.8" hidden="false" customHeight="false" outlineLevel="0" collapsed="false">
      <c r="A51" s="0" t="n">
        <v>2040</v>
      </c>
      <c r="B51" s="0" t="n">
        <f aca="false">B50+100</f>
        <v>600</v>
      </c>
    </row>
    <row r="52" customFormat="false" ht="13.8" hidden="false" customHeight="false" outlineLevel="0" collapsed="false">
      <c r="A52" s="0" t="n">
        <v>2050</v>
      </c>
      <c r="B52" s="0" t="n">
        <f aca="false">B51+100</f>
        <v>700</v>
      </c>
    </row>
    <row r="53" customFormat="false" ht="13.8" hidden="false" customHeight="false" outlineLevel="0" collapsed="false">
      <c r="A53" s="0" t="n">
        <v>2060</v>
      </c>
      <c r="B53" s="0" t="n">
        <f aca="false">B52+100</f>
        <v>800</v>
      </c>
    </row>
    <row r="54" customFormat="false" ht="13.8" hidden="false" customHeight="false" outlineLevel="0" collapsed="false">
      <c r="A54" s="0" t="n">
        <v>2070</v>
      </c>
      <c r="B54" s="0" t="n">
        <f aca="false">B53+100</f>
        <v>900</v>
      </c>
    </row>
    <row r="55" customFormat="false" ht="13.8" hidden="false" customHeight="false" outlineLevel="0" collapsed="false">
      <c r="A55" s="0" t="n">
        <v>2080</v>
      </c>
      <c r="B55" s="0" t="n">
        <f aca="false">B54+100</f>
        <v>1000</v>
      </c>
    </row>
    <row r="56" customFormat="false" ht="13.8" hidden="false" customHeight="false" outlineLevel="0" collapsed="false">
      <c r="A56" s="0" t="n">
        <v>2090</v>
      </c>
    </row>
    <row r="57" customFormat="false" ht="13.8" hidden="false" customHeight="false" outlineLevel="0" collapsed="false">
      <c r="A57" s="0" t="n">
        <v>2100</v>
      </c>
    </row>
    <row r="58" customFormat="false" ht="12.8" hidden="false" customHeight="false" outlineLevel="0" collapsed="false">
      <c r="A58" s="0" t="n">
        <v>2110</v>
      </c>
    </row>
    <row r="59" customFormat="false" ht="12.8" hidden="false" customHeight="false" outlineLevel="0" collapsed="false">
      <c r="A59" s="0" t="n">
        <v>2120</v>
      </c>
    </row>
    <row r="60" customFormat="false" ht="12.8" hidden="false" customHeight="false" outlineLevel="0" collapsed="false">
      <c r="A60" s="0" t="n">
        <v>2130</v>
      </c>
    </row>
    <row r="61" customFormat="false" ht="12.8" hidden="false" customHeight="false" outlineLevel="0" collapsed="false">
      <c r="A61" s="0" t="n">
        <v>2140</v>
      </c>
    </row>
    <row r="62" customFormat="false" ht="12.8" hidden="false" customHeight="false" outlineLevel="0" collapsed="false">
      <c r="A62" s="0" t="n">
        <v>2150</v>
      </c>
    </row>
    <row r="63" customFormat="false" ht="12.8" hidden="false" customHeight="false" outlineLevel="0" collapsed="false">
      <c r="A63" s="0" t="n">
        <v>2160</v>
      </c>
    </row>
    <row r="64" customFormat="false" ht="12.8" hidden="false" customHeight="false" outlineLevel="0" collapsed="false">
      <c r="A64" s="0" t="n">
        <v>2170</v>
      </c>
    </row>
    <row r="65" customFormat="false" ht="12.8" hidden="false" customHeight="false" outlineLevel="0" collapsed="false">
      <c r="A65" s="0" t="n">
        <v>2180</v>
      </c>
    </row>
    <row r="66" customFormat="false" ht="12.8" hidden="false" customHeight="false" outlineLevel="0" collapsed="false">
      <c r="A66" s="0" t="n">
        <v>2190</v>
      </c>
    </row>
    <row r="67" customFormat="false" ht="12.8" hidden="false" customHeight="false" outlineLevel="0" collapsed="false">
      <c r="A67" s="0" t="n">
        <v>2200</v>
      </c>
    </row>
    <row r="68" customFormat="false" ht="12.8" hidden="false" customHeight="false" outlineLevel="0" collapsed="false">
      <c r="A68" s="0" t="n">
        <v>2210</v>
      </c>
    </row>
    <row r="69" customFormat="false" ht="12.8" hidden="false" customHeight="false" outlineLevel="0" collapsed="false">
      <c r="A69" s="0" t="n">
        <v>2220</v>
      </c>
    </row>
    <row r="70" customFormat="false" ht="12.8" hidden="false" customHeight="false" outlineLevel="0" collapsed="false">
      <c r="A70" s="0" t="n">
        <v>2230</v>
      </c>
    </row>
    <row r="71" customFormat="false" ht="12.8" hidden="false" customHeight="false" outlineLevel="0" collapsed="false">
      <c r="A71" s="0" t="n">
        <v>2240</v>
      </c>
    </row>
    <row r="72" customFormat="false" ht="12.8" hidden="false" customHeight="false" outlineLevel="0" collapsed="false">
      <c r="A72" s="0" t="n">
        <v>2250</v>
      </c>
    </row>
    <row r="73" customFormat="false" ht="12.8" hidden="false" customHeight="false" outlineLevel="0" collapsed="false">
      <c r="A73" s="0" t="n">
        <v>2260</v>
      </c>
    </row>
    <row r="74" customFormat="false" ht="12.8" hidden="false" customHeight="false" outlineLevel="0" collapsed="false">
      <c r="A74" s="0" t="n">
        <v>2270</v>
      </c>
    </row>
    <row r="75" customFormat="false" ht="12.8" hidden="false" customHeight="false" outlineLevel="0" collapsed="false">
      <c r="A75" s="0" t="n">
        <v>2280</v>
      </c>
    </row>
    <row r="76" customFormat="false" ht="12.8" hidden="false" customHeight="false" outlineLevel="0" collapsed="false">
      <c r="A76" s="0" t="n">
        <v>2290</v>
      </c>
    </row>
    <row r="77" customFormat="false" ht="12.8" hidden="false" customHeight="false" outlineLevel="0" collapsed="false">
      <c r="A77" s="0" t="n">
        <v>2300</v>
      </c>
    </row>
    <row r="78" customFormat="false" ht="12.8" hidden="false" customHeight="false" outlineLevel="0" collapsed="false">
      <c r="A78" s="0" t="n">
        <v>2310</v>
      </c>
    </row>
    <row r="79" customFormat="false" ht="12.8" hidden="false" customHeight="false" outlineLevel="0" collapsed="false">
      <c r="A79" s="0" t="n">
        <v>2320</v>
      </c>
    </row>
    <row r="80" customFormat="false" ht="12.8" hidden="false" customHeight="false" outlineLevel="0" collapsed="false">
      <c r="A80" s="0" t="n">
        <v>2330</v>
      </c>
    </row>
    <row r="81" customFormat="false" ht="12.8" hidden="false" customHeight="false" outlineLevel="0" collapsed="false">
      <c r="A81" s="0" t="n">
        <v>2340</v>
      </c>
    </row>
    <row r="82" customFormat="false" ht="12.8" hidden="false" customHeight="false" outlineLevel="0" collapsed="false">
      <c r="A82" s="0" t="n">
        <v>2350</v>
      </c>
    </row>
    <row r="83" customFormat="false" ht="12.8" hidden="false" customHeight="false" outlineLevel="0" collapsed="false">
      <c r="A83" s="0" t="n">
        <v>2360</v>
      </c>
    </row>
    <row r="84" customFormat="false" ht="12.8" hidden="false" customHeight="false" outlineLevel="0" collapsed="false">
      <c r="A84" s="0" t="n">
        <v>2370</v>
      </c>
    </row>
    <row r="85" customFormat="false" ht="12.8" hidden="false" customHeight="false" outlineLevel="0" collapsed="false">
      <c r="A85" s="0" t="n">
        <v>2380</v>
      </c>
    </row>
    <row r="86" customFormat="false" ht="12.8" hidden="false" customHeight="false" outlineLevel="0" collapsed="false">
      <c r="A86" s="0" t="n">
        <v>2390</v>
      </c>
    </row>
    <row r="87" customFormat="false" ht="12.8" hidden="false" customHeight="false" outlineLevel="0" collapsed="false">
      <c r="A87" s="0" t="n">
        <v>2400</v>
      </c>
    </row>
    <row r="88" customFormat="false" ht="12.8" hidden="false" customHeight="false" outlineLevel="0" collapsed="false">
      <c r="A88" s="0" t="n">
        <v>2410</v>
      </c>
    </row>
    <row r="89" customFormat="false" ht="12.8" hidden="false" customHeight="false" outlineLevel="0" collapsed="false">
      <c r="A89" s="0" t="n">
        <v>2420</v>
      </c>
    </row>
    <row r="90" customFormat="false" ht="12.8" hidden="false" customHeight="false" outlineLevel="0" collapsed="false">
      <c r="A90" s="0" t="n">
        <v>2430</v>
      </c>
    </row>
    <row r="91" customFormat="false" ht="12.8" hidden="false" customHeight="false" outlineLevel="0" collapsed="false">
      <c r="A91" s="0" t="n">
        <v>2440</v>
      </c>
    </row>
    <row r="92" customFormat="false" ht="12.8" hidden="false" customHeight="false" outlineLevel="0" collapsed="false">
      <c r="A92" s="0" t="n">
        <v>2450</v>
      </c>
    </row>
    <row r="93" customFormat="false" ht="12.8" hidden="false" customHeight="false" outlineLevel="0" collapsed="false">
      <c r="A93" s="0" t="n">
        <v>2460</v>
      </c>
    </row>
    <row r="94" customFormat="false" ht="12.8" hidden="false" customHeight="false" outlineLevel="0" collapsed="false">
      <c r="A94" s="0" t="n">
        <v>2470</v>
      </c>
    </row>
    <row r="95" customFormat="false" ht="12.8" hidden="false" customHeight="false" outlineLevel="0" collapsed="false">
      <c r="A95" s="0" t="n">
        <v>2480</v>
      </c>
    </row>
    <row r="96" customFormat="false" ht="12.8" hidden="false" customHeight="false" outlineLevel="0" collapsed="false">
      <c r="A96" s="0" t="n">
        <v>2490</v>
      </c>
    </row>
    <row r="97" customFormat="false" ht="12.8" hidden="false" customHeight="false" outlineLevel="0" collapsed="false">
      <c r="A97" s="0" t="n">
        <v>2500</v>
      </c>
    </row>
    <row r="98" customFormat="false" ht="12.8" hidden="false" customHeight="false" outlineLevel="0" collapsed="false">
      <c r="A98" s="0" t="n">
        <v>2510</v>
      </c>
    </row>
    <row r="99" customFormat="false" ht="12.8" hidden="false" customHeight="false" outlineLevel="0" collapsed="false">
      <c r="A99" s="0" t="n">
        <v>2520</v>
      </c>
    </row>
    <row r="100" customFormat="false" ht="12.8" hidden="false" customHeight="false" outlineLevel="0" collapsed="false">
      <c r="A100" s="0" t="n">
        <v>2530</v>
      </c>
    </row>
    <row r="101" customFormat="false" ht="12.8" hidden="false" customHeight="false" outlineLevel="0" collapsed="false">
      <c r="A101" s="0" t="n">
        <v>2540</v>
      </c>
    </row>
    <row r="102" customFormat="false" ht="12.8" hidden="false" customHeight="false" outlineLevel="0" collapsed="false">
      <c r="A102" s="0" t="n">
        <v>2550</v>
      </c>
    </row>
    <row r="103" customFormat="false" ht="12.8" hidden="false" customHeight="false" outlineLevel="0" collapsed="false">
      <c r="A103" s="0" t="n">
        <v>2560</v>
      </c>
    </row>
    <row r="104" customFormat="false" ht="12.8" hidden="false" customHeight="false" outlineLevel="0" collapsed="false">
      <c r="A104" s="0" t="n">
        <v>2570</v>
      </c>
    </row>
    <row r="105" customFormat="false" ht="12.8" hidden="false" customHeight="false" outlineLevel="0" collapsed="false">
      <c r="A105" s="0" t="n">
        <v>2580</v>
      </c>
    </row>
    <row r="106" customFormat="false" ht="12.8" hidden="false" customHeight="false" outlineLevel="0" collapsed="false">
      <c r="A106" s="0" t="n">
        <v>2590</v>
      </c>
    </row>
    <row r="107" customFormat="false" ht="12.8" hidden="false" customHeight="false" outlineLevel="0" collapsed="false">
      <c r="A107" s="0" t="n">
        <v>2600</v>
      </c>
    </row>
    <row r="108" customFormat="false" ht="12.8" hidden="false" customHeight="false" outlineLevel="0" collapsed="false">
      <c r="A108" s="0" t="n">
        <v>2610</v>
      </c>
    </row>
    <row r="109" customFormat="false" ht="12.8" hidden="false" customHeight="false" outlineLevel="0" collapsed="false">
      <c r="A109" s="0" t="n">
        <v>2620</v>
      </c>
    </row>
    <row r="110" customFormat="false" ht="12.8" hidden="false" customHeight="false" outlineLevel="0" collapsed="false">
      <c r="A110" s="0" t="n">
        <v>2630</v>
      </c>
    </row>
    <row r="111" customFormat="false" ht="12.8" hidden="false" customHeight="false" outlineLevel="0" collapsed="false">
      <c r="A111" s="0" t="n">
        <v>2640</v>
      </c>
    </row>
    <row r="112" customFormat="false" ht="12.8" hidden="false" customHeight="false" outlineLevel="0" collapsed="false">
      <c r="A112" s="0" t="n">
        <v>2650</v>
      </c>
    </row>
    <row r="113" customFormat="false" ht="12.8" hidden="false" customHeight="false" outlineLevel="0" collapsed="false">
      <c r="A113" s="0" t="n">
        <v>2660</v>
      </c>
    </row>
    <row r="114" customFormat="false" ht="12.8" hidden="false" customHeight="false" outlineLevel="0" collapsed="false">
      <c r="A114" s="0" t="n">
        <v>2670</v>
      </c>
    </row>
    <row r="115" customFormat="false" ht="12.8" hidden="false" customHeight="false" outlineLevel="0" collapsed="false">
      <c r="A115" s="0" t="n">
        <v>2680</v>
      </c>
    </row>
    <row r="116" customFormat="false" ht="12.8" hidden="false" customHeight="false" outlineLevel="0" collapsed="false">
      <c r="A116" s="0" t="n">
        <v>2690</v>
      </c>
    </row>
    <row r="117" customFormat="false" ht="12.8" hidden="false" customHeight="false" outlineLevel="0" collapsed="false">
      <c r="A117" s="0" t="n">
        <v>2700</v>
      </c>
    </row>
    <row r="118" customFormat="false" ht="12.8" hidden="false" customHeight="false" outlineLevel="0" collapsed="false">
      <c r="A118" s="0" t="n">
        <v>2710</v>
      </c>
    </row>
    <row r="119" customFormat="false" ht="12.8" hidden="false" customHeight="false" outlineLevel="0" collapsed="false">
      <c r="A119" s="0" t="n">
        <v>2720</v>
      </c>
    </row>
    <row r="120" customFormat="false" ht="12.8" hidden="false" customHeight="false" outlineLevel="0" collapsed="false">
      <c r="A120" s="0" t="n">
        <v>2730</v>
      </c>
    </row>
    <row r="121" customFormat="false" ht="12.8" hidden="false" customHeight="false" outlineLevel="0" collapsed="false">
      <c r="A121" s="0" t="n">
        <v>2740</v>
      </c>
    </row>
    <row r="122" customFormat="false" ht="12.8" hidden="false" customHeight="false" outlineLevel="0" collapsed="false">
      <c r="A122" s="0" t="n">
        <v>2750</v>
      </c>
    </row>
    <row r="123" customFormat="false" ht="12.8" hidden="false" customHeight="false" outlineLevel="0" collapsed="false">
      <c r="A123" s="0" t="n">
        <v>2760</v>
      </c>
    </row>
    <row r="124" customFormat="false" ht="12.8" hidden="false" customHeight="false" outlineLevel="0" collapsed="false">
      <c r="A124" s="0" t="n">
        <v>2770</v>
      </c>
    </row>
    <row r="125" customFormat="false" ht="12.8" hidden="false" customHeight="false" outlineLevel="0" collapsed="false">
      <c r="A125" s="0" t="n">
        <v>2780</v>
      </c>
    </row>
    <row r="126" customFormat="false" ht="12.8" hidden="false" customHeight="false" outlineLevel="0" collapsed="false">
      <c r="A126" s="0" t="n">
        <v>2790</v>
      </c>
    </row>
    <row r="127" customFormat="false" ht="12.8" hidden="false" customHeight="false" outlineLevel="0" collapsed="false">
      <c r="A127" s="0" t="n">
        <v>2800</v>
      </c>
    </row>
    <row r="128" customFormat="false" ht="12.8" hidden="false" customHeight="false" outlineLevel="0" collapsed="false">
      <c r="A128" s="0" t="n">
        <v>2810</v>
      </c>
    </row>
    <row r="129" customFormat="false" ht="12.8" hidden="false" customHeight="false" outlineLevel="0" collapsed="false">
      <c r="A129" s="0" t="n">
        <v>2820</v>
      </c>
    </row>
    <row r="130" customFormat="false" ht="12.8" hidden="false" customHeight="false" outlineLevel="0" collapsed="false">
      <c r="A130" s="0" t="n">
        <v>2830</v>
      </c>
    </row>
    <row r="131" customFormat="false" ht="12.8" hidden="false" customHeight="false" outlineLevel="0" collapsed="false">
      <c r="A131" s="0" t="n">
        <v>2840</v>
      </c>
    </row>
    <row r="132" customFormat="false" ht="12.8" hidden="false" customHeight="false" outlineLevel="0" collapsed="false">
      <c r="A132" s="0" t="n">
        <v>2850</v>
      </c>
    </row>
    <row r="133" customFormat="false" ht="12.8" hidden="false" customHeight="false" outlineLevel="0" collapsed="false">
      <c r="A133" s="0" t="n">
        <v>2860</v>
      </c>
    </row>
    <row r="134" customFormat="false" ht="12.8" hidden="false" customHeight="false" outlineLevel="0" collapsed="false">
      <c r="A134" s="0" t="n">
        <v>2870</v>
      </c>
    </row>
    <row r="135" customFormat="false" ht="12.8" hidden="false" customHeight="false" outlineLevel="0" collapsed="false">
      <c r="A135" s="0" t="n">
        <v>2880</v>
      </c>
    </row>
    <row r="136" customFormat="false" ht="12.8" hidden="false" customHeight="false" outlineLevel="0" collapsed="false">
      <c r="A136" s="0" t="n">
        <v>2890</v>
      </c>
    </row>
    <row r="137" customFormat="false" ht="12.8" hidden="false" customHeight="false" outlineLevel="0" collapsed="false">
      <c r="A137" s="0" t="n">
        <v>2900</v>
      </c>
    </row>
    <row r="138" customFormat="false" ht="12.8" hidden="false" customHeight="false" outlineLevel="0" collapsed="false">
      <c r="A138" s="0" t="n">
        <v>2910</v>
      </c>
    </row>
    <row r="139" customFormat="false" ht="12.8" hidden="false" customHeight="false" outlineLevel="0" collapsed="false">
      <c r="A139" s="0" t="n">
        <v>2920</v>
      </c>
    </row>
    <row r="140" customFormat="false" ht="12.8" hidden="false" customHeight="false" outlineLevel="0" collapsed="false">
      <c r="A140" s="0" t="n">
        <v>2930</v>
      </c>
    </row>
    <row r="141" customFormat="false" ht="12.8" hidden="false" customHeight="false" outlineLevel="0" collapsed="false">
      <c r="A141" s="0" t="n">
        <v>2940</v>
      </c>
    </row>
    <row r="142" customFormat="false" ht="12.8" hidden="false" customHeight="false" outlineLevel="0" collapsed="false">
      <c r="A142" s="0" t="n">
        <v>2950</v>
      </c>
    </row>
    <row r="143" customFormat="false" ht="12.8" hidden="false" customHeight="false" outlineLevel="0" collapsed="false">
      <c r="A143" s="0" t="n">
        <v>2960</v>
      </c>
    </row>
    <row r="144" customFormat="false" ht="12.8" hidden="false" customHeight="false" outlineLevel="0" collapsed="false">
      <c r="A144" s="0" t="n">
        <v>2970</v>
      </c>
    </row>
    <row r="145" customFormat="false" ht="12.8" hidden="false" customHeight="false" outlineLevel="0" collapsed="false">
      <c r="A145" s="0" t="n">
        <v>2980</v>
      </c>
    </row>
    <row r="146" customFormat="false" ht="12.8" hidden="false" customHeight="false" outlineLevel="0" collapsed="false">
      <c r="A146" s="0" t="n">
        <v>2990</v>
      </c>
    </row>
    <row r="147" customFormat="false" ht="12.8" hidden="false" customHeight="false" outlineLevel="0" collapsed="false">
      <c r="A147" s="0" t="n">
        <v>3000</v>
      </c>
    </row>
    <row r="148" customFormat="false" ht="12.8" hidden="false" customHeight="false" outlineLevel="0" collapsed="false">
      <c r="A148" s="0" t="n">
        <v>3010</v>
      </c>
    </row>
    <row r="149" customFormat="false" ht="12.8" hidden="false" customHeight="false" outlineLevel="0" collapsed="false">
      <c r="A149" s="0" t="n">
        <v>3020</v>
      </c>
    </row>
    <row r="150" customFormat="false" ht="12.8" hidden="false" customHeight="false" outlineLevel="0" collapsed="false">
      <c r="A150" s="0" t="n">
        <v>3030</v>
      </c>
    </row>
    <row r="151" customFormat="false" ht="12.8" hidden="false" customHeight="false" outlineLevel="0" collapsed="false">
      <c r="A151" s="0" t="n">
        <v>3040</v>
      </c>
    </row>
    <row r="152" customFormat="false" ht="12.8" hidden="false" customHeight="false" outlineLevel="0" collapsed="false">
      <c r="A152" s="0" t="n">
        <v>3050</v>
      </c>
    </row>
    <row r="153" customFormat="false" ht="12.8" hidden="false" customHeight="false" outlineLevel="0" collapsed="false">
      <c r="A153" s="0" t="n">
        <v>3060</v>
      </c>
    </row>
    <row r="154" customFormat="false" ht="12.8" hidden="false" customHeight="false" outlineLevel="0" collapsed="false">
      <c r="A154" s="0" t="n">
        <v>3070</v>
      </c>
    </row>
    <row r="155" customFormat="false" ht="12.8" hidden="false" customHeight="false" outlineLevel="0" collapsed="false">
      <c r="A155" s="0" t="n">
        <v>3080</v>
      </c>
    </row>
    <row r="156" customFormat="false" ht="12.8" hidden="false" customHeight="false" outlineLevel="0" collapsed="false">
      <c r="A156" s="0" t="n">
        <v>3090</v>
      </c>
    </row>
    <row r="157" customFormat="false" ht="12.8" hidden="false" customHeight="false" outlineLevel="0" collapsed="false">
      <c r="A157" s="0" t="n">
        <v>3100</v>
      </c>
    </row>
    <row r="158" customFormat="false" ht="12.8" hidden="false" customHeight="false" outlineLevel="0" collapsed="false">
      <c r="A158" s="0" t="n">
        <v>3110</v>
      </c>
    </row>
    <row r="159" customFormat="false" ht="12.8" hidden="false" customHeight="false" outlineLevel="0" collapsed="false">
      <c r="A159" s="0" t="n">
        <v>3120</v>
      </c>
    </row>
    <row r="160" customFormat="false" ht="12.8" hidden="false" customHeight="false" outlineLevel="0" collapsed="false">
      <c r="A160" s="0" t="n">
        <v>3130</v>
      </c>
    </row>
    <row r="161" customFormat="false" ht="12.8" hidden="false" customHeight="false" outlineLevel="0" collapsed="false">
      <c r="A161" s="0" t="n">
        <v>3140</v>
      </c>
    </row>
    <row r="162" customFormat="false" ht="12.8" hidden="false" customHeight="false" outlineLevel="0" collapsed="false">
      <c r="A162" s="0" t="n">
        <v>3150</v>
      </c>
    </row>
    <row r="163" customFormat="false" ht="12.8" hidden="false" customHeight="false" outlineLevel="0" collapsed="false">
      <c r="A163" s="0" t="n">
        <v>3160</v>
      </c>
    </row>
    <row r="164" customFormat="false" ht="12.8" hidden="false" customHeight="false" outlineLevel="0" collapsed="false">
      <c r="A164" s="0" t="n">
        <v>3170</v>
      </c>
    </row>
    <row r="165" customFormat="false" ht="12.8" hidden="false" customHeight="false" outlineLevel="0" collapsed="false">
      <c r="A165" s="0" t="n">
        <v>3180</v>
      </c>
    </row>
    <row r="166" customFormat="false" ht="12.8" hidden="false" customHeight="false" outlineLevel="0" collapsed="false">
      <c r="A166" s="0" t="n">
        <v>3190</v>
      </c>
    </row>
    <row r="167" customFormat="false" ht="12.8" hidden="false" customHeight="false" outlineLevel="0" collapsed="false">
      <c r="A167" s="0" t="n">
        <v>3200</v>
      </c>
    </row>
    <row r="168" customFormat="false" ht="12.8" hidden="false" customHeight="false" outlineLevel="0" collapsed="false">
      <c r="A168" s="0" t="n">
        <v>3210</v>
      </c>
    </row>
    <row r="169" customFormat="false" ht="12.8" hidden="false" customHeight="false" outlineLevel="0" collapsed="false">
      <c r="A169" s="0" t="n">
        <v>3220</v>
      </c>
    </row>
    <row r="170" customFormat="false" ht="12.8" hidden="false" customHeight="false" outlineLevel="0" collapsed="false">
      <c r="A170" s="0" t="n">
        <v>3230</v>
      </c>
    </row>
    <row r="171" customFormat="false" ht="12.8" hidden="false" customHeight="false" outlineLevel="0" collapsed="false">
      <c r="A171" s="0" t="n">
        <v>3240</v>
      </c>
    </row>
    <row r="172" customFormat="false" ht="12.8" hidden="false" customHeight="false" outlineLevel="0" collapsed="false">
      <c r="A172" s="0" t="n">
        <v>3250</v>
      </c>
    </row>
    <row r="173" customFormat="false" ht="12.8" hidden="false" customHeight="false" outlineLevel="0" collapsed="false">
      <c r="A173" s="0" t="n">
        <v>3260</v>
      </c>
    </row>
    <row r="174" customFormat="false" ht="12.8" hidden="false" customHeight="false" outlineLevel="0" collapsed="false">
      <c r="A174" s="0" t="n">
        <v>3270</v>
      </c>
    </row>
    <row r="175" customFormat="false" ht="12.8" hidden="false" customHeight="false" outlineLevel="0" collapsed="false">
      <c r="A175" s="0" t="n">
        <v>3280</v>
      </c>
    </row>
    <row r="176" customFormat="false" ht="12.8" hidden="false" customHeight="false" outlineLevel="0" collapsed="false">
      <c r="A176" s="0" t="n">
        <v>3290</v>
      </c>
    </row>
    <row r="177" customFormat="false" ht="12.8" hidden="false" customHeight="false" outlineLevel="0" collapsed="false">
      <c r="A177" s="0" t="n">
        <v>3300</v>
      </c>
    </row>
    <row r="178" customFormat="false" ht="12.8" hidden="false" customHeight="false" outlineLevel="0" collapsed="false">
      <c r="A178" s="0" t="n">
        <v>3310</v>
      </c>
    </row>
    <row r="179" customFormat="false" ht="12.8" hidden="false" customHeight="false" outlineLevel="0" collapsed="false">
      <c r="A179" s="0" t="n">
        <v>3320</v>
      </c>
    </row>
    <row r="180" customFormat="false" ht="12.8" hidden="false" customHeight="false" outlineLevel="0" collapsed="false">
      <c r="A180" s="0" t="n">
        <v>3330</v>
      </c>
    </row>
    <row r="181" customFormat="false" ht="12.8" hidden="false" customHeight="false" outlineLevel="0" collapsed="false">
      <c r="A181" s="0" t="n">
        <v>3340</v>
      </c>
    </row>
    <row r="182" customFormat="false" ht="12.8" hidden="false" customHeight="false" outlineLevel="0" collapsed="false">
      <c r="A182" s="0" t="n">
        <v>3350</v>
      </c>
    </row>
    <row r="183" customFormat="false" ht="12.8" hidden="false" customHeight="false" outlineLevel="0" collapsed="false">
      <c r="A183" s="0" t="n">
        <v>3360</v>
      </c>
    </row>
    <row r="184" customFormat="false" ht="12.8" hidden="false" customHeight="false" outlineLevel="0" collapsed="false">
      <c r="A184" s="0" t="n">
        <v>3370</v>
      </c>
    </row>
    <row r="185" customFormat="false" ht="12.8" hidden="false" customHeight="false" outlineLevel="0" collapsed="false">
      <c r="A185" s="0" t="n">
        <v>3380</v>
      </c>
    </row>
    <row r="186" customFormat="false" ht="12.8" hidden="false" customHeight="false" outlineLevel="0" collapsed="false">
      <c r="A186" s="0" t="n">
        <v>3390</v>
      </c>
    </row>
    <row r="187" customFormat="false" ht="12.8" hidden="false" customHeight="false" outlineLevel="0" collapsed="false">
      <c r="A187" s="0" t="n">
        <v>3400</v>
      </c>
    </row>
    <row r="188" customFormat="false" ht="12.8" hidden="false" customHeight="false" outlineLevel="0" collapsed="false">
      <c r="A188" s="0" t="n">
        <v>3410</v>
      </c>
    </row>
    <row r="189" customFormat="false" ht="12.8" hidden="false" customHeight="false" outlineLevel="0" collapsed="false">
      <c r="A189" s="0" t="n">
        <v>3420</v>
      </c>
    </row>
    <row r="190" customFormat="false" ht="12.8" hidden="false" customHeight="false" outlineLevel="0" collapsed="false">
      <c r="A190" s="0" t="n">
        <v>3430</v>
      </c>
    </row>
    <row r="191" customFormat="false" ht="12.8" hidden="false" customHeight="false" outlineLevel="0" collapsed="false">
      <c r="A191" s="0" t="n">
        <v>3440</v>
      </c>
    </row>
    <row r="192" customFormat="false" ht="12.8" hidden="false" customHeight="false" outlineLevel="0" collapsed="false">
      <c r="A192" s="0" t="n">
        <v>3450</v>
      </c>
    </row>
    <row r="193" customFormat="false" ht="12.8" hidden="false" customHeight="false" outlineLevel="0" collapsed="false">
      <c r="A193" s="0" t="n">
        <v>3460</v>
      </c>
    </row>
    <row r="194" customFormat="false" ht="12.8" hidden="false" customHeight="false" outlineLevel="0" collapsed="false">
      <c r="A194" s="0" t="n">
        <v>3470</v>
      </c>
    </row>
    <row r="195" customFormat="false" ht="12.8" hidden="false" customHeight="false" outlineLevel="0" collapsed="false">
      <c r="A195" s="0" t="n">
        <v>3480</v>
      </c>
    </row>
    <row r="196" customFormat="false" ht="12.8" hidden="false" customHeight="false" outlineLevel="0" collapsed="false">
      <c r="A196" s="0" t="n">
        <v>3490</v>
      </c>
    </row>
    <row r="197" customFormat="false" ht="12.8" hidden="false" customHeight="false" outlineLevel="0" collapsed="false">
      <c r="A197" s="0" t="n">
        <v>3500</v>
      </c>
    </row>
    <row r="198" customFormat="false" ht="12.8" hidden="false" customHeight="false" outlineLevel="0" collapsed="false">
      <c r="A198" s="0" t="n">
        <v>3510</v>
      </c>
    </row>
    <row r="199" customFormat="false" ht="12.8" hidden="false" customHeight="false" outlineLevel="0" collapsed="false">
      <c r="A199" s="0" t="n">
        <v>3520</v>
      </c>
    </row>
    <row r="200" customFormat="false" ht="12.8" hidden="false" customHeight="false" outlineLevel="0" collapsed="false">
      <c r="A200" s="0" t="n">
        <v>3530</v>
      </c>
    </row>
    <row r="201" customFormat="false" ht="12.8" hidden="false" customHeight="false" outlineLevel="0" collapsed="false">
      <c r="A201" s="0" t="n">
        <v>3540</v>
      </c>
    </row>
    <row r="202" customFormat="false" ht="12.8" hidden="false" customHeight="false" outlineLevel="0" collapsed="false">
      <c r="A202" s="0" t="n">
        <v>3550</v>
      </c>
    </row>
    <row r="203" customFormat="false" ht="12.8" hidden="false" customHeight="false" outlineLevel="0" collapsed="false">
      <c r="A203" s="0" t="n">
        <v>3560</v>
      </c>
    </row>
    <row r="204" customFormat="false" ht="12.8" hidden="false" customHeight="false" outlineLevel="0" collapsed="false">
      <c r="A204" s="0" t="n">
        <v>3570</v>
      </c>
    </row>
    <row r="205" customFormat="false" ht="12.8" hidden="false" customHeight="false" outlineLevel="0" collapsed="false">
      <c r="A205" s="0" t="n">
        <v>3580</v>
      </c>
    </row>
    <row r="206" customFormat="false" ht="12.8" hidden="false" customHeight="false" outlineLevel="0" collapsed="false">
      <c r="A206" s="0" t="n">
        <v>3590</v>
      </c>
    </row>
    <row r="207" customFormat="false" ht="12.8" hidden="false" customHeight="false" outlineLevel="0" collapsed="false">
      <c r="A207" s="0" t="n">
        <v>3600</v>
      </c>
    </row>
    <row r="208" customFormat="false" ht="12.8" hidden="false" customHeight="false" outlineLevel="0" collapsed="false">
      <c r="A208" s="0" t="n">
        <v>3610</v>
      </c>
    </row>
    <row r="209" customFormat="false" ht="12.8" hidden="false" customHeight="false" outlineLevel="0" collapsed="false">
      <c r="A209" s="0" t="n">
        <v>3620</v>
      </c>
    </row>
    <row r="210" customFormat="false" ht="12.8" hidden="false" customHeight="false" outlineLevel="0" collapsed="false">
      <c r="A210" s="0" t="n">
        <v>3630</v>
      </c>
    </row>
    <row r="211" customFormat="false" ht="12.8" hidden="false" customHeight="false" outlineLevel="0" collapsed="false">
      <c r="A211" s="0" t="n">
        <v>3640</v>
      </c>
    </row>
    <row r="212" customFormat="false" ht="12.8" hidden="false" customHeight="false" outlineLevel="0" collapsed="false">
      <c r="A212" s="0" t="n">
        <v>3650</v>
      </c>
    </row>
    <row r="213" customFormat="false" ht="12.8" hidden="false" customHeight="false" outlineLevel="0" collapsed="false">
      <c r="A213" s="0" t="n">
        <v>3660</v>
      </c>
    </row>
    <row r="214" customFormat="false" ht="12.8" hidden="false" customHeight="false" outlineLevel="0" collapsed="false">
      <c r="A214" s="0" t="n">
        <v>3670</v>
      </c>
    </row>
    <row r="215" customFormat="false" ht="12.8" hidden="false" customHeight="false" outlineLevel="0" collapsed="false">
      <c r="A215" s="0" t="n">
        <v>3680</v>
      </c>
    </row>
    <row r="216" customFormat="false" ht="12.8" hidden="false" customHeight="false" outlineLevel="0" collapsed="false">
      <c r="A216" s="0" t="n">
        <v>3690</v>
      </c>
    </row>
    <row r="217" customFormat="false" ht="12.8" hidden="false" customHeight="false" outlineLevel="0" collapsed="false">
      <c r="A217" s="0" t="n">
        <v>3700</v>
      </c>
    </row>
    <row r="218" customFormat="false" ht="12.8" hidden="false" customHeight="false" outlineLevel="0" collapsed="false">
      <c r="A218" s="0" t="n">
        <v>3710</v>
      </c>
    </row>
    <row r="219" customFormat="false" ht="12.8" hidden="false" customHeight="false" outlineLevel="0" collapsed="false">
      <c r="A219" s="0" t="n">
        <v>3720</v>
      </c>
    </row>
    <row r="220" customFormat="false" ht="12.8" hidden="false" customHeight="false" outlineLevel="0" collapsed="false">
      <c r="A220" s="0" t="n">
        <v>3730</v>
      </c>
    </row>
    <row r="221" customFormat="false" ht="12.8" hidden="false" customHeight="false" outlineLevel="0" collapsed="false">
      <c r="A221" s="0" t="n">
        <v>3740</v>
      </c>
    </row>
    <row r="222" customFormat="false" ht="12.8" hidden="false" customHeight="false" outlineLevel="0" collapsed="false">
      <c r="A222" s="0" t="n">
        <v>3750</v>
      </c>
    </row>
    <row r="223" customFormat="false" ht="12.8" hidden="false" customHeight="false" outlineLevel="0" collapsed="false">
      <c r="A223" s="0" t="n">
        <v>3760</v>
      </c>
    </row>
    <row r="224" customFormat="false" ht="12.8" hidden="false" customHeight="false" outlineLevel="0" collapsed="false">
      <c r="A224" s="0" t="n">
        <v>3770</v>
      </c>
    </row>
    <row r="225" customFormat="false" ht="12.8" hidden="false" customHeight="false" outlineLevel="0" collapsed="false">
      <c r="A225" s="0" t="n">
        <v>3780</v>
      </c>
    </row>
    <row r="226" customFormat="false" ht="12.8" hidden="false" customHeight="false" outlineLevel="0" collapsed="false">
      <c r="A226" s="0" t="n">
        <v>3790</v>
      </c>
    </row>
    <row r="227" customFormat="false" ht="12.8" hidden="false" customHeight="false" outlineLevel="0" collapsed="false">
      <c r="A227" s="0" t="n">
        <v>3800</v>
      </c>
    </row>
    <row r="228" customFormat="false" ht="12.8" hidden="false" customHeight="false" outlineLevel="0" collapsed="false">
      <c r="A228" s="0" t="n">
        <v>3810</v>
      </c>
    </row>
    <row r="229" customFormat="false" ht="12.8" hidden="false" customHeight="false" outlineLevel="0" collapsed="false">
      <c r="A229" s="0" t="n">
        <v>3820</v>
      </c>
    </row>
    <row r="230" customFormat="false" ht="12.8" hidden="false" customHeight="false" outlineLevel="0" collapsed="false">
      <c r="A230" s="0" t="n">
        <v>3830</v>
      </c>
    </row>
    <row r="231" customFormat="false" ht="12.8" hidden="false" customHeight="false" outlineLevel="0" collapsed="false">
      <c r="A231" s="0" t="n">
        <v>3840</v>
      </c>
    </row>
    <row r="232" customFormat="false" ht="12.8" hidden="false" customHeight="false" outlineLevel="0" collapsed="false">
      <c r="A232" s="0" t="n">
        <v>3850</v>
      </c>
    </row>
    <row r="233" customFormat="false" ht="12.8" hidden="false" customHeight="false" outlineLevel="0" collapsed="false">
      <c r="A233" s="0" t="n">
        <v>3860</v>
      </c>
    </row>
    <row r="234" customFormat="false" ht="12.8" hidden="false" customHeight="false" outlineLevel="0" collapsed="false">
      <c r="A234" s="0" t="n">
        <v>3870</v>
      </c>
    </row>
    <row r="235" customFormat="false" ht="12.8" hidden="false" customHeight="false" outlineLevel="0" collapsed="false">
      <c r="A235" s="0" t="n">
        <v>3880</v>
      </c>
    </row>
    <row r="236" customFormat="false" ht="12.8" hidden="false" customHeight="false" outlineLevel="0" collapsed="false">
      <c r="A236" s="0" t="n">
        <v>3890</v>
      </c>
    </row>
    <row r="237" customFormat="false" ht="12.8" hidden="false" customHeight="false" outlineLevel="0" collapsed="false">
      <c r="A237" s="0" t="n">
        <v>3900</v>
      </c>
    </row>
    <row r="238" customFormat="false" ht="12.8" hidden="false" customHeight="false" outlineLevel="0" collapsed="false">
      <c r="A238" s="0" t="n">
        <v>3910</v>
      </c>
    </row>
    <row r="239" customFormat="false" ht="12.8" hidden="false" customHeight="false" outlineLevel="0" collapsed="false">
      <c r="A239" s="0" t="n">
        <v>3920</v>
      </c>
    </row>
    <row r="240" customFormat="false" ht="12.8" hidden="false" customHeight="false" outlineLevel="0" collapsed="false">
      <c r="A240" s="0" t="n">
        <v>3930</v>
      </c>
    </row>
    <row r="241" customFormat="false" ht="12.8" hidden="false" customHeight="false" outlineLevel="0" collapsed="false">
      <c r="A241" s="0" t="n">
        <v>3940</v>
      </c>
    </row>
    <row r="242" customFormat="false" ht="12.8" hidden="false" customHeight="false" outlineLevel="0" collapsed="false">
      <c r="A242" s="0" t="n">
        <v>3950</v>
      </c>
    </row>
    <row r="243" customFormat="false" ht="12.8" hidden="false" customHeight="false" outlineLevel="0" collapsed="false">
      <c r="A243" s="0" t="n">
        <v>3960</v>
      </c>
    </row>
    <row r="244" customFormat="false" ht="12.8" hidden="false" customHeight="false" outlineLevel="0" collapsed="false">
      <c r="A244" s="0" t="n">
        <v>3970</v>
      </c>
    </row>
    <row r="245" customFormat="false" ht="12.8" hidden="false" customHeight="false" outlineLevel="0" collapsed="false">
      <c r="A245" s="0" t="n">
        <v>3980</v>
      </c>
    </row>
    <row r="246" customFormat="false" ht="12.8" hidden="false" customHeight="false" outlineLevel="0" collapsed="false">
      <c r="A246" s="0" t="n">
        <v>3990</v>
      </c>
    </row>
    <row r="247" customFormat="false" ht="12.8" hidden="false" customHeight="false" outlineLevel="0" collapsed="false">
      <c r="A247" s="0" t="n">
        <v>4000</v>
      </c>
    </row>
    <row r="248" customFormat="false" ht="12.8" hidden="false" customHeight="false" outlineLevel="0" collapsed="false">
      <c r="A248" s="0" t="n">
        <v>4010</v>
      </c>
    </row>
    <row r="249" customFormat="false" ht="12.8" hidden="false" customHeight="false" outlineLevel="0" collapsed="false">
      <c r="A249" s="0" t="n">
        <v>4020</v>
      </c>
    </row>
    <row r="250" customFormat="false" ht="12.8" hidden="false" customHeight="false" outlineLevel="0" collapsed="false">
      <c r="A250" s="0" t="n">
        <v>4030</v>
      </c>
    </row>
    <row r="251" customFormat="false" ht="12.8" hidden="false" customHeight="false" outlineLevel="0" collapsed="false">
      <c r="A251" s="0" t="n">
        <v>4040</v>
      </c>
    </row>
    <row r="252" customFormat="false" ht="12.8" hidden="false" customHeight="false" outlineLevel="0" collapsed="false">
      <c r="A252" s="0" t="n">
        <v>4050</v>
      </c>
    </row>
    <row r="253" customFormat="false" ht="12.8" hidden="false" customHeight="false" outlineLevel="0" collapsed="false">
      <c r="A253" s="0" t="n">
        <v>4060</v>
      </c>
    </row>
    <row r="254" customFormat="false" ht="12.8" hidden="false" customHeight="false" outlineLevel="0" collapsed="false">
      <c r="A254" s="0" t="n">
        <v>4070</v>
      </c>
    </row>
    <row r="255" customFormat="false" ht="12.8" hidden="false" customHeight="false" outlineLevel="0" collapsed="false">
      <c r="A255" s="0" t="n">
        <v>4080</v>
      </c>
    </row>
    <row r="256" customFormat="false" ht="12.8" hidden="false" customHeight="false" outlineLevel="0" collapsed="false">
      <c r="A256" s="0" t="n">
        <v>4090</v>
      </c>
    </row>
    <row r="257" customFormat="false" ht="12.8" hidden="false" customHeight="false" outlineLevel="0" collapsed="false">
      <c r="A257" s="0" t="n">
        <v>4100</v>
      </c>
    </row>
    <row r="258" customFormat="false" ht="12.8" hidden="false" customHeight="false" outlineLevel="0" collapsed="false">
      <c r="A258" s="0" t="n">
        <v>4110</v>
      </c>
    </row>
    <row r="259" customFormat="false" ht="12.8" hidden="false" customHeight="false" outlineLevel="0" collapsed="false">
      <c r="A259" s="0" t="n">
        <v>4120</v>
      </c>
    </row>
    <row r="260" customFormat="false" ht="12.8" hidden="false" customHeight="false" outlineLevel="0" collapsed="false">
      <c r="A260" s="0" t="n">
        <v>4130</v>
      </c>
    </row>
    <row r="261" customFormat="false" ht="12.8" hidden="false" customHeight="false" outlineLevel="0" collapsed="false">
      <c r="A261" s="0" t="n">
        <v>4140</v>
      </c>
    </row>
    <row r="262" customFormat="false" ht="12.8" hidden="false" customHeight="false" outlineLevel="0" collapsed="false">
      <c r="A262" s="0" t="n">
        <v>4150</v>
      </c>
    </row>
    <row r="263" customFormat="false" ht="12.8" hidden="false" customHeight="false" outlineLevel="0" collapsed="false">
      <c r="A263" s="0" t="n">
        <v>4160</v>
      </c>
    </row>
    <row r="264" customFormat="false" ht="12.8" hidden="false" customHeight="false" outlineLevel="0" collapsed="false">
      <c r="A264" s="0" t="n">
        <v>4170</v>
      </c>
    </row>
    <row r="265" customFormat="false" ht="12.8" hidden="false" customHeight="false" outlineLevel="0" collapsed="false">
      <c r="A265" s="0" t="n">
        <v>4180</v>
      </c>
    </row>
    <row r="266" customFormat="false" ht="12.8" hidden="false" customHeight="false" outlineLevel="0" collapsed="false">
      <c r="A266" s="0" t="n">
        <v>4190</v>
      </c>
    </row>
    <row r="267" customFormat="false" ht="12.8" hidden="false" customHeight="false" outlineLevel="0" collapsed="false">
      <c r="A267" s="0" t="n">
        <v>4200</v>
      </c>
    </row>
    <row r="268" customFormat="false" ht="12.8" hidden="false" customHeight="false" outlineLevel="0" collapsed="false">
      <c r="A268" s="0" t="n">
        <v>4210</v>
      </c>
    </row>
    <row r="269" customFormat="false" ht="12.8" hidden="false" customHeight="false" outlineLevel="0" collapsed="false">
      <c r="A269" s="0" t="n">
        <v>4220</v>
      </c>
    </row>
    <row r="270" customFormat="false" ht="12.8" hidden="false" customHeight="false" outlineLevel="0" collapsed="false">
      <c r="A270" s="0" t="n">
        <v>4230</v>
      </c>
    </row>
    <row r="271" customFormat="false" ht="12.8" hidden="false" customHeight="false" outlineLevel="0" collapsed="false">
      <c r="A271" s="0" t="n">
        <v>4240</v>
      </c>
    </row>
    <row r="272" customFormat="false" ht="12.8" hidden="false" customHeight="false" outlineLevel="0" collapsed="false">
      <c r="A272" s="0" t="n">
        <v>4250</v>
      </c>
    </row>
    <row r="273" customFormat="false" ht="12.8" hidden="false" customHeight="false" outlineLevel="0" collapsed="false">
      <c r="A273" s="0" t="n">
        <v>4260</v>
      </c>
    </row>
    <row r="274" customFormat="false" ht="12.8" hidden="false" customHeight="false" outlineLevel="0" collapsed="false">
      <c r="A274" s="0" t="n">
        <v>4270</v>
      </c>
    </row>
    <row r="275" customFormat="false" ht="12.8" hidden="false" customHeight="false" outlineLevel="0" collapsed="false">
      <c r="A275" s="0" t="n">
        <v>4280</v>
      </c>
    </row>
    <row r="276" customFormat="false" ht="12.8" hidden="false" customHeight="false" outlineLevel="0" collapsed="false">
      <c r="A276" s="0" t="n">
        <v>4290</v>
      </c>
    </row>
    <row r="277" customFormat="false" ht="12.8" hidden="false" customHeight="false" outlineLevel="0" collapsed="false">
      <c r="A277" s="0" t="n">
        <v>4300</v>
      </c>
    </row>
    <row r="278" customFormat="false" ht="12.8" hidden="false" customHeight="false" outlineLevel="0" collapsed="false">
      <c r="A278" s="0" t="n">
        <v>4310</v>
      </c>
    </row>
    <row r="279" customFormat="false" ht="12.8" hidden="false" customHeight="false" outlineLevel="0" collapsed="false">
      <c r="A279" s="0" t="n">
        <v>4320</v>
      </c>
    </row>
    <row r="280" customFormat="false" ht="12.8" hidden="false" customHeight="false" outlineLevel="0" collapsed="false">
      <c r="A280" s="0" t="n">
        <v>4330</v>
      </c>
    </row>
    <row r="281" customFormat="false" ht="12.8" hidden="false" customHeight="false" outlineLevel="0" collapsed="false">
      <c r="A281" s="0" t="n">
        <v>4340</v>
      </c>
    </row>
    <row r="282" customFormat="false" ht="12.8" hidden="false" customHeight="false" outlineLevel="0" collapsed="false">
      <c r="A282" s="0" t="n">
        <v>4350</v>
      </c>
    </row>
    <row r="283" customFormat="false" ht="12.8" hidden="false" customHeight="false" outlineLevel="0" collapsed="false">
      <c r="A283" s="0" t="n">
        <v>4360</v>
      </c>
    </row>
    <row r="284" customFormat="false" ht="12.8" hidden="false" customHeight="false" outlineLevel="0" collapsed="false">
      <c r="A284" s="0" t="n">
        <v>4370</v>
      </c>
    </row>
    <row r="285" customFormat="false" ht="12.8" hidden="false" customHeight="false" outlineLevel="0" collapsed="false">
      <c r="A285" s="0" t="n">
        <v>4380</v>
      </c>
    </row>
    <row r="286" customFormat="false" ht="12.8" hidden="false" customHeight="false" outlineLevel="0" collapsed="false">
      <c r="A286" s="0" t="n">
        <v>4390</v>
      </c>
    </row>
    <row r="287" customFormat="false" ht="12.8" hidden="false" customHeight="false" outlineLevel="0" collapsed="false">
      <c r="A287" s="0" t="n">
        <v>4400</v>
      </c>
    </row>
    <row r="288" customFormat="false" ht="12.8" hidden="false" customHeight="false" outlineLevel="0" collapsed="false">
      <c r="A288" s="0" t="n">
        <v>4410</v>
      </c>
    </row>
    <row r="289" customFormat="false" ht="12.8" hidden="false" customHeight="false" outlineLevel="0" collapsed="false">
      <c r="A289" s="0" t="n">
        <v>4420</v>
      </c>
    </row>
    <row r="290" customFormat="false" ht="12.8" hidden="false" customHeight="false" outlineLevel="0" collapsed="false">
      <c r="A290" s="0" t="n">
        <v>4430</v>
      </c>
    </row>
    <row r="291" customFormat="false" ht="12.8" hidden="false" customHeight="false" outlineLevel="0" collapsed="false">
      <c r="A291" s="0" t="n">
        <v>4440</v>
      </c>
    </row>
    <row r="292" customFormat="false" ht="12.8" hidden="false" customHeight="false" outlineLevel="0" collapsed="false">
      <c r="A292" s="0" t="n">
        <v>4450</v>
      </c>
    </row>
    <row r="293" customFormat="false" ht="12.8" hidden="false" customHeight="false" outlineLevel="0" collapsed="false">
      <c r="A293" s="0" t="n">
        <v>4460</v>
      </c>
    </row>
    <row r="294" customFormat="false" ht="12.8" hidden="false" customHeight="false" outlineLevel="0" collapsed="false">
      <c r="A294" s="0" t="n">
        <v>4470</v>
      </c>
    </row>
    <row r="295" customFormat="false" ht="12.8" hidden="false" customHeight="false" outlineLevel="0" collapsed="false">
      <c r="A295" s="0" t="n">
        <v>4480</v>
      </c>
    </row>
    <row r="296" customFormat="false" ht="12.8" hidden="false" customHeight="false" outlineLevel="0" collapsed="false">
      <c r="A296" s="0" t="n">
        <v>4490</v>
      </c>
    </row>
    <row r="297" customFormat="false" ht="12.8" hidden="false" customHeight="false" outlineLevel="0" collapsed="false">
      <c r="A297" s="0" t="n">
        <v>4500</v>
      </c>
    </row>
    <row r="298" customFormat="false" ht="12.8" hidden="false" customHeight="false" outlineLevel="0" collapsed="false">
      <c r="A298" s="0" t="n">
        <v>4510</v>
      </c>
    </row>
    <row r="299" customFormat="false" ht="12.8" hidden="false" customHeight="false" outlineLevel="0" collapsed="false">
      <c r="A299" s="0" t="n">
        <v>4520</v>
      </c>
    </row>
    <row r="300" customFormat="false" ht="12.8" hidden="false" customHeight="false" outlineLevel="0" collapsed="false">
      <c r="A300" s="0" t="n">
        <v>4530</v>
      </c>
    </row>
    <row r="301" customFormat="false" ht="12.8" hidden="false" customHeight="false" outlineLevel="0" collapsed="false">
      <c r="A301" s="0" t="n">
        <v>4540</v>
      </c>
    </row>
    <row r="302" customFormat="false" ht="12.8" hidden="false" customHeight="false" outlineLevel="0" collapsed="false">
      <c r="A302" s="0" t="n">
        <v>4550</v>
      </c>
    </row>
    <row r="303" customFormat="false" ht="12.8" hidden="false" customHeight="false" outlineLevel="0" collapsed="false">
      <c r="A303" s="0" t="n">
        <v>4560</v>
      </c>
    </row>
    <row r="304" customFormat="false" ht="12.8" hidden="false" customHeight="false" outlineLevel="0" collapsed="false">
      <c r="A304" s="0" t="n">
        <v>4570</v>
      </c>
    </row>
    <row r="305" customFormat="false" ht="12.8" hidden="false" customHeight="false" outlineLevel="0" collapsed="false">
      <c r="A305" s="0" t="n">
        <v>4580</v>
      </c>
    </row>
    <row r="306" customFormat="false" ht="12.8" hidden="false" customHeight="false" outlineLevel="0" collapsed="false">
      <c r="A306" s="0" t="n">
        <v>4590</v>
      </c>
    </row>
    <row r="307" customFormat="false" ht="12.8" hidden="false" customHeight="false" outlineLevel="0" collapsed="false">
      <c r="A307" s="0" t="n">
        <v>4600</v>
      </c>
    </row>
    <row r="308" customFormat="false" ht="12.8" hidden="false" customHeight="false" outlineLevel="0" collapsed="false">
      <c r="A308" s="0" t="n">
        <v>4610</v>
      </c>
    </row>
    <row r="309" customFormat="false" ht="12.8" hidden="false" customHeight="false" outlineLevel="0" collapsed="false">
      <c r="A309" s="0" t="n">
        <v>4620</v>
      </c>
    </row>
    <row r="310" customFormat="false" ht="12.8" hidden="false" customHeight="false" outlineLevel="0" collapsed="false">
      <c r="A310" s="0" t="n">
        <v>4630</v>
      </c>
    </row>
    <row r="311" customFormat="false" ht="12.8" hidden="false" customHeight="false" outlineLevel="0" collapsed="false">
      <c r="A311" s="0" t="n">
        <v>4640</v>
      </c>
    </row>
    <row r="312" customFormat="false" ht="12.8" hidden="false" customHeight="false" outlineLevel="0" collapsed="false">
      <c r="A312" s="0" t="n">
        <v>4650</v>
      </c>
    </row>
    <row r="313" customFormat="false" ht="12.8" hidden="false" customHeight="false" outlineLevel="0" collapsed="false">
      <c r="A313" s="0" t="n">
        <v>4660</v>
      </c>
    </row>
    <row r="314" customFormat="false" ht="12.8" hidden="false" customHeight="false" outlineLevel="0" collapsed="false">
      <c r="A314" s="0" t="n">
        <v>4670</v>
      </c>
    </row>
    <row r="315" customFormat="false" ht="12.8" hidden="false" customHeight="false" outlineLevel="0" collapsed="false">
      <c r="A315" s="0" t="n">
        <v>4680</v>
      </c>
    </row>
    <row r="316" customFormat="false" ht="12.8" hidden="false" customHeight="false" outlineLevel="0" collapsed="false">
      <c r="A316" s="0" t="n">
        <v>4690</v>
      </c>
    </row>
    <row r="317" customFormat="false" ht="12.8" hidden="false" customHeight="false" outlineLevel="0" collapsed="false">
      <c r="A317" s="0" t="n">
        <v>4700</v>
      </c>
    </row>
    <row r="318" customFormat="false" ht="12.8" hidden="false" customHeight="false" outlineLevel="0" collapsed="false">
      <c r="A318" s="0" t="n">
        <v>4710</v>
      </c>
    </row>
    <row r="319" customFormat="false" ht="12.8" hidden="false" customHeight="false" outlineLevel="0" collapsed="false">
      <c r="A319" s="0" t="n">
        <v>4720</v>
      </c>
    </row>
    <row r="320" customFormat="false" ht="12.8" hidden="false" customHeight="false" outlineLevel="0" collapsed="false">
      <c r="A320" s="0" t="n">
        <v>4730</v>
      </c>
    </row>
    <row r="321" customFormat="false" ht="12.8" hidden="false" customHeight="false" outlineLevel="0" collapsed="false">
      <c r="A321" s="0" t="n">
        <v>4740</v>
      </c>
    </row>
    <row r="322" customFormat="false" ht="12.8" hidden="false" customHeight="false" outlineLevel="0" collapsed="false">
      <c r="A322" s="0" t="n">
        <v>4750</v>
      </c>
    </row>
    <row r="323" customFormat="false" ht="12.8" hidden="false" customHeight="false" outlineLevel="0" collapsed="false">
      <c r="A323" s="0" t="n">
        <v>4760</v>
      </c>
    </row>
    <row r="324" customFormat="false" ht="12.8" hidden="false" customHeight="false" outlineLevel="0" collapsed="false">
      <c r="A324" s="0" t="n">
        <v>4770</v>
      </c>
    </row>
    <row r="325" customFormat="false" ht="12.8" hidden="false" customHeight="false" outlineLevel="0" collapsed="false">
      <c r="A325" s="0" t="n">
        <v>4780</v>
      </c>
    </row>
    <row r="326" customFormat="false" ht="12.8" hidden="false" customHeight="false" outlineLevel="0" collapsed="false">
      <c r="A326" s="0" t="n">
        <v>4790</v>
      </c>
    </row>
    <row r="327" customFormat="false" ht="12.8" hidden="false" customHeight="false" outlineLevel="0" collapsed="false">
      <c r="A327" s="0" t="n">
        <v>4800</v>
      </c>
    </row>
    <row r="328" customFormat="false" ht="12.8" hidden="false" customHeight="false" outlineLevel="0" collapsed="false">
      <c r="A328" s="0" t="n">
        <v>4810</v>
      </c>
    </row>
    <row r="329" customFormat="false" ht="12.8" hidden="false" customHeight="false" outlineLevel="0" collapsed="false">
      <c r="A329" s="0" t="n">
        <v>4820</v>
      </c>
    </row>
    <row r="330" customFormat="false" ht="12.8" hidden="false" customHeight="false" outlineLevel="0" collapsed="false">
      <c r="A330" s="0" t="n">
        <v>4830</v>
      </c>
    </row>
    <row r="331" customFormat="false" ht="12.8" hidden="false" customHeight="false" outlineLevel="0" collapsed="false">
      <c r="A331" s="0" t="n">
        <v>4840</v>
      </c>
    </row>
    <row r="332" customFormat="false" ht="12.8" hidden="false" customHeight="false" outlineLevel="0" collapsed="false">
      <c r="A332" s="0" t="n">
        <v>4850</v>
      </c>
    </row>
    <row r="333" customFormat="false" ht="12.8" hidden="false" customHeight="false" outlineLevel="0" collapsed="false">
      <c r="A333" s="0" t="n">
        <v>4860</v>
      </c>
    </row>
    <row r="334" customFormat="false" ht="12.8" hidden="false" customHeight="false" outlineLevel="0" collapsed="false">
      <c r="A334" s="0" t="n">
        <v>4870</v>
      </c>
    </row>
    <row r="335" customFormat="false" ht="12.8" hidden="false" customHeight="false" outlineLevel="0" collapsed="false">
      <c r="A335" s="0" t="n">
        <v>4880</v>
      </c>
    </row>
    <row r="336" customFormat="false" ht="12.8" hidden="false" customHeight="false" outlineLevel="0" collapsed="false">
      <c r="A336" s="0" t="n">
        <v>4890</v>
      </c>
    </row>
    <row r="337" customFormat="false" ht="12.8" hidden="false" customHeight="false" outlineLevel="0" collapsed="false">
      <c r="A337" s="0" t="n">
        <v>4900</v>
      </c>
    </row>
    <row r="338" customFormat="false" ht="12.8" hidden="false" customHeight="false" outlineLevel="0" collapsed="false">
      <c r="A338" s="0" t="n">
        <v>4910</v>
      </c>
    </row>
    <row r="339" customFormat="false" ht="12.8" hidden="false" customHeight="false" outlineLevel="0" collapsed="false">
      <c r="A339" s="0" t="n">
        <v>4920</v>
      </c>
    </row>
    <row r="340" customFormat="false" ht="12.8" hidden="false" customHeight="false" outlineLevel="0" collapsed="false">
      <c r="A340" s="0" t="n">
        <v>4930</v>
      </c>
    </row>
    <row r="341" customFormat="false" ht="12.8" hidden="false" customHeight="false" outlineLevel="0" collapsed="false">
      <c r="A341" s="0" t="n">
        <v>4940</v>
      </c>
    </row>
    <row r="342" customFormat="false" ht="12.8" hidden="false" customHeight="false" outlineLevel="0" collapsed="false">
      <c r="A342" s="0" t="n">
        <v>4950</v>
      </c>
    </row>
    <row r="343" customFormat="false" ht="12.8" hidden="false" customHeight="false" outlineLevel="0" collapsed="false">
      <c r="A343" s="0" t="n">
        <v>4960</v>
      </c>
    </row>
    <row r="344" customFormat="false" ht="12.8" hidden="false" customHeight="false" outlineLevel="0" collapsed="false">
      <c r="A344" s="0" t="n">
        <v>4970</v>
      </c>
    </row>
    <row r="345" customFormat="false" ht="12.8" hidden="false" customHeight="false" outlineLevel="0" collapsed="false">
      <c r="A345" s="0" t="n">
        <v>4980</v>
      </c>
    </row>
    <row r="346" customFormat="false" ht="12.8" hidden="false" customHeight="false" outlineLevel="0" collapsed="false">
      <c r="A346" s="0" t="n">
        <v>4990</v>
      </c>
    </row>
    <row r="347" customFormat="false" ht="12.8" hidden="false" customHeight="false" outlineLevel="0" collapsed="false">
      <c r="A347" s="0" t="n">
        <v>5000</v>
      </c>
    </row>
    <row r="348" customFormat="false" ht="12.8" hidden="false" customHeight="false" outlineLevel="0" collapsed="false">
      <c r="A348" s="0" t="n">
        <v>5010</v>
      </c>
    </row>
    <row r="349" customFormat="false" ht="12.8" hidden="false" customHeight="false" outlineLevel="0" collapsed="false">
      <c r="A349" s="0" t="n">
        <v>5020</v>
      </c>
    </row>
    <row r="350" customFormat="false" ht="12.8" hidden="false" customHeight="false" outlineLevel="0" collapsed="false">
      <c r="A350" s="0" t="n">
        <v>5030</v>
      </c>
    </row>
    <row r="351" customFormat="false" ht="12.8" hidden="false" customHeight="false" outlineLevel="0" collapsed="false">
      <c r="A351" s="0" t="n">
        <v>5040</v>
      </c>
    </row>
    <row r="352" customFormat="false" ht="12.8" hidden="false" customHeight="false" outlineLevel="0" collapsed="false">
      <c r="A352" s="0" t="n">
        <v>5050</v>
      </c>
    </row>
    <row r="353" customFormat="false" ht="12.8" hidden="false" customHeight="false" outlineLevel="0" collapsed="false">
      <c r="A353" s="0" t="n">
        <v>5060</v>
      </c>
    </row>
    <row r="354" customFormat="false" ht="12.8" hidden="false" customHeight="false" outlineLevel="0" collapsed="false">
      <c r="A354" s="0" t="n">
        <v>5070</v>
      </c>
    </row>
    <row r="355" customFormat="false" ht="12.8" hidden="false" customHeight="false" outlineLevel="0" collapsed="false">
      <c r="A355" s="0" t="n">
        <v>5080</v>
      </c>
    </row>
    <row r="356" customFormat="false" ht="12.8" hidden="false" customHeight="false" outlineLevel="0" collapsed="false">
      <c r="A356" s="0" t="n">
        <v>5090</v>
      </c>
    </row>
    <row r="357" customFormat="false" ht="12.8" hidden="false" customHeight="false" outlineLevel="0" collapsed="false">
      <c r="A357" s="0" t="n">
        <v>5100</v>
      </c>
    </row>
    <row r="358" customFormat="false" ht="12.8" hidden="false" customHeight="false" outlineLevel="0" collapsed="false">
      <c r="A358" s="0" t="n">
        <v>5110</v>
      </c>
    </row>
    <row r="359" customFormat="false" ht="12.8" hidden="false" customHeight="false" outlineLevel="0" collapsed="false">
      <c r="A359" s="0" t="n">
        <v>5120</v>
      </c>
    </row>
    <row r="360" customFormat="false" ht="12.8" hidden="false" customHeight="false" outlineLevel="0" collapsed="false">
      <c r="A360" s="0" t="n">
        <v>5130</v>
      </c>
    </row>
    <row r="361" customFormat="false" ht="12.8" hidden="false" customHeight="false" outlineLevel="0" collapsed="false">
      <c r="A361" s="0" t="n">
        <v>5140</v>
      </c>
    </row>
    <row r="362" customFormat="false" ht="12.8" hidden="false" customHeight="false" outlineLevel="0" collapsed="false">
      <c r="A362" s="0" t="n">
        <v>5150</v>
      </c>
    </row>
    <row r="363" customFormat="false" ht="12.8" hidden="false" customHeight="false" outlineLevel="0" collapsed="false">
      <c r="A363" s="0" t="n">
        <v>5160</v>
      </c>
    </row>
    <row r="364" customFormat="false" ht="12.8" hidden="false" customHeight="false" outlineLevel="0" collapsed="false">
      <c r="A364" s="0" t="n">
        <v>5170</v>
      </c>
    </row>
    <row r="365" customFormat="false" ht="12.8" hidden="false" customHeight="false" outlineLevel="0" collapsed="false">
      <c r="A365" s="0" t="n">
        <v>5180</v>
      </c>
    </row>
    <row r="366" customFormat="false" ht="12.8" hidden="false" customHeight="false" outlineLevel="0" collapsed="false">
      <c r="A366" s="0" t="n">
        <v>5190</v>
      </c>
    </row>
    <row r="367" customFormat="false" ht="12.8" hidden="false" customHeight="false" outlineLevel="0" collapsed="false">
      <c r="A367" s="0" t="n">
        <v>5200</v>
      </c>
    </row>
    <row r="368" customFormat="false" ht="12.8" hidden="false" customHeight="false" outlineLevel="0" collapsed="false">
      <c r="A368" s="0" t="n">
        <v>5210</v>
      </c>
    </row>
    <row r="369" customFormat="false" ht="12.8" hidden="false" customHeight="false" outlineLevel="0" collapsed="false">
      <c r="A369" s="0" t="n">
        <v>5220</v>
      </c>
    </row>
    <row r="370" customFormat="false" ht="12.8" hidden="false" customHeight="false" outlineLevel="0" collapsed="false">
      <c r="A370" s="0" t="n">
        <v>5230</v>
      </c>
    </row>
    <row r="371" customFormat="false" ht="12.8" hidden="false" customHeight="false" outlineLevel="0" collapsed="false">
      <c r="A371" s="0" t="n">
        <v>5240</v>
      </c>
    </row>
    <row r="372" customFormat="false" ht="12.8" hidden="false" customHeight="false" outlineLevel="0" collapsed="false">
      <c r="A372" s="0" t="n">
        <v>5250</v>
      </c>
    </row>
    <row r="373" customFormat="false" ht="12.8" hidden="false" customHeight="false" outlineLevel="0" collapsed="false">
      <c r="A373" s="0" t="n">
        <v>5260</v>
      </c>
    </row>
    <row r="374" customFormat="false" ht="12.8" hidden="false" customHeight="false" outlineLevel="0" collapsed="false">
      <c r="A374" s="0" t="n">
        <v>5270</v>
      </c>
    </row>
    <row r="375" customFormat="false" ht="12.8" hidden="false" customHeight="false" outlineLevel="0" collapsed="false">
      <c r="A375" s="0" t="n">
        <v>5280</v>
      </c>
    </row>
    <row r="376" customFormat="false" ht="12.8" hidden="false" customHeight="false" outlineLevel="0" collapsed="false">
      <c r="A376" s="0" t="n">
        <v>5290</v>
      </c>
    </row>
    <row r="377" customFormat="false" ht="12.8" hidden="false" customHeight="false" outlineLevel="0" collapsed="false">
      <c r="A377" s="0" t="n">
        <v>5300</v>
      </c>
    </row>
    <row r="378" customFormat="false" ht="12.8" hidden="false" customHeight="false" outlineLevel="0" collapsed="false">
      <c r="A378" s="0" t="n">
        <v>5310</v>
      </c>
    </row>
    <row r="379" customFormat="false" ht="12.8" hidden="false" customHeight="false" outlineLevel="0" collapsed="false">
      <c r="A379" s="0" t="n">
        <v>5320</v>
      </c>
    </row>
    <row r="380" customFormat="false" ht="12.8" hidden="false" customHeight="false" outlineLevel="0" collapsed="false">
      <c r="A380" s="0" t="n">
        <v>5330</v>
      </c>
    </row>
    <row r="381" customFormat="false" ht="12.8" hidden="false" customHeight="false" outlineLevel="0" collapsed="false">
      <c r="A381" s="0" t="n">
        <v>5340</v>
      </c>
    </row>
    <row r="382" customFormat="false" ht="12.8" hidden="false" customHeight="false" outlineLevel="0" collapsed="false">
      <c r="A382" s="0" t="n">
        <v>5350</v>
      </c>
    </row>
    <row r="383" customFormat="false" ht="12.8" hidden="false" customHeight="false" outlineLevel="0" collapsed="false">
      <c r="A383" s="0" t="n">
        <v>5360</v>
      </c>
    </row>
    <row r="384" customFormat="false" ht="12.8" hidden="false" customHeight="false" outlineLevel="0" collapsed="false">
      <c r="A384" s="0" t="n">
        <v>5370</v>
      </c>
    </row>
    <row r="385" customFormat="false" ht="12.8" hidden="false" customHeight="false" outlineLevel="0" collapsed="false">
      <c r="A385" s="0" t="n">
        <v>5380</v>
      </c>
    </row>
    <row r="386" customFormat="false" ht="12.8" hidden="false" customHeight="false" outlineLevel="0" collapsed="false">
      <c r="A386" s="0" t="n">
        <v>5390</v>
      </c>
    </row>
    <row r="387" customFormat="false" ht="12.8" hidden="false" customHeight="false" outlineLevel="0" collapsed="false">
      <c r="A387" s="0" t="n">
        <v>5400</v>
      </c>
    </row>
    <row r="388" customFormat="false" ht="12.8" hidden="false" customHeight="false" outlineLevel="0" collapsed="false">
      <c r="A388" s="0" t="n">
        <v>5410</v>
      </c>
    </row>
    <row r="389" customFormat="false" ht="12.8" hidden="false" customHeight="false" outlineLevel="0" collapsed="false">
      <c r="A389" s="0" t="n">
        <v>5420</v>
      </c>
    </row>
    <row r="390" customFormat="false" ht="12.8" hidden="false" customHeight="false" outlineLevel="0" collapsed="false">
      <c r="A390" s="0" t="n">
        <v>5430</v>
      </c>
    </row>
    <row r="391" customFormat="false" ht="12.8" hidden="false" customHeight="false" outlineLevel="0" collapsed="false">
      <c r="A391" s="0" t="n">
        <v>5440</v>
      </c>
    </row>
    <row r="392" customFormat="false" ht="12.8" hidden="false" customHeight="false" outlineLevel="0" collapsed="false">
      <c r="A392" s="0" t="n">
        <v>5450</v>
      </c>
    </row>
    <row r="393" customFormat="false" ht="12.8" hidden="false" customHeight="false" outlineLevel="0" collapsed="false">
      <c r="A393" s="0" t="n">
        <v>5460</v>
      </c>
    </row>
    <row r="394" customFormat="false" ht="12.8" hidden="false" customHeight="false" outlineLevel="0" collapsed="false">
      <c r="A394" s="0" t="n">
        <v>5470</v>
      </c>
    </row>
    <row r="395" customFormat="false" ht="12.8" hidden="false" customHeight="false" outlineLevel="0" collapsed="false">
      <c r="A395" s="0" t="n">
        <v>5480</v>
      </c>
    </row>
    <row r="396" customFormat="false" ht="12.8" hidden="false" customHeight="false" outlineLevel="0" collapsed="false">
      <c r="A396" s="0" t="n">
        <v>5490</v>
      </c>
    </row>
    <row r="397" customFormat="false" ht="12.8" hidden="false" customHeight="false" outlineLevel="0" collapsed="false">
      <c r="A397" s="0" t="n">
        <v>5500</v>
      </c>
    </row>
    <row r="398" customFormat="false" ht="12.8" hidden="false" customHeight="false" outlineLevel="0" collapsed="false">
      <c r="A398" s="0" t="n">
        <v>5510</v>
      </c>
    </row>
    <row r="399" customFormat="false" ht="12.8" hidden="false" customHeight="false" outlineLevel="0" collapsed="false">
      <c r="A399" s="0" t="n">
        <v>5520</v>
      </c>
    </row>
    <row r="400" customFormat="false" ht="12.8" hidden="false" customHeight="false" outlineLevel="0" collapsed="false">
      <c r="A400" s="0" t="n">
        <v>5530</v>
      </c>
    </row>
    <row r="401" customFormat="false" ht="12.8" hidden="false" customHeight="false" outlineLevel="0" collapsed="false">
      <c r="A401" s="0" t="n">
        <v>5540</v>
      </c>
    </row>
    <row r="402" customFormat="false" ht="12.8" hidden="false" customHeight="false" outlineLevel="0" collapsed="false">
      <c r="A402" s="0" t="n">
        <v>5550</v>
      </c>
    </row>
    <row r="403" customFormat="false" ht="12.8" hidden="false" customHeight="false" outlineLevel="0" collapsed="false">
      <c r="A403" s="0" t="n">
        <v>5560</v>
      </c>
    </row>
    <row r="404" customFormat="false" ht="12.8" hidden="false" customHeight="false" outlineLevel="0" collapsed="false">
      <c r="A404" s="0" t="n">
        <v>5570</v>
      </c>
    </row>
    <row r="405" customFormat="false" ht="12.8" hidden="false" customHeight="false" outlineLevel="0" collapsed="false">
      <c r="A405" s="0" t="n">
        <v>5580</v>
      </c>
    </row>
    <row r="406" customFormat="false" ht="12.8" hidden="false" customHeight="false" outlineLevel="0" collapsed="false">
      <c r="A406" s="0" t="n">
        <v>5590</v>
      </c>
    </row>
    <row r="407" customFormat="false" ht="12.8" hidden="false" customHeight="false" outlineLevel="0" collapsed="false">
      <c r="A407" s="0" t="n">
        <v>5600</v>
      </c>
    </row>
    <row r="408" customFormat="false" ht="12.8" hidden="false" customHeight="false" outlineLevel="0" collapsed="false">
      <c r="A408" s="0" t="n">
        <v>5610</v>
      </c>
    </row>
    <row r="409" customFormat="false" ht="12.8" hidden="false" customHeight="false" outlineLevel="0" collapsed="false">
      <c r="A409" s="0" t="n">
        <v>5620</v>
      </c>
    </row>
    <row r="410" customFormat="false" ht="12.8" hidden="false" customHeight="false" outlineLevel="0" collapsed="false">
      <c r="A410" s="0" t="n">
        <v>5630</v>
      </c>
    </row>
    <row r="411" customFormat="false" ht="12.8" hidden="false" customHeight="false" outlineLevel="0" collapsed="false">
      <c r="A411" s="0" t="n">
        <v>5640</v>
      </c>
    </row>
    <row r="412" customFormat="false" ht="12.8" hidden="false" customHeight="false" outlineLevel="0" collapsed="false">
      <c r="A412" s="0" t="n">
        <v>5650</v>
      </c>
    </row>
    <row r="413" customFormat="false" ht="12.8" hidden="false" customHeight="false" outlineLevel="0" collapsed="false">
      <c r="A413" s="0" t="n">
        <v>5660</v>
      </c>
    </row>
    <row r="414" customFormat="false" ht="12.8" hidden="false" customHeight="false" outlineLevel="0" collapsed="false">
      <c r="A414" s="0" t="n">
        <v>5670</v>
      </c>
    </row>
    <row r="415" customFormat="false" ht="12.8" hidden="false" customHeight="false" outlineLevel="0" collapsed="false">
      <c r="A415" s="0" t="n">
        <v>5680</v>
      </c>
    </row>
    <row r="416" customFormat="false" ht="12.8" hidden="false" customHeight="false" outlineLevel="0" collapsed="false">
      <c r="A416" s="0" t="n">
        <v>5690</v>
      </c>
    </row>
    <row r="417" customFormat="false" ht="12.8" hidden="false" customHeight="false" outlineLevel="0" collapsed="false">
      <c r="A417" s="0" t="n">
        <v>5700</v>
      </c>
    </row>
    <row r="418" customFormat="false" ht="12.8" hidden="false" customHeight="false" outlineLevel="0" collapsed="false">
      <c r="A418" s="0" t="n">
        <v>5710</v>
      </c>
    </row>
    <row r="419" customFormat="false" ht="12.8" hidden="false" customHeight="false" outlineLevel="0" collapsed="false">
      <c r="A419" s="0" t="n">
        <v>5720</v>
      </c>
    </row>
    <row r="420" customFormat="false" ht="12.8" hidden="false" customHeight="false" outlineLevel="0" collapsed="false">
      <c r="A420" s="0" t="n">
        <v>5730</v>
      </c>
    </row>
    <row r="421" customFormat="false" ht="12.8" hidden="false" customHeight="false" outlineLevel="0" collapsed="false">
      <c r="A421" s="0" t="n">
        <v>5740</v>
      </c>
    </row>
    <row r="422" customFormat="false" ht="12.8" hidden="false" customHeight="false" outlineLevel="0" collapsed="false">
      <c r="A422" s="0" t="n">
        <v>5750</v>
      </c>
    </row>
    <row r="423" customFormat="false" ht="12.8" hidden="false" customHeight="false" outlineLevel="0" collapsed="false">
      <c r="A423" s="0" t="n">
        <v>5760</v>
      </c>
    </row>
    <row r="424" customFormat="false" ht="12.8" hidden="false" customHeight="false" outlineLevel="0" collapsed="false">
      <c r="A424" s="0" t="n">
        <v>5770</v>
      </c>
    </row>
    <row r="425" customFormat="false" ht="12.8" hidden="false" customHeight="false" outlineLevel="0" collapsed="false">
      <c r="A425" s="0" t="n">
        <v>5780</v>
      </c>
    </row>
    <row r="426" customFormat="false" ht="12.8" hidden="false" customHeight="false" outlineLevel="0" collapsed="false">
      <c r="A426" s="0" t="n">
        <v>5790</v>
      </c>
    </row>
    <row r="427" customFormat="false" ht="12.8" hidden="false" customHeight="false" outlineLevel="0" collapsed="false">
      <c r="A427" s="0" t="n">
        <v>5800</v>
      </c>
    </row>
    <row r="428" customFormat="false" ht="12.8" hidden="false" customHeight="false" outlineLevel="0" collapsed="false">
      <c r="A428" s="0" t="n">
        <v>5810</v>
      </c>
    </row>
    <row r="429" customFormat="false" ht="12.8" hidden="false" customHeight="false" outlineLevel="0" collapsed="false">
      <c r="A429" s="0" t="n">
        <v>5820</v>
      </c>
    </row>
    <row r="430" customFormat="false" ht="12.8" hidden="false" customHeight="false" outlineLevel="0" collapsed="false">
      <c r="A430" s="0" t="n">
        <v>5830</v>
      </c>
    </row>
    <row r="431" customFormat="false" ht="12.8" hidden="false" customHeight="false" outlineLevel="0" collapsed="false">
      <c r="A431" s="0" t="n">
        <v>5840</v>
      </c>
    </row>
    <row r="432" customFormat="false" ht="12.8" hidden="false" customHeight="false" outlineLevel="0" collapsed="false">
      <c r="A432" s="0" t="n">
        <v>5850</v>
      </c>
    </row>
    <row r="433" customFormat="false" ht="12.8" hidden="false" customHeight="false" outlineLevel="0" collapsed="false">
      <c r="A433" s="0" t="n">
        <v>5860</v>
      </c>
    </row>
    <row r="434" customFormat="false" ht="12.8" hidden="false" customHeight="false" outlineLevel="0" collapsed="false">
      <c r="A434" s="0" t="n">
        <v>5870</v>
      </c>
    </row>
    <row r="435" customFormat="false" ht="12.8" hidden="false" customHeight="false" outlineLevel="0" collapsed="false">
      <c r="A435" s="0" t="n">
        <v>5880</v>
      </c>
    </row>
    <row r="436" customFormat="false" ht="12.8" hidden="false" customHeight="false" outlineLevel="0" collapsed="false">
      <c r="A436" s="0" t="n">
        <v>5890</v>
      </c>
    </row>
    <row r="437" customFormat="false" ht="12.8" hidden="false" customHeight="false" outlineLevel="0" collapsed="false">
      <c r="A437" s="0" t="n">
        <v>5900</v>
      </c>
    </row>
    <row r="438" customFormat="false" ht="12.8" hidden="false" customHeight="false" outlineLevel="0" collapsed="false">
      <c r="A438" s="0" t="n">
        <v>5910</v>
      </c>
    </row>
    <row r="439" customFormat="false" ht="12.8" hidden="false" customHeight="false" outlineLevel="0" collapsed="false">
      <c r="A439" s="0" t="n">
        <v>5920</v>
      </c>
    </row>
    <row r="440" customFormat="false" ht="12.8" hidden="false" customHeight="false" outlineLevel="0" collapsed="false">
      <c r="A440" s="0" t="n">
        <v>5930</v>
      </c>
    </row>
    <row r="441" customFormat="false" ht="12.8" hidden="false" customHeight="false" outlineLevel="0" collapsed="false">
      <c r="A441" s="0" t="n">
        <v>5940</v>
      </c>
    </row>
    <row r="442" customFormat="false" ht="12.8" hidden="false" customHeight="false" outlineLevel="0" collapsed="false">
      <c r="A442" s="0" t="n">
        <v>5950</v>
      </c>
    </row>
    <row r="443" customFormat="false" ht="12.8" hidden="false" customHeight="false" outlineLevel="0" collapsed="false">
      <c r="A443" s="0" t="n">
        <v>5960</v>
      </c>
    </row>
    <row r="444" customFormat="false" ht="12.8" hidden="false" customHeight="false" outlineLevel="0" collapsed="false">
      <c r="A444" s="0" t="n">
        <v>5970</v>
      </c>
    </row>
    <row r="445" customFormat="false" ht="12.8" hidden="false" customHeight="false" outlineLevel="0" collapsed="false">
      <c r="A445" s="0" t="n">
        <v>5980</v>
      </c>
    </row>
    <row r="446" customFormat="false" ht="12.8" hidden="false" customHeight="false" outlineLevel="0" collapsed="false">
      <c r="A446" s="0" t="n">
        <v>5990</v>
      </c>
    </row>
    <row r="447" customFormat="false" ht="12.8" hidden="false" customHeight="false" outlineLevel="0" collapsed="false">
      <c r="A447" s="0" t="n">
        <v>6000</v>
      </c>
    </row>
    <row r="448" customFormat="false" ht="12.8" hidden="false" customHeight="false" outlineLevel="0" collapsed="false">
      <c r="A448" s="0" t="n">
        <v>6010</v>
      </c>
    </row>
    <row r="449" customFormat="false" ht="12.8" hidden="false" customHeight="false" outlineLevel="0" collapsed="false">
      <c r="A449" s="0" t="n">
        <v>6020</v>
      </c>
    </row>
    <row r="450" customFormat="false" ht="12.8" hidden="false" customHeight="false" outlineLevel="0" collapsed="false">
      <c r="A450" s="0" t="n">
        <v>6030</v>
      </c>
    </row>
    <row r="451" customFormat="false" ht="12.8" hidden="false" customHeight="false" outlineLevel="0" collapsed="false">
      <c r="A451" s="0" t="n">
        <v>6040</v>
      </c>
    </row>
    <row r="452" customFormat="false" ht="12.8" hidden="false" customHeight="false" outlineLevel="0" collapsed="false">
      <c r="A452" s="0" t="n">
        <v>6050</v>
      </c>
    </row>
    <row r="453" customFormat="false" ht="12.8" hidden="false" customHeight="false" outlineLevel="0" collapsed="false">
      <c r="A453" s="0" t="n">
        <v>6060</v>
      </c>
    </row>
    <row r="454" customFormat="false" ht="12.8" hidden="false" customHeight="false" outlineLevel="0" collapsed="false">
      <c r="A454" s="0" t="n">
        <v>6070</v>
      </c>
    </row>
    <row r="455" customFormat="false" ht="12.8" hidden="false" customHeight="false" outlineLevel="0" collapsed="false">
      <c r="A455" s="0" t="n">
        <v>6080</v>
      </c>
    </row>
    <row r="456" customFormat="false" ht="12.8" hidden="false" customHeight="false" outlineLevel="0" collapsed="false">
      <c r="A456" s="0" t="n">
        <v>6090</v>
      </c>
    </row>
    <row r="457" customFormat="false" ht="12.8" hidden="false" customHeight="false" outlineLevel="0" collapsed="false">
      <c r="A457" s="0" t="n">
        <v>6100</v>
      </c>
    </row>
    <row r="458" customFormat="false" ht="12.8" hidden="false" customHeight="false" outlineLevel="0" collapsed="false">
      <c r="A458" s="0" t="n">
        <v>6110</v>
      </c>
    </row>
    <row r="459" customFormat="false" ht="12.8" hidden="false" customHeight="false" outlineLevel="0" collapsed="false">
      <c r="A459" s="0" t="n">
        <v>6120</v>
      </c>
    </row>
    <row r="460" customFormat="false" ht="12.8" hidden="false" customHeight="false" outlineLevel="0" collapsed="false">
      <c r="A460" s="0" t="n">
        <v>6130</v>
      </c>
    </row>
    <row r="461" customFormat="false" ht="12.8" hidden="false" customHeight="false" outlineLevel="0" collapsed="false">
      <c r="A461" s="0" t="n">
        <v>6140</v>
      </c>
    </row>
    <row r="462" customFormat="false" ht="12.8" hidden="false" customHeight="false" outlineLevel="0" collapsed="false">
      <c r="A462" s="0" t="n">
        <v>6150</v>
      </c>
    </row>
    <row r="463" customFormat="false" ht="12.8" hidden="false" customHeight="false" outlineLevel="0" collapsed="false">
      <c r="A463" s="0" t="n">
        <v>6160</v>
      </c>
    </row>
    <row r="464" customFormat="false" ht="12.8" hidden="false" customHeight="false" outlineLevel="0" collapsed="false">
      <c r="A464" s="0" t="n">
        <v>6170</v>
      </c>
    </row>
    <row r="465" customFormat="false" ht="12.8" hidden="false" customHeight="false" outlineLevel="0" collapsed="false">
      <c r="A465" s="0" t="n">
        <v>6180</v>
      </c>
    </row>
    <row r="466" customFormat="false" ht="12.8" hidden="false" customHeight="false" outlineLevel="0" collapsed="false">
      <c r="A466" s="0" t="n">
        <v>6190</v>
      </c>
    </row>
    <row r="467" customFormat="false" ht="12.8" hidden="false" customHeight="false" outlineLevel="0" collapsed="false">
      <c r="A467" s="0" t="n">
        <v>6200</v>
      </c>
    </row>
    <row r="468" customFormat="false" ht="12.8" hidden="false" customHeight="false" outlineLevel="0" collapsed="false">
      <c r="A468" s="0" t="n">
        <v>6210</v>
      </c>
    </row>
    <row r="469" customFormat="false" ht="12.8" hidden="false" customHeight="false" outlineLevel="0" collapsed="false">
      <c r="A469" s="0" t="n">
        <v>6220</v>
      </c>
    </row>
    <row r="470" customFormat="false" ht="12.8" hidden="false" customHeight="false" outlineLevel="0" collapsed="false">
      <c r="A470" s="0" t="n">
        <v>6230</v>
      </c>
    </row>
    <row r="471" customFormat="false" ht="12.8" hidden="false" customHeight="false" outlineLevel="0" collapsed="false">
      <c r="A471" s="0" t="n">
        <v>6240</v>
      </c>
    </row>
    <row r="472" customFormat="false" ht="12.8" hidden="false" customHeight="false" outlineLevel="0" collapsed="false">
      <c r="A472" s="0" t="n">
        <v>6250</v>
      </c>
    </row>
    <row r="473" customFormat="false" ht="12.8" hidden="false" customHeight="false" outlineLevel="0" collapsed="false">
      <c r="A473" s="0" t="n">
        <v>6260</v>
      </c>
    </row>
    <row r="474" customFormat="false" ht="12.8" hidden="false" customHeight="false" outlineLevel="0" collapsed="false">
      <c r="A474" s="0" t="n">
        <v>6270</v>
      </c>
    </row>
    <row r="475" customFormat="false" ht="12.8" hidden="false" customHeight="false" outlineLevel="0" collapsed="false">
      <c r="A475" s="0" t="n">
        <v>6280</v>
      </c>
    </row>
    <row r="476" customFormat="false" ht="12.8" hidden="false" customHeight="false" outlineLevel="0" collapsed="false">
      <c r="A476" s="0" t="n">
        <v>6290</v>
      </c>
    </row>
    <row r="477" customFormat="false" ht="12.8" hidden="false" customHeight="false" outlineLevel="0" collapsed="false">
      <c r="A477" s="0" t="n">
        <v>6300</v>
      </c>
    </row>
    <row r="478" customFormat="false" ht="12.8" hidden="false" customHeight="false" outlineLevel="0" collapsed="false">
      <c r="A478" s="0" t="n">
        <v>6310</v>
      </c>
    </row>
    <row r="479" customFormat="false" ht="12.8" hidden="false" customHeight="false" outlineLevel="0" collapsed="false">
      <c r="A479" s="0" t="n">
        <v>6320</v>
      </c>
    </row>
    <row r="480" customFormat="false" ht="12.8" hidden="false" customHeight="false" outlineLevel="0" collapsed="false">
      <c r="A480" s="0" t="n">
        <v>6330</v>
      </c>
    </row>
    <row r="481" customFormat="false" ht="12.8" hidden="false" customHeight="false" outlineLevel="0" collapsed="false">
      <c r="A481" s="0" t="n">
        <v>6340</v>
      </c>
    </row>
    <row r="482" customFormat="false" ht="12.8" hidden="false" customHeight="false" outlineLevel="0" collapsed="false">
      <c r="A482" s="0" t="n">
        <v>6350</v>
      </c>
    </row>
    <row r="483" customFormat="false" ht="12.8" hidden="false" customHeight="false" outlineLevel="0" collapsed="false">
      <c r="A483" s="0" t="n">
        <v>6360</v>
      </c>
    </row>
    <row r="484" customFormat="false" ht="12.8" hidden="false" customHeight="false" outlineLevel="0" collapsed="false">
      <c r="A484" s="0" t="n">
        <v>6370</v>
      </c>
    </row>
    <row r="485" customFormat="false" ht="12.8" hidden="false" customHeight="false" outlineLevel="0" collapsed="false">
      <c r="A485" s="0" t="n">
        <v>6380</v>
      </c>
    </row>
    <row r="486" customFormat="false" ht="12.8" hidden="false" customHeight="false" outlineLevel="0" collapsed="false">
      <c r="A486" s="0" t="n">
        <v>6390</v>
      </c>
    </row>
    <row r="487" customFormat="false" ht="12.8" hidden="false" customHeight="false" outlineLevel="0" collapsed="false">
      <c r="A487" s="0" t="n">
        <v>6400</v>
      </c>
    </row>
    <row r="488" customFormat="false" ht="12.8" hidden="false" customHeight="false" outlineLevel="0" collapsed="false">
      <c r="A488" s="0" t="n">
        <v>6410</v>
      </c>
    </row>
    <row r="489" customFormat="false" ht="12.8" hidden="false" customHeight="false" outlineLevel="0" collapsed="false">
      <c r="A489" s="0" t="n">
        <v>6420</v>
      </c>
    </row>
    <row r="490" customFormat="false" ht="12.8" hidden="false" customHeight="false" outlineLevel="0" collapsed="false">
      <c r="A490" s="0" t="n">
        <v>6430</v>
      </c>
    </row>
    <row r="491" customFormat="false" ht="12.8" hidden="false" customHeight="false" outlineLevel="0" collapsed="false">
      <c r="A491" s="0" t="n">
        <v>6440</v>
      </c>
    </row>
    <row r="492" customFormat="false" ht="12.8" hidden="false" customHeight="false" outlineLevel="0" collapsed="false">
      <c r="A492" s="0" t="n">
        <v>6450</v>
      </c>
    </row>
    <row r="493" customFormat="false" ht="12.8" hidden="false" customHeight="false" outlineLevel="0" collapsed="false">
      <c r="A493" s="0" t="n">
        <v>6460</v>
      </c>
    </row>
    <row r="494" customFormat="false" ht="12.8" hidden="false" customHeight="false" outlineLevel="0" collapsed="false">
      <c r="A494" s="0" t="n">
        <v>6470</v>
      </c>
    </row>
    <row r="495" customFormat="false" ht="12.8" hidden="false" customHeight="false" outlineLevel="0" collapsed="false">
      <c r="A495" s="0" t="n">
        <v>6480</v>
      </c>
    </row>
    <row r="496" customFormat="false" ht="12.8" hidden="false" customHeight="false" outlineLevel="0" collapsed="false">
      <c r="A496" s="0" t="n">
        <v>6490</v>
      </c>
    </row>
    <row r="497" customFormat="false" ht="12.8" hidden="false" customHeight="false" outlineLevel="0" collapsed="false">
      <c r="A497" s="0" t="n">
        <v>6500</v>
      </c>
    </row>
    <row r="498" customFormat="false" ht="12.8" hidden="false" customHeight="false" outlineLevel="0" collapsed="false">
      <c r="A498" s="0" t="n">
        <v>6510</v>
      </c>
    </row>
    <row r="499" customFormat="false" ht="12.8" hidden="false" customHeight="false" outlineLevel="0" collapsed="false">
      <c r="A499" s="0" t="n">
        <v>6520</v>
      </c>
    </row>
    <row r="500" customFormat="false" ht="12.8" hidden="false" customHeight="false" outlineLevel="0" collapsed="false">
      <c r="A500" s="0" t="n">
        <v>6530</v>
      </c>
    </row>
    <row r="501" customFormat="false" ht="12.8" hidden="false" customHeight="false" outlineLevel="0" collapsed="false">
      <c r="A501" s="0" t="n">
        <v>6540</v>
      </c>
    </row>
    <row r="502" customFormat="false" ht="12.8" hidden="false" customHeight="false" outlineLevel="0" collapsed="false">
      <c r="A502" s="0" t="n">
        <v>6550</v>
      </c>
    </row>
    <row r="503" customFormat="false" ht="12.8" hidden="false" customHeight="false" outlineLevel="0" collapsed="false">
      <c r="A503" s="0" t="n">
        <v>6560</v>
      </c>
    </row>
    <row r="504" customFormat="false" ht="12.8" hidden="false" customHeight="false" outlineLevel="0" collapsed="false">
      <c r="A504" s="0" t="n">
        <v>6570</v>
      </c>
    </row>
    <row r="505" customFormat="false" ht="12.8" hidden="false" customHeight="false" outlineLevel="0" collapsed="false">
      <c r="A505" s="0" t="n">
        <v>6580</v>
      </c>
    </row>
    <row r="506" customFormat="false" ht="12.8" hidden="false" customHeight="false" outlineLevel="0" collapsed="false">
      <c r="A506" s="0" t="n">
        <v>6590</v>
      </c>
    </row>
    <row r="507" customFormat="false" ht="12.8" hidden="false" customHeight="false" outlineLevel="0" collapsed="false">
      <c r="A507" s="0" t="n">
        <v>6600</v>
      </c>
    </row>
    <row r="508" customFormat="false" ht="12.8" hidden="false" customHeight="false" outlineLevel="0" collapsed="false">
      <c r="A508" s="0" t="n">
        <v>6610</v>
      </c>
    </row>
    <row r="509" customFormat="false" ht="12.8" hidden="false" customHeight="false" outlineLevel="0" collapsed="false">
      <c r="A509" s="0" t="n">
        <v>6620</v>
      </c>
    </row>
    <row r="510" customFormat="false" ht="12.8" hidden="false" customHeight="false" outlineLevel="0" collapsed="false">
      <c r="A510" s="0" t="n">
        <v>6630</v>
      </c>
    </row>
    <row r="511" customFormat="false" ht="12.8" hidden="false" customHeight="false" outlineLevel="0" collapsed="false">
      <c r="A511" s="0" t="n">
        <v>6640</v>
      </c>
    </row>
    <row r="512" customFormat="false" ht="12.8" hidden="false" customHeight="false" outlineLevel="0" collapsed="false">
      <c r="A512" s="0" t="n">
        <v>6650</v>
      </c>
    </row>
    <row r="513" customFormat="false" ht="12.8" hidden="false" customHeight="false" outlineLevel="0" collapsed="false">
      <c r="A513" s="0" t="n">
        <v>6660</v>
      </c>
    </row>
    <row r="514" customFormat="false" ht="12.8" hidden="false" customHeight="false" outlineLevel="0" collapsed="false">
      <c r="A514" s="0" t="n">
        <v>6670</v>
      </c>
    </row>
    <row r="515" customFormat="false" ht="12.8" hidden="false" customHeight="false" outlineLevel="0" collapsed="false">
      <c r="A515" s="0" t="n">
        <v>6680</v>
      </c>
    </row>
    <row r="516" customFormat="false" ht="12.8" hidden="false" customHeight="false" outlineLevel="0" collapsed="false">
      <c r="A516" s="0" t="n">
        <v>6690</v>
      </c>
    </row>
    <row r="517" customFormat="false" ht="12.8" hidden="false" customHeight="false" outlineLevel="0" collapsed="false">
      <c r="A517" s="0" t="n">
        <v>6700</v>
      </c>
    </row>
    <row r="518" customFormat="false" ht="12.8" hidden="false" customHeight="false" outlineLevel="0" collapsed="false">
      <c r="A518" s="0" t="n">
        <v>6710</v>
      </c>
    </row>
    <row r="519" customFormat="false" ht="12.8" hidden="false" customHeight="false" outlineLevel="0" collapsed="false">
      <c r="A519" s="0" t="n">
        <v>6720</v>
      </c>
    </row>
    <row r="520" customFormat="false" ht="12.8" hidden="false" customHeight="false" outlineLevel="0" collapsed="false">
      <c r="A520" s="0" t="n">
        <v>6730</v>
      </c>
    </row>
    <row r="521" customFormat="false" ht="12.8" hidden="false" customHeight="false" outlineLevel="0" collapsed="false">
      <c r="A521" s="0" t="n">
        <v>6740</v>
      </c>
    </row>
    <row r="522" customFormat="false" ht="12.8" hidden="false" customHeight="false" outlineLevel="0" collapsed="false">
      <c r="A522" s="0" t="n">
        <v>6750</v>
      </c>
    </row>
    <row r="523" customFormat="false" ht="12.8" hidden="false" customHeight="false" outlineLevel="0" collapsed="false">
      <c r="A523" s="0" t="n">
        <v>6760</v>
      </c>
    </row>
    <row r="524" customFormat="false" ht="12.8" hidden="false" customHeight="false" outlineLevel="0" collapsed="false">
      <c r="A524" s="0" t="n">
        <v>6770</v>
      </c>
    </row>
    <row r="525" customFormat="false" ht="12.8" hidden="false" customHeight="false" outlineLevel="0" collapsed="false">
      <c r="A525" s="0" t="n">
        <v>6780</v>
      </c>
    </row>
    <row r="526" customFormat="false" ht="12.8" hidden="false" customHeight="false" outlineLevel="0" collapsed="false">
      <c r="A526" s="0" t="n">
        <v>6790</v>
      </c>
    </row>
    <row r="527" customFormat="false" ht="12.8" hidden="false" customHeight="false" outlineLevel="0" collapsed="false">
      <c r="A527" s="0" t="n">
        <v>6800</v>
      </c>
    </row>
    <row r="528" customFormat="false" ht="12.8" hidden="false" customHeight="false" outlineLevel="0" collapsed="false">
      <c r="A528" s="0" t="n">
        <v>6810</v>
      </c>
    </row>
    <row r="529" customFormat="false" ht="12.8" hidden="false" customHeight="false" outlineLevel="0" collapsed="false">
      <c r="A529" s="0" t="n">
        <v>6820</v>
      </c>
    </row>
    <row r="530" customFormat="false" ht="12.8" hidden="false" customHeight="false" outlineLevel="0" collapsed="false">
      <c r="A530" s="0" t="n">
        <v>6830</v>
      </c>
    </row>
    <row r="531" customFormat="false" ht="12.8" hidden="false" customHeight="false" outlineLevel="0" collapsed="false">
      <c r="A531" s="0" t="n">
        <v>6840</v>
      </c>
    </row>
    <row r="532" customFormat="false" ht="12.8" hidden="false" customHeight="false" outlineLevel="0" collapsed="false">
      <c r="A532" s="0" t="n">
        <v>6850</v>
      </c>
    </row>
    <row r="533" customFormat="false" ht="12.8" hidden="false" customHeight="false" outlineLevel="0" collapsed="false">
      <c r="A533" s="0" t="n">
        <v>6860</v>
      </c>
    </row>
    <row r="534" customFormat="false" ht="12.8" hidden="false" customHeight="false" outlineLevel="0" collapsed="false">
      <c r="A534" s="0" t="n">
        <v>6870</v>
      </c>
    </row>
    <row r="535" customFormat="false" ht="12.8" hidden="false" customHeight="false" outlineLevel="0" collapsed="false">
      <c r="A535" s="0" t="n">
        <v>6880</v>
      </c>
    </row>
    <row r="536" customFormat="false" ht="12.8" hidden="false" customHeight="false" outlineLevel="0" collapsed="false">
      <c r="A536" s="0" t="n">
        <v>6890</v>
      </c>
    </row>
    <row r="537" customFormat="false" ht="12.8" hidden="false" customHeight="false" outlineLevel="0" collapsed="false">
      <c r="A537" s="0" t="n">
        <v>6900</v>
      </c>
    </row>
    <row r="538" customFormat="false" ht="12.8" hidden="false" customHeight="false" outlineLevel="0" collapsed="false">
      <c r="A538" s="0" t="n">
        <v>6910</v>
      </c>
    </row>
    <row r="539" customFormat="false" ht="12.8" hidden="false" customHeight="false" outlineLevel="0" collapsed="false">
      <c r="A539" s="0" t="n">
        <v>6920</v>
      </c>
    </row>
    <row r="540" customFormat="false" ht="12.8" hidden="false" customHeight="false" outlineLevel="0" collapsed="false">
      <c r="A540" s="0" t="n">
        <v>6930</v>
      </c>
    </row>
    <row r="541" customFormat="false" ht="12.8" hidden="false" customHeight="false" outlineLevel="0" collapsed="false">
      <c r="A541" s="0" t="n">
        <v>6940</v>
      </c>
    </row>
    <row r="542" customFormat="false" ht="12.8" hidden="false" customHeight="false" outlineLevel="0" collapsed="false">
      <c r="A542" s="0" t="n">
        <v>6950</v>
      </c>
    </row>
    <row r="543" customFormat="false" ht="12.8" hidden="false" customHeight="false" outlineLevel="0" collapsed="false">
      <c r="A543" s="0" t="n">
        <v>6960</v>
      </c>
    </row>
    <row r="544" customFormat="false" ht="12.8" hidden="false" customHeight="false" outlineLevel="0" collapsed="false">
      <c r="A544" s="0" t="n">
        <v>6970</v>
      </c>
    </row>
    <row r="545" customFormat="false" ht="12.8" hidden="false" customHeight="false" outlineLevel="0" collapsed="false">
      <c r="A545" s="0" t="n">
        <v>6980</v>
      </c>
    </row>
    <row r="546" customFormat="false" ht="12.8" hidden="false" customHeight="false" outlineLevel="0" collapsed="false">
      <c r="A546" s="0" t="n">
        <v>6990</v>
      </c>
    </row>
    <row r="547" customFormat="false" ht="12.8" hidden="false" customHeight="false" outlineLevel="0" collapsed="false">
      <c r="A547" s="0" t="n">
        <v>7000</v>
      </c>
    </row>
    <row r="548" customFormat="false" ht="12.8" hidden="false" customHeight="false" outlineLevel="0" collapsed="false">
      <c r="A548" s="0" t="n">
        <v>7010</v>
      </c>
    </row>
    <row r="549" customFormat="false" ht="12.8" hidden="false" customHeight="false" outlineLevel="0" collapsed="false">
      <c r="A549" s="0" t="n">
        <v>7020</v>
      </c>
    </row>
    <row r="550" customFormat="false" ht="12.8" hidden="false" customHeight="false" outlineLevel="0" collapsed="false">
      <c r="A550" s="0" t="n">
        <v>7030</v>
      </c>
    </row>
    <row r="551" customFormat="false" ht="12.8" hidden="false" customHeight="false" outlineLevel="0" collapsed="false">
      <c r="A551" s="0" t="n">
        <v>7040</v>
      </c>
    </row>
    <row r="552" customFormat="false" ht="12.8" hidden="false" customHeight="false" outlineLevel="0" collapsed="false">
      <c r="A552" s="0" t="n">
        <v>7050</v>
      </c>
    </row>
    <row r="553" customFormat="false" ht="12.8" hidden="false" customHeight="false" outlineLevel="0" collapsed="false">
      <c r="A553" s="0" t="n">
        <v>7060</v>
      </c>
    </row>
    <row r="554" customFormat="false" ht="12.8" hidden="false" customHeight="false" outlineLevel="0" collapsed="false">
      <c r="A554" s="0" t="n">
        <v>7070</v>
      </c>
    </row>
    <row r="555" customFormat="false" ht="12.8" hidden="false" customHeight="false" outlineLevel="0" collapsed="false">
      <c r="A555" s="0" t="n">
        <v>7080</v>
      </c>
    </row>
    <row r="556" customFormat="false" ht="12.8" hidden="false" customHeight="false" outlineLevel="0" collapsed="false">
      <c r="A556" s="0" t="n">
        <v>7090</v>
      </c>
    </row>
    <row r="557" customFormat="false" ht="12.8" hidden="false" customHeight="false" outlineLevel="0" collapsed="false">
      <c r="A557" s="0" t="n">
        <v>7100</v>
      </c>
    </row>
    <row r="558" customFormat="false" ht="12.8" hidden="false" customHeight="false" outlineLevel="0" collapsed="false">
      <c r="A558" s="0" t="n">
        <v>7110</v>
      </c>
    </row>
    <row r="559" customFormat="false" ht="12.8" hidden="false" customHeight="false" outlineLevel="0" collapsed="false">
      <c r="A559" s="0" t="n">
        <v>7120</v>
      </c>
    </row>
    <row r="560" customFormat="false" ht="12.8" hidden="false" customHeight="false" outlineLevel="0" collapsed="false">
      <c r="A560" s="0" t="n">
        <v>7130</v>
      </c>
    </row>
    <row r="561" customFormat="false" ht="12.8" hidden="false" customHeight="false" outlineLevel="0" collapsed="false">
      <c r="A561" s="0" t="n">
        <v>7140</v>
      </c>
    </row>
    <row r="562" customFormat="false" ht="12.8" hidden="false" customHeight="false" outlineLevel="0" collapsed="false">
      <c r="A562" s="0" t="n">
        <v>7150</v>
      </c>
    </row>
    <row r="563" customFormat="false" ht="12.8" hidden="false" customHeight="false" outlineLevel="0" collapsed="false">
      <c r="A563" s="0" t="n">
        <v>7160</v>
      </c>
    </row>
    <row r="564" customFormat="false" ht="12.8" hidden="false" customHeight="false" outlineLevel="0" collapsed="false">
      <c r="A564" s="0" t="n">
        <v>7170</v>
      </c>
    </row>
    <row r="565" customFormat="false" ht="12.8" hidden="false" customHeight="false" outlineLevel="0" collapsed="false">
      <c r="A565" s="0" t="n">
        <v>7180</v>
      </c>
    </row>
    <row r="566" customFormat="false" ht="12.8" hidden="false" customHeight="false" outlineLevel="0" collapsed="false">
      <c r="A566" s="0" t="n">
        <v>7190</v>
      </c>
    </row>
    <row r="567" customFormat="false" ht="12.8" hidden="false" customHeight="false" outlineLevel="0" collapsed="false">
      <c r="A567" s="0" t="n">
        <v>7200</v>
      </c>
    </row>
    <row r="568" customFormat="false" ht="12.8" hidden="false" customHeight="false" outlineLevel="0" collapsed="false">
      <c r="A568" s="0" t="n">
        <v>7210</v>
      </c>
    </row>
    <row r="569" customFormat="false" ht="12.8" hidden="false" customHeight="false" outlineLevel="0" collapsed="false">
      <c r="A569" s="0" t="n">
        <v>7220</v>
      </c>
    </row>
    <row r="570" customFormat="false" ht="12.8" hidden="false" customHeight="false" outlineLevel="0" collapsed="false">
      <c r="A570" s="0" t="n">
        <v>7230</v>
      </c>
    </row>
    <row r="571" customFormat="false" ht="12.8" hidden="false" customHeight="false" outlineLevel="0" collapsed="false">
      <c r="A571" s="0" t="n">
        <v>7240</v>
      </c>
    </row>
    <row r="572" customFormat="false" ht="12.8" hidden="false" customHeight="false" outlineLevel="0" collapsed="false">
      <c r="A572" s="0" t="n">
        <v>7250</v>
      </c>
    </row>
    <row r="573" customFormat="false" ht="12.8" hidden="false" customHeight="false" outlineLevel="0" collapsed="false">
      <c r="A573" s="0" t="n">
        <v>7260</v>
      </c>
    </row>
    <row r="574" customFormat="false" ht="12.8" hidden="false" customHeight="false" outlineLevel="0" collapsed="false">
      <c r="A574" s="0" t="n">
        <v>7270</v>
      </c>
    </row>
    <row r="575" customFormat="false" ht="12.8" hidden="false" customHeight="false" outlineLevel="0" collapsed="false">
      <c r="A575" s="0" t="n">
        <v>7280</v>
      </c>
    </row>
    <row r="576" customFormat="false" ht="12.8" hidden="false" customHeight="false" outlineLevel="0" collapsed="false">
      <c r="A576" s="0" t="n">
        <v>7290</v>
      </c>
    </row>
    <row r="577" customFormat="false" ht="12.8" hidden="false" customHeight="false" outlineLevel="0" collapsed="false">
      <c r="A577" s="0" t="n">
        <v>7300</v>
      </c>
    </row>
    <row r="578" customFormat="false" ht="12.8" hidden="false" customHeight="false" outlineLevel="0" collapsed="false">
      <c r="A578" s="0" t="n">
        <v>7310</v>
      </c>
    </row>
    <row r="579" customFormat="false" ht="12.8" hidden="false" customHeight="false" outlineLevel="0" collapsed="false">
      <c r="A579" s="0" t="n">
        <v>7320</v>
      </c>
    </row>
    <row r="580" customFormat="false" ht="12.8" hidden="false" customHeight="false" outlineLevel="0" collapsed="false">
      <c r="A580" s="0" t="n">
        <v>7330</v>
      </c>
    </row>
    <row r="581" customFormat="false" ht="12.8" hidden="false" customHeight="false" outlineLevel="0" collapsed="false">
      <c r="A581" s="0" t="n">
        <v>7340</v>
      </c>
    </row>
    <row r="582" customFormat="false" ht="12.8" hidden="false" customHeight="false" outlineLevel="0" collapsed="false">
      <c r="A582" s="0" t="n">
        <v>7350</v>
      </c>
    </row>
    <row r="583" customFormat="false" ht="12.8" hidden="false" customHeight="false" outlineLevel="0" collapsed="false">
      <c r="A583" s="0" t="n">
        <v>7360</v>
      </c>
    </row>
    <row r="584" customFormat="false" ht="12.8" hidden="false" customHeight="false" outlineLevel="0" collapsed="false">
      <c r="A584" s="0" t="n">
        <v>7370</v>
      </c>
    </row>
    <row r="585" customFormat="false" ht="12.8" hidden="false" customHeight="false" outlineLevel="0" collapsed="false">
      <c r="A585" s="0" t="n">
        <v>7380</v>
      </c>
    </row>
    <row r="586" customFormat="false" ht="12.8" hidden="false" customHeight="false" outlineLevel="0" collapsed="false">
      <c r="A586" s="0" t="n">
        <v>7390</v>
      </c>
    </row>
    <row r="587" customFormat="false" ht="12.8" hidden="false" customHeight="false" outlineLevel="0" collapsed="false">
      <c r="A587" s="0" t="n">
        <v>7400</v>
      </c>
    </row>
    <row r="588" customFormat="false" ht="12.8" hidden="false" customHeight="false" outlineLevel="0" collapsed="false">
      <c r="A588" s="0" t="n">
        <v>7410</v>
      </c>
    </row>
    <row r="589" customFormat="false" ht="12.8" hidden="false" customHeight="false" outlineLevel="0" collapsed="false">
      <c r="A589" s="0" t="n">
        <v>7420</v>
      </c>
    </row>
    <row r="590" customFormat="false" ht="12.8" hidden="false" customHeight="false" outlineLevel="0" collapsed="false">
      <c r="A590" s="0" t="n">
        <v>7430</v>
      </c>
    </row>
    <row r="591" customFormat="false" ht="12.8" hidden="false" customHeight="false" outlineLevel="0" collapsed="false">
      <c r="A591" s="0" t="n">
        <v>7440</v>
      </c>
    </row>
    <row r="592" customFormat="false" ht="12.8" hidden="false" customHeight="false" outlineLevel="0" collapsed="false">
      <c r="A592" s="0" t="n">
        <v>7450</v>
      </c>
    </row>
    <row r="593" customFormat="false" ht="12.8" hidden="false" customHeight="false" outlineLevel="0" collapsed="false">
      <c r="A593" s="0" t="n">
        <v>7460</v>
      </c>
    </row>
    <row r="594" customFormat="false" ht="12.8" hidden="false" customHeight="false" outlineLevel="0" collapsed="false">
      <c r="A594" s="0" t="n">
        <v>7470</v>
      </c>
    </row>
    <row r="595" customFormat="false" ht="12.8" hidden="false" customHeight="false" outlineLevel="0" collapsed="false">
      <c r="A595" s="0" t="n">
        <v>7480</v>
      </c>
    </row>
    <row r="596" customFormat="false" ht="12.8" hidden="false" customHeight="false" outlineLevel="0" collapsed="false">
      <c r="A596" s="0" t="n">
        <v>7490</v>
      </c>
    </row>
    <row r="597" customFormat="false" ht="12.8" hidden="false" customHeight="false" outlineLevel="0" collapsed="false">
      <c r="A597" s="0" t="n">
        <v>7500</v>
      </c>
    </row>
    <row r="598" customFormat="false" ht="12.8" hidden="false" customHeight="false" outlineLevel="0" collapsed="false">
      <c r="A598" s="0" t="n">
        <v>7510</v>
      </c>
    </row>
    <row r="599" customFormat="false" ht="12.8" hidden="false" customHeight="false" outlineLevel="0" collapsed="false">
      <c r="A599" s="0" t="n">
        <v>7520</v>
      </c>
    </row>
    <row r="600" customFormat="false" ht="12.8" hidden="false" customHeight="false" outlineLevel="0" collapsed="false">
      <c r="A600" s="0" t="n">
        <v>7530</v>
      </c>
    </row>
    <row r="601" customFormat="false" ht="12.8" hidden="false" customHeight="false" outlineLevel="0" collapsed="false">
      <c r="A601" s="0" t="n">
        <v>7540</v>
      </c>
    </row>
    <row r="602" customFormat="false" ht="12.8" hidden="false" customHeight="false" outlineLevel="0" collapsed="false">
      <c r="A602" s="0" t="n">
        <v>7550</v>
      </c>
    </row>
    <row r="603" customFormat="false" ht="12.8" hidden="false" customHeight="false" outlineLevel="0" collapsed="false">
      <c r="A603" s="0" t="n">
        <v>7560</v>
      </c>
    </row>
    <row r="604" customFormat="false" ht="12.8" hidden="false" customHeight="false" outlineLevel="0" collapsed="false">
      <c r="A604" s="0" t="n">
        <v>7570</v>
      </c>
    </row>
    <row r="605" customFormat="false" ht="12.8" hidden="false" customHeight="false" outlineLevel="0" collapsed="false">
      <c r="A605" s="0" t="n">
        <v>7580</v>
      </c>
    </row>
    <row r="606" customFormat="false" ht="12.8" hidden="false" customHeight="false" outlineLevel="0" collapsed="false">
      <c r="A606" s="0" t="n">
        <v>7590</v>
      </c>
    </row>
    <row r="607" customFormat="false" ht="12.8" hidden="false" customHeight="false" outlineLevel="0" collapsed="false">
      <c r="A607" s="0" t="n">
        <v>7600</v>
      </c>
    </row>
    <row r="608" customFormat="false" ht="12.8" hidden="false" customHeight="false" outlineLevel="0" collapsed="false">
      <c r="A608" s="0" t="n">
        <v>7610</v>
      </c>
    </row>
    <row r="609" customFormat="false" ht="12.8" hidden="false" customHeight="false" outlineLevel="0" collapsed="false">
      <c r="A609" s="0" t="n">
        <v>7620</v>
      </c>
    </row>
    <row r="610" customFormat="false" ht="12.8" hidden="false" customHeight="false" outlineLevel="0" collapsed="false">
      <c r="A610" s="0" t="n">
        <v>7630</v>
      </c>
    </row>
    <row r="611" customFormat="false" ht="12.8" hidden="false" customHeight="false" outlineLevel="0" collapsed="false">
      <c r="A611" s="0" t="n">
        <v>7640</v>
      </c>
    </row>
    <row r="612" customFormat="false" ht="12.8" hidden="false" customHeight="false" outlineLevel="0" collapsed="false">
      <c r="A612" s="0" t="n">
        <v>7650</v>
      </c>
    </row>
    <row r="613" customFormat="false" ht="12.8" hidden="false" customHeight="false" outlineLevel="0" collapsed="false">
      <c r="A613" s="0" t="n">
        <v>7660</v>
      </c>
    </row>
    <row r="614" customFormat="false" ht="12.8" hidden="false" customHeight="false" outlineLevel="0" collapsed="false">
      <c r="A614" s="0" t="n">
        <v>7670</v>
      </c>
    </row>
    <row r="615" customFormat="false" ht="12.8" hidden="false" customHeight="false" outlineLevel="0" collapsed="false">
      <c r="A615" s="0" t="n">
        <v>7680</v>
      </c>
    </row>
    <row r="616" customFormat="false" ht="12.8" hidden="false" customHeight="false" outlineLevel="0" collapsed="false">
      <c r="A616" s="0" t="n">
        <v>7690</v>
      </c>
    </row>
    <row r="617" customFormat="false" ht="12.8" hidden="false" customHeight="false" outlineLevel="0" collapsed="false">
      <c r="A617" s="0" t="n">
        <v>7700</v>
      </c>
    </row>
    <row r="618" customFormat="false" ht="12.8" hidden="false" customHeight="false" outlineLevel="0" collapsed="false">
      <c r="A618" s="0" t="n">
        <v>7710</v>
      </c>
    </row>
    <row r="619" customFormat="false" ht="12.8" hidden="false" customHeight="false" outlineLevel="0" collapsed="false">
      <c r="A619" s="0" t="n">
        <v>7720</v>
      </c>
    </row>
    <row r="620" customFormat="false" ht="12.8" hidden="false" customHeight="false" outlineLevel="0" collapsed="false">
      <c r="A620" s="0" t="n">
        <v>7730</v>
      </c>
    </row>
    <row r="621" customFormat="false" ht="12.8" hidden="false" customHeight="false" outlineLevel="0" collapsed="false">
      <c r="A621" s="0" t="n">
        <v>7740</v>
      </c>
    </row>
    <row r="622" customFormat="false" ht="12.8" hidden="false" customHeight="false" outlineLevel="0" collapsed="false">
      <c r="A622" s="0" t="n">
        <v>7750</v>
      </c>
    </row>
    <row r="623" customFormat="false" ht="12.8" hidden="false" customHeight="false" outlineLevel="0" collapsed="false">
      <c r="A623" s="0" t="n">
        <v>7760</v>
      </c>
    </row>
    <row r="624" customFormat="false" ht="12.8" hidden="false" customHeight="false" outlineLevel="0" collapsed="false">
      <c r="A624" s="0" t="n">
        <v>7770</v>
      </c>
    </row>
    <row r="625" customFormat="false" ht="12.8" hidden="false" customHeight="false" outlineLevel="0" collapsed="false">
      <c r="A625" s="0" t="n">
        <v>7780</v>
      </c>
    </row>
    <row r="626" customFormat="false" ht="12.8" hidden="false" customHeight="false" outlineLevel="0" collapsed="false">
      <c r="A626" s="0" t="n">
        <v>7790</v>
      </c>
    </row>
    <row r="627" customFormat="false" ht="12.8" hidden="false" customHeight="false" outlineLevel="0" collapsed="false">
      <c r="A627" s="0" t="n">
        <v>7800</v>
      </c>
    </row>
    <row r="628" customFormat="false" ht="12.8" hidden="false" customHeight="false" outlineLevel="0" collapsed="false">
      <c r="A628" s="0" t="n">
        <v>7810</v>
      </c>
    </row>
    <row r="629" customFormat="false" ht="12.8" hidden="false" customHeight="false" outlineLevel="0" collapsed="false">
      <c r="A629" s="0" t="n">
        <v>7820</v>
      </c>
    </row>
    <row r="630" customFormat="false" ht="12.8" hidden="false" customHeight="false" outlineLevel="0" collapsed="false">
      <c r="A630" s="0" t="n">
        <v>7830</v>
      </c>
    </row>
    <row r="631" customFormat="false" ht="12.8" hidden="false" customHeight="false" outlineLevel="0" collapsed="false">
      <c r="A631" s="0" t="n">
        <v>7840</v>
      </c>
    </row>
    <row r="632" customFormat="false" ht="12.8" hidden="false" customHeight="false" outlineLevel="0" collapsed="false">
      <c r="A632" s="0" t="n">
        <v>7850</v>
      </c>
    </row>
    <row r="633" customFormat="false" ht="12.8" hidden="false" customHeight="false" outlineLevel="0" collapsed="false">
      <c r="A633" s="0" t="n">
        <v>7860</v>
      </c>
    </row>
    <row r="634" customFormat="false" ht="12.8" hidden="false" customHeight="false" outlineLevel="0" collapsed="false">
      <c r="A634" s="0" t="n">
        <v>7870</v>
      </c>
    </row>
    <row r="635" customFormat="false" ht="12.8" hidden="false" customHeight="false" outlineLevel="0" collapsed="false">
      <c r="A635" s="0" t="n">
        <v>7880</v>
      </c>
    </row>
    <row r="636" customFormat="false" ht="12.8" hidden="false" customHeight="false" outlineLevel="0" collapsed="false">
      <c r="A636" s="0" t="n">
        <v>7890</v>
      </c>
    </row>
    <row r="637" customFormat="false" ht="12.8" hidden="false" customHeight="false" outlineLevel="0" collapsed="false">
      <c r="A637" s="0" t="n">
        <v>7900</v>
      </c>
    </row>
    <row r="638" customFormat="false" ht="12.8" hidden="false" customHeight="false" outlineLevel="0" collapsed="false">
      <c r="A638" s="0" t="n">
        <v>7910</v>
      </c>
    </row>
    <row r="639" customFormat="false" ht="12.8" hidden="false" customHeight="false" outlineLevel="0" collapsed="false">
      <c r="A639" s="0" t="n">
        <v>7920</v>
      </c>
    </row>
    <row r="640" customFormat="false" ht="12.8" hidden="false" customHeight="false" outlineLevel="0" collapsed="false">
      <c r="A640" s="0" t="n">
        <v>7930</v>
      </c>
    </row>
    <row r="641" customFormat="false" ht="12.8" hidden="false" customHeight="false" outlineLevel="0" collapsed="false">
      <c r="A641" s="0" t="n">
        <v>7940</v>
      </c>
    </row>
    <row r="642" customFormat="false" ht="12.8" hidden="false" customHeight="false" outlineLevel="0" collapsed="false">
      <c r="A642" s="0" t="n">
        <v>7950</v>
      </c>
    </row>
    <row r="643" customFormat="false" ht="12.8" hidden="false" customHeight="false" outlineLevel="0" collapsed="false">
      <c r="A643" s="0" t="n">
        <v>7960</v>
      </c>
    </row>
    <row r="644" customFormat="false" ht="12.8" hidden="false" customHeight="false" outlineLevel="0" collapsed="false">
      <c r="A644" s="0" t="n">
        <v>7970</v>
      </c>
    </row>
    <row r="645" customFormat="false" ht="12.8" hidden="false" customHeight="false" outlineLevel="0" collapsed="false">
      <c r="A645" s="0" t="n">
        <v>7980</v>
      </c>
    </row>
    <row r="646" customFormat="false" ht="12.8" hidden="false" customHeight="false" outlineLevel="0" collapsed="false">
      <c r="A646" s="0" t="n">
        <v>7990</v>
      </c>
    </row>
    <row r="647" customFormat="false" ht="12.8" hidden="false" customHeight="false" outlineLevel="0" collapsed="false">
      <c r="A647" s="0" t="n">
        <v>8000</v>
      </c>
    </row>
    <row r="648" customFormat="false" ht="12.8" hidden="false" customHeight="false" outlineLevel="0" collapsed="false">
      <c r="A648" s="0" t="n">
        <v>9000</v>
      </c>
    </row>
    <row r="649" customFormat="false" ht="12.8" hidden="false" customHeight="false" outlineLevel="0" collapsed="false">
      <c r="A649" s="0" t="n">
        <v>10000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42"/>
  <sheetViews>
    <sheetView showFormulas="false" showGridLines="true" showRowColHeaders="true" showZeros="true" rightToLeft="false" tabSelected="true" showOutlineSymbols="true" defaultGridColor="true" view="normal" topLeftCell="AP1" colorId="64" zoomScale="100" zoomScaleNormal="100" zoomScalePageLayoutView="100" workbookViewId="0">
      <selection pane="topLeft" activeCell="AW32" activeCellId="0" sqref="AW32"/>
    </sheetView>
  </sheetViews>
  <sheetFormatPr defaultRowHeight="13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249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3.8" hidden="false" customHeight="false" outlineLevel="0" collapsed="false">
      <c r="A2" s="0" t="s">
        <v>243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A3" s="0" t="n">
        <v>-0.00015</v>
      </c>
      <c r="B3" s="0" t="n">
        <f aca="false">U_PS(B$2,$A3)</f>
        <v>2015</v>
      </c>
      <c r="C3" s="0" t="n">
        <f aca="false">U_PS(C$2,$A3)</f>
        <v>2015</v>
      </c>
      <c r="D3" s="0" t="n">
        <f aca="false">U_PS(D$2,$A3)</f>
        <v>2015</v>
      </c>
      <c r="E3" s="0" t="n">
        <f aca="false">U_PS(E$2,$A3)</f>
        <v>2015</v>
      </c>
      <c r="F3" s="0" t="n">
        <f aca="false">U_PS(F$2,$A3)</f>
        <v>2015</v>
      </c>
      <c r="G3" s="0" t="n">
        <f aca="false">U_PS(G$2,$A3)</f>
        <v>2015</v>
      </c>
      <c r="H3" s="0" t="n">
        <f aca="false">U_PS(H$2,$A3)</f>
        <v>2015</v>
      </c>
      <c r="I3" s="0" t="n">
        <f aca="false">U_PS(I$2,$A3)</f>
        <v>2015</v>
      </c>
      <c r="J3" s="0" t="n">
        <f aca="false">U_PS(J$2,$A3)</f>
        <v>2015</v>
      </c>
      <c r="K3" s="0" t="n">
        <f aca="false">U_PS(K$2,$A3)</f>
        <v>2015</v>
      </c>
      <c r="L3" s="0" t="n">
        <f aca="false">U_PS(L$2,$A3)</f>
        <v>2015</v>
      </c>
      <c r="M3" s="0" t="n">
        <f aca="false">U_PS(M$2,$A3)</f>
        <v>2015</v>
      </c>
      <c r="N3" s="0" t="n">
        <f aca="false">U_PS(N$2,$A3)</f>
        <v>2015</v>
      </c>
      <c r="O3" s="0" t="n">
        <f aca="false">U_PS(O$2,$A3)</f>
        <v>2015</v>
      </c>
      <c r="P3" s="0" t="n">
        <f aca="false">U_PS(P$2,$A3)</f>
        <v>2015</v>
      </c>
      <c r="Q3" s="0" t="n">
        <f aca="false">U_PS(Q$2,$A3)</f>
        <v>2015</v>
      </c>
      <c r="R3" s="0" t="n">
        <f aca="false">U_PS(R$2,$A3)</f>
        <v>2015</v>
      </c>
      <c r="S3" s="0" t="n">
        <f aca="false">U_PS(S$2,$A3)</f>
        <v>2015</v>
      </c>
      <c r="T3" s="0" t="n">
        <f aca="false">U_PS(T$2,$A3)</f>
        <v>2015</v>
      </c>
      <c r="U3" s="0" t="n">
        <f aca="false">U_PS(U$2,$A3)</f>
        <v>2015</v>
      </c>
      <c r="V3" s="0" t="n">
        <f aca="false">U_PS(V$2,$A3)</f>
        <v>2015</v>
      </c>
      <c r="W3" s="0" t="n">
        <f aca="false">U_PS(W$2,$A3)</f>
        <v>2015</v>
      </c>
      <c r="X3" s="0" t="n">
        <f aca="false">U_PS(X$2,$A3)</f>
        <v>2015</v>
      </c>
      <c r="Y3" s="0" t="n">
        <f aca="false">U_PS(Y$2,$A3)</f>
        <v>2015</v>
      </c>
      <c r="Z3" s="0" t="n">
        <f aca="false">U_PS(Z$2,$A3)</f>
        <v>2015</v>
      </c>
      <c r="AA3" s="0" t="n">
        <f aca="false">U_PS(AA$2,$A3)</f>
        <v>2015</v>
      </c>
      <c r="AB3" s="0" t="n">
        <f aca="false">U_PS(AB$2,$A3)</f>
        <v>2015</v>
      </c>
      <c r="AC3" s="0" t="n">
        <f aca="false">U_PS(AC$2,$A3)</f>
        <v>2015</v>
      </c>
      <c r="AD3" s="0" t="n">
        <f aca="false">U_PS(AD$2,$A3)</f>
        <v>2015</v>
      </c>
      <c r="AE3" s="0" t="n">
        <f aca="false">U_PS(AE$2,$A3)</f>
        <v>2015</v>
      </c>
      <c r="AF3" s="0" t="n">
        <f aca="false">U_PS(AF$2,$A3)</f>
        <v>2015</v>
      </c>
      <c r="AG3" s="0" t="n">
        <f aca="false">U_PS(AG$2,$A3)</f>
        <v>2015</v>
      </c>
      <c r="AH3" s="0" t="n">
        <f aca="false">U_PS(AH$2,$A3)</f>
        <v>2015</v>
      </c>
      <c r="AI3" s="0" t="n">
        <f aca="false">U_PS(AI$2,$A3)</f>
        <v>2015</v>
      </c>
      <c r="AJ3" s="0" t="n">
        <f aca="false">U_PS(AJ$2,$A3)</f>
        <v>2015</v>
      </c>
      <c r="AK3" s="0" t="n">
        <f aca="false">U_PS(AK$2,$A3)</f>
        <v>2015</v>
      </c>
      <c r="AL3" s="0" t="n">
        <f aca="false">U_PS(AL$2,$A3)</f>
        <v>2015</v>
      </c>
      <c r="AM3" s="0" t="n">
        <f aca="false">U_PS(AM$2,$A3)</f>
        <v>2015</v>
      </c>
      <c r="AN3" s="0" t="n">
        <f aca="false">U_PS(AN$2,$A3)</f>
        <v>2015</v>
      </c>
      <c r="AO3" s="0" t="n">
        <f aca="false">U_PS(AO$2,$A3)</f>
        <v>2015</v>
      </c>
      <c r="AP3" s="0" t="n">
        <f aca="false">U_PS(AP$2,$A3)</f>
        <v>2015</v>
      </c>
      <c r="AQ3" s="0" t="n">
        <f aca="false">U_PS(AQ$2,$A3)</f>
        <v>2015</v>
      </c>
      <c r="AR3" s="0" t="n">
        <f aca="false">U_PS(AR$2,$A3)</f>
        <v>2015</v>
      </c>
      <c r="AS3" s="0" t="n">
        <f aca="false">U_PS(AS$2,$A3)</f>
        <v>2015</v>
      </c>
    </row>
    <row r="4" customFormat="false" ht="13.8" hidden="false" customHeight="false" outlineLevel="0" collapsed="false">
      <c r="A4" s="0" t="n">
        <v>0</v>
      </c>
      <c r="B4" s="0" t="n">
        <f aca="false">U_PS(B$2,$A4)</f>
        <v>1.59813676207286E-005</v>
      </c>
      <c r="C4" s="0" t="n">
        <f aca="false">U_PS(C$2,$A4)</f>
        <v>-0.0152835453027471</v>
      </c>
      <c r="D4" s="0" t="n">
        <f aca="false">U_PS(D$2,$A4)</f>
        <v>-0.0152830137926789</v>
      </c>
      <c r="E4" s="0" t="n">
        <f aca="false">U_PS(E$2,$A4)</f>
        <v>-0.015282482280993</v>
      </c>
      <c r="F4" s="0" t="n">
        <f aca="false">U_PS(F$2,$A4)</f>
        <v>-0.0152819507675026</v>
      </c>
      <c r="G4" s="0" t="n">
        <f aca="false">U_PS(G$2,$A4)</f>
        <v>-0.0152766354742211</v>
      </c>
      <c r="H4" s="0" t="n">
        <f aca="false">U_PS(H$2,$A4)</f>
        <v>-0.0152713199142786</v>
      </c>
      <c r="I4" s="0" t="n">
        <f aca="false">U_PS(I$2,$A4)</f>
        <v>-0.0152660040885875</v>
      </c>
      <c r="J4" s="0" t="n">
        <f aca="false">U_PS(J$2,$A4)</f>
        <v>-0.0152606879940835</v>
      </c>
      <c r="K4" s="0" t="n">
        <f aca="false">U_PS(K$2,$A4)</f>
        <v>-0.0152553716342876</v>
      </c>
      <c r="L4" s="0" t="n">
        <f aca="false">U_PS(L$2,$A4)</f>
        <v>-0.0152500550076171</v>
      </c>
      <c r="M4" s="0" t="n">
        <f aca="false">U_PS(M$2,$A4)</f>
        <v>-0.015244738113285</v>
      </c>
      <c r="N4" s="0" t="n">
        <f aca="false">U_PS(N$2,$A4)</f>
        <v>-0.0152394209527625</v>
      </c>
      <c r="O4" s="0" t="n">
        <f aca="false">U_PS(O$2,$A4)</f>
        <v>-0.0152341035254706</v>
      </c>
      <c r="P4" s="0" t="n">
        <f aca="false">U_PS(P$2,$A4)</f>
        <v>-0.01518091457423</v>
      </c>
      <c r="Q4" s="0" t="n">
        <f aca="false">U_PS(Q$2,$A4)</f>
        <v>-0.0151276989373237</v>
      </c>
      <c r="R4" s="0" t="n">
        <f aca="false">U_PS(R$2,$A4)</f>
        <v>-0.0150744566153906</v>
      </c>
      <c r="S4" s="0" t="n">
        <f aca="false">U_PS(S$2,$A4)</f>
        <v>-0.0150211876056483</v>
      </c>
      <c r="T4" s="0" t="n">
        <f aca="false">U_PS(T$2,$A4)</f>
        <v>-0.0149678919077184</v>
      </c>
      <c r="U4" s="0" t="n">
        <f aca="false">U_PS(U$2,$A4)</f>
        <v>-0.0149145695209521</v>
      </c>
      <c r="V4" s="0" t="n">
        <f aca="false">U_PS(V$2,$A4)</f>
        <v>-0.0148612204428702</v>
      </c>
      <c r="W4" s="0" t="n">
        <f aca="false">U_PS(W$2,$A4)</f>
        <v>-0.0148078446736228</v>
      </c>
      <c r="X4" s="0" t="n">
        <f aca="false">U_PS(X$2,$A4)</f>
        <v>-0.0147544422109311</v>
      </c>
      <c r="Y4" s="0" t="n">
        <f aca="false">U_PS(Y$2,$A4)</f>
        <v>-0.0142189492185576</v>
      </c>
      <c r="Z4" s="0" t="n">
        <f aca="false">U_PS(Z$2,$A4)</f>
        <v>-0.0136807856508951</v>
      </c>
      <c r="AA4" s="0" t="n">
        <f aca="false">U_PS(AA$2,$A4)</f>
        <v>-0.0131399503400759</v>
      </c>
      <c r="AB4" s="0" t="n">
        <f aca="false">U_PS(AB$2,$A4)</f>
        <v>-0.0125964421169088</v>
      </c>
      <c r="AC4" s="0" t="n">
        <f aca="false">U_PS(AC$2,$A4)</f>
        <v>-0.0120502598098197</v>
      </c>
      <c r="AD4" s="0" t="n">
        <f aca="false">U_PS(AD$2,$A4)</f>
        <v>-0.0115014022427574</v>
      </c>
      <c r="AE4" s="0" t="n">
        <f aca="false">U_PS(AE$2,$A4)</f>
        <v>-0.0109498682373946</v>
      </c>
      <c r="AF4" s="0" t="n">
        <f aca="false">U_PS(AF$2,$A4)</f>
        <v>-0.0103956566155504</v>
      </c>
      <c r="AG4" s="0" t="n">
        <f aca="false">U_PS(AG$2,$A4)</f>
        <v>-0.00983876619303778</v>
      </c>
      <c r="AH4" s="0" t="n">
        <f aca="false">U_PS(AH$2,$A4)</f>
        <v>-0.00412226590996272</v>
      </c>
      <c r="AI4" s="0" t="n">
        <f aca="false">U_PS(AI$2,$A4)</f>
        <v>0.00186343423428955</v>
      </c>
      <c r="AJ4" s="0" t="n">
        <f aca="false">U_PS(AJ$2,$A4)</f>
        <v>0.00811955828344204</v>
      </c>
      <c r="AK4" s="0" t="n">
        <f aca="false">U_PS(AK$2,$A4)</f>
        <v>0.0146473545022912</v>
      </c>
      <c r="AL4" s="0" t="n">
        <f aca="false">U_PS(AL$2,$A4)</f>
        <v>0.0214480947399699</v>
      </c>
      <c r="AM4" s="0" t="n">
        <f aca="false">U_PS(AM$2,$A4)</f>
        <v>0.0285230738081109</v>
      </c>
      <c r="AN4" s="0" t="n">
        <f aca="false">U_PS(AN$2,$A4)</f>
        <v>0.0358736088657861</v>
      </c>
      <c r="AO4" s="0" t="n">
        <f aca="false">U_PS(AO$2,$A4)</f>
        <v>0.0435010387959532</v>
      </c>
      <c r="AP4" s="0" t="n">
        <f aca="false">U_PS(AP$2,$A4)</f>
        <v>0.0514067236172678</v>
      </c>
      <c r="AQ4" s="0" t="n">
        <f aca="false">U_PS(AQ$2,$A4)</f>
        <v>0.146080726267399</v>
      </c>
      <c r="AR4" s="0" t="n">
        <f aca="false">U_PS(AR$2,$A4)</f>
        <v>0.169236454999575</v>
      </c>
      <c r="AS4" s="0" t="n">
        <f aca="false">U_PS(AS$2,$A4)</f>
        <v>0.180155334788814</v>
      </c>
    </row>
    <row r="5" customFormat="false" ht="13.8" hidden="false" customHeight="false" outlineLevel="0" collapsed="false">
      <c r="A5" s="0" t="n">
        <v>0.001</v>
      </c>
      <c r="B5" s="0" t="n">
        <f aca="false">U_PS(B$2,$A5)</f>
        <v>0.259413436697044</v>
      </c>
      <c r="C5" s="0" t="n">
        <f aca="false">U_PS(C$2,$A5)</f>
        <v>0.258560597112451</v>
      </c>
      <c r="D5" s="0" t="n">
        <f aca="false">U_PS(D$2,$A5)</f>
        <v>0.258561123547203</v>
      </c>
      <c r="E5" s="0" t="n">
        <f aca="false">U_PS(E$2,$A5)</f>
        <v>0.2585616499819</v>
      </c>
      <c r="F5" s="0" t="n">
        <f aca="false">U_PS(F$2,$A5)</f>
        <v>0.258562176420464</v>
      </c>
      <c r="G5" s="0" t="n">
        <f aca="false">U_PS(G$2,$A5)</f>
        <v>0.258567440957542</v>
      </c>
      <c r="H5" s="0" t="n">
        <f aca="false">U_PS(H$2,$A5)</f>
        <v>0.258572705763432</v>
      </c>
      <c r="I5" s="0" t="n">
        <f aca="false">U_PS(I$2,$A5)</f>
        <v>0.258577970835413</v>
      </c>
      <c r="J5" s="0" t="n">
        <f aca="false">U_PS(J$2,$A5)</f>
        <v>0.258583236174385</v>
      </c>
      <c r="K5" s="0" t="n">
        <f aca="false">U_PS(K$2,$A5)</f>
        <v>0.258588501781043</v>
      </c>
      <c r="L5" s="0" t="n">
        <f aca="false">U_PS(L$2,$A5)</f>
        <v>0.25859376765588</v>
      </c>
      <c r="M5" s="0" t="n">
        <f aca="false">U_PS(M$2,$A5)</f>
        <v>0.258599033797842</v>
      </c>
      <c r="N5" s="0" t="n">
        <f aca="false">U_PS(N$2,$A5)</f>
        <v>0.258604300206798</v>
      </c>
      <c r="O5" s="0" t="n">
        <f aca="false">U_PS(O$2,$A5)</f>
        <v>0.258609566883544</v>
      </c>
      <c r="P5" s="0" t="n">
        <f aca="false">U_PS(P$2,$A5)</f>
        <v>0.258662248362401</v>
      </c>
      <c r="Q5" s="0" t="n">
        <f aca="false">U_PS(Q$2,$A5)</f>
        <v>0.258714956589212</v>
      </c>
      <c r="R5" s="0" t="n">
        <f aca="false">U_PS(R$2,$A5)</f>
        <v>0.25876769156221</v>
      </c>
      <c r="S5" s="0" t="n">
        <f aca="false">U_PS(S$2,$A5)</f>
        <v>0.25882045328656</v>
      </c>
      <c r="T5" s="0" t="n">
        <f aca="false">U_PS(T$2,$A5)</f>
        <v>0.258873241761529</v>
      </c>
      <c r="U5" s="0" t="n">
        <f aca="false">U_PS(U$2,$A5)</f>
        <v>0.258926056987943</v>
      </c>
      <c r="V5" s="0" t="n">
        <f aca="false">U_PS(V$2,$A5)</f>
        <v>0.258978898968906</v>
      </c>
      <c r="W5" s="0" t="n">
        <f aca="false">U_PS(W$2,$A5)</f>
        <v>0.259031767703225</v>
      </c>
      <c r="X5" s="0" t="n">
        <f aca="false">U_PS(X$2,$A5)</f>
        <v>0.259084663192345</v>
      </c>
      <c r="Y5" s="0" t="n">
        <f aca="false">U_PS(Y$2,$A5)</f>
        <v>0.259615089897349</v>
      </c>
      <c r="Z5" s="0" t="n">
        <f aca="false">U_PS(Z$2,$A5)</f>
        <v>0.2601481934275</v>
      </c>
      <c r="AA5" s="0" t="n">
        <f aca="false">U_PS(AA$2,$A5)</f>
        <v>0.260683974950264</v>
      </c>
      <c r="AB5" s="0" t="n">
        <f aca="false">U_PS(AB$2,$A5)</f>
        <v>0.261222435633461</v>
      </c>
      <c r="AC5" s="0" t="n">
        <f aca="false">U_PS(AC$2,$A5)</f>
        <v>0.261763576645609</v>
      </c>
      <c r="AD5" s="0" t="n">
        <f aca="false">U_PS(AD$2,$A5)</f>
        <v>0.262307399162593</v>
      </c>
      <c r="AE5" s="0" t="n">
        <f aca="false">U_PS(AE$2,$A5)</f>
        <v>0.262853904359449</v>
      </c>
      <c r="AF5" s="0" t="n">
        <f aca="false">U_PS(AF$2,$A5)</f>
        <v>0.263403093415671</v>
      </c>
      <c r="AG5" s="0" t="n">
        <f aca="false">U_PS(AG$2,$A5)</f>
        <v>0.263954967508083</v>
      </c>
      <c r="AH5" s="0" t="n">
        <f aca="false">U_PS(AH$2,$A5)</f>
        <v>0.269621647195469</v>
      </c>
      <c r="AI5" s="0" t="n">
        <f aca="false">U_PS(AI$2,$A5)</f>
        <v>0.27555814847969</v>
      </c>
      <c r="AJ5" s="0" t="n">
        <f aca="false">U_PS(AJ$2,$A5)</f>
        <v>0.281765693380666</v>
      </c>
      <c r="AK5" s="0" t="n">
        <f aca="false">U_PS(AK$2,$A5)</f>
        <v>0.288245528036243</v>
      </c>
      <c r="AL5" s="0" t="n">
        <f aca="false">U_PS(AL$2,$A5)</f>
        <v>0.294998922067519</v>
      </c>
      <c r="AM5" s="0" t="n">
        <f aca="false">U_PS(AM$2,$A5)</f>
        <v>0.302027167957926</v>
      </c>
      <c r="AN5" s="0" t="n">
        <f aca="false">U_PS(AN$2,$A5)</f>
        <v>0.30933158042922</v>
      </c>
      <c r="AO5" s="0" t="n">
        <f aca="false">U_PS(AO$2,$A5)</f>
        <v>0.316913495839085</v>
      </c>
      <c r="AP5" s="0" t="n">
        <f aca="false">U_PS(AP$2,$A5)</f>
        <v>0.324774271572769</v>
      </c>
      <c r="AQ5" s="0" t="n">
        <f aca="false">U_PS(AQ$2,$A5)</f>
        <v>0.419031836570786</v>
      </c>
      <c r="AR5" s="0" t="n">
        <f aca="false">U_PS(AR$2,$A5)</f>
        <v>0.442108830088592</v>
      </c>
      <c r="AS5" s="0" t="n">
        <f aca="false">U_PS(AS$2,$A5)</f>
        <v>0.452992793477803</v>
      </c>
    </row>
    <row r="6" customFormat="false" ht="13.8" hidden="false" customHeight="false" outlineLevel="0" collapsed="false">
      <c r="A6" s="0" t="n">
        <v>0.002</v>
      </c>
      <c r="B6" s="0" t="n">
        <f aca="false">U_PS(B$2,$A6)</f>
        <v>0.518810892026468</v>
      </c>
      <c r="C6" s="0" t="n">
        <f aca="false">U_PS(C$2,$A6)</f>
        <v>0.53246151858834</v>
      </c>
      <c r="D6" s="0" t="n">
        <f aca="false">U_PS(D$2,$A6)</f>
        <v>0.532462039980814</v>
      </c>
      <c r="E6" s="0" t="n">
        <f aca="false">U_PS(E$2,$A6)</f>
        <v>0.532462561376078</v>
      </c>
      <c r="F6" s="0" t="n">
        <f aca="false">U_PS(F$2,$A6)</f>
        <v>0.532463082773277</v>
      </c>
      <c r="G6" s="0" t="n">
        <f aca="false">U_PS(G$2,$A6)</f>
        <v>0.532468296896868</v>
      </c>
      <c r="H6" s="0" t="n">
        <f aca="false">U_PS(H$2,$A6)</f>
        <v>0.532473511289238</v>
      </c>
      <c r="I6" s="0" t="n">
        <f aca="false">U_PS(I$2,$A6)</f>
        <v>0.532478725949209</v>
      </c>
      <c r="J6" s="0" t="n">
        <f aca="false">U_PS(J$2,$A6)</f>
        <v>0.532483940876446</v>
      </c>
      <c r="K6" s="0" t="n">
        <f aca="false">U_PS(K$2,$A6)</f>
        <v>0.532489156072811</v>
      </c>
      <c r="L6" s="0" t="n">
        <f aca="false">U_PS(L$2,$A6)</f>
        <v>0.532494371536674</v>
      </c>
      <c r="M6" s="0" t="n">
        <f aca="false">U_PS(M$2,$A6)</f>
        <v>0.532499587269181</v>
      </c>
      <c r="N6" s="0" t="n">
        <f aca="false">U_PS(N$2,$A6)</f>
        <v>0.53250480327015</v>
      </c>
      <c r="O6" s="0" t="n">
        <f aca="false">U_PS(O$2,$A6)</f>
        <v>0.532510019537432</v>
      </c>
      <c r="P6" s="0" t="n">
        <f aca="false">U_PS(P$2,$A6)</f>
        <v>0.532562196965943</v>
      </c>
      <c r="Q6" s="0" t="n">
        <f aca="false">U_PS(Q$2,$A6)</f>
        <v>0.532614401205219</v>
      </c>
      <c r="R6" s="0" t="n">
        <f aca="false">U_PS(R$2,$A6)</f>
        <v>0.532666632253026</v>
      </c>
      <c r="S6" s="0" t="n">
        <f aca="false">U_PS(S$2,$A6)</f>
        <v>0.532718890114028</v>
      </c>
      <c r="T6" s="0" t="n">
        <f aca="false">U_PS(T$2,$A6)</f>
        <v>0.532771174788059</v>
      </c>
      <c r="U6" s="0" t="n">
        <f aca="false">U_PS(U$2,$A6)</f>
        <v>0.532823486277973</v>
      </c>
      <c r="V6" s="0" t="n">
        <f aca="false">U_PS(V$2,$A6)</f>
        <v>0.532875824581395</v>
      </c>
      <c r="W6" s="0" t="n">
        <f aca="false">U_PS(W$2,$A6)</f>
        <v>0.532928189701853</v>
      </c>
      <c r="X6" s="0" t="n">
        <f aca="false">U_PS(X$2,$A6)</f>
        <v>0.532980581640362</v>
      </c>
      <c r="Y6" s="0" t="n">
        <f aca="false">U_PS(Y$2,$A6)</f>
        <v>0.533505976257723</v>
      </c>
      <c r="Z6" s="0" t="n">
        <f aca="false">U_PS(Z$2,$A6)</f>
        <v>0.53403405393164</v>
      </c>
      <c r="AA6" s="0" t="n">
        <f aca="false">U_PS(AA$2,$A6)</f>
        <v>0.534564815827661</v>
      </c>
      <c r="AB6" s="0" t="n">
        <f aca="false">U_PS(AB$2,$A6)</f>
        <v>0.535098263109345</v>
      </c>
      <c r="AC6" s="0" t="n">
        <f aca="false">U_PS(AC$2,$A6)</f>
        <v>0.535634396946647</v>
      </c>
      <c r="AD6" s="0" t="n">
        <f aca="false">U_PS(AD$2,$A6)</f>
        <v>0.536173218512294</v>
      </c>
      <c r="AE6" s="0" t="n">
        <f aca="false">U_PS(AE$2,$A6)</f>
        <v>0.536714728976727</v>
      </c>
      <c r="AF6" s="0" t="n">
        <f aca="false">U_PS(AF$2,$A6)</f>
        <v>0.537258929520668</v>
      </c>
      <c r="AG6" s="0" t="n">
        <f aca="false">U_PS(AG$2,$A6)</f>
        <v>0.537805821319235</v>
      </c>
      <c r="AH6" s="0" t="n">
        <f aca="false">U_PS(AH$2,$A6)</f>
        <v>0.54342301960677</v>
      </c>
      <c r="AI6" s="0" t="n">
        <f aca="false">U_PS(AI$2,$A6)</f>
        <v>0.54931065909029</v>
      </c>
      <c r="AJ6" s="0" t="n">
        <f aca="false">U_PS(AJ$2,$A6)</f>
        <v>0.555469959729882</v>
      </c>
      <c r="AK6" s="0" t="n">
        <f aca="false">U_PS(AK$2,$A6)</f>
        <v>0.561902165500074</v>
      </c>
      <c r="AL6" s="0" t="n">
        <f aca="false">U_PS(AL$2,$A6)</f>
        <v>0.568608543755164</v>
      </c>
      <c r="AM6" s="0" t="n">
        <f aca="false">U_PS(AM$2,$A6)</f>
        <v>0.575590384608005</v>
      </c>
      <c r="AN6" s="0" t="n">
        <f aca="false">U_PS(AN$2,$A6)</f>
        <v>0.582849000316687</v>
      </c>
      <c r="AO6" s="0" t="n">
        <f aca="false">U_PS(AO$2,$A6)</f>
        <v>0.590385724670833</v>
      </c>
      <c r="AP6" s="0" t="n">
        <f aca="false">U_PS(AP$2,$A6)</f>
        <v>0.598201912392421</v>
      </c>
      <c r="AQ6" s="0" t="n">
        <f aca="false">U_PS(AQ$2,$A6)</f>
        <v>0.69204611164557</v>
      </c>
      <c r="AR6" s="0" t="n">
        <f aca="false">U_PS(AR$2,$A6)</f>
        <v>0.715044970858531</v>
      </c>
      <c r="AS6" s="0" t="n">
        <f aca="false">U_PS(AS$2,$A6)</f>
        <v>0.725894286467562</v>
      </c>
    </row>
    <row r="7" customFormat="false" ht="13.8" hidden="false" customHeight="false" outlineLevel="0" collapsed="false">
      <c r="A7" s="0" t="n">
        <v>0.003</v>
      </c>
      <c r="B7" s="0" t="n">
        <f aca="false">U_PS(B$2,$A7)</f>
        <v>0.778208347355892</v>
      </c>
      <c r="C7" s="0" t="n">
        <f aca="false">U_PS(C$2,$A7)</f>
        <v>0.806419300918002</v>
      </c>
      <c r="D7" s="0" t="n">
        <f aca="false">U_PS(D$2,$A7)</f>
        <v>0.806419817303428</v>
      </c>
      <c r="E7" s="0" t="n">
        <f aca="false">U_PS(E$2,$A7)</f>
        <v>0.806420333690386</v>
      </c>
      <c r="F7" s="0" t="n">
        <f aca="false">U_PS(F$2,$A7)</f>
        <v>0.806420850081171</v>
      </c>
      <c r="G7" s="0" t="n">
        <f aca="false">U_PS(G$2,$A7)</f>
        <v>0.806426014131623</v>
      </c>
      <c r="H7" s="0" t="n">
        <f aca="false">U_PS(H$2,$A7)</f>
        <v>0.806431178451224</v>
      </c>
      <c r="I7" s="0" t="n">
        <f aca="false">U_PS(I$2,$A7)</f>
        <v>0.806436343039202</v>
      </c>
      <c r="J7" s="0" t="n">
        <f aca="false">U_PS(J$2,$A7)</f>
        <v>0.806441507896423</v>
      </c>
      <c r="K7" s="0" t="n">
        <f aca="false">U_PS(K$2,$A7)</f>
        <v>0.806446673022418</v>
      </c>
      <c r="L7" s="0" t="n">
        <f aca="false">U_PS(L$2,$A7)</f>
        <v>0.806451838416777</v>
      </c>
      <c r="M7" s="0" t="n">
        <f aca="false">U_PS(M$2,$A7)</f>
        <v>0.806457004079538</v>
      </c>
      <c r="N7" s="0" t="n">
        <f aca="false">U_PS(N$2,$A7)</f>
        <v>0.806462170011482</v>
      </c>
      <c r="O7" s="0" t="n">
        <f aca="false">U_PS(O$2,$A7)</f>
        <v>0.806467336212174</v>
      </c>
      <c r="P7" s="0" t="n">
        <f aca="false">U_PS(P$2,$A7)</f>
        <v>0.806519012997097</v>
      </c>
      <c r="Q7" s="0" t="n">
        <f aca="false">U_PS(Q$2,$A7)</f>
        <v>0.806570716652625</v>
      </c>
      <c r="R7" s="0" t="n">
        <f aca="false">U_PS(R$2,$A7)</f>
        <v>0.806622447180999</v>
      </c>
      <c r="S7" s="0" t="n">
        <f aca="false">U_PS(S$2,$A7)</f>
        <v>0.806674204585515</v>
      </c>
      <c r="T7" s="0" t="n">
        <f aca="false">U_PS(T$2,$A7)</f>
        <v>0.806725988863315</v>
      </c>
      <c r="U7" s="0" t="n">
        <f aca="false">U_PS(U$2,$A7)</f>
        <v>0.806777800018767</v>
      </c>
      <c r="V7" s="0" t="n">
        <f aca="false">U_PS(V$2,$A7)</f>
        <v>0.806829638051402</v>
      </c>
      <c r="W7" s="0" t="n">
        <f aca="false">U_PS(W$2,$A7)</f>
        <v>0.806881502963447</v>
      </c>
      <c r="X7" s="0" t="n">
        <f aca="false">U_PS(X$2,$A7)</f>
        <v>0.806933394753507</v>
      </c>
      <c r="Y7" s="0" t="n">
        <f aca="false">U_PS(Y$2,$A7)</f>
        <v>0.807453791316904</v>
      </c>
      <c r="Z7" s="0" t="n">
        <f aca="false">U_PS(Z$2,$A7)</f>
        <v>0.807976877146708</v>
      </c>
      <c r="AA7" s="0" t="n">
        <f aca="false">U_PS(AA$2,$A7)</f>
        <v>0.808502653405702</v>
      </c>
      <c r="AB7" s="0" t="n">
        <f aca="false">U_PS(AB$2,$A7)</f>
        <v>0.809031121257613</v>
      </c>
      <c r="AC7" s="0" t="n">
        <f aca="false">U_PS(AC$2,$A7)</f>
        <v>0.809562281868343</v>
      </c>
      <c r="AD7" s="0" t="n">
        <f aca="false">U_PS(AD$2,$A7)</f>
        <v>0.810096136409194</v>
      </c>
      <c r="AE7" s="0" t="n">
        <f aca="false">U_PS(AE$2,$A7)</f>
        <v>0.810632686051412</v>
      </c>
      <c r="AF7" s="0" t="n">
        <f aca="false">U_PS(AF$2,$A7)</f>
        <v>0.811171931968967</v>
      </c>
      <c r="AG7" s="0" t="n">
        <f aca="false">U_PS(AG$2,$A7)</f>
        <v>0.811713875341275</v>
      </c>
      <c r="AH7" s="0" t="n">
        <f aca="false">U_PS(AH$2,$A7)</f>
        <v>0.817281929731386</v>
      </c>
      <c r="AI7" s="0" t="n">
        <f aca="false">U_PS(AI$2,$A7)</f>
        <v>0.82312104278492</v>
      </c>
      <c r="AJ7" s="0" t="n">
        <f aca="false">U_PS(AJ$2,$A7)</f>
        <v>0.829232432364985</v>
      </c>
      <c r="AK7" s="0" t="n">
        <f aca="false">U_PS(AK$2,$A7)</f>
        <v>0.835617340243076</v>
      </c>
      <c r="AL7" s="0" t="n">
        <f aca="false">U_PS(AL$2,$A7)</f>
        <v>0.84227703147015</v>
      </c>
      <c r="AM7" s="0" t="n">
        <f aca="false">U_PS(AM$2,$A7)</f>
        <v>0.849212793755617</v>
      </c>
      <c r="AN7" s="0" t="n">
        <f aca="false">U_PS(AN$2,$A7)</f>
        <v>0.856425936852367</v>
      </c>
      <c r="AO7" s="0" t="n">
        <f aca="false">U_PS(AO$2,$A7)</f>
        <v>0.863917791949954</v>
      </c>
      <c r="AP7" s="0" t="n">
        <f aca="false">U_PS(AP$2,$A7)</f>
        <v>0.8716897110716</v>
      </c>
      <c r="AQ7" s="0" t="n">
        <f aca="false">U_PS(AQ$2,$A7)</f>
        <v>0.965123600183641</v>
      </c>
      <c r="AR7" s="0" t="n">
        <f aca="false">U_PS(AR$2,$A7)</f>
        <v>0.988044922726702</v>
      </c>
      <c r="AS7" s="0" t="n">
        <f aca="false">U_PS(AS$2,$A7)</f>
        <v>0.998859857698085</v>
      </c>
    </row>
    <row r="8" customFormat="false" ht="13.8" hidden="false" customHeight="false" outlineLevel="0" collapsed="false">
      <c r="A8" s="0" t="n">
        <v>0.004</v>
      </c>
      <c r="B8" s="0" t="n">
        <f aca="false">U_PS(B$2,$A8)</f>
        <v>1.03760580268532</v>
      </c>
      <c r="C8" s="0" t="n">
        <f aca="false">U_PS(C$2,$A8)</f>
        <v>1.0804340254848</v>
      </c>
      <c r="D8" s="0" t="n">
        <f aca="false">U_PS(D$2,$A8)</f>
        <v>1.08043453689658</v>
      </c>
      <c r="E8" s="0" t="n">
        <f aca="false">U_PS(E$2,$A8)</f>
        <v>1.08043504831065</v>
      </c>
      <c r="F8" s="0" t="n">
        <f aca="false">U_PS(F$2,$A8)</f>
        <v>1.08043555972738</v>
      </c>
      <c r="G8" s="0" t="n">
        <f aca="false">U_PS(G$2,$A8)</f>
        <v>1.08044067404484</v>
      </c>
      <c r="H8" s="0" t="n">
        <f aca="false">U_PS(H$2,$A8)</f>
        <v>1.08044578863047</v>
      </c>
      <c r="I8" s="0" t="n">
        <f aca="false">U_PS(I$2,$A8)</f>
        <v>1.08045090348681</v>
      </c>
      <c r="J8" s="0" t="n">
        <f aca="false">U_PS(J$2,$A8)</f>
        <v>1.08045601861163</v>
      </c>
      <c r="K8" s="0" t="n">
        <f aca="false">U_PS(K$2,$A8)</f>
        <v>1.08046113400604</v>
      </c>
      <c r="L8" s="0" t="n">
        <f aca="false">U_PS(L$2,$A8)</f>
        <v>1.08046624967077</v>
      </c>
      <c r="M8" s="0" t="n">
        <f aca="false">U_PS(M$2,$A8)</f>
        <v>1.0804713656019</v>
      </c>
      <c r="N8" s="0" t="n">
        <f aca="false">U_PS(N$2,$A8)</f>
        <v>1.08047648180546</v>
      </c>
      <c r="O8" s="0" t="n">
        <f aca="false">U_PS(O$2,$A8)</f>
        <v>1.08048159827662</v>
      </c>
      <c r="P8" s="0" t="n">
        <f aca="false">U_PS(P$2,$A8)</f>
        <v>1.08053277780583</v>
      </c>
      <c r="Q8" s="0" t="n">
        <f aca="false">U_PS(Q$2,$A8)</f>
        <v>1.08058398426926</v>
      </c>
      <c r="R8" s="0" t="n">
        <f aca="false">U_PS(R$2,$A8)</f>
        <v>1.08063521766668</v>
      </c>
      <c r="S8" s="0" t="n">
        <f aca="false">U_PS(S$2,$A8)</f>
        <v>1.08068647800142</v>
      </c>
      <c r="T8" s="0" t="n">
        <f aca="false">U_PS(T$2,$A8)</f>
        <v>1.08073776527202</v>
      </c>
      <c r="U8" s="0" t="n">
        <f aca="false">U_PS(U$2,$A8)</f>
        <v>1.08078907948207</v>
      </c>
      <c r="V8" s="0" t="n">
        <f aca="false">U_PS(V$2,$A8)</f>
        <v>1.08084042063162</v>
      </c>
      <c r="W8" s="0" t="n">
        <f aca="false">U_PS(W$2,$A8)</f>
        <v>1.08089178872126</v>
      </c>
      <c r="X8" s="0" t="n">
        <f aca="false">U_PS(X$2,$A8)</f>
        <v>1.08094318375276</v>
      </c>
      <c r="Y8" s="0" t="n">
        <f aca="false">U_PS(Y$2,$A8)</f>
        <v>1.08145861612508</v>
      </c>
      <c r="Z8" s="0" t="n">
        <f aca="false">U_PS(Z$2,$A8)</f>
        <v>1.08197674395194</v>
      </c>
      <c r="AA8" s="0" t="n">
        <f aca="false">U_PS(AA$2,$A8)</f>
        <v>1.08249756839677</v>
      </c>
      <c r="AB8" s="0" t="n">
        <f aca="false">U_PS(AB$2,$A8)</f>
        <v>1.08302109061935</v>
      </c>
      <c r="AC8" s="0" t="n">
        <f aca="false">U_PS(AC$2,$A8)</f>
        <v>1.08354731178466</v>
      </c>
      <c r="AD8" s="0" t="n">
        <f aca="false">U_PS(AD$2,$A8)</f>
        <v>1.08407623306119</v>
      </c>
      <c r="AE8" s="0" t="n">
        <f aca="false">U_PS(AE$2,$A8)</f>
        <v>1.08460785561922</v>
      </c>
      <c r="AF8" s="0" t="n">
        <f aca="false">U_PS(AF$2,$A8)</f>
        <v>1.08514218063051</v>
      </c>
      <c r="AG8" s="0" t="n">
        <f aca="false">U_PS(AG$2,$A8)</f>
        <v>1.08567920927164</v>
      </c>
      <c r="AH8" s="0" t="n">
        <f aca="false">U_PS(AH$2,$A8)</f>
        <v>1.09119845558277</v>
      </c>
      <c r="AI8" s="0" t="n">
        <f aca="false">U_PS(AI$2,$A8)</f>
        <v>1.09698937589759</v>
      </c>
      <c r="AJ8" s="0" t="n">
        <f aca="false">U_PS(AJ$2,$A8)</f>
        <v>1.10305318594134</v>
      </c>
      <c r="AK8" s="0" t="n">
        <f aca="false">U_PS(AK$2,$A8)</f>
        <v>1.10939112524581</v>
      </c>
      <c r="AL8" s="0" t="n">
        <f aca="false">U_PS(AL$2,$A8)</f>
        <v>1.11600445652241</v>
      </c>
      <c r="AM8" s="0" t="n">
        <f aca="false">U_PS(AM$2,$A8)</f>
        <v>1.12289446504131</v>
      </c>
      <c r="AN8" s="0" t="n">
        <f aca="false">U_PS(AN$2,$A8)</f>
        <v>1.13006245801403</v>
      </c>
      <c r="AO8" s="0" t="n">
        <f aca="false">U_PS(AO$2,$A8)</f>
        <v>1.1375097639934</v>
      </c>
      <c r="AP8" s="0" t="n">
        <f aca="false">U_PS(AP$2,$A8)</f>
        <v>1.14523773227177</v>
      </c>
      <c r="AQ8" s="0" t="n">
        <f aca="false">U_PS(AQ$2,$A8)</f>
        <v>1.23826435061625</v>
      </c>
      <c r="AR8" s="0" t="n">
        <f aca="false">U_PS(AR$2,$A8)</f>
        <v>1.26110873085873</v>
      </c>
      <c r="AS8" s="0" t="n">
        <f aca="false">U_PS(AS$2,$A8)</f>
        <v>1.27188955086444</v>
      </c>
    </row>
    <row r="9" customFormat="false" ht="13.8" hidden="false" customHeight="false" outlineLevel="0" collapsed="false">
      <c r="A9" s="0" t="n">
        <v>0.005</v>
      </c>
      <c r="B9" s="0" t="n">
        <f aca="false">U_PS(B$2,$A9)</f>
        <v>1.29700325801474</v>
      </c>
      <c r="C9" s="0" t="n">
        <f aca="false">U_PS(C$2,$A9)</f>
        <v>1.35450577327487</v>
      </c>
      <c r="D9" s="0" t="n">
        <f aca="false">U_PS(D$2,$A9)</f>
        <v>1.35450627974731</v>
      </c>
      <c r="E9" s="0" t="n">
        <f aca="false">U_PS(E$2,$A9)</f>
        <v>1.35450678622106</v>
      </c>
      <c r="F9" s="0" t="n">
        <f aca="false">U_PS(F$2,$A9)</f>
        <v>1.35450729269773</v>
      </c>
      <c r="G9" s="0" t="n">
        <f aca="false">U_PS(G$2,$A9)</f>
        <v>1.35451235761887</v>
      </c>
      <c r="H9" s="0" t="n">
        <f aca="false">U_PS(H$2,$A9)</f>
        <v>1.3545174228085</v>
      </c>
      <c r="I9" s="0" t="n">
        <f aca="false">U_PS(I$2,$A9)</f>
        <v>1.35452248826961</v>
      </c>
      <c r="J9" s="0" t="n">
        <f aca="false">U_PS(J$2,$A9)</f>
        <v>1.35452755399921</v>
      </c>
      <c r="K9" s="0" t="n">
        <f aca="false">U_PS(K$2,$A9)</f>
        <v>1.35453262000045</v>
      </c>
      <c r="L9" s="0" t="n">
        <f aca="false">U_PS(L$2,$A9)</f>
        <v>1.35453768627013</v>
      </c>
      <c r="M9" s="0" t="n">
        <f aca="false">U_PS(M$2,$A9)</f>
        <v>1.35454275280958</v>
      </c>
      <c r="N9" s="0" t="n">
        <f aca="false">U_PS(N$2,$A9)</f>
        <v>1.35454781961994</v>
      </c>
      <c r="O9" s="0" t="n">
        <f aca="false">U_PS(O$2,$A9)</f>
        <v>1.35455288669947</v>
      </c>
      <c r="P9" s="0" t="n">
        <f aca="false">U_PS(P$2,$A9)</f>
        <v>1.35460357234711</v>
      </c>
      <c r="Q9" s="0" t="n">
        <f aca="false">U_PS(Q$2,$A9)</f>
        <v>1.35465428498916</v>
      </c>
      <c r="R9" s="0" t="n">
        <f aca="false">U_PS(R$2,$A9)</f>
        <v>1.35470502462699</v>
      </c>
      <c r="S9" s="0" t="n">
        <f aca="false">U_PS(S$2,$A9)</f>
        <v>1.35475579126363</v>
      </c>
      <c r="T9" s="0" t="n">
        <f aca="false">U_PS(T$2,$A9)</f>
        <v>1.35480658490013</v>
      </c>
      <c r="U9" s="0" t="n">
        <f aca="false">U_PS(U$2,$A9)</f>
        <v>1.35485740553522</v>
      </c>
      <c r="V9" s="0" t="n">
        <f aca="false">U_PS(V$2,$A9)</f>
        <v>1.35490825317216</v>
      </c>
      <c r="W9" s="0" t="n">
        <f aca="false">U_PS(W$2,$A9)</f>
        <v>1.35495912781161</v>
      </c>
      <c r="X9" s="0" t="n">
        <f aca="false">U_PS(X$2,$A9)</f>
        <v>1.35501002945358</v>
      </c>
      <c r="Y9" s="0" t="n">
        <f aca="false">U_PS(Y$2,$A9)</f>
        <v>1.35552053133029</v>
      </c>
      <c r="Z9" s="0" t="n">
        <f aca="false">U_PS(Z$2,$A9)</f>
        <v>1.35603373483019</v>
      </c>
      <c r="AA9" s="0" t="n">
        <f aca="false">U_PS(AA$2,$A9)</f>
        <v>1.35654964111366</v>
      </c>
      <c r="AB9" s="0" t="n">
        <f aca="false">U_PS(AB$2,$A9)</f>
        <v>1.35706825134056</v>
      </c>
      <c r="AC9" s="0" t="n">
        <f aca="false">U_PS(AC$2,$A9)</f>
        <v>1.3575895666723</v>
      </c>
      <c r="AD9" s="0" t="n">
        <f aca="false">U_PS(AD$2,$A9)</f>
        <v>1.3581135882781</v>
      </c>
      <c r="AE9" s="0" t="n">
        <f aca="false">U_PS(AE$2,$A9)</f>
        <v>1.35864031732312</v>
      </c>
      <c r="AF9" s="0" t="n">
        <f aca="false">U_PS(AF$2,$A9)</f>
        <v>1.35916975497877</v>
      </c>
      <c r="AG9" s="0" t="n">
        <f aca="false">U_PS(AG$2,$A9)</f>
        <v>1.35970190241751</v>
      </c>
      <c r="AH9" s="0" t="n">
        <f aca="false">U_PS(AH$2,$A9)</f>
        <v>1.36517267479188</v>
      </c>
      <c r="AI9" s="0" t="n">
        <f aca="false">U_PS(AI$2,$A9)</f>
        <v>1.37091573438277</v>
      </c>
      <c r="AJ9" s="0" t="n">
        <f aca="false">U_PS(AJ$2,$A9)</f>
        <v>1.37693229473934</v>
      </c>
      <c r="AK9" s="0" t="n">
        <f aca="false">U_PS(AK$2,$A9)</f>
        <v>1.38322359312113</v>
      </c>
      <c r="AL9" s="0" t="n">
        <f aca="false">U_PS(AL$2,$A9)</f>
        <v>1.38979088986082</v>
      </c>
      <c r="AM9" s="0" t="n">
        <f aca="false">U_PS(AM$2,$A9)</f>
        <v>1.39663546774984</v>
      </c>
      <c r="AN9" s="0" t="n">
        <f aca="false">U_PS(AN$2,$A9)</f>
        <v>1.4037586314294</v>
      </c>
      <c r="AO9" s="0" t="n">
        <f aca="false">U_PS(AO$2,$A9)</f>
        <v>1.41116170677866</v>
      </c>
      <c r="AP9" s="0" t="n">
        <f aca="false">U_PS(AP$2,$A9)</f>
        <v>1.41884604032203</v>
      </c>
      <c r="AQ9" s="0" t="n">
        <f aca="false">U_PS(AQ$2,$A9)</f>
        <v>1.51146841111113</v>
      </c>
      <c r="AR9" s="0" t="n">
        <f aca="false">U_PS(AR$2,$A9)</f>
        <v>1.53423644017379</v>
      </c>
      <c r="AS9" s="0" t="n">
        <f aca="false">U_PS(AS$2,$A9)</f>
        <v>1.54498340942645</v>
      </c>
    </row>
    <row r="10" customFormat="false" ht="13.8" hidden="false" customHeight="false" outlineLevel="0" collapsed="false">
      <c r="A10" s="0" t="n">
        <v>0.006</v>
      </c>
      <c r="B10" s="0" t="n">
        <f aca="false">U_PS(B$2,$A10)</f>
        <v>1.55640071334416</v>
      </c>
      <c r="C10" s="0" t="n">
        <f aca="false">U_PS(C$2,$A10)</f>
        <v>1.62863462487443</v>
      </c>
      <c r="D10" s="0" t="n">
        <f aca="false">U_PS(D$2,$A10)</f>
        <v>1.62863512644054</v>
      </c>
      <c r="E10" s="0" t="n">
        <f aca="false">U_PS(E$2,$A10)</f>
        <v>1.62863562800832</v>
      </c>
      <c r="F10" s="0" t="n">
        <f aca="false">U_PS(F$2,$A10)</f>
        <v>1.62863612957908</v>
      </c>
      <c r="G10" s="0" t="n">
        <f aca="false">U_PS(G$2,$A10)</f>
        <v>1.62864114543907</v>
      </c>
      <c r="H10" s="0" t="n">
        <f aca="false">U_PS(H$2,$A10)</f>
        <v>1.62864616156863</v>
      </c>
      <c r="I10" s="0" t="n">
        <f aca="false">U_PS(I$2,$A10)</f>
        <v>1.62865117796989</v>
      </c>
      <c r="J10" s="0" t="n">
        <f aca="false">U_PS(J$2,$A10)</f>
        <v>1.62865619464037</v>
      </c>
      <c r="K10" s="0" t="n">
        <f aca="false">U_PS(K$2,$A10)</f>
        <v>1.62866121158202</v>
      </c>
      <c r="L10" s="0" t="n">
        <f aca="false">U_PS(L$2,$A10)</f>
        <v>1.62866622879403</v>
      </c>
      <c r="M10" s="0" t="n">
        <f aca="false">U_PS(M$2,$A10)</f>
        <v>1.62867124627639</v>
      </c>
      <c r="N10" s="0" t="n">
        <f aca="false">U_PS(N$2,$A10)</f>
        <v>1.62867626403049</v>
      </c>
      <c r="O10" s="0" t="n">
        <f aca="false">U_PS(O$2,$A10)</f>
        <v>1.62868128205466</v>
      </c>
      <c r="P10" s="0" t="n">
        <f aca="false">U_PS(P$2,$A10)</f>
        <v>1.62873147717395</v>
      </c>
      <c r="Q10" s="0" t="n">
        <f aca="false">U_PS(Q$2,$A10)</f>
        <v>1.62878169934988</v>
      </c>
      <c r="R10" s="0" t="n">
        <f aca="false">U_PS(R$2,$A10)</f>
        <v>1.62883194858474</v>
      </c>
      <c r="S10" s="0" t="n">
        <f aca="false">U_PS(S$2,$A10)</f>
        <v>1.6288822248789</v>
      </c>
      <c r="T10" s="0" t="n">
        <f aca="false">U_PS(T$2,$A10)</f>
        <v>1.62893252823304</v>
      </c>
      <c r="U10" s="0" t="n">
        <f aca="false">U_PS(U$2,$A10)</f>
        <v>1.62898285864934</v>
      </c>
      <c r="V10" s="0" t="n">
        <f aca="false">U_PS(V$2,$A10)</f>
        <v>1.62903321612774</v>
      </c>
      <c r="W10" s="0" t="n">
        <f aca="false">U_PS(W$2,$A10)</f>
        <v>1.6290836006705</v>
      </c>
      <c r="X10" s="0" t="n">
        <f aca="false">U_PS(X$2,$A10)</f>
        <v>1.62913401227811</v>
      </c>
      <c r="Y10" s="0" t="n">
        <f aca="false">U_PS(Y$2,$A10)</f>
        <v>1.62963961718589</v>
      </c>
      <c r="Z10" s="0" t="n">
        <f aca="false">U_PS(Z$2,$A10)</f>
        <v>1.63014792986585</v>
      </c>
      <c r="AA10" s="0" t="n">
        <f aca="false">U_PS(AA$2,$A10)</f>
        <v>1.63065895147581</v>
      </c>
      <c r="AB10" s="0" t="n">
        <f aca="false">U_PS(AB$2,$A10)</f>
        <v>1.63117268317174</v>
      </c>
      <c r="AC10" s="0" t="n">
        <f aca="false">U_PS(AC$2,$A10)</f>
        <v>1.63168912611809</v>
      </c>
      <c r="AD10" s="0" t="n">
        <f aca="false">U_PS(AD$2,$A10)</f>
        <v>1.63220828147554</v>
      </c>
      <c r="AE10" s="0" t="n">
        <f aca="false">U_PS(AE$2,$A10)</f>
        <v>1.63273015041121</v>
      </c>
      <c r="AF10" s="0" t="n">
        <f aca="false">U_PS(AF$2,$A10)</f>
        <v>1.63325473409367</v>
      </c>
      <c r="AG10" s="0" t="n">
        <f aca="false">U_PS(AG$2,$A10)</f>
        <v>1.63378203369452</v>
      </c>
      <c r="AH10" s="0" t="n">
        <f aca="false">U_PS(AH$2,$A10)</f>
        <v>1.63920466460099</v>
      </c>
      <c r="AI10" s="0" t="n">
        <f aca="false">U_PS(AI$2,$A10)</f>
        <v>1.64490019381326</v>
      </c>
      <c r="AJ10" s="0" t="n">
        <f aca="false">U_PS(AJ$2,$A10)</f>
        <v>1.6508698326709</v>
      </c>
      <c r="AK10" s="0" t="n">
        <f aca="false">U_PS(AK$2,$A10)</f>
        <v>1.65711481611666</v>
      </c>
      <c r="AL10" s="0" t="n">
        <f aca="false">U_PS(AL$2,$A10)</f>
        <v>1.66363640207309</v>
      </c>
      <c r="AM10" s="0" t="n">
        <f aca="false">U_PS(AM$2,$A10)</f>
        <v>1.67043587081973</v>
      </c>
      <c r="AN10" s="0" t="n">
        <f aca="false">U_PS(AN$2,$A10)</f>
        <v>1.67751452438527</v>
      </c>
      <c r="AO10" s="0" t="n">
        <f aca="false">U_PS(AO$2,$A10)</f>
        <v>1.68487368594491</v>
      </c>
      <c r="AP10" s="0" t="n">
        <f aca="false">U_PS(AP$2,$A10)</f>
        <v>1.69251469922302</v>
      </c>
      <c r="AQ10" s="0" t="n">
        <f aca="false">U_PS(AQ$2,$A10)</f>
        <v>1.78473582957831</v>
      </c>
      <c r="AR10" s="0" t="n">
        <f aca="false">U_PS(AR$2,$A10)</f>
        <v>1.80742809534745</v>
      </c>
      <c r="AS10" s="0" t="n">
        <f aca="false">U_PS(AS$2,$A10)</f>
        <v>1.81814147660262</v>
      </c>
    </row>
    <row r="11" customFormat="false" ht="13.8" hidden="false" customHeight="false" outlineLevel="0" collapsed="false">
      <c r="A11" s="0" t="n">
        <v>0.007</v>
      </c>
      <c r="B11" s="0" t="n">
        <f aca="false">U_PS(B$2,$A11)</f>
        <v>1.81579816867359</v>
      </c>
      <c r="C11" s="0" t="n">
        <f aca="false">U_PS(C$2,$A11)</f>
        <v>1.90282066047336</v>
      </c>
      <c r="D11" s="0" t="n">
        <f aca="false">U_PS(D$2,$A11)</f>
        <v>1.9028211571665</v>
      </c>
      <c r="E11" s="0" t="n">
        <f aca="false">U_PS(E$2,$A11)</f>
        <v>1.90282165386202</v>
      </c>
      <c r="F11" s="0" t="n">
        <f aca="false">U_PS(F$2,$A11)</f>
        <v>1.90282215056027</v>
      </c>
      <c r="G11" s="0" t="n">
        <f aca="false">U_PS(G$2,$A11)</f>
        <v>1.90282711769232</v>
      </c>
      <c r="H11" s="0" t="n">
        <f aca="false">U_PS(H$2,$A11)</f>
        <v>1.9028320850958</v>
      </c>
      <c r="I11" s="0" t="n">
        <f aca="false">U_PS(I$2,$A11)</f>
        <v>1.90283705277072</v>
      </c>
      <c r="J11" s="0" t="n">
        <f aca="false">U_PS(J$2,$A11)</f>
        <v>1.90284202071662</v>
      </c>
      <c r="K11" s="0" t="n">
        <f aca="false">U_PS(K$2,$A11)</f>
        <v>1.90284698893346</v>
      </c>
      <c r="L11" s="0" t="n">
        <f aca="false">U_PS(L$2,$A11)</f>
        <v>1.90285195742167</v>
      </c>
      <c r="M11" s="0" t="n">
        <f aca="false">U_PS(M$2,$A11)</f>
        <v>1.90285692618035</v>
      </c>
      <c r="N11" s="0" t="n">
        <f aca="false">U_PS(N$2,$A11)</f>
        <v>1.90286189521158</v>
      </c>
      <c r="O11" s="0" t="n">
        <f aca="false">U_PS(O$2,$A11)</f>
        <v>1.90286686451299</v>
      </c>
      <c r="P11" s="0" t="n">
        <f aca="false">U_PS(P$2,$A11)</f>
        <v>1.90291657244413</v>
      </c>
      <c r="Q11" s="0" t="n">
        <f aca="false">U_PS(Q$2,$A11)</f>
        <v>1.90296630749378</v>
      </c>
      <c r="R11" s="0" t="n">
        <f aca="false">U_PS(R$2,$A11)</f>
        <v>1.90301606966296</v>
      </c>
      <c r="S11" s="0" t="n">
        <f aca="false">U_PS(S$2,$A11)</f>
        <v>1.90306585895252</v>
      </c>
      <c r="T11" s="0" t="n">
        <f aca="false">U_PS(T$2,$A11)</f>
        <v>1.90311567536385</v>
      </c>
      <c r="U11" s="0" t="n">
        <f aca="false">U_PS(U$2,$A11)</f>
        <v>1.90316551889785</v>
      </c>
      <c r="V11" s="0" t="n">
        <f aca="false">U_PS(V$2,$A11)</f>
        <v>1.90321538955686</v>
      </c>
      <c r="W11" s="0" t="n">
        <f aca="false">U_PS(W$2,$A11)</f>
        <v>1.90326528734017</v>
      </c>
      <c r="X11" s="0" t="n">
        <f aca="false">U_PS(X$2,$A11)</f>
        <v>1.90331521224931</v>
      </c>
      <c r="Y11" s="0" t="n">
        <f aca="false">U_PS(Y$2,$A11)</f>
        <v>1.90381595354882</v>
      </c>
      <c r="Z11" s="0" t="n">
        <f aca="false">U_PS(Z$2,$A11)</f>
        <v>1.90431940875029</v>
      </c>
      <c r="AA11" s="0" t="n">
        <f aca="false">U_PS(AA$2,$A11)</f>
        <v>1.9048255790058</v>
      </c>
      <c r="AB11" s="0" t="n">
        <f aca="false">U_PS(AB$2,$A11)</f>
        <v>1.9053344654729</v>
      </c>
      <c r="AC11" s="0" t="n">
        <f aca="false">U_PS(AC$2,$A11)</f>
        <v>1.90584606930929</v>
      </c>
      <c r="AD11" s="0" t="n">
        <f aca="false">U_PS(AD$2,$A11)</f>
        <v>1.90636039167754</v>
      </c>
      <c r="AE11" s="0" t="n">
        <f aca="false">U_PS(AE$2,$A11)</f>
        <v>1.906877433741</v>
      </c>
      <c r="AF11" s="0" t="n">
        <f aca="false">U_PS(AF$2,$A11)</f>
        <v>1.90739719666853</v>
      </c>
      <c r="AG11" s="0" t="n">
        <f aca="false">U_PS(AG$2,$A11)</f>
        <v>1.90791968162584</v>
      </c>
      <c r="AH11" s="0" t="n">
        <f aca="false">U_PS(AH$2,$A11)</f>
        <v>1.91329450187098</v>
      </c>
      <c r="AI11" s="0" t="n">
        <f aca="false">U_PS(AI$2,$A11)</f>
        <v>1.91894282939119</v>
      </c>
      <c r="AJ11" s="0" t="n">
        <f aca="false">U_PS(AJ$2,$A11)</f>
        <v>1.92486587327557</v>
      </c>
      <c r="AK11" s="0" t="n">
        <f aca="false">U_PS(AK$2,$A11)</f>
        <v>1.93106486611943</v>
      </c>
      <c r="AL11" s="0" t="n">
        <f aca="false">U_PS(AL$2,$A11)</f>
        <v>1.937541063396</v>
      </c>
      <c r="AM11" s="0" t="n">
        <f aca="false">U_PS(AM$2,$A11)</f>
        <v>1.94429574283693</v>
      </c>
      <c r="AN11" s="0" t="n">
        <f aca="false">U_PS(AN$2,$A11)</f>
        <v>1.95133020382583</v>
      </c>
      <c r="AO11" s="0" t="n">
        <f aca="false">U_PS(AO$2,$A11)</f>
        <v>1.95864576679844</v>
      </c>
      <c r="AP11" s="0" t="n">
        <f aca="false">U_PS(AP$2,$A11)</f>
        <v>1.96624377264494</v>
      </c>
      <c r="AQ11" s="0" t="n">
        <f aca="false">U_PS(AQ$2,$A11)</f>
        <v>2.05806665367014</v>
      </c>
      <c r="AR11" s="0" t="n">
        <f aca="false">U_PS(AR$2,$A11)</f>
        <v>2.08068374081079</v>
      </c>
      <c r="AS11" s="0" t="n">
        <f aca="false">U_PS(AS$2,$A11)</f>
        <v>2.09136379537517</v>
      </c>
    </row>
    <row r="12" customFormat="false" ht="13.8" hidden="false" customHeight="false" outlineLevel="0" collapsed="false">
      <c r="A12" s="0" t="n">
        <v>0.008</v>
      </c>
      <c r="B12" s="0" t="n">
        <f aca="false">U_PS(B$2,$A12)</f>
        <v>2.07519562400301</v>
      </c>
      <c r="C12" s="0" t="n">
        <f aca="false">U_PS(C$2,$A12)</f>
        <v>2.17706395986667</v>
      </c>
      <c r="D12" s="0" t="n">
        <f aca="false">U_PS(D$2,$A12)</f>
        <v>2.17706445171975</v>
      </c>
      <c r="E12" s="0" t="n">
        <f aca="false">U_PS(E$2,$A12)</f>
        <v>2.17706494357646</v>
      </c>
      <c r="F12" s="0" t="n">
        <f aca="false">U_PS(F$2,$A12)</f>
        <v>2.17706543543407</v>
      </c>
      <c r="G12" s="0" t="n">
        <f aca="false">U_PS(G$2,$A12)</f>
        <v>2.17707035417251</v>
      </c>
      <c r="H12" s="0" t="n">
        <f aca="false">U_PS(H$2,$A12)</f>
        <v>2.17707527318205</v>
      </c>
      <c r="I12" s="0" t="n">
        <f aca="false">U_PS(I$2,$A12)</f>
        <v>2.17708019246233</v>
      </c>
      <c r="J12" s="0" t="n">
        <f aca="false">U_PS(J$2,$A12)</f>
        <v>2.17708511201587</v>
      </c>
      <c r="K12" s="0" t="n">
        <f aca="false">U_PS(K$2,$A12)</f>
        <v>2.17709003184076</v>
      </c>
      <c r="L12" s="0" t="n">
        <f aca="false">U_PS(L$2,$A12)</f>
        <v>2.17709495193637</v>
      </c>
      <c r="M12" s="0" t="n">
        <f aca="false">U_PS(M$2,$A12)</f>
        <v>2.17709987230426</v>
      </c>
      <c r="N12" s="0" t="n">
        <f aca="false">U_PS(N$2,$A12)</f>
        <v>2.17710479294424</v>
      </c>
      <c r="O12" s="0" t="n">
        <f aca="false">U_PS(O$2,$A12)</f>
        <v>2.17710971385635</v>
      </c>
      <c r="P12" s="0" t="n">
        <f aca="false">U_PS(P$2,$A12)</f>
        <v>2.17715893792092</v>
      </c>
      <c r="Q12" s="0" t="n">
        <f aca="false">U_PS(Q$2,$A12)</f>
        <v>2.17720818916586</v>
      </c>
      <c r="R12" s="0" t="n">
        <f aca="false">U_PS(R$2,$A12)</f>
        <v>2.17725746759106</v>
      </c>
      <c r="S12" s="0" t="n">
        <f aca="false">U_PS(S$2,$A12)</f>
        <v>2.17730677319784</v>
      </c>
      <c r="T12" s="0" t="n">
        <f aca="false">U_PS(T$2,$A12)</f>
        <v>2.17735610598745</v>
      </c>
      <c r="U12" s="0" t="n">
        <f aca="false">U_PS(U$2,$A12)</f>
        <v>2.17740546596173</v>
      </c>
      <c r="V12" s="0" t="n">
        <f aca="false">U_PS(V$2,$A12)</f>
        <v>2.17745485312017</v>
      </c>
      <c r="W12" s="0" t="n">
        <f aca="false">U_PS(W$2,$A12)</f>
        <v>2.17750426746495</v>
      </c>
      <c r="X12" s="0" t="n">
        <f aca="false">U_PS(X$2,$A12)</f>
        <v>2.17755370899805</v>
      </c>
      <c r="Y12" s="0" t="n">
        <f aca="false">U_PS(Y$2,$A12)</f>
        <v>2.17804961988677</v>
      </c>
      <c r="Z12" s="0" t="n">
        <f aca="false">U_PS(Z$2,$A12)</f>
        <v>2.17854825078073</v>
      </c>
      <c r="AA12" s="0" t="n">
        <f aca="false">U_PS(AA$2,$A12)</f>
        <v>2.17904960283673</v>
      </c>
      <c r="AB12" s="0" t="n">
        <f aca="false">U_PS(AB$2,$A12)</f>
        <v>2.17955367720581</v>
      </c>
      <c r="AC12" s="0" t="n">
        <f aca="false">U_PS(AC$2,$A12)</f>
        <v>2.1800604750473</v>
      </c>
      <c r="AD12" s="0" t="n">
        <f aca="false">U_PS(AD$2,$A12)</f>
        <v>2.18056999751859</v>
      </c>
      <c r="AE12" s="0" t="n">
        <f aca="false">U_PS(AE$2,$A12)</f>
        <v>2.18108224578227</v>
      </c>
      <c r="AF12" s="0" t="n">
        <f aca="false">U_PS(AF$2,$A12)</f>
        <v>2.18159722100313</v>
      </c>
      <c r="AG12" s="0" t="n">
        <f aca="false">U_PS(AG$2,$A12)</f>
        <v>2.18211492434763</v>
      </c>
      <c r="AH12" s="0" t="n">
        <f aca="false">U_PS(AH$2,$A12)</f>
        <v>2.18744226307937</v>
      </c>
      <c r="AI12" s="0" t="n">
        <f aca="false">U_PS(AI$2,$A12)</f>
        <v>2.19304371593711</v>
      </c>
      <c r="AJ12" s="0" t="n">
        <f aca="false">U_PS(AJ$2,$A12)</f>
        <v>2.19892048972634</v>
      </c>
      <c r="AK12" s="0" t="n">
        <f aca="false">U_PS(AK$2,$A12)</f>
        <v>2.20507381465487</v>
      </c>
      <c r="AL12" s="0" t="n">
        <f aca="false">U_PS(AL$2,$A12)</f>
        <v>2.21150494371</v>
      </c>
      <c r="AM12" s="0" t="n">
        <f aca="false">U_PS(AM$2,$A12)</f>
        <v>2.21821515204167</v>
      </c>
      <c r="AN12" s="0" t="n">
        <f aca="false">U_PS(AN$2,$A12)</f>
        <v>2.22520573635547</v>
      </c>
      <c r="AO12" s="0" t="n">
        <f aca="false">U_PS(AO$2,$A12)</f>
        <v>2.23247801431288</v>
      </c>
      <c r="AP12" s="0" t="n">
        <f aca="false">U_PS(AP$2,$A12)</f>
        <v>2.24003332393431</v>
      </c>
      <c r="AQ12" s="0" t="n">
        <f aca="false">U_PS(AQ$2,$A12)</f>
        <v>2.33146093078004</v>
      </c>
      <c r="AR12" s="0" t="n">
        <f aca="false">U_PS(AR$2,$A12)</f>
        <v>2.35400342075273</v>
      </c>
      <c r="AS12" s="0" t="n">
        <f aca="false">U_PS(AS$2,$A12)</f>
        <v>2.36465040849027</v>
      </c>
    </row>
    <row r="13" customFormat="false" ht="13.8" hidden="false" customHeight="false" outlineLevel="0" collapsed="false">
      <c r="A13" s="0" t="n">
        <v>0.009</v>
      </c>
      <c r="B13" s="0" t="n">
        <f aca="false">U_PS(B$2,$A13)</f>
        <v>2.33459307933243</v>
      </c>
      <c r="C13" s="0" t="n">
        <f aca="false">U_PS(C$2,$A13)</f>
        <v>2.45136460245634</v>
      </c>
      <c r="D13" s="0" t="n">
        <f aca="false">U_PS(D$2,$A13)</f>
        <v>2.4513650895038</v>
      </c>
      <c r="E13" s="0" t="n">
        <f aca="false">U_PS(E$2,$A13)</f>
        <v>2.45136557655328</v>
      </c>
      <c r="F13" s="0" t="n">
        <f aca="false">U_PS(F$2,$A13)</f>
        <v>2.45136606360512</v>
      </c>
      <c r="G13" s="0" t="n">
        <f aca="false">U_PS(G$2,$A13)</f>
        <v>2.45137093427851</v>
      </c>
      <c r="H13" s="0" t="n">
        <f aca="false">U_PS(H$2,$A13)</f>
        <v>2.45137580522432</v>
      </c>
      <c r="I13" s="0" t="n">
        <f aca="false">U_PS(I$2,$A13)</f>
        <v>2.45138067644238</v>
      </c>
      <c r="J13" s="0" t="n">
        <f aca="false">U_PS(J$2,$A13)</f>
        <v>2.45138554793253</v>
      </c>
      <c r="K13" s="0" t="n">
        <f aca="false">U_PS(K$2,$A13)</f>
        <v>2.45139041969489</v>
      </c>
      <c r="L13" s="0" t="n">
        <f aca="false">U_PS(L$2,$A13)</f>
        <v>2.45139529173081</v>
      </c>
      <c r="M13" s="0" t="n">
        <f aca="false">U_PS(M$2,$A13)</f>
        <v>2.45140016403773</v>
      </c>
      <c r="N13" s="0" t="n">
        <f aca="false">U_PS(N$2,$A13)</f>
        <v>2.45140503661814</v>
      </c>
      <c r="O13" s="0" t="n">
        <f aca="false">U_PS(O$2,$A13)</f>
        <v>2.45140990946991</v>
      </c>
      <c r="P13" s="0" t="n">
        <f aca="false">U_PS(P$2,$A13)</f>
        <v>2.4514586529752</v>
      </c>
      <c r="Q13" s="0" t="n">
        <f aca="false">U_PS(Q$2,$A13)</f>
        <v>2.45150742372078</v>
      </c>
      <c r="R13" s="0" t="n">
        <f aca="false">U_PS(R$2,$A13)</f>
        <v>2.45155622170646</v>
      </c>
      <c r="S13" s="0" t="n">
        <f aca="false">U_PS(S$2,$A13)</f>
        <v>2.45160504693621</v>
      </c>
      <c r="T13" s="0" t="n">
        <f aca="false">U_PS(T$2,$A13)</f>
        <v>2.45165389941008</v>
      </c>
      <c r="U13" s="0" t="n">
        <f aca="false">U_PS(U$2,$A13)</f>
        <v>2.45170277912731</v>
      </c>
      <c r="V13" s="0" t="n">
        <f aca="false">U_PS(V$2,$A13)</f>
        <v>2.45175168609103</v>
      </c>
      <c r="W13" s="0" t="n">
        <f aca="false">U_PS(W$2,$A13)</f>
        <v>2.45180062030272</v>
      </c>
      <c r="X13" s="0" t="n">
        <f aca="false">U_PS(X$2,$A13)</f>
        <v>2.45184958176172</v>
      </c>
      <c r="Y13" s="0" t="n">
        <f aca="false">U_PS(Y$2,$A13)</f>
        <v>2.45234069526711</v>
      </c>
      <c r="Z13" s="0" t="n">
        <f aca="false">U_PS(Z$2,$A13)</f>
        <v>2.45283453486619</v>
      </c>
      <c r="AA13" s="0" t="n">
        <f aca="false">U_PS(AA$2,$A13)</f>
        <v>2.45333110171022</v>
      </c>
      <c r="AB13" s="0" t="n">
        <f aca="false">U_PS(AB$2,$A13)</f>
        <v>2.45383039695147</v>
      </c>
      <c r="AC13" s="0" t="n">
        <f aca="false">U_PS(AC$2,$A13)</f>
        <v>2.45433242174348</v>
      </c>
      <c r="AD13" s="0" t="n">
        <f aca="false">U_PS(AD$2,$A13)</f>
        <v>2.45483717724413</v>
      </c>
      <c r="AE13" s="0" t="n">
        <f aca="false">U_PS(AE$2,$A13)</f>
        <v>2.45534466461366</v>
      </c>
      <c r="AF13" s="0" t="n">
        <f aca="false">U_PS(AF$2,$A13)</f>
        <v>2.4558548850147</v>
      </c>
      <c r="AG13" s="0" t="n">
        <f aca="false">U_PS(AG$2,$A13)</f>
        <v>2.45636783961046</v>
      </c>
      <c r="AH13" s="0" t="n">
        <f aca="false">U_PS(AH$2,$A13)</f>
        <v>2.46164802432806</v>
      </c>
      <c r="AI13" s="0" t="n">
        <f aca="false">U_PS(AI$2,$A13)</f>
        <v>2.46720292790628</v>
      </c>
      <c r="AJ13" s="0" t="n">
        <f aca="false">U_PS(AJ$2,$A13)</f>
        <v>2.47303375483121</v>
      </c>
      <c r="AK13" s="0" t="n">
        <f aca="false">U_PS(AK$2,$A13)</f>
        <v>2.47914173288718</v>
      </c>
      <c r="AL13" s="0" t="n">
        <f aca="false">U_PS(AL$2,$A13)</f>
        <v>2.48552811254173</v>
      </c>
      <c r="AM13" s="0" t="n">
        <f aca="false">U_PS(AM$2,$A13)</f>
        <v>2.4921941663278</v>
      </c>
      <c r="AN13" s="0" t="n">
        <f aca="false">U_PS(AN$2,$A13)</f>
        <v>2.49914118823878</v>
      </c>
      <c r="AO13" s="0" t="n">
        <f aca="false">U_PS(AO$2,$A13)</f>
        <v>2.50637049312537</v>
      </c>
      <c r="AP13" s="0" t="n">
        <f aca="false">U_PS(AP$2,$A13)</f>
        <v>2.51388341610962</v>
      </c>
      <c r="AQ13" s="0" t="n">
        <f aca="false">U_PS(AQ$2,$A13)</f>
        <v>2.60491870804889</v>
      </c>
      <c r="AR13" s="0" t="n">
        <f aca="false">U_PS(AR$2,$A13)</f>
        <v>2.62738717912248</v>
      </c>
      <c r="AS13" s="0" t="n">
        <f aca="false">U_PS(AS$2,$A13)</f>
        <v>2.63800135846127</v>
      </c>
    </row>
    <row r="14" customFormat="false" ht="13.8" hidden="false" customHeight="false" outlineLevel="0" collapsed="false">
      <c r="A14" s="0" t="n">
        <v>0.01</v>
      </c>
      <c r="B14" s="0" t="n">
        <f aca="false">U_PS(B$2,$A14)</f>
        <v>2.59399053466186</v>
      </c>
      <c r="C14" s="0" t="n">
        <f aca="false">U_PS(C$2,$A14)</f>
        <v>2.72572266725468</v>
      </c>
      <c r="D14" s="0" t="n">
        <f aca="false">U_PS(D$2,$A14)</f>
        <v>2.72572314952815</v>
      </c>
      <c r="E14" s="0" t="n">
        <f aca="false">U_PS(E$2,$A14)</f>
        <v>2.72572363180453</v>
      </c>
      <c r="F14" s="0" t="n">
        <f aca="false">U_PS(F$2,$A14)</f>
        <v>2.72572411408318</v>
      </c>
      <c r="G14" s="0" t="n">
        <f aca="false">U_PS(G$2,$A14)</f>
        <v>2.72572893702139</v>
      </c>
      <c r="H14" s="0" t="n">
        <f aca="false">U_PS(H$2,$A14)</f>
        <v>2.72573376023211</v>
      </c>
      <c r="I14" s="0" t="n">
        <f aca="false">U_PS(I$2,$A14)</f>
        <v>2.72573858371576</v>
      </c>
      <c r="J14" s="0" t="n">
        <f aca="false">U_PS(J$2,$A14)</f>
        <v>2.72574340747286</v>
      </c>
      <c r="K14" s="0" t="n">
        <f aca="false">U_PS(K$2,$A14)</f>
        <v>2.72574823150324</v>
      </c>
      <c r="L14" s="0" t="n">
        <f aca="false">U_PS(L$2,$A14)</f>
        <v>2.72575305580626</v>
      </c>
      <c r="M14" s="0" t="n">
        <f aca="false">U_PS(M$2,$A14)</f>
        <v>2.72575788038152</v>
      </c>
      <c r="N14" s="0" t="n">
        <f aca="false">U_PS(N$2,$A14)</f>
        <v>2.72576270523053</v>
      </c>
      <c r="O14" s="0" t="n">
        <f aca="false">U_PS(O$2,$A14)</f>
        <v>2.72576753035287</v>
      </c>
      <c r="P14" s="0" t="n">
        <f aca="false">U_PS(P$2,$A14)</f>
        <v>2.72581579658633</v>
      </c>
      <c r="Q14" s="0" t="n">
        <f aca="false">U_PS(Q$2,$A14)</f>
        <v>2.72586409012071</v>
      </c>
      <c r="R14" s="0" t="n">
        <f aca="false">U_PS(R$2,$A14)</f>
        <v>2.72591241095817</v>
      </c>
      <c r="S14" s="0" t="n">
        <f aca="false">U_PS(S$2,$A14)</f>
        <v>2.72596075909826</v>
      </c>
      <c r="T14" s="0" t="n">
        <f aca="false">U_PS(T$2,$A14)</f>
        <v>2.72600913454351</v>
      </c>
      <c r="U14" s="0" t="n">
        <f aca="false">U_PS(U$2,$A14)</f>
        <v>2.72605753729382</v>
      </c>
      <c r="V14" s="0" t="n">
        <f aca="false">U_PS(V$2,$A14)</f>
        <v>2.72610596735022</v>
      </c>
      <c r="W14" s="0" t="n">
        <f aca="false">U_PS(W$2,$A14)</f>
        <v>2.72615442471512</v>
      </c>
      <c r="X14" s="0" t="n">
        <f aca="false">U_PS(X$2,$A14)</f>
        <v>2.7262029093891</v>
      </c>
      <c r="Y14" s="0" t="n">
        <f aca="false">U_PS(Y$2,$A14)</f>
        <v>2.72668925837759</v>
      </c>
      <c r="Z14" s="0" t="n">
        <f aca="false">U_PS(Z$2,$A14)</f>
        <v>2.72717833952347</v>
      </c>
      <c r="AA14" s="0" t="n">
        <f aca="false">U_PS(AA$2,$A14)</f>
        <v>2.72767015398029</v>
      </c>
      <c r="AB14" s="0" t="n">
        <f aca="false">U_PS(AB$2,$A14)</f>
        <v>2.72816470289569</v>
      </c>
      <c r="AC14" s="0" t="n">
        <f aca="false">U_PS(AC$2,$A14)</f>
        <v>2.72866198742149</v>
      </c>
      <c r="AD14" s="0" t="n">
        <f aca="false">U_PS(AD$2,$A14)</f>
        <v>2.72916200871451</v>
      </c>
      <c r="AE14" s="0" t="n">
        <f aca="false">U_PS(AE$2,$A14)</f>
        <v>2.7296647679316</v>
      </c>
      <c r="AF14" s="0" t="n">
        <f aca="false">U_PS(AF$2,$A14)</f>
        <v>2.73017026623272</v>
      </c>
      <c r="AG14" s="0" t="n">
        <f aca="false">U_PS(AG$2,$A14)</f>
        <v>2.73067850478101</v>
      </c>
      <c r="AH14" s="0" t="n">
        <f aca="false">U_PS(AH$2,$A14)</f>
        <v>2.73591186133633</v>
      </c>
      <c r="AI14" s="0" t="n">
        <f aca="false">U_PS(AI$2,$A14)</f>
        <v>2.74142053937875</v>
      </c>
      <c r="AJ14" s="0" t="n">
        <f aca="false">U_PS(AJ$2,$A14)</f>
        <v>2.7472057410326</v>
      </c>
      <c r="AK14" s="0" t="n">
        <f aca="false">U_PS(AK$2,$A14)</f>
        <v>2.7532686916259</v>
      </c>
      <c r="AL14" s="0" t="n">
        <f aca="false">U_PS(AL$2,$A14)</f>
        <v>2.75961063907039</v>
      </c>
      <c r="AM14" s="0" t="n">
        <f aca="false">U_PS(AM$2,$A14)</f>
        <v>2.76623285324791</v>
      </c>
      <c r="AN14" s="0" t="n">
        <f aca="false">U_PS(AN$2,$A14)</f>
        <v>2.77313662540379</v>
      </c>
      <c r="AO14" s="0" t="n">
        <f aca="false">U_PS(AO$2,$A14)</f>
        <v>2.78032326754887</v>
      </c>
      <c r="AP14" s="0" t="n">
        <f aca="false">U_PS(AP$2,$A14)</f>
        <v>2.78779411187023</v>
      </c>
      <c r="AQ14" s="0" t="n">
        <f aca="false">U_PS(AQ$2,$A14)</f>
        <v>2.8784400323627</v>
      </c>
      <c r="AR14" s="0" t="n">
        <f aca="false">U_PS(AR$2,$A14)</f>
        <v>2.9008350596309</v>
      </c>
      <c r="AS14" s="0" t="n">
        <f aca="false">U_PS(AS$2,$A14)</f>
        <v>2.91141668756899</v>
      </c>
    </row>
    <row r="15" customFormat="false" ht="13.8" hidden="false" customHeight="false" outlineLevel="0" collapsed="false">
      <c r="A15" s="0" t="n">
        <v>0.02</v>
      </c>
      <c r="B15" s="0" t="n">
        <f aca="false">U_PS(B$2,$A15)</f>
        <v>5.18796508795609</v>
      </c>
      <c r="C15" s="0" t="n">
        <f aca="false">U_PS(C$2,$A15)</f>
        <v>5.47247864442693</v>
      </c>
      <c r="D15" s="0" t="n">
        <f aca="false">U_PS(D$2,$A15)</f>
        <v>5.47247908073832</v>
      </c>
      <c r="E15" s="0" t="n">
        <f aca="false">U_PS(E$2,$A15)</f>
        <v>5.47247951705181</v>
      </c>
      <c r="F15" s="0" t="n">
        <f aca="false">U_PS(F$2,$A15)</f>
        <v>5.47247995336833</v>
      </c>
      <c r="G15" s="0" t="n">
        <f aca="false">U_PS(G$2,$A15)</f>
        <v>5.47248431668879</v>
      </c>
      <c r="H15" s="0" t="n">
        <f aca="false">U_PS(H$2,$A15)</f>
        <v>5.47248868028659</v>
      </c>
      <c r="I15" s="0" t="n">
        <f aca="false">U_PS(I$2,$A15)</f>
        <v>5.47249304416376</v>
      </c>
      <c r="J15" s="0" t="n">
        <f aca="false">U_PS(J$2,$A15)</f>
        <v>5.47249740831967</v>
      </c>
      <c r="K15" s="0" t="n">
        <f aca="false">U_PS(K$2,$A15)</f>
        <v>5.47250177275498</v>
      </c>
      <c r="L15" s="0" t="n">
        <f aca="false">U_PS(L$2,$A15)</f>
        <v>5.47250613746892</v>
      </c>
      <c r="M15" s="0" t="n">
        <f aca="false">U_PS(M$2,$A15)</f>
        <v>5.4725105024617</v>
      </c>
      <c r="N15" s="0" t="n">
        <f aca="false">U_PS(N$2,$A15)</f>
        <v>5.47251486773382</v>
      </c>
      <c r="O15" s="0" t="n">
        <f aca="false">U_PS(O$2,$A15)</f>
        <v>5.47251923328518</v>
      </c>
      <c r="P15" s="0" t="n">
        <f aca="false">U_PS(P$2,$A15)</f>
        <v>5.47256290413806</v>
      </c>
      <c r="Q15" s="0" t="n">
        <f aca="false">U_PS(Q$2,$A15)</f>
        <v>5.47260660288896</v>
      </c>
      <c r="R15" s="0" t="n">
        <f aca="false">U_PS(R$2,$A15)</f>
        <v>5.47265032953717</v>
      </c>
      <c r="S15" s="0" t="n">
        <f aca="false">U_PS(S$2,$A15)</f>
        <v>5.47269408408422</v>
      </c>
      <c r="T15" s="0" t="n">
        <f aca="false">U_PS(T$2,$A15)</f>
        <v>5.47273786653173</v>
      </c>
      <c r="U15" s="0" t="n">
        <f aca="false">U_PS(U$2,$A15)</f>
        <v>5.47278167688062</v>
      </c>
      <c r="V15" s="0" t="n">
        <f aca="false">U_PS(V$2,$A15)</f>
        <v>5.47282551513213</v>
      </c>
      <c r="W15" s="0" t="n">
        <f aca="false">U_PS(W$2,$A15)</f>
        <v>5.47286938128694</v>
      </c>
      <c r="X15" s="0" t="n">
        <f aca="false">U_PS(X$2,$A15)</f>
        <v>5.47291327534636</v>
      </c>
      <c r="Y15" s="0" t="n">
        <f aca="false">U_PS(Y$2,$A15)</f>
        <v>5.47335375094634</v>
      </c>
      <c r="Z15" s="0" t="n">
        <f aca="false">U_PS(Z$2,$A15)</f>
        <v>5.4737970182509</v>
      </c>
      <c r="AA15" s="0" t="n">
        <f aca="false">U_PS(AA$2,$A15)</f>
        <v>5.47424307838347</v>
      </c>
      <c r="AB15" s="0" t="n">
        <f aca="false">U_PS(AB$2,$A15)</f>
        <v>5.47469193247078</v>
      </c>
      <c r="AC15" s="0" t="n">
        <f aca="false">U_PS(AC$2,$A15)</f>
        <v>5.47514358164191</v>
      </c>
      <c r="AD15" s="0" t="n">
        <f aca="false">U_PS(AD$2,$A15)</f>
        <v>5.47559802702916</v>
      </c>
      <c r="AE15" s="0" t="n">
        <f aca="false">U_PS(AE$2,$A15)</f>
        <v>5.47605526976528</v>
      </c>
      <c r="AF15" s="0" t="n">
        <f aca="false">U_PS(AF$2,$A15)</f>
        <v>5.47651531098834</v>
      </c>
      <c r="AG15" s="0" t="n">
        <f aca="false">U_PS(AG$2,$A15)</f>
        <v>5.47697815183402</v>
      </c>
      <c r="AH15" s="0" t="n">
        <f aca="false">U_PS(AH$2,$A15)</f>
        <v>5.4817607918173</v>
      </c>
      <c r="AI15" s="0" t="n">
        <f aca="false">U_PS(AI$2,$A15)</f>
        <v>5.48682466402079</v>
      </c>
      <c r="AJ15" s="0" t="n">
        <f aca="false">U_PS(AJ$2,$A15)</f>
        <v>5.49217094504941</v>
      </c>
      <c r="AK15" s="0" t="n">
        <f aca="false">U_PS(AK$2,$A15)</f>
        <v>5.49780083375173</v>
      </c>
      <c r="AL15" s="0" t="n">
        <f aca="false">U_PS(AL$2,$A15)</f>
        <v>5.50371555061391</v>
      </c>
      <c r="AM15" s="0" t="n">
        <f aca="false">U_PS(AM$2,$A15)</f>
        <v>5.50991633715562</v>
      </c>
      <c r="AN15" s="0" t="n">
        <f aca="false">U_PS(AN$2,$A15)</f>
        <v>5.51640445534375</v>
      </c>
      <c r="AO15" s="0" t="n">
        <f aca="false">U_PS(AO$2,$A15)</f>
        <v>5.52318118699662</v>
      </c>
      <c r="AP15" s="0" t="n">
        <f aca="false">U_PS(AP$2,$A15)</f>
        <v>5.53024783321543</v>
      </c>
      <c r="AQ15" s="0" t="n">
        <f aca="false">U_PS(AQ$2,$A15)</f>
        <v>5.61715850022122</v>
      </c>
      <c r="AR15" s="0" t="n">
        <f aca="false">U_PS(AR$2,$A15)</f>
        <v>5.63885003079149</v>
      </c>
      <c r="AS15" s="0" t="n">
        <f aca="false">U_PS(AS$2,$A15)</f>
        <v>5.64911996977823</v>
      </c>
    </row>
    <row r="16" customFormat="false" ht="13.8" hidden="false" customHeight="false" outlineLevel="0" collapsed="false">
      <c r="A16" s="0" t="n">
        <v>0.03</v>
      </c>
      <c r="B16" s="0" t="n">
        <f aca="false">U_PS(B$2,$A16)</f>
        <v>7.78193964125033</v>
      </c>
      <c r="C16" s="0" t="n">
        <f aca="false">U_PS(C$2,$A16)</f>
        <v>8.22506093649063</v>
      </c>
      <c r="D16" s="0" t="n">
        <f aca="false">U_PS(D$2,$A16)</f>
        <v>8.22506132995307</v>
      </c>
      <c r="E16" s="0" t="n">
        <f aca="false">U_PS(E$2,$A16)</f>
        <v>8.22506172341748</v>
      </c>
      <c r="F16" s="0" t="n">
        <f aca="false">U_PS(F$2,$A16)</f>
        <v>8.22506211688445</v>
      </c>
      <c r="G16" s="0" t="n">
        <f aca="false">U_PS(G$2,$A16)</f>
        <v>8.22506605171754</v>
      </c>
      <c r="H16" s="0" t="n">
        <f aca="false">U_PS(H$2,$A16)</f>
        <v>8.22506998683369</v>
      </c>
      <c r="I16" s="0" t="n">
        <f aca="false">U_PS(I$2,$A16)</f>
        <v>8.22507392223447</v>
      </c>
      <c r="J16" s="0" t="n">
        <f aca="false">U_PS(J$2,$A16)</f>
        <v>8.22507785792146</v>
      </c>
      <c r="K16" s="0" t="n">
        <f aca="false">U_PS(K$2,$A16)</f>
        <v>8.22508179389128</v>
      </c>
      <c r="L16" s="0" t="n">
        <f aca="false">U_PS(L$2,$A16)</f>
        <v>8.22508573014722</v>
      </c>
      <c r="M16" s="0" t="n">
        <f aca="false">U_PS(M$2,$A16)</f>
        <v>8.22508966668727</v>
      </c>
      <c r="N16" s="0" t="n">
        <f aca="false">U_PS(N$2,$A16)</f>
        <v>8.22509360351291</v>
      </c>
      <c r="O16" s="0" t="n">
        <f aca="false">U_PS(O$2,$A16)</f>
        <v>8.22509754062175</v>
      </c>
      <c r="P16" s="0" t="n">
        <f aca="false">U_PS(P$2,$A16)</f>
        <v>8.22513692737865</v>
      </c>
      <c r="Q16" s="0" t="n">
        <f aca="false">U_PS(Q$2,$A16)</f>
        <v>8.22517634260715</v>
      </c>
      <c r="R16" s="0" t="n">
        <f aca="false">U_PS(R$2,$A16)</f>
        <v>8.22521578631059</v>
      </c>
      <c r="S16" s="0" t="n">
        <f aca="false">U_PS(S$2,$A16)</f>
        <v>8.22525525848774</v>
      </c>
      <c r="T16" s="0" t="n">
        <f aca="false">U_PS(T$2,$A16)</f>
        <v>8.22529475914058</v>
      </c>
      <c r="U16" s="0" t="n">
        <f aca="false">U_PS(U$2,$A16)</f>
        <v>8.22533428827084</v>
      </c>
      <c r="V16" s="0" t="n">
        <f aca="false">U_PS(V$2,$A16)</f>
        <v>8.22537384587965</v>
      </c>
      <c r="W16" s="0" t="n">
        <f aca="false">U_PS(W$2,$A16)</f>
        <v>8.22541343196704</v>
      </c>
      <c r="X16" s="0" t="n">
        <f aca="false">U_PS(X$2,$A16)</f>
        <v>8.22545304653502</v>
      </c>
      <c r="Y16" s="0" t="n">
        <f aca="false">U_PS(Y$2,$A16)</f>
        <v>8.2258507588678</v>
      </c>
      <c r="Z16" s="0" t="n">
        <f aca="false">U_PS(Z$2,$A16)</f>
        <v>8.22625132042901</v>
      </c>
      <c r="AA16" s="0" t="n">
        <f aca="false">U_PS(AA$2,$A16)</f>
        <v>8.22665473231754</v>
      </c>
      <c r="AB16" s="0" t="n">
        <f aca="false">U_PS(AB$2,$A16)</f>
        <v>8.22706099563469</v>
      </c>
      <c r="AC16" s="0" t="n">
        <f aca="false">U_PS(AC$2,$A16)</f>
        <v>8.22747011148035</v>
      </c>
      <c r="AD16" s="0" t="n">
        <f aca="false">U_PS(AD$2,$A16)</f>
        <v>8.22788208096015</v>
      </c>
      <c r="AE16" s="0" t="n">
        <f aca="false">U_PS(AE$2,$A16)</f>
        <v>8.22829690518053</v>
      </c>
      <c r="AF16" s="0" t="n">
        <f aca="false">U_PS(AF$2,$A16)</f>
        <v>8.22871458525173</v>
      </c>
      <c r="AG16" s="0" t="n">
        <f aca="false">U_PS(AG$2,$A16)</f>
        <v>8.22913512228214</v>
      </c>
      <c r="AH16" s="0" t="n">
        <f aca="false">U_PS(AH$2,$A16)</f>
        <v>8.2334978715454</v>
      </c>
      <c r="AI16" s="0" t="n">
        <f aca="false">U_PS(AI$2,$A16)</f>
        <v>8.23814755592973</v>
      </c>
      <c r="AJ16" s="0" t="n">
        <f aca="false">U_PS(AJ$2,$A16)</f>
        <v>8.24308532318296</v>
      </c>
      <c r="AK16" s="0" t="n">
        <f aca="false">U_PS(AK$2,$A16)</f>
        <v>8.24831234239863</v>
      </c>
      <c r="AL16" s="0" t="n">
        <f aca="false">U_PS(AL$2,$A16)</f>
        <v>8.25382980341271</v>
      </c>
      <c r="AM16" s="0" t="n">
        <f aca="false">U_PS(AM$2,$A16)</f>
        <v>8.25963891622029</v>
      </c>
      <c r="AN16" s="0" t="n">
        <f aca="false">U_PS(AN$2,$A16)</f>
        <v>8.26574091039412</v>
      </c>
      <c r="AO16" s="0" t="n">
        <f aca="false">U_PS(AO$2,$A16)</f>
        <v>8.27213703450946</v>
      </c>
      <c r="AP16" s="0" t="n">
        <f aca="false">U_PS(AP$2,$A16)</f>
        <v>8.27882855557797</v>
      </c>
      <c r="AQ16" s="0" t="n">
        <f aca="false">U_PS(AQ$2,$A16)</f>
        <v>8.36228142805078</v>
      </c>
      <c r="AR16" s="0" t="n">
        <f aca="false">U_PS(AR$2,$A16)</f>
        <v>8.38332358127001</v>
      </c>
      <c r="AS16" s="0" t="n">
        <f aca="false">U_PS(AS$2,$A16)</f>
        <v>8.39330600612466</v>
      </c>
    </row>
    <row r="17" customFormat="false" ht="13.8" hidden="false" customHeight="false" outlineLevel="0" collapsed="false">
      <c r="A17" s="0" t="n">
        <v>0.04</v>
      </c>
      <c r="B17" s="0" t="n">
        <f aca="false">U_PS(B$2,$A17)</f>
        <v>10.3759141945446</v>
      </c>
      <c r="C17" s="0" t="n">
        <f aca="false">U_PS(C$2,$A17)</f>
        <v>10.8689380213008</v>
      </c>
      <c r="D17" s="0" t="n">
        <f aca="false">U_PS(D$2,$A17)</f>
        <v>10.9835427866548</v>
      </c>
      <c r="E17" s="0" t="n">
        <f aca="false">U_PS(E$2,$A17)</f>
        <v>10.9835431402299</v>
      </c>
      <c r="F17" s="0" t="n">
        <f aca="false">U_PS(F$2,$A17)</f>
        <v>10.9835434938066</v>
      </c>
      <c r="G17" s="0" t="n">
        <f aca="false">U_PS(G$2,$A17)</f>
        <v>10.9835470297414</v>
      </c>
      <c r="H17" s="0" t="n">
        <f aca="false">U_PS(H$2,$A17)</f>
        <v>10.9835505659655</v>
      </c>
      <c r="I17" s="0" t="n">
        <f aca="false">U_PS(I$2,$A17)</f>
        <v>10.98355410248</v>
      </c>
      <c r="J17" s="0" t="n">
        <f aca="false">U_PS(J$2,$A17)</f>
        <v>10.9835576392853</v>
      </c>
      <c r="K17" s="0" t="n">
        <f aca="false">U_PS(K$2,$A17)</f>
        <v>10.9835611763796</v>
      </c>
      <c r="L17" s="0" t="n">
        <f aca="false">U_PS(L$2,$A17)</f>
        <v>10.9835647137649</v>
      </c>
      <c r="M17" s="0" t="n">
        <f aca="false">U_PS(M$2,$A17)</f>
        <v>10.9835682514406</v>
      </c>
      <c r="N17" s="0" t="n">
        <f aca="false">U_PS(N$2,$A17)</f>
        <v>10.9835717894067</v>
      </c>
      <c r="O17" s="0" t="n">
        <f aca="false">U_PS(O$2,$A17)</f>
        <v>10.9835753276628</v>
      </c>
      <c r="P17" s="0" t="n">
        <f aca="false">U_PS(P$2,$A17)</f>
        <v>10.9836107261904</v>
      </c>
      <c r="Q17" s="0" t="n">
        <f aca="false">U_PS(Q$2,$A17)</f>
        <v>10.9836461537465</v>
      </c>
      <c r="R17" s="0" t="n">
        <f aca="false">U_PS(R$2,$A17)</f>
        <v>10.983681610331</v>
      </c>
      <c r="S17" s="0" t="n">
        <f aca="false">U_PS(S$2,$A17)</f>
        <v>10.9837170959481</v>
      </c>
      <c r="T17" s="0" t="n">
        <f aca="false">U_PS(T$2,$A17)</f>
        <v>10.9837526105951</v>
      </c>
      <c r="U17" s="0" t="n">
        <f aca="false">U_PS(U$2,$A17)</f>
        <v>10.9837881542758</v>
      </c>
      <c r="V17" s="0" t="n">
        <f aca="false">U_PS(V$2,$A17)</f>
        <v>10.9838237269904</v>
      </c>
      <c r="W17" s="0" t="n">
        <f aca="false">U_PS(W$2,$A17)</f>
        <v>10.9838593287395</v>
      </c>
      <c r="X17" s="0" t="n">
        <f aca="false">U_PS(X$2,$A17)</f>
        <v>10.983894959524</v>
      </c>
      <c r="Y17" s="0" t="n">
        <f aca="false">U_PS(Y$2,$A17)</f>
        <v>10.9842528645883</v>
      </c>
      <c r="Z17" s="0" t="n">
        <f aca="false">U_PS(Z$2,$A17)</f>
        <v>10.984613674419</v>
      </c>
      <c r="AA17" s="0" t="n">
        <f aca="false">U_PS(AA$2,$A17)</f>
        <v>10.9849773900856</v>
      </c>
      <c r="AB17" s="0" t="n">
        <f aca="false">U_PS(AB$2,$A17)</f>
        <v>10.9853440126564</v>
      </c>
      <c r="AC17" s="0" t="n">
        <f aca="false">U_PS(AC$2,$A17)</f>
        <v>10.9857135432034</v>
      </c>
      <c r="AD17" s="0" t="n">
        <f aca="false">U_PS(AD$2,$A17)</f>
        <v>10.986085982803</v>
      </c>
      <c r="AE17" s="0" t="n">
        <f aca="false">U_PS(AE$2,$A17)</f>
        <v>10.9864613325297</v>
      </c>
      <c r="AF17" s="0" t="n">
        <f aca="false">U_PS(AF$2,$A17)</f>
        <v>10.9868395934623</v>
      </c>
      <c r="AG17" s="0" t="n">
        <f aca="false">U_PS(AG$2,$A17)</f>
        <v>10.9872207666807</v>
      </c>
      <c r="AH17" s="0" t="n">
        <f aca="false">U_PS(AH$2,$A17)</f>
        <v>10.99119291397</v>
      </c>
      <c r="AI17" s="0" t="n">
        <f aca="false">U_PS(AI$2,$A17)</f>
        <v>10.9954574947553</v>
      </c>
      <c r="AJ17" s="0" t="n">
        <f aca="false">U_PS(AJ$2,$A17)</f>
        <v>11.0000156248502</v>
      </c>
      <c r="AK17" s="0" t="n">
        <f aca="false">U_PS(AK$2,$A17)</f>
        <v>11.0048684405597</v>
      </c>
      <c r="AL17" s="0" t="n">
        <f aca="false">U_PS(AL$2,$A17)</f>
        <v>11.0100170980988</v>
      </c>
      <c r="AM17" s="0" t="n">
        <f aca="false">U_PS(AM$2,$A17)</f>
        <v>11.0154627730191</v>
      </c>
      <c r="AN17" s="0" t="n">
        <f aca="false">U_PS(AN$2,$A17)</f>
        <v>11.0212066596348</v>
      </c>
      <c r="AO17" s="0" t="n">
        <f aca="false">U_PS(AO$2,$A17)</f>
        <v>11.0272499704659</v>
      </c>
      <c r="AP17" s="0" t="n">
        <f aca="false">U_PS(AP$2,$A17)</f>
        <v>11.0335939356843</v>
      </c>
      <c r="AQ17" s="0" t="n">
        <f aca="false">U_PS(AQ$2,$A17)</f>
        <v>11.1138517653862</v>
      </c>
      <c r="AR17" s="0" t="n">
        <f aca="false">U_PS(AR$2,$A17)</f>
        <v>11.1342957121584</v>
      </c>
      <c r="AS17" s="0" t="n">
        <f aca="false">U_PS(AS$2,$A17)</f>
        <v>11.1440134716746</v>
      </c>
    </row>
    <row r="18" customFormat="false" ht="13.8" hidden="false" customHeight="false" outlineLevel="0" collapsed="false">
      <c r="A18" s="0" t="n">
        <v>0.05</v>
      </c>
      <c r="B18" s="0" t="n">
        <f aca="false">U_PS(B$2,$A18)</f>
        <v>12.9698887478388</v>
      </c>
      <c r="C18" s="0" t="n">
        <f aca="false">U_PS(C$2,$A18)</f>
        <v>13.4815343736249</v>
      </c>
      <c r="D18" s="0" t="n">
        <f aca="false">U_PS(D$2,$A18)</f>
        <v>13.7479928733953</v>
      </c>
      <c r="E18" s="0" t="n">
        <f aca="false">U_PS(E$2,$A18)</f>
        <v>13.7479931898911</v>
      </c>
      <c r="F18" s="0" t="n">
        <f aca="false">U_PS(F$2,$A18)</f>
        <v>13.7479935063894</v>
      </c>
      <c r="G18" s="0" t="n">
        <f aca="false">U_PS(G$2,$A18)</f>
        <v>13.7479966715354</v>
      </c>
      <c r="H18" s="0" t="n">
        <f aca="false">U_PS(H$2,$A18)</f>
        <v>13.7479998369768</v>
      </c>
      <c r="I18" s="0" t="n">
        <f aca="false">U_PS(I$2,$A18)</f>
        <v>13.7480030027128</v>
      </c>
      <c r="J18" s="0" t="n">
        <f aca="false">U_PS(J$2,$A18)</f>
        <v>13.748006168745</v>
      </c>
      <c r="K18" s="0" t="n">
        <f aca="false">U_PS(K$2,$A18)</f>
        <v>13.7480093350733</v>
      </c>
      <c r="L18" s="0" t="n">
        <f aca="false">U_PS(L$2,$A18)</f>
        <v>13.7480125016979</v>
      </c>
      <c r="M18" s="0" t="n">
        <f aca="false">U_PS(M$2,$A18)</f>
        <v>13.7480156686163</v>
      </c>
      <c r="N18" s="0" t="n">
        <f aca="false">U_PS(N$2,$A18)</f>
        <v>13.7480188358318</v>
      </c>
      <c r="O18" s="0" t="n">
        <f aca="false">U_PS(O$2,$A18)</f>
        <v>13.7480220033421</v>
      </c>
      <c r="P18" s="0" t="n">
        <f aca="false">U_PS(P$2,$A18)</f>
        <v>13.748053694709</v>
      </c>
      <c r="Q18" s="0" t="n">
        <f aca="false">U_PS(Q$2,$A18)</f>
        <v>13.7480854156407</v>
      </c>
      <c r="R18" s="0" t="n">
        <f aca="false">U_PS(R$2,$A18)</f>
        <v>13.7481171661379</v>
      </c>
      <c r="S18" s="0" t="n">
        <f aca="false">U_PS(S$2,$A18)</f>
        <v>13.7481489462026</v>
      </c>
      <c r="T18" s="0" t="n">
        <f aca="false">U_PS(T$2,$A18)</f>
        <v>13.7481807558352</v>
      </c>
      <c r="U18" s="0" t="n">
        <f aca="false">U_PS(U$2,$A18)</f>
        <v>13.7482125950363</v>
      </c>
      <c r="V18" s="0" t="n">
        <f aca="false">U_PS(V$2,$A18)</f>
        <v>13.7482444638083</v>
      </c>
      <c r="W18" s="0" t="n">
        <f aca="false">U_PS(W$2,$A18)</f>
        <v>13.7482763621518</v>
      </c>
      <c r="X18" s="0" t="n">
        <f aca="false">U_PS(X$2,$A18)</f>
        <v>13.7483082900668</v>
      </c>
      <c r="Y18" s="0" t="n">
        <f aca="false">U_PS(Y$2,$A18)</f>
        <v>13.7486291959095</v>
      </c>
      <c r="Z18" s="0" t="n">
        <f aca="false">U_PS(Z$2,$A18)</f>
        <v>13.7489530600989</v>
      </c>
      <c r="AA18" s="0" t="n">
        <f aca="false">U_PS(AA$2,$A18)</f>
        <v>13.749279883672</v>
      </c>
      <c r="AB18" s="0" t="n">
        <f aca="false">U_PS(AB$2,$A18)</f>
        <v>13.749609667663</v>
      </c>
      <c r="AC18" s="0" t="n">
        <f aca="false">U_PS(AC$2,$A18)</f>
        <v>13.7499424131126</v>
      </c>
      <c r="AD18" s="0" t="n">
        <f aca="false">U_PS(AD$2,$A18)</f>
        <v>13.7502781210606</v>
      </c>
      <c r="AE18" s="0" t="n">
        <f aca="false">U_PS(AE$2,$A18)</f>
        <v>13.7506167925515</v>
      </c>
      <c r="AF18" s="0" t="n">
        <f aca="false">U_PS(AF$2,$A18)</f>
        <v>13.7509584286297</v>
      </c>
      <c r="AG18" s="0" t="n">
        <f aca="false">U_PS(AG$2,$A18)</f>
        <v>13.7513030303418</v>
      </c>
      <c r="AH18" s="0" t="n">
        <f aca="false">U_PS(AH$2,$A18)</f>
        <v>13.7549123892766</v>
      </c>
      <c r="AI18" s="0" t="n">
        <f aca="false">U_PS(AI$2,$A18)</f>
        <v>13.7588194790945</v>
      </c>
      <c r="AJ18" s="0" t="n">
        <f aca="false">U_PS(AJ$2,$A18)</f>
        <v>13.7630253808222</v>
      </c>
      <c r="AK18" s="0" t="n">
        <f aca="false">U_PS(AK$2,$A18)</f>
        <v>13.767531195191</v>
      </c>
      <c r="AL18" s="0" t="n">
        <f aca="false">U_PS(AL$2,$A18)</f>
        <v>13.7723380420559</v>
      </c>
      <c r="AM18" s="0" t="n">
        <f aca="false">U_PS(AM$2,$A18)</f>
        <v>13.7774470598385</v>
      </c>
      <c r="AN18" s="0" t="n">
        <f aca="false">U_PS(AN$2,$A18)</f>
        <v>13.7828594049626</v>
      </c>
      <c r="AO18" s="0" t="n">
        <f aca="false">U_PS(AO$2,$A18)</f>
        <v>13.7885762513143</v>
      </c>
      <c r="AP18" s="0" t="n">
        <f aca="false">U_PS(AP$2,$A18)</f>
        <v>13.7945987896903</v>
      </c>
      <c r="AQ18" s="0" t="n">
        <f aca="false">U_PS(AQ$2,$A18)</f>
        <v>13.871910258443</v>
      </c>
      <c r="AR18" s="0" t="n">
        <f aca="false">U_PS(AR$2,$A18)</f>
        <v>13.891804352775</v>
      </c>
      <c r="AS18" s="0" t="n">
        <f aca="false">U_PS(AS$2,$A18)</f>
        <v>13.9012790293069</v>
      </c>
    </row>
    <row r="19" customFormat="false" ht="13.8" hidden="false" customHeight="false" outlineLevel="0" collapsed="false">
      <c r="A19" s="0" t="n">
        <v>0.06</v>
      </c>
      <c r="B19" s="0" t="n">
        <f aca="false">U_PS(B$2,$A19)</f>
        <v>15.563863301133</v>
      </c>
      <c r="C19" s="0" t="n">
        <f aca="false">U_PS(C$2,$A19)</f>
        <v>16.094130725949</v>
      </c>
      <c r="D19" s="0" t="n">
        <f aca="false">U_PS(D$2,$A19)</f>
        <v>16.518477730427</v>
      </c>
      <c r="E19" s="0" t="n">
        <f aca="false">U_PS(E$2,$A19)</f>
        <v>16.518478012512</v>
      </c>
      <c r="F19" s="0" t="n">
        <f aca="false">U_PS(F$2,$A19)</f>
        <v>16.5184782946002</v>
      </c>
      <c r="G19" s="0" t="n">
        <f aca="false">U_PS(G$2,$A19)</f>
        <v>16.5184811156465</v>
      </c>
      <c r="H19" s="0" t="n">
        <f aca="false">U_PS(H$2,$A19)</f>
        <v>16.5184839369932</v>
      </c>
      <c r="I19" s="0" t="n">
        <f aca="false">U_PS(I$2,$A19)</f>
        <v>16.518486758641</v>
      </c>
      <c r="J19" s="0" t="n">
        <f aca="false">U_PS(J$2,$A19)</f>
        <v>16.5184895805893</v>
      </c>
      <c r="K19" s="0" t="n">
        <f aca="false">U_PS(K$2,$A19)</f>
        <v>16.5184924028387</v>
      </c>
      <c r="L19" s="0" t="n">
        <f aca="false">U_PS(L$2,$A19)</f>
        <v>16.5184952253888</v>
      </c>
      <c r="M19" s="0" t="n">
        <f aca="false">U_PS(M$2,$A19)</f>
        <v>16.5184980482401</v>
      </c>
      <c r="N19" s="0" t="n">
        <f aca="false">U_PS(N$2,$A19)</f>
        <v>16.5185008713908</v>
      </c>
      <c r="O19" s="0" t="n">
        <f aca="false">U_PS(O$2,$A19)</f>
        <v>16.5185036948436</v>
      </c>
      <c r="P19" s="0" t="n">
        <f aca="false">U_PS(P$2,$A19)</f>
        <v>16.5185319459148</v>
      </c>
      <c r="Q19" s="0" t="n">
        <f aca="false">U_PS(Q$2,$A19)</f>
        <v>16.5185602270671</v>
      </c>
      <c r="R19" s="0" t="n">
        <f aca="false">U_PS(R$2,$A19)</f>
        <v>16.5185885383025</v>
      </c>
      <c r="S19" s="0" t="n">
        <f aca="false">U_PS(S$2,$A19)</f>
        <v>16.5186168796226</v>
      </c>
      <c r="T19" s="0" t="n">
        <f aca="false">U_PS(T$2,$A19)</f>
        <v>16.5186452510271</v>
      </c>
      <c r="U19" s="0" t="n">
        <f aca="false">U_PS(U$2,$A19)</f>
        <v>16.5186736525186</v>
      </c>
      <c r="V19" s="0" t="n">
        <f aca="false">U_PS(V$2,$A19)</f>
        <v>16.5187020840965</v>
      </c>
      <c r="W19" s="0" t="n">
        <f aca="false">U_PS(W$2,$A19)</f>
        <v>16.518730545763</v>
      </c>
      <c r="X19" s="0" t="n">
        <f aca="false">U_PS(X$2,$A19)</f>
        <v>16.518759037518</v>
      </c>
      <c r="Y19" s="0" t="n">
        <f aca="false">U_PS(Y$2,$A19)</f>
        <v>16.5190456101883</v>
      </c>
      <c r="Z19" s="0" t="n">
        <f aca="false">U_PS(Z$2,$A19)</f>
        <v>16.5193351928624</v>
      </c>
      <c r="AA19" s="0" t="n">
        <f aca="false">U_PS(AA$2,$A19)</f>
        <v>16.5196277865385</v>
      </c>
      <c r="AB19" s="0" t="n">
        <f aca="false">U_PS(AB$2,$A19)</f>
        <v>16.5199233922187</v>
      </c>
      <c r="AC19" s="0" t="n">
        <f aca="false">U_PS(AC$2,$A19)</f>
        <v>16.5202220109058</v>
      </c>
      <c r="AD19" s="0" t="n">
        <f aca="false">U_PS(AD$2,$A19)</f>
        <v>16.5205236436048</v>
      </c>
      <c r="AE19" s="0" t="n">
        <f aca="false">U_PS(AE$2,$A19)</f>
        <v>16.5208282913213</v>
      </c>
      <c r="AF19" s="0" t="n">
        <f aca="false">U_PS(AF$2,$A19)</f>
        <v>16.5211359550672</v>
      </c>
      <c r="AG19" s="0" t="n">
        <f aca="false">U_PS(AG$2,$A19)</f>
        <v>16.5214466358523</v>
      </c>
      <c r="AH19" s="0" t="n">
        <f aca="false">U_PS(AH$2,$A19)</f>
        <v>16.5247196047551</v>
      </c>
      <c r="AI19" s="0" t="n">
        <f aca="false">U_PS(AI$2,$A19)</f>
        <v>16.5282954046632</v>
      </c>
      <c r="AJ19" s="0" t="n">
        <f aca="false">U_PS(AJ$2,$A19)</f>
        <v>16.5321750792058</v>
      </c>
      <c r="AK19" s="0" t="n">
        <f aca="false">U_PS(AK$2,$A19)</f>
        <v>16.536359690966</v>
      </c>
      <c r="AL19" s="0" t="n">
        <f aca="false">U_PS(AL$2,$A19)</f>
        <v>16.5408503209254</v>
      </c>
      <c r="AM19" s="0" t="n">
        <f aca="false">U_PS(AM$2,$A19)</f>
        <v>16.5456480679031</v>
      </c>
      <c r="AN19" s="0" t="n">
        <f aca="false">U_PS(AN$2,$A19)</f>
        <v>16.5507540480239</v>
      </c>
      <c r="AO19" s="0" t="n">
        <f aca="false">U_PS(AO$2,$A19)</f>
        <v>16.5561693941667</v>
      </c>
      <c r="AP19" s="0" t="n">
        <f aca="false">U_PS(AP$2,$A19)</f>
        <v>16.5618952554477</v>
      </c>
      <c r="AQ19" s="0" t="n">
        <f aca="false">U_PS(AQ$2,$A19)</f>
        <v>16.6364955879587</v>
      </c>
      <c r="AR19" s="0" t="n">
        <f aca="false">U_PS(AR$2,$A19)</f>
        <v>16.6558854932985</v>
      </c>
      <c r="AS19" s="0" t="n">
        <f aca="false">U_PS(AS$2,$A19)</f>
        <v>16.6651374599441</v>
      </c>
    </row>
    <row r="20" customFormat="false" ht="13.8" hidden="false" customHeight="false" outlineLevel="0" collapsed="false">
      <c r="A20" s="0" t="n">
        <v>0.07</v>
      </c>
      <c r="B20" s="0" t="n">
        <f aca="false">U_PS(B$2,$A20)</f>
        <v>18.1578378544273</v>
      </c>
      <c r="C20" s="0" t="n">
        <f aca="false">U_PS(C$2,$A20)</f>
        <v>18.7067270782731</v>
      </c>
      <c r="D20" s="0" t="n">
        <f aca="false">U_PS(D$2,$A20)</f>
        <v>19.1443104057959</v>
      </c>
      <c r="E20" s="0" t="n">
        <f aca="false">U_PS(E$2,$A20)</f>
        <v>19.2950606418783</v>
      </c>
      <c r="F20" s="0" t="n">
        <f aca="false">U_PS(F$2,$A20)</f>
        <v>19.2950608920883</v>
      </c>
      <c r="G20" s="0" t="n">
        <f aca="false">U_PS(G$2,$A20)</f>
        <v>19.2950633943616</v>
      </c>
      <c r="H20" s="0" t="n">
        <f aca="false">U_PS(H$2,$A20)</f>
        <v>19.2950658969394</v>
      </c>
      <c r="I20" s="0" t="n">
        <f aca="false">U_PS(I$2,$A20)</f>
        <v>19.2950683998228</v>
      </c>
      <c r="J20" s="0" t="n">
        <f aca="false">U_PS(J$2,$A20)</f>
        <v>19.2950709030135</v>
      </c>
      <c r="K20" s="0" t="n">
        <f aca="false">U_PS(K$2,$A20)</f>
        <v>19.2950734065096</v>
      </c>
      <c r="L20" s="0" t="n">
        <f aca="false">U_PS(L$2,$A20)</f>
        <v>19.2950759103109</v>
      </c>
      <c r="M20" s="0" t="n">
        <f aca="false">U_PS(M$2,$A20)</f>
        <v>19.295078414418</v>
      </c>
      <c r="N20" s="0" t="n">
        <f aca="false">U_PS(N$2,$A20)</f>
        <v>19.2950809188318</v>
      </c>
      <c r="O20" s="0" t="n">
        <f aca="false">U_PS(O$2,$A20)</f>
        <v>19.2950834235512</v>
      </c>
      <c r="P20" s="0" t="n">
        <f aca="false">U_PS(P$2,$A20)</f>
        <v>19.2951084875596</v>
      </c>
      <c r="Q20" s="0" t="n">
        <f aca="false">U_PS(Q$2,$A20)</f>
        <v>19.2951335821481</v>
      </c>
      <c r="R20" s="0" t="n">
        <f aca="false">U_PS(R$2,$A20)</f>
        <v>19.2951587073192</v>
      </c>
      <c r="S20" s="0" t="n">
        <f aca="false">U_PS(S$2,$A20)</f>
        <v>19.2951838630715</v>
      </c>
      <c r="T20" s="0" t="n">
        <f aca="false">U_PS(T$2,$A20)</f>
        <v>19.295209049408</v>
      </c>
      <c r="U20" s="0" t="n">
        <f aca="false">U_PS(U$2,$A20)</f>
        <v>19.2952342663284</v>
      </c>
      <c r="V20" s="0" t="n">
        <f aca="false">U_PS(V$2,$A20)</f>
        <v>19.2952595138345</v>
      </c>
      <c r="W20" s="0" t="n">
        <f aca="false">U_PS(W$2,$A20)</f>
        <v>19.2952847919265</v>
      </c>
      <c r="X20" s="0" t="n">
        <f aca="false">U_PS(X$2,$A20)</f>
        <v>19.2953101006057</v>
      </c>
      <c r="Y20" s="0" t="n">
        <f aca="false">U_PS(Y$2,$A20)</f>
        <v>19.295564869902</v>
      </c>
      <c r="Z20" s="0" t="n">
        <f aca="false">U_PS(Z$2,$A20)</f>
        <v>19.2958226989685</v>
      </c>
      <c r="AA20" s="0" t="n">
        <f aca="false">U_PS(AA$2,$A20)</f>
        <v>19.2960835887668</v>
      </c>
      <c r="AB20" s="0" t="n">
        <f aca="false">U_PS(AB$2,$A20)</f>
        <v>19.2963475402601</v>
      </c>
      <c r="AC20" s="0" t="n">
        <f aca="false">U_PS(AC$2,$A20)</f>
        <v>19.2966145544111</v>
      </c>
      <c r="AD20" s="0" t="n">
        <f aca="false">U_PS(AD$2,$A20)</f>
        <v>19.2968846321881</v>
      </c>
      <c r="AE20" s="0" t="n">
        <f aca="false">U_PS(AE$2,$A20)</f>
        <v>19.2971577745601</v>
      </c>
      <c r="AF20" s="0" t="n">
        <f aca="false">U_PS(AF$2,$A20)</f>
        <v>19.2974339824966</v>
      </c>
      <c r="AG20" s="0" t="n">
        <f aca="false">U_PS(AG$2,$A20)</f>
        <v>19.2977132569704</v>
      </c>
      <c r="AH20" s="0" t="n">
        <f aca="false">U_PS(AH$2,$A20)</f>
        <v>19.3006748766</v>
      </c>
      <c r="AI20" s="0" t="n">
        <f aca="false">U_PS(AI$2,$A20)</f>
        <v>19.3039442340065</v>
      </c>
      <c r="AJ20" s="0" t="n">
        <f aca="false">U_PS(AJ$2,$A20)</f>
        <v>19.3075223330063</v>
      </c>
      <c r="AK20" s="0" t="n">
        <f aca="false">U_PS(AK$2,$A20)</f>
        <v>19.3114101956771</v>
      </c>
      <c r="AL20" s="0" t="n">
        <f aca="false">U_PS(AL$2,$A20)</f>
        <v>19.315608861814</v>
      </c>
      <c r="AM20" s="0" t="n">
        <f aca="false">U_PS(AM$2,$A20)</f>
        <v>19.3201193883827</v>
      </c>
      <c r="AN20" s="0" t="n">
        <f aca="false">U_PS(AN$2,$A20)</f>
        <v>19.3249428489871</v>
      </c>
      <c r="AO20" s="0" t="n">
        <f aca="false">U_PS(AO$2,$A20)</f>
        <v>19.3300803333471</v>
      </c>
      <c r="AP20" s="0" t="n">
        <f aca="false">U_PS(AP$2,$A20)</f>
        <v>19.3355329467764</v>
      </c>
      <c r="AQ20" s="0" t="n">
        <f aca="false">U_PS(AQ$2,$A20)</f>
        <v>19.4076444998887</v>
      </c>
      <c r="AR20" s="0" t="n">
        <f aca="false">U_PS(AR$2,$A20)</f>
        <v>19.4265733104084</v>
      </c>
      <c r="AS20" s="0" t="n">
        <f aca="false">U_PS(AS$2,$A20)</f>
        <v>19.4356217859107</v>
      </c>
    </row>
    <row r="21" customFormat="false" ht="13.8" hidden="false" customHeight="false" outlineLevel="0" collapsed="false">
      <c r="A21" s="0" t="n">
        <v>0.08</v>
      </c>
      <c r="B21" s="0" t="n">
        <f aca="false">U_PS(B$2,$A21)</f>
        <v>20.7518124077215</v>
      </c>
      <c r="C21" s="0" t="n">
        <f aca="false">U_PS(C$2,$A21)</f>
        <v>21.3193234305971</v>
      </c>
      <c r="D21" s="0" t="n">
        <f aca="false">U_PS(D$2,$A21)</f>
        <v>21.7733199864767</v>
      </c>
      <c r="E21" s="0" t="n">
        <f aca="false">U_PS(E$2,$A21)</f>
        <v>22.0778011731156</v>
      </c>
      <c r="F21" s="0" t="n">
        <f aca="false">U_PS(F$2,$A21)</f>
        <v>22.0778013938496</v>
      </c>
      <c r="G21" s="0" t="n">
        <f aca="false">U_PS(G$2,$A21)</f>
        <v>22.0778036013666</v>
      </c>
      <c r="H21" s="0" t="n">
        <f aca="false">U_PS(H$2,$A21)</f>
        <v>22.0778058091953</v>
      </c>
      <c r="I21" s="0" t="n">
        <f aca="false">U_PS(I$2,$A21)</f>
        <v>22.0778080173332</v>
      </c>
      <c r="J21" s="0" t="n">
        <f aca="false">U_PS(J$2,$A21)</f>
        <v>22.077810225784</v>
      </c>
      <c r="K21" s="0" t="n">
        <f aca="false">U_PS(K$2,$A21)</f>
        <v>22.0778124345426</v>
      </c>
      <c r="L21" s="0" t="n">
        <f aca="false">U_PS(L$2,$A21)</f>
        <v>22.0778146436134</v>
      </c>
      <c r="M21" s="0" t="n">
        <f aca="false">U_PS(M$2,$A21)</f>
        <v>22.0778168529948</v>
      </c>
      <c r="N21" s="0" t="n">
        <f aca="false">U_PS(N$2,$A21)</f>
        <v>22.0778190626866</v>
      </c>
      <c r="O21" s="0" t="n">
        <f aca="false">U_PS(O$2,$A21)</f>
        <v>22.0778212726885</v>
      </c>
      <c r="P21" s="0" t="n">
        <f aca="false">U_PS(P$2,$A21)</f>
        <v>22.0778433897946</v>
      </c>
      <c r="Q21" s="0" t="n">
        <f aca="false">U_PS(Q$2,$A21)</f>
        <v>22.0778655379616</v>
      </c>
      <c r="R21" s="0" t="n">
        <f aca="false">U_PS(R$2,$A21)</f>
        <v>22.0778877171887</v>
      </c>
      <c r="S21" s="0" t="n">
        <f aca="false">U_PS(S$2,$A21)</f>
        <v>22.0779099274792</v>
      </c>
      <c r="T21" s="0" t="n">
        <f aca="false">U_PS(T$2,$A21)</f>
        <v>22.0779321688323</v>
      </c>
      <c r="U21" s="0" t="n">
        <f aca="false">U_PS(U$2,$A21)</f>
        <v>22.0779544412494</v>
      </c>
      <c r="V21" s="0" t="n">
        <f aca="false">U_PS(V$2,$A21)</f>
        <v>22.0779767447312</v>
      </c>
      <c r="W21" s="0" t="n">
        <f aca="false">U_PS(W$2,$A21)</f>
        <v>22.077999079279</v>
      </c>
      <c r="X21" s="0" t="n">
        <f aca="false">U_PS(X$2,$A21)</f>
        <v>22.0780214448933</v>
      </c>
      <c r="Y21" s="0" t="n">
        <f aca="false">U_PS(Y$2,$A21)</f>
        <v>22.0782468099129</v>
      </c>
      <c r="Z21" s="0" t="n">
        <f aca="false">U_PS(Z$2,$A21)</f>
        <v>22.0784752826165</v>
      </c>
      <c r="AA21" s="0" t="n">
        <f aca="false">U_PS(AA$2,$A21)</f>
        <v>22.0787068639272</v>
      </c>
      <c r="AB21" s="0" t="n">
        <f aca="false">U_PS(AB$2,$A21)</f>
        <v>22.078941554766</v>
      </c>
      <c r="AC21" s="0" t="n">
        <f aca="false">U_PS(AC$2,$A21)</f>
        <v>22.0791793560565</v>
      </c>
      <c r="AD21" s="0" t="n">
        <f aca="false">U_PS(AD$2,$A21)</f>
        <v>22.0794202687254</v>
      </c>
      <c r="AE21" s="0" t="n">
        <f aca="false">U_PS(AE$2,$A21)</f>
        <v>22.0796642937005</v>
      </c>
      <c r="AF21" s="0" t="n">
        <f aca="false">U_PS(AF$2,$A21)</f>
        <v>22.0799114319109</v>
      </c>
      <c r="AG21" s="0" t="n">
        <f aca="false">U_PS(AG$2,$A21)</f>
        <v>22.0801616842891</v>
      </c>
      <c r="AH21" s="0" t="n">
        <f aca="false">U_PS(AH$2,$A21)</f>
        <v>22.082835693556</v>
      </c>
      <c r="AI21" s="0" t="n">
        <f aca="false">U_PS(AI$2,$A21)</f>
        <v>22.0858221580704</v>
      </c>
      <c r="AJ21" s="0" t="n">
        <f aca="false">U_PS(AJ$2,$A21)</f>
        <v>22.0891220396277</v>
      </c>
      <c r="AK21" s="0" t="n">
        <f aca="false">U_PS(AK$2,$A21)</f>
        <v>22.0927363176391</v>
      </c>
      <c r="AL21" s="0" t="n">
        <f aca="false">U_PS(AL$2,$A21)</f>
        <v>22.0966659885992</v>
      </c>
      <c r="AM21" s="0" t="n">
        <f aca="false">U_PS(AM$2,$A21)</f>
        <v>22.1009120655492</v>
      </c>
      <c r="AN21" s="0" t="n">
        <f aca="false">U_PS(AN$2,$A21)</f>
        <v>22.105475577559</v>
      </c>
      <c r="AO21" s="0" t="n">
        <f aca="false">U_PS(AO$2,$A21)</f>
        <v>22.110357569214</v>
      </c>
      <c r="AP21" s="0" t="n">
        <f aca="false">U_PS(AP$2,$A21)</f>
        <v>22.1155591001023</v>
      </c>
      <c r="AQ21" s="0" t="n">
        <f aca="false">U_PS(AQ$2,$A21)</f>
        <v>22.1853919292835</v>
      </c>
      <c r="AR21" s="0" t="n">
        <f aca="false">U_PS(AR$2,$A21)</f>
        <v>22.2039002863221</v>
      </c>
      <c r="AS21" s="0" t="n">
        <f aca="false">U_PS(AS$2,$A21)</f>
        <v>22.2127633877469</v>
      </c>
    </row>
    <row r="22" customFormat="false" ht="13.8" hidden="false" customHeight="false" outlineLevel="0" collapsed="false">
      <c r="A22" s="0" t="n">
        <v>0.09</v>
      </c>
      <c r="B22" s="0" t="n">
        <f aca="false">U_PS(B$2,$A22)</f>
        <v>23.3457869610157</v>
      </c>
      <c r="C22" s="0" t="n">
        <f aca="false">U_PS(C$2,$A22)</f>
        <v>23.9319197829212</v>
      </c>
      <c r="D22" s="0" t="n">
        <f aca="false">U_PS(D$2,$A22)</f>
        <v>24.4023295671576</v>
      </c>
      <c r="E22" s="0" t="n">
        <f aca="false">U_PS(E$2,$A22)</f>
        <v>24.787153769876</v>
      </c>
      <c r="F22" s="0" t="n">
        <f aca="false">U_PS(F$2,$A22)</f>
        <v>24.8667571159445</v>
      </c>
      <c r="G22" s="0" t="n">
        <f aca="false">U_PS(G$2,$A22)</f>
        <v>24.8667590514707</v>
      </c>
      <c r="H22" s="0" t="n">
        <f aca="false">U_PS(H$2,$A22)</f>
        <v>24.8667609873137</v>
      </c>
      <c r="I22" s="0" t="n">
        <f aca="false">U_PS(I$2,$A22)</f>
        <v>24.8667629234708</v>
      </c>
      <c r="J22" s="0" t="n">
        <f aca="false">U_PS(J$2,$A22)</f>
        <v>24.8667648599428</v>
      </c>
      <c r="K22" s="0" t="n">
        <f aca="false">U_PS(K$2,$A22)</f>
        <v>24.8667667967307</v>
      </c>
      <c r="L22" s="0" t="n">
        <f aca="false">U_PS(L$2,$A22)</f>
        <v>24.8667687338339</v>
      </c>
      <c r="M22" s="0" t="n">
        <f aca="false">U_PS(M$2,$A22)</f>
        <v>24.8667706712525</v>
      </c>
      <c r="N22" s="0" t="n">
        <f aca="false">U_PS(N$2,$A22)</f>
        <v>24.8667726089853</v>
      </c>
      <c r="O22" s="0" t="n">
        <f aca="false">U_PS(O$2,$A22)</f>
        <v>24.8667745470338</v>
      </c>
      <c r="P22" s="0" t="n">
        <f aca="false">U_PS(P$2,$A22)</f>
        <v>24.8667939448568</v>
      </c>
      <c r="Q22" s="0" t="n">
        <f aca="false">U_PS(Q$2,$A22)</f>
        <v>24.8668133742019</v>
      </c>
      <c r="R22" s="0" t="n">
        <f aca="false">U_PS(R$2,$A22)</f>
        <v>24.86683283507</v>
      </c>
      <c r="S22" s="0" t="n">
        <f aca="false">U_PS(S$2,$A22)</f>
        <v>24.8668523274626</v>
      </c>
      <c r="T22" s="0" t="n">
        <f aca="false">U_PS(T$2,$A22)</f>
        <v>24.8668718513793</v>
      </c>
      <c r="U22" s="0" t="n">
        <f aca="false">U_PS(U$2,$A22)</f>
        <v>24.8668914068218</v>
      </c>
      <c r="V22" s="0" t="n">
        <f aca="false">U_PS(V$2,$A22)</f>
        <v>24.8669109937906</v>
      </c>
      <c r="W22" s="0" t="n">
        <f aca="false">U_PS(W$2,$A22)</f>
        <v>24.8669306122865</v>
      </c>
      <c r="X22" s="0" t="n">
        <f aca="false">U_PS(X$2,$A22)</f>
        <v>24.8669502623104</v>
      </c>
      <c r="Y22" s="0" t="n">
        <f aca="false">U_PS(Y$2,$A22)</f>
        <v>24.867148496801</v>
      </c>
      <c r="Z22" s="0" t="n">
        <f aca="false">U_PS(Z$2,$A22)</f>
        <v>24.8673498850775</v>
      </c>
      <c r="AA22" s="0" t="n">
        <f aca="false">U_PS(AA$2,$A22)</f>
        <v>24.8675544280206</v>
      </c>
      <c r="AB22" s="0" t="n">
        <f aca="false">U_PS(AB$2,$A22)</f>
        <v>24.8677621265076</v>
      </c>
      <c r="AC22" s="0" t="n">
        <f aca="false">U_PS(AC$2,$A22)</f>
        <v>24.8679729814203</v>
      </c>
      <c r="AD22" s="0" t="n">
        <f aca="false">U_PS(AD$2,$A22)</f>
        <v>24.8681869936409</v>
      </c>
      <c r="AE22" s="0" t="n">
        <f aca="false">U_PS(AE$2,$A22)</f>
        <v>24.8684041640558</v>
      </c>
      <c r="AF22" s="0" t="n">
        <f aca="false">U_PS(AF$2,$A22)</f>
        <v>24.8686244935505</v>
      </c>
      <c r="AG22" s="0" t="n">
        <f aca="false">U_PS(AG$2,$A22)</f>
        <v>24.8688479830141</v>
      </c>
      <c r="AH22" s="0" t="n">
        <f aca="false">U_PS(AH$2,$A22)</f>
        <v>24.8712568727133</v>
      </c>
      <c r="AI22" s="0" t="n">
        <f aca="false">U_PS(AI$2,$A22)</f>
        <v>24.8739827500206</v>
      </c>
      <c r="AJ22" s="0" t="n">
        <f aca="false">U_PS(AJ$2,$A22)</f>
        <v>24.8770265326823</v>
      </c>
      <c r="AK22" s="0" t="n">
        <f aca="false">U_PS(AK$2,$A22)</f>
        <v>24.8803891554694</v>
      </c>
      <c r="AL22" s="0" t="n">
        <f aca="false">U_PS(AL$2,$A22)</f>
        <v>24.8840715696423</v>
      </c>
      <c r="AM22" s="0" t="n">
        <f aca="false">U_PS(AM$2,$A22)</f>
        <v>24.8880747424338</v>
      </c>
      <c r="AN22" s="0" t="n">
        <f aca="false">U_PS(AN$2,$A22)</f>
        <v>24.8923996565449</v>
      </c>
      <c r="AO22" s="0" t="n">
        <f aca="false">U_PS(AO$2,$A22)</f>
        <v>24.8970473096277</v>
      </c>
      <c r="AP22" s="0" t="n">
        <f aca="false">U_PS(AP$2,$A22)</f>
        <v>24.9020187138037</v>
      </c>
      <c r="AQ22" s="0" t="n">
        <f aca="false">U_PS(AQ$2,$A22)</f>
        <v>24.9697711176634</v>
      </c>
      <c r="AR22" s="0" t="n">
        <f aca="false">U_PS(AR$2,$A22)</f>
        <v>24.9878973214933</v>
      </c>
      <c r="AS22" s="0" t="n">
        <f aca="false">U_PS(AS$2,$A22)</f>
        <v>24.9965921147855</v>
      </c>
    </row>
    <row r="23" customFormat="false" ht="13.8" hidden="false" customHeight="false" outlineLevel="0" collapsed="false">
      <c r="A23" s="0" t="n">
        <v>0.1</v>
      </c>
      <c r="B23" s="0" t="n">
        <f aca="false">U_PS(B$2,$A23)</f>
        <v>25.93976151431</v>
      </c>
      <c r="C23" s="0" t="n">
        <f aca="false">U_PS(C$2,$A23)</f>
        <v>26.5445161352453</v>
      </c>
      <c r="D23" s="0" t="n">
        <f aca="false">U_PS(D$2,$A23)</f>
        <v>27.0313391478384</v>
      </c>
      <c r="E23" s="0" t="n">
        <f aca="false">U_PS(E$2,$A23)</f>
        <v>27.4308600574797</v>
      </c>
      <c r="F23" s="0" t="n">
        <f aca="false">U_PS(F$2,$A23)</f>
        <v>27.6619827476296</v>
      </c>
      <c r="G23" s="0" t="n">
        <f aca="false">U_PS(G$2,$A23)</f>
        <v>27.6619844327282</v>
      </c>
      <c r="H23" s="0" t="n">
        <f aca="false">U_PS(H$2,$A23)</f>
        <v>27.6619861181467</v>
      </c>
      <c r="I23" s="0" t="n">
        <f aca="false">U_PS(I$2,$A23)</f>
        <v>27.6619878038842</v>
      </c>
      <c r="J23" s="0" t="n">
        <f aca="false">U_PS(J$2,$A23)</f>
        <v>27.6619894899407</v>
      </c>
      <c r="K23" s="0" t="n">
        <f aca="false">U_PS(K$2,$A23)</f>
        <v>27.6619911763175</v>
      </c>
      <c r="L23" s="0" t="n">
        <f aca="false">U_PS(L$2,$A23)</f>
        <v>27.6619928630143</v>
      </c>
      <c r="M23" s="0" t="n">
        <f aca="false">U_PS(M$2,$A23)</f>
        <v>27.6619945500304</v>
      </c>
      <c r="N23" s="0" t="n">
        <f aca="false">U_PS(N$2,$A23)</f>
        <v>27.6619962373665</v>
      </c>
      <c r="O23" s="0" t="n">
        <f aca="false">U_PS(O$2,$A23)</f>
        <v>27.6619979250215</v>
      </c>
      <c r="P23" s="0" t="n">
        <f aca="false">U_PS(P$2,$A23)</f>
        <v>27.6620148191571</v>
      </c>
      <c r="Q23" s="0" t="n">
        <f aca="false">U_PS(Q$2,$A23)</f>
        <v>27.6620317452599</v>
      </c>
      <c r="R23" s="0" t="n">
        <f aca="false">U_PS(R$2,$A23)</f>
        <v>27.6620487033285</v>
      </c>
      <c r="S23" s="0" t="n">
        <f aca="false">U_PS(S$2,$A23)</f>
        <v>27.6620656933653</v>
      </c>
      <c r="T23" s="0" t="n">
        <f aca="false">U_PS(T$2,$A23)</f>
        <v>27.6620827153709</v>
      </c>
      <c r="U23" s="0" t="n">
        <f aca="false">U_PS(U$2,$A23)</f>
        <v>27.6620997693462</v>
      </c>
      <c r="V23" s="0" t="n">
        <f aca="false">U_PS(V$2,$A23)</f>
        <v>27.6621168552915</v>
      </c>
      <c r="W23" s="0" t="n">
        <f aca="false">U_PS(W$2,$A23)</f>
        <v>27.6621339732079</v>
      </c>
      <c r="X23" s="0" t="n">
        <f aca="false">U_PS(X$2,$A23)</f>
        <v>27.6621511230967</v>
      </c>
      <c r="Y23" s="0" t="n">
        <f aca="false">U_PS(Y$2,$A23)</f>
        <v>27.6623243806259</v>
      </c>
      <c r="Z23" s="0" t="n">
        <f aca="false">U_PS(Z$2,$A23)</f>
        <v>27.6625008362702</v>
      </c>
      <c r="AA23" s="0" t="n">
        <f aca="false">U_PS(AA$2,$A23)</f>
        <v>27.6626804908626</v>
      </c>
      <c r="AB23" s="0" t="n">
        <f aca="false">U_PS(AB$2,$A23)</f>
        <v>27.6628633452379</v>
      </c>
      <c r="AC23" s="0" t="n">
        <f aca="false">U_PS(AC$2,$A23)</f>
        <v>27.6630494002331</v>
      </c>
      <c r="AD23" s="0" t="n">
        <f aca="false">U_PS(AD$2,$A23)</f>
        <v>27.6632386566857</v>
      </c>
      <c r="AE23" s="0" t="n">
        <f aca="false">U_PS(AE$2,$A23)</f>
        <v>27.6634311154352</v>
      </c>
      <c r="AF23" s="0" t="n">
        <f aca="false">U_PS(AF$2,$A23)</f>
        <v>27.6636267773256</v>
      </c>
      <c r="AG23" s="0" t="n">
        <f aca="false">U_PS(AG$2,$A23)</f>
        <v>27.6638256431981</v>
      </c>
      <c r="AH23" s="0" t="n">
        <f aca="false">U_PS(AH$2,$A23)</f>
        <v>27.66599070784</v>
      </c>
      <c r="AI23" s="0" t="n">
        <f aca="false">U_PS(AI$2,$A23)</f>
        <v>27.6684771116352</v>
      </c>
      <c r="AJ23" s="0" t="n">
        <f aca="false">U_PS(AJ$2,$A23)</f>
        <v>27.6712857264357</v>
      </c>
      <c r="AK23" s="0" t="n">
        <f aca="false">U_PS(AK$2,$A23)</f>
        <v>27.6744174405626</v>
      </c>
      <c r="AL23" s="0" t="n">
        <f aca="false">U_PS(AL$2,$A23)</f>
        <v>27.6778731582872</v>
      </c>
      <c r="AM23" s="0" t="n">
        <f aca="false">U_PS(AM$2,$A23)</f>
        <v>27.6816537993229</v>
      </c>
      <c r="AN23" s="0" t="n">
        <f aca="false">U_PS(AN$2,$A23)</f>
        <v>27.6857602983241</v>
      </c>
      <c r="AO23" s="0" t="n">
        <f aca="false">U_PS(AO$2,$A23)</f>
        <v>27.6901936043931</v>
      </c>
      <c r="AP23" s="0" t="n">
        <f aca="false">U_PS(AP$2,$A23)</f>
        <v>27.6949546805957</v>
      </c>
      <c r="AQ23" s="0" t="n">
        <f aca="false">U_PS(AQ$2,$A23)</f>
        <v>27.760813724213</v>
      </c>
      <c r="AR23" s="0" t="n">
        <f aca="false">U_PS(AR$2,$A23)</f>
        <v>27.778593841314</v>
      </c>
      <c r="AS23" s="0" t="n">
        <f aca="false">U_PS(AS$2,$A23)</f>
        <v>27.7871363897885</v>
      </c>
    </row>
    <row r="24" customFormat="false" ht="13.8" hidden="false" customHeight="false" outlineLevel="0" collapsed="false">
      <c r="A24" s="0" t="n">
        <v>0.2</v>
      </c>
      <c r="B24" s="0" t="n">
        <f aca="false">U_PS(B$2,$A24)</f>
        <v>51.8795070472523</v>
      </c>
      <c r="C24" s="0" t="n">
        <f aca="false">U_PS(C$2,$A24)</f>
        <v>52.6704796584861</v>
      </c>
      <c r="D24" s="0" t="n">
        <f aca="false">U_PS(D$2,$A24)</f>
        <v>53.3214349546465</v>
      </c>
      <c r="E24" s="0" t="n">
        <f aca="false">U_PS(E$2,$A24)</f>
        <v>53.8679229335172</v>
      </c>
      <c r="F24" s="0" t="n">
        <f aca="false">U_PS(F$2,$A24)</f>
        <v>54.333834749286</v>
      </c>
      <c r="G24" s="0" t="n">
        <f aca="false">U_PS(G$2,$A24)</f>
        <v>55.969507831729</v>
      </c>
      <c r="H24" s="0" t="n">
        <f aca="false">U_PS(H$2,$A24)</f>
        <v>55.9695079677034</v>
      </c>
      <c r="I24" s="0" t="n">
        <f aca="false">U_PS(I$2,$A24)</f>
        <v>55.9695081040335</v>
      </c>
      <c r="J24" s="0" t="n">
        <f aca="false">U_PS(J$2,$A24)</f>
        <v>55.9695082407195</v>
      </c>
      <c r="K24" s="0" t="n">
        <f aca="false">U_PS(K$2,$A24)</f>
        <v>55.9695083777595</v>
      </c>
      <c r="L24" s="0" t="n">
        <f aca="false">U_PS(L$2,$A24)</f>
        <v>55.9695085151563</v>
      </c>
      <c r="M24" s="0" t="n">
        <f aca="false">U_PS(M$2,$A24)</f>
        <v>55.969508652907</v>
      </c>
      <c r="N24" s="0" t="n">
        <f aca="false">U_PS(N$2,$A24)</f>
        <v>55.9695087910142</v>
      </c>
      <c r="O24" s="0" t="n">
        <f aca="false">U_PS(O$2,$A24)</f>
        <v>55.9695089294752</v>
      </c>
      <c r="P24" s="0" t="n">
        <f aca="false">U_PS(P$2,$A24)</f>
        <v>55.9695103336331</v>
      </c>
      <c r="Q24" s="0" t="n">
        <f aca="false">U_PS(Q$2,$A24)</f>
        <v>55.9695117733169</v>
      </c>
      <c r="R24" s="0" t="n">
        <f aca="false">U_PS(R$2,$A24)</f>
        <v>55.9695132485276</v>
      </c>
      <c r="S24" s="0" t="n">
        <f aca="false">U_PS(S$2,$A24)</f>
        <v>55.9695147592643</v>
      </c>
      <c r="T24" s="0" t="n">
        <f aca="false">U_PS(T$2,$A24)</f>
        <v>55.9695163055299</v>
      </c>
      <c r="U24" s="0" t="n">
        <f aca="false">U_PS(U$2,$A24)</f>
        <v>55.9695178873212</v>
      </c>
      <c r="V24" s="0" t="n">
        <f aca="false">U_PS(V$2,$A24)</f>
        <v>55.9695195046408</v>
      </c>
      <c r="W24" s="0" t="n">
        <f aca="false">U_PS(W$2,$A24)</f>
        <v>55.9695211574889</v>
      </c>
      <c r="X24" s="0" t="n">
        <f aca="false">U_PS(X$2,$A24)</f>
        <v>55.9695228458657</v>
      </c>
      <c r="Y24" s="0" t="n">
        <f aca="false">U_PS(Y$2,$A24)</f>
        <v>55.9695416837642</v>
      </c>
      <c r="Z24" s="0" t="n">
        <f aca="false">U_PS(Z$2,$A24)</f>
        <v>55.9695640748491</v>
      </c>
      <c r="AA24" s="0" t="n">
        <f aca="false">U_PS(AA$2,$A24)</f>
        <v>55.9695900194342</v>
      </c>
      <c r="AB24" s="0" t="n">
        <f aca="false">U_PS(AB$2,$A24)</f>
        <v>55.9696195178297</v>
      </c>
      <c r="AC24" s="0" t="n">
        <f aca="false">U_PS(AC$2,$A24)</f>
        <v>55.9696525703512</v>
      </c>
      <c r="AD24" s="0" t="n">
        <f aca="false">U_PS(AD$2,$A24)</f>
        <v>55.9696891773152</v>
      </c>
      <c r="AE24" s="0" t="n">
        <f aca="false">U_PS(AE$2,$A24)</f>
        <v>55.9697293390391</v>
      </c>
      <c r="AF24" s="0" t="n">
        <f aca="false">U_PS(AF$2,$A24)</f>
        <v>55.9697730558418</v>
      </c>
      <c r="AG24" s="0" t="n">
        <f aca="false">U_PS(AG$2,$A24)</f>
        <v>55.9698203280424</v>
      </c>
      <c r="AH24" s="0" t="n">
        <f aca="false">U_PS(AH$2,$A24)</f>
        <v>55.9704886684077</v>
      </c>
      <c r="AI24" s="0" t="n">
        <f aca="false">U_PS(AI$2,$A24)</f>
        <v>55.9715129111213</v>
      </c>
      <c r="AJ24" s="0" t="n">
        <f aca="false">U_PS(AJ$2,$A24)</f>
        <v>55.9728933989246</v>
      </c>
      <c r="AK24" s="0" t="n">
        <f aca="false">U_PS(AK$2,$A24)</f>
        <v>55.9746304876755</v>
      </c>
      <c r="AL24" s="0" t="n">
        <f aca="false">U_PS(AL$2,$A24)</f>
        <v>55.9767245459163</v>
      </c>
      <c r="AM24" s="0" t="n">
        <f aca="false">U_PS(AM$2,$A24)</f>
        <v>55.979175954448</v>
      </c>
      <c r="AN24" s="0" t="n">
        <f aca="false">U_PS(AN$2,$A24)</f>
        <v>55.9819851059133</v>
      </c>
      <c r="AO24" s="0" t="n">
        <f aca="false">U_PS(AO$2,$A24)</f>
        <v>55.9851524043942</v>
      </c>
      <c r="AP24" s="0" t="n">
        <f aca="false">U_PS(AP$2,$A24)</f>
        <v>55.9886782650043</v>
      </c>
      <c r="AQ24" s="0" t="n">
        <f aca="false">U_PS(AQ$2,$A24)</f>
        <v>56.043756246487</v>
      </c>
      <c r="AR24" s="0" t="n">
        <f aca="false">U_PS(AR$2,$A24)</f>
        <v>56.0596362071841</v>
      </c>
      <c r="AS24" s="0" t="n">
        <f aca="false">U_PS(AS$2,$A24)</f>
        <v>56.0673501530259</v>
      </c>
    </row>
    <row r="25" customFormat="false" ht="13.8" hidden="false" customHeight="false" outlineLevel="0" collapsed="false">
      <c r="A25" s="0" t="n">
        <v>0.3</v>
      </c>
      <c r="B25" s="0" t="n">
        <f aca="false">U_PS(B$2,$A25)</f>
        <v>77.8192525801947</v>
      </c>
      <c r="C25" s="0" t="n">
        <f aca="false">U_PS(C$2,$A25)</f>
        <v>78.7964431817269</v>
      </c>
      <c r="D25" s="0" t="n">
        <f aca="false">U_PS(D$2,$A25)</f>
        <v>79.6115307614547</v>
      </c>
      <c r="E25" s="0" t="n">
        <f aca="false">U_PS(E$2,$A25)</f>
        <v>80.3049858095547</v>
      </c>
      <c r="F25" s="0" t="n">
        <f aca="false">U_PS(F$2,$A25)</f>
        <v>80.9041200123804</v>
      </c>
      <c r="G25" s="0" t="n">
        <f aca="false">U_PS(G$2,$A25)</f>
        <v>84.2890183229509</v>
      </c>
      <c r="H25" s="0" t="n">
        <f aca="false">U_PS(H$2,$A25)</f>
        <v>84.9494548381708</v>
      </c>
      <c r="I25" s="0" t="n">
        <f aca="false">U_PS(I$2,$A25)</f>
        <v>84.9494545783876</v>
      </c>
      <c r="J25" s="0" t="n">
        <f aca="false">U_PS(J$2,$A25)</f>
        <v>84.9494543189818</v>
      </c>
      <c r="K25" s="0" t="n">
        <f aca="false">U_PS(K$2,$A25)</f>
        <v>84.9494540599551</v>
      </c>
      <c r="L25" s="0" t="n">
        <f aca="false">U_PS(L$2,$A25)</f>
        <v>84.949453801305</v>
      </c>
      <c r="M25" s="0" t="n">
        <f aca="false">U_PS(M$2,$A25)</f>
        <v>84.9494535430328</v>
      </c>
      <c r="N25" s="0" t="n">
        <f aca="false">U_PS(N$2,$A25)</f>
        <v>84.9494532851392</v>
      </c>
      <c r="O25" s="0" t="n">
        <f aca="false">U_PS(O$2,$A25)</f>
        <v>84.9494530276235</v>
      </c>
      <c r="P25" s="0" t="n">
        <f aca="false">U_PS(P$2,$A25)</f>
        <v>84.9494504732503</v>
      </c>
      <c r="Q25" s="0" t="n">
        <f aca="false">U_PS(Q$2,$A25)</f>
        <v>84.9494479566692</v>
      </c>
      <c r="R25" s="0" t="n">
        <f aca="false">U_PS(R$2,$A25)</f>
        <v>84.9494454778783</v>
      </c>
      <c r="S25" s="0" t="n">
        <f aca="false">U_PS(S$2,$A25)</f>
        <v>84.949443036878</v>
      </c>
      <c r="T25" s="0" t="n">
        <f aca="false">U_PS(T$2,$A25)</f>
        <v>84.9494406336686</v>
      </c>
      <c r="U25" s="0" t="n">
        <f aca="false">U_PS(U$2,$A25)</f>
        <v>84.9494382682501</v>
      </c>
      <c r="V25" s="0" t="n">
        <f aca="false">U_PS(V$2,$A25)</f>
        <v>84.9494359406201</v>
      </c>
      <c r="W25" s="0" t="n">
        <f aca="false">U_PS(W$2,$A25)</f>
        <v>84.9494336507815</v>
      </c>
      <c r="X25" s="0" t="n">
        <f aca="false">U_PS(X$2,$A25)</f>
        <v>84.9494313987314</v>
      </c>
      <c r="Y25" s="0" t="n">
        <f aca="false">U_PS(Y$2,$A25)</f>
        <v>84.9494109565855</v>
      </c>
      <c r="Z25" s="0" t="n">
        <f aca="false">U_PS(Z$2,$A25)</f>
        <v>84.9493942930775</v>
      </c>
      <c r="AA25" s="0" t="n">
        <f aca="false">U_PS(AA$2,$A25)</f>
        <v>84.9493814079318</v>
      </c>
      <c r="AB25" s="0" t="n">
        <f aca="false">U_PS(AB$2,$A25)</f>
        <v>84.9493723008757</v>
      </c>
      <c r="AC25" s="0" t="n">
        <f aca="false">U_PS(AC$2,$A25)</f>
        <v>84.9493669716399</v>
      </c>
      <c r="AD25" s="0" t="n">
        <f aca="false">U_PS(AD$2,$A25)</f>
        <v>84.9493654199534</v>
      </c>
      <c r="AE25" s="0" t="n">
        <f aca="false">U_PS(AE$2,$A25)</f>
        <v>84.9493676455483</v>
      </c>
      <c r="AF25" s="0" t="n">
        <f aca="false">U_PS(AF$2,$A25)</f>
        <v>84.9493736481573</v>
      </c>
      <c r="AG25" s="0" t="n">
        <f aca="false">U_PS(AG$2,$A25)</f>
        <v>84.9493834275157</v>
      </c>
      <c r="AH25" s="0" t="n">
        <f aca="false">U_PS(AH$2,$A25)</f>
        <v>84.949688884838</v>
      </c>
      <c r="AI25" s="0" t="n">
        <f aca="false">U_PS(AI$2,$A25)</f>
        <v>84.950371734977</v>
      </c>
      <c r="AJ25" s="0" t="n">
        <f aca="false">U_PS(AJ$2,$A25)</f>
        <v>84.9514317343833</v>
      </c>
      <c r="AK25" s="0" t="n">
        <f aca="false">U_PS(AK$2,$A25)</f>
        <v>84.9528686523403</v>
      </c>
      <c r="AL25" s="0" t="n">
        <f aca="false">U_PS(AL$2,$A25)</f>
        <v>84.9546822705788</v>
      </c>
      <c r="AM25" s="0" t="n">
        <f aca="false">U_PS(AM$2,$A25)</f>
        <v>84.9568723828923</v>
      </c>
      <c r="AN25" s="0" t="n">
        <f aca="false">U_PS(AN$2,$A25)</f>
        <v>84.9594387947731</v>
      </c>
      <c r="AO25" s="0" t="n">
        <f aca="false">U_PS(AO$2,$A25)</f>
        <v>84.9623813230476</v>
      </c>
      <c r="AP25" s="0" t="n">
        <f aca="false">U_PS(AP$2,$A25)</f>
        <v>84.9656997955293</v>
      </c>
      <c r="AQ25" s="0" t="n">
        <f aca="false">U_PS(AQ$2,$A25)</f>
        <v>85.0195307655099</v>
      </c>
      <c r="AR25" s="0" t="n">
        <f aca="false">U_PS(AR$2,$A25)</f>
        <v>85.0353087396602</v>
      </c>
      <c r="AS25" s="0" t="n">
        <f aca="false">U_PS(AS$2,$A25)</f>
        <v>85.0429903987852</v>
      </c>
    </row>
    <row r="26" customFormat="false" ht="13.8" hidden="false" customHeight="false" outlineLevel="0" collapsed="false">
      <c r="A26" s="0" t="n">
        <v>0.4</v>
      </c>
      <c r="B26" s="0" t="n">
        <f aca="false">U_PS(B$2,$A26)</f>
        <v>103.758998113137</v>
      </c>
      <c r="C26" s="0" t="n">
        <f aca="false">U_PS(C$2,$A26)</f>
        <v>104.922406704968</v>
      </c>
      <c r="D26" s="0" t="n">
        <f aca="false">U_PS(D$2,$A26)</f>
        <v>105.901626568263</v>
      </c>
      <c r="E26" s="0" t="n">
        <f aca="false">U_PS(E$2,$A26)</f>
        <v>106.742048685592</v>
      </c>
      <c r="F26" s="0" t="n">
        <f aca="false">U_PS(F$2,$A26)</f>
        <v>107.474405275475</v>
      </c>
      <c r="G26" s="0" t="n">
        <f aca="false">U_PS(G$2,$A26)</f>
        <v>111.778306778292</v>
      </c>
      <c r="H26" s="0" t="n">
        <f aca="false">U_PS(H$2,$A26)</f>
        <v>113.818588620581</v>
      </c>
      <c r="I26" s="0" t="n">
        <f aca="false">U_PS(I$2,$A26)</f>
        <v>114.63041781467</v>
      </c>
      <c r="J26" s="0" t="n">
        <f aca="false">U_PS(J$2,$A26)</f>
        <v>114.630417722875</v>
      </c>
      <c r="K26" s="0" t="n">
        <f aca="false">U_PS(K$2,$A26)</f>
        <v>114.630417631471</v>
      </c>
      <c r="L26" s="0" t="n">
        <f aca="false">U_PS(L$2,$A26)</f>
        <v>114.630417540457</v>
      </c>
      <c r="M26" s="0" t="n">
        <f aca="false">U_PS(M$2,$A26)</f>
        <v>114.630417449837</v>
      </c>
      <c r="N26" s="0" t="n">
        <f aca="false">U_PS(N$2,$A26)</f>
        <v>114.630417359607</v>
      </c>
      <c r="O26" s="0" t="n">
        <f aca="false">U_PS(O$2,$A26)</f>
        <v>114.63041726977</v>
      </c>
      <c r="P26" s="0" t="n">
        <f aca="false">U_PS(P$2,$A26)</f>
        <v>114.630416392948</v>
      </c>
      <c r="Q26" s="0" t="n">
        <f aca="false">U_PS(Q$2,$A26)</f>
        <v>114.630415555306</v>
      </c>
      <c r="R26" s="0" t="n">
        <f aca="false">U_PS(R$2,$A26)</f>
        <v>114.630414756843</v>
      </c>
      <c r="S26" s="0" t="n">
        <f aca="false">U_PS(S$2,$A26)</f>
        <v>114.630413997559</v>
      </c>
      <c r="T26" s="0" t="n">
        <f aca="false">U_PS(T$2,$A26)</f>
        <v>114.630413277451</v>
      </c>
      <c r="U26" s="0" t="n">
        <f aca="false">U_PS(U$2,$A26)</f>
        <v>114.630412596522</v>
      </c>
      <c r="V26" s="0" t="n">
        <f aca="false">U_PS(V$2,$A26)</f>
        <v>114.630411954767</v>
      </c>
      <c r="W26" s="0" t="n">
        <f aca="false">U_PS(W$2,$A26)</f>
        <v>114.630411352187</v>
      </c>
      <c r="X26" s="0" t="n">
        <f aca="false">U_PS(X$2,$A26)</f>
        <v>114.630410788781</v>
      </c>
      <c r="Y26" s="0" t="n">
        <f aca="false">U_PS(Y$2,$A26)</f>
        <v>114.630407309109</v>
      </c>
      <c r="Z26" s="0" t="n">
        <f aca="false">U_PS(Z$2,$A26)</f>
        <v>114.630407745888</v>
      </c>
      <c r="AA26" s="0" t="n">
        <f aca="false">U_PS(AA$2,$A26)</f>
        <v>114.630412098257</v>
      </c>
      <c r="AB26" s="0" t="n">
        <f aca="false">U_PS(AB$2,$A26)</f>
        <v>114.630420365355</v>
      </c>
      <c r="AC26" s="0" t="n">
        <f aca="false">U_PS(AC$2,$A26)</f>
        <v>114.630432546318</v>
      </c>
      <c r="AD26" s="0" t="n">
        <f aca="false">U_PS(AD$2,$A26)</f>
        <v>114.630448640288</v>
      </c>
      <c r="AE26" s="0" t="n">
        <f aca="false">U_PS(AE$2,$A26)</f>
        <v>114.630468646409</v>
      </c>
      <c r="AF26" s="0" t="n">
        <f aca="false">U_PS(AF$2,$A26)</f>
        <v>114.630492563824</v>
      </c>
      <c r="AG26" s="0" t="n">
        <f aca="false">U_PS(AG$2,$A26)</f>
        <v>114.630520391677</v>
      </c>
      <c r="AH26" s="0" t="n">
        <f aca="false">U_PS(AH$2,$A26)</f>
        <v>114.631013557489</v>
      </c>
      <c r="AI26" s="0" t="n">
        <f aca="false">U_PS(AI$2,$A26)</f>
        <v>114.631896838663</v>
      </c>
      <c r="AJ26" s="0" t="n">
        <f aca="false">U_PS(AJ$2,$A26)</f>
        <v>114.633169405682</v>
      </c>
      <c r="AK26" s="0" t="n">
        <f aca="false">U_PS(AK$2,$A26)</f>
        <v>114.634830443669</v>
      </c>
      <c r="AL26" s="0" t="n">
        <f aca="false">U_PS(AL$2,$A26)</f>
        <v>114.636879152009</v>
      </c>
      <c r="AM26" s="0" t="n">
        <f aca="false">U_PS(AM$2,$A26)</f>
        <v>114.639314743973</v>
      </c>
      <c r="AN26" s="0" t="n">
        <f aca="false">U_PS(AN$2,$A26)</f>
        <v>114.64213644636</v>
      </c>
      <c r="AO26" s="0" t="n">
        <f aca="false">U_PS(AO$2,$A26)</f>
        <v>114.64534349915</v>
      </c>
      <c r="AP26" s="0" t="n">
        <f aca="false">U_PS(AP$2,$A26)</f>
        <v>114.648935155159</v>
      </c>
      <c r="AQ26" s="0" t="n">
        <f aca="false">U_PS(AQ$2,$A26)</f>
        <v>114.705849061398</v>
      </c>
      <c r="AR26" s="0" t="n">
        <f aca="false">U_PS(AR$2,$A26)</f>
        <v>114.722312340019</v>
      </c>
      <c r="AS26" s="0" t="n">
        <f aca="false">U_PS(AS$2,$A26)</f>
        <v>114.730306952608</v>
      </c>
    </row>
    <row r="27" customFormat="false" ht="13.8" hidden="false" customHeight="false" outlineLevel="0" collapsed="false">
      <c r="A27" s="0" t="n">
        <v>0.5</v>
      </c>
      <c r="B27" s="0" t="n">
        <f aca="false">U_PS(B$2,$A27)</f>
        <v>129.698743646079</v>
      </c>
      <c r="C27" s="0" t="n">
        <f aca="false">U_PS(C$2,$A27)</f>
        <v>131.048370228208</v>
      </c>
      <c r="D27" s="0" t="n">
        <f aca="false">U_PS(D$2,$A27)</f>
        <v>132.191722375071</v>
      </c>
      <c r="E27" s="0" t="n">
        <f aca="false">U_PS(E$2,$A27)</f>
        <v>133.17911156163</v>
      </c>
      <c r="F27" s="0" t="n">
        <f aca="false">U_PS(F$2,$A27)</f>
        <v>134.044690538569</v>
      </c>
      <c r="G27" s="0" t="n">
        <f aca="false">U_PS(G$2,$A27)</f>
        <v>139.267595233633</v>
      </c>
      <c r="H27" s="0" t="n">
        <f aca="false">U_PS(H$2,$A27)</f>
        <v>141.881400517083</v>
      </c>
      <c r="I27" s="0" t="n">
        <f aca="false">U_PS(I$2,$A27)</f>
        <v>143.503860403975</v>
      </c>
      <c r="J27" s="0" t="n">
        <f aca="false">U_PS(J$2,$A27)</f>
        <v>144.615283287732</v>
      </c>
      <c r="K27" s="0" t="n">
        <f aca="false">U_PS(K$2,$A27)</f>
        <v>145.033969835699</v>
      </c>
      <c r="L27" s="0" t="n">
        <f aca="false">U_PS(L$2,$A27)</f>
        <v>145.033970115308</v>
      </c>
      <c r="M27" s="0" t="n">
        <f aca="false">U_PS(M$2,$A27)</f>
        <v>145.033970395318</v>
      </c>
      <c r="N27" s="0" t="n">
        <f aca="false">U_PS(N$2,$A27)</f>
        <v>145.033970675728</v>
      </c>
      <c r="O27" s="0" t="n">
        <f aca="false">U_PS(O$2,$A27)</f>
        <v>145.033970956539</v>
      </c>
      <c r="P27" s="0" t="n">
        <f aca="false">U_PS(P$2,$A27)</f>
        <v>145.033973786673</v>
      </c>
      <c r="Q27" s="0" t="n">
        <f aca="false">U_PS(Q$2,$A27)</f>
        <v>145.033976656861</v>
      </c>
      <c r="R27" s="0" t="n">
        <f aca="false">U_PS(R$2,$A27)</f>
        <v>145.033979567102</v>
      </c>
      <c r="S27" s="0" t="n">
        <f aca="false">U_PS(S$2,$A27)</f>
        <v>145.033982517394</v>
      </c>
      <c r="T27" s="0" t="n">
        <f aca="false">U_PS(T$2,$A27)</f>
        <v>145.033985507733</v>
      </c>
      <c r="U27" s="0" t="n">
        <f aca="false">U_PS(U$2,$A27)</f>
        <v>145.033988538121</v>
      </c>
      <c r="V27" s="0" t="n">
        <f aca="false">U_PS(V$2,$A27)</f>
        <v>145.033991608555</v>
      </c>
      <c r="W27" s="0" t="n">
        <f aca="false">U_PS(W$2,$A27)</f>
        <v>145.033994719033</v>
      </c>
      <c r="X27" s="0" t="n">
        <f aca="false">U_PS(X$2,$A27)</f>
        <v>145.033997869555</v>
      </c>
      <c r="Y27" s="0" t="n">
        <f aca="false">U_PS(Y$2,$A27)</f>
        <v>145.03403157684</v>
      </c>
      <c r="Z27" s="0" t="n">
        <f aca="false">U_PS(Z$2,$A27)</f>
        <v>145.034069286876</v>
      </c>
      <c r="AA27" s="0" t="n">
        <f aca="false">U_PS(AA$2,$A27)</f>
        <v>145.03411099823</v>
      </c>
      <c r="AB27" s="0" t="n">
        <f aca="false">U_PS(AB$2,$A27)</f>
        <v>145.03415670947</v>
      </c>
      <c r="AC27" s="0" t="n">
        <f aca="false">U_PS(AC$2,$A27)</f>
        <v>145.034206419163</v>
      </c>
      <c r="AD27" s="0" t="n">
        <f aca="false">U_PS(AD$2,$A27)</f>
        <v>145.034260125881</v>
      </c>
      <c r="AE27" s="0" t="n">
        <f aca="false">U_PS(AE$2,$A27)</f>
        <v>145.034317828199</v>
      </c>
      <c r="AF27" s="0" t="n">
        <f aca="false">U_PS(AF$2,$A27)</f>
        <v>145.034379524689</v>
      </c>
      <c r="AG27" s="0" t="n">
        <f aca="false">U_PS(AG$2,$A27)</f>
        <v>145.03444521393</v>
      </c>
      <c r="AH27" s="0" t="n">
        <f aca="false">U_PS(AH$2,$A27)</f>
        <v>145.035321395854</v>
      </c>
      <c r="AI27" s="0" t="n">
        <f aca="false">U_PS(AI$2,$A27)</f>
        <v>145.036595301186</v>
      </c>
      <c r="AJ27" s="0" t="n">
        <f aca="false">U_PS(AJ$2,$A27)</f>
        <v>145.038265537213</v>
      </c>
      <c r="AK27" s="0" t="n">
        <f aca="false">U_PS(AK$2,$A27)</f>
        <v>145.040330729135</v>
      </c>
      <c r="AL27" s="0" t="n">
        <f aca="false">U_PS(AL$2,$A27)</f>
        <v>145.042789519656</v>
      </c>
      <c r="AM27" s="0" t="n">
        <f aca="false">U_PS(AM$2,$A27)</f>
        <v>145.045640568584</v>
      </c>
      <c r="AN27" s="0" t="n">
        <f aca="false">U_PS(AN$2,$A27)</f>
        <v>145.048882552455</v>
      </c>
      <c r="AO27" s="0" t="n">
        <f aca="false">U_PS(AO$2,$A27)</f>
        <v>145.052514164151</v>
      </c>
      <c r="AP27" s="0" t="n">
        <f aca="false">U_PS(AP$2,$A27)</f>
        <v>145.056534112545</v>
      </c>
      <c r="AQ27" s="0" t="n">
        <f aca="false">U_PS(AQ$2,$A27)</f>
        <v>145.117818831866</v>
      </c>
      <c r="AR27" s="0" t="n">
        <f aca="false">U_PS(AR$2,$A27)</f>
        <v>145.135175752891</v>
      </c>
      <c r="AS27" s="0" t="n">
        <f aca="false">U_PS(AS$2,$A27)</f>
        <v>145.143571582306</v>
      </c>
    </row>
    <row r="28" customFormat="false" ht="13.8" hidden="false" customHeight="false" outlineLevel="0" collapsed="false">
      <c r="A28" s="0" t="n">
        <v>0.6</v>
      </c>
      <c r="B28" s="0" t="n">
        <f aca="false">U_PS(B$2,$A28)</f>
        <v>155.638489179022</v>
      </c>
      <c r="C28" s="0" t="n">
        <f aca="false">U_PS(C$2,$A28)</f>
        <v>157.174333751449</v>
      </c>
      <c r="D28" s="0" t="n">
        <f aca="false">U_PS(D$2,$A28)</f>
        <v>158.481818181879</v>
      </c>
      <c r="E28" s="0" t="n">
        <f aca="false">U_PS(E$2,$A28)</f>
        <v>159.616174437667</v>
      </c>
      <c r="F28" s="0" t="n">
        <f aca="false">U_PS(F$2,$A28)</f>
        <v>160.614975801663</v>
      </c>
      <c r="G28" s="0" t="n">
        <f aca="false">U_PS(G$2,$A28)</f>
        <v>166.756883688974</v>
      </c>
      <c r="H28" s="0" t="n">
        <f aca="false">U_PS(H$2,$A28)</f>
        <v>169.944212413584</v>
      </c>
      <c r="I28" s="0" t="n">
        <f aca="false">U_PS(I$2,$A28)</f>
        <v>171.990767021933</v>
      </c>
      <c r="J28" s="0" t="n">
        <f aca="false">U_PS(J$2,$A28)</f>
        <v>173.44145209178</v>
      </c>
      <c r="K28" s="0" t="n">
        <f aca="false">U_PS(K$2,$A28)</f>
        <v>174.53069639669</v>
      </c>
      <c r="L28" s="0" t="n">
        <f aca="false">U_PS(L$2,$A28)</f>
        <v>175.379801698667</v>
      </c>
      <c r="M28" s="0" t="n">
        <f aca="false">U_PS(M$2,$A28)</f>
        <v>176.059206499777</v>
      </c>
      <c r="N28" s="0" t="n">
        <f aca="false">U_PS(N$2,$A28)</f>
        <v>176.1784352863</v>
      </c>
      <c r="O28" s="0" t="n">
        <f aca="false">U_PS(O$2,$A28)</f>
        <v>176.17843593235</v>
      </c>
      <c r="P28" s="0" t="n">
        <f aca="false">U_PS(P$2,$A28)</f>
        <v>176.178442415238</v>
      </c>
      <c r="Q28" s="0" t="n">
        <f aca="false">U_PS(Q$2,$A28)</f>
        <v>176.178448938827</v>
      </c>
      <c r="R28" s="0" t="n">
        <f aca="false">U_PS(R$2,$A28)</f>
        <v>176.178455503113</v>
      </c>
      <c r="S28" s="0" t="n">
        <f aca="false">U_PS(S$2,$A28)</f>
        <v>176.178462108097</v>
      </c>
      <c r="T28" s="0" t="n">
        <f aca="false">U_PS(T$2,$A28)</f>
        <v>176.178468753775</v>
      </c>
      <c r="U28" s="0" t="n">
        <f aca="false">U_PS(U$2,$A28)</f>
        <v>176.178475440145</v>
      </c>
      <c r="V28" s="0" t="n">
        <f aca="false">U_PS(V$2,$A28)</f>
        <v>176.178482167205</v>
      </c>
      <c r="W28" s="0" t="n">
        <f aca="false">U_PS(W$2,$A28)</f>
        <v>176.178488934954</v>
      </c>
      <c r="X28" s="0" t="n">
        <f aca="false">U_PS(X$2,$A28)</f>
        <v>176.178495743391</v>
      </c>
      <c r="Y28" s="0" t="n">
        <f aca="false">U_PS(Y$2,$A28)</f>
        <v>176.178566065068</v>
      </c>
      <c r="Z28" s="0" t="n">
        <f aca="false">U_PS(Z$2,$A28)</f>
        <v>176.178640453215</v>
      </c>
      <c r="AA28" s="0" t="n">
        <f aca="false">U_PS(AA$2,$A28)</f>
        <v>176.178718905851</v>
      </c>
      <c r="AB28" s="0" t="n">
        <f aca="false">U_PS(AB$2,$A28)</f>
        <v>176.178801420995</v>
      </c>
      <c r="AC28" s="0" t="n">
        <f aca="false">U_PS(AC$2,$A28)</f>
        <v>176.178887996671</v>
      </c>
      <c r="AD28" s="0" t="n">
        <f aca="false">U_PS(AD$2,$A28)</f>
        <v>176.178978630904</v>
      </c>
      <c r="AE28" s="0" t="n">
        <f aca="false">U_PS(AE$2,$A28)</f>
        <v>176.179073321724</v>
      </c>
      <c r="AF28" s="0" t="n">
        <f aca="false">U_PS(AF$2,$A28)</f>
        <v>176.179172067161</v>
      </c>
      <c r="AG28" s="0" t="n">
        <f aca="false">U_PS(AG$2,$A28)</f>
        <v>176.179274865245</v>
      </c>
      <c r="AH28" s="0" t="n">
        <f aca="false">U_PS(AH$2,$A28)</f>
        <v>176.180525310655</v>
      </c>
      <c r="AI28" s="0" t="n">
        <f aca="false">U_PS(AI$2,$A28)</f>
        <v>176.18217887413</v>
      </c>
      <c r="AJ28" s="0" t="n">
        <f aca="false">U_PS(AJ$2,$A28)</f>
        <v>176.184233626206</v>
      </c>
      <c r="AK28" s="0" t="n">
        <f aca="false">U_PS(AK$2,$A28)</f>
        <v>176.186687659722</v>
      </c>
      <c r="AL28" s="0" t="n">
        <f aca="false">U_PS(AL$2,$A28)</f>
        <v>176.189539089355</v>
      </c>
      <c r="AM28" s="0" t="n">
        <f aca="false">U_PS(AM$2,$A28)</f>
        <v>176.192786051166</v>
      </c>
      <c r="AN28" s="0" t="n">
        <f aca="false">U_PS(AN$2,$A28)</f>
        <v>176.196426702163</v>
      </c>
      <c r="AO28" s="0" t="n">
        <f aca="false">U_PS(AO$2,$A28)</f>
        <v>176.200459219868</v>
      </c>
      <c r="AP28" s="0" t="n">
        <f aca="false">U_PS(AP$2,$A28)</f>
        <v>176.204881801908</v>
      </c>
      <c r="AQ28" s="0" t="n">
        <f aca="false">U_PS(AQ$2,$A28)</f>
        <v>176.270178250352</v>
      </c>
      <c r="AR28" s="0" t="n">
        <f aca="false">U_PS(AR$2,$A28)</f>
        <v>176.288333580601</v>
      </c>
      <c r="AS28" s="0" t="n">
        <f aca="false">U_PS(AS$2,$A28)</f>
        <v>176.297085302887</v>
      </c>
    </row>
    <row r="29" customFormat="false" ht="13.8" hidden="false" customHeight="false" outlineLevel="0" collapsed="false">
      <c r="A29" s="0" t="n">
        <v>0.7</v>
      </c>
      <c r="B29" s="0" t="n">
        <f aca="false">U_PS(B$2,$A29)</f>
        <v>181.578234711964</v>
      </c>
      <c r="C29" s="0" t="n">
        <f aca="false">U_PS(C$2,$A29)</f>
        <v>183.30029727469</v>
      </c>
      <c r="D29" s="0" t="n">
        <f aca="false">U_PS(D$2,$A29)</f>
        <v>184.771913988688</v>
      </c>
      <c r="E29" s="0" t="n">
        <f aca="false">U_PS(E$2,$A29)</f>
        <v>186.053237313705</v>
      </c>
      <c r="F29" s="0" t="n">
        <f aca="false">U_PS(F$2,$A29)</f>
        <v>187.185261064758</v>
      </c>
      <c r="G29" s="0" t="n">
        <f aca="false">U_PS(G$2,$A29)</f>
        <v>194.246172144315</v>
      </c>
      <c r="H29" s="0" t="n">
        <f aca="false">U_PS(H$2,$A29)</f>
        <v>198.007024310085</v>
      </c>
      <c r="I29" s="0" t="n">
        <f aca="false">U_PS(I$2,$A29)</f>
        <v>200.47767363989</v>
      </c>
      <c r="J29" s="0" t="n">
        <f aca="false">U_PS(J$2,$A29)</f>
        <v>202.267620895828</v>
      </c>
      <c r="K29" s="0" t="n">
        <f aca="false">U_PS(K$2,$A29)</f>
        <v>203.641016428465</v>
      </c>
      <c r="L29" s="0" t="n">
        <f aca="false">U_PS(L$2,$A29)</f>
        <v>204.735410939071</v>
      </c>
      <c r="M29" s="0" t="n">
        <f aca="false">U_PS(M$2,$A29)</f>
        <v>205.631137787838</v>
      </c>
      <c r="N29" s="0" t="n">
        <f aca="false">U_PS(N$2,$A29)</f>
        <v>206.378981458065</v>
      </c>
      <c r="O29" s="0" t="n">
        <f aca="false">U_PS(O$2,$A29)</f>
        <v>207.012971733913</v>
      </c>
      <c r="P29" s="0" t="n">
        <f aca="false">U_PS(P$2,$A29)</f>
        <v>208.080956177095</v>
      </c>
      <c r="Q29" s="0" t="n">
        <f aca="false">U_PS(Q$2,$A29)</f>
        <v>208.080965210952</v>
      </c>
      <c r="R29" s="0" t="n">
        <f aca="false">U_PS(R$2,$A29)</f>
        <v>208.080974286147</v>
      </c>
      <c r="S29" s="0" t="n">
        <f aca="false">U_PS(S$2,$A29)</f>
        <v>208.08098340268</v>
      </c>
      <c r="T29" s="0" t="n">
        <f aca="false">U_PS(T$2,$A29)</f>
        <v>208.080992560548</v>
      </c>
      <c r="U29" s="0" t="n">
        <f aca="false">U_PS(U$2,$A29)</f>
        <v>208.081001759748</v>
      </c>
      <c r="V29" s="0" t="n">
        <f aca="false">U_PS(V$2,$A29)</f>
        <v>208.081011000278</v>
      </c>
      <c r="W29" s="0" t="n">
        <f aca="false">U_PS(W$2,$A29)</f>
        <v>208.081020282136</v>
      </c>
      <c r="X29" s="0" t="n">
        <f aca="false">U_PS(X$2,$A29)</f>
        <v>208.081029605317</v>
      </c>
      <c r="Y29" s="0" t="n">
        <f aca="false">U_PS(Y$2,$A29)</f>
        <v>208.081125109444</v>
      </c>
      <c r="Z29" s="0" t="n">
        <f aca="false">U_PS(Z$2,$A29)</f>
        <v>208.081224743279</v>
      </c>
      <c r="AA29" s="0" t="n">
        <f aca="false">U_PS(AA$2,$A29)</f>
        <v>208.081328504313</v>
      </c>
      <c r="AB29" s="0" t="n">
        <f aca="false">U_PS(AB$2,$A29)</f>
        <v>208.08143639004</v>
      </c>
      <c r="AC29" s="0" t="n">
        <f aca="false">U_PS(AC$2,$A29)</f>
        <v>208.081548397954</v>
      </c>
      <c r="AD29" s="0" t="n">
        <f aca="false">U_PS(AD$2,$A29)</f>
        <v>208.081664525557</v>
      </c>
      <c r="AE29" s="0" t="n">
        <f aca="false">U_PS(AE$2,$A29)</f>
        <v>208.081784770348</v>
      </c>
      <c r="AF29" s="0" t="n">
        <f aca="false">U_PS(AF$2,$A29)</f>
        <v>208.081909129831</v>
      </c>
      <c r="AG29" s="0" t="n">
        <f aca="false">U_PS(AG$2,$A29)</f>
        <v>208.082037601515</v>
      </c>
      <c r="AH29" s="0" t="n">
        <f aca="false">U_PS(AH$2,$A29)</f>
        <v>208.083547943128</v>
      </c>
      <c r="AI29" s="0" t="n">
        <f aca="false">U_PS(AI$2,$A29)</f>
        <v>208.085466784421</v>
      </c>
      <c r="AJ29" s="0" t="n">
        <f aca="false">U_PS(AJ$2,$A29)</f>
        <v>208.087791679839</v>
      </c>
      <c r="AK29" s="0" t="n">
        <f aca="false">U_PS(AK$2,$A29)</f>
        <v>208.09052021153</v>
      </c>
      <c r="AL29" s="0" t="n">
        <f aca="false">U_PS(AL$2,$A29)</f>
        <v>208.093649988783</v>
      </c>
      <c r="AM29" s="0" t="n">
        <f aca="false">U_PS(AM$2,$A29)</f>
        <v>208.097178647476</v>
      </c>
      <c r="AN29" s="0" t="n">
        <f aca="false">U_PS(AN$2,$A29)</f>
        <v>208.101103849562</v>
      </c>
      <c r="AO29" s="0" t="n">
        <f aca="false">U_PS(AO$2,$A29)</f>
        <v>208.105423282538</v>
      </c>
      <c r="AP29" s="0" t="n">
        <f aca="false">U_PS(AP$2,$A29)</f>
        <v>208.110134658968</v>
      </c>
      <c r="AQ29" s="0" t="n">
        <f aca="false">U_PS(AQ$2,$A29)</f>
        <v>208.178319078215</v>
      </c>
      <c r="AR29" s="0" t="n">
        <f aca="false">U_PS(AR$2,$A29)</f>
        <v>208.197045875766</v>
      </c>
      <c r="AS29" s="0" t="n">
        <f aca="false">U_PS(AS$2,$A29)</f>
        <v>208.206051331746</v>
      </c>
    </row>
    <row r="30" customFormat="false" ht="13.8" hidden="false" customHeight="false" outlineLevel="0" collapsed="false">
      <c r="A30" s="0" t="n">
        <v>0.8</v>
      </c>
      <c r="B30" s="0" t="n">
        <f aca="false">U_PS(B$2,$A30)</f>
        <v>207.517980244907</v>
      </c>
      <c r="C30" s="0" t="n">
        <f aca="false">U_PS(C$2,$A30)</f>
        <v>209.426260797931</v>
      </c>
      <c r="D30" s="0" t="n">
        <f aca="false">U_PS(D$2,$A30)</f>
        <v>211.062009795496</v>
      </c>
      <c r="E30" s="0" t="n">
        <f aca="false">U_PS(E$2,$A30)</f>
        <v>212.490300189742</v>
      </c>
      <c r="F30" s="0" t="n">
        <f aca="false">U_PS(F$2,$A30)</f>
        <v>213.755546327852</v>
      </c>
      <c r="G30" s="0" t="n">
        <f aca="false">U_PS(G$2,$A30)</f>
        <v>221.735460599656</v>
      </c>
      <c r="H30" s="0" t="n">
        <f aca="false">U_PS(H$2,$A30)</f>
        <v>226.069836206587</v>
      </c>
      <c r="I30" s="0" t="n">
        <f aca="false">U_PS(I$2,$A30)</f>
        <v>228.964580257847</v>
      </c>
      <c r="J30" s="0" t="n">
        <f aca="false">U_PS(J$2,$A30)</f>
        <v>231.093789699876</v>
      </c>
      <c r="K30" s="0" t="n">
        <f aca="false">U_PS(K$2,$A30)</f>
        <v>232.75133646024</v>
      </c>
      <c r="L30" s="0" t="n">
        <f aca="false">U_PS(L$2,$A30)</f>
        <v>234.091020179476</v>
      </c>
      <c r="M30" s="0" t="n">
        <f aca="false">U_PS(M$2,$A30)</f>
        <v>235.2030690759</v>
      </c>
      <c r="N30" s="0" t="n">
        <f aca="false">U_PS(N$2,$A30)</f>
        <v>236.144758828299</v>
      </c>
      <c r="O30" s="0" t="n">
        <f aca="false">U_PS(O$2,$A30)</f>
        <v>236.95461697469</v>
      </c>
      <c r="P30" s="0" t="n">
        <f aca="false">U_PS(P$2,$A30)</f>
        <v>240.758497807743</v>
      </c>
      <c r="Q30" s="0" t="n">
        <f aca="false">U_PS(Q$2,$A30)</f>
        <v>240.758507755363</v>
      </c>
      <c r="R30" s="0" t="n">
        <f aca="false">U_PS(R$2,$A30)</f>
        <v>240.75851774512</v>
      </c>
      <c r="S30" s="0" t="n">
        <f aca="false">U_PS(S$2,$A30)</f>
        <v>240.758527777013</v>
      </c>
      <c r="T30" s="0" t="n">
        <f aca="false">U_PS(T$2,$A30)</f>
        <v>240.758537851039</v>
      </c>
      <c r="U30" s="0" t="n">
        <f aca="false">U_PS(U$2,$A30)</f>
        <v>240.758547967193</v>
      </c>
      <c r="V30" s="0" t="n">
        <f aca="false">U_PS(V$2,$A30)</f>
        <v>240.758558125475</v>
      </c>
      <c r="W30" s="0" t="n">
        <f aca="false">U_PS(W$2,$A30)</f>
        <v>240.758568325879</v>
      </c>
      <c r="X30" s="0" t="n">
        <f aca="false">U_PS(X$2,$A30)</f>
        <v>240.758578568403</v>
      </c>
      <c r="Y30" s="0" t="n">
        <f aca="false">U_PS(Y$2,$A30)</f>
        <v>240.75868330959</v>
      </c>
      <c r="Z30" s="0" t="n">
        <f aca="false">U_PS(Z$2,$A30)</f>
        <v>240.758792259457</v>
      </c>
      <c r="AA30" s="0" t="n">
        <f aca="false">U_PS(AA$2,$A30)</f>
        <v>240.758905414976</v>
      </c>
      <c r="AB30" s="0" t="n">
        <f aca="false">U_PS(AB$2,$A30)</f>
        <v>240.759022773119</v>
      </c>
      <c r="AC30" s="0" t="n">
        <f aca="false">U_PS(AC$2,$A30)</f>
        <v>240.759144330865</v>
      </c>
      <c r="AD30" s="0" t="n">
        <f aca="false">U_PS(AD$2,$A30)</f>
        <v>240.759270085191</v>
      </c>
      <c r="AE30" s="0" t="n">
        <f aca="false">U_PS(AE$2,$A30)</f>
        <v>240.759400033083</v>
      </c>
      <c r="AF30" s="0" t="n">
        <f aca="false">U_PS(AF$2,$A30)</f>
        <v>240.759534171528</v>
      </c>
      <c r="AG30" s="0" t="n">
        <f aca="false">U_PS(AG$2,$A30)</f>
        <v>240.759672497517</v>
      </c>
      <c r="AH30" s="0" t="n">
        <f aca="false">U_PS(AH$2,$A30)</f>
        <v>240.761285412936</v>
      </c>
      <c r="AI30" s="0" t="n">
        <f aca="false">U_PS(AI$2,$A30)</f>
        <v>240.763313799277</v>
      </c>
      <c r="AJ30" s="0" t="n">
        <f aca="false">U_PS(AJ$2,$A30)</f>
        <v>240.765754705471</v>
      </c>
      <c r="AK30" s="0" t="n">
        <f aca="false">U_PS(AK$2,$A30)</f>
        <v>240.76860521458</v>
      </c>
      <c r="AL30" s="0" t="n">
        <f aca="false">U_PS(AL$2,$A30)</f>
        <v>240.771862443108</v>
      </c>
      <c r="AM30" s="0" t="n">
        <f aca="false">U_PS(AM$2,$A30)</f>
        <v>240.775523540332</v>
      </c>
      <c r="AN30" s="0" t="n">
        <f aca="false">U_PS(AN$2,$A30)</f>
        <v>240.77958568765</v>
      </c>
      <c r="AO30" s="0" t="n">
        <f aca="false">U_PS(AO$2,$A30)</f>
        <v>240.78404609795</v>
      </c>
      <c r="AP30" s="0" t="n">
        <f aca="false">U_PS(AP$2,$A30)</f>
        <v>240.788902015004</v>
      </c>
      <c r="AQ30" s="0" t="n">
        <f aca="false">U_PS(AQ$2,$A30)</f>
        <v>240.85862863735</v>
      </c>
      <c r="AR30" s="0" t="n">
        <f aca="false">U_PS(AR$2,$A30)</f>
        <v>240.87767220136</v>
      </c>
      <c r="AS30" s="0" t="n">
        <f aca="false">U_PS(AS$2,$A30)</f>
        <v>240.886818620422</v>
      </c>
    </row>
    <row r="31" customFormat="false" ht="13.8" hidden="false" customHeight="false" outlineLevel="0" collapsed="false">
      <c r="A31" s="0" t="n">
        <v>0.9</v>
      </c>
      <c r="B31" s="0" t="n">
        <f aca="false">U_PS(B$2,$A31)</f>
        <v>233.457725777849</v>
      </c>
      <c r="C31" s="0" t="n">
        <f aca="false">U_PS(C$2,$A31)</f>
        <v>235.552224321171</v>
      </c>
      <c r="D31" s="0" t="n">
        <f aca="false">U_PS(D$2,$A31)</f>
        <v>237.352105602304</v>
      </c>
      <c r="E31" s="0" t="n">
        <f aca="false">U_PS(E$2,$A31)</f>
        <v>238.927363065779</v>
      </c>
      <c r="F31" s="0" t="n">
        <f aca="false">U_PS(F$2,$A31)</f>
        <v>240.325831590946</v>
      </c>
      <c r="G31" s="0" t="n">
        <f aca="false">U_PS(G$2,$A31)</f>
        <v>249.224749054997</v>
      </c>
      <c r="H31" s="0" t="n">
        <f aca="false">U_PS(H$2,$A31)</f>
        <v>254.132648103088</v>
      </c>
      <c r="I31" s="0" t="n">
        <f aca="false">U_PS(I$2,$A31)</f>
        <v>257.451486875804</v>
      </c>
      <c r="J31" s="0" t="n">
        <f aca="false">U_PS(J$2,$A31)</f>
        <v>259.919958503925</v>
      </c>
      <c r="K31" s="0" t="n">
        <f aca="false">U_PS(K$2,$A31)</f>
        <v>261.861656492015</v>
      </c>
      <c r="L31" s="0" t="n">
        <f aca="false">U_PS(L$2,$A31)</f>
        <v>263.44662941988</v>
      </c>
      <c r="M31" s="0" t="n">
        <f aca="false">U_PS(M$2,$A31)</f>
        <v>264.775000363961</v>
      </c>
      <c r="N31" s="0" t="n">
        <f aca="false">U_PS(N$2,$A31)</f>
        <v>265.910536198533</v>
      </c>
      <c r="O31" s="0" t="n">
        <f aca="false">U_PS(O$2,$A31)</f>
        <v>266.896262215467</v>
      </c>
      <c r="P31" s="0" t="n">
        <f aca="false">U_PS(P$2,$A31)</f>
        <v>272.586644982548</v>
      </c>
      <c r="Q31" s="0" t="n">
        <f aca="false">U_PS(Q$2,$A31)</f>
        <v>274.228349274164</v>
      </c>
      <c r="R31" s="0" t="n">
        <f aca="false">U_PS(R$2,$A31)</f>
        <v>274.22835852291</v>
      </c>
      <c r="S31" s="0" t="n">
        <f aca="false">U_PS(S$2,$A31)</f>
        <v>274.228367814862</v>
      </c>
      <c r="T31" s="0" t="n">
        <f aca="false">U_PS(T$2,$A31)</f>
        <v>274.228377150014</v>
      </c>
      <c r="U31" s="0" t="n">
        <f aca="false">U_PS(U$2,$A31)</f>
        <v>274.228386528364</v>
      </c>
      <c r="V31" s="0" t="n">
        <f aca="false">U_PS(V$2,$A31)</f>
        <v>274.228395949907</v>
      </c>
      <c r="W31" s="0" t="n">
        <f aca="false">U_PS(W$2,$A31)</f>
        <v>274.228405414641</v>
      </c>
      <c r="X31" s="0" t="n">
        <f aca="false">U_PS(X$2,$A31)</f>
        <v>274.22841492256</v>
      </c>
      <c r="Y31" s="0" t="n">
        <f aca="false">U_PS(Y$2,$A31)</f>
        <v>274.228512376228</v>
      </c>
      <c r="Z31" s="0" t="n">
        <f aca="false">U_PS(Z$2,$A31)</f>
        <v>274.228614144629</v>
      </c>
      <c r="AA31" s="0" t="n">
        <f aca="false">U_PS(AA$2,$A31)</f>
        <v>274.228720224208</v>
      </c>
      <c r="AB31" s="0" t="n">
        <f aca="false">U_PS(AB$2,$A31)</f>
        <v>274.228830611415</v>
      </c>
      <c r="AC31" s="0" t="n">
        <f aca="false">U_PS(AC$2,$A31)</f>
        <v>274.228945302703</v>
      </c>
      <c r="AD31" s="0" t="n">
        <f aca="false">U_PS(AD$2,$A31)</f>
        <v>274.229064294528</v>
      </c>
      <c r="AE31" s="0" t="n">
        <f aca="false">U_PS(AE$2,$A31)</f>
        <v>274.229187583356</v>
      </c>
      <c r="AF31" s="0" t="n">
        <f aca="false">U_PS(AF$2,$A31)</f>
        <v>274.229315165654</v>
      </c>
      <c r="AG31" s="0" t="n">
        <f aca="false">U_PS(AG$2,$A31)</f>
        <v>274.229447037891</v>
      </c>
      <c r="AH31" s="0" t="n">
        <f aca="false">U_PS(AH$2,$A31)</f>
        <v>274.231000933788</v>
      </c>
      <c r="AI31" s="0" t="n">
        <f aca="false">U_PS(AI$2,$A31)</f>
        <v>274.232979974347</v>
      </c>
      <c r="AJ31" s="0" t="n">
        <f aca="false">U_PS(AJ$2,$A31)</f>
        <v>274.2353807017</v>
      </c>
      <c r="AK31" s="0" t="n">
        <f aca="false">U_PS(AK$2,$A31)</f>
        <v>274.238199699747</v>
      </c>
      <c r="AL31" s="0" t="n">
        <f aca="false">U_PS(AL$2,$A31)</f>
        <v>274.241433593299</v>
      </c>
      <c r="AM31" s="0" t="n">
        <f aca="false">U_PS(AM$2,$A31)</f>
        <v>274.245079047243</v>
      </c>
      <c r="AN31" s="0" t="n">
        <f aca="false">U_PS(AN$2,$A31)</f>
        <v>274.249132765735</v>
      </c>
      <c r="AO31" s="0" t="n">
        <f aca="false">U_PS(AO$2,$A31)</f>
        <v>274.253591491408</v>
      </c>
      <c r="AP31" s="0" t="n">
        <f aca="false">U_PS(AP$2,$A31)</f>
        <v>274.258452004613</v>
      </c>
      <c r="AQ31" s="0" t="n">
        <f aca="false">U_PS(AQ$2,$A31)</f>
        <v>274.328472683493</v>
      </c>
      <c r="AR31" s="0" t="n">
        <f aca="false">U_PS(AR$2,$A31)</f>
        <v>274.347610260053</v>
      </c>
      <c r="AS31" s="0" t="n">
        <f aca="false">U_PS(AS$2,$A31)</f>
        <v>274.356800632286</v>
      </c>
    </row>
    <row r="32" customFormat="false" ht="13.8" hidden="false" customHeight="false" outlineLevel="0" collapsed="false">
      <c r="A32" s="0" t="n">
        <v>1</v>
      </c>
      <c r="B32" s="0" t="n">
        <f aca="false">U_PS(B$2,$A32)</f>
        <v>259.397471310791</v>
      </c>
      <c r="C32" s="0" t="n">
        <f aca="false">U_PS(C$2,$A32)</f>
        <v>261.678187844412</v>
      </c>
      <c r="D32" s="0" t="n">
        <f aca="false">U_PS(D$2,$A32)</f>
        <v>263.642201409112</v>
      </c>
      <c r="E32" s="0" t="n">
        <f aca="false">U_PS(E$2,$A32)</f>
        <v>265.364425941817</v>
      </c>
      <c r="F32" s="0" t="n">
        <f aca="false">U_PS(F$2,$A32)</f>
        <v>266.896116854041</v>
      </c>
      <c r="G32" s="0" t="n">
        <f aca="false">U_PS(G$2,$A32)</f>
        <v>276.714037510338</v>
      </c>
      <c r="H32" s="0" t="n">
        <f aca="false">U_PS(H$2,$A32)</f>
        <v>282.19545999959</v>
      </c>
      <c r="I32" s="0" t="n">
        <f aca="false">U_PS(I$2,$A32)</f>
        <v>285.938393493761</v>
      </c>
      <c r="J32" s="0" t="n">
        <f aca="false">U_PS(J$2,$A32)</f>
        <v>288.746127307973</v>
      </c>
      <c r="K32" s="0" t="n">
        <f aca="false">U_PS(K$2,$A32)</f>
        <v>290.97197652379</v>
      </c>
      <c r="L32" s="0" t="n">
        <f aca="false">U_PS(L$2,$A32)</f>
        <v>292.802238660284</v>
      </c>
      <c r="M32" s="0" t="n">
        <f aca="false">U_PS(M$2,$A32)</f>
        <v>294.346931652022</v>
      </c>
      <c r="N32" s="0" t="n">
        <f aca="false">U_PS(N$2,$A32)</f>
        <v>295.676313568768</v>
      </c>
      <c r="O32" s="0" t="n">
        <f aca="false">U_PS(O$2,$A32)</f>
        <v>296.837907456244</v>
      </c>
      <c r="P32" s="0" t="n">
        <f aca="false">U_PS(P$2,$A32)</f>
        <v>303.746968310821</v>
      </c>
      <c r="Q32" s="0" t="n">
        <f aca="false">U_PS(Q$2,$A32)</f>
        <v>307.099131926642</v>
      </c>
      <c r="R32" s="0" t="n">
        <f aca="false">U_PS(R$2,$A32)</f>
        <v>308.5081754573</v>
      </c>
      <c r="S32" s="0" t="n">
        <f aca="false">U_PS(S$2,$A32)</f>
        <v>308.508182528598</v>
      </c>
      <c r="T32" s="0" t="n">
        <f aca="false">U_PS(T$2,$A32)</f>
        <v>308.508189644508</v>
      </c>
      <c r="U32" s="0" t="n">
        <f aca="false">U_PS(U$2,$A32)</f>
        <v>308.508196805029</v>
      </c>
      <c r="V32" s="0" t="n">
        <f aca="false">U_PS(V$2,$A32)</f>
        <v>308.508204010157</v>
      </c>
      <c r="W32" s="0" t="n">
        <f aca="false">U_PS(W$2,$A32)</f>
        <v>308.508211259886</v>
      </c>
      <c r="X32" s="0" t="n">
        <f aca="false">U_PS(X$2,$A32)</f>
        <v>308.508218554213</v>
      </c>
      <c r="Y32" s="0" t="n">
        <f aca="false">U_PS(Y$2,$A32)</f>
        <v>308.508293949458</v>
      </c>
      <c r="Z32" s="0" t="n">
        <f aca="false">U_PS(Z$2,$A32)</f>
        <v>308.508373799967</v>
      </c>
      <c r="AA32" s="0" t="n">
        <f aca="false">U_PS(AA$2,$A32)</f>
        <v>308.508458101646</v>
      </c>
      <c r="AB32" s="0" t="n">
        <f aca="false">U_PS(AB$2,$A32)</f>
        <v>308.508546850401</v>
      </c>
      <c r="AC32" s="0" t="n">
        <f aca="false">U_PS(AC$2,$A32)</f>
        <v>308.508640042148</v>
      </c>
      <c r="AD32" s="0" t="n">
        <f aca="false">U_PS(AD$2,$A32)</f>
        <v>308.508737672803</v>
      </c>
      <c r="AE32" s="0" t="n">
        <f aca="false">U_PS(AE$2,$A32)</f>
        <v>308.508839738294</v>
      </c>
      <c r="AF32" s="0" t="n">
        <f aca="false">U_PS(AF$2,$A32)</f>
        <v>308.50894623455</v>
      </c>
      <c r="AG32" s="0" t="n">
        <f aca="false">U_PS(AG$2,$A32)</f>
        <v>308.509057157504</v>
      </c>
      <c r="AH32" s="0" t="n">
        <f aca="false">U_PS(AH$2,$A32)</f>
        <v>308.510408965089</v>
      </c>
      <c r="AI32" s="0" t="n">
        <f aca="false">U_PS(AI$2,$A32)</f>
        <v>308.512199010622</v>
      </c>
      <c r="AJ32" s="0" t="n">
        <f aca="false">U_PS(AJ$2,$A32)</f>
        <v>308.514423315647</v>
      </c>
      <c r="AK32" s="0" t="n">
        <f aca="false">U_PS(AK$2,$A32)</f>
        <v>308.517077952615</v>
      </c>
      <c r="AL32" s="0" t="n">
        <f aca="false">U_PS(AL$2,$A32)</f>
        <v>308.520159043802</v>
      </c>
      <c r="AM32" s="0" t="n">
        <f aca="false">U_PS(AM$2,$A32)</f>
        <v>308.523662760266</v>
      </c>
      <c r="AN32" s="0" t="n">
        <f aca="false">U_PS(AN$2,$A32)</f>
        <v>308.527585320829</v>
      </c>
      <c r="AO32" s="0" t="n">
        <f aca="false">U_PS(AO$2,$A32)</f>
        <v>308.531922991093</v>
      </c>
      <c r="AP32" s="0" t="n">
        <f aca="false">U_PS(AP$2,$A32)</f>
        <v>308.536672082471</v>
      </c>
      <c r="AQ32" s="0" t="n">
        <f aca="false">U_PS(AQ$2,$A32)</f>
        <v>308.606010647855</v>
      </c>
      <c r="AR32" s="0" t="n">
        <f aca="false">U_PS(AR$2,$A32)</f>
        <v>308.6250825121</v>
      </c>
      <c r="AS32" s="0" t="n">
        <f aca="false">U_PS(AS$2,$A32)</f>
        <v>308.63424913739</v>
      </c>
    </row>
    <row r="33" customFormat="false" ht="13.8" hidden="false" customHeight="false" outlineLevel="0" collapsed="false">
      <c r="A33" s="0" t="n">
        <v>2</v>
      </c>
      <c r="B33" s="0" t="n">
        <f aca="false">U_PS(B$2,$A33)</f>
        <v>518.794926640215</v>
      </c>
      <c r="C33" s="0" t="n">
        <f aca="false">U_PS(C$2,$A33)</f>
        <v>522.93782307682</v>
      </c>
      <c r="D33" s="0" t="n">
        <f aca="false">U_PS(D$2,$A33)</f>
        <v>526.543159477194</v>
      </c>
      <c r="E33" s="0" t="n">
        <f aca="false">U_PS(E$2,$A33)</f>
        <v>529.735054702192</v>
      </c>
      <c r="F33" s="0" t="n">
        <f aca="false">U_PS(F$2,$A33)</f>
        <v>532.598969484984</v>
      </c>
      <c r="G33" s="0" t="n">
        <f aca="false">U_PS(G$2,$A33)</f>
        <v>551.606922063749</v>
      </c>
      <c r="H33" s="0" t="n">
        <f aca="false">U_PS(H$2,$A33)</f>
        <v>562.823578964604</v>
      </c>
      <c r="I33" s="0" t="n">
        <f aca="false">U_PS(I$2,$A33)</f>
        <v>570.807459673332</v>
      </c>
      <c r="J33" s="0" t="n">
        <f aca="false">U_PS(J$2,$A33)</f>
        <v>577.007815348456</v>
      </c>
      <c r="K33" s="0" t="n">
        <f aca="false">U_PS(K$2,$A33)</f>
        <v>582.07517684154</v>
      </c>
      <c r="L33" s="0" t="n">
        <f aca="false">U_PS(L$2,$A33)</f>
        <v>586.358331064324</v>
      </c>
      <c r="M33" s="0" t="n">
        <f aca="false">U_PS(M$2,$A33)</f>
        <v>590.066244532632</v>
      </c>
      <c r="N33" s="0" t="n">
        <f aca="false">U_PS(N$2,$A33)</f>
        <v>593.33408727111</v>
      </c>
      <c r="O33" s="0" t="n">
        <f aca="false">U_PS(O$2,$A33)</f>
        <v>596.254359864017</v>
      </c>
      <c r="P33" s="0" t="n">
        <f aca="false">U_PS(P$2,$A33)</f>
        <v>615.35020159355</v>
      </c>
      <c r="Q33" s="0" t="n">
        <f aca="false">U_PS(Q$2,$A33)</f>
        <v>626.369827266011</v>
      </c>
      <c r="R33" s="0" t="n">
        <f aca="false">U_PS(R$2,$A33)</f>
        <v>634.086424633846</v>
      </c>
      <c r="S33" s="0" t="n">
        <f aca="false">U_PS(S$2,$A33)</f>
        <v>639.998143324889</v>
      </c>
      <c r="T33" s="0" t="n">
        <f aca="false">U_PS(T$2,$A33)</f>
        <v>644.771978757968</v>
      </c>
      <c r="U33" s="0" t="n">
        <f aca="false">U_PS(U$2,$A33)</f>
        <v>648.763291347279</v>
      </c>
      <c r="V33" s="0" t="n">
        <f aca="false">U_PS(V$2,$A33)</f>
        <v>652.183863811207</v>
      </c>
      <c r="W33" s="0" t="n">
        <f aca="false">U_PS(W$2,$A33)</f>
        <v>655.170057556309</v>
      </c>
      <c r="X33" s="0" t="n">
        <f aca="false">U_PS(X$2,$A33)</f>
        <v>657.814803467533</v>
      </c>
      <c r="Y33" s="0" t="n">
        <f aca="false">U_PS(Y$2,$A33)</f>
        <v>674.4596592359</v>
      </c>
      <c r="Z33" s="0" t="n">
        <f aca="false">U_PS(Z$2,$A33)</f>
        <v>683.426412919257</v>
      </c>
      <c r="AA33" s="0" t="n">
        <f aca="false">U_PS(AA$2,$A33)</f>
        <v>689.342988238403</v>
      </c>
      <c r="AB33" s="0" t="n">
        <f aca="false">U_PS(AB$2,$A33)</f>
        <v>693.63123011856</v>
      </c>
      <c r="AC33" s="0" t="n">
        <f aca="false">U_PS(AC$2,$A33)</f>
        <v>696.913653446468</v>
      </c>
      <c r="AD33" s="0" t="n">
        <f aca="false">U_PS(AD$2,$A33)</f>
        <v>699.517148897247</v>
      </c>
      <c r="AE33" s="0" t="n">
        <f aca="false">U_PS(AE$2,$A33)</f>
        <v>699.851258682493</v>
      </c>
      <c r="AF33" s="0" t="n">
        <f aca="false">U_PS(AF$2,$A33)</f>
        <v>699.851088453511</v>
      </c>
      <c r="AG33" s="0" t="n">
        <f aca="false">U_PS(AG$2,$A33)</f>
        <v>699.850925975682</v>
      </c>
      <c r="AH33" s="0" t="n">
        <f aca="false">U_PS(AH$2,$A33)</f>
        <v>699.849724245566</v>
      </c>
      <c r="AI33" s="0" t="n">
        <f aca="false">U_PS(AI$2,$A33)</f>
        <v>699.849281473517</v>
      </c>
      <c r="AJ33" s="0" t="n">
        <f aca="false">U_PS(AJ$2,$A33)</f>
        <v>699.849583393841</v>
      </c>
      <c r="AK33" s="0" t="n">
        <f aca="false">U_PS(AK$2,$A33)</f>
        <v>699.850616163693</v>
      </c>
      <c r="AL33" s="0" t="n">
        <f aca="false">U_PS(AL$2,$A33)</f>
        <v>699.852366351899</v>
      </c>
      <c r="AM33" s="0" t="n">
        <f aca="false">U_PS(AM$2,$A33)</f>
        <v>699.854820928015</v>
      </c>
      <c r="AN33" s="0" t="n">
        <f aca="false">U_PS(AN$2,$A33)</f>
        <v>699.857967251591</v>
      </c>
      <c r="AO33" s="0" t="n">
        <f aca="false">U_PS(AO$2,$A33)</f>
        <v>699.861793061642</v>
      </c>
      <c r="AP33" s="0" t="n">
        <f aca="false">U_PS(AP$2,$A33)</f>
        <v>699.866286466334</v>
      </c>
      <c r="AQ33" s="0" t="n">
        <f aca="false">U_PS(AQ$2,$A33)</f>
        <v>699.945566362669</v>
      </c>
      <c r="AR33" s="0" t="n">
        <f aca="false">U_PS(AR$2,$A33)</f>
        <v>699.969179008425</v>
      </c>
      <c r="AS33" s="0" t="n">
        <f aca="false">U_PS(AS$2,$A33)</f>
        <v>699.980652841242</v>
      </c>
    </row>
    <row r="34" customFormat="false" ht="13.8" hidden="false" customHeight="false" outlineLevel="0" collapsed="false">
      <c r="A34" s="0" t="n">
        <v>3</v>
      </c>
      <c r="B34" s="0" t="n">
        <f aca="false">U_PS(B$2,$A34)</f>
        <v>778.192381969638</v>
      </c>
      <c r="C34" s="0" t="n">
        <f aca="false">U_PS(C$2,$A34)</f>
        <v>784.197458309228</v>
      </c>
      <c r="D34" s="0" t="n">
        <f aca="false">U_PS(D$2,$A34)</f>
        <v>789.444117545276</v>
      </c>
      <c r="E34" s="0" t="n">
        <f aca="false">U_PS(E$2,$A34)</f>
        <v>794.105683462566</v>
      </c>
      <c r="F34" s="0" t="n">
        <f aca="false">U_PS(F$2,$A34)</f>
        <v>798.301822115927</v>
      </c>
      <c r="G34" s="0" t="n">
        <f aca="false">U_PS(G$2,$A34)</f>
        <v>826.49980661716</v>
      </c>
      <c r="H34" s="0" t="n">
        <f aca="false">U_PS(H$2,$A34)</f>
        <v>843.451697929619</v>
      </c>
      <c r="I34" s="0" t="n">
        <f aca="false">U_PS(I$2,$A34)</f>
        <v>855.676525852903</v>
      </c>
      <c r="J34" s="0" t="n">
        <f aca="false">U_PS(J$2,$A34)</f>
        <v>865.269503388938</v>
      </c>
      <c r="K34" s="0" t="n">
        <f aca="false">U_PS(K$2,$A34)</f>
        <v>873.17837715929</v>
      </c>
      <c r="L34" s="0" t="n">
        <f aca="false">U_PS(L$2,$A34)</f>
        <v>879.914423468364</v>
      </c>
      <c r="M34" s="0" t="n">
        <f aca="false">U_PS(M$2,$A34)</f>
        <v>885.785557413243</v>
      </c>
      <c r="N34" s="0" t="n">
        <f aca="false">U_PS(N$2,$A34)</f>
        <v>890.991860973452</v>
      </c>
      <c r="O34" s="0" t="n">
        <f aca="false">U_PS(O$2,$A34)</f>
        <v>895.670812271789</v>
      </c>
      <c r="P34" s="0" t="n">
        <f aca="false">U_PS(P$2,$A34)</f>
        <v>926.953434876278</v>
      </c>
      <c r="Q34" s="0" t="n">
        <f aca="false">U_PS(Q$2,$A34)</f>
        <v>945.640522605381</v>
      </c>
      <c r="R34" s="0" t="n">
        <f aca="false">U_PS(R$2,$A34)</f>
        <v>959.062829595454</v>
      </c>
      <c r="S34" s="0" t="n">
        <f aca="false">U_PS(S$2,$A34)</f>
        <v>969.562471206172</v>
      </c>
      <c r="T34" s="0" t="n">
        <f aca="false">U_PS(T$2,$A34)</f>
        <v>978.19569257873</v>
      </c>
      <c r="U34" s="0" t="n">
        <f aca="false">U_PS(U$2,$A34)</f>
        <v>985.531163952053</v>
      </c>
      <c r="V34" s="0" t="n">
        <f aca="false">U_PS(V$2,$A34)</f>
        <v>991.910852363847</v>
      </c>
      <c r="W34" s="0" t="n">
        <f aca="false">U_PS(W$2,$A34)</f>
        <v>997.556697846209</v>
      </c>
      <c r="X34" s="0" t="n">
        <f aca="false">U_PS(X$2,$A34)</f>
        <v>1002.62104155394</v>
      </c>
      <c r="Y34" s="0" t="n">
        <f aca="false">U_PS(Y$2,$A34)</f>
        <v>1036.21032628436</v>
      </c>
      <c r="Z34" s="0" t="n">
        <f aca="false">U_PS(Z$2,$A34)</f>
        <v>1056.00203656125</v>
      </c>
      <c r="AA34" s="0" t="n">
        <f aca="false">U_PS(AA$2,$A34)</f>
        <v>1070.05853509554</v>
      </c>
      <c r="AB34" s="0" t="n">
        <f aca="false">U_PS(AB$2,$A34)</f>
        <v>1080.94513877868</v>
      </c>
      <c r="AC34" s="0" t="n">
        <f aca="false">U_PS(AC$2,$A34)</f>
        <v>1089.81513733181</v>
      </c>
      <c r="AD34" s="0" t="n">
        <f aca="false">U_PS(AD$2,$A34)</f>
        <v>1097.28778703824</v>
      </c>
      <c r="AE34" s="0" t="n">
        <f aca="false">U_PS(AE$2,$A34)</f>
        <v>1103.7345793691</v>
      </c>
      <c r="AF34" s="0" t="n">
        <f aca="false">U_PS(AF$2,$A34)</f>
        <v>1109.39608163922</v>
      </c>
      <c r="AG34" s="0" t="n">
        <f aca="false">U_PS(AG$2,$A34)</f>
        <v>1114.4370780223</v>
      </c>
      <c r="AH34" s="0" t="n">
        <f aca="false">U_PS(AH$2,$A34)</f>
        <v>1146.79525618076</v>
      </c>
      <c r="AI34" s="0" t="n">
        <f aca="false">U_PS(AI$2,$A34)</f>
        <v>1164.74034996205</v>
      </c>
      <c r="AJ34" s="0" t="n">
        <f aca="false">U_PS(AJ$2,$A34)</f>
        <v>1176.8107492118</v>
      </c>
      <c r="AK34" s="0" t="n">
        <f aca="false">U_PS(AK$2,$A34)</f>
        <v>1185.68385659591</v>
      </c>
      <c r="AL34" s="0" t="n">
        <f aca="false">U_PS(AL$2,$A34)</f>
        <v>1190.85112979872</v>
      </c>
      <c r="AM34" s="0" t="n">
        <f aca="false">U_PS(AM$2,$A34)</f>
        <v>1190.85623411073</v>
      </c>
      <c r="AN34" s="0" t="n">
        <f aca="false">U_PS(AN$2,$A34)</f>
        <v>1190.86415653285</v>
      </c>
      <c r="AO34" s="0" t="n">
        <f aca="false">U_PS(AO$2,$A34)</f>
        <v>1190.87470659959</v>
      </c>
      <c r="AP34" s="0" t="n">
        <f aca="false">U_PS(AP$2,$A34)</f>
        <v>1190.88770727963</v>
      </c>
      <c r="AQ34" s="0" t="n">
        <f aca="false">U_PS(AQ$2,$A34)</f>
        <v>1191.12157442643</v>
      </c>
      <c r="AR34" s="0" t="n">
        <f aca="false">U_PS(AR$2,$A34)</f>
        <v>1191.1874561198</v>
      </c>
      <c r="AS34" s="0" t="n">
        <f aca="false">U_PS(AS$2,$A34)</f>
        <v>1191.21881435722</v>
      </c>
    </row>
    <row r="35" customFormat="false" ht="13.8" hidden="false" customHeight="false" outlineLevel="0" collapsed="false">
      <c r="A35" s="0" t="n">
        <v>4</v>
      </c>
      <c r="B35" s="0" t="n">
        <f aca="false">U_PS(B$2,$A35)</f>
        <v>1037.58983729906</v>
      </c>
      <c r="C35" s="0" t="n">
        <f aca="false">U_PS(C$2,$A35)</f>
        <v>1045.45709354164</v>
      </c>
      <c r="D35" s="0" t="n">
        <f aca="false">U_PS(D$2,$A35)</f>
        <v>1052.34507561336</v>
      </c>
      <c r="E35" s="0" t="n">
        <f aca="false">U_PS(E$2,$A35)</f>
        <v>1058.47631222294</v>
      </c>
      <c r="F35" s="0" t="n">
        <f aca="false">U_PS(F$2,$A35)</f>
        <v>1064.00467474687</v>
      </c>
      <c r="G35" s="0" t="n">
        <f aca="false">U_PS(G$2,$A35)</f>
        <v>1101.39269117057</v>
      </c>
      <c r="H35" s="0" t="n">
        <f aca="false">U_PS(H$2,$A35)</f>
        <v>1124.07981689463</v>
      </c>
      <c r="I35" s="0" t="n">
        <f aca="false">U_PS(I$2,$A35)</f>
        <v>1140.54559203247</v>
      </c>
      <c r="J35" s="0" t="n">
        <f aca="false">U_PS(J$2,$A35)</f>
        <v>1153.53119142942</v>
      </c>
      <c r="K35" s="0" t="n">
        <f aca="false">U_PS(K$2,$A35)</f>
        <v>1164.28157747704</v>
      </c>
      <c r="L35" s="0" t="n">
        <f aca="false">U_PS(L$2,$A35)</f>
        <v>1173.4705158724</v>
      </c>
      <c r="M35" s="0" t="n">
        <f aca="false">U_PS(M$2,$A35)</f>
        <v>1181.50487029385</v>
      </c>
      <c r="N35" s="0" t="n">
        <f aca="false">U_PS(N$2,$A35)</f>
        <v>1188.64963467579</v>
      </c>
      <c r="O35" s="0" t="n">
        <f aca="false">U_PS(O$2,$A35)</f>
        <v>1195.08726467956</v>
      </c>
      <c r="P35" s="0" t="n">
        <f aca="false">U_PS(P$2,$A35)</f>
        <v>1238.55666815901</v>
      </c>
      <c r="Q35" s="0" t="n">
        <f aca="false">U_PS(Q$2,$A35)</f>
        <v>1264.91121794475</v>
      </c>
      <c r="R35" s="0" t="n">
        <f aca="false">U_PS(R$2,$A35)</f>
        <v>1284.03923455706</v>
      </c>
      <c r="S35" s="0" t="n">
        <f aca="false">U_PS(S$2,$A35)</f>
        <v>1299.12679908745</v>
      </c>
      <c r="T35" s="0" t="n">
        <f aca="false">U_PS(T$2,$A35)</f>
        <v>1311.61940639949</v>
      </c>
      <c r="U35" s="0" t="n">
        <f aca="false">U_PS(U$2,$A35)</f>
        <v>1322.29903655683</v>
      </c>
      <c r="V35" s="0" t="n">
        <f aca="false">U_PS(V$2,$A35)</f>
        <v>1331.63784091649</v>
      </c>
      <c r="W35" s="0" t="n">
        <f aca="false">U_PS(W$2,$A35)</f>
        <v>1339.94333813611</v>
      </c>
      <c r="X35" s="0" t="n">
        <f aca="false">U_PS(X$2,$A35)</f>
        <v>1347.42727964034</v>
      </c>
      <c r="Y35" s="0" t="n">
        <f aca="false">U_PS(Y$2,$A35)</f>
        <v>1397.96099333282</v>
      </c>
      <c r="Z35" s="0" t="n">
        <f aca="false">U_PS(Z$2,$A35)</f>
        <v>1428.57766020325</v>
      </c>
      <c r="AA35" s="0" t="n">
        <f aca="false">U_PS(AA$2,$A35)</f>
        <v>1450.77408195268</v>
      </c>
      <c r="AB35" s="0" t="n">
        <f aca="false">U_PS(AB$2,$A35)</f>
        <v>1468.25904743881</v>
      </c>
      <c r="AC35" s="0" t="n">
        <f aca="false">U_PS(AC$2,$A35)</f>
        <v>1482.71662121715</v>
      </c>
      <c r="AD35" s="0" t="n">
        <f aca="false">U_PS(AD$2,$A35)</f>
        <v>1495.05842517924</v>
      </c>
      <c r="AE35" s="0" t="n">
        <f aca="false">U_PS(AE$2,$A35)</f>
        <v>1505.83516049698</v>
      </c>
      <c r="AF35" s="0" t="n">
        <f aca="false">U_PS(AF$2,$A35)</f>
        <v>1515.40564744426</v>
      </c>
      <c r="AG35" s="0" t="n">
        <f aca="false">U_PS(AG$2,$A35)</f>
        <v>1524.01704027076</v>
      </c>
      <c r="AH35" s="0" t="n">
        <f aca="false">U_PS(AH$2,$A35)</f>
        <v>1581.76300828175</v>
      </c>
      <c r="AI35" s="0" t="n">
        <f aca="false">U_PS(AI$2,$A35)</f>
        <v>1616.28732427788</v>
      </c>
      <c r="AJ35" s="0" t="n">
        <f aca="false">U_PS(AJ$2,$A35)</f>
        <v>1641.0178191106</v>
      </c>
      <c r="AK35" s="0" t="n">
        <f aca="false">U_PS(AK$2,$A35)</f>
        <v>1660.28127754692</v>
      </c>
      <c r="AL35" s="0" t="n">
        <f aca="false">U_PS(AL$2,$A35)</f>
        <v>1676.0395028769</v>
      </c>
      <c r="AM35" s="0" t="n">
        <f aca="false">U_PS(AM$2,$A35)</f>
        <v>1689.35313735299</v>
      </c>
      <c r="AN35" s="0" t="n">
        <f aca="false">U_PS(AN$2,$A35)</f>
        <v>1700.86217476554</v>
      </c>
      <c r="AO35" s="0" t="n">
        <f aca="false">U_PS(AO$2,$A35)</f>
        <v>1710.98295954169</v>
      </c>
      <c r="AP35" s="0" t="n">
        <f aca="false">U_PS(AP$2,$A35)</f>
        <v>1720.00152855587</v>
      </c>
      <c r="AQ35" s="0" t="n">
        <f aca="false">U_PS(AQ$2,$A35)</f>
        <v>1777.09489315107</v>
      </c>
      <c r="AR35" s="0" t="n">
        <f aca="false">U_PS(AR$2,$A35)</f>
        <v>1777.97142939099</v>
      </c>
      <c r="AS35" s="0" t="n">
        <f aca="false">U_PS(AS$2,$A35)</f>
        <v>1778.31603750337</v>
      </c>
    </row>
    <row r="36" customFormat="false" ht="13.8" hidden="false" customHeight="false" outlineLevel="0" collapsed="false">
      <c r="A36" s="0" t="n">
        <v>5</v>
      </c>
      <c r="B36" s="0" t="n">
        <f aca="false">U_PS(B$2,$A36)</f>
        <v>1296.98729262849</v>
      </c>
      <c r="C36" s="0" t="n">
        <f aca="false">U_PS(C$2,$A36)</f>
        <v>1306.71672877404</v>
      </c>
      <c r="D36" s="0" t="n">
        <f aca="false">U_PS(D$2,$A36)</f>
        <v>1315.24603368144</v>
      </c>
      <c r="E36" s="0" t="n">
        <f aca="false">U_PS(E$2,$A36)</f>
        <v>1322.84694098332</v>
      </c>
      <c r="F36" s="0" t="n">
        <f aca="false">U_PS(F$2,$A36)</f>
        <v>1329.70752737781</v>
      </c>
      <c r="G36" s="0" t="n">
        <f aca="false">U_PS(G$2,$A36)</f>
        <v>1376.28557572398</v>
      </c>
      <c r="H36" s="0" t="n">
        <f aca="false">U_PS(H$2,$A36)</f>
        <v>1404.70793585965</v>
      </c>
      <c r="I36" s="0" t="n">
        <f aca="false">U_PS(I$2,$A36)</f>
        <v>1425.41465821205</v>
      </c>
      <c r="J36" s="0" t="n">
        <f aca="false">U_PS(J$2,$A36)</f>
        <v>1441.7928794699</v>
      </c>
      <c r="K36" s="0" t="n">
        <f aca="false">U_PS(K$2,$A36)</f>
        <v>1455.38477779479</v>
      </c>
      <c r="L36" s="0" t="n">
        <f aca="false">U_PS(L$2,$A36)</f>
        <v>1467.02660827644</v>
      </c>
      <c r="M36" s="0" t="n">
        <f aca="false">U_PS(M$2,$A36)</f>
        <v>1477.22418317446</v>
      </c>
      <c r="N36" s="0" t="n">
        <f aca="false">U_PS(N$2,$A36)</f>
        <v>1486.30740837814</v>
      </c>
      <c r="O36" s="0" t="n">
        <f aca="false">U_PS(O$2,$A36)</f>
        <v>1494.50371708733</v>
      </c>
      <c r="P36" s="0" t="n">
        <f aca="false">U_PS(P$2,$A36)</f>
        <v>1550.15990144174</v>
      </c>
      <c r="Q36" s="0" t="n">
        <f aca="false">U_PS(Q$2,$A36)</f>
        <v>1584.18191328412</v>
      </c>
      <c r="R36" s="0" t="n">
        <f aca="false">U_PS(R$2,$A36)</f>
        <v>1609.01563951867</v>
      </c>
      <c r="S36" s="0" t="n">
        <f aca="false">U_PS(S$2,$A36)</f>
        <v>1628.69112696874</v>
      </c>
      <c r="T36" s="0" t="n">
        <f aca="false">U_PS(T$2,$A36)</f>
        <v>1645.04312022025</v>
      </c>
      <c r="U36" s="0" t="n">
        <f aca="false">U_PS(U$2,$A36)</f>
        <v>1659.0669091616</v>
      </c>
      <c r="V36" s="0" t="n">
        <f aca="false">U_PS(V$2,$A36)</f>
        <v>1671.36482946913</v>
      </c>
      <c r="W36" s="0" t="n">
        <f aca="false">U_PS(W$2,$A36)</f>
        <v>1682.32997842601</v>
      </c>
      <c r="X36" s="0" t="n">
        <f aca="false">U_PS(X$2,$A36)</f>
        <v>1692.23351772675</v>
      </c>
      <c r="Y36" s="0" t="n">
        <f aca="false">U_PS(Y$2,$A36)</f>
        <v>1759.71166038129</v>
      </c>
      <c r="Z36" s="0" t="n">
        <f aca="false">U_PS(Z$2,$A36)</f>
        <v>1801.15328384525</v>
      </c>
      <c r="AA36" s="0" t="n">
        <f aca="false">U_PS(AA$2,$A36)</f>
        <v>1831.48962880982</v>
      </c>
      <c r="AB36" s="0" t="n">
        <f aca="false">U_PS(AB$2,$A36)</f>
        <v>1855.57295609893</v>
      </c>
      <c r="AC36" s="0" t="n">
        <f aca="false">U_PS(AC$2,$A36)</f>
        <v>1875.6181051025</v>
      </c>
      <c r="AD36" s="0" t="n">
        <f aca="false">U_PS(AD$2,$A36)</f>
        <v>1892.82906332023</v>
      </c>
      <c r="AE36" s="0" t="n">
        <f aca="false">U_PS(AE$2,$A36)</f>
        <v>1907.93574162485</v>
      </c>
      <c r="AF36" s="0" t="n">
        <f aca="false">U_PS(AF$2,$A36)</f>
        <v>1921.4152132493</v>
      </c>
      <c r="AG36" s="0" t="n">
        <f aca="false">U_PS(AG$2,$A36)</f>
        <v>1933.59700251923</v>
      </c>
      <c r="AH36" s="0" t="n">
        <f aca="false">U_PS(AH$2,$A36)</f>
        <v>2016.73076038274</v>
      </c>
      <c r="AI36" s="0" t="n">
        <f aca="false">U_PS(AI$2,$A36)</f>
        <v>2067.83429859371</v>
      </c>
      <c r="AJ36" s="0" t="n">
        <f aca="false">U_PS(AJ$2,$A36)</f>
        <v>2105.2248890094</v>
      </c>
      <c r="AK36" s="0" t="n">
        <f aca="false">U_PS(AK$2,$A36)</f>
        <v>2134.87869849794</v>
      </c>
      <c r="AL36" s="0" t="n">
        <f aca="false">U_PS(AL$2,$A36)</f>
        <v>2159.53033407899</v>
      </c>
      <c r="AM36" s="0" t="n">
        <f aca="false">U_PS(AM$2,$A36)</f>
        <v>2180.6698077583</v>
      </c>
      <c r="AN36" s="0" t="n">
        <f aca="false">U_PS(AN$2,$A36)</f>
        <v>2199.20272418672</v>
      </c>
      <c r="AO36" s="0" t="n">
        <f aca="false">U_PS(AO$2,$A36)</f>
        <v>2215.72248991472</v>
      </c>
      <c r="AP36" s="0" t="n">
        <f aca="false">U_PS(AP$2,$A36)</f>
        <v>2230.63997363619</v>
      </c>
      <c r="AQ36" s="0" t="n">
        <f aca="false">U_PS(AQ$2,$A36)</f>
        <v>2330.97185089474</v>
      </c>
      <c r="AR36" s="0" t="n">
        <f aca="false">U_PS(AR$2,$A36)</f>
        <v>2340.59575146523</v>
      </c>
      <c r="AS36" s="0" t="n">
        <f aca="false">U_PS(AS$2,$A36)</f>
        <v>2344.63830745879</v>
      </c>
    </row>
    <row r="37" customFormat="false" ht="13.8" hidden="false" customHeight="false" outlineLevel="0" collapsed="false">
      <c r="A37" s="0" t="n">
        <v>6</v>
      </c>
      <c r="B37" s="0" t="n">
        <f aca="false">U_PS(B$2,$A37)</f>
        <v>1556.38474795791</v>
      </c>
      <c r="C37" s="0" t="n">
        <f aca="false">U_PS(C$2,$A37)</f>
        <v>1567.97636400645</v>
      </c>
      <c r="D37" s="0" t="n">
        <f aca="false">U_PS(D$2,$A37)</f>
        <v>1578.14699174952</v>
      </c>
      <c r="E37" s="0" t="n">
        <f aca="false">U_PS(E$2,$A37)</f>
        <v>1587.21756974369</v>
      </c>
      <c r="F37" s="0" t="n">
        <f aca="false">U_PS(F$2,$A37)</f>
        <v>1595.41038000876</v>
      </c>
      <c r="G37" s="0" t="n">
        <f aca="false">U_PS(G$2,$A37)</f>
        <v>1651.17846027739</v>
      </c>
      <c r="H37" s="0" t="n">
        <f aca="false">U_PS(H$2,$A37)</f>
        <v>1685.33605482466</v>
      </c>
      <c r="I37" s="0" t="n">
        <f aca="false">U_PS(I$2,$A37)</f>
        <v>1710.28372439162</v>
      </c>
      <c r="J37" s="0" t="n">
        <f aca="false">U_PS(J$2,$A37)</f>
        <v>1730.05456751039</v>
      </c>
      <c r="K37" s="0" t="n">
        <f aca="false">U_PS(K$2,$A37)</f>
        <v>1746.48797811254</v>
      </c>
      <c r="L37" s="0" t="n">
        <f aca="false">U_PS(L$2,$A37)</f>
        <v>1760.58270068049</v>
      </c>
      <c r="M37" s="0" t="n">
        <f aca="false">U_PS(M$2,$A37)</f>
        <v>1772.94349605508</v>
      </c>
      <c r="N37" s="0" t="n">
        <f aca="false">U_PS(N$2,$A37)</f>
        <v>1783.96518208048</v>
      </c>
      <c r="O37" s="0" t="n">
        <f aca="false">U_PS(O$2,$A37)</f>
        <v>1793.92016949511</v>
      </c>
      <c r="P37" s="0" t="n">
        <f aca="false">U_PS(P$2,$A37)</f>
        <v>1861.76313472446</v>
      </c>
      <c r="Q37" s="0" t="n">
        <f aca="false">U_PS(Q$2,$A37)</f>
        <v>1903.45260862349</v>
      </c>
      <c r="R37" s="0" t="n">
        <f aca="false">U_PS(R$2,$A37)</f>
        <v>1933.99204448028</v>
      </c>
      <c r="S37" s="0" t="n">
        <f aca="false">U_PS(S$2,$A37)</f>
        <v>1958.25545485002</v>
      </c>
      <c r="T37" s="0" t="n">
        <f aca="false">U_PS(T$2,$A37)</f>
        <v>1978.46683404101</v>
      </c>
      <c r="U37" s="0" t="n">
        <f aca="false">U_PS(U$2,$A37)</f>
        <v>1995.83478176637</v>
      </c>
      <c r="V37" s="0" t="n">
        <f aca="false">U_PS(V$2,$A37)</f>
        <v>2011.09181802176</v>
      </c>
      <c r="W37" s="0" t="n">
        <f aca="false">U_PS(W$2,$A37)</f>
        <v>2024.71661871591</v>
      </c>
      <c r="X37" s="0" t="n">
        <f aca="false">U_PS(X$2,$A37)</f>
        <v>2037.03975581315</v>
      </c>
      <c r="Y37" s="0" t="n">
        <f aca="false">U_PS(Y$2,$A37)</f>
        <v>2121.46232742975</v>
      </c>
      <c r="Z37" s="0" t="n">
        <f aca="false">U_PS(Z$2,$A37)</f>
        <v>2173.72890748724</v>
      </c>
      <c r="AA37" s="0" t="n">
        <f aca="false">U_PS(AA$2,$A37)</f>
        <v>2212.20517566696</v>
      </c>
      <c r="AB37" s="0" t="n">
        <f aca="false">U_PS(AB$2,$A37)</f>
        <v>2242.88686475906</v>
      </c>
      <c r="AC37" s="0" t="n">
        <f aca="false">U_PS(AC$2,$A37)</f>
        <v>2268.51958898784</v>
      </c>
      <c r="AD37" s="0" t="n">
        <f aca="false">U_PS(AD$2,$A37)</f>
        <v>2290.59970146122</v>
      </c>
      <c r="AE37" s="0" t="n">
        <f aca="false">U_PS(AE$2,$A37)</f>
        <v>2310.03632275273</v>
      </c>
      <c r="AF37" s="0" t="n">
        <f aca="false">U_PS(AF$2,$A37)</f>
        <v>2327.42477905434</v>
      </c>
      <c r="AG37" s="0" t="n">
        <f aca="false">U_PS(AG$2,$A37)</f>
        <v>2343.1769647677</v>
      </c>
      <c r="AH37" s="0" t="n">
        <f aca="false">U_PS(AH$2,$A37)</f>
        <v>2451.69851248373</v>
      </c>
      <c r="AI37" s="0" t="n">
        <f aca="false">U_PS(AI$2,$A37)</f>
        <v>2519.38127290954</v>
      </c>
      <c r="AJ37" s="0" t="n">
        <f aca="false">U_PS(AJ$2,$A37)</f>
        <v>2569.43195890821</v>
      </c>
      <c r="AK37" s="0" t="n">
        <f aca="false">U_PS(AK$2,$A37)</f>
        <v>2608.07711006344</v>
      </c>
      <c r="AL37" s="0" t="n">
        <f aca="false">U_PS(AL$2,$A37)</f>
        <v>2637.46236243684</v>
      </c>
      <c r="AM37" s="0" t="n">
        <f aca="false">U_PS(AM$2,$A37)</f>
        <v>2663.14768346474</v>
      </c>
      <c r="AN37" s="0" t="n">
        <f aca="false">U_PS(AN$2,$A37)</f>
        <v>2686.06273979519</v>
      </c>
      <c r="AO37" s="0" t="n">
        <f aca="false">U_PS(AO$2,$A37)</f>
        <v>2706.79765303317</v>
      </c>
      <c r="AP37" s="0" t="n">
        <f aca="false">U_PS(AP$2,$A37)</f>
        <v>2725.77037377791</v>
      </c>
      <c r="AQ37" s="0" t="n">
        <f aca="false">U_PS(AQ$2,$A37)</f>
        <v>2861.15890904026</v>
      </c>
      <c r="AR37" s="0" t="n">
        <f aca="false">U_PS(AR$2,$A37)</f>
        <v>2881.87587308787</v>
      </c>
      <c r="AS37" s="0" t="n">
        <f aca="false">U_PS(AS$2,$A37)</f>
        <v>2890.75597796345</v>
      </c>
    </row>
    <row r="38" customFormat="false" ht="13.8" hidden="false" customHeight="false" outlineLevel="0" collapsed="false">
      <c r="A38" s="0" t="n">
        <v>7</v>
      </c>
      <c r="B38" s="0" t="n">
        <f aca="false">U_PS(B$2,$A38)</f>
        <v>1815.78220328733</v>
      </c>
      <c r="C38" s="0" t="n">
        <f aca="false">U_PS(C$2,$A38)</f>
        <v>1829.23599923886</v>
      </c>
      <c r="D38" s="0" t="n">
        <f aca="false">U_PS(D$2,$A38)</f>
        <v>1841.0479498176</v>
      </c>
      <c r="E38" s="0" t="n">
        <f aca="false">U_PS(E$2,$A38)</f>
        <v>1851.58819850406</v>
      </c>
      <c r="F38" s="0" t="n">
        <f aca="false">U_PS(F$2,$A38)</f>
        <v>1861.1132326397</v>
      </c>
      <c r="G38" s="0" t="n">
        <f aca="false">U_PS(G$2,$A38)</f>
        <v>1926.0713448308</v>
      </c>
      <c r="H38" s="0" t="n">
        <f aca="false">U_PS(H$2,$A38)</f>
        <v>1965.96417378968</v>
      </c>
      <c r="I38" s="0" t="n">
        <f aca="false">U_PS(I$2,$A38)</f>
        <v>1995.15279057119</v>
      </c>
      <c r="J38" s="0" t="n">
        <f aca="false">U_PS(J$2,$A38)</f>
        <v>2018.31625555087</v>
      </c>
      <c r="K38" s="0" t="n">
        <f aca="false">U_PS(K$2,$A38)</f>
        <v>2037.59117843029</v>
      </c>
      <c r="L38" s="0" t="n">
        <f aca="false">U_PS(L$2,$A38)</f>
        <v>2054.13879308453</v>
      </c>
      <c r="M38" s="0" t="n">
        <f aca="false">U_PS(M$2,$A38)</f>
        <v>2068.66280893569</v>
      </c>
      <c r="N38" s="0" t="n">
        <f aca="false">U_PS(N$2,$A38)</f>
        <v>2081.62295578282</v>
      </c>
      <c r="O38" s="0" t="n">
        <f aca="false">U_PS(O$2,$A38)</f>
        <v>2093.33662190288</v>
      </c>
      <c r="P38" s="0" t="n">
        <f aca="false">U_PS(P$2,$A38)</f>
        <v>2173.36636800719</v>
      </c>
      <c r="Q38" s="0" t="n">
        <f aca="false">U_PS(Q$2,$A38)</f>
        <v>2222.72330396286</v>
      </c>
      <c r="R38" s="0" t="n">
        <f aca="false">U_PS(R$2,$A38)</f>
        <v>2258.96844944189</v>
      </c>
      <c r="S38" s="0" t="n">
        <f aca="false">U_PS(S$2,$A38)</f>
        <v>2287.8197827313</v>
      </c>
      <c r="T38" s="0" t="n">
        <f aca="false">U_PS(T$2,$A38)</f>
        <v>2311.89054786177</v>
      </c>
      <c r="U38" s="0" t="n">
        <f aca="false">U_PS(U$2,$A38)</f>
        <v>2332.60265437115</v>
      </c>
      <c r="V38" s="0" t="n">
        <f aca="false">U_PS(V$2,$A38)</f>
        <v>2350.8188065744</v>
      </c>
      <c r="W38" s="0" t="n">
        <f aca="false">U_PS(W$2,$A38)</f>
        <v>2367.10325900581</v>
      </c>
      <c r="X38" s="0" t="n">
        <f aca="false">U_PS(X$2,$A38)</f>
        <v>2381.84599389955</v>
      </c>
      <c r="Y38" s="0" t="n">
        <f aca="false">U_PS(Y$2,$A38)</f>
        <v>2483.21299447821</v>
      </c>
      <c r="Z38" s="0" t="n">
        <f aca="false">U_PS(Z$2,$A38)</f>
        <v>2545.80916090334</v>
      </c>
      <c r="AA38" s="0" t="n">
        <f aca="false">U_PS(AA$2,$A38)</f>
        <v>2587.33259155913</v>
      </c>
      <c r="AB38" s="0" t="n">
        <f aca="false">U_PS(AB$2,$A38)</f>
        <v>2621.5735498018</v>
      </c>
      <c r="AC38" s="0" t="n">
        <f aca="false">U_PS(AC$2,$A38)</f>
        <v>2650.94610168936</v>
      </c>
      <c r="AD38" s="0" t="n">
        <f aca="false">U_PS(AD$2,$A38)</f>
        <v>2676.80177761573</v>
      </c>
      <c r="AE38" s="0" t="n">
        <f aca="false">U_PS(AE$2,$A38)</f>
        <v>2699.98422684557</v>
      </c>
      <c r="AF38" s="0" t="n">
        <f aca="false">U_PS(AF$2,$A38)</f>
        <v>2721.05765074039</v>
      </c>
      <c r="AG38" s="0" t="n">
        <f aca="false">U_PS(AG$2,$A38)</f>
        <v>2740.41919626691</v>
      </c>
      <c r="AH38" s="0" t="n">
        <f aca="false">U_PS(AH$2,$A38)</f>
        <v>2880.69527915898</v>
      </c>
      <c r="AI38" s="0" t="n">
        <f aca="false">U_PS(AI$2,$A38)</f>
        <v>2974.07427525599</v>
      </c>
      <c r="AJ38" s="0" t="n">
        <f aca="false">U_PS(AJ$2,$A38)</f>
        <v>3045.8988952768</v>
      </c>
      <c r="AK38" s="0" t="n">
        <f aca="false">U_PS(AK$2,$A38)</f>
        <v>3104.99176705984</v>
      </c>
      <c r="AL38" s="0" t="n">
        <f aca="false">U_PS(AL$2,$A38)</f>
        <v>3155.55223592727</v>
      </c>
      <c r="AM38" s="0" t="n">
        <f aca="false">U_PS(AM$2,$A38)</f>
        <v>3199.95675366274</v>
      </c>
      <c r="AN38" s="0" t="n">
        <f aca="false">U_PS(AN$2,$A38)</f>
        <v>3239.67549815092</v>
      </c>
      <c r="AO38" s="0" t="n">
        <f aca="false">U_PS(AO$2,$A38)</f>
        <v>3275.69583275239</v>
      </c>
      <c r="AP38" s="0" t="n">
        <f aca="false">U_PS(AP$2,$A38)</f>
        <v>3308.71464446811</v>
      </c>
      <c r="AQ38" s="0" t="n">
        <f aca="false">U_PS(AQ$2,$A38)</f>
        <v>3545.44136367398</v>
      </c>
      <c r="AR38" s="0" t="n">
        <f aca="false">U_PS(AR$2,$A38)</f>
        <v>3581.82485890895</v>
      </c>
      <c r="AS38" s="0" t="n">
        <f aca="false">U_PS(AS$2,$A38)</f>
        <v>2015</v>
      </c>
    </row>
    <row r="39" customFormat="false" ht="13.8" hidden="false" customHeight="false" outlineLevel="0" collapsed="false">
      <c r="A39" s="0" t="n">
        <v>8</v>
      </c>
      <c r="B39" s="0" t="n">
        <f aca="false">U_PS(B$2,$A39)</f>
        <v>2075.17965861676</v>
      </c>
      <c r="C39" s="0" t="n">
        <f aca="false">U_PS(C$2,$A39)</f>
        <v>2090.49563447127</v>
      </c>
      <c r="D39" s="0" t="n">
        <f aca="false">U_PS(D$2,$A39)</f>
        <v>2103.94890788568</v>
      </c>
      <c r="E39" s="0" t="n">
        <f aca="false">U_PS(E$2,$A39)</f>
        <v>2115.95882726444</v>
      </c>
      <c r="F39" s="0" t="n">
        <f aca="false">U_PS(F$2,$A39)</f>
        <v>2126.81608527064</v>
      </c>
      <c r="G39" s="0" t="n">
        <f aca="false">U_PS(G$2,$A39)</f>
        <v>2200.96422938421</v>
      </c>
      <c r="H39" s="0" t="n">
        <f aca="false">U_PS(H$2,$A39)</f>
        <v>2246.59229275469</v>
      </c>
      <c r="I39" s="0" t="n">
        <f aca="false">U_PS(I$2,$A39)</f>
        <v>2280.02185675076</v>
      </c>
      <c r="J39" s="0" t="n">
        <f aca="false">U_PS(J$2,$A39)</f>
        <v>2306.57794359135</v>
      </c>
      <c r="K39" s="0" t="n">
        <f aca="false">U_PS(K$2,$A39)</f>
        <v>2328.69437874804</v>
      </c>
      <c r="L39" s="0" t="n">
        <f aca="false">U_PS(L$2,$A39)</f>
        <v>2347.69488548857</v>
      </c>
      <c r="M39" s="0" t="n">
        <f aca="false">U_PS(M$2,$A39)</f>
        <v>2364.3821218163</v>
      </c>
      <c r="N39" s="0" t="n">
        <f aca="false">U_PS(N$2,$A39)</f>
        <v>2379.28072948516</v>
      </c>
      <c r="O39" s="0" t="n">
        <f aca="false">U_PS(O$2,$A39)</f>
        <v>2392.75307431065</v>
      </c>
      <c r="P39" s="0" t="n">
        <f aca="false">U_PS(P$2,$A39)</f>
        <v>2480.04782491575</v>
      </c>
      <c r="Q39" s="0" t="n">
        <f aca="false">U_PS(Q$2,$A39)</f>
        <v>2531.81590795952</v>
      </c>
      <c r="R39" s="0" t="n">
        <f aca="false">U_PS(R$2,$A39)</f>
        <v>2571.85472853486</v>
      </c>
      <c r="S39" s="0" t="n">
        <f aca="false">U_PS(S$2,$A39)</f>
        <v>2604.94494743503</v>
      </c>
      <c r="T39" s="0" t="n">
        <f aca="false">U_PS(T$2,$A39)</f>
        <v>2633.37594119306</v>
      </c>
      <c r="U39" s="0" t="n">
        <f aca="false">U_PS(U$2,$A39)</f>
        <v>2658.43674775017</v>
      </c>
      <c r="V39" s="0" t="n">
        <f aca="false">U_PS(V$2,$A39)</f>
        <v>2680.93119644304</v>
      </c>
      <c r="W39" s="0" t="n">
        <f aca="false">U_PS(W$2,$A39)</f>
        <v>2701.39735067753</v>
      </c>
      <c r="X39" s="0" t="n">
        <f aca="false">U_PS(X$2,$A39)</f>
        <v>2720.2146507638</v>
      </c>
      <c r="Y39" s="0" t="n">
        <f aca="false">U_PS(Y$2,$A39)</f>
        <v>2856.85609498317</v>
      </c>
      <c r="Z39" s="0" t="n">
        <f aca="false">U_PS(Z$2,$A39)</f>
        <v>2948.05851610549</v>
      </c>
      <c r="AA39" s="0" t="n">
        <f aca="false">U_PS(AA$2,$A39)</f>
        <v>3018.31916511012</v>
      </c>
      <c r="AB39" s="0" t="n">
        <f aca="false">U_PS(AB$2,$A39)</f>
        <v>3076.19150174294</v>
      </c>
      <c r="AC39" s="0" t="n">
        <f aca="false">U_PS(AC$2,$A39)</f>
        <v>3125.76572445608</v>
      </c>
      <c r="AD39" s="0" t="n">
        <f aca="false">U_PS(AD$2,$A39)</f>
        <v>3169.34417166403</v>
      </c>
      <c r="AE39" s="0" t="n">
        <f aca="false">U_PS(AE$2,$A39)</f>
        <v>3208.36226906152</v>
      </c>
      <c r="AF39" s="0" t="n">
        <f aca="false">U_PS(AF$2,$A39)</f>
        <v>3243.78047561292</v>
      </c>
      <c r="AG39" s="0" t="n">
        <f aca="false">U_PS(AG$2,$A39)</f>
        <v>3276.27572699932</v>
      </c>
      <c r="AH39" s="0" t="n">
        <f aca="false">U_PS(AH$2,$A39)</f>
        <v>3510.20637973731</v>
      </c>
      <c r="AI39" s="0" t="n">
        <f aca="false">U_PS(AI$2,$A39)</f>
        <v>3664.35859345455</v>
      </c>
      <c r="AJ39" s="0" t="n">
        <f aca="false">U_PS(AJ$2,$A39)</f>
        <v>3782.0486031438</v>
      </c>
      <c r="AK39" s="0" t="n">
        <f aca="false">U_PS(AK$2,$A39)</f>
        <v>3878.26705310467</v>
      </c>
      <c r="AL39" s="0" t="n">
        <f aca="false">U_PS(AL$2,$A39)</f>
        <v>3960.22390023806</v>
      </c>
      <c r="AM39" s="0" t="n">
        <f aca="false">U_PS(AM$2,$A39)</f>
        <v>4031.89352981317</v>
      </c>
      <c r="AN39" s="0" t="n">
        <f aca="false">U_PS(AN$2,$A39)</f>
        <v>4095.79218772511</v>
      </c>
      <c r="AO39" s="0" t="n">
        <f aca="false">U_PS(AO$2,$A39)</f>
        <v>4153.58215356256</v>
      </c>
      <c r="AP39" s="0" t="n">
        <f aca="false">U_PS(AP$2,$A39)</f>
        <v>2015</v>
      </c>
      <c r="AQ39" s="0" t="n">
        <f aca="false">U_PS(AQ$2,$A39)</f>
        <v>2015</v>
      </c>
      <c r="AR39" s="0" t="n">
        <f aca="false">U_PS(AR$2,$A39)</f>
        <v>2015</v>
      </c>
      <c r="AS39" s="0" t="n">
        <f aca="false">U_PS(AS$2,$A39)</f>
        <v>2015</v>
      </c>
    </row>
    <row r="40" customFormat="false" ht="13.8" hidden="false" customHeight="false" outlineLevel="0" collapsed="false">
      <c r="A40" s="0" t="n">
        <v>9</v>
      </c>
      <c r="B40" s="0" t="n">
        <f aca="false">U_PS(B$2,$A40)</f>
        <v>2334.57711394618</v>
      </c>
      <c r="C40" s="0" t="n">
        <f aca="false">U_PS(C$2,$A40)</f>
        <v>2351.75526970367</v>
      </c>
      <c r="D40" s="0" t="n">
        <f aca="false">U_PS(D$2,$A40)</f>
        <v>2366.84986595377</v>
      </c>
      <c r="E40" s="0" t="n">
        <f aca="false">U_PS(E$2,$A40)</f>
        <v>2380.32945602481</v>
      </c>
      <c r="F40" s="0" t="n">
        <f aca="false">U_PS(F$2,$A40)</f>
        <v>2390.98708629572</v>
      </c>
      <c r="G40" s="0" t="n">
        <f aca="false">U_PS(G$2,$A40)</f>
        <v>2465.05883935618</v>
      </c>
      <c r="H40" s="0" t="n">
        <f aca="false">U_PS(H$2,$A40)</f>
        <v>2514.88394392715</v>
      </c>
      <c r="I40" s="0" t="n">
        <f aca="false">U_PS(I$2,$A40)</f>
        <v>2553.47193947971</v>
      </c>
      <c r="J40" s="0" t="n">
        <f aca="false">U_PS(J$2,$A40)</f>
        <v>2585.39260777165</v>
      </c>
      <c r="K40" s="0" t="n">
        <f aca="false">U_PS(K$2,$A40)</f>
        <v>2612.83654233573</v>
      </c>
      <c r="L40" s="0" t="n">
        <f aca="false">U_PS(L$2,$A40)</f>
        <v>2637.03890339643</v>
      </c>
      <c r="M40" s="0" t="n">
        <f aca="false">U_PS(M$2,$A40)</f>
        <v>2658.77095413362</v>
      </c>
      <c r="N40" s="0" t="n">
        <f aca="false">U_PS(N$2,$A40)</f>
        <v>2678.54950228024</v>
      </c>
      <c r="O40" s="0" t="n">
        <f aca="false">U_PS(O$2,$A40)</f>
        <v>2696.73929104918</v>
      </c>
      <c r="P40" s="0" t="n">
        <f aca="false">U_PS(P$2,$A40)</f>
        <v>2828.93870569579</v>
      </c>
      <c r="Q40" s="0" t="n">
        <f aca="false">U_PS(Q$2,$A40)</f>
        <v>2917.27015972472</v>
      </c>
      <c r="R40" s="0" t="n">
        <f aca="false">U_PS(R$2,$A40)</f>
        <v>2985.36181913352</v>
      </c>
      <c r="S40" s="0" t="n">
        <f aca="false">U_PS(S$2,$A40)</f>
        <v>3041.47280983096</v>
      </c>
      <c r="T40" s="0" t="n">
        <f aca="false">U_PS(T$2,$A40)</f>
        <v>3089.55539942038</v>
      </c>
      <c r="U40" s="0" t="n">
        <f aca="false">U_PS(U$2,$A40)</f>
        <v>3131.83543865733</v>
      </c>
      <c r="V40" s="0" t="n">
        <f aca="false">U_PS(V$2,$A40)</f>
        <v>3169.70119771159</v>
      </c>
      <c r="W40" s="0" t="n">
        <f aca="false">U_PS(W$2,$A40)</f>
        <v>3204.0818457007</v>
      </c>
      <c r="X40" s="0" t="n">
        <f aca="false">U_PS(X$2,$A40)</f>
        <v>3235.63239917508</v>
      </c>
      <c r="Y40" s="0" t="n">
        <f aca="false">U_PS(Y$2,$A40)</f>
        <v>3462.98009624985</v>
      </c>
      <c r="Z40" s="0" t="n">
        <f aca="false">U_PS(Z$2,$A40)</f>
        <v>3613.00063220268</v>
      </c>
      <c r="AA40" s="0" t="n">
        <f aca="false">U_PS(AA$2,$A40)</f>
        <v>3727.6588937816</v>
      </c>
      <c r="AB40" s="0" t="n">
        <f aca="false">U_PS(AB$2,$A40)</f>
        <v>3821.49806429358</v>
      </c>
      <c r="AC40" s="0" t="n">
        <f aca="false">U_PS(AC$2,$A40)</f>
        <v>3901.44531188921</v>
      </c>
      <c r="AD40" s="0" t="n">
        <f aca="false">U_PS(AD$2,$A40)</f>
        <v>3971.40916213796</v>
      </c>
      <c r="AE40" s="0" t="n">
        <f aca="false">U_PS(AE$2,$A40)</f>
        <v>4033.81702317848</v>
      </c>
      <c r="AF40" s="0" t="n">
        <f aca="false">U_PS(AF$2,$A40)</f>
        <v>4090.27705779172</v>
      </c>
      <c r="AG40" s="0" t="n">
        <f aca="false">U_PS(AG$2,$A40)</f>
        <v>4141.91412880851</v>
      </c>
      <c r="AH40" s="0" t="n">
        <f aca="false">U_PS(AH$2,$A40)</f>
        <v>4509.42401641249</v>
      </c>
      <c r="AI40" s="0" t="n">
        <f aca="false">U_PS(AI$2,$A40)</f>
        <v>4747.95504786475</v>
      </c>
      <c r="AJ40" s="0" t="n">
        <f aca="false">U_PS(AJ$2,$A40)</f>
        <v>4928.33570575943</v>
      </c>
      <c r="AK40" s="0" t="n">
        <f aca="false">U_PS(AK$2,$A40)</f>
        <v>5074.83407603942</v>
      </c>
      <c r="AL40" s="0" t="n">
        <f aca="false">U_PS(AL$2,$A40)</f>
        <v>5198.95428328573</v>
      </c>
      <c r="AM40" s="0" t="n">
        <f aca="false">U_PS(AM$2,$A40)</f>
        <v>5307.01800687119</v>
      </c>
      <c r="AN40" s="0" t="n">
        <f aca="false">U_PS(AN$2,$A40)</f>
        <v>5403.0287726331</v>
      </c>
      <c r="AO40" s="0" t="n">
        <f aca="false">U_PS(AO$2,$A40)</f>
        <v>5489.58328427154</v>
      </c>
      <c r="AP40" s="0" t="n">
        <f aca="false">U_PS(AP$2,$A40)</f>
        <v>2015</v>
      </c>
      <c r="AQ40" s="0" t="n">
        <f aca="false">U_PS(AQ$2,$A40)</f>
        <v>2015</v>
      </c>
      <c r="AR40" s="0" t="n">
        <f aca="false">U_PS(AR$2,$A40)</f>
        <v>2015</v>
      </c>
      <c r="AS40" s="0" t="n">
        <f aca="false">U_PS(AS$2,$A40)</f>
        <v>2015</v>
      </c>
    </row>
    <row r="41" customFormat="false" ht="13.8" hidden="false" customHeight="false" outlineLevel="0" collapsed="false">
      <c r="A41" s="0" t="n">
        <v>9.15574</v>
      </c>
      <c r="B41" s="0" t="n">
        <f aca="false">U_PS(B$2,$A41)</f>
        <v>2374.95536842089</v>
      </c>
      <c r="C41" s="0" t="n">
        <f aca="false">U_PS(C$2,$A41)</f>
        <v>2389.61177763126</v>
      </c>
      <c r="D41" s="0" t="n">
        <f aca="false">U_PS(D$2,$A41)</f>
        <v>2402.76224825919</v>
      </c>
      <c r="E41" s="0" t="n">
        <f aca="false">U_PS(E$2,$A41)</f>
        <v>2414.74658372383</v>
      </c>
      <c r="F41" s="0" t="n">
        <f aca="false">U_PS(F$2,$A41)</f>
        <v>2425.78429077664</v>
      </c>
      <c r="G41" s="0" t="n">
        <f aca="false">U_PS(G$2,$A41)</f>
        <v>2506.4000947379</v>
      </c>
      <c r="H41" s="0" t="n">
        <f aca="false">U_PS(H$2,$A41)</f>
        <v>2560.61423611149</v>
      </c>
      <c r="I41" s="0" t="n">
        <f aca="false">U_PS(I$2,$A41)</f>
        <v>2602.59783969859</v>
      </c>
      <c r="J41" s="0" t="n">
        <f aca="false">U_PS(J$2,$A41)</f>
        <v>2637.32221521246</v>
      </c>
      <c r="K41" s="0" t="n">
        <f aca="false">U_PS(K$2,$A41)</f>
        <v>2667.17073618975</v>
      </c>
      <c r="L41" s="0" t="n">
        <f aca="false">U_PS(L$2,$A41)</f>
        <v>2693.48793836216</v>
      </c>
      <c r="M41" s="0" t="n">
        <f aca="false">U_PS(M$2,$A41)</f>
        <v>2717.11374142688</v>
      </c>
      <c r="N41" s="0" t="n">
        <f aca="false">U_PS(N$2,$A41)</f>
        <v>2738.61113544391</v>
      </c>
      <c r="O41" s="0" t="n">
        <f aca="false">U_PS(O$2,$A41)</f>
        <v>2758.37754435265</v>
      </c>
      <c r="P41" s="0" t="n">
        <f aca="false">U_PS(P$2,$A41)</f>
        <v>2901.9062535231</v>
      </c>
      <c r="Q41" s="0" t="n">
        <f aca="false">U_PS(Q$2,$A41)</f>
        <v>2997.6765082998</v>
      </c>
      <c r="R41" s="0" t="n">
        <f aca="false">U_PS(R$2,$A41)</f>
        <v>3071.43051016633</v>
      </c>
      <c r="S41" s="0" t="n">
        <f aca="false">U_PS(S$2,$A41)</f>
        <v>3132.16040488759</v>
      </c>
      <c r="T41" s="0" t="n">
        <f aca="false">U_PS(T$2,$A41)</f>
        <v>3184.16691810233</v>
      </c>
      <c r="U41" s="0" t="n">
        <f aca="false">U_PS(U$2,$A41)</f>
        <v>3229.87114228015</v>
      </c>
      <c r="V41" s="0" t="n">
        <f aca="false">U_PS(V$2,$A41)</f>
        <v>3270.78262608958</v>
      </c>
      <c r="W41" s="0" t="n">
        <f aca="false">U_PS(W$2,$A41)</f>
        <v>3307.9114378002</v>
      </c>
      <c r="X41" s="0" t="n">
        <f aca="false">U_PS(X$2,$A41)</f>
        <v>3341.96945782604</v>
      </c>
      <c r="Y41" s="0" t="n">
        <f aca="false">U_PS(Y$2,$A41)</f>
        <v>3586.97707377291</v>
      </c>
      <c r="Z41" s="0" t="n">
        <f aca="false">U_PS(Z$2,$A41)</f>
        <v>3748.28632247109</v>
      </c>
      <c r="AA41" s="0" t="n">
        <f aca="false">U_PS(AA$2,$A41)</f>
        <v>3871.3624586309</v>
      </c>
      <c r="AB41" s="0" t="n">
        <f aca="false">U_PS(AB$2,$A41)</f>
        <v>3971.97226406616</v>
      </c>
      <c r="AC41" s="0" t="n">
        <f aca="false">U_PS(AC$2,$A41)</f>
        <v>4057.62003162295</v>
      </c>
      <c r="AD41" s="0" t="n">
        <f aca="false">U_PS(AD$2,$A41)</f>
        <v>4132.53609761894</v>
      </c>
      <c r="AE41" s="0" t="n">
        <f aca="false">U_PS(AE$2,$A41)</f>
        <v>4199.28549312114</v>
      </c>
      <c r="AF41" s="0" t="n">
        <f aca="false">U_PS(AF$2,$A41)</f>
        <v>4259.65855762791</v>
      </c>
      <c r="AG41" s="0" t="n">
        <f aca="false">U_PS(AG$2,$A41)</f>
        <v>4314.84186727491</v>
      </c>
      <c r="AH41" s="0" t="n">
        <f aca="false">U_PS(AH$2,$A41)</f>
        <v>4706.8999383985</v>
      </c>
      <c r="AI41" s="0" t="n">
        <f aca="false">U_PS(AI$2,$A41)</f>
        <v>4960.78551909994</v>
      </c>
      <c r="AJ41" s="0" t="n">
        <f aca="false">U_PS(AJ$2,$A41)</f>
        <v>5152.51380999335</v>
      </c>
      <c r="AK41" s="0" t="n">
        <f aca="false">U_PS(AK$2,$A41)</f>
        <v>5308.08758049062</v>
      </c>
      <c r="AL41" s="0" t="n">
        <f aca="false">U_PS(AL$2,$A41)</f>
        <v>5439.80225905905</v>
      </c>
      <c r="AM41" s="0" t="n">
        <f aca="false">U_PS(AM$2,$A41)</f>
        <v>5554.46307175912</v>
      </c>
      <c r="AN41" s="0" t="n">
        <f aca="false">U_PS(AN$2,$A41)</f>
        <v>5656.22402133212</v>
      </c>
      <c r="AO41" s="0" t="n">
        <f aca="false">U_PS(AO$2,$A41)</f>
        <v>5747.95364205427</v>
      </c>
      <c r="AP41" s="0" t="n">
        <f aca="false">U_PS(AP$2,$A41)</f>
        <v>2015</v>
      </c>
      <c r="AQ41" s="0" t="n">
        <f aca="false">U_PS(AQ$2,$A41)</f>
        <v>2015</v>
      </c>
      <c r="AR41" s="0" t="n">
        <f aca="false">U_PS(AR$2,$A41)</f>
        <v>2015</v>
      </c>
      <c r="AS41" s="0" t="n">
        <f aca="false">U_PS(AS$2,$A41)</f>
        <v>2015</v>
      </c>
    </row>
    <row r="42" customFormat="false" ht="13.8" hidden="false" customHeight="false" outlineLevel="0" collapsed="false">
      <c r="A42" s="0" t="n">
        <v>9.2</v>
      </c>
      <c r="B42" s="0" t="n">
        <f aca="false">U_PS(B$2,$A42)</f>
        <v>2384.18815735669</v>
      </c>
      <c r="C42" s="0" t="n">
        <f aca="false">U_PS(C$2,$A42)</f>
        <v>2399.16626605385</v>
      </c>
      <c r="D42" s="0" t="n">
        <f aca="false">U_PS(D$2,$A42)</f>
        <v>2412.63469796261</v>
      </c>
      <c r="E42" s="0" t="n">
        <f aca="false">U_PS(E$2,$A42)</f>
        <v>2424.91278498129</v>
      </c>
      <c r="F42" s="0" t="n">
        <f aca="false">U_PS(F$2,$A42)</f>
        <v>2436.22086695025</v>
      </c>
      <c r="G42" s="0" t="n">
        <f aca="false">U_PS(G$2,$A42)</f>
        <v>2518.79799386954</v>
      </c>
      <c r="H42" s="0" t="n">
        <f aca="false">U_PS(H$2,$A42)</f>
        <v>2574.3283063498</v>
      </c>
      <c r="I42" s="0" t="n">
        <f aca="false">U_PS(I$2,$A42)</f>
        <v>2617.32915364289</v>
      </c>
      <c r="J42" s="0" t="n">
        <f aca="false">U_PS(J$2,$A42)</f>
        <v>2652.89235023552</v>
      </c>
      <c r="K42" s="0" t="n">
        <f aca="false">U_PS(K$2,$A42)</f>
        <v>2683.4595021686</v>
      </c>
      <c r="L42" s="0" t="n">
        <f aca="false">U_PS(L$2,$A42)</f>
        <v>2710.40819557763</v>
      </c>
      <c r="M42" s="0" t="n">
        <f aca="false">U_PS(M$2,$A42)</f>
        <v>2734.59907698813</v>
      </c>
      <c r="N42" s="0" t="n">
        <f aca="false">U_PS(N$2,$A42)</f>
        <v>2756.60906223148</v>
      </c>
      <c r="O42" s="0" t="n">
        <f aca="false">U_PS(O$2,$A42)</f>
        <v>2776.84541859094</v>
      </c>
      <c r="P42" s="0" t="n">
        <f aca="false">U_PS(P$2,$A42)</f>
        <v>2923.7456801004</v>
      </c>
      <c r="Q42" s="0" t="n">
        <f aca="false">U_PS(Q$2,$A42)</f>
        <v>3021.72521507372</v>
      </c>
      <c r="R42" s="0" t="n">
        <f aca="false">U_PS(R$2,$A42)</f>
        <v>3097.15854518631</v>
      </c>
      <c r="S42" s="0" t="n">
        <f aca="false">U_PS(S$2,$A42)</f>
        <v>3159.25669966036</v>
      </c>
      <c r="T42" s="0" t="n">
        <f aca="false">U_PS(T$2,$A42)</f>
        <v>3212.42440682223</v>
      </c>
      <c r="U42" s="0" t="n">
        <f aca="false">U_PS(U$2,$A42)</f>
        <v>3259.14102281761</v>
      </c>
      <c r="V42" s="0" t="n">
        <f aca="false">U_PS(V$2,$A42)</f>
        <v>3300.95228300017</v>
      </c>
      <c r="W42" s="0" t="n">
        <f aca="false">U_PS(W$2,$A42)</f>
        <v>3338.89238848558</v>
      </c>
      <c r="X42" s="0" t="n">
        <f aca="false">U_PS(X$2,$A42)</f>
        <v>3373.69017641638</v>
      </c>
      <c r="Y42" s="0" t="n">
        <f aca="false">U_PS(Y$2,$A42)</f>
        <v>3623.89527231685</v>
      </c>
      <c r="Z42" s="0" t="n">
        <f aca="false">U_PS(Z$2,$A42)</f>
        <v>3788.52144814304</v>
      </c>
      <c r="AA42" s="0" t="n">
        <f aca="false">U_PS(AA$2,$A42)</f>
        <v>3914.06706904874</v>
      </c>
      <c r="AB42" s="0" t="n">
        <f aca="false">U_PS(AB$2,$A42)</f>
        <v>4016.66516381708</v>
      </c>
      <c r="AC42" s="0" t="n">
        <f aca="false">U_PS(AC$2,$A42)</f>
        <v>4103.98257003044</v>
      </c>
      <c r="AD42" s="0" t="n">
        <f aca="false">U_PS(AD$2,$A42)</f>
        <v>4180.32755039336</v>
      </c>
      <c r="AE42" s="0" t="n">
        <f aca="false">U_PS(AE$2,$A42)</f>
        <v>4248.37398964328</v>
      </c>
      <c r="AF42" s="0" t="n">
        <f aca="false">U_PS(AF$2,$A42)</f>
        <v>4309.86629739035</v>
      </c>
      <c r="AG42" s="0" t="n">
        <f aca="false">U_PS(AG$2,$A42)</f>
        <v>4366.09383962415</v>
      </c>
      <c r="AH42" s="0" t="n">
        <f aca="false">U_PS(AH$2,$A42)</f>
        <v>4765.32265860505</v>
      </c>
      <c r="AI42" s="0" t="n">
        <f aca="false">U_PS(AI$2,$A42)</f>
        <v>5023.66845708549</v>
      </c>
      <c r="AJ42" s="0" t="n">
        <f aca="false">U_PS(AJ$2,$A42)</f>
        <v>5218.71259884885</v>
      </c>
      <c r="AK42" s="0" t="n">
        <f aca="false">U_PS(AK$2,$A42)</f>
        <v>5376.9402178281</v>
      </c>
      <c r="AL42" s="0" t="n">
        <f aca="false">U_PS(AL$2,$A42)</f>
        <v>5510.87190718815</v>
      </c>
      <c r="AM42" s="0" t="n">
        <f aca="false">U_PS(AM$2,$A42)</f>
        <v>5627.43963198388</v>
      </c>
      <c r="AN42" s="0" t="n">
        <f aca="false">U_PS(AN$2,$A42)</f>
        <v>5730.88672999869</v>
      </c>
      <c r="AO42" s="0" t="n">
        <f aca="false">U_PS(AO$2,$A42)</f>
        <v>5824.11967046711</v>
      </c>
      <c r="AP42" s="0" t="n">
        <f aca="false">U_PS(AP$2,$A42)</f>
        <v>2015</v>
      </c>
      <c r="AQ42" s="0" t="n">
        <f aca="false">U_PS(AQ$2,$A42)</f>
        <v>2015</v>
      </c>
      <c r="AR42" s="0" t="n">
        <f aca="false">U_PS(AR$2,$A42)</f>
        <v>2015</v>
      </c>
      <c r="AS42" s="0" t="n">
        <f aca="false">U_PS(AS$2,$A42)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328</TotalTime>
  <Application>LibreOffice/6.0.2.1$Windows_X86_64 LibreOffice_project/f7f06a8f319e4b62f9bc5095aa112a65d2f3ac89</Application>
  <Company>Mechanical Engineering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2007-09-20T16:33:49Z</dcterms:created>
  <dc:creator>kwoodbury</dc:creator>
  <dc:description/>
  <dc:language>en-US</dc:language>
  <cp:lastModifiedBy/>
  <dcterms:modified xsi:type="dcterms:W3CDTF">2018-08-03T22:11:18Z</dcterms:modified>
  <cp:revision>30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Company">
    <vt:lpwstr>Mechanical Engineering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