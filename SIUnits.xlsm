
<file path=[Content_Types].xml><?xml version="1.0" encoding="utf-8"?>
<Types xmlns="http://schemas.openxmlformats.org/package/2006/content-types"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_rels/sheet1.xml.rels" ContentType="application/vnd.openxmlformats-package.relationships+xml"/>
  <Override PartName="/xl/worksheets/_rels/sheet2.xml.rels" ContentType="application/vnd.openxmlformats-package.relationships+xml"/>
  <Override PartName="/xl/styles.xml" ContentType="application/vnd.openxmlformats-officedocument.spreadsheetml.styles+xml"/>
  <Override PartName="/xl/workbook.xml" ContentType="application/vnd.ms-excel.sheet.macroEnabled.main+xml"/>
  <Override PartName="/xl/sharedStrings.xml" ContentType="application/vnd.openxmlformats-officedocument.spreadsheetml.sharedStrings+xml"/>
  <Override PartName="/xl/vbaProject.bin" ContentType="application/vnd.ms-office.vbaProject"/>
  <Override PartName="/xl/_rels/workbook.xml.rels" ContentType="application/vnd.openxmlformats-package.relationship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3"/>
  </bookViews>
  <sheets>
    <sheet name="Properties" sheetId="1" state="visible" r:id="rId3"/>
    <sheet name="Functions" sheetId="2" state="visible" r:id="rId4"/>
    <sheet name="Variables" sheetId="3" state="visible" r:id="rId5"/>
    <sheet name="wV_T" sheetId="4" state="visible" r:id="rId6"/>
  </sheets>
  <definedNames>
    <definedName function="true" hidden="false" name="PSAT_T" vbProcedure="true"/>
    <definedName function="true" hidden="false" name="TSAT_P" vbProcedure="true"/>
    <definedName function="true" hidden="false" name="HL_T" vbProcedure="true"/>
    <definedName function="true" hidden="false" name="HL_P" vbProcedure="true"/>
    <definedName function="true" hidden="false" name="RHOL_T" vbProcedure="true"/>
    <definedName function="true" hidden="false" name="RHOL_P" vbProcedure="true"/>
    <definedName function="true" hidden="false" name="SL_T" vbProcedure="true"/>
    <definedName function="true" hidden="false" name="SL_P" vbProcedure="true"/>
    <definedName function="true" hidden="false" name="HV_T" vbProcedure="true"/>
    <definedName function="true" hidden="false" name="HV_P" vbProcedure="true"/>
    <definedName function="true" hidden="false" name="RHOV_T" vbProcedure="true"/>
    <definedName function="true" hidden="false" name="RHOV_P" vbProcedure="true"/>
    <definedName function="true" hidden="false" name="SV_T" vbProcedure="true"/>
    <definedName function="true" hidden="false" name="SV_P" vbProcedure="true"/>
    <definedName function="true" hidden="false" name="H_PT" vbProcedure="true"/>
    <definedName function="true" hidden="false" name="T_PH" vbProcedure="true"/>
    <definedName function="true" hidden="false" name="RHO_PT" vbProcedure="true"/>
    <definedName function="true" hidden="false" name="RHO_PH" vbProcedure="true"/>
    <definedName function="true" hidden="false" name="S_PT" vbProcedure="true"/>
    <definedName function="true" hidden="false" name="S_PH" vbProcedure="true"/>
    <definedName function="true" hidden="false" name="X_PH" vbProcedure="true"/>
    <definedName function="true" hidden="false" name="REGION_PT" vbProcedure="true"/>
    <definedName function="true" hidden="false" name="REGION_PH" vbProcedure="true"/>
    <definedName function="true" hidden="false" name="CP_PT" vbProcedure="true"/>
    <definedName function="true" hidden="false" name="CP_PH" vbProcedure="true"/>
    <definedName function="true" hidden="false" name="W_PT" vbProcedure="true"/>
    <definedName function="true" hidden="false" name="W_PH" vbProcedure="true"/>
    <definedName function="true" hidden="false" name="T_PS" vbProcedure="true"/>
    <definedName function="true" hidden="false" name="T_HS" vbProcedure="true"/>
    <definedName function="true" hidden="false" name="P_HS" vbProcedure="true"/>
    <definedName function="true" hidden="false" name="P_HRHO" vbProcedure="true"/>
    <definedName function="true" hidden="false" name="H_PS" vbProcedure="true"/>
    <definedName function="true" hidden="false" name="H_PX" vbProcedure="true"/>
    <definedName function="true" hidden="false" name="H_TX" vbProcedure="true"/>
    <definedName function="true" hidden="false" name="H_PRHO" vbProcedure="true"/>
    <definedName function="true" hidden="false" name="VV_P" vbProcedure="true"/>
    <definedName function="true" hidden="false" name="VL_P" vbProcedure="true"/>
    <definedName function="true" hidden="false" name="VV_T" vbProcedure="true"/>
    <definedName function="true" hidden="false" name="VL_T" vbProcedure="true"/>
    <definedName function="true" hidden="false" name="V_PT" vbProcedure="true"/>
    <definedName function="true" hidden="false" name="V_PH" vbProcedure="true"/>
    <definedName function="true" hidden="false" name="V_PS" vbProcedure="true"/>
    <definedName function="true" hidden="false" name="RHO_PS" vbProcedure="true"/>
    <definedName function="true" hidden="false" name="UV_P" vbProcedure="true"/>
    <definedName function="true" hidden="false" name="UL_P" vbProcedure="true"/>
    <definedName function="true" hidden="false" name="UV_T" vbProcedure="true"/>
    <definedName function="true" hidden="false" name="UL_T" vbProcedure="true"/>
    <definedName function="true" hidden="false" name="U_PT" vbProcedure="true"/>
    <definedName function="true" hidden="false" name="U_PH" vbProcedure="true"/>
    <definedName function="true" hidden="false" name="U_PS" vbProcedure="true"/>
    <definedName function="true" hidden="false" name="CPV_P" vbProcedure="true"/>
    <definedName function="true" hidden="false" name="CPL_P" vbProcedure="true"/>
    <definedName function="true" hidden="false" name="CPV_T" vbProcedure="true"/>
    <definedName function="true" hidden="false" name="CPL_T" vbProcedure="true"/>
    <definedName function="true" hidden="false" name="CP_PS" vbProcedure="true"/>
    <definedName function="true" hidden="false" name="CVV_P" vbProcedure="true"/>
    <definedName function="true" hidden="false" name="CVL_P" vbProcedure="true"/>
    <definedName function="true" hidden="false" name="CVV_T" vbProcedure="true"/>
    <definedName function="true" hidden="false" name="CVL_T" vbProcedure="true"/>
    <definedName function="true" hidden="false" name="CV_PT" vbProcedure="true"/>
    <definedName function="true" hidden="false" name="CV_PH" vbProcedure="true"/>
    <definedName function="true" hidden="false" name="CV_PS" vbProcedure="true"/>
    <definedName function="true" hidden="false" name="WV_P" vbProcedure="true"/>
    <definedName function="true" hidden="false" name="WL_P" vbProcedure="true"/>
    <definedName function="true" hidden="false" name="WV_T" vbProcedure="true"/>
    <definedName function="true" hidden="false" name="WL_T" vbProcedure="true"/>
    <definedName function="true" hidden="false" name="W_PS" vbProcedure="true"/>
    <definedName function="true" hidden="false" name="MY_PT" vbProcedure="true"/>
    <definedName function="true" hidden="false" name="MY_PH" vbProcedure="true"/>
    <definedName function="true" hidden="false" name="MY_PS" vbProcedure="true"/>
    <definedName function="true" hidden="false" name="PR_PT" vbProcedure="true"/>
    <definedName function="true" hidden="false" name="PR_PH" vbProcedure="true"/>
    <definedName function="true" hidden="false" name="TCL_P" vbProcedure="true"/>
    <definedName function="true" hidden="false" name="TCV_P" vbProcedure="true"/>
    <definedName function="true" hidden="false" name="TCL_T" vbProcedure="true"/>
    <definedName function="true" hidden="false" name="TCV_T" vbProcedure="true"/>
    <definedName function="true" hidden="false" name="TC_PT" vbProcedure="true"/>
    <definedName function="true" hidden="false" name="TC_PH" vbProcedure="true"/>
    <definedName function="true" hidden="false" name="TC_HS" vbProcedure="true"/>
    <definedName function="true" hidden="false" name="ST_T" vbProcedure="true"/>
    <definedName function="true" hidden="false" name="ST_P" vbProcedure="true"/>
    <definedName function="true" hidden="false" name="X_PS" vbProcedure="true"/>
    <definedName function="true" hidden="false" name="VX_PH" vbProcedure="true"/>
    <definedName function="true" hidden="false" name="VX_PS" vbProcedure="true"/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<sst xmlns="http://schemas.openxmlformats.org/spreadsheetml/2006/main" count="523" uniqueCount="250">
  <si>
    <t xml:space="preserve">X Steam Tables</t>
  </si>
  <si>
    <t xml:space="preserve">Excel macros, IF-97 Steam tables. </t>
  </si>
  <si>
    <t xml:space="preserve">The excel scripts are stored inside this workbook. A complete list of functions for use is available on the "Calling functions" worksheet</t>
  </si>
  <si>
    <t xml:space="preserve">By: Magnus Holmgren</t>
  </si>
  <si>
    <t xml:space="preserve">The steam tables are free and provided as is. We take no responsibilities for any errors in the code or damage thereby.</t>
  </si>
  <si>
    <t xml:space="preserve">www.x-eng.com</t>
  </si>
  <si>
    <t xml:space="preserve">OBS: This workbook uses macros. Set security options in Tools:Macro:Security… to enable macros.</t>
  </si>
  <si>
    <t xml:space="preserve">Saturation properties given temperature</t>
  </si>
  <si>
    <t xml:space="preserve">Saturation properties given pressure</t>
  </si>
  <si>
    <t xml:space="preserve">Temperature</t>
  </si>
  <si>
    <t xml:space="preserve">°C</t>
  </si>
  <si>
    <t xml:space="preserve">Pressure</t>
  </si>
  <si>
    <t xml:space="preserve">kPa</t>
  </si>
  <si>
    <t xml:space="preserve">Saturation pressure</t>
  </si>
  <si>
    <t xml:space="preserve">Saturation temperature</t>
  </si>
  <si>
    <t xml:space="preserve">Liquid</t>
  </si>
  <si>
    <t xml:space="preserve">Enthalpy</t>
  </si>
  <si>
    <t xml:space="preserve">kJ/kg</t>
  </si>
  <si>
    <t xml:space="preserve">Density</t>
  </si>
  <si>
    <t xml:space="preserve">kg/m3</t>
  </si>
  <si>
    <t xml:space="preserve">Entropy</t>
  </si>
  <si>
    <t xml:space="preserve">kJ/kgK</t>
  </si>
  <si>
    <t xml:space="preserve">Vapour</t>
  </si>
  <si>
    <t xml:space="preserve">Vapour enthalpy</t>
  </si>
  <si>
    <t xml:space="preserve">Vapour density</t>
  </si>
  <si>
    <t xml:space="preserve">Vapour Entropy</t>
  </si>
  <si>
    <t xml:space="preserve">vapour Entropy</t>
  </si>
  <si>
    <t xml:space="preserve">Evaporation energy</t>
  </si>
  <si>
    <t xml:space="preserve">Properties given pressure and temperature</t>
  </si>
  <si>
    <t xml:space="preserve">Properties given pressure and enthalpy</t>
  </si>
  <si>
    <t xml:space="preserve">Vapour fraction</t>
  </si>
  <si>
    <t xml:space="preserve">%</t>
  </si>
  <si>
    <t xml:space="preserve">IF97 Region</t>
  </si>
  <si>
    <t xml:space="preserve">Phase</t>
  </si>
  <si>
    <t xml:space="preserve">Isobaric heat capacity </t>
  </si>
  <si>
    <t xml:space="preserve">Speed of sound</t>
  </si>
  <si>
    <t xml:space="preserve">m/s</t>
  </si>
  <si>
    <t xml:space="preserve">v2.5</t>
  </si>
  <si>
    <t xml:space="preserve">http://www.x-eng.com</t>
  </si>
  <si>
    <t xml:space="preserve">Steam tables by Magnus Holmgren according to IAPWS IF-97 </t>
  </si>
  <si>
    <t xml:space="preserve">The excel scripts are stored inside this workbook. (No extra files are needed. Start from a copy of this workbook. This page can be removed)</t>
  </si>
  <si>
    <t xml:space="preserve">For error-reporting, feedback, other units etc. contact:</t>
  </si>
  <si>
    <t xml:space="preserve">magnus@x-eng.com</t>
  </si>
  <si>
    <t xml:space="preserve"> Tsat_p</t>
  </si>
  <si>
    <t xml:space="preserve"> T_ph</t>
  </si>
  <si>
    <t xml:space="preserve">Temperture as a function of pressure and enthalpy</t>
  </si>
  <si>
    <t xml:space="preserve"> T_ps</t>
  </si>
  <si>
    <t xml:space="preserve">kJ/(kg K)</t>
  </si>
  <si>
    <t xml:space="preserve">Temperture as a function of pressure and entropy</t>
  </si>
  <si>
    <t xml:space="preserve"> T_hs</t>
  </si>
  <si>
    <t xml:space="preserve">Temperture as a function of enthalpy and entropy</t>
  </si>
  <si>
    <t xml:space="preserve"> psat_T</t>
  </si>
  <si>
    <t xml:space="preserve">bar</t>
  </si>
  <si>
    <t xml:space="preserve"> p_hs</t>
  </si>
  <si>
    <t xml:space="preserve">Pressure as a function of h and s. </t>
  </si>
  <si>
    <t xml:space="preserve"> p_hrho</t>
  </si>
  <si>
    <t xml:space="preserve">Pressure as a function of h and rho (density). Very unaccurate for solid water region since it's almost incompressible!</t>
  </si>
  <si>
    <t xml:space="preserve"> hV_p</t>
  </si>
  <si>
    <t xml:space="preserve">Saturated vapour enthalpy</t>
  </si>
  <si>
    <t xml:space="preserve"> hL_p</t>
  </si>
  <si>
    <t xml:space="preserve">Saturated liquid enthalpy</t>
  </si>
  <si>
    <t xml:space="preserve"> hV_T</t>
  </si>
  <si>
    <t xml:space="preserve"> hL_T</t>
  </si>
  <si>
    <t xml:space="preserve"> h_pT</t>
  </si>
  <si>
    <t xml:space="preserve">Entalpy as a function of pressure and temperature.</t>
  </si>
  <si>
    <t xml:space="preserve"> h_ps</t>
  </si>
  <si>
    <t xml:space="preserve">Entalpy as a function of pressure and entropy.</t>
  </si>
  <si>
    <t xml:space="preserve"> h_px</t>
  </si>
  <si>
    <t xml:space="preserve">Entalpy as a function of pressure and vapour fraction</t>
  </si>
  <si>
    <t xml:space="preserve"> h_Tx</t>
  </si>
  <si>
    <t xml:space="preserve">Entalpy as a function of temperature and vapour fraction</t>
  </si>
  <si>
    <t xml:space="preserve"> h_prho</t>
  </si>
  <si>
    <t xml:space="preserve">Entalpy as a function of pressure and density. Observe for low temperatures (liquid) this equation has 2 solutions. (Not valid!!)</t>
  </si>
  <si>
    <t xml:space="preserve">Specific volume</t>
  </si>
  <si>
    <t xml:space="preserve"> vV_p</t>
  </si>
  <si>
    <t xml:space="preserve">m3/kg</t>
  </si>
  <si>
    <t xml:space="preserve">Saturated vapour volume</t>
  </si>
  <si>
    <t xml:space="preserve"> vL_p</t>
  </si>
  <si>
    <t xml:space="preserve">Saturated liquid volume</t>
  </si>
  <si>
    <t xml:space="preserve"> vV_T</t>
  </si>
  <si>
    <t xml:space="preserve"> vL_T</t>
  </si>
  <si>
    <t xml:space="preserve"> v_pT</t>
  </si>
  <si>
    <t xml:space="preserve">Specific volume as a function of pressure and temperature.</t>
  </si>
  <si>
    <t xml:space="preserve"> v_ph</t>
  </si>
  <si>
    <t xml:space="preserve">Specific volume as a function of pressure and enthalpy</t>
  </si>
  <si>
    <t xml:space="preserve"> v_ps</t>
  </si>
  <si>
    <t xml:space="preserve">Specific volume as a function of pressure and entropy.</t>
  </si>
  <si>
    <t xml:space="preserve"> rhoV_p</t>
  </si>
  <si>
    <t xml:space="preserve">Saturated vapour density</t>
  </si>
  <si>
    <t xml:space="preserve"> rhoL_p</t>
  </si>
  <si>
    <t xml:space="preserve">Saturated liquid density</t>
  </si>
  <si>
    <t xml:space="preserve"> rhoV_T</t>
  </si>
  <si>
    <t xml:space="preserve"> rhoL_T</t>
  </si>
  <si>
    <t xml:space="preserve"> rho_pT</t>
  </si>
  <si>
    <t xml:space="preserve">Density as a function of pressure and temperature.</t>
  </si>
  <si>
    <t xml:space="preserve"> rho_ph</t>
  </si>
  <si>
    <t xml:space="preserve">Density as a function of pressure and enthalpy</t>
  </si>
  <si>
    <t xml:space="preserve"> rho_ps</t>
  </si>
  <si>
    <t xml:space="preserve">Density as a function of pressure and entropy.</t>
  </si>
  <si>
    <t xml:space="preserve">Specific entropy </t>
  </si>
  <si>
    <t xml:space="preserve"> sV_p</t>
  </si>
  <si>
    <t xml:space="preserve">Saturated vapour entropy</t>
  </si>
  <si>
    <t xml:space="preserve"> sL_p</t>
  </si>
  <si>
    <t xml:space="preserve">Saturated liquid entropy</t>
  </si>
  <si>
    <t xml:space="preserve"> sV_T</t>
  </si>
  <si>
    <t xml:space="preserve"> sL_T</t>
  </si>
  <si>
    <t xml:space="preserve"> s_pT</t>
  </si>
  <si>
    <t xml:space="preserve">Specific entropy as a function of pressure and temperature (Returns saturated vapour entalpy if mixture.)</t>
  </si>
  <si>
    <t xml:space="preserve"> s_ph</t>
  </si>
  <si>
    <t xml:space="preserve">Specific entropy as a function of pressure and enthalpy</t>
  </si>
  <si>
    <t xml:space="preserve">Specific internal energy </t>
  </si>
  <si>
    <t xml:space="preserve"> uV_p</t>
  </si>
  <si>
    <t xml:space="preserve">Saturated vapour internal energy</t>
  </si>
  <si>
    <t xml:space="preserve"> uL_p</t>
  </si>
  <si>
    <t xml:space="preserve">Saturated liquid internal energy</t>
  </si>
  <si>
    <t xml:space="preserve"> uV_T</t>
  </si>
  <si>
    <t xml:space="preserve"> uL_T</t>
  </si>
  <si>
    <t xml:space="preserve"> u_pT</t>
  </si>
  <si>
    <t xml:space="preserve">Specific internal energy as a function of pressure and temperature.</t>
  </si>
  <si>
    <t xml:space="preserve"> u_ph</t>
  </si>
  <si>
    <t xml:space="preserve">Specific internal energy as a function of pressure and enthalpy</t>
  </si>
  <si>
    <t xml:space="preserve"> u_ps</t>
  </si>
  <si>
    <t xml:space="preserve">Specific internal energy as a function of pressure and entropy.</t>
  </si>
  <si>
    <t xml:space="preserve">Specific isobaric heat capacity </t>
  </si>
  <si>
    <t xml:space="preserve"> CpV_p</t>
  </si>
  <si>
    <t xml:space="preserve">kJ/(kg°C)</t>
  </si>
  <si>
    <t xml:space="preserve">Saturated vapour heat capacity </t>
  </si>
  <si>
    <t xml:space="preserve"> CpL_p</t>
  </si>
  <si>
    <t xml:space="preserve">Saturated liquid heat capacity </t>
  </si>
  <si>
    <t xml:space="preserve"> CpV_T</t>
  </si>
  <si>
    <t xml:space="preserve"> CpL_T</t>
  </si>
  <si>
    <t xml:space="preserve"> Cp_pT</t>
  </si>
  <si>
    <t xml:space="preserve">Specific isobaric heat capacity as a function of pressure and temperature.</t>
  </si>
  <si>
    <t xml:space="preserve"> Cp_ph</t>
  </si>
  <si>
    <t xml:space="preserve">Specific isobaric heat capacity as a function of pressure and enthalpy</t>
  </si>
  <si>
    <t xml:space="preserve"> Cp_ps</t>
  </si>
  <si>
    <t xml:space="preserve">Specific isobaric heat capacity as a function of pressure and entropy.</t>
  </si>
  <si>
    <t xml:space="preserve">Specific isochoric heat capacity </t>
  </si>
  <si>
    <t xml:space="preserve"> CvV_p</t>
  </si>
  <si>
    <t xml:space="preserve">Saturated vapour isochoric heat capacity</t>
  </si>
  <si>
    <t xml:space="preserve"> CvL_p</t>
  </si>
  <si>
    <t xml:space="preserve">Saturated liquid isochoric heat capacity</t>
  </si>
  <si>
    <t xml:space="preserve"> CvV_T</t>
  </si>
  <si>
    <t xml:space="preserve"> CvL_T</t>
  </si>
  <si>
    <t xml:space="preserve"> Cv_pT</t>
  </si>
  <si>
    <t xml:space="preserve">Specific isochoric heat capacity as a function of pressure and temperature.</t>
  </si>
  <si>
    <t xml:space="preserve"> Cv_ph</t>
  </si>
  <si>
    <t xml:space="preserve">Specific isochoric heat capacity as a function of pressure and enthalpy</t>
  </si>
  <si>
    <t xml:space="preserve"> Cv_ps</t>
  </si>
  <si>
    <t xml:space="preserve">Specific isochoric heat capacity as a function of pressure and entropy.</t>
  </si>
  <si>
    <t xml:space="preserve">Speed of sound </t>
  </si>
  <si>
    <t xml:space="preserve"> wV_p</t>
  </si>
  <si>
    <t xml:space="preserve">Saturated vapour speed of sound</t>
  </si>
  <si>
    <t xml:space="preserve"> wL_p</t>
  </si>
  <si>
    <t xml:space="preserve">Saturated liquid speed of sound</t>
  </si>
  <si>
    <t xml:space="preserve"> wV_T</t>
  </si>
  <si>
    <t xml:space="preserve"> wL_T</t>
  </si>
  <si>
    <t xml:space="preserve"> w_pT</t>
  </si>
  <si>
    <t xml:space="preserve">Speed of sound as a function of pressure and temperature.</t>
  </si>
  <si>
    <t xml:space="preserve"> w_ph</t>
  </si>
  <si>
    <t xml:space="preserve">Speed of sound as a function of pressure and enthalpy</t>
  </si>
  <si>
    <t xml:space="preserve"> w_ps</t>
  </si>
  <si>
    <t xml:space="preserve">Speed of sound as a function of pressure and entropy.</t>
  </si>
  <si>
    <t xml:space="preserve">Dynamic Viscosity</t>
  </si>
  <si>
    <t xml:space="preserve">Viscosity is not part of IAPWS Steam IF97. Equations from "Revised Release on the IAPWS Formulation 1985 for the Viscosity of Ordinary Water Substance", 2003 are used.</t>
  </si>
  <si>
    <t xml:space="preserve">Viscosity in the mixed region (4) is interpolated according to the density. This is not true since it will be two fases.</t>
  </si>
  <si>
    <t xml:space="preserve"> my_pT</t>
  </si>
  <si>
    <t xml:space="preserve">Pa s</t>
  </si>
  <si>
    <t xml:space="preserve">Viscosity as a function of pressure and temperature.</t>
  </si>
  <si>
    <t xml:space="preserve"> my_ph</t>
  </si>
  <si>
    <t xml:space="preserve">Viscosity as a function of pressure and enthalpy</t>
  </si>
  <si>
    <t xml:space="preserve"> my_ps</t>
  </si>
  <si>
    <t xml:space="preserve">Viscosity as a function of pressure and entropy.</t>
  </si>
  <si>
    <t xml:space="preserve">Prandtl</t>
  </si>
  <si>
    <t xml:space="preserve">Calcualted as Cp*my/tc</t>
  </si>
  <si>
    <t xml:space="preserve"> pr_pT</t>
  </si>
  <si>
    <t xml:space="preserve">-</t>
  </si>
  <si>
    <t xml:space="preserve"> pr_ph</t>
  </si>
  <si>
    <t xml:space="preserve">Thermal Conductivity</t>
  </si>
  <si>
    <t xml:space="preserve">Revised release on the IAPS Formulation 1985 for the Thermal Conductivity of ordinary water substance (IAPWS 1998)</t>
  </si>
  <si>
    <t xml:space="preserve"> tcL_p</t>
  </si>
  <si>
    <t xml:space="preserve">W/(m K)</t>
  </si>
  <si>
    <t xml:space="preserve">Saturated vapour thermal conductivity</t>
  </si>
  <si>
    <t xml:space="preserve"> tcV_p</t>
  </si>
  <si>
    <t xml:space="preserve">Saturated liquid thermal conductivity</t>
  </si>
  <si>
    <t xml:space="preserve"> tcL_T</t>
  </si>
  <si>
    <t xml:space="preserve"> tcV_T</t>
  </si>
  <si>
    <t xml:space="preserve"> tc_pT</t>
  </si>
  <si>
    <t xml:space="preserve">Thermal conductivity as a function of pressure and temperature.</t>
  </si>
  <si>
    <t xml:space="preserve"> tc_ph</t>
  </si>
  <si>
    <t xml:space="preserve">Thermal conductivity as a function of pressure and enthalpy</t>
  </si>
  <si>
    <t xml:space="preserve"> tc_hs</t>
  </si>
  <si>
    <t xml:space="preserve">Thermal conductivity as a function of enthalpy and entropy</t>
  </si>
  <si>
    <t xml:space="preserve">Surface Tension</t>
  </si>
  <si>
    <t xml:space="preserve">IAPWS Release on Surface Tension of Ordinary Water Substance, September 1994</t>
  </si>
  <si>
    <t xml:space="preserve"> st_T</t>
  </si>
  <si>
    <t xml:space="preserve">N/m</t>
  </si>
  <si>
    <t xml:space="preserve">Surface tension for two phase water/steam as a function of T</t>
  </si>
  <si>
    <t xml:space="preserve"> st_p</t>
  </si>
  <si>
    <t xml:space="preserve"> x_ph</t>
  </si>
  <si>
    <t xml:space="preserve">Vapour fraction as a function of pressure and enthalpy</t>
  </si>
  <si>
    <t xml:space="preserve"> x_ps</t>
  </si>
  <si>
    <t xml:space="preserve">Vapour fraction as a function of pressure and entropy.</t>
  </si>
  <si>
    <t xml:space="preserve">Vapour Volume Fraction</t>
  </si>
  <si>
    <t xml:space="preserve">Observe that vapour volume fraction is very sensitive. Vapour volume is about 1000 times greater than liquid volume and therfore vapour volume fraction</t>
  </si>
  <si>
    <t xml:space="preserve">gets close to the accurancy of steam IF-97</t>
  </si>
  <si>
    <t xml:space="preserve"> vx_ph</t>
  </si>
  <si>
    <t xml:space="preserve">Vapour volume fraction as a function of pressure and enthalpy</t>
  </si>
  <si>
    <t xml:space="preserve"> vx_ps</t>
  </si>
  <si>
    <t xml:space="preserve">Vapour volume fraction as a function of pressure and entropy.</t>
  </si>
  <si>
    <t xml:space="preserve">Version history</t>
  </si>
  <si>
    <t xml:space="preserve">News in V2.5</t>
  </si>
  <si>
    <t xml:space="preserve">* DLL distrubution for use in other applications</t>
  </si>
  <si>
    <t xml:space="preserve">* Freebasic translation</t>
  </si>
  <si>
    <t xml:space="preserve">* Fixed small error in Cv Region 5 p&gt;1000bar</t>
  </si>
  <si>
    <t xml:space="preserve">News in V2.4a</t>
  </si>
  <si>
    <t xml:space="preserve">* ToSIUnit for h_ps region 4. (No effect in SI unit version).</t>
  </si>
  <si>
    <t xml:space="preserve">News in V2.4</t>
  </si>
  <si>
    <t xml:space="preserve">* Functions by p,rho inplemented in matlab also.</t>
  </si>
  <si>
    <t xml:space="preserve">* Many missing ; in matlab causing printouts detected.</t>
  </si>
  <si>
    <t xml:space="preserve">* OpenOffice version introduced. (Fixed calculation differences in open office and excel)</t>
  </si>
  <si>
    <t xml:space="preserve">* Matlab error giving varaible undefined in some backwards solutions fixed.</t>
  </si>
  <si>
    <t xml:space="preserve">News in V2.3</t>
  </si>
  <si>
    <t xml:space="preserve">* Option Explicit, gives more efficient calculations.</t>
  </si>
  <si>
    <t xml:space="preserve">* Extensive testing</t>
  </si>
  <si>
    <t xml:space="preserve">* my_ph not defined in region 4.</t>
  </si>
  <si>
    <t xml:space="preserve">* Problems at region border for h4V_p to adress solver problems at the exact border.</t>
  </si>
  <si>
    <t xml:space="preserve">* Problem at fast border check in region_ph fixed.</t>
  </si>
  <si>
    <t xml:space="preserve">News in V2.2</t>
  </si>
  <si>
    <t xml:space="preserve">* Fixed error in Cp_ph</t>
  </si>
  <si>
    <t xml:space="preserve">* Function p_hrho added. (Very good for calcualting pressure when heating a volume with water/steam mixture.)</t>
  </si>
  <si>
    <t xml:space="preserve">* Fixed error in T_hs return no value for vet region bellow the water saturation line.</t>
  </si>
  <si>
    <t xml:space="preserve">* Prandtl number added</t>
  </si>
  <si>
    <t xml:space="preserve">News in V2.1</t>
  </si>
  <si>
    <t xml:space="preserve">* Calling function h_prho</t>
  </si>
  <si>
    <t xml:space="preserve">* Fixed problem with Cv reporting NaN in region 5.</t>
  </si>
  <si>
    <t xml:space="preserve">* Equivivalent to the Matlab version. (Downloadable from www.x-eng.com)</t>
  </si>
  <si>
    <t xml:space="preserve">News in V2</t>
  </si>
  <si>
    <t xml:space="preserve">* Calling functions of h and s added.</t>
  </si>
  <si>
    <t xml:space="preserve">* Thermal conductivity, Surface tension added</t>
  </si>
  <si>
    <t xml:space="preserve">* Calling functions h_px and h_tx added.</t>
  </si>
  <si>
    <t xml:space="preserve">* Cp, Cv and w undefined in the mixed region. (Before interpolation with the vapor fraction was used.)</t>
  </si>
  <si>
    <t xml:space="preserve">* A work sheet "Properties" for simple lookups added.</t>
  </si>
  <si>
    <t xml:space="preserve">p</t>
  </si>
  <si>
    <t xml:space="preserve">s</t>
  </si>
  <si>
    <t xml:space="preserve">T</t>
  </si>
  <si>
    <t xml:space="preserve">h</t>
  </si>
  <si>
    <t xml:space="preserve">rho</t>
  </si>
  <si>
    <t xml:space="preserve">x</t>
  </si>
  <si>
    <t xml:space="preserve">wV(p)</t>
  </si>
</sst>
</file>

<file path=xl/styles.xml><?xml version="1.0" encoding="utf-8"?>
<styleSheet xmlns="http://schemas.openxmlformats.org/spreadsheetml/2006/main">
  <numFmts count="6">
    <numFmt numFmtId="164" formatCode="General"/>
    <numFmt numFmtId="165" formatCode="0.00"/>
    <numFmt numFmtId="166" formatCode="0.000"/>
    <numFmt numFmtId="167" formatCode="0.0"/>
    <numFmt numFmtId="168" formatCode="0.0000E+00"/>
    <numFmt numFmtId="169" formatCode="0.0000"/>
  </numFmts>
  <fonts count="16">
    <font>
      <sz val="11"/>
      <color rgb="FF000000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2"/>
      <charset val="1"/>
    </font>
    <font>
      <b val="true"/>
      <sz val="14"/>
      <name val="Arial"/>
      <family val="2"/>
      <charset val="1"/>
    </font>
    <font>
      <sz val="8"/>
      <name val="Arial"/>
      <family val="2"/>
      <charset val="1"/>
    </font>
    <font>
      <b val="true"/>
      <sz val="10"/>
      <name val="Arial"/>
      <family val="2"/>
      <charset val="1"/>
    </font>
    <font>
      <u val="single"/>
      <sz val="8"/>
      <color rgb="FF0000FF"/>
      <name val="Arial"/>
      <family val="2"/>
      <charset val="1"/>
    </font>
    <font>
      <u val="single"/>
      <sz val="10"/>
      <color rgb="FF0000FF"/>
      <name val="Arial"/>
      <family val="2"/>
      <charset val="1"/>
    </font>
    <font>
      <sz val="14"/>
      <name val="Arial"/>
      <family val="2"/>
      <charset val="1"/>
    </font>
    <font>
      <b val="true"/>
      <u val="single"/>
      <sz val="8"/>
      <color rgb="FF0000FF"/>
      <name val="Arial"/>
      <family val="2"/>
      <charset val="1"/>
    </font>
    <font>
      <b val="true"/>
      <sz val="8"/>
      <name val="Arial"/>
      <family val="2"/>
      <charset val="1"/>
    </font>
    <font>
      <b val="true"/>
      <i val="true"/>
      <sz val="12"/>
      <name val="Arial"/>
      <family val="2"/>
      <charset val="1"/>
    </font>
    <font>
      <i val="true"/>
      <sz val="10"/>
      <name val="Arial"/>
      <family val="2"/>
      <charset val="1"/>
    </font>
    <font>
      <b val="true"/>
      <i val="true"/>
      <sz val="10"/>
      <name val="Arial"/>
      <family val="2"/>
      <charset val="1"/>
    </font>
  </fonts>
  <fills count="4">
    <fill>
      <patternFill patternType="none"/>
    </fill>
    <fill>
      <patternFill patternType="gray125"/>
    </fill>
    <fill>
      <patternFill patternType="solid">
        <fgColor rgb="FFCCFFFF"/>
        <bgColor rgb="FFD8FFFF"/>
      </patternFill>
    </fill>
    <fill>
      <patternFill patternType="solid">
        <fgColor rgb="FFD8FFFF"/>
        <bgColor rgb="FFCCFFFF"/>
      </patternFill>
    </fill>
  </fills>
  <borders count="9">
    <border diagonalUp="false" diagonalDown="false">
      <left/>
      <right/>
      <top/>
      <bottom/>
      <diagonal/>
    </border>
    <border diagonalUp="false" diagonalDown="false">
      <left style="thin"/>
      <right/>
      <top style="thin"/>
      <bottom/>
      <diagonal/>
    </border>
    <border diagonalUp="false" diagonalDown="false">
      <left/>
      <right/>
      <top style="thin"/>
      <bottom/>
      <diagonal/>
    </border>
    <border diagonalUp="false" diagonalDown="false">
      <left/>
      <right style="thin"/>
      <top style="thin"/>
      <bottom/>
      <diagonal/>
    </border>
    <border diagonalUp="false" diagonalDown="false">
      <left style="thin"/>
      <right/>
      <top/>
      <bottom/>
      <diagonal/>
    </border>
    <border diagonalUp="false" diagonalDown="false">
      <left/>
      <right style="thin"/>
      <top/>
      <bottom/>
      <diagonal/>
    </border>
    <border diagonalUp="false" diagonalDown="false">
      <left style="thin"/>
      <right/>
      <top/>
      <bottom style="thin"/>
      <diagonal/>
    </border>
    <border diagonalUp="false" diagonalDown="false">
      <left/>
      <right/>
      <top/>
      <bottom style="thin"/>
      <diagonal/>
    </border>
    <border diagonalUp="false" diagonalDown="false">
      <left/>
      <right style="thin"/>
      <top/>
      <bottom style="thin"/>
      <diagonal/>
    </border>
  </borders>
  <cellStyleXfs count="22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9" fillId="0" borderId="0" applyFont="true" applyBorder="false" applyAlignment="true" applyProtection="false">
      <alignment horizontal="general" vertical="bottom" textRotation="0" wrapText="false" indent="0" shrinkToFit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</cellStyleXfs>
  <cellXfs count="38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21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6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8" fillId="0" borderId="0" xfId="2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9" fillId="0" borderId="0" xfId="2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7" fillId="0" borderId="0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2" borderId="1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7" fillId="3" borderId="2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2" borderId="3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7" fillId="3" borderId="2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4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4" fillId="0" borderId="0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5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4" fillId="0" borderId="0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4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4" fillId="0" borderId="0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6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4" fillId="0" borderId="7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8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2" borderId="4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7" fillId="3" borderId="0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2" borderId="5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0" xfId="21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7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0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1" fillId="0" borderId="0" xfId="2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2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3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4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5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8" fontId="7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4" fillId="0" borderId="0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9" fontId="7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8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  <cellStyle name="Excel Built-in Explanatory Text" xfId="21" builtinId="53" customBuiltin="true"/>
    <cellStyle name="*unknown*" xfId="20" builtinId="8" customBuiltin="false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D8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sharedStrings" Target="sharedStrings.xml"/>
</Relationships>
</file>

<file path=xl/worksheets/_rels/sheet1.xml.rels><?xml version="1.0" encoding="UTF-8"?>
<Relationships xmlns="http://schemas.openxmlformats.org/package/2006/relationships"><Relationship Id="rId1" Type="http://schemas.openxmlformats.org/officeDocument/2006/relationships/hyperlink" Target="http://www.x-eng.com/" TargetMode="External"/>
</Relationships>
</file>

<file path=xl/worksheets/_rels/sheet2.xml.rels><?xml version="1.0" encoding="UTF-8"?>
<Relationships xmlns="http://schemas.openxmlformats.org/package/2006/relationships"><Relationship Id="rId1" Type="http://schemas.openxmlformats.org/officeDocument/2006/relationships/hyperlink" Target="http://www.x-eng.com/" TargetMode="External"/><Relationship Id="rId2" Type="http://schemas.openxmlformats.org/officeDocument/2006/relationships/hyperlink" Target="mailto:magnus@x-eng.com" TargetMode="Externa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J29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H40" activeCellId="0" sqref="H40"/>
    </sheetView>
  </sheetViews>
  <sheetFormatPr defaultRowHeight="12.75" zeroHeight="false" outlineLevelRow="0" outlineLevelCol="0"/>
  <cols>
    <col collapsed="false" customWidth="true" hidden="false" outlineLevel="0" max="1" min="1" style="1" width="2.57"/>
    <col collapsed="false" customWidth="true" hidden="false" outlineLevel="0" max="2" min="2" style="1" width="20.98"/>
    <col collapsed="false" customWidth="true" hidden="false" outlineLevel="0" max="4" min="3" style="1" width="9.13"/>
    <col collapsed="false" customWidth="true" hidden="false" outlineLevel="0" max="5" min="5" style="1" width="4.71"/>
    <col collapsed="false" customWidth="true" hidden="false" outlineLevel="0" max="6" min="6" style="1" width="20.71"/>
    <col collapsed="false" customWidth="true" hidden="false" outlineLevel="0" max="256" min="7" style="1" width="9.13"/>
    <col collapsed="false" customWidth="true" hidden="false" outlineLevel="0" max="257" min="257" style="1" width="2.57"/>
    <col collapsed="false" customWidth="true" hidden="false" outlineLevel="0" max="258" min="258" style="1" width="20.98"/>
    <col collapsed="false" customWidth="true" hidden="false" outlineLevel="0" max="260" min="259" style="1" width="9.13"/>
    <col collapsed="false" customWidth="true" hidden="false" outlineLevel="0" max="261" min="261" style="1" width="4.71"/>
    <col collapsed="false" customWidth="true" hidden="false" outlineLevel="0" max="262" min="262" style="1" width="20.71"/>
    <col collapsed="false" customWidth="true" hidden="false" outlineLevel="0" max="512" min="263" style="1" width="9.13"/>
    <col collapsed="false" customWidth="true" hidden="false" outlineLevel="0" max="513" min="513" style="1" width="2.57"/>
    <col collapsed="false" customWidth="true" hidden="false" outlineLevel="0" max="514" min="514" style="1" width="20.98"/>
    <col collapsed="false" customWidth="true" hidden="false" outlineLevel="0" max="516" min="515" style="1" width="9.13"/>
    <col collapsed="false" customWidth="true" hidden="false" outlineLevel="0" max="517" min="517" style="1" width="4.71"/>
    <col collapsed="false" customWidth="true" hidden="false" outlineLevel="0" max="518" min="518" style="1" width="20.71"/>
    <col collapsed="false" customWidth="true" hidden="false" outlineLevel="0" max="768" min="519" style="1" width="9.13"/>
    <col collapsed="false" customWidth="true" hidden="false" outlineLevel="0" max="769" min="769" style="1" width="2.57"/>
    <col collapsed="false" customWidth="true" hidden="false" outlineLevel="0" max="770" min="770" style="1" width="20.98"/>
    <col collapsed="false" customWidth="true" hidden="false" outlineLevel="0" max="772" min="771" style="1" width="9.13"/>
    <col collapsed="false" customWidth="true" hidden="false" outlineLevel="0" max="773" min="773" style="1" width="4.71"/>
    <col collapsed="false" customWidth="true" hidden="false" outlineLevel="0" max="774" min="774" style="1" width="20.71"/>
    <col collapsed="false" customWidth="true" hidden="false" outlineLevel="0" max="1025" min="775" style="1" width="9.13"/>
  </cols>
  <sheetData>
    <row r="1" customFormat="false" ht="18" hidden="false" customHeight="false" outlineLevel="0" collapsed="false">
      <c r="B1" s="2" t="s">
        <v>0</v>
      </c>
    </row>
    <row r="2" s="3" customFormat="true" ht="12.75" hidden="false" customHeight="false" outlineLevel="0" collapsed="false">
      <c r="B2" s="4" t="s">
        <v>1</v>
      </c>
      <c r="D2" s="4" t="s">
        <v>2</v>
      </c>
    </row>
    <row r="3" s="3" customFormat="true" ht="12.75" hidden="false" customHeight="false" outlineLevel="0" collapsed="false">
      <c r="B3" s="4" t="s">
        <v>3</v>
      </c>
      <c r="D3" s="4" t="s">
        <v>4</v>
      </c>
      <c r="H3" s="5"/>
      <c r="I3" s="5"/>
    </row>
    <row r="4" customFormat="false" ht="12.75" hidden="false" customHeight="false" outlineLevel="0" collapsed="false">
      <c r="B4" s="6" t="s">
        <v>5</v>
      </c>
      <c r="D4" s="4" t="s">
        <v>6</v>
      </c>
      <c r="H4" s="5"/>
      <c r="I4" s="5"/>
      <c r="J4" s="3"/>
    </row>
    <row r="5" customFormat="false" ht="12.75" hidden="false" customHeight="false" outlineLevel="0" collapsed="false">
      <c r="B5" s="7"/>
      <c r="H5" s="5"/>
      <c r="I5" s="5"/>
      <c r="J5" s="3"/>
    </row>
    <row r="6" customFormat="false" ht="12.75" hidden="false" customHeight="false" outlineLevel="0" collapsed="false">
      <c r="B6" s="8" t="s">
        <v>7</v>
      </c>
      <c r="C6" s="9"/>
      <c r="D6" s="9"/>
      <c r="E6" s="9"/>
      <c r="F6" s="8" t="s">
        <v>8</v>
      </c>
      <c r="G6" s="9"/>
      <c r="H6" s="9"/>
    </row>
    <row r="7" customFormat="false" ht="12.75" hidden="false" customHeight="false" outlineLevel="0" collapsed="false">
      <c r="A7" s="9"/>
      <c r="B7" s="10" t="s">
        <v>9</v>
      </c>
      <c r="C7" s="11" t="n">
        <v>100</v>
      </c>
      <c r="D7" s="12" t="s">
        <v>10</v>
      </c>
      <c r="E7" s="9"/>
      <c r="F7" s="10" t="s">
        <v>11</v>
      </c>
      <c r="G7" s="13" t="n">
        <v>12.57</v>
      </c>
      <c r="H7" s="12" t="s">
        <v>12</v>
      </c>
      <c r="I7" s="9"/>
    </row>
    <row r="8" customFormat="false" ht="12.75" hidden="false" customHeight="false" outlineLevel="0" collapsed="false">
      <c r="A8" s="9"/>
      <c r="B8" s="14" t="s">
        <v>13</v>
      </c>
      <c r="C8" s="15" t="n">
        <f aca="false">PSAT_T(C7)</f>
        <v>101.41797792131</v>
      </c>
      <c r="D8" s="16" t="s">
        <v>12</v>
      </c>
      <c r="E8" s="9"/>
      <c r="F8" s="14" t="s">
        <v>14</v>
      </c>
      <c r="G8" s="17" t="n">
        <f aca="false">TSAT_P(G7)</f>
        <v>50.3541843032366</v>
      </c>
      <c r="H8" s="16" t="s">
        <v>10</v>
      </c>
      <c r="I8" s="9"/>
    </row>
    <row r="9" customFormat="false" ht="12.75" hidden="false" customHeight="false" outlineLevel="0" collapsed="false">
      <c r="A9" s="9"/>
      <c r="B9" s="18" t="s">
        <v>15</v>
      </c>
      <c r="C9" s="9"/>
      <c r="D9" s="16"/>
      <c r="F9" s="18" t="s">
        <v>15</v>
      </c>
      <c r="G9" s="9"/>
      <c r="H9" s="16"/>
      <c r="I9" s="9"/>
    </row>
    <row r="10" customFormat="false" ht="12.75" hidden="false" customHeight="false" outlineLevel="0" collapsed="false">
      <c r="A10" s="9"/>
      <c r="B10" s="14" t="s">
        <v>16</v>
      </c>
      <c r="C10" s="19" t="n">
        <f aca="false">HL_T(C7)</f>
        <v>419.099154997703</v>
      </c>
      <c r="D10" s="16" t="s">
        <v>17</v>
      </c>
      <c r="E10" s="9"/>
      <c r="F10" s="14" t="s">
        <v>16</v>
      </c>
      <c r="G10" s="19" t="n">
        <f aca="false">HL_P(G7)</f>
        <v>210.816807734016</v>
      </c>
      <c r="H10" s="16" t="s">
        <v>17</v>
      </c>
      <c r="I10" s="9"/>
    </row>
    <row r="11" customFormat="false" ht="12.75" hidden="false" customHeight="false" outlineLevel="0" collapsed="false">
      <c r="A11" s="9"/>
      <c r="B11" s="14" t="s">
        <v>18</v>
      </c>
      <c r="C11" s="17" t="n">
        <f aca="false">RHOL_T(C7)</f>
        <v>958.35427728589</v>
      </c>
      <c r="D11" s="16" t="s">
        <v>19</v>
      </c>
      <c r="E11" s="9"/>
      <c r="F11" s="14" t="s">
        <v>18</v>
      </c>
      <c r="G11" s="17" t="n">
        <f aca="false">RHOL_P(G7)</f>
        <v>987.848390443843</v>
      </c>
      <c r="H11" s="16" t="s">
        <v>19</v>
      </c>
      <c r="I11" s="9"/>
    </row>
    <row r="12" customFormat="false" ht="12.75" hidden="false" customHeight="false" outlineLevel="0" collapsed="false">
      <c r="A12" s="9"/>
      <c r="B12" s="14" t="s">
        <v>20</v>
      </c>
      <c r="C12" s="17" t="n">
        <f aca="false">SL_T(C7)</f>
        <v>1.30701432784134</v>
      </c>
      <c r="D12" s="16" t="s">
        <v>21</v>
      </c>
      <c r="E12" s="9"/>
      <c r="F12" s="14" t="s">
        <v>20</v>
      </c>
      <c r="G12" s="17" t="n">
        <f aca="false">SL_P(G7)</f>
        <v>0.708372506696844</v>
      </c>
      <c r="H12" s="16" t="s">
        <v>21</v>
      </c>
      <c r="I12" s="9"/>
    </row>
    <row r="13" customFormat="false" ht="12.75" hidden="false" customHeight="false" outlineLevel="0" collapsed="false">
      <c r="A13" s="9"/>
      <c r="B13" s="18" t="s">
        <v>22</v>
      </c>
      <c r="C13" s="9"/>
      <c r="D13" s="16"/>
      <c r="F13" s="18" t="s">
        <v>22</v>
      </c>
      <c r="G13" s="9"/>
      <c r="H13" s="16"/>
      <c r="I13" s="9"/>
    </row>
    <row r="14" customFormat="false" ht="12.75" hidden="false" customHeight="false" outlineLevel="0" collapsed="false">
      <c r="A14" s="9"/>
      <c r="B14" s="14" t="s">
        <v>23</v>
      </c>
      <c r="C14" s="19" t="n">
        <f aca="false">HV_T(C7)</f>
        <v>2675.57202922083</v>
      </c>
      <c r="D14" s="16" t="s">
        <v>17</v>
      </c>
      <c r="E14" s="9"/>
      <c r="F14" s="14" t="s">
        <v>23</v>
      </c>
      <c r="G14" s="19" t="n">
        <f aca="false">HV_P(G7)</f>
        <v>2591.93557418644</v>
      </c>
      <c r="H14" s="16" t="s">
        <v>17</v>
      </c>
      <c r="I14" s="9"/>
    </row>
    <row r="15" customFormat="false" ht="12.75" hidden="false" customHeight="false" outlineLevel="0" collapsed="false">
      <c r="A15" s="9"/>
      <c r="B15" s="14" t="s">
        <v>24</v>
      </c>
      <c r="C15" s="17" t="n">
        <f aca="false">RHOV_T(C7)</f>
        <v>0.598135992525703</v>
      </c>
      <c r="D15" s="16" t="s">
        <v>19</v>
      </c>
      <c r="E15" s="9"/>
      <c r="F15" s="14" t="s">
        <v>24</v>
      </c>
      <c r="G15" s="17" t="n">
        <f aca="false">RHOV_P(G7)</f>
        <v>0.0845237743927298</v>
      </c>
      <c r="H15" s="16" t="s">
        <v>19</v>
      </c>
      <c r="I15" s="9"/>
    </row>
    <row r="16" customFormat="false" ht="12.75" hidden="false" customHeight="false" outlineLevel="0" collapsed="false">
      <c r="A16" s="9"/>
      <c r="B16" s="14" t="s">
        <v>25</v>
      </c>
      <c r="C16" s="17" t="n">
        <f aca="false">SV_T(C7)</f>
        <v>7.35407705095841</v>
      </c>
      <c r="D16" s="16" t="s">
        <v>21</v>
      </c>
      <c r="E16" s="9"/>
      <c r="F16" s="14" t="s">
        <v>26</v>
      </c>
      <c r="G16" s="17" t="n">
        <f aca="false">SV_P(G7)</f>
        <v>8.06877333231276</v>
      </c>
      <c r="H16" s="16" t="s">
        <v>21</v>
      </c>
      <c r="I16" s="9"/>
    </row>
    <row r="17" customFormat="false" ht="12.75" hidden="false" customHeight="false" outlineLevel="0" collapsed="false">
      <c r="A17" s="9"/>
      <c r="B17" s="20" t="s">
        <v>27</v>
      </c>
      <c r="C17" s="21" t="n">
        <f aca="false">C14-C10</f>
        <v>2256.47287422313</v>
      </c>
      <c r="D17" s="22" t="s">
        <v>17</v>
      </c>
      <c r="E17" s="9"/>
      <c r="F17" s="20" t="s">
        <v>27</v>
      </c>
      <c r="G17" s="21" t="n">
        <f aca="false">G14-G10</f>
        <v>2381.11876645242</v>
      </c>
      <c r="H17" s="22" t="s">
        <v>17</v>
      </c>
      <c r="I17" s="9"/>
    </row>
    <row r="18" customFormat="false" ht="12.75" hidden="false" customHeight="false" outlineLevel="0" collapsed="false">
      <c r="A18" s="9"/>
      <c r="I18" s="9"/>
    </row>
    <row r="19" customFormat="false" ht="12.75" hidden="false" customHeight="false" outlineLevel="0" collapsed="false">
      <c r="A19" s="9"/>
      <c r="B19" s="8" t="s">
        <v>28</v>
      </c>
      <c r="C19" s="9"/>
      <c r="D19" s="9"/>
      <c r="E19" s="9"/>
      <c r="F19" s="8" t="s">
        <v>29</v>
      </c>
      <c r="G19" s="9"/>
      <c r="H19" s="9"/>
      <c r="I19" s="9"/>
    </row>
    <row r="20" customFormat="false" ht="12.75" hidden="false" customHeight="false" outlineLevel="0" collapsed="false">
      <c r="A20" s="9"/>
      <c r="B20" s="10" t="s">
        <v>11</v>
      </c>
      <c r="C20" s="11" t="n">
        <v>1</v>
      </c>
      <c r="D20" s="12" t="s">
        <v>12</v>
      </c>
      <c r="E20" s="9"/>
      <c r="F20" s="10" t="s">
        <v>11</v>
      </c>
      <c r="G20" s="11" t="n">
        <v>12.57</v>
      </c>
      <c r="H20" s="12" t="s">
        <v>12</v>
      </c>
      <c r="I20" s="9"/>
    </row>
    <row r="21" customFormat="false" ht="12.75" hidden="false" customHeight="false" outlineLevel="0" collapsed="false">
      <c r="A21" s="9"/>
      <c r="B21" s="23" t="s">
        <v>9</v>
      </c>
      <c r="C21" s="24" t="n">
        <v>20</v>
      </c>
      <c r="D21" s="25" t="s">
        <v>10</v>
      </c>
      <c r="E21" s="9"/>
      <c r="F21" s="23" t="s">
        <v>16</v>
      </c>
      <c r="G21" s="24" t="n">
        <v>2788</v>
      </c>
      <c r="H21" s="25" t="s">
        <v>17</v>
      </c>
      <c r="I21" s="9"/>
    </row>
    <row r="22" customFormat="false" ht="12.75" hidden="false" customHeight="false" outlineLevel="0" collapsed="false">
      <c r="A22" s="9"/>
      <c r="B22" s="14" t="s">
        <v>16</v>
      </c>
      <c r="C22" s="19" t="n">
        <f aca="false">H_PT(C20,C21)</f>
        <v>2538.18548379391</v>
      </c>
      <c r="D22" s="16" t="s">
        <v>17</v>
      </c>
      <c r="E22" s="9"/>
      <c r="F22" s="14" t="s">
        <v>9</v>
      </c>
      <c r="G22" s="19" t="n">
        <f aca="false">T_PH(G20,G21)</f>
        <v>152.685665598747</v>
      </c>
      <c r="H22" s="16" t="s">
        <v>10</v>
      </c>
      <c r="I22" s="9"/>
    </row>
    <row r="23" customFormat="false" ht="12.75" hidden="false" customHeight="false" outlineLevel="0" collapsed="false">
      <c r="A23" s="9"/>
      <c r="B23" s="14" t="s">
        <v>18</v>
      </c>
      <c r="C23" s="17" t="n">
        <f aca="false">RHO_PT(C20,C21)</f>
        <v>0.00739523693872489</v>
      </c>
      <c r="D23" s="16" t="s">
        <v>19</v>
      </c>
      <c r="E23" s="9"/>
      <c r="F23" s="14" t="s">
        <v>18</v>
      </c>
      <c r="G23" s="17" t="n">
        <f aca="false">RHO_PH(G20,G21)</f>
        <v>0.0640220986240443</v>
      </c>
      <c r="H23" s="16" t="s">
        <v>19</v>
      </c>
      <c r="I23" s="9"/>
    </row>
    <row r="24" customFormat="false" ht="12.75" hidden="false" customHeight="false" outlineLevel="0" collapsed="false">
      <c r="A24" s="9"/>
      <c r="B24" s="14" t="s">
        <v>20</v>
      </c>
      <c r="C24" s="17" t="n">
        <f aca="false">S_PT(C20,C21)</f>
        <v>9.0604341729713</v>
      </c>
      <c r="D24" s="16" t="s">
        <v>21</v>
      </c>
      <c r="E24" s="9"/>
      <c r="F24" s="14" t="s">
        <v>20</v>
      </c>
      <c r="G24" s="17" t="n">
        <f aca="false">S_PH(G20,G21)</f>
        <v>8.59542341318828</v>
      </c>
      <c r="H24" s="16" t="s">
        <v>21</v>
      </c>
      <c r="I24" s="9"/>
    </row>
    <row r="25" customFormat="false" ht="12.75" hidden="false" customHeight="false" outlineLevel="0" collapsed="false">
      <c r="A25" s="9"/>
      <c r="B25" s="14" t="s">
        <v>30</v>
      </c>
      <c r="C25" s="1" t="n">
        <f aca="false">X_PH(C20,C22)*100</f>
        <v>100</v>
      </c>
      <c r="D25" s="16" t="s">
        <v>31</v>
      </c>
      <c r="F25" s="14" t="s">
        <v>30</v>
      </c>
      <c r="G25" s="1" t="n">
        <f aca="false">X_PH(G20,G21)*100</f>
        <v>100</v>
      </c>
      <c r="H25" s="16" t="s">
        <v>31</v>
      </c>
      <c r="I25" s="9"/>
    </row>
    <row r="26" customFormat="false" ht="12.75" hidden="false" customHeight="false" outlineLevel="0" collapsed="false">
      <c r="A26" s="9"/>
      <c r="B26" s="14" t="s">
        <v>32</v>
      </c>
      <c r="C26" s="9" t="n">
        <f aca="false">REGION_PT(C20/10,C21+273.15)</f>
        <v>1</v>
      </c>
      <c r="D26" s="16"/>
      <c r="E26" s="9"/>
      <c r="F26" s="14" t="s">
        <v>32</v>
      </c>
      <c r="G26" s="9" t="n">
        <f aca="false">REGION_PH(G20/10,G21)</f>
        <v>2</v>
      </c>
      <c r="H26" s="16"/>
      <c r="I26" s="9"/>
    </row>
    <row r="27" customFormat="false" ht="12.75" hidden="false" customHeight="false" outlineLevel="0" collapsed="false">
      <c r="A27" s="9"/>
      <c r="B27" s="14" t="s">
        <v>33</v>
      </c>
      <c r="C27" s="26" t="str">
        <f aca="false">IF(C26=2,"Steam",IF(C26=1,"Liquid",IF(C26=4,"Mixture","")))</f>
        <v>Liquid</v>
      </c>
      <c r="D27" s="16"/>
      <c r="E27" s="9"/>
      <c r="F27" s="14" t="s">
        <v>33</v>
      </c>
      <c r="G27" s="26" t="str">
        <f aca="false">IF(G26=2,"Steam",IF(G26=1,"Liquid",IF(G26=4,"Mixture","")))</f>
        <v>Steam</v>
      </c>
      <c r="H27" s="16"/>
      <c r="I27" s="9"/>
    </row>
    <row r="28" customFormat="false" ht="12.75" hidden="false" customHeight="false" outlineLevel="0" collapsed="false">
      <c r="B28" s="14" t="s">
        <v>34</v>
      </c>
      <c r="C28" s="9" t="n">
        <f aca="false">CP_PT(C20,C21)</f>
        <v>1.87432544104745</v>
      </c>
      <c r="D28" s="16" t="s">
        <v>17</v>
      </c>
      <c r="F28" s="14" t="s">
        <v>34</v>
      </c>
      <c r="G28" s="9" t="n">
        <f aca="false">CP_PH(G20,G21)</f>
        <v>1.92294619184134</v>
      </c>
      <c r="H28" s="16" t="s">
        <v>17</v>
      </c>
    </row>
    <row r="29" customFormat="false" ht="12.75" hidden="false" customHeight="false" outlineLevel="0" collapsed="false">
      <c r="B29" s="20" t="s">
        <v>35</v>
      </c>
      <c r="C29" s="27" t="n">
        <f aca="false">W_PT(C20,C21)</f>
        <v>423.847638254217</v>
      </c>
      <c r="D29" s="22" t="s">
        <v>36</v>
      </c>
      <c r="F29" s="20" t="s">
        <v>35</v>
      </c>
      <c r="G29" s="27" t="n">
        <f aca="false">W_PH(G20,G21)</f>
        <v>508.560687210867</v>
      </c>
      <c r="H29" s="22" t="s">
        <v>36</v>
      </c>
    </row>
  </sheetData>
  <hyperlinks>
    <hyperlink ref="B4" r:id="rId1" display="www.x-eng.com"/>
  </hyperlinks>
  <printOptions headings="false" gridLines="false" gridLinesSet="true" horizontalCentered="false" verticalCentered="false"/>
  <pageMargins left="0.75" right="0.75" top="1" bottom="1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M147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D38" activeCellId="0" sqref="D38"/>
    </sheetView>
  </sheetViews>
  <sheetFormatPr defaultRowHeight="12.75" zeroHeight="false" outlineLevelRow="1" outlineLevelCol="0"/>
  <cols>
    <col collapsed="false" customWidth="true" hidden="false" outlineLevel="0" max="1" min="1" style="1" width="24.15"/>
    <col collapsed="false" customWidth="true" hidden="false" outlineLevel="0" max="2" min="2" style="1" width="4.71"/>
    <col collapsed="false" customWidth="true" hidden="false" outlineLevel="0" max="3" min="3" style="1" width="7.71"/>
    <col collapsed="false" customWidth="true" hidden="false" outlineLevel="0" max="4" min="4" style="1" width="4.71"/>
    <col collapsed="false" customWidth="true" hidden="false" outlineLevel="0" max="5" min="5" style="1" width="8.29"/>
    <col collapsed="false" customWidth="true" hidden="false" outlineLevel="0" max="6" min="6" style="5" width="10.42"/>
    <col collapsed="false" customWidth="true" hidden="false" outlineLevel="0" max="7" min="7" style="5" width="9.13"/>
    <col collapsed="false" customWidth="true" hidden="false" outlineLevel="0" max="8" min="8" style="3" width="7.57"/>
    <col collapsed="false" customWidth="true" hidden="false" outlineLevel="0" max="256" min="9" style="1" width="9.13"/>
    <col collapsed="false" customWidth="true" hidden="false" outlineLevel="0" max="257" min="257" style="1" width="24.15"/>
    <col collapsed="false" customWidth="true" hidden="false" outlineLevel="0" max="258" min="258" style="1" width="4.71"/>
    <col collapsed="false" customWidth="true" hidden="false" outlineLevel="0" max="259" min="259" style="1" width="7.71"/>
    <col collapsed="false" customWidth="true" hidden="false" outlineLevel="0" max="260" min="260" style="1" width="4.71"/>
    <col collapsed="false" customWidth="true" hidden="false" outlineLevel="0" max="261" min="261" style="1" width="8.29"/>
    <col collapsed="false" customWidth="true" hidden="false" outlineLevel="0" max="262" min="262" style="1" width="10.42"/>
    <col collapsed="false" customWidth="true" hidden="false" outlineLevel="0" max="263" min="263" style="1" width="9.13"/>
    <col collapsed="false" customWidth="true" hidden="false" outlineLevel="0" max="264" min="264" style="1" width="7.57"/>
    <col collapsed="false" customWidth="true" hidden="false" outlineLevel="0" max="512" min="265" style="1" width="9.13"/>
    <col collapsed="false" customWidth="true" hidden="false" outlineLevel="0" max="513" min="513" style="1" width="24.15"/>
    <col collapsed="false" customWidth="true" hidden="false" outlineLevel="0" max="514" min="514" style="1" width="4.71"/>
    <col collapsed="false" customWidth="true" hidden="false" outlineLevel="0" max="515" min="515" style="1" width="7.71"/>
    <col collapsed="false" customWidth="true" hidden="false" outlineLevel="0" max="516" min="516" style="1" width="4.71"/>
    <col collapsed="false" customWidth="true" hidden="false" outlineLevel="0" max="517" min="517" style="1" width="8.29"/>
    <col collapsed="false" customWidth="true" hidden="false" outlineLevel="0" max="518" min="518" style="1" width="10.42"/>
    <col collapsed="false" customWidth="true" hidden="false" outlineLevel="0" max="519" min="519" style="1" width="9.13"/>
    <col collapsed="false" customWidth="true" hidden="false" outlineLevel="0" max="520" min="520" style="1" width="7.57"/>
    <col collapsed="false" customWidth="true" hidden="false" outlineLevel="0" max="768" min="521" style="1" width="9.13"/>
    <col collapsed="false" customWidth="true" hidden="false" outlineLevel="0" max="769" min="769" style="1" width="24.15"/>
    <col collapsed="false" customWidth="true" hidden="false" outlineLevel="0" max="770" min="770" style="1" width="4.71"/>
    <col collapsed="false" customWidth="true" hidden="false" outlineLevel="0" max="771" min="771" style="1" width="7.71"/>
    <col collapsed="false" customWidth="true" hidden="false" outlineLevel="0" max="772" min="772" style="1" width="4.71"/>
    <col collapsed="false" customWidth="true" hidden="false" outlineLevel="0" max="773" min="773" style="1" width="8.29"/>
    <col collapsed="false" customWidth="true" hidden="false" outlineLevel="0" max="774" min="774" style="1" width="10.42"/>
    <col collapsed="false" customWidth="true" hidden="false" outlineLevel="0" max="775" min="775" style="1" width="9.13"/>
    <col collapsed="false" customWidth="true" hidden="false" outlineLevel="0" max="776" min="776" style="1" width="7.57"/>
    <col collapsed="false" customWidth="true" hidden="false" outlineLevel="0" max="1025" min="777" style="1" width="9.13"/>
  </cols>
  <sheetData>
    <row r="1" s="28" customFormat="true" ht="18" hidden="false" customHeight="false" outlineLevel="0" collapsed="false">
      <c r="A1" s="2" t="s">
        <v>0</v>
      </c>
      <c r="D1" s="3" t="s">
        <v>37</v>
      </c>
      <c r="E1" s="29" t="s">
        <v>38</v>
      </c>
      <c r="F1" s="2"/>
      <c r="G1" s="2"/>
    </row>
    <row r="2" s="30" customFormat="true" ht="11.25" hidden="false" customHeight="false" outlineLevel="0" collapsed="false">
      <c r="A2" s="30" t="s">
        <v>39</v>
      </c>
    </row>
    <row r="3" s="4" customFormat="true" ht="11.25" hidden="false" customHeight="false" outlineLevel="0" collapsed="false">
      <c r="A3" s="4" t="s">
        <v>40</v>
      </c>
    </row>
    <row r="4" s="4" customFormat="true" ht="11.25" hidden="false" customHeight="false" outlineLevel="0" collapsed="false">
      <c r="A4" s="4" t="s">
        <v>41</v>
      </c>
      <c r="F4" s="6" t="s">
        <v>42</v>
      </c>
    </row>
    <row r="5" s="4" customFormat="true" ht="11.25" hidden="false" customHeight="false" outlineLevel="0" collapsed="false">
      <c r="A5" s="4" t="s">
        <v>4</v>
      </c>
    </row>
    <row r="6" customFormat="false" ht="12.75" hidden="false" customHeight="false" outlineLevel="0" collapsed="false">
      <c r="A6" s="30" t="s">
        <v>6</v>
      </c>
      <c r="B6" s="3"/>
      <c r="C6" s="3"/>
      <c r="D6" s="3"/>
      <c r="E6" s="3"/>
      <c r="F6" s="3"/>
      <c r="G6" s="3"/>
    </row>
    <row r="7" customFormat="false" ht="12.75" hidden="false" customHeight="false" outlineLevel="0" collapsed="false">
      <c r="A7" s="30"/>
      <c r="B7" s="3"/>
      <c r="C7" s="3"/>
      <c r="D7" s="3"/>
      <c r="E7" s="3"/>
      <c r="F7" s="3"/>
      <c r="G7" s="3"/>
    </row>
    <row r="8" s="32" customFormat="true" ht="15" hidden="false" customHeight="false" outlineLevel="0" collapsed="false">
      <c r="A8" s="31" t="s">
        <v>9</v>
      </c>
      <c r="F8" s="33"/>
      <c r="G8" s="33"/>
    </row>
    <row r="9" s="4" customFormat="true" ht="12.75" hidden="false" customHeight="false" outlineLevel="1" collapsed="false">
      <c r="A9" s="5" t="s">
        <v>43</v>
      </c>
      <c r="B9" s="3" t="n">
        <v>100</v>
      </c>
      <c r="C9" s="3" t="s">
        <v>12</v>
      </c>
      <c r="D9" s="3"/>
      <c r="E9" s="3"/>
      <c r="F9" s="5" t="n">
        <f aca="false">TSAT_P(B9)</f>
        <v>99.6059186113376</v>
      </c>
      <c r="G9" s="5" t="s">
        <v>10</v>
      </c>
      <c r="H9" s="3" t="s">
        <v>14</v>
      </c>
    </row>
    <row r="10" s="4" customFormat="true" ht="12.75" hidden="false" customHeight="false" outlineLevel="1" collapsed="false">
      <c r="A10" s="5" t="s">
        <v>44</v>
      </c>
      <c r="B10" s="3" t="n">
        <v>100</v>
      </c>
      <c r="C10" s="3" t="s">
        <v>12</v>
      </c>
      <c r="D10" s="3" t="n">
        <v>100</v>
      </c>
      <c r="E10" s="3" t="s">
        <v>17</v>
      </c>
      <c r="F10" s="5" t="n">
        <f aca="false">T_PH(B10,D10)</f>
        <v>23.8448190753248</v>
      </c>
      <c r="G10" s="5" t="s">
        <v>10</v>
      </c>
      <c r="H10" s="3" t="s">
        <v>45</v>
      </c>
    </row>
    <row r="11" s="4" customFormat="true" ht="12.75" hidden="false" customHeight="false" outlineLevel="1" collapsed="false">
      <c r="A11" s="5" t="s">
        <v>46</v>
      </c>
      <c r="B11" s="3" t="n">
        <v>100</v>
      </c>
      <c r="C11" s="3" t="s">
        <v>12</v>
      </c>
      <c r="D11" s="3" t="n">
        <v>1</v>
      </c>
      <c r="E11" s="3" t="s">
        <v>47</v>
      </c>
      <c r="F11" s="5" t="n">
        <f aca="false">T_PS(B11,D11)</f>
        <v>73.7085942144087</v>
      </c>
      <c r="G11" s="5" t="s">
        <v>10</v>
      </c>
      <c r="H11" s="3" t="s">
        <v>48</v>
      </c>
    </row>
    <row r="12" s="4" customFormat="true" ht="12.75" hidden="false" customHeight="false" outlineLevel="1" collapsed="false">
      <c r="A12" s="5" t="s">
        <v>49</v>
      </c>
      <c r="B12" s="3" t="n">
        <v>100</v>
      </c>
      <c r="C12" s="3" t="s">
        <v>17</v>
      </c>
      <c r="D12" s="3" t="n">
        <v>0.2</v>
      </c>
      <c r="E12" s="3" t="s">
        <v>47</v>
      </c>
      <c r="F12" s="5" t="n">
        <f aca="false">T_HS(B12,D12)</f>
        <v>13.8493351118726</v>
      </c>
      <c r="G12" s="5" t="s">
        <v>10</v>
      </c>
      <c r="H12" s="3" t="s">
        <v>50</v>
      </c>
    </row>
    <row r="13" s="32" customFormat="true" ht="15" hidden="false" customHeight="false" outlineLevel="0" collapsed="false">
      <c r="A13" s="31" t="s">
        <v>11</v>
      </c>
      <c r="F13" s="33"/>
      <c r="G13" s="33"/>
    </row>
    <row r="14" s="4" customFormat="true" ht="12.75" hidden="false" customHeight="false" outlineLevel="1" collapsed="false">
      <c r="A14" s="5" t="s">
        <v>51</v>
      </c>
      <c r="B14" s="3" t="n">
        <v>100</v>
      </c>
      <c r="C14" s="3" t="s">
        <v>10</v>
      </c>
      <c r="D14" s="3"/>
      <c r="E14" s="3"/>
      <c r="F14" s="5" t="n">
        <f aca="false">PSAT_T(B14)</f>
        <v>101.41797792131</v>
      </c>
      <c r="G14" s="5" t="s">
        <v>52</v>
      </c>
      <c r="H14" s="3" t="s">
        <v>13</v>
      </c>
    </row>
    <row r="15" s="4" customFormat="true" ht="12.75" hidden="false" customHeight="false" outlineLevel="1" collapsed="false">
      <c r="A15" s="5" t="s">
        <v>53</v>
      </c>
      <c r="B15" s="3" t="n">
        <v>84</v>
      </c>
      <c r="C15" s="3" t="s">
        <v>17</v>
      </c>
      <c r="D15" s="3" t="n">
        <v>0.296</v>
      </c>
      <c r="E15" s="3" t="s">
        <v>47</v>
      </c>
      <c r="F15" s="5" t="n">
        <f aca="false">P_HS(B15,D15)</f>
        <v>229.549826928091</v>
      </c>
      <c r="G15" s="5" t="s">
        <v>52</v>
      </c>
      <c r="H15" s="3" t="s">
        <v>54</v>
      </c>
    </row>
    <row r="16" s="4" customFormat="true" ht="12.75" hidden="false" customHeight="false" outlineLevel="1" collapsed="false">
      <c r="A16" s="5" t="s">
        <v>55</v>
      </c>
      <c r="B16" s="3" t="n">
        <v>2000</v>
      </c>
      <c r="C16" s="3" t="s">
        <v>17</v>
      </c>
      <c r="D16" s="3" t="n">
        <v>5</v>
      </c>
      <c r="E16" s="3" t="s">
        <v>19</v>
      </c>
      <c r="F16" s="5" t="n">
        <f aca="false">P_HRHO(B16,D16)</f>
        <v>604.646887793206</v>
      </c>
      <c r="G16" s="5" t="s">
        <v>52</v>
      </c>
      <c r="H16" s="3" t="s">
        <v>56</v>
      </c>
    </row>
    <row r="17" s="32" customFormat="true" ht="15" hidden="false" customHeight="false" outlineLevel="0" collapsed="false">
      <c r="A17" s="31" t="s">
        <v>16</v>
      </c>
      <c r="F17" s="33"/>
      <c r="G17" s="33"/>
    </row>
    <row r="18" s="4" customFormat="true" ht="12.75" hidden="false" customHeight="false" outlineLevel="1" collapsed="false">
      <c r="A18" s="5" t="s">
        <v>57</v>
      </c>
      <c r="B18" s="3" t="n">
        <v>100</v>
      </c>
      <c r="C18" s="3" t="s">
        <v>12</v>
      </c>
      <c r="D18" s="3"/>
      <c r="E18" s="3"/>
      <c r="F18" s="5" t="n">
        <f aca="false">HV_P(B18)</f>
        <v>2674.94964083215</v>
      </c>
      <c r="G18" s="5" t="s">
        <v>17</v>
      </c>
      <c r="H18" s="3" t="s">
        <v>58</v>
      </c>
    </row>
    <row r="19" s="4" customFormat="true" ht="12.75" hidden="false" customHeight="false" outlineLevel="1" collapsed="false">
      <c r="A19" s="5" t="s">
        <v>59</v>
      </c>
      <c r="B19" s="3" t="n">
        <v>100</v>
      </c>
      <c r="C19" s="3" t="s">
        <v>12</v>
      </c>
      <c r="D19" s="3"/>
      <c r="E19" s="3"/>
      <c r="F19" s="5" t="n">
        <f aca="false">HL_P(B19)</f>
        <v>417.436485816232</v>
      </c>
      <c r="G19" s="5" t="s">
        <v>17</v>
      </c>
      <c r="H19" s="3" t="s">
        <v>60</v>
      </c>
    </row>
    <row r="20" s="4" customFormat="true" ht="12.75" hidden="false" customHeight="false" outlineLevel="1" collapsed="false">
      <c r="A20" s="5" t="s">
        <v>61</v>
      </c>
      <c r="B20" s="3" t="n">
        <v>100</v>
      </c>
      <c r="C20" s="3" t="s">
        <v>10</v>
      </c>
      <c r="D20" s="3"/>
      <c r="E20" s="3"/>
      <c r="F20" s="5" t="n">
        <f aca="false">HV_T(B20)</f>
        <v>2675.57202922083</v>
      </c>
      <c r="G20" s="5" t="s">
        <v>17</v>
      </c>
      <c r="H20" s="3" t="s">
        <v>58</v>
      </c>
    </row>
    <row r="21" s="4" customFormat="true" ht="12.75" hidden="false" customHeight="false" outlineLevel="1" collapsed="false">
      <c r="A21" s="5" t="s">
        <v>62</v>
      </c>
      <c r="B21" s="3" t="n">
        <v>100</v>
      </c>
      <c r="C21" s="3" t="s">
        <v>10</v>
      </c>
      <c r="D21" s="3"/>
      <c r="E21" s="3"/>
      <c r="F21" s="5" t="n">
        <f aca="false">HL_T(B21)</f>
        <v>419.099154997703</v>
      </c>
      <c r="G21" s="5" t="s">
        <v>17</v>
      </c>
      <c r="H21" s="3" t="s">
        <v>60</v>
      </c>
    </row>
    <row r="22" s="4" customFormat="true" ht="12.75" hidden="false" customHeight="false" outlineLevel="1" collapsed="false">
      <c r="A22" s="5" t="s">
        <v>63</v>
      </c>
      <c r="B22" s="3" t="n">
        <v>100</v>
      </c>
      <c r="C22" s="3" t="s">
        <v>12</v>
      </c>
      <c r="D22" s="3" t="n">
        <v>20</v>
      </c>
      <c r="E22" s="3" t="s">
        <v>10</v>
      </c>
      <c r="F22" s="5" t="n">
        <f aca="false">H_PT(B22,D22)</f>
        <v>84.0118111671364</v>
      </c>
      <c r="G22" s="5" t="s">
        <v>17</v>
      </c>
      <c r="H22" s="3" t="s">
        <v>64</v>
      </c>
    </row>
    <row r="23" s="4" customFormat="true" ht="12.75" hidden="false" customHeight="false" outlineLevel="1" collapsed="false">
      <c r="A23" s="5" t="s">
        <v>65</v>
      </c>
      <c r="B23" s="3" t="n">
        <v>100</v>
      </c>
      <c r="C23" s="3" t="s">
        <v>12</v>
      </c>
      <c r="D23" s="3" t="n">
        <v>1</v>
      </c>
      <c r="E23" s="3" t="s">
        <v>47</v>
      </c>
      <c r="F23" s="5" t="n">
        <f aca="false">H_PS(B23,D23)</f>
        <v>308.610717082946</v>
      </c>
      <c r="G23" s="5" t="s">
        <v>17</v>
      </c>
      <c r="H23" s="3" t="s">
        <v>66</v>
      </c>
    </row>
    <row r="24" s="4" customFormat="true" ht="12.75" hidden="false" customHeight="false" outlineLevel="1" collapsed="false">
      <c r="A24" s="5" t="s">
        <v>67</v>
      </c>
      <c r="B24" s="3" t="n">
        <v>100</v>
      </c>
      <c r="C24" s="3" t="s">
        <v>12</v>
      </c>
      <c r="D24" s="3" t="n">
        <v>0.5</v>
      </c>
      <c r="E24" s="3"/>
      <c r="F24" s="5" t="n">
        <f aca="false">H_PX(B24,D24)</f>
        <v>1546.19306332419</v>
      </c>
      <c r="G24" s="5" t="s">
        <v>17</v>
      </c>
      <c r="H24" s="3" t="s">
        <v>68</v>
      </c>
    </row>
    <row r="25" s="4" customFormat="true" ht="12.75" hidden="false" customHeight="false" outlineLevel="1" collapsed="false">
      <c r="A25" s="5" t="s">
        <v>69</v>
      </c>
      <c r="B25" s="3" t="n">
        <v>100</v>
      </c>
      <c r="C25" s="3" t="s">
        <v>10</v>
      </c>
      <c r="D25" s="3" t="n">
        <v>0.5</v>
      </c>
      <c r="E25" s="3"/>
      <c r="F25" s="5" t="n">
        <f aca="false">H_TX(B25,D25)</f>
        <v>1547.33559210927</v>
      </c>
      <c r="G25" s="5" t="s">
        <v>17</v>
      </c>
      <c r="H25" s="3" t="s">
        <v>70</v>
      </c>
    </row>
    <row r="26" s="4" customFormat="true" ht="12.75" hidden="false" customHeight="false" outlineLevel="1" collapsed="false">
      <c r="A26" s="5" t="s">
        <v>71</v>
      </c>
      <c r="B26" s="3" t="n">
        <v>100</v>
      </c>
      <c r="C26" s="3" t="s">
        <v>12</v>
      </c>
      <c r="D26" s="3" t="n">
        <v>2</v>
      </c>
      <c r="E26" s="3" t="s">
        <v>19</v>
      </c>
      <c r="F26" s="5" t="n">
        <f aca="false">H_PRHO(B26,D26)</f>
        <v>1082.77339076002</v>
      </c>
      <c r="G26" s="5" t="s">
        <v>17</v>
      </c>
      <c r="H26" s="3" t="s">
        <v>72</v>
      </c>
    </row>
    <row r="27" s="32" customFormat="true" ht="15" hidden="false" customHeight="false" outlineLevel="0" collapsed="false">
      <c r="A27" s="31" t="s">
        <v>73</v>
      </c>
      <c r="F27" s="33"/>
      <c r="G27" s="33"/>
    </row>
    <row r="28" s="4" customFormat="true" ht="12.75" hidden="false" customHeight="false" outlineLevel="1" collapsed="false">
      <c r="A28" s="5" t="s">
        <v>74</v>
      </c>
      <c r="B28" s="3" t="n">
        <v>100</v>
      </c>
      <c r="C28" s="3" t="s">
        <v>12</v>
      </c>
      <c r="D28" s="3"/>
      <c r="E28" s="3"/>
      <c r="F28" s="5" t="n">
        <f aca="false">VV_P(B28)</f>
        <v>1.69402252290268</v>
      </c>
      <c r="G28" s="5" t="s">
        <v>75</v>
      </c>
      <c r="H28" s="3" t="s">
        <v>76</v>
      </c>
    </row>
    <row r="29" s="4" customFormat="true" ht="12.75" hidden="false" customHeight="false" outlineLevel="1" collapsed="false">
      <c r="A29" s="5" t="s">
        <v>77</v>
      </c>
      <c r="B29" s="3" t="n">
        <v>100</v>
      </c>
      <c r="C29" s="3" t="s">
        <v>12</v>
      </c>
      <c r="D29" s="3"/>
      <c r="E29" s="3"/>
      <c r="F29" s="5" t="n">
        <f aca="false">VL_P(B29)</f>
        <v>0.00104314783915518</v>
      </c>
      <c r="G29" s="5" t="s">
        <v>75</v>
      </c>
      <c r="H29" s="3" t="s">
        <v>78</v>
      </c>
    </row>
    <row r="30" s="4" customFormat="true" ht="12.75" hidden="false" customHeight="false" outlineLevel="1" collapsed="false">
      <c r="A30" s="5" t="s">
        <v>79</v>
      </c>
      <c r="B30" s="3" t="n">
        <v>100</v>
      </c>
      <c r="C30" s="3" t="s">
        <v>10</v>
      </c>
      <c r="D30" s="3"/>
      <c r="E30" s="3"/>
      <c r="F30" s="5" t="n">
        <f aca="false">VV_T(B30)</f>
        <v>1.67186060109404</v>
      </c>
      <c r="G30" s="5" t="s">
        <v>75</v>
      </c>
      <c r="H30" s="3" t="s">
        <v>76</v>
      </c>
    </row>
    <row r="31" s="4" customFormat="true" ht="12.75" hidden="false" customHeight="false" outlineLevel="1" collapsed="false">
      <c r="A31" s="5" t="s">
        <v>80</v>
      </c>
      <c r="B31" s="3" t="n">
        <v>100</v>
      </c>
      <c r="C31" s="3" t="s">
        <v>10</v>
      </c>
      <c r="D31" s="3"/>
      <c r="E31" s="3"/>
      <c r="F31" s="5" t="n">
        <f aca="false">VL_T(B31)</f>
        <v>0.00104345545661053</v>
      </c>
      <c r="G31" s="5" t="s">
        <v>75</v>
      </c>
      <c r="H31" s="3" t="s">
        <v>78</v>
      </c>
    </row>
    <row r="32" s="4" customFormat="true" ht="12.75" hidden="false" customHeight="false" outlineLevel="1" collapsed="false">
      <c r="A32" s="5" t="s">
        <v>81</v>
      </c>
      <c r="B32" s="3" t="n">
        <v>100</v>
      </c>
      <c r="C32" s="3" t="s">
        <v>12</v>
      </c>
      <c r="D32" s="3" t="n">
        <v>100</v>
      </c>
      <c r="E32" s="3" t="s">
        <v>10</v>
      </c>
      <c r="F32" s="5" t="n">
        <f aca="false">V_PT(B32,D32)</f>
        <v>1.69595940739822</v>
      </c>
      <c r="G32" s="5" t="s">
        <v>75</v>
      </c>
      <c r="H32" s="3" t="s">
        <v>82</v>
      </c>
    </row>
    <row r="33" s="4" customFormat="true" ht="12.75" hidden="false" customHeight="false" outlineLevel="1" collapsed="false">
      <c r="A33" s="5" t="s">
        <v>83</v>
      </c>
      <c r="B33" s="3" t="n">
        <v>100</v>
      </c>
      <c r="C33" s="3" t="s">
        <v>12</v>
      </c>
      <c r="D33" s="3" t="n">
        <v>1000</v>
      </c>
      <c r="E33" s="3" t="s">
        <v>17</v>
      </c>
      <c r="F33" s="5" t="n">
        <f aca="false">V_PH(B33,D33)</f>
        <v>0.437925658129864</v>
      </c>
      <c r="G33" s="5" t="s">
        <v>75</v>
      </c>
      <c r="H33" s="3" t="s">
        <v>84</v>
      </c>
    </row>
    <row r="34" s="4" customFormat="true" ht="12.75" hidden="false" customHeight="false" outlineLevel="1" collapsed="false">
      <c r="A34" s="5" t="s">
        <v>85</v>
      </c>
      <c r="B34" s="3" t="n">
        <v>100</v>
      </c>
      <c r="C34" s="3" t="s">
        <v>12</v>
      </c>
      <c r="D34" s="3" t="n">
        <v>5</v>
      </c>
      <c r="E34" s="3" t="s">
        <v>47</v>
      </c>
      <c r="F34" s="5" t="n">
        <f aca="false">V_PS(B34,D34)</f>
        <v>1.03463539018629</v>
      </c>
      <c r="G34" s="5" t="s">
        <v>75</v>
      </c>
      <c r="H34" s="3" t="s">
        <v>86</v>
      </c>
    </row>
    <row r="35" s="32" customFormat="true" ht="15" hidden="false" customHeight="false" outlineLevel="0" collapsed="false">
      <c r="A35" s="31" t="s">
        <v>18</v>
      </c>
      <c r="F35" s="33"/>
      <c r="G35" s="33"/>
    </row>
    <row r="36" s="4" customFormat="true" ht="12.75" hidden="false" customHeight="false" outlineLevel="1" collapsed="false">
      <c r="A36" s="5" t="s">
        <v>87</v>
      </c>
      <c r="B36" s="3" t="n">
        <v>100</v>
      </c>
      <c r="C36" s="3" t="s">
        <v>12</v>
      </c>
      <c r="D36" s="3"/>
      <c r="E36" s="3"/>
      <c r="F36" s="5" t="n">
        <f aca="false">RHOV_P(B36)</f>
        <v>0.590310923544578</v>
      </c>
      <c r="G36" s="5" t="s">
        <v>19</v>
      </c>
      <c r="H36" s="3" t="s">
        <v>88</v>
      </c>
    </row>
    <row r="37" s="4" customFormat="true" ht="12.75" hidden="false" customHeight="false" outlineLevel="1" collapsed="false">
      <c r="A37" s="5" t="s">
        <v>89</v>
      </c>
      <c r="B37" s="3" t="n">
        <v>100</v>
      </c>
      <c r="C37" s="3" t="s">
        <v>12</v>
      </c>
      <c r="D37" s="3"/>
      <c r="E37" s="3"/>
      <c r="F37" s="5" t="n">
        <f aca="false">RHOL_P(B37)</f>
        <v>958.636889676033</v>
      </c>
      <c r="G37" s="5" t="s">
        <v>19</v>
      </c>
      <c r="H37" s="3" t="s">
        <v>90</v>
      </c>
    </row>
    <row r="38" s="4" customFormat="true" ht="12.75" hidden="false" customHeight="false" outlineLevel="1" collapsed="false">
      <c r="A38" s="5" t="s">
        <v>91</v>
      </c>
      <c r="B38" s="3" t="n">
        <v>100</v>
      </c>
      <c r="C38" s="3" t="s">
        <v>10</v>
      </c>
      <c r="D38" s="3"/>
      <c r="E38" s="3"/>
      <c r="F38" s="5" t="n">
        <f aca="false">RHOV_T(B38)</f>
        <v>0.598135992525703</v>
      </c>
      <c r="G38" s="5" t="s">
        <v>19</v>
      </c>
      <c r="H38" s="3" t="s">
        <v>88</v>
      </c>
    </row>
    <row r="39" s="4" customFormat="true" ht="12.75" hidden="false" customHeight="false" outlineLevel="1" collapsed="false">
      <c r="A39" s="5" t="s">
        <v>92</v>
      </c>
      <c r="B39" s="3" t="n">
        <v>100</v>
      </c>
      <c r="C39" s="3" t="s">
        <v>10</v>
      </c>
      <c r="D39" s="3"/>
      <c r="E39" s="3"/>
      <c r="F39" s="5" t="n">
        <f aca="false">RHOL_T(B39)</f>
        <v>958.35427728589</v>
      </c>
      <c r="G39" s="5" t="s">
        <v>19</v>
      </c>
      <c r="H39" s="3" t="s">
        <v>90</v>
      </c>
    </row>
    <row r="40" s="4" customFormat="true" ht="12.75" hidden="false" customHeight="false" outlineLevel="1" collapsed="false">
      <c r="A40" s="5" t="s">
        <v>93</v>
      </c>
      <c r="B40" s="3" t="n">
        <v>100</v>
      </c>
      <c r="C40" s="3" t="s">
        <v>12</v>
      </c>
      <c r="D40" s="3" t="n">
        <v>100</v>
      </c>
      <c r="E40" s="3" t="s">
        <v>10</v>
      </c>
      <c r="F40" s="5" t="n">
        <f aca="false">RHO_PT(B40,D40)</f>
        <v>0.589636754062471</v>
      </c>
      <c r="G40" s="5" t="s">
        <v>19</v>
      </c>
      <c r="H40" s="3" t="s">
        <v>94</v>
      </c>
    </row>
    <row r="41" s="4" customFormat="true" ht="12.75" hidden="false" customHeight="false" outlineLevel="1" collapsed="false">
      <c r="A41" s="5" t="s">
        <v>95</v>
      </c>
      <c r="B41" s="3" t="n">
        <v>100</v>
      </c>
      <c r="C41" s="3" t="s">
        <v>12</v>
      </c>
      <c r="D41" s="3" t="n">
        <v>1000</v>
      </c>
      <c r="E41" s="3" t="s">
        <v>17</v>
      </c>
      <c r="F41" s="5" t="n">
        <f aca="false">RHO_PH(B41,D41)</f>
        <v>2.28349260070863</v>
      </c>
      <c r="G41" s="5" t="s">
        <v>19</v>
      </c>
      <c r="H41" s="3" t="s">
        <v>96</v>
      </c>
    </row>
    <row r="42" s="4" customFormat="true" ht="12.75" hidden="false" customHeight="false" outlineLevel="1" collapsed="false">
      <c r="A42" s="5" t="s">
        <v>97</v>
      </c>
      <c r="B42" s="3" t="n">
        <v>100</v>
      </c>
      <c r="C42" s="3" t="s">
        <v>12</v>
      </c>
      <c r="D42" s="3" t="n">
        <v>1</v>
      </c>
      <c r="E42" s="3" t="s">
        <v>47</v>
      </c>
      <c r="F42" s="5" t="n">
        <f aca="false">RHO_PS(B42,D42)</f>
        <v>975.623678848232</v>
      </c>
      <c r="G42" s="5" t="s">
        <v>19</v>
      </c>
      <c r="H42" s="3" t="s">
        <v>98</v>
      </c>
    </row>
    <row r="43" s="32" customFormat="true" ht="15" hidden="false" customHeight="false" outlineLevel="0" collapsed="false">
      <c r="A43" s="31" t="s">
        <v>99</v>
      </c>
      <c r="F43" s="33"/>
      <c r="G43" s="33"/>
    </row>
    <row r="44" s="4" customFormat="true" ht="12.75" hidden="false" customHeight="false" outlineLevel="1" collapsed="false">
      <c r="A44" s="5" t="s">
        <v>100</v>
      </c>
      <c r="B44" s="3" t="n">
        <v>1</v>
      </c>
      <c r="C44" s="3" t="s">
        <v>12</v>
      </c>
      <c r="D44" s="3"/>
      <c r="E44" s="3"/>
      <c r="F44" s="5" t="n">
        <f aca="false">SV_P(B44)</f>
        <v>8.97492979038626</v>
      </c>
      <c r="G44" s="5" t="s">
        <v>47</v>
      </c>
      <c r="H44" s="3" t="s">
        <v>101</v>
      </c>
    </row>
    <row r="45" s="4" customFormat="true" ht="12.75" hidden="false" customHeight="false" outlineLevel="1" collapsed="false">
      <c r="A45" s="5" t="s">
        <v>102</v>
      </c>
      <c r="B45" s="3" t="n">
        <v>1</v>
      </c>
      <c r="C45" s="3" t="s">
        <v>12</v>
      </c>
      <c r="D45" s="3"/>
      <c r="E45" s="3"/>
      <c r="F45" s="5" t="n">
        <f aca="false">SL_P(B45)</f>
        <v>0.105910447662535</v>
      </c>
      <c r="G45" s="5" t="s">
        <v>47</v>
      </c>
      <c r="H45" s="3" t="s">
        <v>103</v>
      </c>
    </row>
    <row r="46" s="4" customFormat="true" ht="12.75" hidden="false" customHeight="false" outlineLevel="1" collapsed="false">
      <c r="A46" s="5" t="s">
        <v>104</v>
      </c>
      <c r="B46" s="3" t="n">
        <v>0.0001</v>
      </c>
      <c r="C46" s="3" t="s">
        <v>10</v>
      </c>
      <c r="D46" s="3"/>
      <c r="E46" s="3"/>
      <c r="F46" s="5" t="n">
        <f aca="false">SV_T(B46)</f>
        <v>9.15575671588559</v>
      </c>
      <c r="G46" s="5" t="s">
        <v>47</v>
      </c>
      <c r="H46" s="3" t="s">
        <v>101</v>
      </c>
    </row>
    <row r="47" s="4" customFormat="true" ht="12.75" hidden="false" customHeight="false" outlineLevel="1" collapsed="false">
      <c r="A47" s="5" t="s">
        <v>105</v>
      </c>
      <c r="B47" s="3" t="n">
        <v>100</v>
      </c>
      <c r="C47" s="3" t="s">
        <v>10</v>
      </c>
      <c r="D47" s="3"/>
      <c r="E47" s="3"/>
      <c r="F47" s="5" t="n">
        <f aca="false">SL_T(B47)</f>
        <v>1.30701432784134</v>
      </c>
      <c r="G47" s="5" t="s">
        <v>47</v>
      </c>
      <c r="H47" s="3" t="s">
        <v>103</v>
      </c>
    </row>
    <row r="48" s="4" customFormat="true" ht="12.75" hidden="false" customHeight="false" outlineLevel="1" collapsed="false">
      <c r="A48" s="5" t="s">
        <v>106</v>
      </c>
      <c r="B48" s="3" t="n">
        <v>100</v>
      </c>
      <c r="C48" s="3" t="s">
        <v>12</v>
      </c>
      <c r="D48" s="3" t="n">
        <v>20</v>
      </c>
      <c r="E48" s="3" t="s">
        <v>10</v>
      </c>
      <c r="F48" s="5" t="n">
        <f aca="false">S_PT(B48,D48)</f>
        <v>0.29648292080641</v>
      </c>
      <c r="G48" s="5" t="s">
        <v>47</v>
      </c>
      <c r="H48" s="3" t="s">
        <v>107</v>
      </c>
    </row>
    <row r="49" s="4" customFormat="true" ht="12.75" hidden="false" customHeight="false" outlineLevel="1" collapsed="false">
      <c r="A49" s="5" t="s">
        <v>108</v>
      </c>
      <c r="B49" s="3" t="n">
        <v>100</v>
      </c>
      <c r="C49" s="3" t="s">
        <v>12</v>
      </c>
      <c r="D49" s="3" t="n">
        <f aca="false">F22</f>
        <v>84.0118111671364</v>
      </c>
      <c r="E49" s="3" t="s">
        <v>17</v>
      </c>
      <c r="F49" s="5" t="n">
        <f aca="false">S_PH(B49,D49)</f>
        <v>0.29681384467643</v>
      </c>
      <c r="G49" s="5" t="s">
        <v>47</v>
      </c>
      <c r="H49" s="3" t="s">
        <v>109</v>
      </c>
    </row>
    <row r="50" s="32" customFormat="true" ht="15" hidden="false" customHeight="false" outlineLevel="0" collapsed="false">
      <c r="A50" s="31" t="s">
        <v>110</v>
      </c>
      <c r="F50" s="33"/>
      <c r="G50" s="33"/>
    </row>
    <row r="51" s="4" customFormat="true" ht="12.75" hidden="false" customHeight="false" outlineLevel="1" collapsed="false">
      <c r="A51" s="5" t="s">
        <v>111</v>
      </c>
      <c r="B51" s="3" t="n">
        <v>100</v>
      </c>
      <c r="C51" s="3" t="s">
        <v>12</v>
      </c>
      <c r="D51" s="3"/>
      <c r="E51" s="3"/>
      <c r="F51" s="5" t="n">
        <f aca="false">UV_P(B51)</f>
        <v>2505.54738854188</v>
      </c>
      <c r="G51" s="5" t="s">
        <v>17</v>
      </c>
      <c r="H51" s="3" t="s">
        <v>112</v>
      </c>
    </row>
    <row r="52" s="4" customFormat="true" ht="12.75" hidden="false" customHeight="false" outlineLevel="1" collapsed="false">
      <c r="A52" s="5" t="s">
        <v>113</v>
      </c>
      <c r="B52" s="3" t="n">
        <v>100</v>
      </c>
      <c r="C52" s="3" t="s">
        <v>12</v>
      </c>
      <c r="D52" s="3"/>
      <c r="E52" s="3"/>
      <c r="F52" s="5" t="n">
        <f aca="false">UL_P(B52)</f>
        <v>417.332171032316</v>
      </c>
      <c r="G52" s="5" t="s">
        <v>17</v>
      </c>
      <c r="H52" s="3" t="s">
        <v>114</v>
      </c>
    </row>
    <row r="53" s="4" customFormat="true" ht="12.75" hidden="false" customHeight="false" outlineLevel="1" collapsed="false">
      <c r="A53" s="5" t="s">
        <v>115</v>
      </c>
      <c r="B53" s="3" t="n">
        <v>100</v>
      </c>
      <c r="C53" s="3" t="s">
        <v>10</v>
      </c>
      <c r="D53" s="3"/>
      <c r="E53" s="3"/>
      <c r="F53" s="5" t="n">
        <f aca="false">UV_T(B53)</f>
        <v>2506.01530769157</v>
      </c>
      <c r="G53" s="5" t="s">
        <v>17</v>
      </c>
      <c r="H53" s="3" t="s">
        <v>112</v>
      </c>
    </row>
    <row r="54" s="4" customFormat="true" ht="12.75" hidden="false" customHeight="false" outlineLevel="1" collapsed="false">
      <c r="A54" s="5" t="s">
        <v>116</v>
      </c>
      <c r="B54" s="3" t="n">
        <v>100</v>
      </c>
      <c r="C54" s="3" t="s">
        <v>10</v>
      </c>
      <c r="D54" s="3"/>
      <c r="E54" s="3"/>
      <c r="F54" s="5" t="n">
        <f aca="false">UL_T(B54)</f>
        <v>418.993329855243</v>
      </c>
      <c r="G54" s="5" t="s">
        <v>17</v>
      </c>
      <c r="H54" s="3" t="s">
        <v>114</v>
      </c>
    </row>
    <row r="55" s="4" customFormat="true" ht="12.75" hidden="false" customHeight="false" outlineLevel="1" collapsed="false">
      <c r="A55" s="5" t="s">
        <v>117</v>
      </c>
      <c r="B55" s="3" t="n">
        <v>100</v>
      </c>
      <c r="C55" s="3" t="s">
        <v>12</v>
      </c>
      <c r="D55" s="3" t="n">
        <v>100</v>
      </c>
      <c r="E55" s="3" t="s">
        <v>10</v>
      </c>
      <c r="F55" s="5" t="n">
        <f aca="false">U_PT(B55,D55)</f>
        <v>2506.17142646601</v>
      </c>
      <c r="G55" s="5" t="s">
        <v>17</v>
      </c>
      <c r="H55" s="3" t="s">
        <v>118</v>
      </c>
    </row>
    <row r="56" s="4" customFormat="true" ht="12.75" hidden="false" customHeight="false" outlineLevel="1" collapsed="false">
      <c r="A56" s="5" t="s">
        <v>119</v>
      </c>
      <c r="B56" s="3" t="n">
        <v>100</v>
      </c>
      <c r="C56" s="3" t="s">
        <v>12</v>
      </c>
      <c r="D56" s="3" t="n">
        <v>1000</v>
      </c>
      <c r="E56" s="3" t="s">
        <v>17</v>
      </c>
      <c r="F56" s="5" t="n">
        <f aca="false">U_PH(B56,D56)</f>
        <v>956.207434187014</v>
      </c>
      <c r="G56" s="5" t="s">
        <v>17</v>
      </c>
      <c r="H56" s="3" t="s">
        <v>120</v>
      </c>
    </row>
    <row r="57" s="4" customFormat="true" ht="12.75" hidden="false" customHeight="false" outlineLevel="1" collapsed="false">
      <c r="A57" s="5" t="s">
        <v>121</v>
      </c>
      <c r="B57" s="3" t="n">
        <v>100</v>
      </c>
      <c r="C57" s="3" t="s">
        <v>12</v>
      </c>
      <c r="D57" s="3" t="n">
        <v>1</v>
      </c>
      <c r="E57" s="3" t="s">
        <v>47</v>
      </c>
      <c r="F57" s="5" t="n">
        <f aca="false">U_PS(B57,D57)</f>
        <v>308.508218545684</v>
      </c>
      <c r="G57" s="5" t="s">
        <v>17</v>
      </c>
      <c r="H57" s="3" t="s">
        <v>122</v>
      </c>
    </row>
    <row r="58" s="32" customFormat="true" ht="15" hidden="false" customHeight="false" outlineLevel="0" collapsed="false">
      <c r="A58" s="31" t="s">
        <v>123</v>
      </c>
      <c r="F58" s="33"/>
      <c r="G58" s="33"/>
    </row>
    <row r="59" s="4" customFormat="true" ht="12.75" hidden="false" customHeight="false" outlineLevel="1" collapsed="false">
      <c r="A59" s="5" t="s">
        <v>124</v>
      </c>
      <c r="B59" s="3" t="n">
        <v>100</v>
      </c>
      <c r="C59" s="3" t="s">
        <v>12</v>
      </c>
      <c r="D59" s="3"/>
      <c r="E59" s="3"/>
      <c r="F59" s="5" t="n">
        <f aca="false">CPV_P(B59)</f>
        <v>2.07593802520444</v>
      </c>
      <c r="G59" s="5" t="s">
        <v>125</v>
      </c>
      <c r="H59" s="3" t="s">
        <v>126</v>
      </c>
    </row>
    <row r="60" s="4" customFormat="true" ht="12.75" hidden="false" customHeight="false" outlineLevel="1" collapsed="false">
      <c r="A60" s="5" t="s">
        <v>127</v>
      </c>
      <c r="B60" s="3" t="n">
        <v>100</v>
      </c>
      <c r="C60" s="3" t="s">
        <v>12</v>
      </c>
      <c r="D60" s="3"/>
      <c r="E60" s="3"/>
      <c r="F60" s="5" t="n">
        <f aca="false">CPL_P(B60)</f>
        <v>4.21614943083875</v>
      </c>
      <c r="G60" s="5" t="s">
        <v>125</v>
      </c>
      <c r="H60" s="3" t="s">
        <v>128</v>
      </c>
    </row>
    <row r="61" s="4" customFormat="true" ht="12.75" hidden="false" customHeight="false" outlineLevel="1" collapsed="false">
      <c r="A61" s="5" t="s">
        <v>129</v>
      </c>
      <c r="B61" s="3" t="n">
        <v>100</v>
      </c>
      <c r="C61" s="3" t="s">
        <v>10</v>
      </c>
      <c r="D61" s="3"/>
      <c r="E61" s="3"/>
      <c r="F61" s="5" t="n">
        <f aca="false">CPV_T(B61)</f>
        <v>2.07749186848227</v>
      </c>
      <c r="G61" s="5" t="s">
        <v>125</v>
      </c>
      <c r="H61" s="3" t="s">
        <v>126</v>
      </c>
    </row>
    <row r="62" s="4" customFormat="true" ht="12.75" hidden="false" customHeight="false" outlineLevel="1" collapsed="false">
      <c r="A62" s="5" t="s">
        <v>130</v>
      </c>
      <c r="B62" s="3" t="n">
        <v>100</v>
      </c>
      <c r="C62" s="3" t="s">
        <v>10</v>
      </c>
      <c r="D62" s="3"/>
      <c r="E62" s="3"/>
      <c r="F62" s="5" t="n">
        <f aca="false">CPL_T(B62)</f>
        <v>4.21664511892358</v>
      </c>
      <c r="G62" s="5" t="s">
        <v>125</v>
      </c>
      <c r="H62" s="3" t="s">
        <v>128</v>
      </c>
    </row>
    <row r="63" s="4" customFormat="true" ht="12.75" hidden="false" customHeight="false" outlineLevel="1" collapsed="false">
      <c r="A63" s="5" t="s">
        <v>131</v>
      </c>
      <c r="B63" s="3" t="n">
        <v>100</v>
      </c>
      <c r="C63" s="3" t="s">
        <v>12</v>
      </c>
      <c r="D63" s="3" t="n">
        <v>100</v>
      </c>
      <c r="E63" s="3" t="s">
        <v>10</v>
      </c>
      <c r="F63" s="5" t="n">
        <f aca="false">CP_PT(B63,D63)</f>
        <v>2.07410855458011</v>
      </c>
      <c r="G63" s="5" t="s">
        <v>125</v>
      </c>
      <c r="H63" s="3" t="s">
        <v>132</v>
      </c>
    </row>
    <row r="64" s="4" customFormat="true" ht="12.75" hidden="false" customHeight="false" outlineLevel="1" collapsed="false">
      <c r="A64" s="5" t="s">
        <v>133</v>
      </c>
      <c r="B64" s="3" t="n">
        <v>100</v>
      </c>
      <c r="C64" s="3" t="s">
        <v>12</v>
      </c>
      <c r="D64" s="3" t="n">
        <v>200</v>
      </c>
      <c r="E64" s="3" t="s">
        <v>17</v>
      </c>
      <c r="F64" s="5" t="n">
        <f aca="false">CP_PH(B64,D64)</f>
        <v>4.17913573168802</v>
      </c>
      <c r="G64" s="5" t="s">
        <v>125</v>
      </c>
      <c r="H64" s="3" t="s">
        <v>134</v>
      </c>
    </row>
    <row r="65" s="4" customFormat="true" ht="12.75" hidden="false" customHeight="false" outlineLevel="1" collapsed="false">
      <c r="A65" s="5" t="s">
        <v>135</v>
      </c>
      <c r="B65" s="3" t="n">
        <v>100</v>
      </c>
      <c r="C65" s="3" t="s">
        <v>12</v>
      </c>
      <c r="D65" s="3" t="n">
        <v>1</v>
      </c>
      <c r="E65" s="3" t="s">
        <v>47</v>
      </c>
      <c r="F65" s="5" t="n">
        <f aca="false">CP_PS(B65,D65)</f>
        <v>4.19060703790129</v>
      </c>
      <c r="G65" s="5" t="s">
        <v>125</v>
      </c>
      <c r="H65" s="3" t="s">
        <v>136</v>
      </c>
    </row>
    <row r="66" s="32" customFormat="true" ht="15" hidden="false" customHeight="false" outlineLevel="0" collapsed="false">
      <c r="A66" s="31" t="s">
        <v>137</v>
      </c>
      <c r="F66" s="33"/>
      <c r="G66" s="33"/>
    </row>
    <row r="67" s="4" customFormat="true" ht="12.75" hidden="false" customHeight="false" outlineLevel="1" collapsed="false">
      <c r="A67" s="5" t="s">
        <v>138</v>
      </c>
      <c r="B67" s="3" t="n">
        <v>100</v>
      </c>
      <c r="C67" s="3" t="s">
        <v>12</v>
      </c>
      <c r="D67" s="3"/>
      <c r="E67" s="3"/>
      <c r="F67" s="5" t="n">
        <f aca="false">CVV_P(B67)</f>
        <v>1.5526969793308</v>
      </c>
      <c r="G67" s="5" t="s">
        <v>125</v>
      </c>
      <c r="H67" s="3" t="s">
        <v>139</v>
      </c>
    </row>
    <row r="68" s="4" customFormat="true" ht="12.75" hidden="false" customHeight="false" outlineLevel="1" collapsed="false">
      <c r="A68" s="5" t="s">
        <v>140</v>
      </c>
      <c r="B68" s="3" t="n">
        <v>100</v>
      </c>
      <c r="C68" s="3" t="s">
        <v>12</v>
      </c>
      <c r="D68" s="3"/>
      <c r="E68" s="3"/>
      <c r="F68" s="5" t="n">
        <f aca="false">CVL_P(B68)</f>
        <v>3.7696996827335</v>
      </c>
      <c r="G68" s="5" t="s">
        <v>125</v>
      </c>
      <c r="H68" s="3" t="s">
        <v>141</v>
      </c>
    </row>
    <row r="69" s="4" customFormat="true" ht="12.75" hidden="false" customHeight="false" outlineLevel="1" collapsed="false">
      <c r="A69" s="5" t="s">
        <v>142</v>
      </c>
      <c r="B69" s="3" t="n">
        <v>100</v>
      </c>
      <c r="C69" s="3" t="s">
        <v>10</v>
      </c>
      <c r="D69" s="3"/>
      <c r="E69" s="3"/>
      <c r="F69" s="5" t="n">
        <f aca="false">CVV_T(B69)</f>
        <v>1.55369869603451</v>
      </c>
      <c r="G69" s="5" t="s">
        <v>125</v>
      </c>
      <c r="H69" s="3" t="s">
        <v>139</v>
      </c>
    </row>
    <row r="70" s="4" customFormat="true" ht="12.75" hidden="false" customHeight="false" outlineLevel="1" collapsed="false">
      <c r="A70" s="5" t="s">
        <v>143</v>
      </c>
      <c r="B70" s="3" t="n">
        <v>100</v>
      </c>
      <c r="C70" s="3" t="s">
        <v>10</v>
      </c>
      <c r="D70" s="3"/>
      <c r="E70" s="3"/>
      <c r="F70" s="5" t="n">
        <f aca="false">CVL_T(B70)</f>
        <v>3.76770022014275</v>
      </c>
      <c r="G70" s="5" t="s">
        <v>125</v>
      </c>
      <c r="H70" s="3" t="s">
        <v>141</v>
      </c>
    </row>
    <row r="71" s="4" customFormat="true" ht="12.75" hidden="false" customHeight="false" outlineLevel="1" collapsed="false">
      <c r="A71" s="5" t="s">
        <v>144</v>
      </c>
      <c r="B71" s="3" t="n">
        <v>100</v>
      </c>
      <c r="C71" s="3" t="s">
        <v>12</v>
      </c>
      <c r="D71" s="3" t="n">
        <v>100</v>
      </c>
      <c r="E71" s="3" t="s">
        <v>10</v>
      </c>
      <c r="F71" s="5" t="n">
        <f aca="false">CV_PT(B71,D71)</f>
        <v>1.55139724946449</v>
      </c>
      <c r="G71" s="5" t="s">
        <v>125</v>
      </c>
      <c r="H71" s="3" t="s">
        <v>145</v>
      </c>
    </row>
    <row r="72" s="4" customFormat="true" ht="12.75" hidden="false" customHeight="false" outlineLevel="1" collapsed="false">
      <c r="A72" s="5" t="s">
        <v>146</v>
      </c>
      <c r="B72" s="3" t="n">
        <v>0.0001</v>
      </c>
      <c r="C72" s="3" t="s">
        <v>12</v>
      </c>
      <c r="D72" s="3" t="n">
        <v>200</v>
      </c>
      <c r="E72" s="3" t="s">
        <v>17</v>
      </c>
      <c r="F72" s="5" t="n">
        <f aca="false">CV_PH(B72,D72)</f>
        <v>2015</v>
      </c>
      <c r="G72" s="5" t="s">
        <v>125</v>
      </c>
      <c r="H72" s="3" t="s">
        <v>147</v>
      </c>
    </row>
    <row r="73" s="4" customFormat="true" ht="12.75" hidden="false" customHeight="false" outlineLevel="1" collapsed="false">
      <c r="A73" s="5" t="s">
        <v>148</v>
      </c>
      <c r="B73" s="3" t="n">
        <v>100</v>
      </c>
      <c r="C73" s="3" t="s">
        <v>12</v>
      </c>
      <c r="D73" s="3" t="n">
        <v>1</v>
      </c>
      <c r="E73" s="3" t="s">
        <v>47</v>
      </c>
      <c r="F73" s="5" t="n">
        <f aca="false">CV_PS(B73,D73)</f>
        <v>3.90291946811366</v>
      </c>
      <c r="G73" s="5" t="s">
        <v>125</v>
      </c>
      <c r="H73" s="3" t="s">
        <v>149</v>
      </c>
    </row>
    <row r="74" s="32" customFormat="true" ht="15" hidden="false" customHeight="false" outlineLevel="0" collapsed="false">
      <c r="A74" s="31" t="s">
        <v>150</v>
      </c>
      <c r="F74" s="33"/>
      <c r="G74" s="33"/>
    </row>
    <row r="75" s="4" customFormat="true" ht="12.75" hidden="false" customHeight="false" outlineLevel="1" collapsed="false">
      <c r="A75" s="5" t="s">
        <v>151</v>
      </c>
      <c r="B75" s="3" t="n">
        <v>100</v>
      </c>
      <c r="C75" s="3" t="s">
        <v>12</v>
      </c>
      <c r="D75" s="3"/>
      <c r="E75" s="3"/>
      <c r="F75" s="5" t="n">
        <f aca="false">WV_P(B75)</f>
        <v>472.054157106048</v>
      </c>
      <c r="G75" s="5" t="s">
        <v>36</v>
      </c>
      <c r="H75" s="3" t="s">
        <v>152</v>
      </c>
    </row>
    <row r="76" s="4" customFormat="true" ht="12.75" hidden="false" customHeight="false" outlineLevel="1" collapsed="false">
      <c r="A76" s="5" t="s">
        <v>153</v>
      </c>
      <c r="B76" s="3" t="n">
        <v>100</v>
      </c>
      <c r="C76" s="3" t="s">
        <v>12</v>
      </c>
      <c r="D76" s="3"/>
      <c r="E76" s="3"/>
      <c r="F76" s="5" t="n">
        <f aca="false">WL_P(B76)</f>
        <v>1545.45194753397</v>
      </c>
      <c r="G76" s="5" t="s">
        <v>36</v>
      </c>
      <c r="H76" s="3" t="s">
        <v>154</v>
      </c>
    </row>
    <row r="77" s="4" customFormat="true" ht="12.75" hidden="false" customHeight="false" outlineLevel="1" collapsed="false">
      <c r="A77" s="5" t="s">
        <v>155</v>
      </c>
      <c r="B77" s="3" t="n">
        <v>100</v>
      </c>
      <c r="C77" s="3" t="s">
        <v>10</v>
      </c>
      <c r="D77" s="3"/>
      <c r="E77" s="3"/>
      <c r="F77" s="5" t="n">
        <f aca="false">WV_T(B77)</f>
        <v>472.255949238944</v>
      </c>
      <c r="G77" s="5" t="s">
        <v>36</v>
      </c>
      <c r="H77" s="3" t="s">
        <v>152</v>
      </c>
    </row>
    <row r="78" s="4" customFormat="true" ht="12.75" hidden="false" customHeight="false" outlineLevel="1" collapsed="false">
      <c r="A78" s="5" t="s">
        <v>156</v>
      </c>
      <c r="B78" s="3" t="n">
        <v>100</v>
      </c>
      <c r="C78" s="3" t="s">
        <v>10</v>
      </c>
      <c r="D78" s="3"/>
      <c r="E78" s="3"/>
      <c r="F78" s="5" t="n">
        <f aca="false">WL_T(B78)</f>
        <v>1545.09224919387</v>
      </c>
      <c r="G78" s="5" t="s">
        <v>36</v>
      </c>
      <c r="H78" s="3" t="s">
        <v>154</v>
      </c>
    </row>
    <row r="79" s="4" customFormat="true" ht="12.75" hidden="false" customHeight="false" outlineLevel="1" collapsed="false">
      <c r="A79" s="5" t="s">
        <v>157</v>
      </c>
      <c r="B79" s="3" t="n">
        <v>100</v>
      </c>
      <c r="C79" s="3" t="s">
        <v>12</v>
      </c>
      <c r="D79" s="3" t="n">
        <v>100</v>
      </c>
      <c r="E79" s="3" t="s">
        <v>10</v>
      </c>
      <c r="F79" s="5" t="n">
        <f aca="false">W_PT(B79,D79)</f>
        <v>472.337523524855</v>
      </c>
      <c r="G79" s="5" t="s">
        <v>36</v>
      </c>
      <c r="H79" s="3" t="s">
        <v>158</v>
      </c>
    </row>
    <row r="80" s="4" customFormat="true" ht="12.75" hidden="false" customHeight="false" outlineLevel="1" collapsed="false">
      <c r="A80" s="5" t="s">
        <v>159</v>
      </c>
      <c r="B80" s="3" t="n">
        <v>100</v>
      </c>
      <c r="C80" s="3" t="s">
        <v>12</v>
      </c>
      <c r="D80" s="3" t="n">
        <v>200</v>
      </c>
      <c r="E80" s="3" t="s">
        <v>17</v>
      </c>
      <c r="F80" s="5" t="n">
        <f aca="false">W_PH(B80,D80)</f>
        <v>1542.68247501147</v>
      </c>
      <c r="G80" s="5" t="s">
        <v>36</v>
      </c>
      <c r="H80" s="3" t="s">
        <v>160</v>
      </c>
    </row>
    <row r="81" s="4" customFormat="true" ht="12.75" hidden="false" customHeight="false" outlineLevel="1" collapsed="false">
      <c r="A81" s="5" t="s">
        <v>161</v>
      </c>
      <c r="B81" s="3" t="n">
        <v>100</v>
      </c>
      <c r="C81" s="3" t="s">
        <v>12</v>
      </c>
      <c r="D81" s="3" t="n">
        <v>1</v>
      </c>
      <c r="E81" s="3" t="s">
        <v>47</v>
      </c>
      <c r="F81" s="5" t="n">
        <f aca="false">W_PS(B81,D81)</f>
        <v>1557.85853553222</v>
      </c>
      <c r="G81" s="5" t="s">
        <v>36</v>
      </c>
      <c r="H81" s="3" t="s">
        <v>162</v>
      </c>
    </row>
    <row r="82" s="32" customFormat="true" ht="15" hidden="false" customHeight="false" outlineLevel="0" collapsed="false">
      <c r="A82" s="31" t="s">
        <v>163</v>
      </c>
      <c r="F82" s="33"/>
      <c r="G82" s="33"/>
    </row>
    <row r="83" s="4" customFormat="true" ht="11.25" hidden="false" customHeight="false" outlineLevel="1" collapsed="false">
      <c r="A83" s="4" t="s">
        <v>164</v>
      </c>
      <c r="F83" s="30"/>
      <c r="G83" s="30"/>
    </row>
    <row r="84" s="4" customFormat="true" ht="11.25" hidden="false" customHeight="false" outlineLevel="1" collapsed="false">
      <c r="A84" s="4" t="s">
        <v>165</v>
      </c>
      <c r="F84" s="30"/>
      <c r="G84" s="30"/>
    </row>
    <row r="85" s="4" customFormat="true" ht="12.75" hidden="false" customHeight="false" outlineLevel="1" collapsed="false">
      <c r="A85" s="5" t="s">
        <v>166</v>
      </c>
      <c r="B85" s="3" t="n">
        <v>100</v>
      </c>
      <c r="C85" s="3" t="s">
        <v>12</v>
      </c>
      <c r="D85" s="3" t="n">
        <v>100</v>
      </c>
      <c r="E85" s="3" t="s">
        <v>10</v>
      </c>
      <c r="F85" s="5" t="n">
        <f aca="false">MY_PT(B85,D85)</f>
        <v>1.22704057071965E-005</v>
      </c>
      <c r="G85" s="5" t="s">
        <v>167</v>
      </c>
      <c r="H85" s="3" t="s">
        <v>168</v>
      </c>
    </row>
    <row r="86" s="4" customFormat="true" ht="12.75" hidden="false" customHeight="false" outlineLevel="1" collapsed="false">
      <c r="A86" s="5" t="s">
        <v>169</v>
      </c>
      <c r="B86" s="3" t="n">
        <v>100</v>
      </c>
      <c r="C86" s="3" t="s">
        <v>12</v>
      </c>
      <c r="D86" s="3" t="n">
        <v>100</v>
      </c>
      <c r="E86" s="3" t="s">
        <v>17</v>
      </c>
      <c r="F86" s="34" t="n">
        <f aca="false">MY_PH(B86,D86)</f>
        <v>0.000914003770302112</v>
      </c>
      <c r="G86" s="5" t="s">
        <v>167</v>
      </c>
      <c r="H86" s="3" t="s">
        <v>170</v>
      </c>
    </row>
    <row r="87" s="4" customFormat="true" ht="12.75" hidden="false" customHeight="false" outlineLevel="1" collapsed="false">
      <c r="A87" s="5" t="s">
        <v>171</v>
      </c>
      <c r="B87" s="3" t="n">
        <v>100</v>
      </c>
      <c r="C87" s="3" t="s">
        <v>12</v>
      </c>
      <c r="D87" s="3" t="n">
        <v>1</v>
      </c>
      <c r="E87" s="3" t="s">
        <v>47</v>
      </c>
      <c r="F87" s="34" t="n">
        <f aca="false">MY_PS(B87,D87)</f>
        <v>0.000384221865647568</v>
      </c>
      <c r="G87" s="5" t="s">
        <v>167</v>
      </c>
      <c r="H87" s="3" t="s">
        <v>172</v>
      </c>
    </row>
    <row r="88" customFormat="false" ht="18" hidden="false" customHeight="false" outlineLevel="0" collapsed="false">
      <c r="A88" s="2" t="s">
        <v>173</v>
      </c>
      <c r="F88" s="34"/>
      <c r="H88" s="35"/>
      <c r="I88" s="9"/>
      <c r="J88" s="9"/>
      <c r="K88" s="9"/>
      <c r="L88" s="9"/>
      <c r="M88" s="9"/>
    </row>
    <row r="89" customFormat="false" ht="12.75" hidden="false" customHeight="false" outlineLevel="1" collapsed="false">
      <c r="A89" s="4" t="s">
        <v>174</v>
      </c>
      <c r="F89" s="34"/>
      <c r="H89" s="35"/>
      <c r="I89" s="9"/>
      <c r="J89" s="9"/>
      <c r="K89" s="9"/>
      <c r="L89" s="9"/>
      <c r="M89" s="9"/>
    </row>
    <row r="90" customFormat="false" ht="12.75" hidden="false" customHeight="false" outlineLevel="1" collapsed="false">
      <c r="A90" s="5" t="s">
        <v>175</v>
      </c>
      <c r="B90" s="3" t="n">
        <v>100</v>
      </c>
      <c r="C90" s="3" t="s">
        <v>12</v>
      </c>
      <c r="D90" s="1" t="n">
        <v>200</v>
      </c>
      <c r="E90" s="1" t="s">
        <v>10</v>
      </c>
      <c r="F90" s="34" t="n">
        <f aca="false">PR_PT(B90,D90)</f>
        <v>0.957808214385887</v>
      </c>
      <c r="G90" s="5" t="s">
        <v>176</v>
      </c>
      <c r="H90" s="35"/>
      <c r="I90" s="9"/>
      <c r="J90" s="9"/>
      <c r="K90" s="9"/>
      <c r="L90" s="9"/>
      <c r="M90" s="9"/>
    </row>
    <row r="91" customFormat="false" ht="12.75" hidden="false" customHeight="false" outlineLevel="1" collapsed="false">
      <c r="A91" s="5" t="s">
        <v>177</v>
      </c>
      <c r="B91" s="3" t="n">
        <v>100</v>
      </c>
      <c r="C91" s="3" t="s">
        <v>12</v>
      </c>
      <c r="D91" s="1" t="n">
        <v>2875.4750649489</v>
      </c>
      <c r="E91" s="1" t="s">
        <v>17</v>
      </c>
      <c r="F91" s="34" t="n">
        <f aca="false">PR_PH(B91,D91)</f>
        <v>0.957808261483562</v>
      </c>
      <c r="G91" s="5" t="s">
        <v>176</v>
      </c>
      <c r="H91" s="35"/>
      <c r="I91" s="9"/>
      <c r="J91" s="9"/>
      <c r="K91" s="9"/>
      <c r="L91" s="9"/>
      <c r="M91" s="9"/>
    </row>
    <row r="92" s="32" customFormat="true" ht="15" hidden="false" customHeight="false" outlineLevel="0" collapsed="false">
      <c r="A92" s="31" t="s">
        <v>178</v>
      </c>
      <c r="F92" s="33"/>
      <c r="G92" s="33"/>
      <c r="H92" s="36"/>
      <c r="I92" s="36"/>
      <c r="J92" s="36"/>
      <c r="K92" s="36"/>
      <c r="L92" s="36"/>
      <c r="M92" s="36"/>
    </row>
    <row r="93" s="4" customFormat="true" ht="11.25" hidden="false" customHeight="false" outlineLevel="1" collapsed="false">
      <c r="A93" s="4" t="s">
        <v>179</v>
      </c>
      <c r="F93" s="30"/>
      <c r="G93" s="30"/>
    </row>
    <row r="94" s="4" customFormat="true" ht="12.75" hidden="false" customHeight="false" outlineLevel="1" collapsed="false">
      <c r="A94" s="5" t="s">
        <v>180</v>
      </c>
      <c r="B94" s="3" t="n">
        <v>100</v>
      </c>
      <c r="C94" s="3" t="s">
        <v>12</v>
      </c>
      <c r="D94" s="3"/>
      <c r="E94" s="3"/>
      <c r="F94" s="5" t="n">
        <f aca="false">TCL_P(B94)</f>
        <v>0.677593821766432</v>
      </c>
      <c r="G94" s="5" t="s">
        <v>181</v>
      </c>
      <c r="H94" s="3" t="s">
        <v>182</v>
      </c>
    </row>
    <row r="95" s="4" customFormat="true" ht="12.75" hidden="false" customHeight="false" outlineLevel="1" collapsed="false">
      <c r="A95" s="5" t="s">
        <v>183</v>
      </c>
      <c r="B95" s="3" t="n">
        <v>100</v>
      </c>
      <c r="C95" s="3" t="s">
        <v>12</v>
      </c>
      <c r="D95" s="3"/>
      <c r="E95" s="3"/>
      <c r="F95" s="5" t="n">
        <f aca="false">TCV_P(B95)</f>
        <v>0.0247536675923502</v>
      </c>
      <c r="G95" s="5" t="s">
        <v>181</v>
      </c>
      <c r="H95" s="3" t="s">
        <v>184</v>
      </c>
    </row>
    <row r="96" s="4" customFormat="true" ht="12.75" hidden="false" customHeight="false" outlineLevel="1" collapsed="false">
      <c r="A96" s="5" t="s">
        <v>185</v>
      </c>
      <c r="B96" s="3" t="n">
        <v>25</v>
      </c>
      <c r="C96" s="3" t="s">
        <v>10</v>
      </c>
      <c r="D96" s="3"/>
      <c r="E96" s="3"/>
      <c r="F96" s="5" t="n">
        <f aca="false">TCL_T(B96)</f>
        <v>0.607458161578871</v>
      </c>
      <c r="G96" s="5" t="s">
        <v>181</v>
      </c>
      <c r="H96" s="3" t="s">
        <v>182</v>
      </c>
    </row>
    <row r="97" s="4" customFormat="true" ht="12.75" hidden="false" customHeight="false" outlineLevel="1" collapsed="false">
      <c r="A97" s="5" t="s">
        <v>186</v>
      </c>
      <c r="B97" s="3" t="n">
        <v>25</v>
      </c>
      <c r="C97" s="3" t="s">
        <v>10</v>
      </c>
      <c r="D97" s="3"/>
      <c r="E97" s="3"/>
      <c r="F97" s="5" t="n">
        <f aca="false">TCV_T(B97)</f>
        <v>0.0183267228768631</v>
      </c>
      <c r="G97" s="5" t="s">
        <v>181</v>
      </c>
      <c r="H97" s="3" t="s">
        <v>184</v>
      </c>
    </row>
    <row r="98" s="4" customFormat="true" ht="12.75" hidden="false" customHeight="false" outlineLevel="1" collapsed="false">
      <c r="A98" s="5" t="s">
        <v>187</v>
      </c>
      <c r="B98" s="3" t="n">
        <v>100</v>
      </c>
      <c r="C98" s="3" t="s">
        <v>12</v>
      </c>
      <c r="D98" s="3" t="n">
        <v>25</v>
      </c>
      <c r="E98" s="3" t="s">
        <v>10</v>
      </c>
      <c r="F98" s="5" t="n">
        <f aca="false">TC_PT(B98,D98)</f>
        <v>0.607509806390758</v>
      </c>
      <c r="G98" s="5" t="s">
        <v>181</v>
      </c>
      <c r="H98" s="3" t="s">
        <v>188</v>
      </c>
    </row>
    <row r="99" s="4" customFormat="true" ht="12.75" hidden="false" customHeight="false" outlineLevel="1" collapsed="false">
      <c r="A99" s="5" t="s">
        <v>189</v>
      </c>
      <c r="B99" s="3" t="n">
        <v>100</v>
      </c>
      <c r="C99" s="3" t="s">
        <v>12</v>
      </c>
      <c r="D99" s="3" t="n">
        <v>100</v>
      </c>
      <c r="E99" s="3" t="s">
        <v>47</v>
      </c>
      <c r="F99" s="5" t="n">
        <f aca="false">TC_PH(B99,D99)</f>
        <v>0.605710062456013</v>
      </c>
      <c r="G99" s="5" t="s">
        <v>181</v>
      </c>
      <c r="H99" s="3" t="s">
        <v>190</v>
      </c>
    </row>
    <row r="100" s="4" customFormat="true" ht="12.75" hidden="false" customHeight="false" outlineLevel="1" collapsed="false">
      <c r="A100" s="5" t="s">
        <v>191</v>
      </c>
      <c r="B100" s="3" t="n">
        <v>100</v>
      </c>
      <c r="C100" s="3" t="s">
        <v>47</v>
      </c>
      <c r="D100" s="3" t="n">
        <v>0.34</v>
      </c>
      <c r="E100" s="3" t="s">
        <v>47</v>
      </c>
      <c r="F100" s="5" t="n">
        <f aca="false">TC_HS(B100,D100)</f>
        <v>0.606283123848912</v>
      </c>
      <c r="G100" s="5" t="s">
        <v>181</v>
      </c>
      <c r="H100" s="3" t="s">
        <v>192</v>
      </c>
    </row>
    <row r="101" s="4" customFormat="true" ht="15" hidden="false" customHeight="false" outlineLevel="0" collapsed="false">
      <c r="A101" s="31" t="s">
        <v>193</v>
      </c>
      <c r="B101" s="3"/>
      <c r="C101" s="3"/>
      <c r="D101" s="3"/>
      <c r="E101" s="3"/>
      <c r="F101" s="5"/>
      <c r="G101" s="5"/>
      <c r="H101" s="3"/>
    </row>
    <row r="102" s="4" customFormat="true" ht="11.25" hidden="false" customHeight="false" outlineLevel="1" collapsed="false">
      <c r="A102" s="4" t="s">
        <v>194</v>
      </c>
      <c r="F102" s="30"/>
      <c r="G102" s="30"/>
    </row>
    <row r="103" s="4" customFormat="true" ht="12.75" hidden="false" customHeight="false" outlineLevel="1" collapsed="false">
      <c r="A103" s="5" t="s">
        <v>195</v>
      </c>
      <c r="B103" s="3" t="n">
        <v>100</v>
      </c>
      <c r="C103" s="3" t="s">
        <v>10</v>
      </c>
      <c r="D103" s="3"/>
      <c r="E103" s="3"/>
      <c r="F103" s="5" t="n">
        <f aca="false">ST_T(B104)</f>
        <v>0.0589118685876641</v>
      </c>
      <c r="G103" s="5" t="s">
        <v>196</v>
      </c>
      <c r="H103" s="3" t="s">
        <v>197</v>
      </c>
    </row>
    <row r="104" s="4" customFormat="true" ht="12.75" hidden="false" customHeight="false" outlineLevel="1" collapsed="false">
      <c r="A104" s="5" t="s">
        <v>198</v>
      </c>
      <c r="B104" s="3" t="n">
        <v>100</v>
      </c>
      <c r="C104" s="3" t="s">
        <v>12</v>
      </c>
      <c r="D104" s="3"/>
      <c r="E104" s="3"/>
      <c r="F104" s="5" t="n">
        <f aca="false">ST_P(B104)</f>
        <v>0.0589877841808599</v>
      </c>
      <c r="G104" s="5" t="s">
        <v>196</v>
      </c>
      <c r="H104" s="3" t="s">
        <v>197</v>
      </c>
    </row>
    <row r="105" s="32" customFormat="true" ht="15" hidden="false" customHeight="false" outlineLevel="0" collapsed="false">
      <c r="A105" s="31" t="s">
        <v>30</v>
      </c>
      <c r="F105" s="33"/>
      <c r="G105" s="33"/>
    </row>
    <row r="106" s="4" customFormat="true" ht="12.75" hidden="false" customHeight="false" outlineLevel="1" collapsed="false">
      <c r="A106" s="5" t="s">
        <v>199</v>
      </c>
      <c r="B106" s="3" t="n">
        <v>100</v>
      </c>
      <c r="C106" s="3" t="s">
        <v>12</v>
      </c>
      <c r="D106" s="3" t="n">
        <v>1000</v>
      </c>
      <c r="E106" s="3" t="s">
        <v>17</v>
      </c>
      <c r="F106" s="5" t="n">
        <f aca="false">X_PH(B106,D106)</f>
        <v>0.258055423902795</v>
      </c>
      <c r="G106" s="5"/>
      <c r="H106" s="3" t="s">
        <v>200</v>
      </c>
    </row>
    <row r="107" s="4" customFormat="true" ht="12.75" hidden="false" customHeight="false" outlineLevel="1" collapsed="false">
      <c r="A107" s="5" t="s">
        <v>201</v>
      </c>
      <c r="B107" s="3" t="n">
        <v>100</v>
      </c>
      <c r="C107" s="3" t="s">
        <v>12</v>
      </c>
      <c r="D107" s="3" t="n">
        <v>4</v>
      </c>
      <c r="E107" s="3" t="s">
        <v>47</v>
      </c>
      <c r="F107" s="5" t="n">
        <f aca="false">X_PS(B107,D107)</f>
        <v>0.44539796073232</v>
      </c>
      <c r="G107" s="5"/>
      <c r="H107" s="3" t="s">
        <v>202</v>
      </c>
    </row>
    <row r="108" s="32" customFormat="true" ht="15" hidden="false" customHeight="false" outlineLevel="0" collapsed="false">
      <c r="A108" s="31" t="s">
        <v>203</v>
      </c>
      <c r="F108" s="33"/>
      <c r="G108" s="33"/>
    </row>
    <row r="109" s="4" customFormat="true" ht="11.25" hidden="false" customHeight="false" outlineLevel="1" collapsed="false">
      <c r="A109" s="4" t="s">
        <v>204</v>
      </c>
      <c r="F109" s="30"/>
      <c r="G109" s="30"/>
    </row>
    <row r="110" s="4" customFormat="true" ht="11.25" hidden="false" customHeight="false" outlineLevel="1" collapsed="false">
      <c r="A110" s="4" t="s">
        <v>205</v>
      </c>
      <c r="F110" s="30"/>
      <c r="G110" s="30"/>
    </row>
    <row r="111" s="4" customFormat="true" ht="12.75" hidden="false" customHeight="false" outlineLevel="1" collapsed="false">
      <c r="A111" s="5" t="s">
        <v>206</v>
      </c>
      <c r="B111" s="3" t="n">
        <v>100</v>
      </c>
      <c r="C111" s="3" t="s">
        <v>12</v>
      </c>
      <c r="D111" s="3" t="n">
        <v>418</v>
      </c>
      <c r="E111" s="3" t="s">
        <v>17</v>
      </c>
      <c r="F111" s="37" t="n">
        <f aca="false">VX_PH(B111,D111)</f>
        <v>0.288493093437067</v>
      </c>
      <c r="G111" s="5"/>
      <c r="H111" s="3" t="s">
        <v>207</v>
      </c>
    </row>
    <row r="112" s="4" customFormat="true" ht="12.75" hidden="false" customHeight="false" outlineLevel="1" collapsed="false">
      <c r="A112" s="5" t="s">
        <v>208</v>
      </c>
      <c r="B112" s="3" t="n">
        <v>100</v>
      </c>
      <c r="C112" s="3" t="s">
        <v>12</v>
      </c>
      <c r="D112" s="3" t="n">
        <v>4</v>
      </c>
      <c r="E112" s="3" t="s">
        <v>47</v>
      </c>
      <c r="F112" s="37" t="n">
        <f aca="false">VX_PS(B112,D112)</f>
        <v>0.99923382663888</v>
      </c>
      <c r="G112" s="5"/>
      <c r="H112" s="3" t="s">
        <v>209</v>
      </c>
    </row>
    <row r="113" s="4" customFormat="true" ht="11.25" hidden="false" customHeight="false" outlineLevel="0" collapsed="false">
      <c r="F113" s="30"/>
      <c r="G113" s="30"/>
    </row>
    <row r="114" customFormat="false" ht="15" hidden="false" customHeight="false" outlineLevel="0" collapsed="false">
      <c r="A114" s="31" t="s">
        <v>210</v>
      </c>
    </row>
    <row r="115" customFormat="false" ht="12.75" hidden="false" customHeight="false" outlineLevel="0" collapsed="false">
      <c r="A115" s="30" t="s">
        <v>211</v>
      </c>
    </row>
    <row r="116" customFormat="false" ht="12.75" hidden="false" customHeight="false" outlineLevel="0" collapsed="false">
      <c r="A116" s="4" t="s">
        <v>212</v>
      </c>
    </row>
    <row r="117" customFormat="false" ht="12.75" hidden="false" customHeight="false" outlineLevel="0" collapsed="false">
      <c r="A117" s="4" t="s">
        <v>213</v>
      </c>
    </row>
    <row r="118" customFormat="false" ht="12.75" hidden="false" customHeight="false" outlineLevel="0" collapsed="false">
      <c r="A118" s="4" t="s">
        <v>214</v>
      </c>
    </row>
    <row r="119" customFormat="false" ht="12.75" hidden="false" customHeight="false" outlineLevel="0" collapsed="false">
      <c r="A119" s="30" t="s">
        <v>215</v>
      </c>
    </row>
    <row r="120" customFormat="false" ht="12.75" hidden="false" customHeight="false" outlineLevel="0" collapsed="false">
      <c r="A120" s="4" t="s">
        <v>216</v>
      </c>
    </row>
    <row r="121" customFormat="false" ht="12.75" hidden="false" customHeight="false" outlineLevel="0" collapsed="false">
      <c r="A121" s="30" t="s">
        <v>217</v>
      </c>
    </row>
    <row r="122" customFormat="false" ht="12.75" hidden="false" customHeight="false" outlineLevel="0" collapsed="false">
      <c r="A122" s="4" t="s">
        <v>218</v>
      </c>
    </row>
    <row r="123" customFormat="false" ht="12.75" hidden="false" customHeight="false" outlineLevel="0" collapsed="false">
      <c r="A123" s="4" t="s">
        <v>219</v>
      </c>
    </row>
    <row r="124" customFormat="false" ht="10.9" hidden="false" customHeight="true" outlineLevel="0" collapsed="false">
      <c r="A124" s="4" t="s">
        <v>220</v>
      </c>
    </row>
    <row r="125" customFormat="false" ht="11.45" hidden="false" customHeight="true" outlineLevel="0" collapsed="false">
      <c r="A125" s="4" t="s">
        <v>221</v>
      </c>
    </row>
    <row r="126" customFormat="false" ht="11.45" hidden="false" customHeight="true" outlineLevel="0" collapsed="false">
      <c r="A126" s="30" t="s">
        <v>222</v>
      </c>
    </row>
    <row r="127" customFormat="false" ht="12.75" hidden="false" customHeight="false" outlineLevel="0" collapsed="false">
      <c r="A127" s="4" t="s">
        <v>223</v>
      </c>
    </row>
    <row r="128" customFormat="false" ht="12.75" hidden="false" customHeight="false" outlineLevel="0" collapsed="false">
      <c r="A128" s="4" t="s">
        <v>224</v>
      </c>
    </row>
    <row r="129" customFormat="false" ht="12.75" hidden="false" customHeight="false" outlineLevel="0" collapsed="false">
      <c r="A129" s="4" t="s">
        <v>225</v>
      </c>
    </row>
    <row r="130" customFormat="false" ht="12.75" hidden="false" customHeight="false" outlineLevel="0" collapsed="false">
      <c r="A130" s="4" t="s">
        <v>226</v>
      </c>
    </row>
    <row r="131" customFormat="false" ht="12.75" hidden="false" customHeight="false" outlineLevel="0" collapsed="false">
      <c r="A131" s="4" t="s">
        <v>227</v>
      </c>
    </row>
    <row r="132" customFormat="false" ht="12.75" hidden="false" customHeight="false" outlineLevel="0" collapsed="false">
      <c r="A132" s="30" t="s">
        <v>228</v>
      </c>
    </row>
    <row r="133" customFormat="false" ht="12.75" hidden="false" customHeight="false" outlineLevel="0" collapsed="false">
      <c r="A133" s="4" t="s">
        <v>224</v>
      </c>
    </row>
    <row r="134" customFormat="false" ht="12.75" hidden="false" customHeight="false" outlineLevel="0" collapsed="false">
      <c r="A134" s="4" t="s">
        <v>229</v>
      </c>
    </row>
    <row r="135" customFormat="false" ht="12.75" hidden="false" customHeight="false" outlineLevel="0" collapsed="false">
      <c r="A135" s="4" t="s">
        <v>230</v>
      </c>
    </row>
    <row r="136" customFormat="false" ht="12.75" hidden="false" customHeight="false" outlineLevel="0" collapsed="false">
      <c r="A136" s="4" t="s">
        <v>231</v>
      </c>
    </row>
    <row r="137" customFormat="false" ht="12.75" hidden="false" customHeight="false" outlineLevel="0" collapsed="false">
      <c r="A137" s="4" t="s">
        <v>232</v>
      </c>
    </row>
    <row r="138" customFormat="false" ht="12.75" hidden="false" customHeight="false" outlineLevel="0" collapsed="false">
      <c r="A138" s="30" t="s">
        <v>233</v>
      </c>
    </row>
    <row r="139" customFormat="false" ht="12.75" hidden="false" customHeight="false" outlineLevel="0" collapsed="false">
      <c r="A139" s="4" t="s">
        <v>234</v>
      </c>
    </row>
    <row r="140" customFormat="false" ht="12.75" hidden="false" customHeight="false" outlineLevel="0" collapsed="false">
      <c r="A140" s="4" t="s">
        <v>235</v>
      </c>
    </row>
    <row r="141" customFormat="false" ht="12.75" hidden="false" customHeight="false" outlineLevel="0" collapsed="false">
      <c r="A141" s="4" t="s">
        <v>236</v>
      </c>
    </row>
    <row r="142" customFormat="false" ht="12.75" hidden="false" customHeight="false" outlineLevel="0" collapsed="false">
      <c r="A142" s="30" t="s">
        <v>237</v>
      </c>
    </row>
    <row r="143" customFormat="false" ht="12.75" hidden="false" customHeight="false" outlineLevel="0" collapsed="false">
      <c r="A143" s="4" t="s">
        <v>238</v>
      </c>
    </row>
    <row r="144" customFormat="false" ht="12.75" hidden="false" customHeight="false" outlineLevel="0" collapsed="false">
      <c r="A144" s="4" t="s">
        <v>239</v>
      </c>
    </row>
    <row r="145" customFormat="false" ht="12.75" hidden="false" customHeight="false" outlineLevel="0" collapsed="false">
      <c r="A145" s="4" t="s">
        <v>240</v>
      </c>
    </row>
    <row r="146" customFormat="false" ht="12.75" hidden="false" customHeight="false" outlineLevel="0" collapsed="false">
      <c r="A146" s="4" t="s">
        <v>241</v>
      </c>
    </row>
    <row r="147" customFormat="false" ht="12.75" hidden="false" customHeight="false" outlineLevel="0" collapsed="false">
      <c r="A147" s="4" t="s">
        <v>242</v>
      </c>
    </row>
  </sheetData>
  <hyperlinks>
    <hyperlink ref="E1" r:id="rId1" display="http://www.x-eng.com"/>
    <hyperlink ref="F4" r:id="rId2" display="magnus@x-eng.com"/>
  </hyperlinks>
  <printOptions headings="false" gridLines="false" gridLinesSet="true" horizontalCentered="false" verticalCentered="false"/>
  <pageMargins left="0.75" right="0.75" top="1" bottom="1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AS649"/>
  <sheetViews>
    <sheetView showFormulas="false" showGridLines="true" showRowColHeaders="true" showZeros="true" rightToLeft="false" tabSelected="false" showOutlineSymbols="true" defaultGridColor="true" view="normal" topLeftCell="W1" colorId="64" zoomScale="100" zoomScaleNormal="100" zoomScalePageLayoutView="100" workbookViewId="0">
      <selection pane="topLeft" activeCell="B4" activeCellId="0" sqref="B4"/>
    </sheetView>
  </sheetViews>
  <sheetFormatPr defaultRowHeight="12.8" zeroHeight="false" outlineLevelRow="0" outlineLevelCol="0"/>
  <cols>
    <col collapsed="false" customWidth="true" hidden="false" outlineLevel="0" max="1025" min="1" style="0" width="8.67"/>
  </cols>
  <sheetData>
    <row r="1" customFormat="false" ht="13.8" hidden="false" customHeight="false" outlineLevel="0" collapsed="false">
      <c r="B1" s="0" t="n">
        <v>1</v>
      </c>
      <c r="C1" s="0" t="n">
        <v>2</v>
      </c>
      <c r="D1" s="0" t="n">
        <v>3</v>
      </c>
      <c r="E1" s="0" t="n">
        <v>4</v>
      </c>
      <c r="F1" s="0" t="n">
        <v>5</v>
      </c>
      <c r="G1" s="0" t="n">
        <v>6</v>
      </c>
      <c r="H1" s="0" t="n">
        <v>7</v>
      </c>
      <c r="I1" s="0" t="n">
        <v>8</v>
      </c>
      <c r="J1" s="0" t="n">
        <v>9</v>
      </c>
      <c r="K1" s="0" t="n">
        <v>10</v>
      </c>
      <c r="L1" s="0" t="n">
        <v>11</v>
      </c>
      <c r="M1" s="0" t="n">
        <v>12</v>
      </c>
      <c r="N1" s="0" t="n">
        <v>13</v>
      </c>
      <c r="O1" s="0" t="n">
        <v>14</v>
      </c>
      <c r="P1" s="0" t="n">
        <v>15</v>
      </c>
      <c r="Q1" s="0" t="n">
        <v>16</v>
      </c>
      <c r="R1" s="0" t="n">
        <v>17</v>
      </c>
      <c r="S1" s="0" t="n">
        <v>18</v>
      </c>
      <c r="T1" s="0" t="n">
        <v>19</v>
      </c>
      <c r="U1" s="0" t="n">
        <v>20</v>
      </c>
      <c r="V1" s="0" t="n">
        <v>21</v>
      </c>
      <c r="W1" s="0" t="n">
        <v>22</v>
      </c>
      <c r="X1" s="0" t="n">
        <v>23</v>
      </c>
      <c r="Y1" s="0" t="n">
        <v>24</v>
      </c>
      <c r="Z1" s="0" t="n">
        <v>25</v>
      </c>
      <c r="AA1" s="0" t="n">
        <v>26</v>
      </c>
      <c r="AB1" s="0" t="n">
        <v>27</v>
      </c>
      <c r="AC1" s="0" t="n">
        <v>28</v>
      </c>
      <c r="AD1" s="0" t="n">
        <v>29</v>
      </c>
      <c r="AE1" s="0" t="n">
        <v>30</v>
      </c>
      <c r="AF1" s="0" t="n">
        <v>31</v>
      </c>
      <c r="AG1" s="0" t="n">
        <v>32</v>
      </c>
      <c r="AH1" s="0" t="n">
        <v>33</v>
      </c>
      <c r="AI1" s="0" t="n">
        <v>34</v>
      </c>
      <c r="AJ1" s="0" t="n">
        <v>35</v>
      </c>
      <c r="AK1" s="0" t="n">
        <v>36</v>
      </c>
      <c r="AL1" s="0" t="n">
        <v>37</v>
      </c>
      <c r="AM1" s="0" t="n">
        <v>38</v>
      </c>
      <c r="AN1" s="0" t="n">
        <v>39</v>
      </c>
      <c r="AO1" s="0" t="n">
        <v>40</v>
      </c>
      <c r="AP1" s="0" t="n">
        <v>41</v>
      </c>
      <c r="AQ1" s="0" t="n">
        <v>42</v>
      </c>
      <c r="AR1" s="0" t="n">
        <v>43</v>
      </c>
      <c r="AS1" s="0" t="n">
        <v>44</v>
      </c>
    </row>
    <row r="2" customFormat="false" ht="13.8" hidden="false" customHeight="false" outlineLevel="0" collapsed="false">
      <c r="A2" s="0" t="s">
        <v>243</v>
      </c>
      <c r="B2" s="0" t="n">
        <v>0.611657</v>
      </c>
      <c r="C2" s="0" t="n">
        <v>0.711657</v>
      </c>
      <c r="D2" s="0" t="n">
        <v>0.811657</v>
      </c>
      <c r="E2" s="0" t="n">
        <v>0.911657</v>
      </c>
      <c r="F2" s="0" t="n">
        <v>1.011657</v>
      </c>
      <c r="G2" s="0" t="n">
        <v>2.011657</v>
      </c>
      <c r="H2" s="0" t="n">
        <v>3.011657</v>
      </c>
      <c r="I2" s="0" t="n">
        <v>4.011657</v>
      </c>
      <c r="J2" s="0" t="n">
        <v>5.011657</v>
      </c>
      <c r="K2" s="0" t="n">
        <v>6.011657</v>
      </c>
      <c r="L2" s="0" t="n">
        <v>7.011657</v>
      </c>
      <c r="M2" s="0" t="n">
        <v>8.011657</v>
      </c>
      <c r="N2" s="0" t="n">
        <v>9.011657</v>
      </c>
      <c r="O2" s="0" t="n">
        <v>10.011657</v>
      </c>
      <c r="P2" s="0" t="n">
        <v>20.011657</v>
      </c>
      <c r="Q2" s="0" t="n">
        <v>30.011657</v>
      </c>
      <c r="R2" s="0" t="n">
        <v>40.011657</v>
      </c>
      <c r="S2" s="0" t="n">
        <v>50.011657</v>
      </c>
      <c r="T2" s="0" t="n">
        <v>60.011657</v>
      </c>
      <c r="U2" s="0" t="n">
        <v>70.011657</v>
      </c>
      <c r="V2" s="0" t="n">
        <v>80.011657</v>
      </c>
      <c r="W2" s="0" t="n">
        <v>90.011657</v>
      </c>
      <c r="X2" s="0" t="n">
        <v>100.011657</v>
      </c>
      <c r="Y2" s="0" t="n">
        <v>200.011657</v>
      </c>
      <c r="Z2" s="0" t="n">
        <v>300.011657</v>
      </c>
      <c r="AA2" s="0" t="n">
        <v>400.011657</v>
      </c>
      <c r="AB2" s="0" t="n">
        <v>500.011657</v>
      </c>
      <c r="AC2" s="0" t="n">
        <v>600.011657</v>
      </c>
      <c r="AD2" s="0" t="n">
        <v>700.011657</v>
      </c>
      <c r="AE2" s="0" t="n">
        <v>800.011657</v>
      </c>
      <c r="AF2" s="0" t="n">
        <v>900.011657</v>
      </c>
      <c r="AG2" s="0" t="n">
        <v>1000.011657</v>
      </c>
      <c r="AH2" s="0" t="n">
        <v>2000.011657</v>
      </c>
      <c r="AI2" s="0" t="n">
        <v>3000.011657</v>
      </c>
      <c r="AJ2" s="0" t="n">
        <v>4000.011657</v>
      </c>
      <c r="AK2" s="0" t="n">
        <v>5000.011657</v>
      </c>
      <c r="AL2" s="0" t="n">
        <v>6000.011657</v>
      </c>
      <c r="AM2" s="0" t="n">
        <v>7000.011657</v>
      </c>
      <c r="AN2" s="0" t="n">
        <v>8000.011657</v>
      </c>
      <c r="AO2" s="0" t="n">
        <v>9000.011657</v>
      </c>
      <c r="AP2" s="0" t="n">
        <v>10000.011657</v>
      </c>
      <c r="AQ2" s="0" t="n">
        <v>20000.011657</v>
      </c>
      <c r="AR2" s="0" t="n">
        <v>22063.95</v>
      </c>
      <c r="AS2" s="0" t="n">
        <v>23000</v>
      </c>
    </row>
    <row r="3" customFormat="false" ht="13.8" hidden="false" customHeight="false" outlineLevel="0" collapsed="false">
      <c r="A3" s="0" t="s">
        <v>244</v>
      </c>
      <c r="B3" s="0" t="n">
        <v>-0.00015</v>
      </c>
      <c r="C3" s="0" t="n">
        <v>0</v>
      </c>
      <c r="D3" s="0" t="n">
        <v>0.001</v>
      </c>
      <c r="E3" s="0" t="n">
        <v>0.002</v>
      </c>
      <c r="F3" s="0" t="n">
        <v>0.003</v>
      </c>
      <c r="G3" s="0" t="n">
        <v>0.004</v>
      </c>
      <c r="H3" s="0" t="n">
        <v>0.005</v>
      </c>
      <c r="I3" s="0" t="n">
        <v>0.006</v>
      </c>
      <c r="J3" s="0" t="n">
        <v>0.007</v>
      </c>
      <c r="K3" s="0" t="n">
        <v>0.008</v>
      </c>
      <c r="L3" s="0" t="n">
        <v>0.009</v>
      </c>
      <c r="M3" s="0" t="n">
        <v>0.01</v>
      </c>
      <c r="N3" s="0" t="n">
        <v>0.02</v>
      </c>
      <c r="O3" s="0" t="n">
        <v>0.03</v>
      </c>
      <c r="P3" s="0" t="n">
        <v>0.04</v>
      </c>
      <c r="Q3" s="0" t="n">
        <v>0.05</v>
      </c>
      <c r="R3" s="0" t="n">
        <v>0.06</v>
      </c>
      <c r="S3" s="0" t="n">
        <v>0.07</v>
      </c>
      <c r="T3" s="0" t="n">
        <v>0.08</v>
      </c>
      <c r="U3" s="0" t="n">
        <v>0.09</v>
      </c>
      <c r="V3" s="0" t="n">
        <v>0.1</v>
      </c>
      <c r="W3" s="0" t="n">
        <v>0.2</v>
      </c>
      <c r="X3" s="0" t="n">
        <v>0.3</v>
      </c>
      <c r="Y3" s="0" t="n">
        <v>0.4</v>
      </c>
      <c r="Z3" s="0" t="n">
        <v>0.5</v>
      </c>
      <c r="AA3" s="0" t="n">
        <v>0.6</v>
      </c>
      <c r="AB3" s="0" t="n">
        <v>0.7</v>
      </c>
      <c r="AC3" s="0" t="n">
        <v>0.8</v>
      </c>
      <c r="AD3" s="0" t="n">
        <v>0.9</v>
      </c>
      <c r="AE3" s="0" t="n">
        <v>1</v>
      </c>
      <c r="AF3" s="0" t="n">
        <v>2</v>
      </c>
      <c r="AG3" s="0" t="n">
        <v>3</v>
      </c>
      <c r="AH3" s="0" t="n">
        <v>4</v>
      </c>
      <c r="AI3" s="0" t="n">
        <v>5</v>
      </c>
      <c r="AJ3" s="0" t="n">
        <v>6</v>
      </c>
      <c r="AK3" s="0" t="n">
        <v>7</v>
      </c>
      <c r="AL3" s="0" t="n">
        <v>8</v>
      </c>
      <c r="AM3" s="0" t="n">
        <v>9</v>
      </c>
      <c r="AN3" s="0" t="n">
        <v>9.15574</v>
      </c>
      <c r="AO3" s="0" t="n">
        <v>9.2</v>
      </c>
    </row>
    <row r="4" customFormat="false" ht="13.8" hidden="false" customHeight="false" outlineLevel="0" collapsed="false">
      <c r="A4" s="0" t="s">
        <v>245</v>
      </c>
      <c r="B4" s="0" t="n">
        <v>0</v>
      </c>
      <c r="C4" s="0" t="n">
        <v>0.1</v>
      </c>
      <c r="D4" s="0" t="n">
        <v>0.2</v>
      </c>
      <c r="E4" s="0" t="n">
        <v>0.3</v>
      </c>
      <c r="F4" s="0" t="n">
        <v>0.4</v>
      </c>
      <c r="G4" s="0" t="n">
        <v>0.5</v>
      </c>
      <c r="H4" s="0" t="n">
        <v>0.6</v>
      </c>
      <c r="I4" s="0" t="n">
        <v>0.7</v>
      </c>
      <c r="J4" s="0" t="n">
        <v>0.8</v>
      </c>
      <c r="K4" s="0" t="n">
        <v>0.9</v>
      </c>
      <c r="L4" s="0" t="n">
        <v>1</v>
      </c>
      <c r="M4" s="0" t="n">
        <v>2</v>
      </c>
      <c r="N4" s="0" t="n">
        <v>3</v>
      </c>
      <c r="O4" s="0" t="n">
        <v>4</v>
      </c>
      <c r="P4" s="0" t="n">
        <v>5</v>
      </c>
      <c r="Q4" s="0" t="n">
        <v>6</v>
      </c>
      <c r="R4" s="0" t="n">
        <v>7</v>
      </c>
      <c r="S4" s="0" t="n">
        <v>8</v>
      </c>
      <c r="T4" s="0" t="n">
        <v>9</v>
      </c>
      <c r="U4" s="0" t="n">
        <v>10</v>
      </c>
      <c r="V4" s="0" t="n">
        <v>20</v>
      </c>
      <c r="W4" s="0" t="n">
        <v>30</v>
      </c>
      <c r="X4" s="0" t="n">
        <v>40</v>
      </c>
      <c r="Y4" s="0" t="n">
        <v>50</v>
      </c>
      <c r="Z4" s="0" t="n">
        <v>60</v>
      </c>
      <c r="AA4" s="0" t="n">
        <v>70</v>
      </c>
      <c r="AB4" s="0" t="n">
        <v>80</v>
      </c>
      <c r="AC4" s="0" t="n">
        <v>90</v>
      </c>
      <c r="AD4" s="0" t="n">
        <v>100</v>
      </c>
      <c r="AE4" s="0" t="n">
        <v>200</v>
      </c>
      <c r="AF4" s="0" t="n">
        <v>300</v>
      </c>
      <c r="AG4" s="0" t="n">
        <v>400</v>
      </c>
    </row>
    <row r="9" customFormat="false" ht="12.8" hidden="false" customHeight="false" outlineLevel="0" collapsed="false">
      <c r="A9" s="0" t="s">
        <v>246</v>
      </c>
      <c r="B9" s="0" t="s">
        <v>247</v>
      </c>
      <c r="C9" s="0" t="s">
        <v>248</v>
      </c>
    </row>
    <row r="10" customFormat="false" ht="12.8" hidden="false" customHeight="false" outlineLevel="0" collapsed="false">
      <c r="A10" s="0" t="n">
        <v>0.1</v>
      </c>
      <c r="B10" s="0" t="n">
        <v>0.01</v>
      </c>
      <c r="C10" s="0" t="n">
        <v>0</v>
      </c>
    </row>
    <row r="11" customFormat="false" ht="13.8" hidden="false" customHeight="false" outlineLevel="0" collapsed="false">
      <c r="A11" s="0" t="n">
        <v>0.2</v>
      </c>
      <c r="B11" s="0" t="n">
        <f aca="false">B10+0.01</f>
        <v>0.02</v>
      </c>
      <c r="C11" s="0" t="n">
        <v>0.001</v>
      </c>
    </row>
    <row r="12" customFormat="false" ht="13.8" hidden="false" customHeight="false" outlineLevel="0" collapsed="false">
      <c r="A12" s="0" t="n">
        <v>0.3</v>
      </c>
      <c r="B12" s="0" t="n">
        <f aca="false">B11+0.01</f>
        <v>0.03</v>
      </c>
      <c r="C12" s="0" t="n">
        <f aca="false">C11+0.001</f>
        <v>0.002</v>
      </c>
    </row>
    <row r="13" customFormat="false" ht="13.8" hidden="false" customHeight="false" outlineLevel="0" collapsed="false">
      <c r="A13" s="0" t="n">
        <v>0.4</v>
      </c>
      <c r="B13" s="0" t="n">
        <f aca="false">B12+0.01</f>
        <v>0.04</v>
      </c>
      <c r="C13" s="0" t="n">
        <f aca="false">C12+0.001</f>
        <v>0.003</v>
      </c>
    </row>
    <row r="14" customFormat="false" ht="13.8" hidden="false" customHeight="false" outlineLevel="0" collapsed="false">
      <c r="A14" s="0" t="n">
        <v>0.5</v>
      </c>
      <c r="B14" s="0" t="n">
        <f aca="false">B13+0.01</f>
        <v>0.05</v>
      </c>
      <c r="C14" s="0" t="n">
        <f aca="false">C13+0.001</f>
        <v>0.004</v>
      </c>
    </row>
    <row r="15" customFormat="false" ht="13.8" hidden="false" customHeight="false" outlineLevel="0" collapsed="false">
      <c r="A15" s="0" t="n">
        <v>0.6</v>
      </c>
      <c r="B15" s="0" t="n">
        <f aca="false">B14+0.01</f>
        <v>0.06</v>
      </c>
      <c r="C15" s="0" t="n">
        <f aca="false">C14+0.001</f>
        <v>0.005</v>
      </c>
    </row>
    <row r="16" customFormat="false" ht="13.8" hidden="false" customHeight="false" outlineLevel="0" collapsed="false">
      <c r="A16" s="0" t="n">
        <v>0.7</v>
      </c>
      <c r="B16" s="0" t="n">
        <f aca="false">B15+0.01</f>
        <v>0.07</v>
      </c>
      <c r="C16" s="0" t="n">
        <f aca="false">C15+0.001</f>
        <v>0.006</v>
      </c>
    </row>
    <row r="17" customFormat="false" ht="13.8" hidden="false" customHeight="false" outlineLevel="0" collapsed="false">
      <c r="A17" s="0" t="n">
        <v>0.8</v>
      </c>
      <c r="B17" s="0" t="n">
        <f aca="false">B16+0.01</f>
        <v>0.08</v>
      </c>
      <c r="C17" s="0" t="n">
        <f aca="false">C16+0.001</f>
        <v>0.007</v>
      </c>
    </row>
    <row r="18" customFormat="false" ht="13.8" hidden="false" customHeight="false" outlineLevel="0" collapsed="false">
      <c r="A18" s="0" t="n">
        <v>0.9</v>
      </c>
      <c r="B18" s="0" t="n">
        <f aca="false">B17+0.01</f>
        <v>0.09</v>
      </c>
      <c r="C18" s="0" t="n">
        <f aca="false">C17+0.001</f>
        <v>0.008</v>
      </c>
    </row>
    <row r="19" customFormat="false" ht="13.8" hidden="false" customHeight="false" outlineLevel="0" collapsed="false">
      <c r="A19" s="0" t="n">
        <v>1</v>
      </c>
      <c r="B19" s="0" t="n">
        <f aca="false">B18+0.01</f>
        <v>0.1</v>
      </c>
      <c r="C19" s="0" t="n">
        <f aca="false">C18+0.001</f>
        <v>0.009</v>
      </c>
    </row>
    <row r="20" customFormat="false" ht="13.8" hidden="false" customHeight="false" outlineLevel="0" collapsed="false">
      <c r="A20" s="0" t="n">
        <v>2</v>
      </c>
      <c r="B20" s="0" t="n">
        <f aca="false">B19+0.1</f>
        <v>0.2</v>
      </c>
      <c r="C20" s="0" t="n">
        <f aca="false">C19+0.001</f>
        <v>0.01</v>
      </c>
    </row>
    <row r="21" customFormat="false" ht="13.8" hidden="false" customHeight="false" outlineLevel="0" collapsed="false">
      <c r="A21" s="0" t="n">
        <v>3</v>
      </c>
      <c r="B21" s="0" t="n">
        <f aca="false">B20+0.1</f>
        <v>0.3</v>
      </c>
      <c r="C21" s="0" t="n">
        <f aca="false">C20+0.01</f>
        <v>0.02</v>
      </c>
    </row>
    <row r="22" customFormat="false" ht="13.8" hidden="false" customHeight="false" outlineLevel="0" collapsed="false">
      <c r="A22" s="0" t="n">
        <v>4</v>
      </c>
      <c r="B22" s="0" t="n">
        <f aca="false">B21+0.1</f>
        <v>0.4</v>
      </c>
      <c r="C22" s="0" t="n">
        <f aca="false">C21+0.01</f>
        <v>0.03</v>
      </c>
    </row>
    <row r="23" customFormat="false" ht="13.8" hidden="false" customHeight="false" outlineLevel="0" collapsed="false">
      <c r="A23" s="0" t="n">
        <v>5</v>
      </c>
      <c r="B23" s="0" t="n">
        <f aca="false">B22+0.1</f>
        <v>0.5</v>
      </c>
      <c r="C23" s="0" t="n">
        <f aca="false">C22+0.01</f>
        <v>0.04</v>
      </c>
    </row>
    <row r="24" customFormat="false" ht="13.8" hidden="false" customHeight="false" outlineLevel="0" collapsed="false">
      <c r="A24" s="0" t="n">
        <v>6</v>
      </c>
      <c r="B24" s="0" t="n">
        <f aca="false">B23+0.1</f>
        <v>0.6</v>
      </c>
      <c r="C24" s="0" t="n">
        <f aca="false">C23+0.01</f>
        <v>0.05</v>
      </c>
    </row>
    <row r="25" customFormat="false" ht="13.8" hidden="false" customHeight="false" outlineLevel="0" collapsed="false">
      <c r="A25" s="0" t="n">
        <v>7</v>
      </c>
      <c r="B25" s="0" t="n">
        <f aca="false">B24+0.1</f>
        <v>0.7</v>
      </c>
      <c r="C25" s="0" t="n">
        <f aca="false">C24+0.01</f>
        <v>0.06</v>
      </c>
    </row>
    <row r="26" customFormat="false" ht="13.8" hidden="false" customHeight="false" outlineLevel="0" collapsed="false">
      <c r="A26" s="0" t="n">
        <v>8</v>
      </c>
      <c r="B26" s="0" t="n">
        <f aca="false">B25+0.1</f>
        <v>0.8</v>
      </c>
      <c r="C26" s="0" t="n">
        <f aca="false">C25+0.01</f>
        <v>0.07</v>
      </c>
    </row>
    <row r="27" customFormat="false" ht="13.8" hidden="false" customHeight="false" outlineLevel="0" collapsed="false">
      <c r="A27" s="0" t="n">
        <v>9</v>
      </c>
      <c r="B27" s="0" t="n">
        <f aca="false">B26+0.1</f>
        <v>0.9</v>
      </c>
      <c r="C27" s="0" t="n">
        <f aca="false">C26+0.01</f>
        <v>0.08</v>
      </c>
    </row>
    <row r="28" customFormat="false" ht="13.8" hidden="false" customHeight="false" outlineLevel="0" collapsed="false">
      <c r="A28" s="0" t="n">
        <v>10</v>
      </c>
      <c r="B28" s="0" t="n">
        <f aca="false">B27+0.1</f>
        <v>1</v>
      </c>
      <c r="C28" s="0" t="n">
        <f aca="false">C27+0.01</f>
        <v>0.09</v>
      </c>
    </row>
    <row r="29" customFormat="false" ht="13.8" hidden="false" customHeight="false" outlineLevel="0" collapsed="false">
      <c r="A29" s="0" t="n">
        <v>20</v>
      </c>
      <c r="B29" s="0" t="n">
        <f aca="false">B28+1</f>
        <v>2</v>
      </c>
      <c r="C29" s="0" t="n">
        <f aca="false">C28+0.01</f>
        <v>0.1</v>
      </c>
    </row>
    <row r="30" customFormat="false" ht="13.8" hidden="false" customHeight="false" outlineLevel="0" collapsed="false">
      <c r="A30" s="0" t="n">
        <v>30</v>
      </c>
      <c r="B30" s="0" t="n">
        <f aca="false">B29+1</f>
        <v>3</v>
      </c>
      <c r="C30" s="0" t="n">
        <f aca="false">C29+0.1</f>
        <v>0.2</v>
      </c>
    </row>
    <row r="31" customFormat="false" ht="13.8" hidden="false" customHeight="false" outlineLevel="0" collapsed="false">
      <c r="A31" s="0" t="n">
        <v>40</v>
      </c>
      <c r="B31" s="0" t="n">
        <f aca="false">B30+1</f>
        <v>4</v>
      </c>
      <c r="C31" s="0" t="n">
        <f aca="false">C30+0.1</f>
        <v>0.3</v>
      </c>
    </row>
    <row r="32" customFormat="false" ht="13.8" hidden="false" customHeight="false" outlineLevel="0" collapsed="false">
      <c r="A32" s="0" t="n">
        <v>50</v>
      </c>
      <c r="B32" s="0" t="n">
        <f aca="false">B31+1</f>
        <v>5</v>
      </c>
      <c r="C32" s="0" t="n">
        <f aca="false">C31+0.1</f>
        <v>0.4</v>
      </c>
    </row>
    <row r="33" customFormat="false" ht="13.8" hidden="false" customHeight="false" outlineLevel="0" collapsed="false">
      <c r="A33" s="0" t="n">
        <v>60</v>
      </c>
      <c r="B33" s="0" t="n">
        <f aca="false">B32+1</f>
        <v>6</v>
      </c>
      <c r="C33" s="0" t="n">
        <f aca="false">C32+0.1</f>
        <v>0.5</v>
      </c>
    </row>
    <row r="34" customFormat="false" ht="13.8" hidden="false" customHeight="false" outlineLevel="0" collapsed="false">
      <c r="A34" s="0" t="n">
        <v>70</v>
      </c>
      <c r="B34" s="0" t="n">
        <f aca="false">B33+1</f>
        <v>7</v>
      </c>
      <c r="C34" s="0" t="n">
        <f aca="false">C33+0.1</f>
        <v>0.6</v>
      </c>
    </row>
    <row r="35" customFormat="false" ht="13.8" hidden="false" customHeight="false" outlineLevel="0" collapsed="false">
      <c r="A35" s="0" t="n">
        <v>80</v>
      </c>
      <c r="B35" s="0" t="n">
        <f aca="false">B34+1</f>
        <v>8</v>
      </c>
      <c r="C35" s="0" t="n">
        <f aca="false">C34+0.1</f>
        <v>0.7</v>
      </c>
    </row>
    <row r="36" customFormat="false" ht="13.8" hidden="false" customHeight="false" outlineLevel="0" collapsed="false">
      <c r="A36" s="0" t="n">
        <v>90</v>
      </c>
      <c r="B36" s="0" t="n">
        <f aca="false">B35+1</f>
        <v>9</v>
      </c>
      <c r="C36" s="0" t="n">
        <f aca="false">C35+0.1</f>
        <v>0.8</v>
      </c>
    </row>
    <row r="37" customFormat="false" ht="13.8" hidden="false" customHeight="false" outlineLevel="0" collapsed="false">
      <c r="A37" s="0" t="n">
        <v>100</v>
      </c>
      <c r="B37" s="0" t="n">
        <f aca="false">B36+1</f>
        <v>10</v>
      </c>
      <c r="C37" s="0" t="n">
        <f aca="false">C36+0.1</f>
        <v>0.9</v>
      </c>
    </row>
    <row r="38" customFormat="false" ht="13.8" hidden="false" customHeight="false" outlineLevel="0" collapsed="false">
      <c r="A38" s="0" t="n">
        <v>200</v>
      </c>
      <c r="B38" s="0" t="n">
        <f aca="false">B37+10</f>
        <v>20</v>
      </c>
      <c r="C38" s="0" t="n">
        <f aca="false">C37+0.1</f>
        <v>1</v>
      </c>
    </row>
    <row r="39" customFormat="false" ht="13.8" hidden="false" customHeight="false" outlineLevel="0" collapsed="false">
      <c r="A39" s="0" t="n">
        <v>300</v>
      </c>
      <c r="B39" s="0" t="n">
        <f aca="false">B38+10</f>
        <v>30</v>
      </c>
    </row>
    <row r="40" customFormat="false" ht="13.8" hidden="false" customHeight="false" outlineLevel="0" collapsed="false">
      <c r="A40" s="0" t="n">
        <v>400</v>
      </c>
      <c r="B40" s="0" t="n">
        <f aca="false">B39+10</f>
        <v>40</v>
      </c>
    </row>
    <row r="41" customFormat="false" ht="13.8" hidden="false" customHeight="false" outlineLevel="0" collapsed="false">
      <c r="A41" s="0" t="n">
        <v>500</v>
      </c>
      <c r="B41" s="0" t="n">
        <f aca="false">B40+10</f>
        <v>50</v>
      </c>
    </row>
    <row r="42" customFormat="false" ht="13.8" hidden="false" customHeight="false" outlineLevel="0" collapsed="false">
      <c r="A42" s="0" t="n">
        <v>600</v>
      </c>
      <c r="B42" s="0" t="n">
        <f aca="false">B41+10</f>
        <v>60</v>
      </c>
    </row>
    <row r="43" customFormat="false" ht="13.8" hidden="false" customHeight="false" outlineLevel="0" collapsed="false">
      <c r="A43" s="0" t="n">
        <v>700</v>
      </c>
      <c r="B43" s="0" t="n">
        <f aca="false">B42+10</f>
        <v>70</v>
      </c>
    </row>
    <row r="44" customFormat="false" ht="13.8" hidden="false" customHeight="false" outlineLevel="0" collapsed="false">
      <c r="A44" s="0" t="n">
        <v>800</v>
      </c>
      <c r="B44" s="0" t="n">
        <f aca="false">B43+10</f>
        <v>80</v>
      </c>
    </row>
    <row r="45" customFormat="false" ht="13.8" hidden="false" customHeight="false" outlineLevel="0" collapsed="false">
      <c r="A45" s="0" t="n">
        <v>900</v>
      </c>
      <c r="B45" s="0" t="n">
        <f aca="false">B44+10</f>
        <v>90</v>
      </c>
    </row>
    <row r="46" customFormat="false" ht="13.8" hidden="false" customHeight="false" outlineLevel="0" collapsed="false">
      <c r="A46" s="0" t="n">
        <v>1000</v>
      </c>
      <c r="B46" s="0" t="n">
        <f aca="false">B45+10</f>
        <v>100</v>
      </c>
    </row>
    <row r="47" customFormat="false" ht="13.8" hidden="false" customHeight="false" outlineLevel="0" collapsed="false">
      <c r="A47" s="0" t="n">
        <v>2000</v>
      </c>
      <c r="B47" s="0" t="n">
        <f aca="false">B46+100</f>
        <v>200</v>
      </c>
    </row>
    <row r="48" customFormat="false" ht="13.8" hidden="false" customHeight="false" outlineLevel="0" collapsed="false">
      <c r="A48" s="0" t="n">
        <v>2010</v>
      </c>
      <c r="B48" s="0" t="n">
        <f aca="false">B47+100</f>
        <v>300</v>
      </c>
    </row>
    <row r="49" customFormat="false" ht="13.8" hidden="false" customHeight="false" outlineLevel="0" collapsed="false">
      <c r="A49" s="0" t="n">
        <v>2020</v>
      </c>
      <c r="B49" s="0" t="n">
        <f aca="false">B48+100</f>
        <v>400</v>
      </c>
    </row>
    <row r="50" customFormat="false" ht="13.8" hidden="false" customHeight="false" outlineLevel="0" collapsed="false">
      <c r="A50" s="0" t="n">
        <v>2030</v>
      </c>
      <c r="B50" s="0" t="n">
        <f aca="false">B49+100</f>
        <v>500</v>
      </c>
    </row>
    <row r="51" customFormat="false" ht="13.8" hidden="false" customHeight="false" outlineLevel="0" collapsed="false">
      <c r="A51" s="0" t="n">
        <v>2040</v>
      </c>
      <c r="B51" s="0" t="n">
        <f aca="false">B50+100</f>
        <v>600</v>
      </c>
    </row>
    <row r="52" customFormat="false" ht="13.8" hidden="false" customHeight="false" outlineLevel="0" collapsed="false">
      <c r="A52" s="0" t="n">
        <v>2050</v>
      </c>
      <c r="B52" s="0" t="n">
        <f aca="false">B51+100</f>
        <v>700</v>
      </c>
    </row>
    <row r="53" customFormat="false" ht="13.8" hidden="false" customHeight="false" outlineLevel="0" collapsed="false">
      <c r="A53" s="0" t="n">
        <v>2060</v>
      </c>
      <c r="B53" s="0" t="n">
        <f aca="false">B52+100</f>
        <v>800</v>
      </c>
    </row>
    <row r="54" customFormat="false" ht="13.8" hidden="false" customHeight="false" outlineLevel="0" collapsed="false">
      <c r="A54" s="0" t="n">
        <v>2070</v>
      </c>
      <c r="B54" s="0" t="n">
        <f aca="false">B53+100</f>
        <v>900</v>
      </c>
    </row>
    <row r="55" customFormat="false" ht="13.8" hidden="false" customHeight="false" outlineLevel="0" collapsed="false">
      <c r="A55" s="0" t="n">
        <v>2080</v>
      </c>
      <c r="B55" s="0" t="n">
        <f aca="false">B54+100</f>
        <v>1000</v>
      </c>
    </row>
    <row r="56" customFormat="false" ht="13.8" hidden="false" customHeight="false" outlineLevel="0" collapsed="false">
      <c r="A56" s="0" t="n">
        <v>2090</v>
      </c>
    </row>
    <row r="57" customFormat="false" ht="13.8" hidden="false" customHeight="false" outlineLevel="0" collapsed="false">
      <c r="A57" s="0" t="n">
        <v>2100</v>
      </c>
    </row>
    <row r="58" customFormat="false" ht="12.8" hidden="false" customHeight="false" outlineLevel="0" collapsed="false">
      <c r="A58" s="0" t="n">
        <v>2110</v>
      </c>
    </row>
    <row r="59" customFormat="false" ht="12.8" hidden="false" customHeight="false" outlineLevel="0" collapsed="false">
      <c r="A59" s="0" t="n">
        <v>2120</v>
      </c>
    </row>
    <row r="60" customFormat="false" ht="12.8" hidden="false" customHeight="false" outlineLevel="0" collapsed="false">
      <c r="A60" s="0" t="n">
        <v>2130</v>
      </c>
    </row>
    <row r="61" customFormat="false" ht="12.8" hidden="false" customHeight="false" outlineLevel="0" collapsed="false">
      <c r="A61" s="0" t="n">
        <v>2140</v>
      </c>
    </row>
    <row r="62" customFormat="false" ht="12.8" hidden="false" customHeight="false" outlineLevel="0" collapsed="false">
      <c r="A62" s="0" t="n">
        <v>2150</v>
      </c>
    </row>
    <row r="63" customFormat="false" ht="12.8" hidden="false" customHeight="false" outlineLevel="0" collapsed="false">
      <c r="A63" s="0" t="n">
        <v>2160</v>
      </c>
    </row>
    <row r="64" customFormat="false" ht="12.8" hidden="false" customHeight="false" outlineLevel="0" collapsed="false">
      <c r="A64" s="0" t="n">
        <v>2170</v>
      </c>
    </row>
    <row r="65" customFormat="false" ht="12.8" hidden="false" customHeight="false" outlineLevel="0" collapsed="false">
      <c r="A65" s="0" t="n">
        <v>2180</v>
      </c>
    </row>
    <row r="66" customFormat="false" ht="12.8" hidden="false" customHeight="false" outlineLevel="0" collapsed="false">
      <c r="A66" s="0" t="n">
        <v>2190</v>
      </c>
    </row>
    <row r="67" customFormat="false" ht="12.8" hidden="false" customHeight="false" outlineLevel="0" collapsed="false">
      <c r="A67" s="0" t="n">
        <v>2200</v>
      </c>
    </row>
    <row r="68" customFormat="false" ht="12.8" hidden="false" customHeight="false" outlineLevel="0" collapsed="false">
      <c r="A68" s="0" t="n">
        <v>2210</v>
      </c>
    </row>
    <row r="69" customFormat="false" ht="12.8" hidden="false" customHeight="false" outlineLevel="0" collapsed="false">
      <c r="A69" s="0" t="n">
        <v>2220</v>
      </c>
    </row>
    <row r="70" customFormat="false" ht="12.8" hidden="false" customHeight="false" outlineLevel="0" collapsed="false">
      <c r="A70" s="0" t="n">
        <v>2230</v>
      </c>
    </row>
    <row r="71" customFormat="false" ht="12.8" hidden="false" customHeight="false" outlineLevel="0" collapsed="false">
      <c r="A71" s="0" t="n">
        <v>2240</v>
      </c>
    </row>
    <row r="72" customFormat="false" ht="12.8" hidden="false" customHeight="false" outlineLevel="0" collapsed="false">
      <c r="A72" s="0" t="n">
        <v>2250</v>
      </c>
    </row>
    <row r="73" customFormat="false" ht="12.8" hidden="false" customHeight="false" outlineLevel="0" collapsed="false">
      <c r="A73" s="0" t="n">
        <v>2260</v>
      </c>
    </row>
    <row r="74" customFormat="false" ht="12.8" hidden="false" customHeight="false" outlineLevel="0" collapsed="false">
      <c r="A74" s="0" t="n">
        <v>2270</v>
      </c>
    </row>
    <row r="75" customFormat="false" ht="12.8" hidden="false" customHeight="false" outlineLevel="0" collapsed="false">
      <c r="A75" s="0" t="n">
        <v>2280</v>
      </c>
    </row>
    <row r="76" customFormat="false" ht="12.8" hidden="false" customHeight="false" outlineLevel="0" collapsed="false">
      <c r="A76" s="0" t="n">
        <v>2290</v>
      </c>
    </row>
    <row r="77" customFormat="false" ht="12.8" hidden="false" customHeight="false" outlineLevel="0" collapsed="false">
      <c r="A77" s="0" t="n">
        <v>2300</v>
      </c>
    </row>
    <row r="78" customFormat="false" ht="12.8" hidden="false" customHeight="false" outlineLevel="0" collapsed="false">
      <c r="A78" s="0" t="n">
        <v>2310</v>
      </c>
    </row>
    <row r="79" customFormat="false" ht="12.8" hidden="false" customHeight="false" outlineLevel="0" collapsed="false">
      <c r="A79" s="0" t="n">
        <v>2320</v>
      </c>
    </row>
    <row r="80" customFormat="false" ht="12.8" hidden="false" customHeight="false" outlineLevel="0" collapsed="false">
      <c r="A80" s="0" t="n">
        <v>2330</v>
      </c>
    </row>
    <row r="81" customFormat="false" ht="12.8" hidden="false" customHeight="false" outlineLevel="0" collapsed="false">
      <c r="A81" s="0" t="n">
        <v>2340</v>
      </c>
    </row>
    <row r="82" customFormat="false" ht="12.8" hidden="false" customHeight="false" outlineLevel="0" collapsed="false">
      <c r="A82" s="0" t="n">
        <v>2350</v>
      </c>
    </row>
    <row r="83" customFormat="false" ht="12.8" hidden="false" customHeight="false" outlineLevel="0" collapsed="false">
      <c r="A83" s="0" t="n">
        <v>2360</v>
      </c>
    </row>
    <row r="84" customFormat="false" ht="12.8" hidden="false" customHeight="false" outlineLevel="0" collapsed="false">
      <c r="A84" s="0" t="n">
        <v>2370</v>
      </c>
    </row>
    <row r="85" customFormat="false" ht="12.8" hidden="false" customHeight="false" outlineLevel="0" collapsed="false">
      <c r="A85" s="0" t="n">
        <v>2380</v>
      </c>
    </row>
    <row r="86" customFormat="false" ht="12.8" hidden="false" customHeight="false" outlineLevel="0" collapsed="false">
      <c r="A86" s="0" t="n">
        <v>2390</v>
      </c>
    </row>
    <row r="87" customFormat="false" ht="12.8" hidden="false" customHeight="false" outlineLevel="0" collapsed="false">
      <c r="A87" s="0" t="n">
        <v>2400</v>
      </c>
    </row>
    <row r="88" customFormat="false" ht="12.8" hidden="false" customHeight="false" outlineLevel="0" collapsed="false">
      <c r="A88" s="0" t="n">
        <v>2410</v>
      </c>
    </row>
    <row r="89" customFormat="false" ht="12.8" hidden="false" customHeight="false" outlineLevel="0" collapsed="false">
      <c r="A89" s="0" t="n">
        <v>2420</v>
      </c>
    </row>
    <row r="90" customFormat="false" ht="12.8" hidden="false" customHeight="false" outlineLevel="0" collapsed="false">
      <c r="A90" s="0" t="n">
        <v>2430</v>
      </c>
    </row>
    <row r="91" customFormat="false" ht="12.8" hidden="false" customHeight="false" outlineLevel="0" collapsed="false">
      <c r="A91" s="0" t="n">
        <v>2440</v>
      </c>
    </row>
    <row r="92" customFormat="false" ht="12.8" hidden="false" customHeight="false" outlineLevel="0" collapsed="false">
      <c r="A92" s="0" t="n">
        <v>2450</v>
      </c>
    </row>
    <row r="93" customFormat="false" ht="12.8" hidden="false" customHeight="false" outlineLevel="0" collapsed="false">
      <c r="A93" s="0" t="n">
        <v>2460</v>
      </c>
    </row>
    <row r="94" customFormat="false" ht="12.8" hidden="false" customHeight="false" outlineLevel="0" collapsed="false">
      <c r="A94" s="0" t="n">
        <v>2470</v>
      </c>
    </row>
    <row r="95" customFormat="false" ht="12.8" hidden="false" customHeight="false" outlineLevel="0" collapsed="false">
      <c r="A95" s="0" t="n">
        <v>2480</v>
      </c>
    </row>
    <row r="96" customFormat="false" ht="12.8" hidden="false" customHeight="false" outlineLevel="0" collapsed="false">
      <c r="A96" s="0" t="n">
        <v>2490</v>
      </c>
    </row>
    <row r="97" customFormat="false" ht="12.8" hidden="false" customHeight="false" outlineLevel="0" collapsed="false">
      <c r="A97" s="0" t="n">
        <v>2500</v>
      </c>
    </row>
    <row r="98" customFormat="false" ht="12.8" hidden="false" customHeight="false" outlineLevel="0" collapsed="false">
      <c r="A98" s="0" t="n">
        <v>2510</v>
      </c>
    </row>
    <row r="99" customFormat="false" ht="12.8" hidden="false" customHeight="false" outlineLevel="0" collapsed="false">
      <c r="A99" s="0" t="n">
        <v>2520</v>
      </c>
    </row>
    <row r="100" customFormat="false" ht="12.8" hidden="false" customHeight="false" outlineLevel="0" collapsed="false">
      <c r="A100" s="0" t="n">
        <v>2530</v>
      </c>
    </row>
    <row r="101" customFormat="false" ht="12.8" hidden="false" customHeight="false" outlineLevel="0" collapsed="false">
      <c r="A101" s="0" t="n">
        <v>2540</v>
      </c>
    </row>
    <row r="102" customFormat="false" ht="12.8" hidden="false" customHeight="false" outlineLevel="0" collapsed="false">
      <c r="A102" s="0" t="n">
        <v>2550</v>
      </c>
    </row>
    <row r="103" customFormat="false" ht="12.8" hidden="false" customHeight="false" outlineLevel="0" collapsed="false">
      <c r="A103" s="0" t="n">
        <v>2560</v>
      </c>
    </row>
    <row r="104" customFormat="false" ht="12.8" hidden="false" customHeight="false" outlineLevel="0" collapsed="false">
      <c r="A104" s="0" t="n">
        <v>2570</v>
      </c>
    </row>
    <row r="105" customFormat="false" ht="12.8" hidden="false" customHeight="false" outlineLevel="0" collapsed="false">
      <c r="A105" s="0" t="n">
        <v>2580</v>
      </c>
    </row>
    <row r="106" customFormat="false" ht="12.8" hidden="false" customHeight="false" outlineLevel="0" collapsed="false">
      <c r="A106" s="0" t="n">
        <v>2590</v>
      </c>
    </row>
    <row r="107" customFormat="false" ht="12.8" hidden="false" customHeight="false" outlineLevel="0" collapsed="false">
      <c r="A107" s="0" t="n">
        <v>2600</v>
      </c>
    </row>
    <row r="108" customFormat="false" ht="12.8" hidden="false" customHeight="false" outlineLevel="0" collapsed="false">
      <c r="A108" s="0" t="n">
        <v>2610</v>
      </c>
    </row>
    <row r="109" customFormat="false" ht="12.8" hidden="false" customHeight="false" outlineLevel="0" collapsed="false">
      <c r="A109" s="0" t="n">
        <v>2620</v>
      </c>
    </row>
    <row r="110" customFormat="false" ht="12.8" hidden="false" customHeight="false" outlineLevel="0" collapsed="false">
      <c r="A110" s="0" t="n">
        <v>2630</v>
      </c>
    </row>
    <row r="111" customFormat="false" ht="12.8" hidden="false" customHeight="false" outlineLevel="0" collapsed="false">
      <c r="A111" s="0" t="n">
        <v>2640</v>
      </c>
    </row>
    <row r="112" customFormat="false" ht="12.8" hidden="false" customHeight="false" outlineLevel="0" collapsed="false">
      <c r="A112" s="0" t="n">
        <v>2650</v>
      </c>
    </row>
    <row r="113" customFormat="false" ht="12.8" hidden="false" customHeight="false" outlineLevel="0" collapsed="false">
      <c r="A113" s="0" t="n">
        <v>2660</v>
      </c>
    </row>
    <row r="114" customFormat="false" ht="12.8" hidden="false" customHeight="false" outlineLevel="0" collapsed="false">
      <c r="A114" s="0" t="n">
        <v>2670</v>
      </c>
    </row>
    <row r="115" customFormat="false" ht="12.8" hidden="false" customHeight="false" outlineLevel="0" collapsed="false">
      <c r="A115" s="0" t="n">
        <v>2680</v>
      </c>
    </row>
    <row r="116" customFormat="false" ht="12.8" hidden="false" customHeight="false" outlineLevel="0" collapsed="false">
      <c r="A116" s="0" t="n">
        <v>2690</v>
      </c>
    </row>
    <row r="117" customFormat="false" ht="12.8" hidden="false" customHeight="false" outlineLevel="0" collapsed="false">
      <c r="A117" s="0" t="n">
        <v>2700</v>
      </c>
    </row>
    <row r="118" customFormat="false" ht="12.8" hidden="false" customHeight="false" outlineLevel="0" collapsed="false">
      <c r="A118" s="0" t="n">
        <v>2710</v>
      </c>
    </row>
    <row r="119" customFormat="false" ht="12.8" hidden="false" customHeight="false" outlineLevel="0" collapsed="false">
      <c r="A119" s="0" t="n">
        <v>2720</v>
      </c>
    </row>
    <row r="120" customFormat="false" ht="12.8" hidden="false" customHeight="false" outlineLevel="0" collapsed="false">
      <c r="A120" s="0" t="n">
        <v>2730</v>
      </c>
    </row>
    <row r="121" customFormat="false" ht="12.8" hidden="false" customHeight="false" outlineLevel="0" collapsed="false">
      <c r="A121" s="0" t="n">
        <v>2740</v>
      </c>
    </row>
    <row r="122" customFormat="false" ht="12.8" hidden="false" customHeight="false" outlineLevel="0" collapsed="false">
      <c r="A122" s="0" t="n">
        <v>2750</v>
      </c>
    </row>
    <row r="123" customFormat="false" ht="12.8" hidden="false" customHeight="false" outlineLevel="0" collapsed="false">
      <c r="A123" s="0" t="n">
        <v>2760</v>
      </c>
    </row>
    <row r="124" customFormat="false" ht="12.8" hidden="false" customHeight="false" outlineLevel="0" collapsed="false">
      <c r="A124" s="0" t="n">
        <v>2770</v>
      </c>
    </row>
    <row r="125" customFormat="false" ht="12.8" hidden="false" customHeight="false" outlineLevel="0" collapsed="false">
      <c r="A125" s="0" t="n">
        <v>2780</v>
      </c>
    </row>
    <row r="126" customFormat="false" ht="12.8" hidden="false" customHeight="false" outlineLevel="0" collapsed="false">
      <c r="A126" s="0" t="n">
        <v>2790</v>
      </c>
    </row>
    <row r="127" customFormat="false" ht="12.8" hidden="false" customHeight="false" outlineLevel="0" collapsed="false">
      <c r="A127" s="0" t="n">
        <v>2800</v>
      </c>
    </row>
    <row r="128" customFormat="false" ht="12.8" hidden="false" customHeight="false" outlineLevel="0" collapsed="false">
      <c r="A128" s="0" t="n">
        <v>2810</v>
      </c>
    </row>
    <row r="129" customFormat="false" ht="12.8" hidden="false" customHeight="false" outlineLevel="0" collapsed="false">
      <c r="A129" s="0" t="n">
        <v>2820</v>
      </c>
    </row>
    <row r="130" customFormat="false" ht="12.8" hidden="false" customHeight="false" outlineLevel="0" collapsed="false">
      <c r="A130" s="0" t="n">
        <v>2830</v>
      </c>
    </row>
    <row r="131" customFormat="false" ht="12.8" hidden="false" customHeight="false" outlineLevel="0" collapsed="false">
      <c r="A131" s="0" t="n">
        <v>2840</v>
      </c>
    </row>
    <row r="132" customFormat="false" ht="12.8" hidden="false" customHeight="false" outlineLevel="0" collapsed="false">
      <c r="A132" s="0" t="n">
        <v>2850</v>
      </c>
    </row>
    <row r="133" customFormat="false" ht="12.8" hidden="false" customHeight="false" outlineLevel="0" collapsed="false">
      <c r="A133" s="0" t="n">
        <v>2860</v>
      </c>
    </row>
    <row r="134" customFormat="false" ht="12.8" hidden="false" customHeight="false" outlineLevel="0" collapsed="false">
      <c r="A134" s="0" t="n">
        <v>2870</v>
      </c>
    </row>
    <row r="135" customFormat="false" ht="12.8" hidden="false" customHeight="false" outlineLevel="0" collapsed="false">
      <c r="A135" s="0" t="n">
        <v>2880</v>
      </c>
    </row>
    <row r="136" customFormat="false" ht="12.8" hidden="false" customHeight="false" outlineLevel="0" collapsed="false">
      <c r="A136" s="0" t="n">
        <v>2890</v>
      </c>
    </row>
    <row r="137" customFormat="false" ht="12.8" hidden="false" customHeight="false" outlineLevel="0" collapsed="false">
      <c r="A137" s="0" t="n">
        <v>2900</v>
      </c>
    </row>
    <row r="138" customFormat="false" ht="12.8" hidden="false" customHeight="false" outlineLevel="0" collapsed="false">
      <c r="A138" s="0" t="n">
        <v>2910</v>
      </c>
    </row>
    <row r="139" customFormat="false" ht="12.8" hidden="false" customHeight="false" outlineLevel="0" collapsed="false">
      <c r="A139" s="0" t="n">
        <v>2920</v>
      </c>
    </row>
    <row r="140" customFormat="false" ht="12.8" hidden="false" customHeight="false" outlineLevel="0" collapsed="false">
      <c r="A140" s="0" t="n">
        <v>2930</v>
      </c>
    </row>
    <row r="141" customFormat="false" ht="12.8" hidden="false" customHeight="false" outlineLevel="0" collapsed="false">
      <c r="A141" s="0" t="n">
        <v>2940</v>
      </c>
    </row>
    <row r="142" customFormat="false" ht="12.8" hidden="false" customHeight="false" outlineLevel="0" collapsed="false">
      <c r="A142" s="0" t="n">
        <v>2950</v>
      </c>
    </row>
    <row r="143" customFormat="false" ht="12.8" hidden="false" customHeight="false" outlineLevel="0" collapsed="false">
      <c r="A143" s="0" t="n">
        <v>2960</v>
      </c>
    </row>
    <row r="144" customFormat="false" ht="12.8" hidden="false" customHeight="false" outlineLevel="0" collapsed="false">
      <c r="A144" s="0" t="n">
        <v>2970</v>
      </c>
    </row>
    <row r="145" customFormat="false" ht="12.8" hidden="false" customHeight="false" outlineLevel="0" collapsed="false">
      <c r="A145" s="0" t="n">
        <v>2980</v>
      </c>
    </row>
    <row r="146" customFormat="false" ht="12.8" hidden="false" customHeight="false" outlineLevel="0" collapsed="false">
      <c r="A146" s="0" t="n">
        <v>2990</v>
      </c>
    </row>
    <row r="147" customFormat="false" ht="12.8" hidden="false" customHeight="false" outlineLevel="0" collapsed="false">
      <c r="A147" s="0" t="n">
        <v>3000</v>
      </c>
    </row>
    <row r="148" customFormat="false" ht="12.8" hidden="false" customHeight="false" outlineLevel="0" collapsed="false">
      <c r="A148" s="0" t="n">
        <v>3010</v>
      </c>
    </row>
    <row r="149" customFormat="false" ht="12.8" hidden="false" customHeight="false" outlineLevel="0" collapsed="false">
      <c r="A149" s="0" t="n">
        <v>3020</v>
      </c>
    </row>
    <row r="150" customFormat="false" ht="12.8" hidden="false" customHeight="false" outlineLevel="0" collapsed="false">
      <c r="A150" s="0" t="n">
        <v>3030</v>
      </c>
    </row>
    <row r="151" customFormat="false" ht="12.8" hidden="false" customHeight="false" outlineLevel="0" collapsed="false">
      <c r="A151" s="0" t="n">
        <v>3040</v>
      </c>
    </row>
    <row r="152" customFormat="false" ht="12.8" hidden="false" customHeight="false" outlineLevel="0" collapsed="false">
      <c r="A152" s="0" t="n">
        <v>3050</v>
      </c>
    </row>
    <row r="153" customFormat="false" ht="12.8" hidden="false" customHeight="false" outlineLevel="0" collapsed="false">
      <c r="A153" s="0" t="n">
        <v>3060</v>
      </c>
    </row>
    <row r="154" customFormat="false" ht="12.8" hidden="false" customHeight="false" outlineLevel="0" collapsed="false">
      <c r="A154" s="0" t="n">
        <v>3070</v>
      </c>
    </row>
    <row r="155" customFormat="false" ht="12.8" hidden="false" customHeight="false" outlineLevel="0" collapsed="false">
      <c r="A155" s="0" t="n">
        <v>3080</v>
      </c>
    </row>
    <row r="156" customFormat="false" ht="12.8" hidden="false" customHeight="false" outlineLevel="0" collapsed="false">
      <c r="A156" s="0" t="n">
        <v>3090</v>
      </c>
    </row>
    <row r="157" customFormat="false" ht="12.8" hidden="false" customHeight="false" outlineLevel="0" collapsed="false">
      <c r="A157" s="0" t="n">
        <v>3100</v>
      </c>
    </row>
    <row r="158" customFormat="false" ht="12.8" hidden="false" customHeight="false" outlineLevel="0" collapsed="false">
      <c r="A158" s="0" t="n">
        <v>3110</v>
      </c>
    </row>
    <row r="159" customFormat="false" ht="12.8" hidden="false" customHeight="false" outlineLevel="0" collapsed="false">
      <c r="A159" s="0" t="n">
        <v>3120</v>
      </c>
    </row>
    <row r="160" customFormat="false" ht="12.8" hidden="false" customHeight="false" outlineLevel="0" collapsed="false">
      <c r="A160" s="0" t="n">
        <v>3130</v>
      </c>
    </row>
    <row r="161" customFormat="false" ht="12.8" hidden="false" customHeight="false" outlineLevel="0" collapsed="false">
      <c r="A161" s="0" t="n">
        <v>3140</v>
      </c>
    </row>
    <row r="162" customFormat="false" ht="12.8" hidden="false" customHeight="false" outlineLevel="0" collapsed="false">
      <c r="A162" s="0" t="n">
        <v>3150</v>
      </c>
    </row>
    <row r="163" customFormat="false" ht="12.8" hidden="false" customHeight="false" outlineLevel="0" collapsed="false">
      <c r="A163" s="0" t="n">
        <v>3160</v>
      </c>
    </row>
    <row r="164" customFormat="false" ht="12.8" hidden="false" customHeight="false" outlineLevel="0" collapsed="false">
      <c r="A164" s="0" t="n">
        <v>3170</v>
      </c>
    </row>
    <row r="165" customFormat="false" ht="12.8" hidden="false" customHeight="false" outlineLevel="0" collapsed="false">
      <c r="A165" s="0" t="n">
        <v>3180</v>
      </c>
    </row>
    <row r="166" customFormat="false" ht="12.8" hidden="false" customHeight="false" outlineLevel="0" collapsed="false">
      <c r="A166" s="0" t="n">
        <v>3190</v>
      </c>
    </row>
    <row r="167" customFormat="false" ht="12.8" hidden="false" customHeight="false" outlineLevel="0" collapsed="false">
      <c r="A167" s="0" t="n">
        <v>3200</v>
      </c>
    </row>
    <row r="168" customFormat="false" ht="12.8" hidden="false" customHeight="false" outlineLevel="0" collapsed="false">
      <c r="A168" s="0" t="n">
        <v>3210</v>
      </c>
    </row>
    <row r="169" customFormat="false" ht="12.8" hidden="false" customHeight="false" outlineLevel="0" collapsed="false">
      <c r="A169" s="0" t="n">
        <v>3220</v>
      </c>
    </row>
    <row r="170" customFormat="false" ht="12.8" hidden="false" customHeight="false" outlineLevel="0" collapsed="false">
      <c r="A170" s="0" t="n">
        <v>3230</v>
      </c>
    </row>
    <row r="171" customFormat="false" ht="12.8" hidden="false" customHeight="false" outlineLevel="0" collapsed="false">
      <c r="A171" s="0" t="n">
        <v>3240</v>
      </c>
    </row>
    <row r="172" customFormat="false" ht="12.8" hidden="false" customHeight="false" outlineLevel="0" collapsed="false">
      <c r="A172" s="0" t="n">
        <v>3250</v>
      </c>
    </row>
    <row r="173" customFormat="false" ht="12.8" hidden="false" customHeight="false" outlineLevel="0" collapsed="false">
      <c r="A173" s="0" t="n">
        <v>3260</v>
      </c>
    </row>
    <row r="174" customFormat="false" ht="12.8" hidden="false" customHeight="false" outlineLevel="0" collapsed="false">
      <c r="A174" s="0" t="n">
        <v>3270</v>
      </c>
    </row>
    <row r="175" customFormat="false" ht="12.8" hidden="false" customHeight="false" outlineLevel="0" collapsed="false">
      <c r="A175" s="0" t="n">
        <v>3280</v>
      </c>
    </row>
    <row r="176" customFormat="false" ht="12.8" hidden="false" customHeight="false" outlineLevel="0" collapsed="false">
      <c r="A176" s="0" t="n">
        <v>3290</v>
      </c>
    </row>
    <row r="177" customFormat="false" ht="12.8" hidden="false" customHeight="false" outlineLevel="0" collapsed="false">
      <c r="A177" s="0" t="n">
        <v>3300</v>
      </c>
    </row>
    <row r="178" customFormat="false" ht="12.8" hidden="false" customHeight="false" outlineLevel="0" collapsed="false">
      <c r="A178" s="0" t="n">
        <v>3310</v>
      </c>
    </row>
    <row r="179" customFormat="false" ht="12.8" hidden="false" customHeight="false" outlineLevel="0" collapsed="false">
      <c r="A179" s="0" t="n">
        <v>3320</v>
      </c>
    </row>
    <row r="180" customFormat="false" ht="12.8" hidden="false" customHeight="false" outlineLevel="0" collapsed="false">
      <c r="A180" s="0" t="n">
        <v>3330</v>
      </c>
    </row>
    <row r="181" customFormat="false" ht="12.8" hidden="false" customHeight="false" outlineLevel="0" collapsed="false">
      <c r="A181" s="0" t="n">
        <v>3340</v>
      </c>
    </row>
    <row r="182" customFormat="false" ht="12.8" hidden="false" customHeight="false" outlineLevel="0" collapsed="false">
      <c r="A182" s="0" t="n">
        <v>3350</v>
      </c>
    </row>
    <row r="183" customFormat="false" ht="12.8" hidden="false" customHeight="false" outlineLevel="0" collapsed="false">
      <c r="A183" s="0" t="n">
        <v>3360</v>
      </c>
    </row>
    <row r="184" customFormat="false" ht="12.8" hidden="false" customHeight="false" outlineLevel="0" collapsed="false">
      <c r="A184" s="0" t="n">
        <v>3370</v>
      </c>
    </row>
    <row r="185" customFormat="false" ht="12.8" hidden="false" customHeight="false" outlineLevel="0" collapsed="false">
      <c r="A185" s="0" t="n">
        <v>3380</v>
      </c>
    </row>
    <row r="186" customFormat="false" ht="12.8" hidden="false" customHeight="false" outlineLevel="0" collapsed="false">
      <c r="A186" s="0" t="n">
        <v>3390</v>
      </c>
    </row>
    <row r="187" customFormat="false" ht="12.8" hidden="false" customHeight="false" outlineLevel="0" collapsed="false">
      <c r="A187" s="0" t="n">
        <v>3400</v>
      </c>
    </row>
    <row r="188" customFormat="false" ht="12.8" hidden="false" customHeight="false" outlineLevel="0" collapsed="false">
      <c r="A188" s="0" t="n">
        <v>3410</v>
      </c>
    </row>
    <row r="189" customFormat="false" ht="12.8" hidden="false" customHeight="false" outlineLevel="0" collapsed="false">
      <c r="A189" s="0" t="n">
        <v>3420</v>
      </c>
    </row>
    <row r="190" customFormat="false" ht="12.8" hidden="false" customHeight="false" outlineLevel="0" collapsed="false">
      <c r="A190" s="0" t="n">
        <v>3430</v>
      </c>
    </row>
    <row r="191" customFormat="false" ht="12.8" hidden="false" customHeight="false" outlineLevel="0" collapsed="false">
      <c r="A191" s="0" t="n">
        <v>3440</v>
      </c>
    </row>
    <row r="192" customFormat="false" ht="12.8" hidden="false" customHeight="false" outlineLevel="0" collapsed="false">
      <c r="A192" s="0" t="n">
        <v>3450</v>
      </c>
    </row>
    <row r="193" customFormat="false" ht="12.8" hidden="false" customHeight="false" outlineLevel="0" collapsed="false">
      <c r="A193" s="0" t="n">
        <v>3460</v>
      </c>
    </row>
    <row r="194" customFormat="false" ht="12.8" hidden="false" customHeight="false" outlineLevel="0" collapsed="false">
      <c r="A194" s="0" t="n">
        <v>3470</v>
      </c>
    </row>
    <row r="195" customFormat="false" ht="12.8" hidden="false" customHeight="false" outlineLevel="0" collapsed="false">
      <c r="A195" s="0" t="n">
        <v>3480</v>
      </c>
    </row>
    <row r="196" customFormat="false" ht="12.8" hidden="false" customHeight="false" outlineLevel="0" collapsed="false">
      <c r="A196" s="0" t="n">
        <v>3490</v>
      </c>
    </row>
    <row r="197" customFormat="false" ht="12.8" hidden="false" customHeight="false" outlineLevel="0" collapsed="false">
      <c r="A197" s="0" t="n">
        <v>3500</v>
      </c>
    </row>
    <row r="198" customFormat="false" ht="12.8" hidden="false" customHeight="false" outlineLevel="0" collapsed="false">
      <c r="A198" s="0" t="n">
        <v>3510</v>
      </c>
    </row>
    <row r="199" customFormat="false" ht="12.8" hidden="false" customHeight="false" outlineLevel="0" collapsed="false">
      <c r="A199" s="0" t="n">
        <v>3520</v>
      </c>
    </row>
    <row r="200" customFormat="false" ht="12.8" hidden="false" customHeight="false" outlineLevel="0" collapsed="false">
      <c r="A200" s="0" t="n">
        <v>3530</v>
      </c>
    </row>
    <row r="201" customFormat="false" ht="12.8" hidden="false" customHeight="false" outlineLevel="0" collapsed="false">
      <c r="A201" s="0" t="n">
        <v>3540</v>
      </c>
    </row>
    <row r="202" customFormat="false" ht="12.8" hidden="false" customHeight="false" outlineLevel="0" collapsed="false">
      <c r="A202" s="0" t="n">
        <v>3550</v>
      </c>
    </row>
    <row r="203" customFormat="false" ht="12.8" hidden="false" customHeight="false" outlineLevel="0" collapsed="false">
      <c r="A203" s="0" t="n">
        <v>3560</v>
      </c>
    </row>
    <row r="204" customFormat="false" ht="12.8" hidden="false" customHeight="false" outlineLevel="0" collapsed="false">
      <c r="A204" s="0" t="n">
        <v>3570</v>
      </c>
    </row>
    <row r="205" customFormat="false" ht="12.8" hidden="false" customHeight="false" outlineLevel="0" collapsed="false">
      <c r="A205" s="0" t="n">
        <v>3580</v>
      </c>
    </row>
    <row r="206" customFormat="false" ht="12.8" hidden="false" customHeight="false" outlineLevel="0" collapsed="false">
      <c r="A206" s="0" t="n">
        <v>3590</v>
      </c>
    </row>
    <row r="207" customFormat="false" ht="12.8" hidden="false" customHeight="false" outlineLevel="0" collapsed="false">
      <c r="A207" s="0" t="n">
        <v>3600</v>
      </c>
    </row>
    <row r="208" customFormat="false" ht="12.8" hidden="false" customHeight="false" outlineLevel="0" collapsed="false">
      <c r="A208" s="0" t="n">
        <v>3610</v>
      </c>
    </row>
    <row r="209" customFormat="false" ht="12.8" hidden="false" customHeight="false" outlineLevel="0" collapsed="false">
      <c r="A209" s="0" t="n">
        <v>3620</v>
      </c>
    </row>
    <row r="210" customFormat="false" ht="12.8" hidden="false" customHeight="false" outlineLevel="0" collapsed="false">
      <c r="A210" s="0" t="n">
        <v>3630</v>
      </c>
    </row>
    <row r="211" customFormat="false" ht="12.8" hidden="false" customHeight="false" outlineLevel="0" collapsed="false">
      <c r="A211" s="0" t="n">
        <v>3640</v>
      </c>
    </row>
    <row r="212" customFormat="false" ht="12.8" hidden="false" customHeight="false" outlineLevel="0" collapsed="false">
      <c r="A212" s="0" t="n">
        <v>3650</v>
      </c>
    </row>
    <row r="213" customFormat="false" ht="12.8" hidden="false" customHeight="false" outlineLevel="0" collapsed="false">
      <c r="A213" s="0" t="n">
        <v>3660</v>
      </c>
    </row>
    <row r="214" customFormat="false" ht="12.8" hidden="false" customHeight="false" outlineLevel="0" collapsed="false">
      <c r="A214" s="0" t="n">
        <v>3670</v>
      </c>
    </row>
    <row r="215" customFormat="false" ht="12.8" hidden="false" customHeight="false" outlineLevel="0" collapsed="false">
      <c r="A215" s="0" t="n">
        <v>3680</v>
      </c>
    </row>
    <row r="216" customFormat="false" ht="12.8" hidden="false" customHeight="false" outlineLevel="0" collapsed="false">
      <c r="A216" s="0" t="n">
        <v>3690</v>
      </c>
    </row>
    <row r="217" customFormat="false" ht="12.8" hidden="false" customHeight="false" outlineLevel="0" collapsed="false">
      <c r="A217" s="0" t="n">
        <v>3700</v>
      </c>
    </row>
    <row r="218" customFormat="false" ht="12.8" hidden="false" customHeight="false" outlineLevel="0" collapsed="false">
      <c r="A218" s="0" t="n">
        <v>3710</v>
      </c>
    </row>
    <row r="219" customFormat="false" ht="12.8" hidden="false" customHeight="false" outlineLevel="0" collapsed="false">
      <c r="A219" s="0" t="n">
        <v>3720</v>
      </c>
    </row>
    <row r="220" customFormat="false" ht="12.8" hidden="false" customHeight="false" outlineLevel="0" collapsed="false">
      <c r="A220" s="0" t="n">
        <v>3730</v>
      </c>
    </row>
    <row r="221" customFormat="false" ht="12.8" hidden="false" customHeight="false" outlineLevel="0" collapsed="false">
      <c r="A221" s="0" t="n">
        <v>3740</v>
      </c>
    </row>
    <row r="222" customFormat="false" ht="12.8" hidden="false" customHeight="false" outlineLevel="0" collapsed="false">
      <c r="A222" s="0" t="n">
        <v>3750</v>
      </c>
    </row>
    <row r="223" customFormat="false" ht="12.8" hidden="false" customHeight="false" outlineLevel="0" collapsed="false">
      <c r="A223" s="0" t="n">
        <v>3760</v>
      </c>
    </row>
    <row r="224" customFormat="false" ht="12.8" hidden="false" customHeight="false" outlineLevel="0" collapsed="false">
      <c r="A224" s="0" t="n">
        <v>3770</v>
      </c>
    </row>
    <row r="225" customFormat="false" ht="12.8" hidden="false" customHeight="false" outlineLevel="0" collapsed="false">
      <c r="A225" s="0" t="n">
        <v>3780</v>
      </c>
    </row>
    <row r="226" customFormat="false" ht="12.8" hidden="false" customHeight="false" outlineLevel="0" collapsed="false">
      <c r="A226" s="0" t="n">
        <v>3790</v>
      </c>
    </row>
    <row r="227" customFormat="false" ht="12.8" hidden="false" customHeight="false" outlineLevel="0" collapsed="false">
      <c r="A227" s="0" t="n">
        <v>3800</v>
      </c>
    </row>
    <row r="228" customFormat="false" ht="12.8" hidden="false" customHeight="false" outlineLevel="0" collapsed="false">
      <c r="A228" s="0" t="n">
        <v>3810</v>
      </c>
    </row>
    <row r="229" customFormat="false" ht="12.8" hidden="false" customHeight="false" outlineLevel="0" collapsed="false">
      <c r="A229" s="0" t="n">
        <v>3820</v>
      </c>
    </row>
    <row r="230" customFormat="false" ht="12.8" hidden="false" customHeight="false" outlineLevel="0" collapsed="false">
      <c r="A230" s="0" t="n">
        <v>3830</v>
      </c>
    </row>
    <row r="231" customFormat="false" ht="12.8" hidden="false" customHeight="false" outlineLevel="0" collapsed="false">
      <c r="A231" s="0" t="n">
        <v>3840</v>
      </c>
    </row>
    <row r="232" customFormat="false" ht="12.8" hidden="false" customHeight="false" outlineLevel="0" collapsed="false">
      <c r="A232" s="0" t="n">
        <v>3850</v>
      </c>
    </row>
    <row r="233" customFormat="false" ht="12.8" hidden="false" customHeight="false" outlineLevel="0" collapsed="false">
      <c r="A233" s="0" t="n">
        <v>3860</v>
      </c>
    </row>
    <row r="234" customFormat="false" ht="12.8" hidden="false" customHeight="false" outlineLevel="0" collapsed="false">
      <c r="A234" s="0" t="n">
        <v>3870</v>
      </c>
    </row>
    <row r="235" customFormat="false" ht="12.8" hidden="false" customHeight="false" outlineLevel="0" collapsed="false">
      <c r="A235" s="0" t="n">
        <v>3880</v>
      </c>
    </row>
    <row r="236" customFormat="false" ht="12.8" hidden="false" customHeight="false" outlineLevel="0" collapsed="false">
      <c r="A236" s="0" t="n">
        <v>3890</v>
      </c>
    </row>
    <row r="237" customFormat="false" ht="12.8" hidden="false" customHeight="false" outlineLevel="0" collapsed="false">
      <c r="A237" s="0" t="n">
        <v>3900</v>
      </c>
    </row>
    <row r="238" customFormat="false" ht="12.8" hidden="false" customHeight="false" outlineLevel="0" collapsed="false">
      <c r="A238" s="0" t="n">
        <v>3910</v>
      </c>
    </row>
    <row r="239" customFormat="false" ht="12.8" hidden="false" customHeight="false" outlineLevel="0" collapsed="false">
      <c r="A239" s="0" t="n">
        <v>3920</v>
      </c>
    </row>
    <row r="240" customFormat="false" ht="12.8" hidden="false" customHeight="false" outlineLevel="0" collapsed="false">
      <c r="A240" s="0" t="n">
        <v>3930</v>
      </c>
    </row>
    <row r="241" customFormat="false" ht="12.8" hidden="false" customHeight="false" outlineLevel="0" collapsed="false">
      <c r="A241" s="0" t="n">
        <v>3940</v>
      </c>
    </row>
    <row r="242" customFormat="false" ht="12.8" hidden="false" customHeight="false" outlineLevel="0" collapsed="false">
      <c r="A242" s="0" t="n">
        <v>3950</v>
      </c>
    </row>
    <row r="243" customFormat="false" ht="12.8" hidden="false" customHeight="false" outlineLevel="0" collapsed="false">
      <c r="A243" s="0" t="n">
        <v>3960</v>
      </c>
    </row>
    <row r="244" customFormat="false" ht="12.8" hidden="false" customHeight="false" outlineLevel="0" collapsed="false">
      <c r="A244" s="0" t="n">
        <v>3970</v>
      </c>
    </row>
    <row r="245" customFormat="false" ht="12.8" hidden="false" customHeight="false" outlineLevel="0" collapsed="false">
      <c r="A245" s="0" t="n">
        <v>3980</v>
      </c>
    </row>
    <row r="246" customFormat="false" ht="12.8" hidden="false" customHeight="false" outlineLevel="0" collapsed="false">
      <c r="A246" s="0" t="n">
        <v>3990</v>
      </c>
    </row>
    <row r="247" customFormat="false" ht="12.8" hidden="false" customHeight="false" outlineLevel="0" collapsed="false">
      <c r="A247" s="0" t="n">
        <v>4000</v>
      </c>
    </row>
    <row r="248" customFormat="false" ht="12.8" hidden="false" customHeight="false" outlineLevel="0" collapsed="false">
      <c r="A248" s="0" t="n">
        <v>4010</v>
      </c>
    </row>
    <row r="249" customFormat="false" ht="12.8" hidden="false" customHeight="false" outlineLevel="0" collapsed="false">
      <c r="A249" s="0" t="n">
        <v>4020</v>
      </c>
    </row>
    <row r="250" customFormat="false" ht="12.8" hidden="false" customHeight="false" outlineLevel="0" collapsed="false">
      <c r="A250" s="0" t="n">
        <v>4030</v>
      </c>
    </row>
    <row r="251" customFormat="false" ht="12.8" hidden="false" customHeight="false" outlineLevel="0" collapsed="false">
      <c r="A251" s="0" t="n">
        <v>4040</v>
      </c>
    </row>
    <row r="252" customFormat="false" ht="12.8" hidden="false" customHeight="false" outlineLevel="0" collapsed="false">
      <c r="A252" s="0" t="n">
        <v>4050</v>
      </c>
    </row>
    <row r="253" customFormat="false" ht="12.8" hidden="false" customHeight="false" outlineLevel="0" collapsed="false">
      <c r="A253" s="0" t="n">
        <v>4060</v>
      </c>
    </row>
    <row r="254" customFormat="false" ht="12.8" hidden="false" customHeight="false" outlineLevel="0" collapsed="false">
      <c r="A254" s="0" t="n">
        <v>4070</v>
      </c>
    </row>
    <row r="255" customFormat="false" ht="12.8" hidden="false" customHeight="false" outlineLevel="0" collapsed="false">
      <c r="A255" s="0" t="n">
        <v>4080</v>
      </c>
    </row>
    <row r="256" customFormat="false" ht="12.8" hidden="false" customHeight="false" outlineLevel="0" collapsed="false">
      <c r="A256" s="0" t="n">
        <v>4090</v>
      </c>
    </row>
    <row r="257" customFormat="false" ht="12.8" hidden="false" customHeight="false" outlineLevel="0" collapsed="false">
      <c r="A257" s="0" t="n">
        <v>4100</v>
      </c>
    </row>
    <row r="258" customFormat="false" ht="12.8" hidden="false" customHeight="false" outlineLevel="0" collapsed="false">
      <c r="A258" s="0" t="n">
        <v>4110</v>
      </c>
    </row>
    <row r="259" customFormat="false" ht="12.8" hidden="false" customHeight="false" outlineLevel="0" collapsed="false">
      <c r="A259" s="0" t="n">
        <v>4120</v>
      </c>
    </row>
    <row r="260" customFormat="false" ht="12.8" hidden="false" customHeight="false" outlineLevel="0" collapsed="false">
      <c r="A260" s="0" t="n">
        <v>4130</v>
      </c>
    </row>
    <row r="261" customFormat="false" ht="12.8" hidden="false" customHeight="false" outlineLevel="0" collapsed="false">
      <c r="A261" s="0" t="n">
        <v>4140</v>
      </c>
    </row>
    <row r="262" customFormat="false" ht="12.8" hidden="false" customHeight="false" outlineLevel="0" collapsed="false">
      <c r="A262" s="0" t="n">
        <v>4150</v>
      </c>
    </row>
    <row r="263" customFormat="false" ht="12.8" hidden="false" customHeight="false" outlineLevel="0" collapsed="false">
      <c r="A263" s="0" t="n">
        <v>4160</v>
      </c>
    </row>
    <row r="264" customFormat="false" ht="12.8" hidden="false" customHeight="false" outlineLevel="0" collapsed="false">
      <c r="A264" s="0" t="n">
        <v>4170</v>
      </c>
    </row>
    <row r="265" customFormat="false" ht="12.8" hidden="false" customHeight="false" outlineLevel="0" collapsed="false">
      <c r="A265" s="0" t="n">
        <v>4180</v>
      </c>
    </row>
    <row r="266" customFormat="false" ht="12.8" hidden="false" customHeight="false" outlineLevel="0" collapsed="false">
      <c r="A266" s="0" t="n">
        <v>4190</v>
      </c>
    </row>
    <row r="267" customFormat="false" ht="12.8" hidden="false" customHeight="false" outlineLevel="0" collapsed="false">
      <c r="A267" s="0" t="n">
        <v>4200</v>
      </c>
    </row>
    <row r="268" customFormat="false" ht="12.8" hidden="false" customHeight="false" outlineLevel="0" collapsed="false">
      <c r="A268" s="0" t="n">
        <v>4210</v>
      </c>
    </row>
    <row r="269" customFormat="false" ht="12.8" hidden="false" customHeight="false" outlineLevel="0" collapsed="false">
      <c r="A269" s="0" t="n">
        <v>4220</v>
      </c>
    </row>
    <row r="270" customFormat="false" ht="12.8" hidden="false" customHeight="false" outlineLevel="0" collapsed="false">
      <c r="A270" s="0" t="n">
        <v>4230</v>
      </c>
    </row>
    <row r="271" customFormat="false" ht="12.8" hidden="false" customHeight="false" outlineLevel="0" collapsed="false">
      <c r="A271" s="0" t="n">
        <v>4240</v>
      </c>
    </row>
    <row r="272" customFormat="false" ht="12.8" hidden="false" customHeight="false" outlineLevel="0" collapsed="false">
      <c r="A272" s="0" t="n">
        <v>4250</v>
      </c>
    </row>
    <row r="273" customFormat="false" ht="12.8" hidden="false" customHeight="false" outlineLevel="0" collapsed="false">
      <c r="A273" s="0" t="n">
        <v>4260</v>
      </c>
    </row>
    <row r="274" customFormat="false" ht="12.8" hidden="false" customHeight="false" outlineLevel="0" collapsed="false">
      <c r="A274" s="0" t="n">
        <v>4270</v>
      </c>
    </row>
    <row r="275" customFormat="false" ht="12.8" hidden="false" customHeight="false" outlineLevel="0" collapsed="false">
      <c r="A275" s="0" t="n">
        <v>4280</v>
      </c>
    </row>
    <row r="276" customFormat="false" ht="12.8" hidden="false" customHeight="false" outlineLevel="0" collapsed="false">
      <c r="A276" s="0" t="n">
        <v>4290</v>
      </c>
    </row>
    <row r="277" customFormat="false" ht="12.8" hidden="false" customHeight="false" outlineLevel="0" collapsed="false">
      <c r="A277" s="0" t="n">
        <v>4300</v>
      </c>
    </row>
    <row r="278" customFormat="false" ht="12.8" hidden="false" customHeight="false" outlineLevel="0" collapsed="false">
      <c r="A278" s="0" t="n">
        <v>4310</v>
      </c>
    </row>
    <row r="279" customFormat="false" ht="12.8" hidden="false" customHeight="false" outlineLevel="0" collapsed="false">
      <c r="A279" s="0" t="n">
        <v>4320</v>
      </c>
    </row>
    <row r="280" customFormat="false" ht="12.8" hidden="false" customHeight="false" outlineLevel="0" collapsed="false">
      <c r="A280" s="0" t="n">
        <v>4330</v>
      </c>
    </row>
    <row r="281" customFormat="false" ht="12.8" hidden="false" customHeight="false" outlineLevel="0" collapsed="false">
      <c r="A281" s="0" t="n">
        <v>4340</v>
      </c>
    </row>
    <row r="282" customFormat="false" ht="12.8" hidden="false" customHeight="false" outlineLevel="0" collapsed="false">
      <c r="A282" s="0" t="n">
        <v>4350</v>
      </c>
    </row>
    <row r="283" customFormat="false" ht="12.8" hidden="false" customHeight="false" outlineLevel="0" collapsed="false">
      <c r="A283" s="0" t="n">
        <v>4360</v>
      </c>
    </row>
    <row r="284" customFormat="false" ht="12.8" hidden="false" customHeight="false" outlineLevel="0" collapsed="false">
      <c r="A284" s="0" t="n">
        <v>4370</v>
      </c>
    </row>
    <row r="285" customFormat="false" ht="12.8" hidden="false" customHeight="false" outlineLevel="0" collapsed="false">
      <c r="A285" s="0" t="n">
        <v>4380</v>
      </c>
    </row>
    <row r="286" customFormat="false" ht="12.8" hidden="false" customHeight="false" outlineLevel="0" collapsed="false">
      <c r="A286" s="0" t="n">
        <v>4390</v>
      </c>
    </row>
    <row r="287" customFormat="false" ht="12.8" hidden="false" customHeight="false" outlineLevel="0" collapsed="false">
      <c r="A287" s="0" t="n">
        <v>4400</v>
      </c>
    </row>
    <row r="288" customFormat="false" ht="12.8" hidden="false" customHeight="false" outlineLevel="0" collapsed="false">
      <c r="A288" s="0" t="n">
        <v>4410</v>
      </c>
    </row>
    <row r="289" customFormat="false" ht="12.8" hidden="false" customHeight="false" outlineLevel="0" collapsed="false">
      <c r="A289" s="0" t="n">
        <v>4420</v>
      </c>
    </row>
    <row r="290" customFormat="false" ht="12.8" hidden="false" customHeight="false" outlineLevel="0" collapsed="false">
      <c r="A290" s="0" t="n">
        <v>4430</v>
      </c>
    </row>
    <row r="291" customFormat="false" ht="12.8" hidden="false" customHeight="false" outlineLevel="0" collapsed="false">
      <c r="A291" s="0" t="n">
        <v>4440</v>
      </c>
    </row>
    <row r="292" customFormat="false" ht="12.8" hidden="false" customHeight="false" outlineLevel="0" collapsed="false">
      <c r="A292" s="0" t="n">
        <v>4450</v>
      </c>
    </row>
    <row r="293" customFormat="false" ht="12.8" hidden="false" customHeight="false" outlineLevel="0" collapsed="false">
      <c r="A293" s="0" t="n">
        <v>4460</v>
      </c>
    </row>
    <row r="294" customFormat="false" ht="12.8" hidden="false" customHeight="false" outlineLevel="0" collapsed="false">
      <c r="A294" s="0" t="n">
        <v>4470</v>
      </c>
    </row>
    <row r="295" customFormat="false" ht="12.8" hidden="false" customHeight="false" outlineLevel="0" collapsed="false">
      <c r="A295" s="0" t="n">
        <v>4480</v>
      </c>
    </row>
    <row r="296" customFormat="false" ht="12.8" hidden="false" customHeight="false" outlineLevel="0" collapsed="false">
      <c r="A296" s="0" t="n">
        <v>4490</v>
      </c>
    </row>
    <row r="297" customFormat="false" ht="12.8" hidden="false" customHeight="false" outlineLevel="0" collapsed="false">
      <c r="A297" s="0" t="n">
        <v>4500</v>
      </c>
    </row>
    <row r="298" customFormat="false" ht="12.8" hidden="false" customHeight="false" outlineLevel="0" collapsed="false">
      <c r="A298" s="0" t="n">
        <v>4510</v>
      </c>
    </row>
    <row r="299" customFormat="false" ht="12.8" hidden="false" customHeight="false" outlineLevel="0" collapsed="false">
      <c r="A299" s="0" t="n">
        <v>4520</v>
      </c>
    </row>
    <row r="300" customFormat="false" ht="12.8" hidden="false" customHeight="false" outlineLevel="0" collapsed="false">
      <c r="A300" s="0" t="n">
        <v>4530</v>
      </c>
    </row>
    <row r="301" customFormat="false" ht="12.8" hidden="false" customHeight="false" outlineLevel="0" collapsed="false">
      <c r="A301" s="0" t="n">
        <v>4540</v>
      </c>
    </row>
    <row r="302" customFormat="false" ht="12.8" hidden="false" customHeight="false" outlineLevel="0" collapsed="false">
      <c r="A302" s="0" t="n">
        <v>4550</v>
      </c>
    </row>
    <row r="303" customFormat="false" ht="12.8" hidden="false" customHeight="false" outlineLevel="0" collapsed="false">
      <c r="A303" s="0" t="n">
        <v>4560</v>
      </c>
    </row>
    <row r="304" customFormat="false" ht="12.8" hidden="false" customHeight="false" outlineLevel="0" collapsed="false">
      <c r="A304" s="0" t="n">
        <v>4570</v>
      </c>
    </row>
    <row r="305" customFormat="false" ht="12.8" hidden="false" customHeight="false" outlineLevel="0" collapsed="false">
      <c r="A305" s="0" t="n">
        <v>4580</v>
      </c>
    </row>
    <row r="306" customFormat="false" ht="12.8" hidden="false" customHeight="false" outlineLevel="0" collapsed="false">
      <c r="A306" s="0" t="n">
        <v>4590</v>
      </c>
    </row>
    <row r="307" customFormat="false" ht="12.8" hidden="false" customHeight="false" outlineLevel="0" collapsed="false">
      <c r="A307" s="0" t="n">
        <v>4600</v>
      </c>
    </row>
    <row r="308" customFormat="false" ht="12.8" hidden="false" customHeight="false" outlineLevel="0" collapsed="false">
      <c r="A308" s="0" t="n">
        <v>4610</v>
      </c>
    </row>
    <row r="309" customFormat="false" ht="12.8" hidden="false" customHeight="false" outlineLevel="0" collapsed="false">
      <c r="A309" s="0" t="n">
        <v>4620</v>
      </c>
    </row>
    <row r="310" customFormat="false" ht="12.8" hidden="false" customHeight="false" outlineLevel="0" collapsed="false">
      <c r="A310" s="0" t="n">
        <v>4630</v>
      </c>
    </row>
    <row r="311" customFormat="false" ht="12.8" hidden="false" customHeight="false" outlineLevel="0" collapsed="false">
      <c r="A311" s="0" t="n">
        <v>4640</v>
      </c>
    </row>
    <row r="312" customFormat="false" ht="12.8" hidden="false" customHeight="false" outlineLevel="0" collapsed="false">
      <c r="A312" s="0" t="n">
        <v>4650</v>
      </c>
    </row>
    <row r="313" customFormat="false" ht="12.8" hidden="false" customHeight="false" outlineLevel="0" collapsed="false">
      <c r="A313" s="0" t="n">
        <v>4660</v>
      </c>
    </row>
    <row r="314" customFormat="false" ht="12.8" hidden="false" customHeight="false" outlineLevel="0" collapsed="false">
      <c r="A314" s="0" t="n">
        <v>4670</v>
      </c>
    </row>
    <row r="315" customFormat="false" ht="12.8" hidden="false" customHeight="false" outlineLevel="0" collapsed="false">
      <c r="A315" s="0" t="n">
        <v>4680</v>
      </c>
    </row>
    <row r="316" customFormat="false" ht="12.8" hidden="false" customHeight="false" outlineLevel="0" collapsed="false">
      <c r="A316" s="0" t="n">
        <v>4690</v>
      </c>
    </row>
    <row r="317" customFormat="false" ht="12.8" hidden="false" customHeight="false" outlineLevel="0" collapsed="false">
      <c r="A317" s="0" t="n">
        <v>4700</v>
      </c>
    </row>
    <row r="318" customFormat="false" ht="12.8" hidden="false" customHeight="false" outlineLevel="0" collapsed="false">
      <c r="A318" s="0" t="n">
        <v>4710</v>
      </c>
    </row>
    <row r="319" customFormat="false" ht="12.8" hidden="false" customHeight="false" outlineLevel="0" collapsed="false">
      <c r="A319" s="0" t="n">
        <v>4720</v>
      </c>
    </row>
    <row r="320" customFormat="false" ht="12.8" hidden="false" customHeight="false" outlineLevel="0" collapsed="false">
      <c r="A320" s="0" t="n">
        <v>4730</v>
      </c>
    </row>
    <row r="321" customFormat="false" ht="12.8" hidden="false" customHeight="false" outlineLevel="0" collapsed="false">
      <c r="A321" s="0" t="n">
        <v>4740</v>
      </c>
    </row>
    <row r="322" customFormat="false" ht="12.8" hidden="false" customHeight="false" outlineLevel="0" collapsed="false">
      <c r="A322" s="0" t="n">
        <v>4750</v>
      </c>
    </row>
    <row r="323" customFormat="false" ht="12.8" hidden="false" customHeight="false" outlineLevel="0" collapsed="false">
      <c r="A323" s="0" t="n">
        <v>4760</v>
      </c>
    </row>
    <row r="324" customFormat="false" ht="12.8" hidden="false" customHeight="false" outlineLevel="0" collapsed="false">
      <c r="A324" s="0" t="n">
        <v>4770</v>
      </c>
    </row>
    <row r="325" customFormat="false" ht="12.8" hidden="false" customHeight="false" outlineLevel="0" collapsed="false">
      <c r="A325" s="0" t="n">
        <v>4780</v>
      </c>
    </row>
    <row r="326" customFormat="false" ht="12.8" hidden="false" customHeight="false" outlineLevel="0" collapsed="false">
      <c r="A326" s="0" t="n">
        <v>4790</v>
      </c>
    </row>
    <row r="327" customFormat="false" ht="12.8" hidden="false" customHeight="false" outlineLevel="0" collapsed="false">
      <c r="A327" s="0" t="n">
        <v>4800</v>
      </c>
    </row>
    <row r="328" customFormat="false" ht="12.8" hidden="false" customHeight="false" outlineLevel="0" collapsed="false">
      <c r="A328" s="0" t="n">
        <v>4810</v>
      </c>
    </row>
    <row r="329" customFormat="false" ht="12.8" hidden="false" customHeight="false" outlineLevel="0" collapsed="false">
      <c r="A329" s="0" t="n">
        <v>4820</v>
      </c>
    </row>
    <row r="330" customFormat="false" ht="12.8" hidden="false" customHeight="false" outlineLevel="0" collapsed="false">
      <c r="A330" s="0" t="n">
        <v>4830</v>
      </c>
    </row>
    <row r="331" customFormat="false" ht="12.8" hidden="false" customHeight="false" outlineLevel="0" collapsed="false">
      <c r="A331" s="0" t="n">
        <v>4840</v>
      </c>
    </row>
    <row r="332" customFormat="false" ht="12.8" hidden="false" customHeight="false" outlineLevel="0" collapsed="false">
      <c r="A332" s="0" t="n">
        <v>4850</v>
      </c>
    </row>
    <row r="333" customFormat="false" ht="12.8" hidden="false" customHeight="false" outlineLevel="0" collapsed="false">
      <c r="A333" s="0" t="n">
        <v>4860</v>
      </c>
    </row>
    <row r="334" customFormat="false" ht="12.8" hidden="false" customHeight="false" outlineLevel="0" collapsed="false">
      <c r="A334" s="0" t="n">
        <v>4870</v>
      </c>
    </row>
    <row r="335" customFormat="false" ht="12.8" hidden="false" customHeight="false" outlineLevel="0" collapsed="false">
      <c r="A335" s="0" t="n">
        <v>4880</v>
      </c>
    </row>
    <row r="336" customFormat="false" ht="12.8" hidden="false" customHeight="false" outlineLevel="0" collapsed="false">
      <c r="A336" s="0" t="n">
        <v>4890</v>
      </c>
    </row>
    <row r="337" customFormat="false" ht="12.8" hidden="false" customHeight="false" outlineLevel="0" collapsed="false">
      <c r="A337" s="0" t="n">
        <v>4900</v>
      </c>
    </row>
    <row r="338" customFormat="false" ht="12.8" hidden="false" customHeight="false" outlineLevel="0" collapsed="false">
      <c r="A338" s="0" t="n">
        <v>4910</v>
      </c>
    </row>
    <row r="339" customFormat="false" ht="12.8" hidden="false" customHeight="false" outlineLevel="0" collapsed="false">
      <c r="A339" s="0" t="n">
        <v>4920</v>
      </c>
    </row>
    <row r="340" customFormat="false" ht="12.8" hidden="false" customHeight="false" outlineLevel="0" collapsed="false">
      <c r="A340" s="0" t="n">
        <v>4930</v>
      </c>
    </row>
    <row r="341" customFormat="false" ht="12.8" hidden="false" customHeight="false" outlineLevel="0" collapsed="false">
      <c r="A341" s="0" t="n">
        <v>4940</v>
      </c>
    </row>
    <row r="342" customFormat="false" ht="12.8" hidden="false" customHeight="false" outlineLevel="0" collapsed="false">
      <c r="A342" s="0" t="n">
        <v>4950</v>
      </c>
    </row>
    <row r="343" customFormat="false" ht="12.8" hidden="false" customHeight="false" outlineLevel="0" collapsed="false">
      <c r="A343" s="0" t="n">
        <v>4960</v>
      </c>
    </row>
    <row r="344" customFormat="false" ht="12.8" hidden="false" customHeight="false" outlineLevel="0" collapsed="false">
      <c r="A344" s="0" t="n">
        <v>4970</v>
      </c>
    </row>
    <row r="345" customFormat="false" ht="12.8" hidden="false" customHeight="false" outlineLevel="0" collapsed="false">
      <c r="A345" s="0" t="n">
        <v>4980</v>
      </c>
    </row>
    <row r="346" customFormat="false" ht="12.8" hidden="false" customHeight="false" outlineLevel="0" collapsed="false">
      <c r="A346" s="0" t="n">
        <v>4990</v>
      </c>
    </row>
    <row r="347" customFormat="false" ht="12.8" hidden="false" customHeight="false" outlineLevel="0" collapsed="false">
      <c r="A347" s="0" t="n">
        <v>5000</v>
      </c>
    </row>
    <row r="348" customFormat="false" ht="12.8" hidden="false" customHeight="false" outlineLevel="0" collapsed="false">
      <c r="A348" s="0" t="n">
        <v>5010</v>
      </c>
    </row>
    <row r="349" customFormat="false" ht="12.8" hidden="false" customHeight="false" outlineLevel="0" collapsed="false">
      <c r="A349" s="0" t="n">
        <v>5020</v>
      </c>
    </row>
    <row r="350" customFormat="false" ht="12.8" hidden="false" customHeight="false" outlineLevel="0" collapsed="false">
      <c r="A350" s="0" t="n">
        <v>5030</v>
      </c>
    </row>
    <row r="351" customFormat="false" ht="12.8" hidden="false" customHeight="false" outlineLevel="0" collapsed="false">
      <c r="A351" s="0" t="n">
        <v>5040</v>
      </c>
    </row>
    <row r="352" customFormat="false" ht="12.8" hidden="false" customHeight="false" outlineLevel="0" collapsed="false">
      <c r="A352" s="0" t="n">
        <v>5050</v>
      </c>
    </row>
    <row r="353" customFormat="false" ht="12.8" hidden="false" customHeight="false" outlineLevel="0" collapsed="false">
      <c r="A353" s="0" t="n">
        <v>5060</v>
      </c>
    </row>
    <row r="354" customFormat="false" ht="12.8" hidden="false" customHeight="false" outlineLevel="0" collapsed="false">
      <c r="A354" s="0" t="n">
        <v>5070</v>
      </c>
    </row>
    <row r="355" customFormat="false" ht="12.8" hidden="false" customHeight="false" outlineLevel="0" collapsed="false">
      <c r="A355" s="0" t="n">
        <v>5080</v>
      </c>
    </row>
    <row r="356" customFormat="false" ht="12.8" hidden="false" customHeight="false" outlineLevel="0" collapsed="false">
      <c r="A356" s="0" t="n">
        <v>5090</v>
      </c>
    </row>
    <row r="357" customFormat="false" ht="12.8" hidden="false" customHeight="false" outlineLevel="0" collapsed="false">
      <c r="A357" s="0" t="n">
        <v>5100</v>
      </c>
    </row>
    <row r="358" customFormat="false" ht="12.8" hidden="false" customHeight="false" outlineLevel="0" collapsed="false">
      <c r="A358" s="0" t="n">
        <v>5110</v>
      </c>
    </row>
    <row r="359" customFormat="false" ht="12.8" hidden="false" customHeight="false" outlineLevel="0" collapsed="false">
      <c r="A359" s="0" t="n">
        <v>5120</v>
      </c>
    </row>
    <row r="360" customFormat="false" ht="12.8" hidden="false" customHeight="false" outlineLevel="0" collapsed="false">
      <c r="A360" s="0" t="n">
        <v>5130</v>
      </c>
    </row>
    <row r="361" customFormat="false" ht="12.8" hidden="false" customHeight="false" outlineLevel="0" collapsed="false">
      <c r="A361" s="0" t="n">
        <v>5140</v>
      </c>
    </row>
    <row r="362" customFormat="false" ht="12.8" hidden="false" customHeight="false" outlineLevel="0" collapsed="false">
      <c r="A362" s="0" t="n">
        <v>5150</v>
      </c>
    </row>
    <row r="363" customFormat="false" ht="12.8" hidden="false" customHeight="false" outlineLevel="0" collapsed="false">
      <c r="A363" s="0" t="n">
        <v>5160</v>
      </c>
    </row>
    <row r="364" customFormat="false" ht="12.8" hidden="false" customHeight="false" outlineLevel="0" collapsed="false">
      <c r="A364" s="0" t="n">
        <v>5170</v>
      </c>
    </row>
    <row r="365" customFormat="false" ht="12.8" hidden="false" customHeight="false" outlineLevel="0" collapsed="false">
      <c r="A365" s="0" t="n">
        <v>5180</v>
      </c>
    </row>
    <row r="366" customFormat="false" ht="12.8" hidden="false" customHeight="false" outlineLevel="0" collapsed="false">
      <c r="A366" s="0" t="n">
        <v>5190</v>
      </c>
    </row>
    <row r="367" customFormat="false" ht="12.8" hidden="false" customHeight="false" outlineLevel="0" collapsed="false">
      <c r="A367" s="0" t="n">
        <v>5200</v>
      </c>
    </row>
    <row r="368" customFormat="false" ht="12.8" hidden="false" customHeight="false" outlineLevel="0" collapsed="false">
      <c r="A368" s="0" t="n">
        <v>5210</v>
      </c>
    </row>
    <row r="369" customFormat="false" ht="12.8" hidden="false" customHeight="false" outlineLevel="0" collapsed="false">
      <c r="A369" s="0" t="n">
        <v>5220</v>
      </c>
    </row>
    <row r="370" customFormat="false" ht="12.8" hidden="false" customHeight="false" outlineLevel="0" collapsed="false">
      <c r="A370" s="0" t="n">
        <v>5230</v>
      </c>
    </row>
    <row r="371" customFormat="false" ht="12.8" hidden="false" customHeight="false" outlineLevel="0" collapsed="false">
      <c r="A371" s="0" t="n">
        <v>5240</v>
      </c>
    </row>
    <row r="372" customFormat="false" ht="12.8" hidden="false" customHeight="false" outlineLevel="0" collapsed="false">
      <c r="A372" s="0" t="n">
        <v>5250</v>
      </c>
    </row>
    <row r="373" customFormat="false" ht="12.8" hidden="false" customHeight="false" outlineLevel="0" collapsed="false">
      <c r="A373" s="0" t="n">
        <v>5260</v>
      </c>
    </row>
    <row r="374" customFormat="false" ht="12.8" hidden="false" customHeight="false" outlineLevel="0" collapsed="false">
      <c r="A374" s="0" t="n">
        <v>5270</v>
      </c>
    </row>
    <row r="375" customFormat="false" ht="12.8" hidden="false" customHeight="false" outlineLevel="0" collapsed="false">
      <c r="A375" s="0" t="n">
        <v>5280</v>
      </c>
    </row>
    <row r="376" customFormat="false" ht="12.8" hidden="false" customHeight="false" outlineLevel="0" collapsed="false">
      <c r="A376" s="0" t="n">
        <v>5290</v>
      </c>
    </row>
    <row r="377" customFormat="false" ht="12.8" hidden="false" customHeight="false" outlineLevel="0" collapsed="false">
      <c r="A377" s="0" t="n">
        <v>5300</v>
      </c>
    </row>
    <row r="378" customFormat="false" ht="12.8" hidden="false" customHeight="false" outlineLevel="0" collapsed="false">
      <c r="A378" s="0" t="n">
        <v>5310</v>
      </c>
    </row>
    <row r="379" customFormat="false" ht="12.8" hidden="false" customHeight="false" outlineLevel="0" collapsed="false">
      <c r="A379" s="0" t="n">
        <v>5320</v>
      </c>
    </row>
    <row r="380" customFormat="false" ht="12.8" hidden="false" customHeight="false" outlineLevel="0" collapsed="false">
      <c r="A380" s="0" t="n">
        <v>5330</v>
      </c>
    </row>
    <row r="381" customFormat="false" ht="12.8" hidden="false" customHeight="false" outlineLevel="0" collapsed="false">
      <c r="A381" s="0" t="n">
        <v>5340</v>
      </c>
    </row>
    <row r="382" customFormat="false" ht="12.8" hidden="false" customHeight="false" outlineLevel="0" collapsed="false">
      <c r="A382" s="0" t="n">
        <v>5350</v>
      </c>
    </row>
    <row r="383" customFormat="false" ht="12.8" hidden="false" customHeight="false" outlineLevel="0" collapsed="false">
      <c r="A383" s="0" t="n">
        <v>5360</v>
      </c>
    </row>
    <row r="384" customFormat="false" ht="12.8" hidden="false" customHeight="false" outlineLevel="0" collapsed="false">
      <c r="A384" s="0" t="n">
        <v>5370</v>
      </c>
    </row>
    <row r="385" customFormat="false" ht="12.8" hidden="false" customHeight="false" outlineLevel="0" collapsed="false">
      <c r="A385" s="0" t="n">
        <v>5380</v>
      </c>
    </row>
    <row r="386" customFormat="false" ht="12.8" hidden="false" customHeight="false" outlineLevel="0" collapsed="false">
      <c r="A386" s="0" t="n">
        <v>5390</v>
      </c>
    </row>
    <row r="387" customFormat="false" ht="12.8" hidden="false" customHeight="false" outlineLevel="0" collapsed="false">
      <c r="A387" s="0" t="n">
        <v>5400</v>
      </c>
    </row>
    <row r="388" customFormat="false" ht="12.8" hidden="false" customHeight="false" outlineLevel="0" collapsed="false">
      <c r="A388" s="0" t="n">
        <v>5410</v>
      </c>
    </row>
    <row r="389" customFormat="false" ht="12.8" hidden="false" customHeight="false" outlineLevel="0" collapsed="false">
      <c r="A389" s="0" t="n">
        <v>5420</v>
      </c>
    </row>
    <row r="390" customFormat="false" ht="12.8" hidden="false" customHeight="false" outlineLevel="0" collapsed="false">
      <c r="A390" s="0" t="n">
        <v>5430</v>
      </c>
    </row>
    <row r="391" customFormat="false" ht="12.8" hidden="false" customHeight="false" outlineLevel="0" collapsed="false">
      <c r="A391" s="0" t="n">
        <v>5440</v>
      </c>
    </row>
    <row r="392" customFormat="false" ht="12.8" hidden="false" customHeight="false" outlineLevel="0" collapsed="false">
      <c r="A392" s="0" t="n">
        <v>5450</v>
      </c>
    </row>
    <row r="393" customFormat="false" ht="12.8" hidden="false" customHeight="false" outlineLevel="0" collapsed="false">
      <c r="A393" s="0" t="n">
        <v>5460</v>
      </c>
    </row>
    <row r="394" customFormat="false" ht="12.8" hidden="false" customHeight="false" outlineLevel="0" collapsed="false">
      <c r="A394" s="0" t="n">
        <v>5470</v>
      </c>
    </row>
    <row r="395" customFormat="false" ht="12.8" hidden="false" customHeight="false" outlineLevel="0" collapsed="false">
      <c r="A395" s="0" t="n">
        <v>5480</v>
      </c>
    </row>
    <row r="396" customFormat="false" ht="12.8" hidden="false" customHeight="false" outlineLevel="0" collapsed="false">
      <c r="A396" s="0" t="n">
        <v>5490</v>
      </c>
    </row>
    <row r="397" customFormat="false" ht="12.8" hidden="false" customHeight="false" outlineLevel="0" collapsed="false">
      <c r="A397" s="0" t="n">
        <v>5500</v>
      </c>
    </row>
    <row r="398" customFormat="false" ht="12.8" hidden="false" customHeight="false" outlineLevel="0" collapsed="false">
      <c r="A398" s="0" t="n">
        <v>5510</v>
      </c>
    </row>
    <row r="399" customFormat="false" ht="12.8" hidden="false" customHeight="false" outlineLevel="0" collapsed="false">
      <c r="A399" s="0" t="n">
        <v>5520</v>
      </c>
    </row>
    <row r="400" customFormat="false" ht="12.8" hidden="false" customHeight="false" outlineLevel="0" collapsed="false">
      <c r="A400" s="0" t="n">
        <v>5530</v>
      </c>
    </row>
    <row r="401" customFormat="false" ht="12.8" hidden="false" customHeight="false" outlineLevel="0" collapsed="false">
      <c r="A401" s="0" t="n">
        <v>5540</v>
      </c>
    </row>
    <row r="402" customFormat="false" ht="12.8" hidden="false" customHeight="false" outlineLevel="0" collapsed="false">
      <c r="A402" s="0" t="n">
        <v>5550</v>
      </c>
    </row>
    <row r="403" customFormat="false" ht="12.8" hidden="false" customHeight="false" outlineLevel="0" collapsed="false">
      <c r="A403" s="0" t="n">
        <v>5560</v>
      </c>
    </row>
    <row r="404" customFormat="false" ht="12.8" hidden="false" customHeight="false" outlineLevel="0" collapsed="false">
      <c r="A404" s="0" t="n">
        <v>5570</v>
      </c>
    </row>
    <row r="405" customFormat="false" ht="12.8" hidden="false" customHeight="false" outlineLevel="0" collapsed="false">
      <c r="A405" s="0" t="n">
        <v>5580</v>
      </c>
    </row>
    <row r="406" customFormat="false" ht="12.8" hidden="false" customHeight="false" outlineLevel="0" collapsed="false">
      <c r="A406" s="0" t="n">
        <v>5590</v>
      </c>
    </row>
    <row r="407" customFormat="false" ht="12.8" hidden="false" customHeight="false" outlineLevel="0" collapsed="false">
      <c r="A407" s="0" t="n">
        <v>5600</v>
      </c>
    </row>
    <row r="408" customFormat="false" ht="12.8" hidden="false" customHeight="false" outlineLevel="0" collapsed="false">
      <c r="A408" s="0" t="n">
        <v>5610</v>
      </c>
    </row>
    <row r="409" customFormat="false" ht="12.8" hidden="false" customHeight="false" outlineLevel="0" collapsed="false">
      <c r="A409" s="0" t="n">
        <v>5620</v>
      </c>
    </row>
    <row r="410" customFormat="false" ht="12.8" hidden="false" customHeight="false" outlineLevel="0" collapsed="false">
      <c r="A410" s="0" t="n">
        <v>5630</v>
      </c>
    </row>
    <row r="411" customFormat="false" ht="12.8" hidden="false" customHeight="false" outlineLevel="0" collapsed="false">
      <c r="A411" s="0" t="n">
        <v>5640</v>
      </c>
    </row>
    <row r="412" customFormat="false" ht="12.8" hidden="false" customHeight="false" outlineLevel="0" collapsed="false">
      <c r="A412" s="0" t="n">
        <v>5650</v>
      </c>
    </row>
    <row r="413" customFormat="false" ht="12.8" hidden="false" customHeight="false" outlineLevel="0" collapsed="false">
      <c r="A413" s="0" t="n">
        <v>5660</v>
      </c>
    </row>
    <row r="414" customFormat="false" ht="12.8" hidden="false" customHeight="false" outlineLevel="0" collapsed="false">
      <c r="A414" s="0" t="n">
        <v>5670</v>
      </c>
    </row>
    <row r="415" customFormat="false" ht="12.8" hidden="false" customHeight="false" outlineLevel="0" collapsed="false">
      <c r="A415" s="0" t="n">
        <v>5680</v>
      </c>
    </row>
    <row r="416" customFormat="false" ht="12.8" hidden="false" customHeight="false" outlineLevel="0" collapsed="false">
      <c r="A416" s="0" t="n">
        <v>5690</v>
      </c>
    </row>
    <row r="417" customFormat="false" ht="12.8" hidden="false" customHeight="false" outlineLevel="0" collapsed="false">
      <c r="A417" s="0" t="n">
        <v>5700</v>
      </c>
    </row>
    <row r="418" customFormat="false" ht="12.8" hidden="false" customHeight="false" outlineLevel="0" collapsed="false">
      <c r="A418" s="0" t="n">
        <v>5710</v>
      </c>
    </row>
    <row r="419" customFormat="false" ht="12.8" hidden="false" customHeight="false" outlineLevel="0" collapsed="false">
      <c r="A419" s="0" t="n">
        <v>5720</v>
      </c>
    </row>
    <row r="420" customFormat="false" ht="12.8" hidden="false" customHeight="false" outlineLevel="0" collapsed="false">
      <c r="A420" s="0" t="n">
        <v>5730</v>
      </c>
    </row>
    <row r="421" customFormat="false" ht="12.8" hidden="false" customHeight="false" outlineLevel="0" collapsed="false">
      <c r="A421" s="0" t="n">
        <v>5740</v>
      </c>
    </row>
    <row r="422" customFormat="false" ht="12.8" hidden="false" customHeight="false" outlineLevel="0" collapsed="false">
      <c r="A422" s="0" t="n">
        <v>5750</v>
      </c>
    </row>
    <row r="423" customFormat="false" ht="12.8" hidden="false" customHeight="false" outlineLevel="0" collapsed="false">
      <c r="A423" s="0" t="n">
        <v>5760</v>
      </c>
    </row>
    <row r="424" customFormat="false" ht="12.8" hidden="false" customHeight="false" outlineLevel="0" collapsed="false">
      <c r="A424" s="0" t="n">
        <v>5770</v>
      </c>
    </row>
    <row r="425" customFormat="false" ht="12.8" hidden="false" customHeight="false" outlineLevel="0" collapsed="false">
      <c r="A425" s="0" t="n">
        <v>5780</v>
      </c>
    </row>
    <row r="426" customFormat="false" ht="12.8" hidden="false" customHeight="false" outlineLevel="0" collapsed="false">
      <c r="A426" s="0" t="n">
        <v>5790</v>
      </c>
    </row>
    <row r="427" customFormat="false" ht="12.8" hidden="false" customHeight="false" outlineLevel="0" collapsed="false">
      <c r="A427" s="0" t="n">
        <v>5800</v>
      </c>
    </row>
    <row r="428" customFormat="false" ht="12.8" hidden="false" customHeight="false" outlineLevel="0" collapsed="false">
      <c r="A428" s="0" t="n">
        <v>5810</v>
      </c>
    </row>
    <row r="429" customFormat="false" ht="12.8" hidden="false" customHeight="false" outlineLevel="0" collapsed="false">
      <c r="A429" s="0" t="n">
        <v>5820</v>
      </c>
    </row>
    <row r="430" customFormat="false" ht="12.8" hidden="false" customHeight="false" outlineLevel="0" collapsed="false">
      <c r="A430" s="0" t="n">
        <v>5830</v>
      </c>
    </row>
    <row r="431" customFormat="false" ht="12.8" hidden="false" customHeight="false" outlineLevel="0" collapsed="false">
      <c r="A431" s="0" t="n">
        <v>5840</v>
      </c>
    </row>
    <row r="432" customFormat="false" ht="12.8" hidden="false" customHeight="false" outlineLevel="0" collapsed="false">
      <c r="A432" s="0" t="n">
        <v>5850</v>
      </c>
    </row>
    <row r="433" customFormat="false" ht="12.8" hidden="false" customHeight="false" outlineLevel="0" collapsed="false">
      <c r="A433" s="0" t="n">
        <v>5860</v>
      </c>
    </row>
    <row r="434" customFormat="false" ht="12.8" hidden="false" customHeight="false" outlineLevel="0" collapsed="false">
      <c r="A434" s="0" t="n">
        <v>5870</v>
      </c>
    </row>
    <row r="435" customFormat="false" ht="12.8" hidden="false" customHeight="false" outlineLevel="0" collapsed="false">
      <c r="A435" s="0" t="n">
        <v>5880</v>
      </c>
    </row>
    <row r="436" customFormat="false" ht="12.8" hidden="false" customHeight="false" outlineLevel="0" collapsed="false">
      <c r="A436" s="0" t="n">
        <v>5890</v>
      </c>
    </row>
    <row r="437" customFormat="false" ht="12.8" hidden="false" customHeight="false" outlineLevel="0" collapsed="false">
      <c r="A437" s="0" t="n">
        <v>5900</v>
      </c>
    </row>
    <row r="438" customFormat="false" ht="12.8" hidden="false" customHeight="false" outlineLevel="0" collapsed="false">
      <c r="A438" s="0" t="n">
        <v>5910</v>
      </c>
    </row>
    <row r="439" customFormat="false" ht="12.8" hidden="false" customHeight="false" outlineLevel="0" collapsed="false">
      <c r="A439" s="0" t="n">
        <v>5920</v>
      </c>
    </row>
    <row r="440" customFormat="false" ht="12.8" hidden="false" customHeight="false" outlineLevel="0" collapsed="false">
      <c r="A440" s="0" t="n">
        <v>5930</v>
      </c>
    </row>
    <row r="441" customFormat="false" ht="12.8" hidden="false" customHeight="false" outlineLevel="0" collapsed="false">
      <c r="A441" s="0" t="n">
        <v>5940</v>
      </c>
    </row>
    <row r="442" customFormat="false" ht="12.8" hidden="false" customHeight="false" outlineLevel="0" collapsed="false">
      <c r="A442" s="0" t="n">
        <v>5950</v>
      </c>
    </row>
    <row r="443" customFormat="false" ht="12.8" hidden="false" customHeight="false" outlineLevel="0" collapsed="false">
      <c r="A443" s="0" t="n">
        <v>5960</v>
      </c>
    </row>
    <row r="444" customFormat="false" ht="12.8" hidden="false" customHeight="false" outlineLevel="0" collapsed="false">
      <c r="A444" s="0" t="n">
        <v>5970</v>
      </c>
    </row>
    <row r="445" customFormat="false" ht="12.8" hidden="false" customHeight="false" outlineLevel="0" collapsed="false">
      <c r="A445" s="0" t="n">
        <v>5980</v>
      </c>
    </row>
    <row r="446" customFormat="false" ht="12.8" hidden="false" customHeight="false" outlineLevel="0" collapsed="false">
      <c r="A446" s="0" t="n">
        <v>5990</v>
      </c>
    </row>
    <row r="447" customFormat="false" ht="12.8" hidden="false" customHeight="false" outlineLevel="0" collapsed="false">
      <c r="A447" s="0" t="n">
        <v>6000</v>
      </c>
    </row>
    <row r="448" customFormat="false" ht="12.8" hidden="false" customHeight="false" outlineLevel="0" collapsed="false">
      <c r="A448" s="0" t="n">
        <v>6010</v>
      </c>
    </row>
    <row r="449" customFormat="false" ht="12.8" hidden="false" customHeight="false" outlineLevel="0" collapsed="false">
      <c r="A449" s="0" t="n">
        <v>6020</v>
      </c>
    </row>
    <row r="450" customFormat="false" ht="12.8" hidden="false" customHeight="false" outlineLevel="0" collapsed="false">
      <c r="A450" s="0" t="n">
        <v>6030</v>
      </c>
    </row>
    <row r="451" customFormat="false" ht="12.8" hidden="false" customHeight="false" outlineLevel="0" collapsed="false">
      <c r="A451" s="0" t="n">
        <v>6040</v>
      </c>
    </row>
    <row r="452" customFormat="false" ht="12.8" hidden="false" customHeight="false" outlineLevel="0" collapsed="false">
      <c r="A452" s="0" t="n">
        <v>6050</v>
      </c>
    </row>
    <row r="453" customFormat="false" ht="12.8" hidden="false" customHeight="false" outlineLevel="0" collapsed="false">
      <c r="A453" s="0" t="n">
        <v>6060</v>
      </c>
    </row>
    <row r="454" customFormat="false" ht="12.8" hidden="false" customHeight="false" outlineLevel="0" collapsed="false">
      <c r="A454" s="0" t="n">
        <v>6070</v>
      </c>
    </row>
    <row r="455" customFormat="false" ht="12.8" hidden="false" customHeight="false" outlineLevel="0" collapsed="false">
      <c r="A455" s="0" t="n">
        <v>6080</v>
      </c>
    </row>
    <row r="456" customFormat="false" ht="12.8" hidden="false" customHeight="false" outlineLevel="0" collapsed="false">
      <c r="A456" s="0" t="n">
        <v>6090</v>
      </c>
    </row>
    <row r="457" customFormat="false" ht="12.8" hidden="false" customHeight="false" outlineLevel="0" collapsed="false">
      <c r="A457" s="0" t="n">
        <v>6100</v>
      </c>
    </row>
    <row r="458" customFormat="false" ht="12.8" hidden="false" customHeight="false" outlineLevel="0" collapsed="false">
      <c r="A458" s="0" t="n">
        <v>6110</v>
      </c>
    </row>
    <row r="459" customFormat="false" ht="12.8" hidden="false" customHeight="false" outlineLevel="0" collapsed="false">
      <c r="A459" s="0" t="n">
        <v>6120</v>
      </c>
    </row>
    <row r="460" customFormat="false" ht="12.8" hidden="false" customHeight="false" outlineLevel="0" collapsed="false">
      <c r="A460" s="0" t="n">
        <v>6130</v>
      </c>
    </row>
    <row r="461" customFormat="false" ht="12.8" hidden="false" customHeight="false" outlineLevel="0" collapsed="false">
      <c r="A461" s="0" t="n">
        <v>6140</v>
      </c>
    </row>
    <row r="462" customFormat="false" ht="12.8" hidden="false" customHeight="false" outlineLevel="0" collapsed="false">
      <c r="A462" s="0" t="n">
        <v>6150</v>
      </c>
    </row>
    <row r="463" customFormat="false" ht="12.8" hidden="false" customHeight="false" outlineLevel="0" collapsed="false">
      <c r="A463" s="0" t="n">
        <v>6160</v>
      </c>
    </row>
    <row r="464" customFormat="false" ht="12.8" hidden="false" customHeight="false" outlineLevel="0" collapsed="false">
      <c r="A464" s="0" t="n">
        <v>6170</v>
      </c>
    </row>
    <row r="465" customFormat="false" ht="12.8" hidden="false" customHeight="false" outlineLevel="0" collapsed="false">
      <c r="A465" s="0" t="n">
        <v>6180</v>
      </c>
    </row>
    <row r="466" customFormat="false" ht="12.8" hidden="false" customHeight="false" outlineLevel="0" collapsed="false">
      <c r="A466" s="0" t="n">
        <v>6190</v>
      </c>
    </row>
    <row r="467" customFormat="false" ht="12.8" hidden="false" customHeight="false" outlineLevel="0" collapsed="false">
      <c r="A467" s="0" t="n">
        <v>6200</v>
      </c>
    </row>
    <row r="468" customFormat="false" ht="12.8" hidden="false" customHeight="false" outlineLevel="0" collapsed="false">
      <c r="A468" s="0" t="n">
        <v>6210</v>
      </c>
    </row>
    <row r="469" customFormat="false" ht="12.8" hidden="false" customHeight="false" outlineLevel="0" collapsed="false">
      <c r="A469" s="0" t="n">
        <v>6220</v>
      </c>
    </row>
    <row r="470" customFormat="false" ht="12.8" hidden="false" customHeight="false" outlineLevel="0" collapsed="false">
      <c r="A470" s="0" t="n">
        <v>6230</v>
      </c>
    </row>
    <row r="471" customFormat="false" ht="12.8" hidden="false" customHeight="false" outlineLevel="0" collapsed="false">
      <c r="A471" s="0" t="n">
        <v>6240</v>
      </c>
    </row>
    <row r="472" customFormat="false" ht="12.8" hidden="false" customHeight="false" outlineLevel="0" collapsed="false">
      <c r="A472" s="0" t="n">
        <v>6250</v>
      </c>
    </row>
    <row r="473" customFormat="false" ht="12.8" hidden="false" customHeight="false" outlineLevel="0" collapsed="false">
      <c r="A473" s="0" t="n">
        <v>6260</v>
      </c>
    </row>
    <row r="474" customFormat="false" ht="12.8" hidden="false" customHeight="false" outlineLevel="0" collapsed="false">
      <c r="A474" s="0" t="n">
        <v>6270</v>
      </c>
    </row>
    <row r="475" customFormat="false" ht="12.8" hidden="false" customHeight="false" outlineLevel="0" collapsed="false">
      <c r="A475" s="0" t="n">
        <v>6280</v>
      </c>
    </row>
    <row r="476" customFormat="false" ht="12.8" hidden="false" customHeight="false" outlineLevel="0" collapsed="false">
      <c r="A476" s="0" t="n">
        <v>6290</v>
      </c>
    </row>
    <row r="477" customFormat="false" ht="12.8" hidden="false" customHeight="false" outlineLevel="0" collapsed="false">
      <c r="A477" s="0" t="n">
        <v>6300</v>
      </c>
    </row>
    <row r="478" customFormat="false" ht="12.8" hidden="false" customHeight="false" outlineLevel="0" collapsed="false">
      <c r="A478" s="0" t="n">
        <v>6310</v>
      </c>
    </row>
    <row r="479" customFormat="false" ht="12.8" hidden="false" customHeight="false" outlineLevel="0" collapsed="false">
      <c r="A479" s="0" t="n">
        <v>6320</v>
      </c>
    </row>
    <row r="480" customFormat="false" ht="12.8" hidden="false" customHeight="false" outlineLevel="0" collapsed="false">
      <c r="A480" s="0" t="n">
        <v>6330</v>
      </c>
    </row>
    <row r="481" customFormat="false" ht="12.8" hidden="false" customHeight="false" outlineLevel="0" collapsed="false">
      <c r="A481" s="0" t="n">
        <v>6340</v>
      </c>
    </row>
    <row r="482" customFormat="false" ht="12.8" hidden="false" customHeight="false" outlineLevel="0" collapsed="false">
      <c r="A482" s="0" t="n">
        <v>6350</v>
      </c>
    </row>
    <row r="483" customFormat="false" ht="12.8" hidden="false" customHeight="false" outlineLevel="0" collapsed="false">
      <c r="A483" s="0" t="n">
        <v>6360</v>
      </c>
    </row>
    <row r="484" customFormat="false" ht="12.8" hidden="false" customHeight="false" outlineLevel="0" collapsed="false">
      <c r="A484" s="0" t="n">
        <v>6370</v>
      </c>
    </row>
    <row r="485" customFormat="false" ht="12.8" hidden="false" customHeight="false" outlineLevel="0" collapsed="false">
      <c r="A485" s="0" t="n">
        <v>6380</v>
      </c>
    </row>
    <row r="486" customFormat="false" ht="12.8" hidden="false" customHeight="false" outlineLevel="0" collapsed="false">
      <c r="A486" s="0" t="n">
        <v>6390</v>
      </c>
    </row>
    <row r="487" customFormat="false" ht="12.8" hidden="false" customHeight="false" outlineLevel="0" collapsed="false">
      <c r="A487" s="0" t="n">
        <v>6400</v>
      </c>
    </row>
    <row r="488" customFormat="false" ht="12.8" hidden="false" customHeight="false" outlineLevel="0" collapsed="false">
      <c r="A488" s="0" t="n">
        <v>6410</v>
      </c>
    </row>
    <row r="489" customFormat="false" ht="12.8" hidden="false" customHeight="false" outlineLevel="0" collapsed="false">
      <c r="A489" s="0" t="n">
        <v>6420</v>
      </c>
    </row>
    <row r="490" customFormat="false" ht="12.8" hidden="false" customHeight="false" outlineLevel="0" collapsed="false">
      <c r="A490" s="0" t="n">
        <v>6430</v>
      </c>
    </row>
    <row r="491" customFormat="false" ht="12.8" hidden="false" customHeight="false" outlineLevel="0" collapsed="false">
      <c r="A491" s="0" t="n">
        <v>6440</v>
      </c>
    </row>
    <row r="492" customFormat="false" ht="12.8" hidden="false" customHeight="false" outlineLevel="0" collapsed="false">
      <c r="A492" s="0" t="n">
        <v>6450</v>
      </c>
    </row>
    <row r="493" customFormat="false" ht="12.8" hidden="false" customHeight="false" outlineLevel="0" collapsed="false">
      <c r="A493" s="0" t="n">
        <v>6460</v>
      </c>
    </row>
    <row r="494" customFormat="false" ht="12.8" hidden="false" customHeight="false" outlineLevel="0" collapsed="false">
      <c r="A494" s="0" t="n">
        <v>6470</v>
      </c>
    </row>
    <row r="495" customFormat="false" ht="12.8" hidden="false" customHeight="false" outlineLevel="0" collapsed="false">
      <c r="A495" s="0" t="n">
        <v>6480</v>
      </c>
    </row>
    <row r="496" customFormat="false" ht="12.8" hidden="false" customHeight="false" outlineLevel="0" collapsed="false">
      <c r="A496" s="0" t="n">
        <v>6490</v>
      </c>
    </row>
    <row r="497" customFormat="false" ht="12.8" hidden="false" customHeight="false" outlineLevel="0" collapsed="false">
      <c r="A497" s="0" t="n">
        <v>6500</v>
      </c>
    </row>
    <row r="498" customFormat="false" ht="12.8" hidden="false" customHeight="false" outlineLevel="0" collapsed="false">
      <c r="A498" s="0" t="n">
        <v>6510</v>
      </c>
    </row>
    <row r="499" customFormat="false" ht="12.8" hidden="false" customHeight="false" outlineLevel="0" collapsed="false">
      <c r="A499" s="0" t="n">
        <v>6520</v>
      </c>
    </row>
    <row r="500" customFormat="false" ht="12.8" hidden="false" customHeight="false" outlineLevel="0" collapsed="false">
      <c r="A500" s="0" t="n">
        <v>6530</v>
      </c>
    </row>
    <row r="501" customFormat="false" ht="12.8" hidden="false" customHeight="false" outlineLevel="0" collapsed="false">
      <c r="A501" s="0" t="n">
        <v>6540</v>
      </c>
    </row>
    <row r="502" customFormat="false" ht="12.8" hidden="false" customHeight="false" outlineLevel="0" collapsed="false">
      <c r="A502" s="0" t="n">
        <v>6550</v>
      </c>
    </row>
    <row r="503" customFormat="false" ht="12.8" hidden="false" customHeight="false" outlineLevel="0" collapsed="false">
      <c r="A503" s="0" t="n">
        <v>6560</v>
      </c>
    </row>
    <row r="504" customFormat="false" ht="12.8" hidden="false" customHeight="false" outlineLevel="0" collapsed="false">
      <c r="A504" s="0" t="n">
        <v>6570</v>
      </c>
    </row>
    <row r="505" customFormat="false" ht="12.8" hidden="false" customHeight="false" outlineLevel="0" collapsed="false">
      <c r="A505" s="0" t="n">
        <v>6580</v>
      </c>
    </row>
    <row r="506" customFormat="false" ht="12.8" hidden="false" customHeight="false" outlineLevel="0" collapsed="false">
      <c r="A506" s="0" t="n">
        <v>6590</v>
      </c>
    </row>
    <row r="507" customFormat="false" ht="12.8" hidden="false" customHeight="false" outlineLevel="0" collapsed="false">
      <c r="A507" s="0" t="n">
        <v>6600</v>
      </c>
    </row>
    <row r="508" customFormat="false" ht="12.8" hidden="false" customHeight="false" outlineLevel="0" collapsed="false">
      <c r="A508" s="0" t="n">
        <v>6610</v>
      </c>
    </row>
    <row r="509" customFormat="false" ht="12.8" hidden="false" customHeight="false" outlineLevel="0" collapsed="false">
      <c r="A509" s="0" t="n">
        <v>6620</v>
      </c>
    </row>
    <row r="510" customFormat="false" ht="12.8" hidden="false" customHeight="false" outlineLevel="0" collapsed="false">
      <c r="A510" s="0" t="n">
        <v>6630</v>
      </c>
    </row>
    <row r="511" customFormat="false" ht="12.8" hidden="false" customHeight="false" outlineLevel="0" collapsed="false">
      <c r="A511" s="0" t="n">
        <v>6640</v>
      </c>
    </row>
    <row r="512" customFormat="false" ht="12.8" hidden="false" customHeight="false" outlineLevel="0" collapsed="false">
      <c r="A512" s="0" t="n">
        <v>6650</v>
      </c>
    </row>
    <row r="513" customFormat="false" ht="12.8" hidden="false" customHeight="false" outlineLevel="0" collapsed="false">
      <c r="A513" s="0" t="n">
        <v>6660</v>
      </c>
    </row>
    <row r="514" customFormat="false" ht="12.8" hidden="false" customHeight="false" outlineLevel="0" collapsed="false">
      <c r="A514" s="0" t="n">
        <v>6670</v>
      </c>
    </row>
    <row r="515" customFormat="false" ht="12.8" hidden="false" customHeight="false" outlineLevel="0" collapsed="false">
      <c r="A515" s="0" t="n">
        <v>6680</v>
      </c>
    </row>
    <row r="516" customFormat="false" ht="12.8" hidden="false" customHeight="false" outlineLevel="0" collapsed="false">
      <c r="A516" s="0" t="n">
        <v>6690</v>
      </c>
    </row>
    <row r="517" customFormat="false" ht="12.8" hidden="false" customHeight="false" outlineLevel="0" collapsed="false">
      <c r="A517" s="0" t="n">
        <v>6700</v>
      </c>
    </row>
    <row r="518" customFormat="false" ht="12.8" hidden="false" customHeight="false" outlineLevel="0" collapsed="false">
      <c r="A518" s="0" t="n">
        <v>6710</v>
      </c>
    </row>
    <row r="519" customFormat="false" ht="12.8" hidden="false" customHeight="false" outlineLevel="0" collapsed="false">
      <c r="A519" s="0" t="n">
        <v>6720</v>
      </c>
    </row>
    <row r="520" customFormat="false" ht="12.8" hidden="false" customHeight="false" outlineLevel="0" collapsed="false">
      <c r="A520" s="0" t="n">
        <v>6730</v>
      </c>
    </row>
    <row r="521" customFormat="false" ht="12.8" hidden="false" customHeight="false" outlineLevel="0" collapsed="false">
      <c r="A521" s="0" t="n">
        <v>6740</v>
      </c>
    </row>
    <row r="522" customFormat="false" ht="12.8" hidden="false" customHeight="false" outlineLevel="0" collapsed="false">
      <c r="A522" s="0" t="n">
        <v>6750</v>
      </c>
    </row>
    <row r="523" customFormat="false" ht="12.8" hidden="false" customHeight="false" outlineLevel="0" collapsed="false">
      <c r="A523" s="0" t="n">
        <v>6760</v>
      </c>
    </row>
    <row r="524" customFormat="false" ht="12.8" hidden="false" customHeight="false" outlineLevel="0" collapsed="false">
      <c r="A524" s="0" t="n">
        <v>6770</v>
      </c>
    </row>
    <row r="525" customFormat="false" ht="12.8" hidden="false" customHeight="false" outlineLevel="0" collapsed="false">
      <c r="A525" s="0" t="n">
        <v>6780</v>
      </c>
    </row>
    <row r="526" customFormat="false" ht="12.8" hidden="false" customHeight="false" outlineLevel="0" collapsed="false">
      <c r="A526" s="0" t="n">
        <v>6790</v>
      </c>
    </row>
    <row r="527" customFormat="false" ht="12.8" hidden="false" customHeight="false" outlineLevel="0" collapsed="false">
      <c r="A527" s="0" t="n">
        <v>6800</v>
      </c>
    </row>
    <row r="528" customFormat="false" ht="12.8" hidden="false" customHeight="false" outlineLevel="0" collapsed="false">
      <c r="A528" s="0" t="n">
        <v>6810</v>
      </c>
    </row>
    <row r="529" customFormat="false" ht="12.8" hidden="false" customHeight="false" outlineLevel="0" collapsed="false">
      <c r="A529" s="0" t="n">
        <v>6820</v>
      </c>
    </row>
    <row r="530" customFormat="false" ht="12.8" hidden="false" customHeight="false" outlineLevel="0" collapsed="false">
      <c r="A530" s="0" t="n">
        <v>6830</v>
      </c>
    </row>
    <row r="531" customFormat="false" ht="12.8" hidden="false" customHeight="false" outlineLevel="0" collapsed="false">
      <c r="A531" s="0" t="n">
        <v>6840</v>
      </c>
    </row>
    <row r="532" customFormat="false" ht="12.8" hidden="false" customHeight="false" outlineLevel="0" collapsed="false">
      <c r="A532" s="0" t="n">
        <v>6850</v>
      </c>
    </row>
    <row r="533" customFormat="false" ht="12.8" hidden="false" customHeight="false" outlineLevel="0" collapsed="false">
      <c r="A533" s="0" t="n">
        <v>6860</v>
      </c>
    </row>
    <row r="534" customFormat="false" ht="12.8" hidden="false" customHeight="false" outlineLevel="0" collapsed="false">
      <c r="A534" s="0" t="n">
        <v>6870</v>
      </c>
    </row>
    <row r="535" customFormat="false" ht="12.8" hidden="false" customHeight="false" outlineLevel="0" collapsed="false">
      <c r="A535" s="0" t="n">
        <v>6880</v>
      </c>
    </row>
    <row r="536" customFormat="false" ht="12.8" hidden="false" customHeight="false" outlineLevel="0" collapsed="false">
      <c r="A536" s="0" t="n">
        <v>6890</v>
      </c>
    </row>
    <row r="537" customFormat="false" ht="12.8" hidden="false" customHeight="false" outlineLevel="0" collapsed="false">
      <c r="A537" s="0" t="n">
        <v>6900</v>
      </c>
    </row>
    <row r="538" customFormat="false" ht="12.8" hidden="false" customHeight="false" outlineLevel="0" collapsed="false">
      <c r="A538" s="0" t="n">
        <v>6910</v>
      </c>
    </row>
    <row r="539" customFormat="false" ht="12.8" hidden="false" customHeight="false" outlineLevel="0" collapsed="false">
      <c r="A539" s="0" t="n">
        <v>6920</v>
      </c>
    </row>
    <row r="540" customFormat="false" ht="12.8" hidden="false" customHeight="false" outlineLevel="0" collapsed="false">
      <c r="A540" s="0" t="n">
        <v>6930</v>
      </c>
    </row>
    <row r="541" customFormat="false" ht="12.8" hidden="false" customHeight="false" outlineLevel="0" collapsed="false">
      <c r="A541" s="0" t="n">
        <v>6940</v>
      </c>
    </row>
    <row r="542" customFormat="false" ht="12.8" hidden="false" customHeight="false" outlineLevel="0" collapsed="false">
      <c r="A542" s="0" t="n">
        <v>6950</v>
      </c>
    </row>
    <row r="543" customFormat="false" ht="12.8" hidden="false" customHeight="false" outlineLevel="0" collapsed="false">
      <c r="A543" s="0" t="n">
        <v>6960</v>
      </c>
    </row>
    <row r="544" customFormat="false" ht="12.8" hidden="false" customHeight="false" outlineLevel="0" collapsed="false">
      <c r="A544" s="0" t="n">
        <v>6970</v>
      </c>
    </row>
    <row r="545" customFormat="false" ht="12.8" hidden="false" customHeight="false" outlineLevel="0" collapsed="false">
      <c r="A545" s="0" t="n">
        <v>6980</v>
      </c>
    </row>
    <row r="546" customFormat="false" ht="12.8" hidden="false" customHeight="false" outlineLevel="0" collapsed="false">
      <c r="A546" s="0" t="n">
        <v>6990</v>
      </c>
    </row>
    <row r="547" customFormat="false" ht="12.8" hidden="false" customHeight="false" outlineLevel="0" collapsed="false">
      <c r="A547" s="0" t="n">
        <v>7000</v>
      </c>
    </row>
    <row r="548" customFormat="false" ht="12.8" hidden="false" customHeight="false" outlineLevel="0" collapsed="false">
      <c r="A548" s="0" t="n">
        <v>7010</v>
      </c>
    </row>
    <row r="549" customFormat="false" ht="12.8" hidden="false" customHeight="false" outlineLevel="0" collapsed="false">
      <c r="A549" s="0" t="n">
        <v>7020</v>
      </c>
    </row>
    <row r="550" customFormat="false" ht="12.8" hidden="false" customHeight="false" outlineLevel="0" collapsed="false">
      <c r="A550" s="0" t="n">
        <v>7030</v>
      </c>
    </row>
    <row r="551" customFormat="false" ht="12.8" hidden="false" customHeight="false" outlineLevel="0" collapsed="false">
      <c r="A551" s="0" t="n">
        <v>7040</v>
      </c>
    </row>
    <row r="552" customFormat="false" ht="12.8" hidden="false" customHeight="false" outlineLevel="0" collapsed="false">
      <c r="A552" s="0" t="n">
        <v>7050</v>
      </c>
    </row>
    <row r="553" customFormat="false" ht="12.8" hidden="false" customHeight="false" outlineLevel="0" collapsed="false">
      <c r="A553" s="0" t="n">
        <v>7060</v>
      </c>
    </row>
    <row r="554" customFormat="false" ht="12.8" hidden="false" customHeight="false" outlineLevel="0" collapsed="false">
      <c r="A554" s="0" t="n">
        <v>7070</v>
      </c>
    </row>
    <row r="555" customFormat="false" ht="12.8" hidden="false" customHeight="false" outlineLevel="0" collapsed="false">
      <c r="A555" s="0" t="n">
        <v>7080</v>
      </c>
    </row>
    <row r="556" customFormat="false" ht="12.8" hidden="false" customHeight="false" outlineLevel="0" collapsed="false">
      <c r="A556" s="0" t="n">
        <v>7090</v>
      </c>
    </row>
    <row r="557" customFormat="false" ht="12.8" hidden="false" customHeight="false" outlineLevel="0" collapsed="false">
      <c r="A557" s="0" t="n">
        <v>7100</v>
      </c>
    </row>
    <row r="558" customFormat="false" ht="12.8" hidden="false" customHeight="false" outlineLevel="0" collapsed="false">
      <c r="A558" s="0" t="n">
        <v>7110</v>
      </c>
    </row>
    <row r="559" customFormat="false" ht="12.8" hidden="false" customHeight="false" outlineLevel="0" collapsed="false">
      <c r="A559" s="0" t="n">
        <v>7120</v>
      </c>
    </row>
    <row r="560" customFormat="false" ht="12.8" hidden="false" customHeight="false" outlineLevel="0" collapsed="false">
      <c r="A560" s="0" t="n">
        <v>7130</v>
      </c>
    </row>
    <row r="561" customFormat="false" ht="12.8" hidden="false" customHeight="false" outlineLevel="0" collapsed="false">
      <c r="A561" s="0" t="n">
        <v>7140</v>
      </c>
    </row>
    <row r="562" customFormat="false" ht="12.8" hidden="false" customHeight="false" outlineLevel="0" collapsed="false">
      <c r="A562" s="0" t="n">
        <v>7150</v>
      </c>
    </row>
    <row r="563" customFormat="false" ht="12.8" hidden="false" customHeight="false" outlineLevel="0" collapsed="false">
      <c r="A563" s="0" t="n">
        <v>7160</v>
      </c>
    </row>
    <row r="564" customFormat="false" ht="12.8" hidden="false" customHeight="false" outlineLevel="0" collapsed="false">
      <c r="A564" s="0" t="n">
        <v>7170</v>
      </c>
    </row>
    <row r="565" customFormat="false" ht="12.8" hidden="false" customHeight="false" outlineLevel="0" collapsed="false">
      <c r="A565" s="0" t="n">
        <v>7180</v>
      </c>
    </row>
    <row r="566" customFormat="false" ht="12.8" hidden="false" customHeight="false" outlineLevel="0" collapsed="false">
      <c r="A566" s="0" t="n">
        <v>7190</v>
      </c>
    </row>
    <row r="567" customFormat="false" ht="12.8" hidden="false" customHeight="false" outlineLevel="0" collapsed="false">
      <c r="A567" s="0" t="n">
        <v>7200</v>
      </c>
    </row>
    <row r="568" customFormat="false" ht="12.8" hidden="false" customHeight="false" outlineLevel="0" collapsed="false">
      <c r="A568" s="0" t="n">
        <v>7210</v>
      </c>
    </row>
    <row r="569" customFormat="false" ht="12.8" hidden="false" customHeight="false" outlineLevel="0" collapsed="false">
      <c r="A569" s="0" t="n">
        <v>7220</v>
      </c>
    </row>
    <row r="570" customFormat="false" ht="12.8" hidden="false" customHeight="false" outlineLevel="0" collapsed="false">
      <c r="A570" s="0" t="n">
        <v>7230</v>
      </c>
    </row>
    <row r="571" customFormat="false" ht="12.8" hidden="false" customHeight="false" outlineLevel="0" collapsed="false">
      <c r="A571" s="0" t="n">
        <v>7240</v>
      </c>
    </row>
    <row r="572" customFormat="false" ht="12.8" hidden="false" customHeight="false" outlineLevel="0" collapsed="false">
      <c r="A572" s="0" t="n">
        <v>7250</v>
      </c>
    </row>
    <row r="573" customFormat="false" ht="12.8" hidden="false" customHeight="false" outlineLevel="0" collapsed="false">
      <c r="A573" s="0" t="n">
        <v>7260</v>
      </c>
    </row>
    <row r="574" customFormat="false" ht="12.8" hidden="false" customHeight="false" outlineLevel="0" collapsed="false">
      <c r="A574" s="0" t="n">
        <v>7270</v>
      </c>
    </row>
    <row r="575" customFormat="false" ht="12.8" hidden="false" customHeight="false" outlineLevel="0" collapsed="false">
      <c r="A575" s="0" t="n">
        <v>7280</v>
      </c>
    </row>
    <row r="576" customFormat="false" ht="12.8" hidden="false" customHeight="false" outlineLevel="0" collapsed="false">
      <c r="A576" s="0" t="n">
        <v>7290</v>
      </c>
    </row>
    <row r="577" customFormat="false" ht="12.8" hidden="false" customHeight="false" outlineLevel="0" collapsed="false">
      <c r="A577" s="0" t="n">
        <v>7300</v>
      </c>
    </row>
    <row r="578" customFormat="false" ht="12.8" hidden="false" customHeight="false" outlineLevel="0" collapsed="false">
      <c r="A578" s="0" t="n">
        <v>7310</v>
      </c>
    </row>
    <row r="579" customFormat="false" ht="12.8" hidden="false" customHeight="false" outlineLevel="0" collapsed="false">
      <c r="A579" s="0" t="n">
        <v>7320</v>
      </c>
    </row>
    <row r="580" customFormat="false" ht="12.8" hidden="false" customHeight="false" outlineLevel="0" collapsed="false">
      <c r="A580" s="0" t="n">
        <v>7330</v>
      </c>
    </row>
    <row r="581" customFormat="false" ht="12.8" hidden="false" customHeight="false" outlineLevel="0" collapsed="false">
      <c r="A581" s="0" t="n">
        <v>7340</v>
      </c>
    </row>
    <row r="582" customFormat="false" ht="12.8" hidden="false" customHeight="false" outlineLevel="0" collapsed="false">
      <c r="A582" s="0" t="n">
        <v>7350</v>
      </c>
    </row>
    <row r="583" customFormat="false" ht="12.8" hidden="false" customHeight="false" outlineLevel="0" collapsed="false">
      <c r="A583" s="0" t="n">
        <v>7360</v>
      </c>
    </row>
    <row r="584" customFormat="false" ht="12.8" hidden="false" customHeight="false" outlineLevel="0" collapsed="false">
      <c r="A584" s="0" t="n">
        <v>7370</v>
      </c>
    </row>
    <row r="585" customFormat="false" ht="12.8" hidden="false" customHeight="false" outlineLevel="0" collapsed="false">
      <c r="A585" s="0" t="n">
        <v>7380</v>
      </c>
    </row>
    <row r="586" customFormat="false" ht="12.8" hidden="false" customHeight="false" outlineLevel="0" collapsed="false">
      <c r="A586" s="0" t="n">
        <v>7390</v>
      </c>
    </row>
    <row r="587" customFormat="false" ht="12.8" hidden="false" customHeight="false" outlineLevel="0" collapsed="false">
      <c r="A587" s="0" t="n">
        <v>7400</v>
      </c>
    </row>
    <row r="588" customFormat="false" ht="12.8" hidden="false" customHeight="false" outlineLevel="0" collapsed="false">
      <c r="A588" s="0" t="n">
        <v>7410</v>
      </c>
    </row>
    <row r="589" customFormat="false" ht="12.8" hidden="false" customHeight="false" outlineLevel="0" collapsed="false">
      <c r="A589" s="0" t="n">
        <v>7420</v>
      </c>
    </row>
    <row r="590" customFormat="false" ht="12.8" hidden="false" customHeight="false" outlineLevel="0" collapsed="false">
      <c r="A590" s="0" t="n">
        <v>7430</v>
      </c>
    </row>
    <row r="591" customFormat="false" ht="12.8" hidden="false" customHeight="false" outlineLevel="0" collapsed="false">
      <c r="A591" s="0" t="n">
        <v>7440</v>
      </c>
    </row>
    <row r="592" customFormat="false" ht="12.8" hidden="false" customHeight="false" outlineLevel="0" collapsed="false">
      <c r="A592" s="0" t="n">
        <v>7450</v>
      </c>
    </row>
    <row r="593" customFormat="false" ht="12.8" hidden="false" customHeight="false" outlineLevel="0" collapsed="false">
      <c r="A593" s="0" t="n">
        <v>7460</v>
      </c>
    </row>
    <row r="594" customFormat="false" ht="12.8" hidden="false" customHeight="false" outlineLevel="0" collapsed="false">
      <c r="A594" s="0" t="n">
        <v>7470</v>
      </c>
    </row>
    <row r="595" customFormat="false" ht="12.8" hidden="false" customHeight="false" outlineLevel="0" collapsed="false">
      <c r="A595" s="0" t="n">
        <v>7480</v>
      </c>
    </row>
    <row r="596" customFormat="false" ht="12.8" hidden="false" customHeight="false" outlineLevel="0" collapsed="false">
      <c r="A596" s="0" t="n">
        <v>7490</v>
      </c>
    </row>
    <row r="597" customFormat="false" ht="12.8" hidden="false" customHeight="false" outlineLevel="0" collapsed="false">
      <c r="A597" s="0" t="n">
        <v>7500</v>
      </c>
    </row>
    <row r="598" customFormat="false" ht="12.8" hidden="false" customHeight="false" outlineLevel="0" collapsed="false">
      <c r="A598" s="0" t="n">
        <v>7510</v>
      </c>
    </row>
    <row r="599" customFormat="false" ht="12.8" hidden="false" customHeight="false" outlineLevel="0" collapsed="false">
      <c r="A599" s="0" t="n">
        <v>7520</v>
      </c>
    </row>
    <row r="600" customFormat="false" ht="12.8" hidden="false" customHeight="false" outlineLevel="0" collapsed="false">
      <c r="A600" s="0" t="n">
        <v>7530</v>
      </c>
    </row>
    <row r="601" customFormat="false" ht="12.8" hidden="false" customHeight="false" outlineLevel="0" collapsed="false">
      <c r="A601" s="0" t="n">
        <v>7540</v>
      </c>
    </row>
    <row r="602" customFormat="false" ht="12.8" hidden="false" customHeight="false" outlineLevel="0" collapsed="false">
      <c r="A602" s="0" t="n">
        <v>7550</v>
      </c>
    </row>
    <row r="603" customFormat="false" ht="12.8" hidden="false" customHeight="false" outlineLevel="0" collapsed="false">
      <c r="A603" s="0" t="n">
        <v>7560</v>
      </c>
    </row>
    <row r="604" customFormat="false" ht="12.8" hidden="false" customHeight="false" outlineLevel="0" collapsed="false">
      <c r="A604" s="0" t="n">
        <v>7570</v>
      </c>
    </row>
    <row r="605" customFormat="false" ht="12.8" hidden="false" customHeight="false" outlineLevel="0" collapsed="false">
      <c r="A605" s="0" t="n">
        <v>7580</v>
      </c>
    </row>
    <row r="606" customFormat="false" ht="12.8" hidden="false" customHeight="false" outlineLevel="0" collapsed="false">
      <c r="A606" s="0" t="n">
        <v>7590</v>
      </c>
    </row>
    <row r="607" customFormat="false" ht="12.8" hidden="false" customHeight="false" outlineLevel="0" collapsed="false">
      <c r="A607" s="0" t="n">
        <v>7600</v>
      </c>
    </row>
    <row r="608" customFormat="false" ht="12.8" hidden="false" customHeight="false" outlineLevel="0" collapsed="false">
      <c r="A608" s="0" t="n">
        <v>7610</v>
      </c>
    </row>
    <row r="609" customFormat="false" ht="12.8" hidden="false" customHeight="false" outlineLevel="0" collapsed="false">
      <c r="A609" s="0" t="n">
        <v>7620</v>
      </c>
    </row>
    <row r="610" customFormat="false" ht="12.8" hidden="false" customHeight="false" outlineLevel="0" collapsed="false">
      <c r="A610" s="0" t="n">
        <v>7630</v>
      </c>
    </row>
    <row r="611" customFormat="false" ht="12.8" hidden="false" customHeight="false" outlineLevel="0" collapsed="false">
      <c r="A611" s="0" t="n">
        <v>7640</v>
      </c>
    </row>
    <row r="612" customFormat="false" ht="12.8" hidden="false" customHeight="false" outlineLevel="0" collapsed="false">
      <c r="A612" s="0" t="n">
        <v>7650</v>
      </c>
    </row>
    <row r="613" customFormat="false" ht="12.8" hidden="false" customHeight="false" outlineLevel="0" collapsed="false">
      <c r="A613" s="0" t="n">
        <v>7660</v>
      </c>
    </row>
    <row r="614" customFormat="false" ht="12.8" hidden="false" customHeight="false" outlineLevel="0" collapsed="false">
      <c r="A614" s="0" t="n">
        <v>7670</v>
      </c>
    </row>
    <row r="615" customFormat="false" ht="12.8" hidden="false" customHeight="false" outlineLevel="0" collapsed="false">
      <c r="A615" s="0" t="n">
        <v>7680</v>
      </c>
    </row>
    <row r="616" customFormat="false" ht="12.8" hidden="false" customHeight="false" outlineLevel="0" collapsed="false">
      <c r="A616" s="0" t="n">
        <v>7690</v>
      </c>
    </row>
    <row r="617" customFormat="false" ht="12.8" hidden="false" customHeight="false" outlineLevel="0" collapsed="false">
      <c r="A617" s="0" t="n">
        <v>7700</v>
      </c>
    </row>
    <row r="618" customFormat="false" ht="12.8" hidden="false" customHeight="false" outlineLevel="0" collapsed="false">
      <c r="A618" s="0" t="n">
        <v>7710</v>
      </c>
    </row>
    <row r="619" customFormat="false" ht="12.8" hidden="false" customHeight="false" outlineLevel="0" collapsed="false">
      <c r="A619" s="0" t="n">
        <v>7720</v>
      </c>
    </row>
    <row r="620" customFormat="false" ht="12.8" hidden="false" customHeight="false" outlineLevel="0" collapsed="false">
      <c r="A620" s="0" t="n">
        <v>7730</v>
      </c>
    </row>
    <row r="621" customFormat="false" ht="12.8" hidden="false" customHeight="false" outlineLevel="0" collapsed="false">
      <c r="A621" s="0" t="n">
        <v>7740</v>
      </c>
    </row>
    <row r="622" customFormat="false" ht="12.8" hidden="false" customHeight="false" outlineLevel="0" collapsed="false">
      <c r="A622" s="0" t="n">
        <v>7750</v>
      </c>
    </row>
    <row r="623" customFormat="false" ht="12.8" hidden="false" customHeight="false" outlineLevel="0" collapsed="false">
      <c r="A623" s="0" t="n">
        <v>7760</v>
      </c>
    </row>
    <row r="624" customFormat="false" ht="12.8" hidden="false" customHeight="false" outlineLevel="0" collapsed="false">
      <c r="A624" s="0" t="n">
        <v>7770</v>
      </c>
    </row>
    <row r="625" customFormat="false" ht="12.8" hidden="false" customHeight="false" outlineLevel="0" collapsed="false">
      <c r="A625" s="0" t="n">
        <v>7780</v>
      </c>
    </row>
    <row r="626" customFormat="false" ht="12.8" hidden="false" customHeight="false" outlineLevel="0" collapsed="false">
      <c r="A626" s="0" t="n">
        <v>7790</v>
      </c>
    </row>
    <row r="627" customFormat="false" ht="12.8" hidden="false" customHeight="false" outlineLevel="0" collapsed="false">
      <c r="A627" s="0" t="n">
        <v>7800</v>
      </c>
    </row>
    <row r="628" customFormat="false" ht="12.8" hidden="false" customHeight="false" outlineLevel="0" collapsed="false">
      <c r="A628" s="0" t="n">
        <v>7810</v>
      </c>
    </row>
    <row r="629" customFormat="false" ht="12.8" hidden="false" customHeight="false" outlineLevel="0" collapsed="false">
      <c r="A629" s="0" t="n">
        <v>7820</v>
      </c>
    </row>
    <row r="630" customFormat="false" ht="12.8" hidden="false" customHeight="false" outlineLevel="0" collapsed="false">
      <c r="A630" s="0" t="n">
        <v>7830</v>
      </c>
    </row>
    <row r="631" customFormat="false" ht="12.8" hidden="false" customHeight="false" outlineLevel="0" collapsed="false">
      <c r="A631" s="0" t="n">
        <v>7840</v>
      </c>
    </row>
    <row r="632" customFormat="false" ht="12.8" hidden="false" customHeight="false" outlineLevel="0" collapsed="false">
      <c r="A632" s="0" t="n">
        <v>7850</v>
      </c>
    </row>
    <row r="633" customFormat="false" ht="12.8" hidden="false" customHeight="false" outlineLevel="0" collapsed="false">
      <c r="A633" s="0" t="n">
        <v>7860</v>
      </c>
    </row>
    <row r="634" customFormat="false" ht="12.8" hidden="false" customHeight="false" outlineLevel="0" collapsed="false">
      <c r="A634" s="0" t="n">
        <v>7870</v>
      </c>
    </row>
    <row r="635" customFormat="false" ht="12.8" hidden="false" customHeight="false" outlineLevel="0" collapsed="false">
      <c r="A635" s="0" t="n">
        <v>7880</v>
      </c>
    </row>
    <row r="636" customFormat="false" ht="12.8" hidden="false" customHeight="false" outlineLevel="0" collapsed="false">
      <c r="A636" s="0" t="n">
        <v>7890</v>
      </c>
    </row>
    <row r="637" customFormat="false" ht="12.8" hidden="false" customHeight="false" outlineLevel="0" collapsed="false">
      <c r="A637" s="0" t="n">
        <v>7900</v>
      </c>
    </row>
    <row r="638" customFormat="false" ht="12.8" hidden="false" customHeight="false" outlineLevel="0" collapsed="false">
      <c r="A638" s="0" t="n">
        <v>7910</v>
      </c>
    </row>
    <row r="639" customFormat="false" ht="12.8" hidden="false" customHeight="false" outlineLevel="0" collapsed="false">
      <c r="A639" s="0" t="n">
        <v>7920</v>
      </c>
    </row>
    <row r="640" customFormat="false" ht="12.8" hidden="false" customHeight="false" outlineLevel="0" collapsed="false">
      <c r="A640" s="0" t="n">
        <v>7930</v>
      </c>
    </row>
    <row r="641" customFormat="false" ht="12.8" hidden="false" customHeight="false" outlineLevel="0" collapsed="false">
      <c r="A641" s="0" t="n">
        <v>7940</v>
      </c>
    </row>
    <row r="642" customFormat="false" ht="12.8" hidden="false" customHeight="false" outlineLevel="0" collapsed="false">
      <c r="A642" s="0" t="n">
        <v>7950</v>
      </c>
    </row>
    <row r="643" customFormat="false" ht="12.8" hidden="false" customHeight="false" outlineLevel="0" collapsed="false">
      <c r="A643" s="0" t="n">
        <v>7960</v>
      </c>
    </row>
    <row r="644" customFormat="false" ht="12.8" hidden="false" customHeight="false" outlineLevel="0" collapsed="false">
      <c r="A644" s="0" t="n">
        <v>7970</v>
      </c>
    </row>
    <row r="645" customFormat="false" ht="12.8" hidden="false" customHeight="false" outlineLevel="0" collapsed="false">
      <c r="A645" s="0" t="n">
        <v>7980</v>
      </c>
    </row>
    <row r="646" customFormat="false" ht="12.8" hidden="false" customHeight="false" outlineLevel="0" collapsed="false">
      <c r="A646" s="0" t="n">
        <v>7990</v>
      </c>
    </row>
    <row r="647" customFormat="false" ht="12.8" hidden="false" customHeight="false" outlineLevel="0" collapsed="false">
      <c r="A647" s="0" t="n">
        <v>8000</v>
      </c>
    </row>
    <row r="648" customFormat="false" ht="12.8" hidden="false" customHeight="false" outlineLevel="0" collapsed="false">
      <c r="A648" s="0" t="n">
        <v>9000</v>
      </c>
    </row>
    <row r="649" customFormat="false" ht="12.8" hidden="false" customHeight="false" outlineLevel="0" collapsed="false">
      <c r="A649" s="0" t="n">
        <v>10000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AG3"/>
  <sheetViews>
    <sheetView showFormulas="false" showGridLines="true" showRowColHeaders="true" showZeros="true" rightToLeft="false" tabSelected="true" showOutlineSymbols="true" defaultGridColor="true" view="normal" topLeftCell="L1" colorId="64" zoomScale="100" zoomScaleNormal="100" zoomScalePageLayoutView="100" workbookViewId="0">
      <selection pane="topLeft" activeCell="AB22" activeCellId="0" sqref="AB22"/>
    </sheetView>
  </sheetViews>
  <sheetFormatPr defaultRowHeight="13.8" zeroHeight="false" outlineLevelRow="0" outlineLevelCol="0"/>
  <cols>
    <col collapsed="false" customWidth="true" hidden="false" outlineLevel="0" max="1025" min="1" style="0" width="8.67"/>
  </cols>
  <sheetData>
    <row r="1" customFormat="false" ht="13.8" hidden="false" customHeight="false" outlineLevel="0" collapsed="false">
      <c r="A1" s="0" t="s">
        <v>249</v>
      </c>
      <c r="B1" s="0" t="n">
        <v>1</v>
      </c>
      <c r="C1" s="0" t="n">
        <v>2</v>
      </c>
      <c r="D1" s="0" t="n">
        <v>3</v>
      </c>
      <c r="E1" s="0" t="n">
        <v>4</v>
      </c>
      <c r="F1" s="0" t="n">
        <v>5</v>
      </c>
      <c r="G1" s="0" t="n">
        <v>6</v>
      </c>
      <c r="H1" s="0" t="n">
        <v>7</v>
      </c>
      <c r="I1" s="0" t="n">
        <v>8</v>
      </c>
      <c r="J1" s="0" t="n">
        <v>9</v>
      </c>
      <c r="K1" s="0" t="n">
        <v>10</v>
      </c>
      <c r="L1" s="0" t="n">
        <v>11</v>
      </c>
      <c r="M1" s="0" t="n">
        <v>12</v>
      </c>
      <c r="N1" s="0" t="n">
        <v>13</v>
      </c>
      <c r="O1" s="0" t="n">
        <v>14</v>
      </c>
      <c r="P1" s="0" t="n">
        <v>15</v>
      </c>
      <c r="Q1" s="0" t="n">
        <v>16</v>
      </c>
      <c r="R1" s="0" t="n">
        <v>17</v>
      </c>
      <c r="S1" s="0" t="n">
        <v>18</v>
      </c>
      <c r="T1" s="0" t="n">
        <v>19</v>
      </c>
      <c r="U1" s="0" t="n">
        <v>20</v>
      </c>
      <c r="V1" s="0" t="n">
        <v>21</v>
      </c>
      <c r="W1" s="0" t="n">
        <v>22</v>
      </c>
      <c r="X1" s="0" t="n">
        <v>23</v>
      </c>
      <c r="Y1" s="0" t="n">
        <v>24</v>
      </c>
      <c r="Z1" s="0" t="n">
        <v>25</v>
      </c>
      <c r="AA1" s="0" t="n">
        <v>26</v>
      </c>
      <c r="AB1" s="0" t="n">
        <v>27</v>
      </c>
      <c r="AC1" s="0" t="n">
        <v>28</v>
      </c>
      <c r="AD1" s="0" t="n">
        <v>29</v>
      </c>
      <c r="AE1" s="0" t="n">
        <v>30</v>
      </c>
      <c r="AF1" s="0" t="n">
        <v>31</v>
      </c>
      <c r="AG1" s="0" t="n">
        <v>32</v>
      </c>
    </row>
    <row r="2" customFormat="false" ht="13.8" hidden="false" customHeight="false" outlineLevel="0" collapsed="false">
      <c r="A2" s="0" t="s">
        <v>245</v>
      </c>
      <c r="B2" s="0" t="n">
        <v>0</v>
      </c>
      <c r="C2" s="0" t="n">
        <v>0.1</v>
      </c>
      <c r="D2" s="0" t="n">
        <v>0.2</v>
      </c>
      <c r="E2" s="0" t="n">
        <v>0.3</v>
      </c>
      <c r="F2" s="0" t="n">
        <v>0.4</v>
      </c>
      <c r="G2" s="0" t="n">
        <v>0.5</v>
      </c>
      <c r="H2" s="0" t="n">
        <v>0.6</v>
      </c>
      <c r="I2" s="0" t="n">
        <v>0.7</v>
      </c>
      <c r="J2" s="0" t="n">
        <v>0.8</v>
      </c>
      <c r="K2" s="0" t="n">
        <v>0.9</v>
      </c>
      <c r="L2" s="0" t="n">
        <v>1</v>
      </c>
      <c r="M2" s="0" t="n">
        <v>2</v>
      </c>
      <c r="N2" s="0" t="n">
        <v>3</v>
      </c>
      <c r="O2" s="0" t="n">
        <v>4</v>
      </c>
      <c r="P2" s="0" t="n">
        <v>5</v>
      </c>
      <c r="Q2" s="0" t="n">
        <v>6</v>
      </c>
      <c r="R2" s="0" t="n">
        <v>7</v>
      </c>
      <c r="S2" s="0" t="n">
        <v>8</v>
      </c>
      <c r="T2" s="0" t="n">
        <v>9</v>
      </c>
      <c r="U2" s="0" t="n">
        <v>10</v>
      </c>
      <c r="V2" s="0" t="n">
        <v>20</v>
      </c>
      <c r="W2" s="0" t="n">
        <v>30</v>
      </c>
      <c r="X2" s="0" t="n">
        <v>40</v>
      </c>
      <c r="Y2" s="0" t="n">
        <v>50</v>
      </c>
      <c r="Z2" s="0" t="n">
        <v>60</v>
      </c>
      <c r="AA2" s="0" t="n">
        <v>70</v>
      </c>
      <c r="AB2" s="0" t="n">
        <v>80</v>
      </c>
      <c r="AC2" s="0" t="n">
        <v>90</v>
      </c>
      <c r="AD2" s="0" t="n">
        <v>100</v>
      </c>
      <c r="AE2" s="0" t="n">
        <v>200</v>
      </c>
      <c r="AF2" s="0" t="n">
        <v>300</v>
      </c>
      <c r="AG2" s="0" t="n">
        <v>400</v>
      </c>
    </row>
    <row r="3" customFormat="false" ht="13.8" hidden="false" customHeight="false" outlineLevel="0" collapsed="false">
      <c r="B3" s="0" t="n">
        <f aca="false">WV_T(B2)</f>
        <v>2015</v>
      </c>
      <c r="C3" s="0" t="n">
        <f aca="false">WV_T(C2)</f>
        <v>408.952120551592</v>
      </c>
      <c r="D3" s="0" t="n">
        <f aca="false">WV_T(D2)</f>
        <v>409.025533328567</v>
      </c>
      <c r="E3" s="0" t="n">
        <f aca="false">WV_T(E2)</f>
        <v>409.0989273223</v>
      </c>
      <c r="F3" s="0" t="n">
        <f aca="false">WV_T(F2)</f>
        <v>409.172302516911</v>
      </c>
      <c r="G3" s="0" t="n">
        <f aca="false">WV_T(G2)</f>
        <v>409.245658896684</v>
      </c>
      <c r="H3" s="0" t="n">
        <f aca="false">WV_T(H2)</f>
        <v>409.318996446068</v>
      </c>
      <c r="I3" s="0" t="n">
        <f aca="false">WV_T(I2)</f>
        <v>409.392315149675</v>
      </c>
      <c r="J3" s="0" t="n">
        <f aca="false">WV_T(J2)</f>
        <v>409.46561499228</v>
      </c>
      <c r="K3" s="0" t="n">
        <f aca="false">WV_T(K2)</f>
        <v>409.538895958823</v>
      </c>
      <c r="L3" s="0" t="n">
        <f aca="false">WV_T(L2)</f>
        <v>409.612158034408</v>
      </c>
      <c r="M3" s="0" t="n">
        <f aca="false">WV_T(M2)</f>
        <v>410.343736627166</v>
      </c>
      <c r="N3" s="0" t="n">
        <f aca="false">WV_T(N2)</f>
        <v>411.073410950618</v>
      </c>
      <c r="O3" s="0" t="n">
        <f aca="false">WV_T(O2)</f>
        <v>411.801168795031</v>
      </c>
      <c r="P3" s="0" t="n">
        <f aca="false">WV_T(P2)</f>
        <v>412.526999556675</v>
      </c>
      <c r="Q3" s="0" t="n">
        <f aca="false">WV_T(Q2)</f>
        <v>413.250894208856</v>
      </c>
      <c r="R3" s="0" t="n">
        <f aca="false">WV_T(R2)</f>
        <v>413.972845263766</v>
      </c>
      <c r="S3" s="0" t="n">
        <f aca="false">WV_T(S2)</f>
        <v>414.692846725618</v>
      </c>
      <c r="T3" s="0" t="n">
        <f aca="false">WV_T(T2)</f>
        <v>415.410894035605</v>
      </c>
      <c r="U3" s="0" t="n">
        <f aca="false">WV_T(U2)</f>
        <v>416.126984009255</v>
      </c>
      <c r="V3" s="0" t="n">
        <f aca="false">WV_T(V2)</f>
        <v>423.180356207909</v>
      </c>
      <c r="W3" s="0" t="n">
        <f aca="false">WV_T(W2)</f>
        <v>430.041432673415</v>
      </c>
      <c r="X3" s="0" t="n">
        <f aca="false">WV_T(X2)</f>
        <v>436.715698296576</v>
      </c>
      <c r="Y3" s="0" t="n">
        <f aca="false">WV_T(Y2)</f>
        <v>443.203374226623</v>
      </c>
      <c r="Z3" s="0" t="n">
        <f aca="false">WV_T(Z2)</f>
        <v>449.495296151303</v>
      </c>
      <c r="AA3" s="0" t="n">
        <f aca="false">WV_T(AA2)</f>
        <v>455.573093936382</v>
      </c>
      <c r="AB3" s="0" t="n">
        <f aca="false">WV_T(AB2)</f>
        <v>461.411807033534</v>
      </c>
      <c r="AC3" s="0" t="n">
        <f aca="false">WV_T(AC2)</f>
        <v>466.982805547451</v>
      </c>
      <c r="AD3" s="0" t="n">
        <f aca="false">WV_T(AD2)</f>
        <v>472.255949238944</v>
      </c>
      <c r="AE3" s="0" t="n">
        <f aca="false">WV_T(AE2)</f>
        <v>503.839079636536</v>
      </c>
      <c r="AF3" s="0" t="n">
        <f aca="false">WV_T(AF2)</f>
        <v>480.810435884951</v>
      </c>
      <c r="AG3" s="0" t="n">
        <f aca="false">WV_T(AG2)</f>
        <v>2015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366</TotalTime>
  <Application>LibreOffice/6.0.2.1$Windows_X86_64 LibreOffice_project/f7f06a8f319e4b62f9bc5095aa112a65d2f3ac89</Application>
  <Company>Mechanical Engineering</Company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2007-09-20T16:33:49Z</dcterms:created>
  <dc:creator>kwoodbury</dc:creator>
  <dc:description/>
  <dc:language>en-US</dc:language>
  <cp:lastModifiedBy/>
  <dcterms:modified xsi:type="dcterms:W3CDTF">2018-09-23T09:34:53Z</dcterms:modified>
  <cp:revision>35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12.0000</vt:lpwstr>
  </property>
  <property fmtid="{D5CDD505-2E9C-101B-9397-08002B2CF9AE}" pid="3" name="Company">
    <vt:lpwstr>Mechanical Engineering</vt:lpwstr>
  </property>
  <property fmtid="{D5CDD505-2E9C-101B-9397-08002B2CF9AE}" pid="4" name="DocSecurity">
    <vt:i4>0</vt:i4>
  </property>
  <property fmtid="{D5CDD505-2E9C-101B-9397-08002B2CF9AE}" pid="5" name="HyperlinksChanged">
    <vt:bool>0</vt:bool>
  </property>
  <property fmtid="{D5CDD505-2E9C-101B-9397-08002B2CF9AE}" pid="6" name="LinksUpToDate">
    <vt:bool>0</vt:bool>
  </property>
  <property fmtid="{D5CDD505-2E9C-101B-9397-08002B2CF9AE}" pid="7" name="ScaleCrop">
    <vt:bool>0</vt:bool>
  </property>
  <property fmtid="{D5CDD505-2E9C-101B-9397-08002B2CF9AE}" pid="8" name="ShareDoc">
    <vt:bool>0</vt:bool>
  </property>
</Properties>
</file>